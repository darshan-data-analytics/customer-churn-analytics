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Processed_Data" sheetId="2" r:id="rId6"/>
    <sheet state="visible" name="Cleaned_Data" sheetId="3" r:id="rId7"/>
    <sheet state="visible" name="Understanding_Data" sheetId="4" r:id="rId8"/>
    <sheet state="visible" name="Data_Summary" sheetId="5" r:id="rId9"/>
    <sheet state="visible" name="Churn_Analysis" sheetId="6" r:id="rId10"/>
    <sheet state="visible" name="Dashboard" sheetId="7" r:id="rId11"/>
  </sheets>
  <definedNames>
    <definedName hidden="1" localSheetId="0" name="_xlnm._FilterDatabase">Raw_Data!$A$1:$U$1826</definedName>
    <definedName hidden="1" localSheetId="1" name="_xlnm._FilterDatabase">Processed_Data!$A$1:$Z$1826</definedName>
    <definedName hidden="1" localSheetId="2" name="_xlnm._FilterDatabase">Cleaned_Data!$A$1:$Y$1826</definedName>
  </definedNames>
  <calcPr/>
  <pivotCaches>
    <pivotCache cacheId="0" r:id="rId12"/>
    <pivotCache cacheId="1" r:id="rId13"/>
    <pivotCache cacheId="2" r:id="rId14"/>
    <pivotCache cacheId="3" r:id="rId15"/>
  </pivotCaches>
</workbook>
</file>

<file path=xl/sharedStrings.xml><?xml version="1.0" encoding="utf-8"?>
<sst xmlns="http://schemas.openxmlformats.org/spreadsheetml/2006/main" count="66354" uniqueCount="2191">
  <si>
    <t>Customer_ID</t>
  </si>
  <si>
    <t>Column description</t>
  </si>
  <si>
    <t>Customer_Name</t>
  </si>
  <si>
    <t>Total number of records</t>
  </si>
  <si>
    <t>Age</t>
  </si>
  <si>
    <t>Unique values(Cleaned data)</t>
  </si>
  <si>
    <t>Region</t>
  </si>
  <si>
    <t>City</t>
  </si>
  <si>
    <t>Plan</t>
  </si>
  <si>
    <t>Blank</t>
  </si>
  <si>
    <t>Acquisition_Channel</t>
  </si>
  <si>
    <t>Comments 1 after TRIM</t>
  </si>
  <si>
    <t>Signup_Date</t>
  </si>
  <si>
    <t>Comments 2 on Numbering format</t>
  </si>
  <si>
    <t>Tenure_Months</t>
  </si>
  <si>
    <t>Data Investigation</t>
  </si>
  <si>
    <t>Data Investigation 2</t>
  </si>
  <si>
    <t>Contract_Type</t>
  </si>
  <si>
    <t>Payment_Method</t>
  </si>
  <si>
    <t>Monthly_Fee</t>
  </si>
  <si>
    <t>Support_Tickets</t>
  </si>
  <si>
    <t>Complaints</t>
  </si>
  <si>
    <t>Monthly_Usage_Hours</t>
  </si>
  <si>
    <t>Satisfaction_Score</t>
  </si>
  <si>
    <t>Last_Login</t>
  </si>
  <si>
    <t>Churn_Date</t>
  </si>
  <si>
    <t>Churn_Status</t>
  </si>
  <si>
    <t>Primary_Product</t>
  </si>
  <si>
    <t>Duplicate_customer ID_Check</t>
  </si>
  <si>
    <t>Satisfaction_Group</t>
  </si>
  <si>
    <t>C01310</t>
  </si>
  <si>
    <t>Temporary Customer_ID</t>
  </si>
  <si>
    <t>Usage_Group</t>
  </si>
  <si>
    <t>Tenure_Group</t>
  </si>
  <si>
    <t>Meera Das</t>
  </si>
  <si>
    <t>North</t>
  </si>
  <si>
    <t>Delhi</t>
  </si>
  <si>
    <t>Standard</t>
  </si>
  <si>
    <t/>
  </si>
  <si>
    <t>Instagram</t>
  </si>
  <si>
    <t>Monthly</t>
  </si>
  <si>
    <t>Upi</t>
  </si>
  <si>
    <t>UPI</t>
  </si>
  <si>
    <t>2</t>
  </si>
  <si>
    <t>16/06/2023</t>
  </si>
  <si>
    <t>Churned</t>
  </si>
  <si>
    <t>0</t>
  </si>
  <si>
    <t>Cloud Storage</t>
  </si>
  <si>
    <t>3.6</t>
  </si>
  <si>
    <t>C00477</t>
  </si>
  <si>
    <t>Rahul Das</t>
  </si>
  <si>
    <t>Jaipur</t>
  </si>
  <si>
    <t>Facebook</t>
  </si>
  <si>
    <t>Quarterly</t>
  </si>
  <si>
    <t>Only 1076 unique values found</t>
  </si>
  <si>
    <t>Active</t>
  </si>
  <si>
    <t>Its the combination of Text-Numeric values</t>
  </si>
  <si>
    <t>Found same customer ID for different customer names, age, city so even though there are duplicate customer IDs but when compared to other cloumns they are unique</t>
  </si>
  <si>
    <t>C01564</t>
  </si>
  <si>
    <t>Priya Das</t>
  </si>
  <si>
    <t>East</t>
  </si>
  <si>
    <t>Kolkata</t>
  </si>
  <si>
    <t>Basic</t>
  </si>
  <si>
    <t>Google Ads</t>
  </si>
  <si>
    <t>Annual</t>
  </si>
  <si>
    <t>Credit Card</t>
  </si>
  <si>
    <t>Automation</t>
  </si>
  <si>
    <t>C00741</t>
  </si>
  <si>
    <t>Anita Patel</t>
  </si>
  <si>
    <t>South</t>
  </si>
  <si>
    <t>Bengaluru</t>
  </si>
  <si>
    <t>24/02/2024</t>
  </si>
  <si>
    <t>Collaboration</t>
  </si>
  <si>
    <t>C01438</t>
  </si>
  <si>
    <t>Anita Kumar</t>
  </si>
  <si>
    <t>Security</t>
  </si>
  <si>
    <t>4.4</t>
  </si>
  <si>
    <t>C00549</t>
  </si>
  <si>
    <t>Vikram Patel</t>
  </si>
  <si>
    <t>Premium</t>
  </si>
  <si>
    <t>Organic Search</t>
  </si>
  <si>
    <t>Debit Card</t>
  </si>
  <si>
    <t>C00539</t>
  </si>
  <si>
    <t>80 Unique customer names</t>
  </si>
  <si>
    <t>Text values</t>
  </si>
  <si>
    <t>West</t>
  </si>
  <si>
    <t xml:space="preserve">Same name but different age and different customer ID, so even though ithere are duplicate customer names, they are unique when compared to other columns </t>
  </si>
  <si>
    <t>Surat</t>
  </si>
  <si>
    <t>₹523</t>
  </si>
  <si>
    <t>3.3</t>
  </si>
  <si>
    <t>C01221</t>
  </si>
  <si>
    <t>Anita Sharma</t>
  </si>
  <si>
    <t>Ahmedabad</t>
  </si>
  <si>
    <t>YouTube</t>
  </si>
  <si>
    <t>27/09/2025</t>
  </si>
  <si>
    <t>C00007</t>
  </si>
  <si>
    <t>Rahul Kumar</t>
  </si>
  <si>
    <t>Bhubaneswar</t>
  </si>
  <si>
    <t>1</t>
  </si>
  <si>
    <t>4</t>
  </si>
  <si>
    <t>18 balnk cells found in Age column</t>
  </si>
  <si>
    <t>20/08/2026</t>
  </si>
  <si>
    <t>Set it to number format</t>
  </si>
  <si>
    <t>Max age in data: 105, Min age: 12, Average age is 44 in data group</t>
  </si>
  <si>
    <t>Analytics</t>
  </si>
  <si>
    <t>C00230</t>
  </si>
  <si>
    <t>Rahul Patel</t>
  </si>
  <si>
    <t>Patna</t>
  </si>
  <si>
    <t>2.4</t>
  </si>
  <si>
    <t>C00543</t>
  </si>
  <si>
    <t>Sneha Nair</t>
  </si>
  <si>
    <t>Pune</t>
  </si>
  <si>
    <t>4 unique value because same region name written differently example (north, North, NORTH)  and so on hence 9 unique values</t>
  </si>
  <si>
    <t>C00693</t>
  </si>
  <si>
    <t>Text Values</t>
  </si>
  <si>
    <r>
      <rPr>
        <rFont val="Arial"/>
        <color theme="1"/>
      </rPr>
      <t xml:space="preserve">There are 4 unique regions, North, South, East, West, </t>
    </r>
    <r>
      <rPr>
        <rFont val="Arial"/>
        <b/>
        <color theme="1"/>
      </rPr>
      <t xml:space="preserve">cleaned 
</t>
    </r>
    <r>
      <rPr>
        <rFont val="Arial"/>
        <color theme="1"/>
      </rPr>
      <t>Raw data had 9 unique values</t>
    </r>
  </si>
  <si>
    <t>3.4</t>
  </si>
  <si>
    <t>C00439</t>
  </si>
  <si>
    <t>Karan Nair</t>
  </si>
  <si>
    <t>Kochi</t>
  </si>
  <si>
    <t>Email</t>
  </si>
  <si>
    <t>C00125</t>
  </si>
  <si>
    <t xml:space="preserve"> Vikram Nair  </t>
  </si>
  <si>
    <t>4.1</t>
  </si>
  <si>
    <t>₹1,142</t>
  </si>
  <si>
    <t>C00201</t>
  </si>
  <si>
    <t>Arun Patel</t>
  </si>
  <si>
    <t>15 blank cells found in City column and all the details filled are unique and written in same format</t>
  </si>
  <si>
    <t>Youtube</t>
  </si>
  <si>
    <t>All 16 Cities are distinct values</t>
  </si>
  <si>
    <t>3.9</t>
  </si>
  <si>
    <t>C00932</t>
  </si>
  <si>
    <t>Arun Kumar</t>
  </si>
  <si>
    <t>Guwahati</t>
  </si>
  <si>
    <t>C01197</t>
  </si>
  <si>
    <t>Karan Sharma</t>
  </si>
  <si>
    <t>3 unique value because same plan name written differently example (standard, Standard, STANDARD) and so on hence 8 unique values</t>
  </si>
  <si>
    <t>Raw data had 8 Unique values after cleaning, 3 unique plans</t>
  </si>
  <si>
    <t>C00082</t>
  </si>
  <si>
    <t>Vikram Das</t>
  </si>
  <si>
    <t>Lucknow</t>
  </si>
  <si>
    <t>06/09/2025</t>
  </si>
  <si>
    <t>C00937</t>
  </si>
  <si>
    <t>2.1</t>
  </si>
  <si>
    <t>C00898</t>
  </si>
  <si>
    <t>Ravi Patel</t>
  </si>
  <si>
    <t xml:space="preserve">MONTHLY </t>
  </si>
  <si>
    <t>7 unique value because same acquistions channel name written differently example (google_ads, GOOGLE_ADS, Google_ADS) and so on hence 12 unique values</t>
  </si>
  <si>
    <t>₹1,269</t>
  </si>
  <si>
    <t>Raw data had 12 Unique values after cleaning, 7 unique Channels</t>
  </si>
  <si>
    <t>4.5</t>
  </si>
  <si>
    <t>C01470</t>
  </si>
  <si>
    <t>Vikram Kumar</t>
  </si>
  <si>
    <t>C00331</t>
  </si>
  <si>
    <t>Not need to find unique values as date can be different</t>
  </si>
  <si>
    <t>Date numeric values, set it to date format</t>
  </si>
  <si>
    <t>08/10/2025</t>
  </si>
  <si>
    <t>Date Range: Max= 12/21/2025, Min =1/1/2022
Validate:</t>
  </si>
  <si>
    <t>4.7</t>
  </si>
  <si>
    <t>C00747</t>
  </si>
  <si>
    <t>Rahul Singh</t>
  </si>
  <si>
    <t>Chandigarh</t>
  </si>
  <si>
    <t>C00368</t>
  </si>
  <si>
    <t>Sneha Singh</t>
  </si>
  <si>
    <t>3</t>
  </si>
  <si>
    <t>C00467</t>
  </si>
  <si>
    <t>Not need to find unique values as tenure months can be different</t>
  </si>
  <si>
    <t>Ravi Reddy</t>
  </si>
  <si>
    <t>Max value: 120, Min Value: -3
Need to understand the meaning of  negative tenure value</t>
  </si>
  <si>
    <t>Vikram Nair</t>
  </si>
  <si>
    <t>16/01/2025</t>
  </si>
  <si>
    <t>C01190</t>
  </si>
  <si>
    <t>Meera Singh</t>
  </si>
  <si>
    <t>5</t>
  </si>
  <si>
    <t>06/03/2026</t>
  </si>
  <si>
    <t>C00004</t>
  </si>
  <si>
    <t>Ravi Iyer</t>
  </si>
  <si>
    <t>Hyderabad</t>
  </si>
  <si>
    <t>C01428</t>
  </si>
  <si>
    <t>Ravi Kumar</t>
  </si>
  <si>
    <t>3 unique value because same contract type name written differently example (Yearly, yearly, YEARLY) and so on hence 6 unique values</t>
  </si>
  <si>
    <t>Raw data had 6 Unique values after cleaning, 3 unique contract type</t>
  </si>
  <si>
    <t>26/06/2026</t>
  </si>
  <si>
    <t>C01188</t>
  </si>
  <si>
    <t>Vikram Reddy</t>
  </si>
  <si>
    <t>3.2</t>
  </si>
  <si>
    <t>C00461</t>
  </si>
  <si>
    <t>Chennai</t>
  </si>
  <si>
    <t>02/11/2025</t>
  </si>
  <si>
    <t>C01538</t>
  </si>
  <si>
    <t>Sneha Patel</t>
  </si>
  <si>
    <t>C01220</t>
  </si>
  <si>
    <t>standard</t>
  </si>
  <si>
    <t>3 unique value because same payment method name written differently example (credit, Credit, CREDIT) and so on hence 6 unique values</t>
  </si>
  <si>
    <t>Raw data had 6 Unique values after cleaning, 3 unique Payment Method</t>
  </si>
  <si>
    <t>30/12/2026</t>
  </si>
  <si>
    <t>C01569</t>
  </si>
  <si>
    <t>C00132</t>
  </si>
  <si>
    <t>Not need to find unique values as fee can be different, but found ruppess symbol in values</t>
  </si>
  <si>
    <t>Set it to number format, and removed rupees symbol</t>
  </si>
  <si>
    <t>Not need to find unique values as fee can be different, but found rupees symbol in values and changed it and  no Blank values  found in monthly fee column, no negative amount found in data</t>
  </si>
  <si>
    <t>C01544</t>
  </si>
  <si>
    <t>Arun Das</t>
  </si>
  <si>
    <t>3.7</t>
  </si>
  <si>
    <t>13/11/2027</t>
  </si>
  <si>
    <t>C01484</t>
  </si>
  <si>
    <t>Karan Patel</t>
  </si>
  <si>
    <t>No need to find unique values, but found 15 blank cells found</t>
  </si>
  <si>
    <t>02/02/2025</t>
  </si>
  <si>
    <t>C00777</t>
  </si>
  <si>
    <t>Referral</t>
  </si>
  <si>
    <t>11/07/2025</t>
  </si>
  <si>
    <t>C01600</t>
  </si>
  <si>
    <t>No need to find unique values, but found 10 blank cells found</t>
  </si>
  <si>
    <t>C00344</t>
  </si>
  <si>
    <t>Neha Sharma</t>
  </si>
  <si>
    <t>25/05/2025</t>
  </si>
  <si>
    <t>churned</t>
  </si>
  <si>
    <t>C00209</t>
  </si>
  <si>
    <t>No need to find not necessary</t>
  </si>
  <si>
    <t>C00742</t>
  </si>
  <si>
    <t xml:space="preserve">Max usage hour: 56.40
Min usage hour: 1.00
Validate Suspicious values: </t>
  </si>
  <si>
    <t>Karan Iyer</t>
  </si>
  <si>
    <t>C00924</t>
  </si>
  <si>
    <t>Anita Iyer</t>
  </si>
  <si>
    <t>3.8</t>
  </si>
  <si>
    <t>C01139</t>
  </si>
  <si>
    <t>Scores can be unique so not neccessary to find values</t>
  </si>
  <si>
    <t>C00829</t>
  </si>
  <si>
    <t>Anita Nair</t>
  </si>
  <si>
    <t>Yes</t>
  </si>
  <si>
    <t>C00248</t>
  </si>
  <si>
    <t>Meera Iyer</t>
  </si>
  <si>
    <t>3.5</t>
  </si>
  <si>
    <t>C00740</t>
  </si>
  <si>
    <t>Sneha Sharma</t>
  </si>
  <si>
    <t>No need to find unique values, but found 12 blank cells found</t>
  </si>
  <si>
    <t xml:space="preserve">Date numeric values, set it to date format </t>
  </si>
  <si>
    <t xml:space="preserve"> C00981 </t>
  </si>
  <si>
    <t>Meera Kumar</t>
  </si>
  <si>
    <t>C00175</t>
  </si>
  <si>
    <t>Sneha Iyer</t>
  </si>
  <si>
    <t>03/01/2028</t>
  </si>
  <si>
    <t>No churn date for 1280 customer Ids</t>
  </si>
  <si>
    <t>Date numeric values, set it to date format , when checked each row showed date format but found small issue its not converting the values in the set format at present its in yyyy/mm/dd but i wanted to change it to yyyy-mm-dd, but its not changing</t>
  </si>
  <si>
    <t>C01272</t>
  </si>
  <si>
    <t>Active 
with date : 12
without date : 1246
Churned        
with date: 525
without date: 13</t>
  </si>
  <si>
    <t>Ravi Sharma</t>
  </si>
  <si>
    <t>2.6</t>
  </si>
  <si>
    <t>C01412</t>
  </si>
  <si>
    <t>Vikram Singh</t>
  </si>
  <si>
    <t>C01327</t>
  </si>
  <si>
    <t>27/10/2022</t>
  </si>
  <si>
    <t>C00558</t>
  </si>
  <si>
    <t>4 unique value because same plan name written differently example (Churned, churned, CHURNED) and so on hence 8 unique values</t>
  </si>
  <si>
    <t>Raw data had 8 Unique values after cleaning, 4 unique Churn Status
Active :1258
Churned: 538
Yes: 20
No:9
COUNTIF(Range, "Status")</t>
  </si>
  <si>
    <t>C00083</t>
  </si>
  <si>
    <t>Sneha Reddy</t>
  </si>
  <si>
    <t>08/10/2023</t>
  </si>
  <si>
    <t>C00330</t>
  </si>
  <si>
    <t>05/09/2026</t>
  </si>
  <si>
    <t>10 blank values and column have 5 unique values</t>
  </si>
  <si>
    <t>C01347</t>
  </si>
  <si>
    <t>2.9</t>
  </si>
  <si>
    <t>01/04/2025</t>
  </si>
  <si>
    <t>C00249</t>
  </si>
  <si>
    <t>Cleaning</t>
  </si>
  <si>
    <t>WEST</t>
  </si>
  <si>
    <t>Purpose</t>
  </si>
  <si>
    <t>Formula</t>
  </si>
  <si>
    <t>1. Trim</t>
  </si>
  <si>
    <t>To remove spaces</t>
  </si>
  <si>
    <t>C01043</t>
  </si>
  <si>
    <t>2. Text, number, date format</t>
  </si>
  <si>
    <t>To keep data in desired formats</t>
  </si>
  <si>
    <t>4.3</t>
  </si>
  <si>
    <t>3. To replace currency symbol</t>
  </si>
  <si>
    <t>To replace ₹</t>
  </si>
  <si>
    <t>//=IF(L2="","",VALUE(SUBSTITUTE(TRIM(L2),"₹","")))//</t>
  </si>
  <si>
    <t>C01040</t>
  </si>
  <si>
    <t>4. Captalisation correction, using PROPER</t>
  </si>
  <si>
    <t>Anita Reddy</t>
  </si>
  <si>
    <t>5. Churn Data</t>
  </si>
  <si>
    <t>with date</t>
  </si>
  <si>
    <t>02/02/2028</t>
  </si>
  <si>
    <t>2.3</t>
  </si>
  <si>
    <t>C00660</t>
  </si>
  <si>
    <t>C01209</t>
  </si>
  <si>
    <t>Rahul Sharma</t>
  </si>
  <si>
    <t>₹2,294</t>
  </si>
  <si>
    <t>30/01/2025</t>
  </si>
  <si>
    <t>C01419</t>
  </si>
  <si>
    <t>Mumbai</t>
  </si>
  <si>
    <t>without date</t>
  </si>
  <si>
    <t>C00466</t>
  </si>
  <si>
    <t>Arun Reddy</t>
  </si>
  <si>
    <t>4.6</t>
  </si>
  <si>
    <t>18/10/2025</t>
  </si>
  <si>
    <t>C00883</t>
  </si>
  <si>
    <t>C00945</t>
  </si>
  <si>
    <t>north</t>
  </si>
  <si>
    <t>C00936</t>
  </si>
  <si>
    <t>C01160</t>
  </si>
  <si>
    <t>Priya Kumar</t>
  </si>
  <si>
    <t>21/02/2024</t>
  </si>
  <si>
    <t>C00748</t>
  </si>
  <si>
    <t>south</t>
  </si>
  <si>
    <t>C00236</t>
  </si>
  <si>
    <t>Karan Kumar</t>
  </si>
  <si>
    <t xml:space="preserve">South </t>
  </si>
  <si>
    <t>3.1</t>
  </si>
  <si>
    <t>C00755</t>
  </si>
  <si>
    <t>Anita Singh</t>
  </si>
  <si>
    <t>C01436</t>
  </si>
  <si>
    <t>02/09/2022</t>
  </si>
  <si>
    <t>C00859</t>
  </si>
  <si>
    <t>Neha Nair</t>
  </si>
  <si>
    <t>C01405</t>
  </si>
  <si>
    <t>C00981</t>
  </si>
  <si>
    <t>06/08/2023</t>
  </si>
  <si>
    <t>C01157</t>
  </si>
  <si>
    <t>C00514</t>
  </si>
  <si>
    <t>Rahul Iyer</t>
  </si>
  <si>
    <t>C01078</t>
  </si>
  <si>
    <t xml:space="preserve"> C00939 </t>
  </si>
  <si>
    <t>Priya Sharma</t>
  </si>
  <si>
    <t xml:space="preserve">UPI </t>
  </si>
  <si>
    <t>C00259</t>
  </si>
  <si>
    <t xml:space="preserve"> Ravi Singh  </t>
  </si>
  <si>
    <t>C00695</t>
  </si>
  <si>
    <t>C00198</t>
  </si>
  <si>
    <t>Arun Iyer</t>
  </si>
  <si>
    <t>C01184</t>
  </si>
  <si>
    <t>Neha Das</t>
  </si>
  <si>
    <t>18/04/2024</t>
  </si>
  <si>
    <t>C00054</t>
  </si>
  <si>
    <t>Priya Patel</t>
  </si>
  <si>
    <t>Credit card</t>
  </si>
  <si>
    <t>₹591</t>
  </si>
  <si>
    <t>C01529</t>
  </si>
  <si>
    <t>Meera Sharma</t>
  </si>
  <si>
    <t>C00102</t>
  </si>
  <si>
    <t>Priya Reddy</t>
  </si>
  <si>
    <t>C00997</t>
  </si>
  <si>
    <t>C00360</t>
  </si>
  <si>
    <t>Arun Nair</t>
  </si>
  <si>
    <t>02/05/2027</t>
  </si>
  <si>
    <t>C01175</t>
  </si>
  <si>
    <t>C00821</t>
  </si>
  <si>
    <t>Priya Singh</t>
  </si>
  <si>
    <t>C00484</t>
  </si>
  <si>
    <t>Meera Nair</t>
  </si>
  <si>
    <t>09/02/2026</t>
  </si>
  <si>
    <t>C00662</t>
  </si>
  <si>
    <t>C00117</t>
  </si>
  <si>
    <t xml:space="preserve"> C01240 </t>
  </si>
  <si>
    <t>₹3,322</t>
  </si>
  <si>
    <t>09/10/2022</t>
  </si>
  <si>
    <t>C00326</t>
  </si>
  <si>
    <t>C00582</t>
  </si>
  <si>
    <t>26/12/2025</t>
  </si>
  <si>
    <t>C00262</t>
  </si>
  <si>
    <t>Neha Singh</t>
  </si>
  <si>
    <t>C00208</t>
  </si>
  <si>
    <t>Sneha Kumar</t>
  </si>
  <si>
    <t>C00910</t>
  </si>
  <si>
    <t>19/01/2025</t>
  </si>
  <si>
    <t>C00858</t>
  </si>
  <si>
    <t>4.9</t>
  </si>
  <si>
    <t>C00921</t>
  </si>
  <si>
    <t>28/08/2025</t>
  </si>
  <si>
    <t>C00653</t>
  </si>
  <si>
    <t>basic</t>
  </si>
  <si>
    <t>12/08/2023</t>
  </si>
  <si>
    <t>C00307</t>
  </si>
  <si>
    <t>C00034</t>
  </si>
  <si>
    <t>6</t>
  </si>
  <si>
    <t>01/11/2025</t>
  </si>
  <si>
    <t>C01581</t>
  </si>
  <si>
    <t>C00601</t>
  </si>
  <si>
    <t>Neha Iyer</t>
  </si>
  <si>
    <t>C00560</t>
  </si>
  <si>
    <t>C00882</t>
  </si>
  <si>
    <t>Rahul Nair</t>
  </si>
  <si>
    <t>41</t>
  </si>
  <si>
    <t>C01260</t>
  </si>
  <si>
    <t>16/05/2025</t>
  </si>
  <si>
    <t xml:space="preserve"> C01085 </t>
  </si>
  <si>
    <t>C00440</t>
  </si>
  <si>
    <t>C00595</t>
  </si>
  <si>
    <t>08/11/2025</t>
  </si>
  <si>
    <t>C00939</t>
  </si>
  <si>
    <t>C00756</t>
  </si>
  <si>
    <t>Karan Das</t>
  </si>
  <si>
    <t>C01316</t>
  </si>
  <si>
    <t>Ravi Singh</t>
  </si>
  <si>
    <t>12/03/2024</t>
  </si>
  <si>
    <t xml:space="preserve"> C00338 </t>
  </si>
  <si>
    <t>Vikram Sharma</t>
  </si>
  <si>
    <t>16/05/2024</t>
  </si>
  <si>
    <t>4.8</t>
  </si>
  <si>
    <t>14/09/2025</t>
  </si>
  <si>
    <t>C01266</t>
  </si>
  <si>
    <t>17/05/2025</t>
  </si>
  <si>
    <t>C00852</t>
  </si>
  <si>
    <t>Rahul Reddy</t>
  </si>
  <si>
    <t>03/01/2024</t>
  </si>
  <si>
    <t>C00496</t>
  </si>
  <si>
    <t>4.2</t>
  </si>
  <si>
    <t>C01563</t>
  </si>
  <si>
    <t>C00577</t>
  </si>
  <si>
    <t>Karan Reddy</t>
  </si>
  <si>
    <t>C01151</t>
  </si>
  <si>
    <t xml:space="preserve">premium </t>
  </si>
  <si>
    <t>C00672</t>
  </si>
  <si>
    <t>C00854</t>
  </si>
  <si>
    <t xml:space="preserve"> C01173 </t>
  </si>
  <si>
    <t>C01357</t>
  </si>
  <si>
    <t>₹680</t>
  </si>
  <si>
    <t>C00612</t>
  </si>
  <si>
    <t>Vikram Iyer</t>
  </si>
  <si>
    <t xml:space="preserve">Instagram </t>
  </si>
  <si>
    <t>C00778</t>
  </si>
  <si>
    <t>C01152</t>
  </si>
  <si>
    <t>Neha Kumar</t>
  </si>
  <si>
    <t>C00206</t>
  </si>
  <si>
    <t>22/12/2025</t>
  </si>
  <si>
    <t>C00476</t>
  </si>
  <si>
    <t>C01240</t>
  </si>
  <si>
    <t>monthly</t>
  </si>
  <si>
    <t>04/03/2023</t>
  </si>
  <si>
    <t>C00687</t>
  </si>
  <si>
    <t>24/07/2025</t>
  </si>
  <si>
    <t>C01472</t>
  </si>
  <si>
    <t>C00379</t>
  </si>
  <si>
    <t>C00128</t>
  </si>
  <si>
    <t>05/04/2026</t>
  </si>
  <si>
    <t>C00980</t>
  </si>
  <si>
    <t>C00915</t>
  </si>
  <si>
    <t>08/05/2023</t>
  </si>
  <si>
    <t>C01002</t>
  </si>
  <si>
    <t>C01185</t>
  </si>
  <si>
    <t>24/09/2024</t>
  </si>
  <si>
    <t>C00767</t>
  </si>
  <si>
    <t>C00261</t>
  </si>
  <si>
    <t xml:space="preserve"> NORTH</t>
  </si>
  <si>
    <t>C01485</t>
  </si>
  <si>
    <t>C00899</t>
  </si>
  <si>
    <t>Meera Reddy</t>
  </si>
  <si>
    <t>2.7</t>
  </si>
  <si>
    <t>C00453</t>
  </si>
  <si>
    <t>06/03/2028</t>
  </si>
  <si>
    <t>C01086</t>
  </si>
  <si>
    <t>C01235</t>
  </si>
  <si>
    <t>upi</t>
  </si>
  <si>
    <t>C01530</t>
  </si>
  <si>
    <t>2.5</t>
  </si>
  <si>
    <t>17/04/2024</t>
  </si>
  <si>
    <t>C01019</t>
  </si>
  <si>
    <t>Neha Patel</t>
  </si>
  <si>
    <t>17/04/2026</t>
  </si>
  <si>
    <t>C01187</t>
  </si>
  <si>
    <t>C00944</t>
  </si>
  <si>
    <t>C00845</t>
  </si>
  <si>
    <t>C01090</t>
  </si>
  <si>
    <t>17/08/2024</t>
  </si>
  <si>
    <t>C01270</t>
  </si>
  <si>
    <t>27/02/2023</t>
  </si>
  <si>
    <t>C00831</t>
  </si>
  <si>
    <t>C01418</t>
  </si>
  <si>
    <t>Arun Singh</t>
  </si>
  <si>
    <t>C01085</t>
  </si>
  <si>
    <t>20/10/2026</t>
  </si>
  <si>
    <t>C00158</t>
  </si>
  <si>
    <t>13/09/2024</t>
  </si>
  <si>
    <t>C00156</t>
  </si>
  <si>
    <t>Ravi Das</t>
  </si>
  <si>
    <t>Customer IDs Summary</t>
  </si>
  <si>
    <t>C01354</t>
  </si>
  <si>
    <t>C00011</t>
  </si>
  <si>
    <t xml:space="preserve"> Karan Sharma  </t>
  </si>
  <si>
    <t>Finding duplicate values for CUSTOMER IDs</t>
  </si>
  <si>
    <t>Investigation</t>
  </si>
  <si>
    <t>C00191</t>
  </si>
  <si>
    <t>Finding</t>
  </si>
  <si>
    <t>Action</t>
  </si>
  <si>
    <t>Exact duplicate records</t>
  </si>
  <si>
    <t>17/05/2024</t>
  </si>
  <si>
    <t>34 rows flagged; potentially 17 duplicate pairs</t>
  </si>
  <si>
    <t>Investigate before removal</t>
  </si>
  <si>
    <t>C01010</t>
  </si>
  <si>
    <t>Detection method</t>
  </si>
  <si>
    <t>Combined columns A:T using TEXTJOIN</t>
  </si>
  <si>
    <t>Counted matches using COUNTIF</t>
  </si>
  <si>
    <t>TEXTJOIN("|",FALSE, A130:T130)</t>
  </si>
  <si>
    <t>C00014</t>
  </si>
  <si>
    <t>COUNTIF($V$2:$V$1826, V130)</t>
  </si>
  <si>
    <t>STANDARD</t>
  </si>
  <si>
    <t>Decision</t>
  </si>
  <si>
    <t>Pending</t>
  </si>
  <si>
    <t>Preserve original data</t>
  </si>
  <si>
    <t>Metric</t>
  </si>
  <si>
    <t>C00654</t>
  </si>
  <si>
    <t>Interpretation</t>
  </si>
  <si>
    <t>Total records</t>
  </si>
  <si>
    <t>C00338</t>
  </si>
  <si>
    <t>C01451</t>
  </si>
  <si>
    <t>Total rows in the dataset</t>
  </si>
  <si>
    <t>Unique Customer_IDs</t>
  </si>
  <si>
    <t>Distinct IDs found</t>
  </si>
  <si>
    <t>Blank Customer_IDs</t>
  </si>
  <si>
    <t>No missing IDs</t>
  </si>
  <si>
    <t>C00773</t>
  </si>
  <si>
    <t>Rows identified as exact duplicates</t>
  </si>
  <si>
    <t>Records with repeated Customer_IDs</t>
  </si>
  <si>
    <t>IDs repeat across rows, but the other row values differ</t>
  </si>
  <si>
    <t>Duplicate values</t>
  </si>
  <si>
    <t>C00341</t>
  </si>
  <si>
    <t>1.7</t>
  </si>
  <si>
    <t>C01582</t>
  </si>
  <si>
    <t>C00990</t>
  </si>
  <si>
    <t>C01517</t>
  </si>
  <si>
    <t>28/09/2025</t>
  </si>
  <si>
    <t>C01009</t>
  </si>
  <si>
    <t>05/10/2023</t>
  </si>
  <si>
    <t>C01287</t>
  </si>
  <si>
    <t>C01374</t>
  </si>
  <si>
    <t>C01575</t>
  </si>
  <si>
    <t>C00931</t>
  </si>
  <si>
    <t>No</t>
  </si>
  <si>
    <t>C01543</t>
  </si>
  <si>
    <t>C00816</t>
  </si>
  <si>
    <t>C00489</t>
  </si>
  <si>
    <t>C00958</t>
  </si>
  <si>
    <t>C00532</t>
  </si>
  <si>
    <t>C01066</t>
  </si>
  <si>
    <t>C01137</t>
  </si>
  <si>
    <t>C00690</t>
  </si>
  <si>
    <t>54</t>
  </si>
  <si>
    <t>C00639</t>
  </si>
  <si>
    <t>C00781</t>
  </si>
  <si>
    <t>C00838</t>
  </si>
  <si>
    <t>C01599</t>
  </si>
  <si>
    <t>C01508</t>
  </si>
  <si>
    <t>C01456</t>
  </si>
  <si>
    <t>29/01/2024</t>
  </si>
  <si>
    <t>C01173</t>
  </si>
  <si>
    <t>Churn Details</t>
  </si>
  <si>
    <t>22/06/2024</t>
  </si>
  <si>
    <t>C00292</t>
  </si>
  <si>
    <t>Total Records</t>
  </si>
  <si>
    <t>Blank Churn_Date</t>
  </si>
  <si>
    <t>Churn_Date Filled</t>
  </si>
  <si>
    <t>C01497</t>
  </si>
  <si>
    <t>Satisfaction Score Details</t>
  </si>
  <si>
    <t>Column</t>
  </si>
  <si>
    <t>Expected scale: 0–10</t>
  </si>
  <si>
    <t>Observed minimum</t>
  </si>
  <si>
    <t>Observed maximum</t>
  </si>
  <si>
    <t>Missing values</t>
  </si>
  <si>
    <t>14 (from your earlier investigation)</t>
  </si>
  <si>
    <t>Validation status</t>
  </si>
  <si>
    <t>Check for values outside 0–10</t>
  </si>
  <si>
    <t>Yes 0-10</t>
  </si>
  <si>
    <t>Assumption for creating the Satisfactio group</t>
  </si>
  <si>
    <t>Satisfaction Group</t>
  </si>
  <si>
    <t>Score Range</t>
  </si>
  <si>
    <t>C01332</t>
  </si>
  <si>
    <t>2.2</t>
  </si>
  <si>
    <t>Low</t>
  </si>
  <si>
    <t>0 to below 3</t>
  </si>
  <si>
    <t>Organic search</t>
  </si>
  <si>
    <t>Moderate</t>
  </si>
  <si>
    <t>3 to below 5</t>
  </si>
  <si>
    <t>High</t>
  </si>
  <si>
    <t>5 to below 7</t>
  </si>
  <si>
    <t>Very High</t>
  </si>
  <si>
    <t>7 to 9</t>
  </si>
  <si>
    <t>Monthly Usuage Hours</t>
  </si>
  <si>
    <t>C00880</t>
  </si>
  <si>
    <t>Max Usuage Hours</t>
  </si>
  <si>
    <t>C00979</t>
  </si>
  <si>
    <t>C01250</t>
  </si>
  <si>
    <t xml:space="preserve"> C01496 </t>
  </si>
  <si>
    <t>Min Usuage Hours</t>
  </si>
  <si>
    <t>C00421</t>
  </si>
  <si>
    <t xml:space="preserve">Google Ads </t>
  </si>
  <si>
    <t>Average Usuage Hours</t>
  </si>
  <si>
    <t>C01165</t>
  </si>
  <si>
    <t>Median</t>
  </si>
  <si>
    <t>C01572</t>
  </si>
  <si>
    <t>C01202</t>
  </si>
  <si>
    <t>Unresolved Issues</t>
  </si>
  <si>
    <t>Ambiguous Yes and No statuses.</t>
  </si>
  <si>
    <t>Repeated customer IDs, which mean record counts may not equal unique customer counts.</t>
  </si>
  <si>
    <t>C01437</t>
  </si>
  <si>
    <t>Negative tenure values.</t>
  </si>
  <si>
    <t>Missing values in several columns.</t>
  </si>
  <si>
    <t>Yes or No Churned Status Details</t>
  </si>
  <si>
    <r>
      <rPr>
        <rFont val="Arial"/>
        <b/>
        <color theme="1"/>
      </rPr>
      <t xml:space="preserve">Data Quality Finding — </t>
    </r>
    <r>
      <rPr>
        <rFont val="Arial"/>
        <color theme="1"/>
      </rPr>
      <t>Unresolved Churn Status Values</t>
    </r>
  </si>
  <si>
    <r>
      <rPr>
        <rFont val="Arial"/>
        <b/>
        <color theme="1"/>
      </rPr>
      <t xml:space="preserve">Issue: </t>
    </r>
    <r>
      <rPr>
        <rFont val="Arial"/>
        <color theme="1"/>
      </rPr>
      <t>The Churn_Status column contains Yes and No values alongside Active and Churned.</t>
    </r>
  </si>
  <si>
    <t>15/05/2025</t>
  </si>
  <si>
    <t xml:space="preserve">ACTIVE </t>
  </si>
  <si>
    <r>
      <rPr>
        <rFont val="Arial"/>
        <b/>
        <color theme="1"/>
      </rPr>
      <t xml:space="preserve">Investigation: </t>
    </r>
    <r>
      <rPr>
        <rFont val="Arial"/>
        <color theme="1"/>
      </rPr>
      <t>Reviewed the records containing Yes and No, but could not establish a consistent relationship or determine their intended meaning from the available data.</t>
    </r>
  </si>
  <si>
    <r>
      <rPr>
        <rFont val="Arial"/>
        <b/>
        <color theme="1"/>
      </rPr>
      <t xml:space="preserve">Possible explanation: </t>
    </r>
    <r>
      <rPr>
        <rFont val="Arial"/>
        <color theme="1"/>
      </rPr>
      <t>These records may contain incorrect or inconsistently encoded status values. However, this remains an assumption and has not been verified.</t>
    </r>
  </si>
  <si>
    <t>Meera Patel</t>
  </si>
  <si>
    <r>
      <rPr>
        <rFont val="Arial"/>
        <b/>
        <color theme="1"/>
      </rPr>
      <t xml:space="preserve">Action taken: </t>
    </r>
    <r>
      <rPr>
        <rFont val="Arial"/>
        <color theme="1"/>
      </rPr>
      <t>Excluded Yes and No records from preliminary churn-rate calculations, while retaining them in the dataset for transparency.</t>
    </r>
  </si>
  <si>
    <r>
      <rPr>
        <rFont val="Arial"/>
        <b/>
        <color theme="1"/>
      </rPr>
      <t xml:space="preserve">Recommendation: </t>
    </r>
    <r>
      <rPr>
        <rFont val="Arial"/>
        <color theme="1"/>
      </rPr>
      <t>Confirm the status definitions with the data provider or consult the original data dictionary before including these records in the final churn analysis.</t>
    </r>
  </si>
  <si>
    <t>Negative Value in Tenure Months</t>
  </si>
  <si>
    <t>C01176</t>
  </si>
  <si>
    <t>Field</t>
  </si>
  <si>
    <t>Details to document</t>
  </si>
  <si>
    <t>Column Name</t>
  </si>
  <si>
    <t>C00460</t>
  </si>
  <si>
    <t>Data Quality Issue</t>
  </si>
  <si>
    <t>Negative values</t>
  </si>
  <si>
    <t>2 records have a tenure value of -3 months.</t>
  </si>
  <si>
    <t>Expected Condition</t>
  </si>
  <si>
    <t>Tenure should generally be zero or greater.</t>
  </si>
  <si>
    <t>09/01/2024</t>
  </si>
  <si>
    <t>Possible Cause</t>
  </si>
  <si>
    <t>Potential data-entry error, calculation issue, or incorrect source data. The actual cause is unconfirmed.</t>
  </si>
  <si>
    <t>Action Taken</t>
  </si>
  <si>
    <t>Flagged the records for review; values have not been changed or deleted.</t>
  </si>
  <si>
    <t>C00953</t>
  </si>
  <si>
    <t>Impact on Analysis</t>
  </si>
  <si>
    <t>Negative tenure values may distort tenure-group analysis and related churn conclusions.</t>
  </si>
  <si>
    <t>Recommendation</t>
  </si>
  <si>
    <t>Verify these records with the data source before correcting or excluding them.</t>
  </si>
  <si>
    <t>C01583</t>
  </si>
  <si>
    <t>GOOGLE ADS</t>
  </si>
  <si>
    <t>C00213</t>
  </si>
  <si>
    <t>C00196</t>
  </si>
  <si>
    <t>Anita Das</t>
  </si>
  <si>
    <t>C00928</t>
  </si>
  <si>
    <t>C00926</t>
  </si>
  <si>
    <t>Neha Reddy</t>
  </si>
  <si>
    <t>24/08/2022</t>
  </si>
  <si>
    <t>C00729</t>
  </si>
  <si>
    <t>Priya Nair</t>
  </si>
  <si>
    <t>06/02/2023</t>
  </si>
  <si>
    <t>C00127</t>
  </si>
  <si>
    <t>C00264</t>
  </si>
  <si>
    <t>29/05/2022</t>
  </si>
  <si>
    <t>C00564</t>
  </si>
  <si>
    <t>Ravi Nair</t>
  </si>
  <si>
    <t>C00282</t>
  </si>
  <si>
    <t>google ads</t>
  </si>
  <si>
    <t>C01029</t>
  </si>
  <si>
    <t xml:space="preserve"> Ravi Reddy  </t>
  </si>
  <si>
    <t>C01212</t>
  </si>
  <si>
    <t>Arun Sharma</t>
  </si>
  <si>
    <t>18/08/2025</t>
  </si>
  <si>
    <t>C00041</t>
  </si>
  <si>
    <t>C00149</t>
  </si>
  <si>
    <t xml:space="preserve">annual </t>
  </si>
  <si>
    <t>C00731</t>
  </si>
  <si>
    <t>C00512</t>
  </si>
  <si>
    <t xml:space="preserve">west </t>
  </si>
  <si>
    <t>C01479</t>
  </si>
  <si>
    <t>C00984</t>
  </si>
  <si>
    <t>25/12/2026</t>
  </si>
  <si>
    <t>C00176</t>
  </si>
  <si>
    <t>C01463</t>
  </si>
  <si>
    <t>10/10/2024</t>
  </si>
  <si>
    <t>C01285</t>
  </si>
  <si>
    <t>C01071</t>
  </si>
  <si>
    <t>C01172</t>
  </si>
  <si>
    <t>C00763</t>
  </si>
  <si>
    <t>14/03/2024</t>
  </si>
  <si>
    <t>C01239</t>
  </si>
  <si>
    <t>C00827</t>
  </si>
  <si>
    <t>C01302</t>
  </si>
  <si>
    <t>EXPLORATORY ANALYSIS</t>
  </si>
  <si>
    <t>C00584</t>
  </si>
  <si>
    <t xml:space="preserve"> Karan Kumar  </t>
  </si>
  <si>
    <t>31/08/2025</t>
  </si>
  <si>
    <t>C00271</t>
  </si>
  <si>
    <t>Does Contract type relate to Churn?</t>
  </si>
  <si>
    <t>01/10/2025</t>
  </si>
  <si>
    <t>C01278</t>
  </si>
  <si>
    <t>C00568</t>
  </si>
  <si>
    <t>02/09/2023</t>
  </si>
  <si>
    <t>18/01/2029</t>
  </si>
  <si>
    <t>C00371</t>
  </si>
  <si>
    <t>31/05/2025</t>
  </si>
  <si>
    <t>C00862</t>
  </si>
  <si>
    <t>C01395</t>
  </si>
  <si>
    <t>16/02/2023</t>
  </si>
  <si>
    <t>C01293</t>
  </si>
  <si>
    <t>05/05/2025</t>
  </si>
  <si>
    <t>C01421</t>
  </si>
  <si>
    <t>C01004</t>
  </si>
  <si>
    <t>C00769</t>
  </si>
  <si>
    <t>43</t>
  </si>
  <si>
    <t>C00972</t>
  </si>
  <si>
    <t>C00242</t>
  </si>
  <si>
    <t>C01017</t>
  </si>
  <si>
    <t>68</t>
  </si>
  <si>
    <t>C00525</t>
  </si>
  <si>
    <t>C01553</t>
  </si>
  <si>
    <t>2.8</t>
  </si>
  <si>
    <t>C00935</t>
  </si>
  <si>
    <t>04/05/2025</t>
  </si>
  <si>
    <t>C00372</t>
  </si>
  <si>
    <t>21/07/2026</t>
  </si>
  <si>
    <t>C00026</t>
  </si>
  <si>
    <t>C00024</t>
  </si>
  <si>
    <t>16/01/2023</t>
  </si>
  <si>
    <t xml:space="preserve"> C00482 </t>
  </si>
  <si>
    <t>C01125</t>
  </si>
  <si>
    <t>12/08/2026</t>
  </si>
  <si>
    <t xml:space="preserve"> Vikram Reddy  </t>
  </si>
  <si>
    <t>C00253</t>
  </si>
  <si>
    <t>C00356</t>
  </si>
  <si>
    <t xml:space="preserve"> C00283 </t>
  </si>
  <si>
    <t xml:space="preserve">Basic </t>
  </si>
  <si>
    <t>06/01/2025</t>
  </si>
  <si>
    <t>C01455</t>
  </si>
  <si>
    <t>C00052</t>
  </si>
  <si>
    <t>C00927</t>
  </si>
  <si>
    <t>C01131</t>
  </si>
  <si>
    <t>04/08/2026</t>
  </si>
  <si>
    <t>C00920</t>
  </si>
  <si>
    <t>C00956</t>
  </si>
  <si>
    <t>C01496</t>
  </si>
  <si>
    <t>07/08/2025</t>
  </si>
  <si>
    <t>C00451</t>
  </si>
  <si>
    <t>C01087</t>
  </si>
  <si>
    <t>20/08/2024</t>
  </si>
  <si>
    <t>C01483</t>
  </si>
  <si>
    <t>13/09/2026</t>
  </si>
  <si>
    <t>C01584</t>
  </si>
  <si>
    <t>C00078</t>
  </si>
  <si>
    <t>Sneha Das</t>
  </si>
  <si>
    <t>C01379</t>
  </si>
  <si>
    <t>Priya Iyer</t>
  </si>
  <si>
    <t>C00023</t>
  </si>
  <si>
    <t xml:space="preserve"> Ravi Nair  </t>
  </si>
  <si>
    <t>C01376</t>
  </si>
  <si>
    <t>30/12/2025</t>
  </si>
  <si>
    <t>C00996</t>
  </si>
  <si>
    <t>C01459</t>
  </si>
  <si>
    <t>C00168</t>
  </si>
  <si>
    <t>27/05/2026</t>
  </si>
  <si>
    <t>C01130</t>
  </si>
  <si>
    <t xml:space="preserve"> C00746 </t>
  </si>
  <si>
    <t>49</t>
  </si>
  <si>
    <t>C01329</t>
  </si>
  <si>
    <t>09/09/2026</t>
  </si>
  <si>
    <t>C00516</t>
  </si>
  <si>
    <t>28/05/2024</t>
  </si>
  <si>
    <t>C00434</t>
  </si>
  <si>
    <t>C00046</t>
  </si>
  <si>
    <t>C01155</t>
  </si>
  <si>
    <t>26/05/2025</t>
  </si>
  <si>
    <t>C00975</t>
  </si>
  <si>
    <t>₹499</t>
  </si>
  <si>
    <t>C00879</t>
  </si>
  <si>
    <t>07/06/2026</t>
  </si>
  <si>
    <t xml:space="preserve"> C01226 </t>
  </si>
  <si>
    <t>C01335</t>
  </si>
  <si>
    <t>C00991</t>
  </si>
  <si>
    <t>16/04/2027</t>
  </si>
  <si>
    <t>C01128</t>
  </si>
  <si>
    <t>26/02/2022</t>
  </si>
  <si>
    <t xml:space="preserve"> C01484 </t>
  </si>
  <si>
    <t>12/04/2027</t>
  </si>
  <si>
    <t>C00586</t>
  </si>
  <si>
    <t>C00724</t>
  </si>
  <si>
    <t>₹1,561</t>
  </si>
  <si>
    <t>C00399</t>
  </si>
  <si>
    <t>C00513</t>
  </si>
  <si>
    <t>11/07/2023</t>
  </si>
  <si>
    <t>C01387</t>
  </si>
  <si>
    <t>C00643</t>
  </si>
  <si>
    <t>04/10/2022</t>
  </si>
  <si>
    <t>C00563</t>
  </si>
  <si>
    <t>C00807</t>
  </si>
  <si>
    <t>COUNTA of Customer_ID</t>
  </si>
  <si>
    <t>C00384</t>
  </si>
  <si>
    <t>C01171</t>
  </si>
  <si>
    <t>Preliminary Churn Rate</t>
  </si>
  <si>
    <t>C00276</t>
  </si>
  <si>
    <t>C00533</t>
  </si>
  <si>
    <t>C00358</t>
  </si>
  <si>
    <t>C01067</t>
  </si>
  <si>
    <t>04/07/2022</t>
  </si>
  <si>
    <t>C01124</t>
  </si>
  <si>
    <t>C01284</t>
  </si>
  <si>
    <t>Interpret the results</t>
  </si>
  <si>
    <t>Three initial observations:</t>
  </si>
  <si>
    <t>C01211</t>
  </si>
  <si>
    <t>Annual contracts: Highest preliminary churn rate at 31.39%.</t>
  </si>
  <si>
    <t>25/04/2026</t>
  </si>
  <si>
    <t>Monthly contracts: 30.68%, close to annual contracts.</t>
  </si>
  <si>
    <t>Quarterly contracts: Lowest preliminary churn rate at 26.95%.</t>
  </si>
  <si>
    <t>C00022</t>
  </si>
  <si>
    <t>Annual contracts have the highest rate in this comparison, but we cannot yet conclude that annual contracts cause more churn. We need to validate the labels and investigate other factors before making a business recommendation.</t>
  </si>
  <si>
    <t>Also, your dataset has repeated Customer_IDs, so these rates currently describe records, not necessarily unique customers.</t>
  </si>
  <si>
    <t>C01123</t>
  </si>
  <si>
    <t>Karan Singh</t>
  </si>
  <si>
    <t>Does Plan relate to Churn?</t>
  </si>
  <si>
    <t>C01059</t>
  </si>
  <si>
    <t>C01008</t>
  </si>
  <si>
    <t xml:space="preserve">credit card </t>
  </si>
  <si>
    <t>C01011</t>
  </si>
  <si>
    <t>C00963</t>
  </si>
  <si>
    <t>C01506</t>
  </si>
  <si>
    <t>C00407</t>
  </si>
  <si>
    <t>C01191</t>
  </si>
  <si>
    <t>C00220</t>
  </si>
  <si>
    <t>03/10/2026</t>
  </si>
  <si>
    <t>C01145</t>
  </si>
  <si>
    <t>C00606</t>
  </si>
  <si>
    <t>C00794</t>
  </si>
  <si>
    <t>C00414</t>
  </si>
  <si>
    <t>₹835</t>
  </si>
  <si>
    <t>20/09/2026</t>
  </si>
  <si>
    <t>C00027</t>
  </si>
  <si>
    <t xml:space="preserve"> Anita Kumar  </t>
  </si>
  <si>
    <t>11/09/2023</t>
  </si>
  <si>
    <t>C01504</t>
  </si>
  <si>
    <t>C01535</t>
  </si>
  <si>
    <t xml:space="preserve"> C01347 </t>
  </si>
  <si>
    <t>27/01/2026</t>
  </si>
  <si>
    <t>27/04/2024</t>
  </si>
  <si>
    <t>active</t>
  </si>
  <si>
    <t>C00045</t>
  </si>
  <si>
    <t>C00446</t>
  </si>
  <si>
    <t>C00890</t>
  </si>
  <si>
    <t>16/01/2026</t>
  </si>
  <si>
    <t>C00670</t>
  </si>
  <si>
    <t>30/06/2025</t>
  </si>
  <si>
    <t>18/06/2026</t>
  </si>
  <si>
    <t>C01150</t>
  </si>
  <si>
    <t>C01217</t>
  </si>
  <si>
    <t>C00231</t>
  </si>
  <si>
    <t>C00418</t>
  </si>
  <si>
    <t>C00412</t>
  </si>
  <si>
    <t>C01042</t>
  </si>
  <si>
    <t>C00311</t>
  </si>
  <si>
    <t>24/05/2025</t>
  </si>
  <si>
    <t>15/11/2025</t>
  </si>
  <si>
    <t>C00139</t>
  </si>
  <si>
    <t>06/01/2023</t>
  </si>
  <si>
    <t>C01562</t>
  </si>
  <si>
    <t>C00900</t>
  </si>
  <si>
    <t>01/07/2026</t>
  </si>
  <si>
    <t>C01099</t>
  </si>
  <si>
    <t>C00624</t>
  </si>
  <si>
    <t>9</t>
  </si>
  <si>
    <t>C00278</t>
  </si>
  <si>
    <t>C01574</t>
  </si>
  <si>
    <t>06/07/2023</t>
  </si>
  <si>
    <t>C00241</t>
  </si>
  <si>
    <t xml:space="preserve"> Meera Nair  </t>
  </si>
  <si>
    <t>C00930</t>
  </si>
  <si>
    <t>08/04/2023</t>
  </si>
  <si>
    <t>C00076</t>
  </si>
  <si>
    <t>C00482</t>
  </si>
  <si>
    <t>01/05/2022</t>
  </si>
  <si>
    <t>C01423</t>
  </si>
  <si>
    <t>C01448</t>
  </si>
  <si>
    <t>C01148</t>
  </si>
  <si>
    <t>₹1,306</t>
  </si>
  <si>
    <t>25/09/2024</t>
  </si>
  <si>
    <t>C00948</t>
  </si>
  <si>
    <t>C00064</t>
  </si>
  <si>
    <t>C00487</t>
  </si>
  <si>
    <t>C01025</t>
  </si>
  <si>
    <t>C00283</t>
  </si>
  <si>
    <t>19/06/2026</t>
  </si>
  <si>
    <t>C01462</t>
  </si>
  <si>
    <t>07/07/2026</t>
  </si>
  <si>
    <t>C00658</t>
  </si>
  <si>
    <t>1.8</t>
  </si>
  <si>
    <t>C00424</t>
  </si>
  <si>
    <t>C01384</t>
  </si>
  <si>
    <t>C00161</t>
  </si>
  <si>
    <t>organic search</t>
  </si>
  <si>
    <t>The Premium plan has the highest preliminary churn rate (32.18%), compared with Standard (30.38%) and Basic (28.38%).</t>
  </si>
  <si>
    <t>C00529</t>
  </si>
  <si>
    <t>Business implication: Investigate whether Premium customers experience issues with pricing, product value, service quality, or expectations.</t>
  </si>
  <si>
    <t>Limitation: These rates use records labelled Active and Churned only. They exclude 29 records labelled Yes/No and count records rather than verified unique customers. Further investigation is needed before drawing firm conclusions.</t>
  </si>
  <si>
    <t>Does Satisfaction score relate to Churn?</t>
  </si>
  <si>
    <t>C01238</t>
  </si>
  <si>
    <t>C01515</t>
  </si>
  <si>
    <t xml:space="preserve"> Priya Sharma  </t>
  </si>
  <si>
    <t>C01013</t>
  </si>
  <si>
    <t>17/11/2027</t>
  </si>
  <si>
    <t>C00401</t>
  </si>
  <si>
    <t>21/02/2026</t>
  </si>
  <si>
    <t>C00603</t>
  </si>
  <si>
    <t>C01281</t>
  </si>
  <si>
    <t>C00869</t>
  </si>
  <si>
    <t>C00968</t>
  </si>
  <si>
    <t>C01424</t>
  </si>
  <si>
    <t>C00994</t>
  </si>
  <si>
    <t>20/08/2023</t>
  </si>
  <si>
    <t>C01251</t>
  </si>
  <si>
    <t>C00642</t>
  </si>
  <si>
    <t>C00189</t>
  </si>
  <si>
    <t>12/06/2026</t>
  </si>
  <si>
    <t>C00604</t>
  </si>
  <si>
    <t>20/05/2025</t>
  </si>
  <si>
    <t xml:space="preserve"> C00682 </t>
  </si>
  <si>
    <t>C01258</t>
  </si>
  <si>
    <t>C00746</t>
  </si>
  <si>
    <t>C01558</t>
  </si>
  <si>
    <t xml:space="preserve"> Anita Nair  </t>
  </si>
  <si>
    <t>C00287</t>
  </si>
  <si>
    <t>C00692</t>
  </si>
  <si>
    <t>C01340</t>
  </si>
  <si>
    <t>C01192</t>
  </si>
  <si>
    <t>C01254</t>
  </si>
  <si>
    <t>1.9</t>
  </si>
  <si>
    <t>C00567</t>
  </si>
  <si>
    <t>C00685</t>
  </si>
  <si>
    <t>C00668</t>
  </si>
  <si>
    <t>C00993</t>
  </si>
  <si>
    <t>C01226</t>
  </si>
  <si>
    <t>C01133</t>
  </si>
  <si>
    <t>C00456</t>
  </si>
  <si>
    <t>31/05/2023</t>
  </si>
  <si>
    <t>C01144</t>
  </si>
  <si>
    <t>C00608</t>
  </si>
  <si>
    <t>06/06/2025</t>
  </si>
  <si>
    <t>C00954</t>
  </si>
  <si>
    <t>C01511</t>
  </si>
  <si>
    <t>C01454</t>
  </si>
  <si>
    <t>06/05/2026</t>
  </si>
  <si>
    <t>48</t>
  </si>
  <si>
    <t>C00628</t>
  </si>
  <si>
    <t>C00764</t>
  </si>
  <si>
    <t>13/02/2023</t>
  </si>
  <si>
    <t>C01326</t>
  </si>
  <si>
    <t>C01389</t>
  </si>
  <si>
    <t xml:space="preserve"> C00172 </t>
  </si>
  <si>
    <t>28</t>
  </si>
  <si>
    <t>C00791</t>
  </si>
  <si>
    <t>20/11/2025</t>
  </si>
  <si>
    <t>C01493</t>
  </si>
  <si>
    <t>Low satisfaction has the highest preliminary churn rate.</t>
  </si>
  <si>
    <t>Low: 31.46%</t>
  </si>
  <si>
    <t>C00849</t>
  </si>
  <si>
    <t>Moderate: 29.44%</t>
  </si>
  <si>
    <t xml:space="preserve">BASIC </t>
  </si>
  <si>
    <t>High: 27.27%</t>
  </si>
  <si>
    <t>The preliminary churn rate decreases as satisfaction increases across these three groups.</t>
  </si>
  <si>
    <t>The difference between Low and High is 4.19 percentage points.</t>
  </si>
  <si>
    <t>C01516</t>
  </si>
  <si>
    <t>This suggests a possible relationship between customer satisfaction and churn.</t>
  </si>
  <si>
    <t>Very High satisfaction needs more data.</t>
  </si>
  <si>
    <t>Only four records appear in this group. Its 25% rate is based on one churned record, so we shouldn't draw meaningful conclusions from it.</t>
  </si>
  <si>
    <t>Item</t>
  </si>
  <si>
    <t>C00059</t>
  </si>
  <si>
    <t>Business question</t>
  </si>
  <si>
    <t>Is customer satisfaction associated with churn?</t>
  </si>
  <si>
    <t>Observation</t>
  </si>
  <si>
    <t>Low satisfaction has a higher preliminary churn rate than Moderate and High satisfaction.</t>
  </si>
  <si>
    <t>Highest preliminary rate</t>
  </si>
  <si>
    <t>C00036</t>
  </si>
  <si>
    <t>Lowest preliminary rate</t>
  </si>
  <si>
    <t>Very High: 25.00%, based on only 4 records</t>
  </si>
  <si>
    <t>Business implication</t>
  </si>
  <si>
    <t>Investigate whether service improvements could help retain dissatisfied customers.</t>
  </si>
  <si>
    <t>Limitation</t>
  </si>
  <si>
    <t>21/08/2024</t>
  </si>
  <si>
    <t>These rates are based on records, not verified unique customers; the Yes and No statuses are excluded.</t>
  </si>
  <si>
    <t>C00598</t>
  </si>
  <si>
    <t>Does Customer Complaints relate to Churn?</t>
  </si>
  <si>
    <t>19/04/2024</t>
  </si>
  <si>
    <t>C00295</t>
  </si>
  <si>
    <t>06/12/2022</t>
  </si>
  <si>
    <t>C01525</t>
  </si>
  <si>
    <t>23</t>
  </si>
  <si>
    <t>₹563</t>
  </si>
  <si>
    <t>C00088</t>
  </si>
  <si>
    <t>₹559</t>
  </si>
  <si>
    <t>25/10/2022</t>
  </si>
  <si>
    <t>C00901</t>
  </si>
  <si>
    <t>C00877</t>
  </si>
  <si>
    <t>C00245</t>
  </si>
  <si>
    <t>20/07/2024</t>
  </si>
  <si>
    <t>C00571</t>
  </si>
  <si>
    <t>27/09/2026</t>
  </si>
  <si>
    <t>C01557</t>
  </si>
  <si>
    <t>C00786</t>
  </si>
  <si>
    <t>C01466</t>
  </si>
  <si>
    <t>C01014</t>
  </si>
  <si>
    <t>C00200</t>
  </si>
  <si>
    <t>28/02/2026</t>
  </si>
  <si>
    <t>C01169</t>
  </si>
  <si>
    <t>58</t>
  </si>
  <si>
    <t>C00410</t>
  </si>
  <si>
    <t>02/09/2025</t>
  </si>
  <si>
    <t>38</t>
  </si>
  <si>
    <t>C00894</t>
  </si>
  <si>
    <t>C01233</t>
  </si>
  <si>
    <t>C01069</t>
  </si>
  <si>
    <t>17/12/2025</t>
  </si>
  <si>
    <t>C00359</t>
  </si>
  <si>
    <t>C00297</t>
  </si>
  <si>
    <t>C01404</t>
  </si>
  <si>
    <t>15/10/2022</t>
  </si>
  <si>
    <t>C01571</t>
  </si>
  <si>
    <t>19/02/2027</t>
  </si>
  <si>
    <t>C00721</t>
  </si>
  <si>
    <t>C01180</t>
  </si>
  <si>
    <t>10/05/2026</t>
  </si>
  <si>
    <t>C00671</t>
  </si>
  <si>
    <t>31/08/2024</t>
  </si>
  <si>
    <t xml:space="preserve"> Arun Das  </t>
  </si>
  <si>
    <t>instagram</t>
  </si>
  <si>
    <t>C00243</t>
  </si>
  <si>
    <t>06/03/2024</t>
  </si>
  <si>
    <t>C01461</t>
  </si>
  <si>
    <t>C00074</t>
  </si>
  <si>
    <t>09/01/2025</t>
  </si>
  <si>
    <t>C00254</t>
  </si>
  <si>
    <t>30/11/2023</t>
  </si>
  <si>
    <t>C00943</t>
  </si>
  <si>
    <t>09/07/2026</t>
  </si>
  <si>
    <t>C00795</t>
  </si>
  <si>
    <t>13/10/2023</t>
  </si>
  <si>
    <t>C01072</t>
  </si>
  <si>
    <t>04/07/2023</t>
  </si>
  <si>
    <t>23/06/2025</t>
  </si>
  <si>
    <t>C00033</t>
  </si>
  <si>
    <t>Zero complaints: 29.22% preliminary churn rate.</t>
  </si>
  <si>
    <t>One to three complaints: Rates are quite similar, between 29.80% and 30.21%.</t>
  </si>
  <si>
    <t>Four or more complaints: The rates increase, but the number of records is very small.</t>
  </si>
  <si>
    <t>Six complaints: Only one record exists, so its 100% rate is not reliable evidence of a broader pattern.</t>
  </si>
  <si>
    <t>Preliminary finding: The data does not show a substantial difference in churn rates between customers with zero complaints and those with one to three complaints. Higher complaint counts show higher rates, but the sample sizes are too small to draw a reliable conclusion for four or more complaints.</t>
  </si>
  <si>
    <t>C00239</t>
  </si>
  <si>
    <t>Also, this is an association—not proof that complaints cause churn. We haven't established whether complaints occurred before the customer churned.</t>
  </si>
  <si>
    <t>Does Customer Complaints and Satisfaction both relate to Churn?</t>
  </si>
  <si>
    <t>C01292</t>
  </si>
  <si>
    <t>20/01/2028</t>
  </si>
  <si>
    <t>C00039</t>
  </si>
  <si>
    <t>C00962</t>
  </si>
  <si>
    <t>C00207</t>
  </si>
  <si>
    <t>07/04/2025</t>
  </si>
  <si>
    <t xml:space="preserve"> C01265 </t>
  </si>
  <si>
    <t>11/04/2024</t>
  </si>
  <si>
    <t>C01548</t>
  </si>
  <si>
    <t>C01561</t>
  </si>
  <si>
    <t>C00351</t>
  </si>
  <si>
    <t>C00940</t>
  </si>
  <si>
    <t>₹534</t>
  </si>
  <si>
    <t>22/05/2024</t>
  </si>
  <si>
    <t>C01177</t>
  </si>
  <si>
    <t>21/01/2026</t>
  </si>
  <si>
    <t>C01115</t>
  </si>
  <si>
    <t>28/08/2026</t>
  </si>
  <si>
    <t>11/05/2022</t>
  </si>
  <si>
    <t xml:space="preserve"> Anita Singh  </t>
  </si>
  <si>
    <t>C01205</t>
  </si>
  <si>
    <t>C00265</t>
  </si>
  <si>
    <t>37</t>
  </si>
  <si>
    <t>C00005</t>
  </si>
  <si>
    <t>C01034</t>
  </si>
  <si>
    <t>26/01/2024</t>
  </si>
  <si>
    <t>C01552</t>
  </si>
  <si>
    <t>C00174</t>
  </si>
  <si>
    <t>C01110</t>
  </si>
  <si>
    <t>C00611</t>
  </si>
  <si>
    <t>25/12/2025</t>
  </si>
  <si>
    <t>C00952</t>
  </si>
  <si>
    <t>C01154</t>
  </si>
  <si>
    <t>20/03/2023</t>
  </si>
  <si>
    <t>C00504</t>
  </si>
  <si>
    <t>11/01/2024</t>
  </si>
  <si>
    <t>C01573</t>
  </si>
  <si>
    <t>C00480</t>
  </si>
  <si>
    <t>C00350</t>
  </si>
  <si>
    <t>C01259</t>
  </si>
  <si>
    <t>19/03/2027</t>
  </si>
  <si>
    <t>C01478</t>
  </si>
  <si>
    <t>C00153</t>
  </si>
  <si>
    <t>21/09/2023</t>
  </si>
  <si>
    <t>C01265</t>
  </si>
  <si>
    <t>C00911</t>
  </si>
  <si>
    <t>C00703</t>
  </si>
  <si>
    <t xml:space="preserve"> C00141 </t>
  </si>
  <si>
    <t xml:space="preserve"> Sneha Reddy  </t>
  </si>
  <si>
    <t>C00378</t>
  </si>
  <si>
    <t>C00449</t>
  </si>
  <si>
    <t>Observation 1: Moderate satisfaction dominates</t>
  </si>
  <si>
    <t>C00431</t>
  </si>
  <si>
    <t>For customers with 0–3 complaints, Moderate is the largest satisfaction group.</t>
  </si>
  <si>
    <t>For example:</t>
  </si>
  <si>
    <t>Zero complaints: 463 Moderate, 152 Low.</t>
  </si>
  <si>
    <t>One complaint: 466 Moderate, 115 Low.</t>
  </si>
  <si>
    <t>Two complaints: 218 Moderate, 67 Low.</t>
  </si>
  <si>
    <t>C01091</t>
  </si>
  <si>
    <t>Three complaints: 71 Moderate, 17 Low.</t>
  </si>
  <si>
    <t>However, these are record counts, not churn rates. We cannot conclude that Moderate satisfaction customers are more or less likely to churn from this pivot alone.</t>
  </si>
  <si>
    <t>Observation 2: High complaint counts have very few records</t>
  </si>
  <si>
    <t>05/11/2026</t>
  </si>
  <si>
    <t>At four complaints, there are only 17 records across all satisfaction groups. At five complaints, there are only five, and at six complaints, only one.</t>
  </si>
  <si>
    <t>C01290</t>
  </si>
  <si>
    <t>Therefore, we should avoid drawing strong conclusions about customers with four or more complaints.</t>
  </si>
  <si>
    <t>Observation 3: We still haven't answered the churn question</t>
  </si>
  <si>
    <t>21/01/2025</t>
  </si>
  <si>
    <t>This pivot shows the relationship between complaint count and satisfaction group, but it does not show whether customers in each combination are Active or Churned.</t>
  </si>
  <si>
    <t>We need to connect all three variables:</t>
  </si>
  <si>
    <t>Satisfaction group</t>
  </si>
  <si>
    <t>C01022</t>
  </si>
  <si>
    <t>Churn status</t>
  </si>
  <si>
    <t>Investigate whether the relationship between complaints and churn differs by satisfaction level.</t>
  </si>
  <si>
    <t>C00481</t>
  </si>
  <si>
    <t>22/06/2025</t>
  </si>
  <si>
    <t>C01196</t>
  </si>
  <si>
    <t>C00479</t>
  </si>
  <si>
    <t>C01119</t>
  </si>
  <si>
    <t>08/01/2024</t>
  </si>
  <si>
    <t>C00535</t>
  </si>
  <si>
    <t>07/03/2026</t>
  </si>
  <si>
    <t>C00682</t>
  </si>
  <si>
    <t>C00768</t>
  </si>
  <si>
    <t>30/04/2023</t>
  </si>
  <si>
    <t>C00066</t>
  </si>
  <si>
    <t>28/05/2027</t>
  </si>
  <si>
    <t>CHURNED</t>
  </si>
  <si>
    <t>C00973</t>
  </si>
  <si>
    <t>18/06/2023</t>
  </si>
  <si>
    <t>C00565</t>
  </si>
  <si>
    <t>C00590</t>
  </si>
  <si>
    <t>C01431</t>
  </si>
  <si>
    <t>C00157</t>
  </si>
  <si>
    <t>C00813</t>
  </si>
  <si>
    <t>C00572</t>
  </si>
  <si>
    <t>C00734</t>
  </si>
  <si>
    <t>63</t>
  </si>
  <si>
    <t>C00452</t>
  </si>
  <si>
    <t>₹840</t>
  </si>
  <si>
    <t>27/12/2025</t>
  </si>
  <si>
    <t>C01032</t>
  </si>
  <si>
    <t>29/03/2027</t>
  </si>
  <si>
    <t>C01501</t>
  </si>
  <si>
    <t>30</t>
  </si>
  <si>
    <t>17/10/2025</t>
  </si>
  <si>
    <t>C00133</t>
  </si>
  <si>
    <t>30/05/2026</t>
  </si>
  <si>
    <t>C00638</t>
  </si>
  <si>
    <t>C00774</t>
  </si>
  <si>
    <t>C00313</t>
  </si>
  <si>
    <t>C00333</t>
  </si>
  <si>
    <t>C01026</t>
  </si>
  <si>
    <t>C00406</t>
  </si>
  <si>
    <t>C01304</t>
  </si>
  <si>
    <t>C01363</t>
  </si>
  <si>
    <t>C01397</t>
  </si>
  <si>
    <t>C00053</t>
  </si>
  <si>
    <t>61</t>
  </si>
  <si>
    <t>C00035</t>
  </si>
  <si>
    <t>12/04/2024</t>
  </si>
  <si>
    <t>C00914</t>
  </si>
  <si>
    <t>C00172</t>
  </si>
  <si>
    <t>33</t>
  </si>
  <si>
    <t>C01319</t>
  </si>
  <si>
    <t>C00183</t>
  </si>
  <si>
    <t>C00868</t>
  </si>
  <si>
    <t xml:space="preserve"> Arun Nair  </t>
  </si>
  <si>
    <t>1.3</t>
  </si>
  <si>
    <t>C01024</t>
  </si>
  <si>
    <t>C01443</t>
  </si>
  <si>
    <t>C00111</t>
  </si>
  <si>
    <t>C01390</t>
  </si>
  <si>
    <t>Three observations stand out:</t>
  </si>
  <si>
    <t>Low satisfaction: 30.80% preliminary churn rate.</t>
  </si>
  <si>
    <t>Moderate satisfaction: 29.26% preliminary churn rate.</t>
  </si>
  <si>
    <t>High satisfaction: 29.85% preliminary churn rate.</t>
  </si>
  <si>
    <t>C00889</t>
  </si>
  <si>
    <t>The differences are relatively small. Low satisfaction has the highest rate among these three groups, but this pivot alone does not establish a strong relationship between satisfaction and churn.</t>
  </si>
  <si>
    <t>Important limitation: We filtered the data to customers with zero or one complaint, but the pivot combines those two complaint counts. We therefore cannot tell whether the relationship differs between customers with zero complaints and those with one.</t>
  </si>
  <si>
    <t>Also, these are record-based rates, not necessarily unique-customer churn rates, because the dataset contains repeated customer IDs.</t>
  </si>
  <si>
    <t>Zero Complaint</t>
  </si>
  <si>
    <t>C01215</t>
  </si>
  <si>
    <t>17/10/2028</t>
  </si>
  <si>
    <t xml:space="preserve"> C01071 </t>
  </si>
  <si>
    <t>C00736</t>
  </si>
  <si>
    <t>C00561</t>
  </si>
  <si>
    <t>02/06/2024</t>
  </si>
  <si>
    <t>C00578</t>
  </si>
  <si>
    <t>C00020</t>
  </si>
  <si>
    <t>26/10/2023</t>
  </si>
  <si>
    <t>C00725</t>
  </si>
  <si>
    <t>18/09/2026</t>
  </si>
  <si>
    <t>C01495</t>
  </si>
  <si>
    <t>7</t>
  </si>
  <si>
    <t>C01430</t>
  </si>
  <si>
    <t>04/01/2026</t>
  </si>
  <si>
    <t>C01084</t>
  </si>
  <si>
    <t>C00223</t>
  </si>
  <si>
    <t>C00065</t>
  </si>
  <si>
    <t>C00270</t>
  </si>
  <si>
    <t>C00394</t>
  </si>
  <si>
    <t>C00875</t>
  </si>
  <si>
    <t>C00435</t>
  </si>
  <si>
    <t>₹750</t>
  </si>
  <si>
    <t>C01578</t>
  </si>
  <si>
    <t>03/10/2027</t>
  </si>
  <si>
    <t>C00268</t>
  </si>
  <si>
    <t>C01093</t>
  </si>
  <si>
    <t>59</t>
  </si>
  <si>
    <t>C01051</t>
  </si>
  <si>
    <t>C00569</t>
  </si>
  <si>
    <t>05/08/2026</t>
  </si>
  <si>
    <t>C00541</t>
  </si>
  <si>
    <t>C00218</t>
  </si>
  <si>
    <t>₹2,663</t>
  </si>
  <si>
    <t>28/11/2024</t>
  </si>
  <si>
    <t>C01408</t>
  </si>
  <si>
    <t>04/11/2023</t>
  </si>
  <si>
    <t>C00028</t>
  </si>
  <si>
    <t>25/09/2023</t>
  </si>
  <si>
    <t>C00211</t>
  </si>
  <si>
    <t>C00348</t>
  </si>
  <si>
    <t>C01229</t>
  </si>
  <si>
    <t>1.4</t>
  </si>
  <si>
    <t>12/06/2028</t>
  </si>
  <si>
    <t>C01094</t>
  </si>
  <si>
    <t>11/06/2024</t>
  </si>
  <si>
    <t>07/11/2024</t>
  </si>
  <si>
    <t>C00301</t>
  </si>
  <si>
    <t>14/10/2024</t>
  </si>
  <si>
    <t>30/06/2027</t>
  </si>
  <si>
    <t>C00743</t>
  </si>
  <si>
    <t>One Complaint</t>
  </si>
  <si>
    <t>C00266</t>
  </si>
  <si>
    <t>10/08/2023</t>
  </si>
  <si>
    <t>C00738</t>
  </si>
  <si>
    <t>C01121</t>
  </si>
  <si>
    <t>C00970</t>
  </si>
  <si>
    <t>23/08/2025</t>
  </si>
  <si>
    <t>C00325</t>
  </si>
  <si>
    <t>07/03/2024</t>
  </si>
  <si>
    <t>C00299</t>
  </si>
  <si>
    <t>25/03/2024</t>
  </si>
  <si>
    <t>C00517</t>
  </si>
  <si>
    <t>C00190</t>
  </si>
  <si>
    <t>C00021</t>
  </si>
  <si>
    <t>C00233</t>
  </si>
  <si>
    <t>₹1,591</t>
  </si>
  <si>
    <t>C01231</t>
  </si>
  <si>
    <t>12/08/2027</t>
  </si>
  <si>
    <t>C00848</t>
  </si>
  <si>
    <t>03/10/2025</t>
  </si>
  <si>
    <t>C01112</t>
  </si>
  <si>
    <t>C00843</t>
  </si>
  <si>
    <t>C00896</t>
  </si>
  <si>
    <t>C00383</t>
  </si>
  <si>
    <t>30/09/2023</t>
  </si>
  <si>
    <t>C00212</t>
  </si>
  <si>
    <t>C01061</t>
  </si>
  <si>
    <t>15/06/2026</t>
  </si>
  <si>
    <t>C00340</t>
  </si>
  <si>
    <t>12/11/2026</t>
  </si>
  <si>
    <t>C00343</t>
  </si>
  <si>
    <t>C00136</t>
  </si>
  <si>
    <t>C00037</t>
  </si>
  <si>
    <t>06/05/2024</t>
  </si>
  <si>
    <t>C00459</t>
  </si>
  <si>
    <t>C00227</t>
  </si>
  <si>
    <t>17/09/2026</t>
  </si>
  <si>
    <t>C01457</t>
  </si>
  <si>
    <t>C00959</t>
  </si>
  <si>
    <t>C01041</t>
  </si>
  <si>
    <t>C01245</t>
  </si>
  <si>
    <t xml:space="preserve">Observation A: </t>
  </si>
  <si>
    <t>10/04/2024</t>
  </si>
  <si>
    <t>Low satisfaction has the highest churn rate in both groups</t>
  </si>
  <si>
    <t>Zero complaints: 33.33%</t>
  </si>
  <si>
    <t>One complaint: 32.85%</t>
  </si>
  <si>
    <t>This supports your observation that low satisfaction is associated with a higher preliminary churn rate in these groups.</t>
  </si>
  <si>
    <t>25/06/2027</t>
  </si>
  <si>
    <t xml:space="preserve">Observation B: </t>
  </si>
  <si>
    <t>Complaint count does not show a consistent pattern</t>
  </si>
  <si>
    <t>Compare the rates between zero and one complaint:</t>
  </si>
  <si>
    <t>Low satisfaction: churn decreases slightly.</t>
  </si>
  <si>
    <t>Moderate satisfaction: churn increases slightly.</t>
  </si>
  <si>
    <t xml:space="preserve"> C00093 </t>
  </si>
  <si>
    <t>High satisfaction: churn decreases slightly.</t>
  </si>
  <si>
    <t>There is no consistent increase or decrease across all satisfaction groups when complaint count changes from zero to one.</t>
  </si>
  <si>
    <t xml:space="preserve">Observation C: </t>
  </si>
  <si>
    <t>Be careful with the Very High group</t>
  </si>
  <si>
    <t>C01359</t>
  </si>
  <si>
    <t>The zero-complaint group has just three records, while the one-complaint group has one record. These samples are too small to support meaningful comparisons.</t>
  </si>
  <si>
    <t>Customers in the Low satisfaction group have higher preliminary churn rates than customers in the Moderate and High groups, regardless of whether they recorded zero or one complaint. However, the difference in churn rates between zero and one complaint is small and inconsistent across satisfaction groups. Further investigation is required before drawing conclusions about the relationship between complaints and churn.</t>
  </si>
  <si>
    <t>C00303</t>
  </si>
  <si>
    <t>C01309</t>
  </si>
  <si>
    <t>Does Support Tickets relate to Churn?</t>
  </si>
  <si>
    <t>11/02/2026</t>
  </si>
  <si>
    <t>C00391</t>
  </si>
  <si>
    <t>C00594</t>
  </si>
  <si>
    <t>C00722</t>
  </si>
  <si>
    <t>C01199</t>
  </si>
  <si>
    <t>₹825</t>
  </si>
  <si>
    <t>03/05/2025</t>
  </si>
  <si>
    <t>C01118</t>
  </si>
  <si>
    <t>C00841</t>
  </si>
  <si>
    <t>06/11/2024</t>
  </si>
  <si>
    <t>09/05/2022</t>
  </si>
  <si>
    <t>C00141</t>
  </si>
  <si>
    <t>17/06/2022</t>
  </si>
  <si>
    <t>C00458</t>
  </si>
  <si>
    <t>23/07/2024</t>
  </si>
  <si>
    <t>C01368</t>
  </si>
  <si>
    <t>₹553</t>
  </si>
  <si>
    <t>C00798</t>
  </si>
  <si>
    <t>C00432</t>
  </si>
  <si>
    <t>C00140</t>
  </si>
  <si>
    <t xml:space="preserve"> C00713 </t>
  </si>
  <si>
    <t>C00216</t>
  </si>
  <si>
    <t xml:space="preserve"> C00161 </t>
  </si>
  <si>
    <t>C00709</t>
  </si>
  <si>
    <t>C00884</t>
  </si>
  <si>
    <t>C00881</t>
  </si>
  <si>
    <t>C00846</t>
  </si>
  <si>
    <t>C00600</t>
  </si>
  <si>
    <t>C00473</t>
  </si>
  <si>
    <t>14/01/2023</t>
  </si>
  <si>
    <t>30/06/2023</t>
  </si>
  <si>
    <t>C01352</t>
  </si>
  <si>
    <t xml:space="preserve"> C00889 </t>
  </si>
  <si>
    <t>20/06/2027</t>
  </si>
  <si>
    <t>13/08/2022</t>
  </si>
  <si>
    <t>C01338</t>
  </si>
  <si>
    <t>23/11/2023</t>
  </si>
  <si>
    <t>C00447</t>
  </si>
  <si>
    <t>C00147</t>
  </si>
  <si>
    <t>C00308</t>
  </si>
  <si>
    <t>05/10/2026</t>
  </si>
  <si>
    <t>15/12/2025</t>
  </si>
  <si>
    <t>C00912</t>
  </si>
  <si>
    <t>25/03/2025</t>
  </si>
  <si>
    <t>C01591</t>
  </si>
  <si>
    <t>C00032</t>
  </si>
  <si>
    <t>11/08/2027</t>
  </si>
  <si>
    <t>8</t>
  </si>
  <si>
    <t xml:space="preserve">Observation 1 </t>
  </si>
  <si>
    <t>C00758</t>
  </si>
  <si>
    <t>There is no consistent upward trend.</t>
  </si>
  <si>
    <t>The rate rises from 29.79% at zero tickets to 32.15% at two tickets, falls to 26.37% at three, and rises again to 32.89% at four.</t>
  </si>
  <si>
    <t>So, the data does not support a simple conclusion that more support tickets always means higher churn.</t>
  </si>
  <si>
    <t xml:space="preserve">Observation 2 </t>
  </si>
  <si>
    <t>The largest groups have rates around 26–32%.</t>
  </si>
  <si>
    <t>Most records fall between zero and four tickets, with preliminary churn rates ranging from 26.37% to 32.89%. The differences may be worth investigating, but this table alone cannot tell us why they occur.</t>
  </si>
  <si>
    <t xml:space="preserve">Observation 3 </t>
  </si>
  <si>
    <t>High ticket counts have very small samples.</t>
  </si>
  <si>
    <t>7 tickets: 2 records.</t>
  </si>
  <si>
    <t>8 tickets: 1 record.</t>
  </si>
  <si>
    <t>C00712</t>
  </si>
  <si>
    <t>The 50% and 0% rates are not reliable evidence of what typically happens to customers with those ticket counts.</t>
  </si>
  <si>
    <t>Support Tickets: Preliminary churn rates fluctuate across support-ticket counts, with no consistent upward or downward trend. Groups with higher ticket counts have very small sample sizes, limiting reliable interpretation. Further analysis alongside customer satisfaction, complaints, and other customer characteristics may help explain the observed variation.</t>
  </si>
  <si>
    <t>C00197</t>
  </si>
  <si>
    <t>Does Monthly Usuage(Usage Group) relate to Churn?</t>
  </si>
  <si>
    <t>07/03/2027</t>
  </si>
  <si>
    <t>C00162</t>
  </si>
  <si>
    <t>C00651</t>
  </si>
  <si>
    <t>C00579</t>
  </si>
  <si>
    <t>08/02/2028</t>
  </si>
  <si>
    <t>C01409</t>
  </si>
  <si>
    <t>C01225</t>
  </si>
  <si>
    <t>C00536</t>
  </si>
  <si>
    <t>C00840</t>
  </si>
  <si>
    <t>₹1,369</t>
  </si>
  <si>
    <t>C00766</t>
  </si>
  <si>
    <t>C00618</t>
  </si>
  <si>
    <t>17/03/2026</t>
  </si>
  <si>
    <t>C00619</t>
  </si>
  <si>
    <t>C01038</t>
  </si>
  <si>
    <t>28/11/2025</t>
  </si>
  <si>
    <t>C00977</t>
  </si>
  <si>
    <t>13/07/2025</t>
  </si>
  <si>
    <t>C01534</t>
  </si>
  <si>
    <t>C01218</t>
  </si>
  <si>
    <t>C01048</t>
  </si>
  <si>
    <t>12/12/2025</t>
  </si>
  <si>
    <t>C00365</t>
  </si>
  <si>
    <t>29/11/2026</t>
  </si>
  <si>
    <t>14/09/2022</t>
  </si>
  <si>
    <t>C00562</t>
  </si>
  <si>
    <t>C01446</t>
  </si>
  <si>
    <t xml:space="preserve"> C00955 </t>
  </si>
  <si>
    <t>C00167</t>
  </si>
  <si>
    <t>05/10/2024</t>
  </si>
  <si>
    <t>C00463</t>
  </si>
  <si>
    <t>C01522</t>
  </si>
  <si>
    <t>₹1,117</t>
  </si>
  <si>
    <t>20/07/2026</t>
  </si>
  <si>
    <t>C00957</t>
  </si>
  <si>
    <t>C00989</t>
  </si>
  <si>
    <t>C01223</t>
  </si>
  <si>
    <t>Below Median</t>
  </si>
  <si>
    <t>C00411</t>
  </si>
  <si>
    <t>Median or Above</t>
  </si>
  <si>
    <t>C00205</t>
  </si>
  <si>
    <t>30/11/2026</t>
  </si>
  <si>
    <t>Monthly Usage: Records with below-median usage have a preliminary churn rate of 29.97%, compared with 29.50% for records at or above the median. The 0.47-percentage-point difference is small, suggesting that this binary usage grouping does not reveal a substantial difference in churn rates. Further analysis may be needed to identify more specific usage patterns.</t>
  </si>
  <si>
    <t>C00580</t>
  </si>
  <si>
    <t>Does Tenure relate to Churn?</t>
  </si>
  <si>
    <t>26/10/2025</t>
  </si>
  <si>
    <t>C00793</t>
  </si>
  <si>
    <t>₹1,431</t>
  </si>
  <si>
    <t>04/07/2026</t>
  </si>
  <si>
    <t>C00923</t>
  </si>
  <si>
    <t>C00084</t>
  </si>
  <si>
    <t>C01429</t>
  </si>
  <si>
    <t>03/04/2026</t>
  </si>
  <si>
    <t>C01382</t>
  </si>
  <si>
    <t>C00776</t>
  </si>
  <si>
    <t xml:space="preserve"> Ravi Das  </t>
  </si>
  <si>
    <t>50</t>
  </si>
  <si>
    <t>18/02/2028</t>
  </si>
  <si>
    <t>C00322</t>
  </si>
  <si>
    <t>C01268</t>
  </si>
  <si>
    <t>62</t>
  </si>
  <si>
    <t>17/03/2025</t>
  </si>
  <si>
    <t>C01183</t>
  </si>
  <si>
    <t>11/09/2025</t>
  </si>
  <si>
    <t>C00015</t>
  </si>
  <si>
    <t>13/08/2024</t>
  </si>
  <si>
    <t>C01345</t>
  </si>
  <si>
    <t>C00605</t>
  </si>
  <si>
    <t>C00527</t>
  </si>
  <si>
    <t>C00634</t>
  </si>
  <si>
    <t>C00817</t>
  </si>
  <si>
    <t>09/09/2027</t>
  </si>
  <si>
    <t>C01413</t>
  </si>
  <si>
    <t>22/02/2023</t>
  </si>
  <si>
    <t>C00441</t>
  </si>
  <si>
    <t>C00555</t>
  </si>
  <si>
    <t>30/08/2025</t>
  </si>
  <si>
    <t>1.2</t>
  </si>
  <si>
    <t>C01282</t>
  </si>
  <si>
    <t>C00194</t>
  </si>
  <si>
    <t>23/10/2023</t>
  </si>
  <si>
    <t>C01403</t>
  </si>
  <si>
    <t>C00012</t>
  </si>
  <si>
    <t>29/12/2025</t>
  </si>
  <si>
    <t>C00784</t>
  </si>
  <si>
    <t>25/10/2025</t>
  </si>
  <si>
    <t>0–12 Months</t>
  </si>
  <si>
    <t>C01588</t>
  </si>
  <si>
    <t>C00288</t>
  </si>
  <si>
    <t>02/03/2027</t>
  </si>
  <si>
    <t>13–24 Months</t>
  </si>
  <si>
    <t>C00523</t>
  </si>
  <si>
    <t>25–48 Months</t>
  </si>
  <si>
    <t>49+ Months</t>
  </si>
  <si>
    <t>Invalid Tenure</t>
  </si>
  <si>
    <t>C01540</t>
  </si>
  <si>
    <t>Tenure: The highest preliminary churn rate occurs among records with 13–24 months of tenure (31.69%), followed by 25–48 months (29.72%) and 0–12 months (28.16%). The pattern is not consistently decreasing with tenure. The 49+ month group has only 10 records, limiting interpretation, while two records with negative tenure require data-quality investigation.</t>
  </si>
  <si>
    <t>C00044</t>
  </si>
  <si>
    <t>C01577</t>
  </si>
  <si>
    <t>₹512</t>
  </si>
  <si>
    <t>C01348</t>
  </si>
  <si>
    <t>18/10/2023</t>
  </si>
  <si>
    <t>C00780</t>
  </si>
  <si>
    <t>₹562</t>
  </si>
  <si>
    <t>07/09/2022</t>
  </si>
  <si>
    <t>C00093</t>
  </si>
  <si>
    <t>21/03/2025</t>
  </si>
  <si>
    <t>C00544</t>
  </si>
  <si>
    <t>C00457</t>
  </si>
  <si>
    <t>10/06/2026</t>
  </si>
  <si>
    <t>C00691</t>
  </si>
  <si>
    <t>C01113</t>
  </si>
  <si>
    <t>C00374</t>
  </si>
  <si>
    <t>28/04/2024</t>
  </si>
  <si>
    <t>C00985</t>
  </si>
  <si>
    <t>C01487</t>
  </si>
  <si>
    <t>C00256</t>
  </si>
  <si>
    <t>24/04/2024</t>
  </si>
  <si>
    <t>C01554</t>
  </si>
  <si>
    <t>30/10/2027</t>
  </si>
  <si>
    <t xml:space="preserve"> C00213 </t>
  </si>
  <si>
    <t>C01378</t>
  </si>
  <si>
    <t>28/03/2024</t>
  </si>
  <si>
    <t>C00665</t>
  </si>
  <si>
    <t>C01103</t>
  </si>
  <si>
    <t>C00902</t>
  </si>
  <si>
    <t>C00819</t>
  </si>
  <si>
    <t>C01186</t>
  </si>
  <si>
    <t>C00635</t>
  </si>
  <si>
    <t>C01587</t>
  </si>
  <si>
    <t>C00680</t>
  </si>
  <si>
    <t>C00364</t>
  </si>
  <si>
    <t>C00042</t>
  </si>
  <si>
    <t>23/01/2023</t>
  </si>
  <si>
    <t>C00354</t>
  </si>
  <si>
    <t>22/02/2024</t>
  </si>
  <si>
    <t>C01275</t>
  </si>
  <si>
    <t>C01081</t>
  </si>
  <si>
    <t>24/08/2025</t>
  </si>
  <si>
    <t>C00150</t>
  </si>
  <si>
    <t>C00799</t>
  </si>
  <si>
    <t>C00839</t>
  </si>
  <si>
    <t>08/07/2024</t>
  </si>
  <si>
    <t xml:space="preserve"> C00145 </t>
  </si>
  <si>
    <t>₹666</t>
  </si>
  <si>
    <t>13/03/2025</t>
  </si>
  <si>
    <t>07/01/2026</t>
  </si>
  <si>
    <t>C00090</t>
  </si>
  <si>
    <t xml:space="preserve"> C00229 </t>
  </si>
  <si>
    <t>C00120</t>
  </si>
  <si>
    <t>C00796</t>
  </si>
  <si>
    <t>C00832</t>
  </si>
  <si>
    <t>C00409</t>
  </si>
  <si>
    <t>05/11/2025</t>
  </si>
  <si>
    <t>C01528</t>
  </si>
  <si>
    <t>C01385</t>
  </si>
  <si>
    <t>23/12/2022</t>
  </si>
  <si>
    <t>13/11/2023</t>
  </si>
  <si>
    <t>C01434</t>
  </si>
  <si>
    <t>C01410</t>
  </si>
  <si>
    <t>09/08/2024</t>
  </si>
  <si>
    <t>C01388</t>
  </si>
  <si>
    <t>30/04/2026</t>
  </si>
  <si>
    <t>C00347</t>
  </si>
  <si>
    <t>C00559</t>
  </si>
  <si>
    <t>C00922</t>
  </si>
  <si>
    <t>26/09/2022</t>
  </si>
  <si>
    <t>29/04/2022</t>
  </si>
  <si>
    <t>C00405</t>
  </si>
  <si>
    <t>27/11/2025</t>
  </si>
  <si>
    <t>C01179</t>
  </si>
  <si>
    <t>25/08/2024</t>
  </si>
  <si>
    <t>C00946</t>
  </si>
  <si>
    <t>C00749</t>
  </si>
  <si>
    <t>C00694</t>
  </si>
  <si>
    <t>C00855</t>
  </si>
  <si>
    <t>C01296</t>
  </si>
  <si>
    <t>C01006</t>
  </si>
  <si>
    <t>C01073</t>
  </si>
  <si>
    <t>08/04/2024</t>
  </si>
  <si>
    <t>25/04/2025</t>
  </si>
  <si>
    <t>05/06/2023</t>
  </si>
  <si>
    <t>C01127</t>
  </si>
  <si>
    <t>₹502</t>
  </si>
  <si>
    <t>C00312</t>
  </si>
  <si>
    <t>C01333</t>
  </si>
  <si>
    <t>₹706</t>
  </si>
  <si>
    <t>C01556</t>
  </si>
  <si>
    <t>C00444</t>
  </si>
  <si>
    <t>C00713</t>
  </si>
  <si>
    <t>C00160</t>
  </si>
  <si>
    <t>05/06/2022</t>
  </si>
  <si>
    <t>C01323</t>
  </si>
  <si>
    <t>C00247</t>
  </si>
  <si>
    <t>C01498</t>
  </si>
  <si>
    <t>C01473</t>
  </si>
  <si>
    <t>06/11/2025</t>
  </si>
  <si>
    <t>08/03/2025</t>
  </si>
  <si>
    <t>1.5</t>
  </si>
  <si>
    <t>C00834</t>
  </si>
  <si>
    <t>16/04/2024</t>
  </si>
  <si>
    <t>06/02/2026</t>
  </si>
  <si>
    <t>31/10/2022</t>
  </si>
  <si>
    <t>27/05/2025</t>
  </si>
  <si>
    <t>₹743</t>
  </si>
  <si>
    <t xml:space="preserve"> C00064 </t>
  </si>
  <si>
    <t>05/06/2026</t>
  </si>
  <si>
    <t>C01339</t>
  </si>
  <si>
    <t>C01407</t>
  </si>
  <si>
    <t>C01399</t>
  </si>
  <si>
    <t>C00043</t>
  </si>
  <si>
    <t>C00847</t>
  </si>
  <si>
    <t>25/06/2024</t>
  </si>
  <si>
    <t>17/07/2024</t>
  </si>
  <si>
    <t>C01298</t>
  </si>
  <si>
    <t>25/09/2025</t>
  </si>
  <si>
    <t>C00462</t>
  </si>
  <si>
    <t>02/06/2023</t>
  </si>
  <si>
    <t>C01044</t>
  </si>
  <si>
    <t>18/11/2023</t>
  </si>
  <si>
    <t>C00757</t>
  </si>
  <si>
    <t>C01398</t>
  </si>
  <si>
    <t>03/03/2024</t>
  </si>
  <si>
    <t>C00286</t>
  </si>
  <si>
    <t>C00518</t>
  </si>
  <si>
    <t>C00545</t>
  </si>
  <si>
    <t>03/03/2026</t>
  </si>
  <si>
    <t>₹1,415</t>
  </si>
  <si>
    <t>C00296</t>
  </si>
  <si>
    <t>C01406</t>
  </si>
  <si>
    <t xml:space="preserve"> Karan Nair  </t>
  </si>
  <si>
    <t>C00714</t>
  </si>
  <si>
    <t>17/09/2024</t>
  </si>
  <si>
    <t>C00075</t>
  </si>
  <si>
    <t>C00442</t>
  </si>
  <si>
    <t>C00761</t>
  </si>
  <si>
    <t>13/12/2023</t>
  </si>
  <si>
    <t>C00553</t>
  </si>
  <si>
    <t>C00105</t>
  </si>
  <si>
    <t>₹1,745</t>
  </si>
  <si>
    <t>C01499</t>
  </si>
  <si>
    <t>C00397</t>
  </si>
  <si>
    <t>28/03/2027</t>
  </si>
  <si>
    <t>C00319</t>
  </si>
  <si>
    <t>C00304</t>
  </si>
  <si>
    <t>06/04/2025</t>
  </si>
  <si>
    <t>C00497</t>
  </si>
  <si>
    <t>19/11/2022</t>
  </si>
  <si>
    <t>C00631</t>
  </si>
  <si>
    <t>C01216</t>
  </si>
  <si>
    <t>C00597</t>
  </si>
  <si>
    <t>04/06/2022</t>
  </si>
  <si>
    <t>C00221</t>
  </si>
  <si>
    <t>16/10/2024</t>
  </si>
  <si>
    <t>C00321</t>
  </si>
  <si>
    <t>C01349</t>
  </si>
  <si>
    <t>51</t>
  </si>
  <si>
    <t>C00415</t>
  </si>
  <si>
    <t>11/12/2027</t>
  </si>
  <si>
    <t>C00098</t>
  </si>
  <si>
    <t>C01355</t>
  </si>
  <si>
    <t>C01567</t>
  </si>
  <si>
    <t>C00388</t>
  </si>
  <si>
    <t>C00697</t>
  </si>
  <si>
    <t>C01142</t>
  </si>
  <si>
    <t>C00646</t>
  </si>
  <si>
    <t>19/12/2022</t>
  </si>
  <si>
    <t>C01088</t>
  </si>
  <si>
    <t>04/03/2024</t>
  </si>
  <si>
    <t>C00164</t>
  </si>
  <si>
    <t>24/01/2023</t>
  </si>
  <si>
    <t>C00219</t>
  </si>
  <si>
    <t>₹1,520</t>
  </si>
  <si>
    <t>C01122</t>
  </si>
  <si>
    <t>C01263</t>
  </si>
  <si>
    <t>07/12/2024</t>
  </si>
  <si>
    <t>C00272</t>
  </si>
  <si>
    <t xml:space="preserve"> C01469 </t>
  </si>
  <si>
    <t>C01394</t>
  </si>
  <si>
    <t>C01576</t>
  </si>
  <si>
    <t>C01257</t>
  </si>
  <si>
    <t>C00955</t>
  </si>
  <si>
    <t>C00666</t>
  </si>
  <si>
    <t>C00526</t>
  </si>
  <si>
    <t>09/05/2026</t>
  </si>
  <si>
    <t>C00091</t>
  </si>
  <si>
    <t>C00751</t>
  </si>
  <si>
    <t>C01353</t>
  </si>
  <si>
    <t>C00187</t>
  </si>
  <si>
    <t>07/10/2026</t>
  </si>
  <si>
    <t>C00104</t>
  </si>
  <si>
    <t>C00068</t>
  </si>
  <si>
    <t>C00202</t>
  </si>
  <si>
    <t>01/12/2025</t>
  </si>
  <si>
    <t xml:space="preserve"> C01132 </t>
  </si>
  <si>
    <t>C00290</t>
  </si>
  <si>
    <t>C00596</t>
  </si>
  <si>
    <t>C01380</t>
  </si>
  <si>
    <t>C00809</t>
  </si>
  <si>
    <t>C00188</t>
  </si>
  <si>
    <t>22/05/2023</t>
  </si>
  <si>
    <t>C00754</t>
  </si>
  <si>
    <t>C00814</t>
  </si>
  <si>
    <t>16/04/2025</t>
  </si>
  <si>
    <t>C00238</t>
  </si>
  <si>
    <t>C01322</t>
  </si>
  <si>
    <t>C00593</t>
  </si>
  <si>
    <t>C01315</t>
  </si>
  <si>
    <t>20/09/2023</t>
  </si>
  <si>
    <t>C01167</t>
  </si>
  <si>
    <t>C01143</t>
  </si>
  <si>
    <t>30/09/2026</t>
  </si>
  <si>
    <t>C01243</t>
  </si>
  <si>
    <t>C00775</t>
  </si>
  <si>
    <t>17/06/2025</t>
  </si>
  <si>
    <t>₹649</t>
  </si>
  <si>
    <t>C00402</t>
  </si>
  <si>
    <t>03/10/2022</t>
  </si>
  <si>
    <t>C00644</t>
  </si>
  <si>
    <t>₹539</t>
  </si>
  <si>
    <t>C00485</t>
  </si>
  <si>
    <t>C00897</t>
  </si>
  <si>
    <t>21/07/2025</t>
  </si>
  <si>
    <t>C01514</t>
  </si>
  <si>
    <t>C00177</t>
  </si>
  <si>
    <t>C01163</t>
  </si>
  <si>
    <t>20/03/2026</t>
  </si>
  <si>
    <t>C01049</t>
  </si>
  <si>
    <t>C00917</t>
  </si>
  <si>
    <t>22/04/2026</t>
  </si>
  <si>
    <t>C00652</t>
  </si>
  <si>
    <t>27/01/2024</t>
  </si>
  <si>
    <t>C00352</t>
  </si>
  <si>
    <t>C00750</t>
  </si>
  <si>
    <t>₹1,773</t>
  </si>
  <si>
    <t>C00246</t>
  </si>
  <si>
    <t>C00808</t>
  </si>
  <si>
    <t>17/09/2023</t>
  </si>
  <si>
    <t>22/05/2022</t>
  </si>
  <si>
    <t>C00785</t>
  </si>
  <si>
    <t>C01045</t>
  </si>
  <si>
    <t>09/03/2026</t>
  </si>
  <si>
    <t>C01420</t>
  </si>
  <si>
    <t>C00583</t>
  </si>
  <si>
    <t>C00294</t>
  </si>
  <si>
    <t>C00949</t>
  </si>
  <si>
    <t>24/10/2025</t>
  </si>
  <si>
    <t>C00804</t>
  </si>
  <si>
    <t>C00060</t>
  </si>
  <si>
    <t>C00251</t>
  </si>
  <si>
    <t>10/02/2024</t>
  </si>
  <si>
    <t>C00960</t>
  </si>
  <si>
    <t>C01367</t>
  </si>
  <si>
    <t>Customer Churn Analystics</t>
  </si>
  <si>
    <t>16/03/2023</t>
  </si>
  <si>
    <t>C01360</t>
  </si>
  <si>
    <t>26/09/2024</t>
  </si>
  <si>
    <t>11/04/2026</t>
  </si>
  <si>
    <t>18/04/2023</t>
  </si>
  <si>
    <t>C00510</t>
  </si>
  <si>
    <t>Customer Retention</t>
  </si>
  <si>
    <t>13/09/2023</t>
  </si>
  <si>
    <t>Churn Patterns</t>
  </si>
  <si>
    <t>C01222</t>
  </si>
  <si>
    <t>Business Insights</t>
  </si>
  <si>
    <t>29/11/2024</t>
  </si>
  <si>
    <t>C00267</t>
  </si>
  <si>
    <t>Churned Records</t>
  </si>
  <si>
    <t>Active Records</t>
  </si>
  <si>
    <t>C00505</t>
  </si>
  <si>
    <t>C01135</t>
  </si>
  <si>
    <t>C01460</t>
  </si>
  <si>
    <t>26/10/2024</t>
  </si>
  <si>
    <t>C01158</t>
  </si>
  <si>
    <t>C01547</t>
  </si>
  <si>
    <t>C01551</t>
  </si>
  <si>
    <t>C01018</t>
  </si>
  <si>
    <t>C00305</t>
  </si>
  <si>
    <t>C01372</t>
  </si>
  <si>
    <t xml:space="preserve"> C00944 </t>
  </si>
  <si>
    <t>C01402</t>
  </si>
  <si>
    <t>C00623</t>
  </si>
  <si>
    <t>17/11/2025</t>
  </si>
  <si>
    <t>C00324</t>
  </si>
  <si>
    <t>C00089</t>
  </si>
  <si>
    <r>
      <rPr>
        <rFont val="Arial"/>
        <b/>
        <color theme="1"/>
      </rPr>
      <t xml:space="preserve">Key insight: </t>
    </r>
    <r>
      <rPr>
        <rFont val="Arial"/>
        <b val="0"/>
        <color theme="1"/>
      </rPr>
      <t>Annual contracts have the highest preliminary churn rate at 31.39%, while quarterly contracts have the lowest at 26.95%. The difference is 4.44 percentage points. This shows an observed association, not evidence that contract type causes churn.</t>
    </r>
  </si>
  <si>
    <r>
      <rPr>
        <rFont val="Arial"/>
        <b/>
        <color theme="1"/>
      </rPr>
      <t xml:space="preserve">Key insight: </t>
    </r>
    <r>
      <rPr>
        <rFont val="Arial"/>
        <color theme="1"/>
      </rPr>
      <t>Premium has the highest preliminary churn rate at 32.18%, compared with 28.38% for Basic and 30.38% for Standard. Premium is 3.80 percentage points higher than Basic. Further investigation is needed to understand the reasons behind this difference.</t>
    </r>
  </si>
  <si>
    <t>05/07/2025</t>
  </si>
  <si>
    <t>C01427</t>
  </si>
  <si>
    <r>
      <rPr>
        <rFont val="Arial"/>
        <b/>
        <color theme="1"/>
      </rPr>
      <t xml:space="preserve">Key insight: </t>
    </r>
    <r>
      <rPr>
        <rFont val="Arial"/>
        <color theme="1"/>
      </rPr>
      <t>The Low satisfaction group has a higher preliminary churn rate than the Moderate and High groups. This suggests a possible association between lower satisfaction and churn, but it does not establish causation. The Very High group is too small for a reliable comparison.</t>
    </r>
  </si>
  <si>
    <t>11/11/2023</t>
  </si>
  <si>
    <t>C00001</t>
  </si>
  <si>
    <r>
      <rPr>
        <rFont val="Arial"/>
        <b/>
        <color theme="1"/>
      </rPr>
      <t xml:space="preserve">Key insight: </t>
    </r>
    <r>
      <rPr>
        <rFont val="Arial"/>
        <color theme="1"/>
      </rPr>
      <t>Customers with 13–24 months of tenure have the highest preliminary churn rate among the three larger tenure groups, at 31.69%. The 49+ months group has only 10 eligible records, so its 10% rate should not be treated as a reliable comparison. Further analysis is needed to understand why churn differs across tenure groups.</t>
    </r>
  </si>
  <si>
    <t>C00537</t>
  </si>
  <si>
    <t>C01531</t>
  </si>
  <si>
    <t>11/02/2025</t>
  </si>
  <si>
    <r>
      <rPr>
        <rFont val="Arial"/>
        <b/>
        <color theme="1"/>
      </rPr>
      <t xml:space="preserve">Key insight: </t>
    </r>
    <r>
      <rPr>
        <rFont val="Arial"/>
        <color theme="1"/>
      </rPr>
      <t>Preliminary churn rates are broadly similar for customers reporting 0–3 complaints, ranging from 29.22% to 30.21%. Higher rates appear among customers reporting 4–6 complaints, but the sample sizes are very small. These results suggest a possible pattern that needs further investigation; they do not establish causation.</t>
    </r>
  </si>
  <si>
    <t>19/07/2023</t>
  </si>
  <si>
    <r>
      <rPr>
        <rFont val="Arial"/>
        <b/>
        <color theme="1"/>
      </rPr>
      <t xml:space="preserve">Key insights: </t>
    </r>
    <r>
      <rPr>
        <rFont val="Arial"/>
        <color theme="1"/>
      </rPr>
      <t>No consistent upward trend in preliminary churn rates was observed as support-ticket counts increased. Some higher-ticket groups had very small sample sizes, so the relationship remains inconclusive.</t>
    </r>
  </si>
  <si>
    <t>20/06/2025</t>
  </si>
  <si>
    <t>C00255</t>
  </si>
  <si>
    <r>
      <rPr>
        <rFont val="Arial"/>
        <b/>
        <color theme="1"/>
      </rPr>
      <t xml:space="preserve">NOTE: </t>
    </r>
    <r>
      <rPr>
        <rFont val="Arial"/>
        <b/>
        <color theme="1"/>
      </rPr>
      <t>The Yes and No churn statuses have unresolved meanings and are excluded from preliminary churn-rate calculations. Two records have negative tenure values and are excluded from normal tenure-group interpretation. Missing and unusual values were documented for review. Results describe observed associations, not causation.</t>
    </r>
  </si>
  <si>
    <t>C00016</t>
  </si>
  <si>
    <t>67</t>
  </si>
  <si>
    <t>27/06/2025</t>
  </si>
  <si>
    <t>C00800</t>
  </si>
  <si>
    <t xml:space="preserve"> C00972 </t>
  </si>
  <si>
    <t>03/06/2023</t>
  </si>
  <si>
    <t>29/10/2024</t>
  </si>
  <si>
    <t>C01361</t>
  </si>
  <si>
    <t>C01035</t>
  </si>
  <si>
    <t xml:space="preserve"> C01410 </t>
  </si>
  <si>
    <t>12/05/2028</t>
  </si>
  <si>
    <t>C01100</t>
  </si>
  <si>
    <t>₹3,079</t>
  </si>
  <si>
    <t>C01440</t>
  </si>
  <si>
    <t>C00145</t>
  </si>
  <si>
    <t>06/12/2023</t>
  </si>
  <si>
    <t>C00566</t>
  </si>
  <si>
    <t>03/05/2024</t>
  </si>
  <si>
    <t xml:space="preserve"> C00189 </t>
  </si>
  <si>
    <t>13/12/2024</t>
  </si>
  <si>
    <t xml:space="preserve"> C01258 </t>
  </si>
  <si>
    <t>C00229</t>
  </si>
  <si>
    <t>14/09/2023</t>
  </si>
  <si>
    <t>C00760</t>
  </si>
  <si>
    <t>08/04/2025</t>
  </si>
  <si>
    <t>16/08/2023</t>
  </si>
  <si>
    <t>C01477</t>
  </si>
  <si>
    <t xml:space="preserve"> Anita Das  </t>
  </si>
  <si>
    <t>C00109</t>
  </si>
  <si>
    <t>10/05/2025</t>
  </si>
  <si>
    <t>C00720</t>
  </si>
  <si>
    <t>C01524</t>
  </si>
  <si>
    <t xml:space="preserve"> Priya Das  </t>
  </si>
  <si>
    <t>18/09/2024</t>
  </si>
  <si>
    <t>C00010</t>
  </si>
  <si>
    <t>20/02/2024</t>
  </si>
  <si>
    <t xml:space="preserve"> C00960 </t>
  </si>
  <si>
    <t>C00080</t>
  </si>
  <si>
    <t>18/05/2026</t>
  </si>
  <si>
    <t>C00327</t>
  </si>
  <si>
    <t>C01365</t>
  </si>
  <si>
    <t>12/09/2022</t>
  </si>
  <si>
    <t>23/06/2027</t>
  </si>
  <si>
    <t>02/04/2022</t>
  </si>
  <si>
    <t>C00711</t>
  </si>
  <si>
    <t>C01414</t>
  </si>
  <si>
    <t>C00193</t>
  </si>
  <si>
    <t xml:space="preserve"> Ravi Kumar  </t>
  </si>
  <si>
    <t>C00978</t>
  </si>
  <si>
    <t>C01432</t>
  </si>
  <si>
    <t>C01439</t>
  </si>
  <si>
    <t>C01053</t>
  </si>
  <si>
    <t>C00122</t>
  </si>
  <si>
    <t>C01020</t>
  </si>
  <si>
    <t>C00520</t>
  </si>
  <si>
    <t>C01252</t>
  </si>
  <si>
    <t>C01193</t>
  </si>
  <si>
    <t>27/08/2023</t>
  </si>
  <si>
    <t>C01435</t>
  </si>
  <si>
    <t>C01391</t>
  </si>
  <si>
    <t>C00540</t>
  </si>
  <si>
    <t>09/12/2023</t>
  </si>
  <si>
    <t>C00534</t>
  </si>
  <si>
    <t>C01156</t>
  </si>
  <si>
    <t>08/08/2023</t>
  </si>
  <si>
    <t>C01161</t>
  </si>
  <si>
    <t>20/10/2023</t>
  </si>
  <si>
    <t>06/04/2026</t>
  </si>
  <si>
    <t>C00051</t>
  </si>
  <si>
    <t>02/11/2024</t>
  </si>
  <si>
    <t xml:space="preserve"> C00250 </t>
  </si>
  <si>
    <t>C01261</t>
  </si>
  <si>
    <t>C01416</t>
  </si>
  <si>
    <t>08/12/2024</t>
  </si>
  <si>
    <t>C01321</t>
  </si>
  <si>
    <t>03/11/2027</t>
  </si>
  <si>
    <t>C01373</t>
  </si>
  <si>
    <t>C00502</t>
  </si>
  <si>
    <t>04/05/2024</t>
  </si>
  <si>
    <t>13/03/2023</t>
  </si>
  <si>
    <t>C01346</t>
  </si>
  <si>
    <t>C00148</t>
  </si>
  <si>
    <t>47</t>
  </si>
  <si>
    <t>13/05/2023</t>
  </si>
  <si>
    <t>44</t>
  </si>
  <si>
    <t>₹2,946</t>
  </si>
  <si>
    <t>C01425</t>
  </si>
  <si>
    <t>17/08/2026</t>
  </si>
  <si>
    <t>C00674</t>
  </si>
  <si>
    <t>C00811</t>
  </si>
  <si>
    <t>C00874</t>
  </si>
  <si>
    <t>03/12/2022</t>
  </si>
  <si>
    <t>C00626</t>
  </si>
  <si>
    <t>30/09/2025</t>
  </si>
  <si>
    <t>C01482</t>
  </si>
  <si>
    <t>01/09/2022</t>
  </si>
  <si>
    <t>C01503</t>
  </si>
  <si>
    <t>C01249</t>
  </si>
  <si>
    <t>19/10/2026</t>
  </si>
  <si>
    <t>C00419</t>
  </si>
  <si>
    <t>C00291</t>
  </si>
  <si>
    <t>17/01/2024</t>
  </si>
  <si>
    <t xml:space="preserve"> Neha Nair  </t>
  </si>
  <si>
    <t>18/03/2026</t>
  </si>
  <si>
    <t>C00696</t>
  </si>
  <si>
    <t>21/11/2023</t>
  </si>
  <si>
    <t>C00925</t>
  </si>
  <si>
    <t>10/06/2024</t>
  </si>
  <si>
    <t>C00315</t>
  </si>
  <si>
    <t>C00363</t>
  </si>
  <si>
    <t xml:space="preserve"> Ravi Patel  </t>
  </si>
  <si>
    <t>22/07/2023</t>
  </si>
  <si>
    <t>C01023</t>
  </si>
  <si>
    <t>26/09/2025</t>
  </si>
  <si>
    <t>C00154</t>
  </si>
  <si>
    <t>22/12/2024</t>
  </si>
  <si>
    <t>C00228</t>
  </si>
  <si>
    <t>C01105</t>
  </si>
  <si>
    <t>52</t>
  </si>
  <si>
    <t>C00728</t>
  </si>
  <si>
    <t>27/07/2025</t>
  </si>
  <si>
    <t>14/04/2025</t>
  </si>
  <si>
    <t>17/10/2022</t>
  </si>
  <si>
    <t>C01273</t>
  </si>
  <si>
    <t>C01178</t>
  </si>
  <si>
    <t>C01565</t>
  </si>
  <si>
    <t>C00812</t>
  </si>
  <si>
    <t>C00058</t>
  </si>
  <si>
    <t>C01140</t>
  </si>
  <si>
    <t>C00030</t>
  </si>
  <si>
    <t>₹1,114</t>
  </si>
  <si>
    <t>C00621</t>
  </si>
  <si>
    <t>C00872</t>
  </si>
  <si>
    <t>₹1,331</t>
  </si>
  <si>
    <t>C00632</t>
  </si>
  <si>
    <t>C00063</t>
  </si>
  <si>
    <t>22/11/2024</t>
  </si>
  <si>
    <t>C01037</t>
  </si>
  <si>
    <t>01/12/2026</t>
  </si>
  <si>
    <t>C00730</t>
  </si>
  <si>
    <t>C00430</t>
  </si>
  <si>
    <t xml:space="preserve"> C01091 </t>
  </si>
  <si>
    <t>12/03/2025</t>
  </si>
  <si>
    <t>C00349</t>
  </si>
  <si>
    <t>C00423</t>
  </si>
  <si>
    <t>16/08/2025</t>
  </si>
  <si>
    <t>C00097</t>
  </si>
  <si>
    <t>22/08/2022</t>
  </si>
  <si>
    <t>C00630</t>
  </si>
  <si>
    <t>05/08/2024</t>
  </si>
  <si>
    <t>C01364</t>
  </si>
  <si>
    <t>C00805</t>
  </si>
  <si>
    <t>05/08/2023</t>
  </si>
  <si>
    <t>C01097</t>
  </si>
  <si>
    <t>25/09/2026</t>
  </si>
  <si>
    <t>C01469</t>
  </si>
  <si>
    <t>28/07/2024</t>
  </si>
  <si>
    <t>C00403</t>
  </si>
  <si>
    <t>11/10/2022</t>
  </si>
  <si>
    <t>C00134</t>
  </si>
  <si>
    <t xml:space="preserve"> C00515 </t>
  </si>
  <si>
    <t>13/04/2022</t>
  </si>
  <si>
    <t xml:space="preserve"> C00342 </t>
  </si>
  <si>
    <t>15/07/2023</t>
  </si>
  <si>
    <t>04/11/2026</t>
  </si>
  <si>
    <t>03/09/2023</t>
  </si>
  <si>
    <t>18/06/2025</t>
  </si>
  <si>
    <t>C00106</t>
  </si>
  <si>
    <t>C00115</t>
  </si>
  <si>
    <t>03/01/2025</t>
  </si>
  <si>
    <t>C00389</t>
  </si>
  <si>
    <t>C00971</t>
  </si>
  <si>
    <t>19/06/2024</t>
  </si>
  <si>
    <t>C00370</t>
  </si>
  <si>
    <t>C00615</t>
  </si>
  <si>
    <t>C00655</t>
  </si>
  <si>
    <t>C00260</t>
  </si>
  <si>
    <t>19/03/2025</t>
  </si>
  <si>
    <t>C00006</t>
  </si>
  <si>
    <t>29/03/2026</t>
  </si>
  <si>
    <t>C01422</t>
  </si>
  <si>
    <t>20/04/2025</t>
  </si>
  <si>
    <t>₹634</t>
  </si>
  <si>
    <t>C01132</t>
  </si>
  <si>
    <t>14/12/2025</t>
  </si>
  <si>
    <t>C01441</t>
  </si>
  <si>
    <t>24/11/2024</t>
  </si>
  <si>
    <t>C01305</t>
  </si>
  <si>
    <t>24/09/2023</t>
  </si>
  <si>
    <t>C01276</t>
  </si>
  <si>
    <t>C00850</t>
  </si>
  <si>
    <t>19/12/2024</t>
  </si>
  <si>
    <t>13/01/2027</t>
  </si>
  <si>
    <t>29/07/2028</t>
  </si>
  <si>
    <t>C00465</t>
  </si>
  <si>
    <t>04/01/2023</t>
  </si>
  <si>
    <t>₹573</t>
  </si>
  <si>
    <t>28/01/2024</t>
  </si>
  <si>
    <t>22/09/2024</t>
  </si>
  <si>
    <t>C01474</t>
  </si>
  <si>
    <t>11/06/2022</t>
  </si>
  <si>
    <t xml:space="preserve"> Neha Kumar  </t>
  </si>
  <si>
    <t>C00787</t>
  </si>
  <si>
    <t>C00906</t>
  </si>
  <si>
    <t>C00825</t>
  </si>
  <si>
    <t>C00107</t>
  </si>
  <si>
    <t>03/11/2022</t>
  </si>
  <si>
    <t>C00323</t>
  </si>
  <si>
    <t>C00367</t>
  </si>
  <si>
    <t>07/06/2025</t>
  </si>
  <si>
    <t>C01195</t>
  </si>
  <si>
    <t>C00888</t>
  </si>
  <si>
    <t>C01512</t>
  </si>
  <si>
    <t>24/02/2023</t>
  </si>
  <si>
    <t>20/12/2024</t>
  </si>
  <si>
    <t>C00275</t>
  </si>
  <si>
    <t>21/03/2026</t>
  </si>
  <si>
    <t>C01060</t>
  </si>
  <si>
    <t>C01510</t>
  </si>
  <si>
    <t>C00345</t>
  </si>
  <si>
    <t>03/02/2024</t>
  </si>
  <si>
    <t>C00108</t>
  </si>
  <si>
    <t>07/06/2023</t>
  </si>
  <si>
    <t>C00951</t>
  </si>
  <si>
    <t>C00878</t>
  </si>
  <si>
    <t>C00085</t>
  </si>
  <si>
    <t>03/06/2024</t>
  </si>
  <si>
    <t>C00797</t>
  </si>
  <si>
    <t>C00625</t>
  </si>
  <si>
    <t>C01111</t>
  </si>
  <si>
    <t>C01064</t>
  </si>
  <si>
    <t>26/08/2024</t>
  </si>
  <si>
    <t>C01331</t>
  </si>
  <si>
    <t>04/10/2024</t>
  </si>
  <si>
    <t>C00965</t>
  </si>
  <si>
    <t>C00867</t>
  </si>
  <si>
    <t>11/08/2025</t>
  </si>
  <si>
    <t>09/09/2023</t>
  </si>
  <si>
    <t>C00938</t>
  </si>
  <si>
    <t>C00320</t>
  </si>
  <si>
    <t>04/07/2024</t>
  </si>
  <si>
    <t>C01545</t>
  </si>
  <si>
    <t>C01596</t>
  </si>
  <si>
    <t>07/01/2023</t>
  </si>
  <si>
    <t>10/11/2025</t>
  </si>
  <si>
    <t>C00070</t>
  </si>
  <si>
    <t>C01107</t>
  </si>
  <si>
    <t>06/10/2023</t>
  </si>
  <si>
    <t>C01330</t>
  </si>
  <si>
    <t>C01248</t>
  </si>
  <si>
    <t>04/05/2026</t>
  </si>
  <si>
    <t>C00395</t>
  </si>
  <si>
    <t>07/12/2023</t>
  </si>
  <si>
    <t>C01246</t>
  </si>
  <si>
    <t>C00114</t>
  </si>
  <si>
    <t>30/05/2023</t>
  </si>
  <si>
    <t>C01344</t>
  </si>
  <si>
    <t>14/04/2029</t>
  </si>
  <si>
    <t>₹1,790</t>
  </si>
  <si>
    <t>01/10/2024</t>
  </si>
  <si>
    <t>30/07/2024</t>
  </si>
  <si>
    <t>C00822</t>
  </si>
  <si>
    <t xml:space="preserve"> C01313 </t>
  </si>
  <si>
    <t>C01291</t>
  </si>
  <si>
    <t>27/05/2024</t>
  </si>
  <si>
    <t>02/10/2025</t>
  </si>
  <si>
    <t>29/08/2026</t>
  </si>
  <si>
    <t>C01236</t>
  </si>
  <si>
    <t>30/10/2024</t>
  </si>
  <si>
    <t>C01274</t>
  </si>
  <si>
    <t>C00679</t>
  </si>
  <si>
    <t>C00143</t>
  </si>
  <si>
    <t>01/07/2025</t>
  </si>
  <si>
    <t>C00448</t>
  </si>
  <si>
    <t>08/08/2027</t>
  </si>
  <si>
    <t>C01491</t>
  </si>
  <si>
    <t>C01447</t>
  </si>
  <si>
    <t>1.6</t>
  </si>
  <si>
    <t xml:space="preserve"> Ravi Sharma  </t>
  </si>
  <si>
    <t>C00591</t>
  </si>
  <si>
    <t>C01317</t>
  </si>
  <si>
    <t>C00627</t>
  </si>
  <si>
    <t>C00008</t>
  </si>
  <si>
    <t>24/11/2022</t>
  </si>
  <si>
    <t>C00413</t>
  </si>
  <si>
    <t>12/06/2023</t>
  </si>
  <si>
    <t>C00436</t>
  </si>
  <si>
    <t>31/12/2025</t>
  </si>
  <si>
    <t>C00225</t>
  </si>
  <si>
    <t>11/07/2022</t>
  </si>
  <si>
    <t>C00640</t>
  </si>
  <si>
    <t>C01052</t>
  </si>
  <si>
    <t>27/10/2023</t>
  </si>
  <si>
    <t>C00941</t>
  </si>
  <si>
    <t>12/07/2023</t>
  </si>
  <si>
    <t>C01294</t>
  </si>
  <si>
    <t>C00055</t>
  </si>
  <si>
    <t>02/07/2025</t>
  </si>
  <si>
    <t>C01134</t>
  </si>
  <si>
    <t>01/07/2027</t>
  </si>
  <si>
    <t>29/06/2027</t>
  </si>
  <si>
    <t>10/10/2025</t>
  </si>
  <si>
    <t>C00244</t>
  </si>
  <si>
    <t>C00280</t>
  </si>
  <si>
    <t xml:space="preserve"> C00711 </t>
  </si>
  <si>
    <t>30/05/2024</t>
  </si>
  <si>
    <t>C00708</t>
  </si>
  <si>
    <t>19/01/2026</t>
  </si>
  <si>
    <t>21/06/2026</t>
  </si>
  <si>
    <t>C01579</t>
  </si>
  <si>
    <t>13/04/2027</t>
  </si>
  <si>
    <t xml:space="preserve"> Karan Singh  </t>
  </si>
  <si>
    <t>C00263</t>
  </si>
  <si>
    <t>C00433</t>
  </si>
  <si>
    <t>C00131</t>
  </si>
  <si>
    <t>C00173</t>
  </si>
  <si>
    <t>C00501</t>
  </si>
  <si>
    <t>C00077</t>
  </si>
  <si>
    <t>C00155</t>
  </si>
  <si>
    <t>₹1,713</t>
  </si>
  <si>
    <t>C00664</t>
  </si>
  <si>
    <t>C00607</t>
  </si>
  <si>
    <t>08/11/2026</t>
  </si>
  <si>
    <t>22/09/2023</t>
  </si>
  <si>
    <t>C00587</t>
  </si>
  <si>
    <t>C01356</t>
  </si>
  <si>
    <t>C00976</t>
  </si>
  <si>
    <t>C00967</t>
  </si>
  <si>
    <t>C01570</t>
  </si>
  <si>
    <t>13/02/2025</t>
  </si>
  <si>
    <t>C00029</t>
  </si>
  <si>
    <t xml:space="preserve"> C00859 </t>
  </si>
  <si>
    <t>C00493</t>
  </si>
  <si>
    <t>C00613</t>
  </si>
  <si>
    <t>C00552</t>
  </si>
  <si>
    <t xml:space="preserve"> Sneha Kumar  </t>
  </si>
  <si>
    <t>12/12/2026</t>
  </si>
  <si>
    <t>C01271</t>
  </si>
  <si>
    <t xml:space="preserve"> Arun Iyer  </t>
  </si>
  <si>
    <t>17/11/2024</t>
  </si>
  <si>
    <t>C00165</t>
  </si>
  <si>
    <t>17/12/2024</t>
  </si>
  <si>
    <t>C00425</t>
  </si>
  <si>
    <t>19/05/2024</t>
  </si>
  <si>
    <t>C00302</t>
  </si>
  <si>
    <t>10/10/2026</t>
  </si>
  <si>
    <t>C01586</t>
  </si>
  <si>
    <t>₹789</t>
  </si>
  <si>
    <t>C01475</t>
  </si>
  <si>
    <t>28/11/2022</t>
  </si>
  <si>
    <t>C00159</t>
  </si>
  <si>
    <t>30/11/2024</t>
  </si>
  <si>
    <t xml:space="preserve"> C01182 </t>
  </si>
  <si>
    <t>C00392</t>
  </si>
  <si>
    <t>C00782</t>
  </si>
  <si>
    <t>C00790</t>
  </si>
  <si>
    <t>27/04/2023</t>
  </si>
  <si>
    <t>C00250</t>
  </si>
  <si>
    <t>16/06/2026</t>
  </si>
  <si>
    <t>C01465</t>
  </si>
  <si>
    <t>12/04/2026</t>
  </si>
  <si>
    <t>C01337</t>
  </si>
  <si>
    <t>C00222</t>
  </si>
  <si>
    <t>C00863</t>
  </si>
  <si>
    <t>C00019</t>
  </si>
  <si>
    <t>C00592</t>
  </si>
  <si>
    <t xml:space="preserve"> Priya Iyer  </t>
  </si>
  <si>
    <t xml:space="preserve"> C00847 </t>
  </si>
  <si>
    <t>C00636</t>
  </si>
  <si>
    <t>06/07/2024</t>
  </si>
  <si>
    <t>24/10/2022</t>
  </si>
  <si>
    <t>11/05/2024</t>
  </si>
  <si>
    <t>C01141</t>
  </si>
  <si>
    <t>19/01/2024</t>
  </si>
  <si>
    <t>₹727</t>
  </si>
  <si>
    <t>36</t>
  </si>
  <si>
    <t>C00823</t>
  </si>
  <si>
    <t>29/11/2023</t>
  </si>
  <si>
    <t>28/08/2024</t>
  </si>
  <si>
    <t>24/02/2026</t>
  </si>
  <si>
    <t>C00614</t>
  </si>
  <si>
    <t>C01580</t>
  </si>
  <si>
    <t>C01513</t>
  </si>
  <si>
    <t>C01146</t>
  </si>
  <si>
    <t>C00376</t>
  </si>
  <si>
    <t>C01295</t>
  </si>
  <si>
    <t>C01411</t>
  </si>
  <si>
    <t>C00178</t>
  </si>
  <si>
    <t>C00575</t>
  </si>
  <si>
    <t>C01392</t>
  </si>
  <si>
    <t>C01594</t>
  </si>
  <si>
    <t>C00765</t>
  </si>
  <si>
    <t>07/06/2022</t>
  </si>
  <si>
    <t>C00071</t>
  </si>
  <si>
    <t>11/03/2025</t>
  </si>
  <si>
    <t>C01101</t>
  </si>
  <si>
    <t xml:space="preserve"> C00048 </t>
  </si>
  <si>
    <t>22/09/2022</t>
  </si>
  <si>
    <t>C00745</t>
  </si>
  <si>
    <t>C00853</t>
  </si>
  <si>
    <t>C00056</t>
  </si>
  <si>
    <t>C00119</t>
  </si>
  <si>
    <t>29/06/2022</t>
  </si>
  <si>
    <t>C01256</t>
  </si>
  <si>
    <t>C00833</t>
  </si>
  <si>
    <t>C00234</t>
  </si>
  <si>
    <t>C01536</t>
  </si>
  <si>
    <t xml:space="preserve"> Meera Sharma  </t>
  </si>
  <si>
    <t>C01237</t>
  </si>
  <si>
    <t>C01068</t>
  </si>
  <si>
    <t>C00361</t>
  </si>
  <si>
    <t>C00964</t>
  </si>
  <si>
    <t>C01324</t>
  </si>
  <si>
    <t>29/01/2025</t>
  </si>
  <si>
    <t>C00633</t>
  </si>
  <si>
    <t>C01050</t>
  </si>
  <si>
    <t>05/01/2025</t>
  </si>
  <si>
    <t>C01166</t>
  </si>
  <si>
    <t>C00169</t>
  </si>
  <si>
    <t>26/07/2025</t>
  </si>
  <si>
    <t>C01104</t>
  </si>
  <si>
    <t>C00683</t>
  </si>
  <si>
    <t>01/09/2026</t>
  </si>
  <si>
    <t>C00067</t>
  </si>
  <si>
    <t>C00515</t>
  </si>
  <si>
    <t>C00342</t>
  </si>
  <si>
    <t>C01313</t>
  </si>
  <si>
    <t>C01182</t>
  </si>
  <si>
    <t>C00048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</si>
</sst>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HH:MM:SS"/>
  </numFmts>
  <fonts count="14">
    <font>
      <sz val="10.0"/>
      <color rgb="FF000000"/>
      <name val="Arial"/>
      <scheme val="minor"/>
    </font>
    <font>
      <b/>
      <sz val="11.0"/>
      <color theme="1"/>
      <name val="Calibri"/>
    </font>
    <font>
      <b/>
      <color theme="1"/>
      <name val="Arial"/>
      <scheme val="minor"/>
    </font>
    <font>
      <sz val="11.0"/>
      <color theme="1"/>
      <name val="Calibri"/>
    </font>
    <font>
      <color theme="1"/>
      <name val="Arial"/>
      <scheme val="minor"/>
    </font>
    <font/>
    <font>
      <b/>
      <sz val="24.0"/>
      <color theme="1"/>
      <name val="Arial"/>
      <scheme val="minor"/>
    </font>
    <font>
      <b/>
      <sz val="13.0"/>
      <color theme="1"/>
      <name val="Arial"/>
      <scheme val="minor"/>
    </font>
    <font>
      <b/>
      <sz val="10.0"/>
      <color theme="1"/>
      <name val="Arial"/>
      <scheme val="minor"/>
    </font>
    <font>
      <sz val="10.0"/>
      <color theme="1"/>
      <name val="Arial"/>
      <scheme val="minor"/>
    </font>
    <font>
      <b/>
      <sz val="36.0"/>
      <color theme="1"/>
      <name val="Arial"/>
      <scheme val="minor"/>
    </font>
    <font>
      <b/>
      <sz val="21.0"/>
      <color theme="1"/>
      <name val="Arial"/>
      <scheme val="minor"/>
    </font>
    <font>
      <b/>
      <sz val="14.0"/>
      <color theme="1"/>
      <name val="Arial"/>
      <scheme val="minor"/>
    </font>
    <font>
      <b/>
      <sz val="16.0"/>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FF9900"/>
        <bgColor rgb="FFFF9900"/>
      </patternFill>
    </fill>
    <fill>
      <patternFill patternType="solid">
        <fgColor rgb="FFD5A6BD"/>
        <bgColor rgb="FFD5A6BD"/>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readingOrder="0"/>
    </xf>
    <xf borderId="1" fillId="0" fontId="1" numFmtId="3" xfId="0" applyAlignment="1" applyBorder="1" applyFont="1" applyNumberFormat="1">
      <alignment horizontal="center" vertical="top"/>
    </xf>
    <xf borderId="1" fillId="0" fontId="2" numFmtId="0" xfId="0" applyAlignment="1" applyBorder="1" applyFont="1">
      <alignment horizontal="center" readingOrder="0"/>
    </xf>
    <xf borderId="1" fillId="0" fontId="1" numFmtId="164" xfId="0" applyAlignment="1" applyBorder="1" applyFont="1" applyNumberFormat="1">
      <alignment horizontal="center" vertical="top"/>
    </xf>
    <xf borderId="1" fillId="0" fontId="3" numFmtId="0" xfId="0" applyAlignment="1" applyBorder="1" applyFont="1">
      <alignment horizontal="center" vertical="center"/>
    </xf>
    <xf borderId="1" fillId="0" fontId="1" numFmtId="3" xfId="0" applyAlignment="1" applyBorder="1" applyFont="1" applyNumberFormat="1">
      <alignment horizontal="center" readingOrder="0" vertical="top"/>
    </xf>
    <xf borderId="1" fillId="0" fontId="1" numFmtId="4" xfId="0" applyAlignment="1" applyBorder="1" applyFont="1" applyNumberFormat="1">
      <alignment horizontal="center" vertical="top"/>
    </xf>
    <xf borderId="1" fillId="0" fontId="1" numFmtId="0" xfId="0" applyAlignment="1" applyBorder="1" applyFont="1">
      <alignment horizontal="center" vertical="top"/>
    </xf>
    <xf borderId="0" fillId="0" fontId="1" numFmtId="0" xfId="0" applyAlignment="1" applyFont="1">
      <alignment horizontal="center" vertical="top"/>
    </xf>
    <xf borderId="0" fillId="0" fontId="4" numFmtId="0" xfId="0" applyAlignment="1" applyFont="1">
      <alignment readingOrder="0"/>
    </xf>
    <xf borderId="0" fillId="0" fontId="3" numFmtId="0" xfId="0" applyAlignment="1" applyFont="1">
      <alignment vertical="bottom"/>
    </xf>
    <xf borderId="0" fillId="0" fontId="4" numFmtId="0" xfId="0" applyFont="1"/>
    <xf borderId="0" fillId="0" fontId="4" numFmtId="3" xfId="0" applyFont="1" applyNumberFormat="1"/>
    <xf borderId="0" fillId="0" fontId="3" numFmtId="165" xfId="0" applyAlignment="1" applyFont="1" applyNumberFormat="1">
      <alignment horizontal="right" vertical="bottom"/>
    </xf>
    <xf borderId="0" fillId="0" fontId="4" numFmtId="164" xfId="0" applyFont="1" applyNumberFormat="1"/>
    <xf borderId="0" fillId="0" fontId="3" numFmtId="0" xfId="0" applyAlignment="1" applyFont="1">
      <alignment horizontal="right" vertical="bottom"/>
    </xf>
    <xf borderId="0" fillId="0" fontId="4" numFmtId="4" xfId="0" applyFont="1" applyNumberFormat="1"/>
    <xf borderId="1" fillId="0" fontId="4" numFmtId="0" xfId="0" applyAlignment="1" applyBorder="1" applyFont="1">
      <alignment horizontal="center" vertical="center"/>
    </xf>
    <xf borderId="0" fillId="0" fontId="4" numFmtId="0" xfId="0" applyFont="1"/>
    <xf borderId="1" fillId="0" fontId="4"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vertical="center"/>
    </xf>
    <xf borderId="0" fillId="0" fontId="4" numFmtId="0" xfId="0" applyAlignment="1" applyFont="1">
      <alignment vertical="center"/>
    </xf>
    <xf borderId="1" fillId="0" fontId="4" numFmtId="0" xfId="0" applyAlignment="1" applyBorder="1" applyFont="1">
      <alignment readingOrder="0" vertical="center"/>
    </xf>
    <xf borderId="1" fillId="0" fontId="4" numFmtId="3" xfId="0" applyAlignment="1" applyBorder="1" applyFont="1" applyNumberFormat="1">
      <alignment horizontal="left"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horizontal="left" shrinkToFit="0" vertical="center" wrapText="1"/>
    </xf>
    <xf borderId="1" fillId="0" fontId="4" numFmtId="0" xfId="0" applyBorder="1" applyFont="1"/>
    <xf borderId="0" fillId="0" fontId="2" numFmtId="0" xfId="0" applyAlignment="1" applyFont="1">
      <alignment horizontal="center" readingOrder="0"/>
    </xf>
    <xf borderId="0" fillId="0" fontId="4" numFmtId="0" xfId="0" applyAlignment="1" applyFont="1">
      <alignment readingOrder="0" shrinkToFit="0" wrapText="1"/>
    </xf>
    <xf borderId="0" fillId="0" fontId="4" numFmtId="3" xfId="0" applyAlignment="1" applyFont="1" applyNumberFormat="1">
      <alignment horizontal="right" readingOrder="0"/>
    </xf>
    <xf borderId="0" fillId="0" fontId="4" numFmtId="0" xfId="0" applyAlignment="1" applyFont="1">
      <alignment horizontal="right" readingOrder="0"/>
    </xf>
    <xf borderId="0" fillId="2" fontId="2" numFmtId="0" xfId="0" applyAlignment="1" applyFill="1" applyFont="1">
      <alignment horizontal="center" readingOrder="0"/>
    </xf>
    <xf borderId="0" fillId="0" fontId="2" numFmtId="0" xfId="0" applyAlignment="1" applyFont="1">
      <alignment readingOrder="0"/>
    </xf>
    <xf borderId="1" fillId="0" fontId="4" numFmtId="0" xfId="0" applyAlignment="1" applyBorder="1" applyFont="1">
      <alignment readingOrder="0" shrinkToFit="0" wrapText="1"/>
    </xf>
    <xf borderId="1" fillId="0" fontId="2" numFmtId="0" xfId="0" applyAlignment="1" applyBorder="1" applyFont="1">
      <alignment horizontal="right" readingOrder="0"/>
    </xf>
    <xf borderId="1" fillId="0" fontId="4" numFmtId="0" xfId="0" applyAlignment="1" applyBorder="1" applyFont="1">
      <alignment readingOrder="0"/>
    </xf>
    <xf borderId="1" fillId="0" fontId="4" numFmtId="3" xfId="0" applyAlignment="1" applyBorder="1" applyFont="1" applyNumberFormat="1">
      <alignment horizontal="right" readingOrder="0"/>
    </xf>
    <xf borderId="1" fillId="0" fontId="4" numFmtId="0" xfId="0" applyAlignment="1" applyBorder="1" applyFont="1">
      <alignment horizontal="right" readingOrder="0"/>
    </xf>
    <xf borderId="2" fillId="2" fontId="2" numFmtId="0" xfId="0" applyAlignment="1" applyBorder="1" applyFill="1" applyFont="1">
      <alignment horizontal="center" readingOrder="0"/>
    </xf>
    <xf borderId="3" fillId="0" fontId="5" numFmtId="0" xfId="0" applyBorder="1" applyFont="1"/>
    <xf borderId="4" fillId="0" fontId="5" numFmtId="0" xfId="0" applyBorder="1" applyFont="1"/>
    <xf borderId="1" fillId="0" fontId="1" numFmtId="0" xfId="0" applyAlignment="1" applyBorder="1" applyFont="1">
      <alignment horizontal="center" readingOrder="0" vertical="top"/>
    </xf>
    <xf borderId="1" fillId="0" fontId="4" numFmtId="3" xfId="0" applyAlignment="1" applyBorder="1" applyFont="1" applyNumberFormat="1">
      <alignment horizontal="center"/>
    </xf>
    <xf borderId="1" fillId="0" fontId="4" numFmtId="4" xfId="0" applyBorder="1" applyFont="1" applyNumberFormat="1"/>
    <xf borderId="0" fillId="3" fontId="6" numFmtId="0" xfId="0" applyAlignment="1" applyFill="1" applyFont="1">
      <alignment horizontal="center" readingOrder="0"/>
    </xf>
    <xf borderId="0" fillId="0" fontId="7" numFmtId="0" xfId="0" applyAlignment="1" applyFont="1">
      <alignment readingOrder="0"/>
    </xf>
    <xf borderId="1" fillId="0" fontId="2" numFmtId="0" xfId="0" applyBorder="1" applyFont="1"/>
    <xf borderId="1" fillId="0" fontId="4" numFmtId="10" xfId="0" applyBorder="1" applyFont="1" applyNumberFormat="1"/>
    <xf borderId="0" fillId="0" fontId="4" numFmtId="10" xfId="0" applyFont="1" applyNumberFormat="1"/>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2" numFmtId="0" xfId="0" applyAlignment="1" applyFont="1">
      <alignment readingOrder="0" shrinkToFit="0" wrapText="1"/>
    </xf>
    <xf borderId="2" fillId="4" fontId="10" numFmtId="0" xfId="0" applyAlignment="1" applyBorder="1" applyFill="1" applyFont="1">
      <alignment horizontal="center" readingOrder="0"/>
    </xf>
    <xf borderId="0" fillId="0" fontId="10" numFmtId="0" xfId="0" applyAlignment="1" applyFont="1">
      <alignment horizontal="center" readingOrder="0"/>
    </xf>
    <xf borderId="2" fillId="5" fontId="11" numFmtId="0" xfId="0" applyAlignment="1" applyBorder="1" applyFill="1" applyFont="1">
      <alignment horizontal="center" readingOrder="0"/>
    </xf>
    <xf borderId="3" fillId="5" fontId="11" numFmtId="0" xfId="0" applyAlignment="1" applyBorder="1" applyFill="1" applyFont="1">
      <alignment horizontal="center" readingOrder="0"/>
    </xf>
    <xf borderId="0" fillId="0" fontId="11" numFmtId="0" xfId="0" applyAlignment="1" applyFont="1">
      <alignment horizontal="center" readingOrder="0"/>
    </xf>
    <xf borderId="5" fillId="0" fontId="4" numFmtId="0" xfId="0" applyBorder="1" applyFont="1"/>
    <xf borderId="6" fillId="0" fontId="4" numFmtId="0" xfId="0" applyBorder="1" applyFont="1"/>
    <xf borderId="2" fillId="4" fontId="12" numFmtId="0" xfId="0" applyAlignment="1" applyBorder="1" applyFill="1" applyFont="1">
      <alignment horizontal="center" readingOrder="0"/>
    </xf>
    <xf borderId="2" fillId="4" fontId="7" numFmtId="0" xfId="0" applyAlignment="1" applyBorder="1" applyFill="1" applyFont="1">
      <alignment horizontal="center" readingOrder="0"/>
    </xf>
    <xf borderId="7" fillId="5" fontId="13" numFmtId="0" xfId="0" applyAlignment="1" applyBorder="1" applyFill="1" applyFont="1">
      <alignment horizontal="center" vertical="center"/>
    </xf>
    <xf borderId="8" fillId="0" fontId="5" numFmtId="0" xfId="0" applyBorder="1" applyFont="1"/>
    <xf borderId="7" fillId="5" fontId="13" numFmtId="10" xfId="0" applyAlignment="1" applyBorder="1" applyFill="1" applyFont="1" applyNumberFormat="1">
      <alignment horizontal="center" vertical="center"/>
    </xf>
    <xf borderId="9" fillId="0" fontId="5" numFmtId="0" xfId="0" applyBorder="1" applyFont="1"/>
    <xf borderId="10" fillId="0" fontId="5" numFmtId="0" xfId="0" applyBorder="1" applyFont="1"/>
    <xf borderId="2" fillId="0" fontId="2" numFmtId="0" xfId="0" applyAlignment="1" applyBorder="1" applyFont="1">
      <alignment horizontal="left" readingOrder="0" shrinkToFit="0" vertical="top" wrapText="1"/>
    </xf>
    <xf borderId="2" fillId="0" fontId="4" numFmtId="0" xfId="0" applyAlignment="1" applyBorder="1" applyFont="1">
      <alignment readingOrder="0" shrinkToFit="0" vertical="top" wrapText="1"/>
    </xf>
    <xf borderId="2" fillId="0" fontId="2" numFmtId="0" xfId="0" applyAlignment="1" applyBorder="1" applyFont="1">
      <alignment readingOrder="0" shrinkToFit="0" wrapText="1"/>
    </xf>
  </cellXfs>
  <cellStyles count="1">
    <cellStyle xfId="0" name="Normal" builtinId="0"/>
  </cellStyles>
  <dxfs count="1">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4.xml"/><Relationship Id="rId14"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Contract Type</a:t>
            </a:r>
          </a:p>
        </c:rich>
      </c:tx>
      <c:overlay val="0"/>
    </c:title>
    <c:plotArea>
      <c:layout/>
      <c:barChart>
        <c:barDir val="col"/>
        <c:varyColors val="0"/>
        <c:ser>
          <c:idx val="0"/>
          <c:order val="0"/>
          <c:tx>
            <c:strRef>
              <c:f>Churn_Analysis!$D$6</c:f>
            </c:strRef>
          </c:tx>
          <c:spPr>
            <a:solidFill>
              <a:srgbClr val="D5A6BD"/>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Churn_Analysis!$A$7:$A$9</c:f>
            </c:strRef>
          </c:cat>
          <c:val>
            <c:numRef>
              <c:f>Churn_Analysis!$D$7:$D$9</c:f>
              <c:numCache/>
            </c:numRef>
          </c:val>
        </c:ser>
        <c:axId val="1256463035"/>
        <c:axId val="1568333881"/>
      </c:barChart>
      <c:catAx>
        <c:axId val="12564630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8333881"/>
      </c:catAx>
      <c:valAx>
        <c:axId val="15683338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64630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Subscription Plan</a:t>
            </a:r>
          </a:p>
        </c:rich>
      </c:tx>
      <c:overlay val="0"/>
    </c:title>
    <c:plotArea>
      <c:layout/>
      <c:barChart>
        <c:barDir val="col"/>
        <c:varyColors val="0"/>
        <c:ser>
          <c:idx val="0"/>
          <c:order val="0"/>
          <c:tx>
            <c:strRef>
              <c:f>Churn_Analysis!$D$23</c:f>
            </c:strRef>
          </c:tx>
          <c:spPr>
            <a:solidFill>
              <a:srgbClr val="D5A6BD"/>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Churn_Analysis!$A$24:$A$26</c:f>
            </c:strRef>
          </c:cat>
          <c:val>
            <c:numRef>
              <c:f>Churn_Analysis!$D$24:$D$26</c:f>
              <c:numCache/>
            </c:numRef>
          </c:val>
        </c:ser>
        <c:axId val="100034527"/>
        <c:axId val="1472915472"/>
      </c:barChart>
      <c:catAx>
        <c:axId val="100034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2915472"/>
      </c:catAx>
      <c:valAx>
        <c:axId val="1472915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03452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Satisfaction Group</a:t>
            </a:r>
          </a:p>
        </c:rich>
      </c:tx>
      <c:overlay val="0"/>
    </c:title>
    <c:plotArea>
      <c:layout/>
      <c:barChart>
        <c:barDir val="col"/>
        <c:varyColors val="0"/>
        <c:ser>
          <c:idx val="0"/>
          <c:order val="0"/>
          <c:spPr>
            <a:solidFill>
              <a:srgbClr val="D5A6BD"/>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Churn_Analysis!$A$37:$A$40</c:f>
            </c:strRef>
          </c:cat>
          <c:val>
            <c:numRef>
              <c:f>Churn_Analysis!$D$37:$D$40</c:f>
              <c:numCache/>
            </c:numRef>
          </c:val>
        </c:ser>
        <c:axId val="1826401635"/>
        <c:axId val="879825138"/>
      </c:barChart>
      <c:catAx>
        <c:axId val="18264016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9825138"/>
      </c:catAx>
      <c:valAx>
        <c:axId val="879825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640163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Customer Tenure </a:t>
            </a:r>
          </a:p>
        </c:rich>
      </c:tx>
      <c:overlay val="0"/>
    </c:title>
    <c:plotArea>
      <c:layout/>
      <c:barChart>
        <c:barDir val="col"/>
        <c:varyColors val="0"/>
        <c:ser>
          <c:idx val="0"/>
          <c:order val="0"/>
          <c:tx>
            <c:strRef>
              <c:f>Churn_Analysis!$D$209</c:f>
            </c:strRef>
          </c:tx>
          <c:spPr>
            <a:solidFill>
              <a:srgbClr val="D5A6BD"/>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Churn_Analysis!$A$210:$A$213</c:f>
            </c:strRef>
          </c:cat>
          <c:val>
            <c:numRef>
              <c:f>Churn_Analysis!$D$210:$D$213</c:f>
              <c:numCache/>
            </c:numRef>
          </c:val>
        </c:ser>
        <c:axId val="605356425"/>
        <c:axId val="573211591"/>
      </c:barChart>
      <c:catAx>
        <c:axId val="605356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3211591"/>
      </c:catAx>
      <c:valAx>
        <c:axId val="573211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535642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Number of Complaints</a:t>
            </a:r>
          </a:p>
        </c:rich>
      </c:tx>
      <c:overlay val="0"/>
    </c:title>
    <c:plotArea>
      <c:layout/>
      <c:barChart>
        <c:barDir val="col"/>
        <c:varyColors val="0"/>
        <c:ser>
          <c:idx val="0"/>
          <c:order val="0"/>
          <c:tx>
            <c:strRef>
              <c:f>Churn_Analysis!$D$63</c:f>
            </c:strRef>
          </c:tx>
          <c:spPr>
            <a:solidFill>
              <a:srgbClr val="D5A6BD"/>
            </a:solidFill>
            <a:ln cmpd="sng">
              <a:noFill/>
            </a:ln>
          </c:spPr>
          <c:invertIfNegative val="0"/>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Churn_Analysis!$A$64:$A$70</c:f>
            </c:strRef>
          </c:cat>
          <c:val>
            <c:numRef>
              <c:f>Churn_Analysis!$D$64:$D$70</c:f>
              <c:numCache/>
            </c:numRef>
          </c:val>
        </c:ser>
        <c:axId val="480004376"/>
        <c:axId val="1333279964"/>
      </c:barChart>
      <c:catAx>
        <c:axId val="4800043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3279964"/>
      </c:catAx>
      <c:valAx>
        <c:axId val="13332799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48000437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Support Tickets</a:t>
            </a:r>
          </a:p>
        </c:rich>
      </c:tx>
      <c:overlay val="0"/>
    </c:title>
    <c:plotArea>
      <c:layout/>
      <c:barChart>
        <c:barDir val="col"/>
        <c:varyColors val="0"/>
        <c:ser>
          <c:idx val="0"/>
          <c:order val="0"/>
          <c:spPr>
            <a:solidFill>
              <a:srgbClr val="D5A6BD"/>
            </a:solidFill>
            <a:ln cmpd="sng">
              <a:noFill/>
            </a:ln>
          </c:spPr>
          <c:invertIfNegative val="0"/>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Churn_Analysis!$A$173:$A$180</c:f>
            </c:strRef>
          </c:cat>
          <c:val>
            <c:numRef>
              <c:f>Churn_Analysis!$D$173:$D$180</c:f>
              <c:numCache/>
            </c:numRef>
          </c:val>
        </c:ser>
        <c:axId val="862240019"/>
        <c:axId val="1594918460"/>
      </c:barChart>
      <c:catAx>
        <c:axId val="862240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94918460"/>
      </c:catAx>
      <c:valAx>
        <c:axId val="1594918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86224001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7</xdr:row>
      <xdr:rowOff>190500</xdr:rowOff>
    </xdr:from>
    <xdr:ext cx="4772025" cy="2590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7</xdr:row>
      <xdr:rowOff>190500</xdr:rowOff>
    </xdr:from>
    <xdr:ext cx="4791075" cy="2590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9525</xdr:colOff>
      <xdr:row>21</xdr:row>
      <xdr:rowOff>647700</xdr:rowOff>
    </xdr:from>
    <xdr:ext cx="4772025" cy="25908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942975</xdr:colOff>
      <xdr:row>21</xdr:row>
      <xdr:rowOff>647700</xdr:rowOff>
    </xdr:from>
    <xdr:ext cx="4791075" cy="25908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9525</xdr:colOff>
      <xdr:row>36</xdr:row>
      <xdr:rowOff>0</xdr:rowOff>
    </xdr:from>
    <xdr:ext cx="4791075" cy="25908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942975</xdr:colOff>
      <xdr:row>36</xdr:row>
      <xdr:rowOff>0</xdr:rowOff>
    </xdr:from>
    <xdr:ext cx="4791075" cy="25908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809" sheet="Cleaned_Data"/>
  </cacheSource>
  <cacheFields>
    <cacheField name="Customer_ID" numFmtId="0">
      <sharedItems>
        <s v="C01310"/>
        <s v="C00477"/>
        <s v="C01564"/>
        <s v="C00741"/>
        <s v="C01438"/>
        <s v="C00549"/>
        <s v="C00539"/>
        <s v="C01221"/>
        <s v="C00007"/>
        <s v="C00230"/>
        <s v="C00543"/>
        <s v="C00693"/>
        <s v="C00439"/>
        <s v="C00125"/>
        <s v="C00201"/>
        <s v="C00932"/>
        <s v="C01197"/>
        <s v="C00082"/>
        <s v="C00937"/>
        <s v="C00898"/>
        <s v="C01470"/>
        <s v="C00331"/>
        <s v="C00747"/>
        <s v="C00368"/>
        <s v="C00467"/>
        <s v="C01190"/>
        <s v="C00004"/>
        <s v="C01428"/>
        <s v="C01188"/>
        <s v="C00461"/>
        <s v="C01538"/>
        <s v="C01220"/>
        <s v="C01569"/>
        <s v="C00132"/>
        <s v="C01544"/>
        <s v="C01484"/>
        <s v="C00777"/>
        <s v="C01600"/>
        <s v="C00344"/>
        <s v="C00209"/>
        <s v="C00742"/>
        <s v="C00924"/>
        <s v="C01139"/>
        <s v="C00829"/>
        <s v="C00248"/>
        <s v="C00740"/>
        <s v="C00981"/>
        <s v="C00175"/>
        <s v="C01272"/>
        <s v="C01412"/>
        <s v="C01327"/>
        <s v="C00558"/>
        <s v="C00083"/>
        <s v="C00330"/>
        <s v="C01347"/>
        <s v="C00249"/>
        <s v="C01043"/>
        <s v="C01040"/>
        <s v="C00660"/>
        <s v="C01209"/>
        <s v="C01419"/>
        <s v="C00466"/>
        <s v="C00883"/>
        <s v="C00945"/>
        <s v="C00936"/>
        <s v="C01160"/>
        <s v="C00748"/>
        <s v="C00236"/>
        <s v="C00755"/>
        <s v="C01436"/>
        <s v="C00859"/>
        <s v="C01405"/>
        <s v="C01157"/>
        <s v="C00514"/>
        <s v="C01078"/>
        <s v="C00939"/>
        <s v="C00259"/>
        <s v="C00695"/>
        <s v="C00198"/>
        <s v="C01184"/>
        <s v="C00054"/>
        <s v="C01529"/>
        <s v="C00102"/>
        <s v="C00997"/>
        <s v="C00360"/>
        <s v="C01175"/>
        <s v="C00821"/>
        <s v="C00484"/>
        <s v="C00662"/>
        <s v="C00117"/>
        <s v="C01240"/>
        <s v="C00326"/>
        <s v="C00582"/>
        <s v="C00262"/>
        <s v="C00208"/>
        <s v="C00910"/>
        <s v="C00858"/>
        <s v="C00921"/>
        <s v="C00653"/>
        <s v="C00307"/>
        <s v="C00034"/>
        <s v="C01581"/>
        <s v="C00601"/>
        <s v="C00560"/>
        <s v="C00882"/>
        <s v="C01260"/>
        <s v="C01085"/>
        <s v="C00440"/>
        <s v="C00595"/>
        <s v="C00756"/>
        <s v="C01316"/>
        <s v="C00338"/>
        <s v="C01266"/>
        <s v="C00852"/>
        <s v="C00496"/>
        <s v="C01563"/>
        <s v="C00577"/>
        <s v="C01151"/>
        <s v="C00672"/>
        <s v="C00854"/>
        <s v="C01173"/>
        <s v="C01357"/>
        <s v="C00612"/>
        <s v="C00778"/>
        <s v="C01152"/>
        <s v="C00206"/>
        <s v="C00476"/>
        <s v="C00687"/>
        <s v="C01472"/>
        <s v="C00379"/>
        <s v="C00128"/>
        <s v="C00980"/>
        <s v="C00915"/>
        <s v="C01002"/>
        <s v="C01185"/>
        <s v="C00767"/>
        <s v="C00261"/>
        <s v="C01485"/>
        <s v="C00899"/>
        <s v="C00453"/>
        <s v="C01086"/>
        <s v="C01235"/>
        <s v="C01530"/>
        <s v="C01019"/>
        <s v="C01187"/>
        <s v="C00944"/>
        <s v="C00845"/>
        <s v="C01090"/>
        <s v="C01270"/>
        <s v="C00831"/>
        <s v="C01418"/>
        <s v="C00158"/>
        <s v="C00156"/>
        <s v="C01354"/>
        <s v="C00011"/>
        <s v="C00191"/>
        <s v="C01010"/>
        <s v="C00014"/>
        <s v="C00654"/>
        <s v="C01451"/>
        <s v="C00773"/>
        <s v="C00341"/>
        <s v="C01582"/>
        <s v="C00990"/>
        <s v="C01517"/>
        <s v="C01374"/>
        <s v="C00489"/>
        <s v="C01137"/>
        <s v="C00838"/>
        <s v="C01599"/>
        <s v="C01508"/>
        <s v="C01456"/>
        <s v="C00292"/>
        <s v="C01497"/>
        <s v="C01332"/>
        <s v="C00880"/>
        <s v="C00979"/>
        <s v="C01250"/>
        <s v="C01496"/>
        <s v="C00421"/>
        <s v="C01165"/>
        <s v="C01572"/>
        <s v="C01202"/>
        <s v="C01437"/>
        <s v="C01176"/>
        <s v="C00460"/>
        <s v="C00953"/>
        <s v="C01583"/>
        <s v="C00213"/>
        <s v="C00196"/>
        <s v="C00928"/>
        <s v="C00926"/>
        <s v="C00729"/>
        <s v="C00127"/>
        <s v="C00264"/>
        <s v="C00564"/>
        <s v="C00282"/>
        <s v="C01029"/>
        <s v="C01212"/>
        <s v="C00041"/>
        <s v="C00149"/>
        <s v="C00731"/>
        <s v="C00512"/>
        <s v="C01479"/>
        <s v="C00984"/>
        <s v="C00176"/>
        <s v="C01463"/>
        <s v="C01285"/>
        <s v="C01071"/>
        <s v="C01172"/>
        <s v="C00763"/>
        <s v="C01239"/>
        <s v="C00827"/>
        <s v="C01302"/>
        <s v="C00584"/>
        <s v="C00271"/>
        <s v="C01278"/>
        <s v="C00568"/>
        <s v="C00371"/>
        <s v="C00862"/>
        <s v="C01395"/>
        <s v="C01293"/>
        <s v="C01421"/>
        <s v="C01004"/>
        <s v="C00769"/>
        <s v="C00972"/>
        <s v="C00242"/>
        <s v="C01017"/>
        <s v="C00525"/>
        <s v="C01553"/>
        <s v="C00935"/>
        <s v="C00372"/>
        <s v="C00026"/>
        <s v="C00024"/>
        <s v="C00482"/>
        <s v="C01125"/>
        <s v="C01009"/>
        <s v="C00253"/>
        <s v="C00356"/>
        <s v="C00283"/>
        <s v="C01455"/>
        <s v="C00052"/>
        <s v="C00927"/>
        <s v="C01131"/>
        <s v="C00920"/>
        <s v="C00956"/>
        <s v="C00451"/>
        <s v="C01087"/>
        <s v="C01483"/>
        <s v="C01584"/>
        <s v="C00078"/>
        <s v="C01379"/>
        <s v="C00023"/>
        <s v="C01376"/>
        <s v="C00996"/>
        <s v="C01459"/>
        <s v="C00168"/>
        <s v="C01130"/>
        <s v="C00746"/>
        <s v="C01329"/>
        <s v="C00516"/>
        <s v="C00434"/>
        <s v="C00046"/>
        <s v="C01155"/>
        <s v="C00975"/>
        <s v="C00879"/>
        <s v="C01226"/>
        <s v="C01335"/>
        <s v="C00991"/>
        <s v="C01128"/>
        <s v="C00586"/>
        <s v="C00724"/>
        <s v="C00399"/>
        <s v="C00513"/>
        <s v="C01387"/>
        <s v="C00643"/>
        <s v="C00563"/>
        <s v="C00807"/>
        <s v="C00384"/>
        <s v="C01171"/>
        <s v="C00276"/>
        <s v="C00533"/>
        <s v="C00358"/>
        <s v="C01067"/>
        <s v="C01124"/>
        <s v="C01284"/>
        <s v="C01211"/>
        <s v="C00022"/>
        <s v="C01123"/>
        <s v="C01059"/>
        <s v="C01008"/>
        <s v="C01011"/>
        <s v="C00963"/>
        <s v="C01506"/>
        <s v="C00407"/>
        <s v="C01191"/>
        <s v="C00220"/>
        <s v="C01145"/>
        <s v="C00606"/>
        <s v="C00794"/>
        <s v="C00414"/>
        <s v="C00027"/>
        <s v="C01504"/>
        <s v="C01535"/>
        <s v="C00045"/>
        <s v="C00446"/>
        <s v="C00890"/>
        <s v="C00670"/>
        <s v="C01150"/>
        <s v="C01217"/>
        <s v="C00231"/>
        <s v="C00418"/>
        <s v="C00412"/>
        <s v="C01042"/>
        <s v="C00311"/>
        <s v="C00139"/>
        <s v="C01562"/>
        <s v="C00900"/>
        <s v="C01099"/>
        <s v="C00624"/>
        <s v="C00278"/>
        <s v="C01574"/>
        <s v="C00241"/>
        <s v="C00930"/>
        <s v="C00076"/>
        <s v="C01423"/>
        <s v="C01448"/>
        <s v="C01148"/>
        <s v="C00948"/>
        <s v="C00064"/>
        <s v="C00487"/>
        <s v="C01025"/>
        <s v="C01462"/>
        <s v="C00658"/>
        <s v="C00424"/>
        <s v="C01384"/>
        <s v="C00161"/>
        <s v="C00529"/>
        <s v="C01238"/>
        <s v="C01515"/>
        <s v="C01013"/>
        <s v="C00401"/>
        <s v="C00603"/>
        <s v="C01281"/>
        <s v="C00869"/>
        <s v="C00968"/>
        <s v="C01424"/>
        <s v="C00994"/>
        <s v="C01251"/>
        <s v="C00642"/>
        <s v="C00189"/>
        <s v="C00604"/>
        <s v="C00682"/>
        <s v="C01258"/>
        <s v="C01558"/>
        <s v="C00287"/>
        <s v="C00692"/>
        <s v="C01340"/>
        <s v="C01192"/>
        <s v="C01254"/>
        <s v="C00567"/>
        <s v="C00685"/>
        <s v="C00668"/>
        <s v="C00993"/>
        <s v="C01133"/>
        <s v="C00456"/>
        <s v="C01144"/>
        <s v="C00608"/>
        <s v="C00954"/>
        <s v="C01511"/>
        <s v="C01454"/>
        <s v="C00628"/>
        <s v="C00764"/>
        <s v="C01326"/>
        <s v="C01389"/>
        <s v="C00172"/>
        <s v="C00791"/>
        <s v="C01493"/>
        <s v="C00849"/>
        <s v="C01516"/>
        <s v="C00059"/>
        <s v="C00036"/>
        <s v="C00598"/>
        <s v="C00295"/>
        <s v="C01525"/>
        <s v="C00088"/>
        <s v="C00901"/>
        <s v="C00877"/>
        <s v="C00245"/>
        <s v="C00571"/>
        <s v="C01287"/>
        <s v="C01557"/>
        <s v="C00786"/>
        <s v="C01466"/>
        <s v="C01014"/>
        <s v="C00200"/>
        <s v="C01169"/>
        <s v="C00690"/>
        <s v="C00410"/>
        <s v="C00894"/>
        <s v="C01233"/>
        <s v="C01069"/>
        <s v="C00359"/>
        <s v="C00297"/>
        <s v="C01404"/>
        <s v="C01571"/>
        <s v="C00721"/>
        <s v="C01180"/>
        <s v="C00671"/>
        <s v="C00243"/>
        <s v="C01461"/>
        <s v="C00074"/>
        <s v="C00254"/>
        <s v="C00943"/>
        <s v="C00795"/>
        <s v="C01072"/>
        <s v="C01575"/>
        <s v="C00033"/>
        <s v="C00239"/>
        <s v="C01292"/>
        <s v="C00039"/>
        <s v="C00962"/>
        <s v="C00207"/>
        <s v="C01265"/>
        <s v="C01548"/>
        <s v="C01561"/>
        <s v="C00351"/>
        <s v="C00940"/>
        <s v="C01177"/>
        <s v="C01115"/>
        <s v="C00931"/>
        <s v="C01205"/>
        <s v="C00265"/>
        <s v="C00005"/>
        <s v="C01034"/>
        <s v="C01552"/>
        <s v="C00174"/>
        <s v="C01110"/>
        <s v="C00611"/>
        <s v="C00952"/>
        <s v="C01154"/>
        <s v="C00504"/>
        <s v="C01573"/>
        <s v="C00480"/>
        <s v="C00350"/>
        <s v="C01259"/>
        <s v="C01478"/>
        <s v="C00153"/>
        <s v="C00911"/>
        <s v="C00703"/>
        <s v="C00141"/>
        <s v="C00378"/>
        <s v="C00449"/>
        <s v="C00431"/>
        <s v="C01091"/>
        <s v="C01290"/>
        <s v="C01022"/>
        <s v="C00481"/>
        <s v="C01196"/>
        <s v="C00479"/>
        <s v="C01119"/>
        <s v="C00535"/>
        <s v="C00768"/>
        <s v="C00066"/>
        <s v="C00973"/>
        <s v="C00565"/>
        <s v="C00590"/>
        <s v="C01431"/>
        <s v="C00157"/>
        <s v="C00813"/>
        <s v="C00572"/>
        <s v="C00734"/>
        <s v="C00452"/>
        <s v="C01032"/>
        <s v="C01501"/>
        <s v="C00133"/>
        <s v="C00638"/>
        <s v="C00774"/>
        <s v="C00313"/>
        <s v="C00333"/>
        <s v="C01026"/>
        <s v="C00406"/>
        <s v="C01304"/>
        <s v="C01363"/>
        <s v="C01397"/>
        <s v="C00053"/>
        <s v="C00035"/>
        <s v="C00914"/>
        <s v="C01319"/>
        <s v="C00183"/>
        <s v="C00868"/>
        <s v="C01024"/>
        <s v="C01443"/>
        <s v="C00111"/>
        <s v="C01390"/>
        <s v="C00889"/>
        <s v="C01215"/>
        <s v="C00736"/>
        <s v="C00561"/>
        <s v="C00578"/>
        <s v="C00020"/>
        <s v="C00725"/>
        <s v="C01495"/>
        <s v="C01430"/>
        <s v="C01084"/>
        <s v="C00223"/>
        <s v="C00065"/>
        <s v="C00270"/>
        <s v="C00394"/>
        <s v="C00875"/>
        <s v="C00435"/>
        <s v="C01578"/>
        <s v="C00268"/>
        <s v="C01093"/>
        <s v="C01051"/>
        <s v="C00569"/>
        <s v="C00541"/>
        <s v="C00218"/>
        <s v="C01408"/>
        <s v="C00028"/>
        <s v="C00211"/>
        <s v="C00348"/>
        <s v="C01229"/>
        <s v="C01094"/>
        <s v="C00301"/>
        <s v="C00743"/>
        <s v="C00266"/>
        <s v="C00738"/>
        <s v="C01121"/>
        <s v="C00970"/>
        <s v="C00325"/>
        <s v="C00299"/>
        <s v="C00517"/>
        <s v="C00190"/>
        <s v="C00021"/>
        <s v="C00233"/>
        <s v="C01231"/>
        <s v="C00848"/>
        <s v="C01112"/>
        <s v="C00843"/>
        <s v="C00781"/>
        <s v="C00896"/>
        <s v="C00383"/>
        <s v="C00212"/>
        <s v="C01061"/>
        <s v="C00340"/>
        <s v="C00343"/>
        <s v="C00136"/>
        <s v="C00037"/>
        <s v="C00459"/>
        <s v="C00227"/>
        <s v="C01543"/>
        <s v="C01457"/>
        <s v="C00959"/>
        <s v="C01041"/>
        <s v="C01245"/>
        <s v="C00093"/>
        <s v="C01359"/>
        <s v="C00303"/>
        <s v="C01309"/>
        <s v="C00391"/>
        <s v="C00594"/>
        <s v="C00722"/>
        <s v="C01199"/>
        <s v="C01118"/>
        <s v="C00841"/>
        <s v="C00458"/>
        <s v="C01368"/>
        <s v="C00798"/>
        <s v="C00432"/>
        <s v="C00140"/>
        <s v="C00713"/>
        <s v="C00216"/>
        <s v="C00709"/>
        <s v="C00884"/>
        <s v="C00881"/>
        <s v="C00846"/>
        <s v="C00600"/>
        <s v="C00473"/>
        <s v="C01352"/>
        <s v="C01338"/>
        <s v="C00447"/>
        <s v="C00147"/>
        <s v="C00308"/>
        <s v="C01066"/>
        <s v="C00912"/>
        <s v="C01591"/>
        <s v="C00032"/>
        <s v="C00758"/>
        <s v="C00712"/>
        <s v="C00197"/>
        <s v="C00162"/>
        <s v="C00651"/>
        <s v="C00579"/>
        <s v="C01409"/>
        <s v="C01225"/>
        <s v="C00536"/>
        <s v="C00840"/>
        <s v="C00766"/>
        <s v="C00618"/>
        <s v="C00619"/>
        <s v="C01038"/>
        <s v="C00977"/>
        <s v="C01534"/>
        <s v="C01218"/>
        <s v="C01048"/>
        <s v="C00365"/>
        <s v="C00562"/>
        <s v="C01446"/>
        <s v="C00955"/>
        <s v="C00167"/>
        <s v="C00463"/>
        <s v="C01522"/>
        <s v="C00957"/>
        <s v="C00989"/>
        <s v="C01223"/>
        <s v="C00411"/>
        <s v="C00205"/>
        <s v="C00580"/>
        <s v="C00793"/>
        <s v="C00923"/>
        <s v="C00084"/>
        <s v="C01429"/>
        <s v="C01382"/>
        <s v="C00776"/>
        <s v="C00322"/>
        <s v="C01268"/>
        <s v="C01183"/>
        <s v="C00015"/>
        <s v="C00816"/>
        <s v="C01345"/>
        <s v="C00605"/>
        <s v="C00527"/>
        <s v="C00634"/>
        <s v="C00817"/>
        <s v="C01413"/>
        <s v="C00441"/>
        <s v="C00555"/>
        <s v="C01282"/>
        <s v="C00194"/>
        <s v="C01403"/>
        <s v="C00012"/>
        <s v="C00784"/>
        <s v="C01588"/>
        <s v="C00288"/>
        <s v="C00523"/>
        <s v="C01540"/>
        <s v="C00044"/>
        <s v="C01577"/>
        <s v="C01348"/>
        <s v="C00780"/>
        <s v="C00544"/>
        <s v="C00457"/>
        <s v="C00691"/>
        <s v="C01113"/>
        <s v="C00374"/>
        <s v="C00985"/>
        <s v="C01487"/>
        <s v="C00256"/>
        <s v="C01554"/>
        <s v="C01378"/>
        <s v="C00665"/>
        <s v="C01103"/>
        <s v="C00902"/>
        <s v="C00819"/>
        <s v="C01186"/>
        <s v="C00635"/>
        <s v="C01587"/>
        <s v="C00680"/>
        <s v="C00364"/>
        <s v="C00042"/>
        <s v="C00354"/>
        <s v="C01275"/>
        <s v="C01081"/>
        <s v="C00150"/>
        <s v="C00799"/>
        <s v="C00839"/>
        <s v="C00145"/>
        <s v="C00090"/>
        <s v="C00229"/>
        <s v="C00120"/>
        <s v="C00796"/>
        <s v="C00832"/>
        <s v="C00409"/>
        <s v="C01528"/>
        <s v="C01385"/>
        <s v="C01434"/>
        <s v="C01410"/>
        <s v="C01388"/>
        <s v="C00347"/>
        <s v="C00559"/>
        <s v="C00922"/>
        <s v="C00405"/>
        <s v="C01179"/>
        <s v="C00946"/>
        <s v="C00749"/>
        <s v="C00694"/>
        <s v="C00855"/>
        <s v="C01296"/>
        <s v="C01006"/>
        <s v="C01073"/>
        <s v="C01127"/>
        <s v="C00312"/>
        <s v="C01333"/>
        <s v="C01556"/>
        <s v="C00444"/>
        <s v="C00160"/>
        <s v="C01323"/>
        <s v="C00247"/>
        <s v="C01498"/>
        <s v="C01473"/>
        <s v="C00834"/>
        <s v="C01339"/>
        <s v="C01407"/>
        <s v="C01399"/>
        <s v="C00043"/>
        <s v="C00847"/>
        <s v="C01298"/>
        <s v="C00462"/>
        <s v="C01044"/>
        <s v="C00757"/>
        <s v="C01398"/>
        <s v="C00286"/>
        <s v="C00518"/>
        <s v="C00545"/>
        <s v="C00296"/>
        <s v="C01406"/>
        <s v="C00714"/>
        <s v="C00075"/>
        <s v="C00442"/>
        <s v="C00761"/>
        <s v="C00553"/>
        <s v="C00105"/>
        <s v="C01499"/>
        <s v="C00397"/>
        <s v="C00319"/>
        <s v="C00304"/>
        <s v="C00497"/>
        <s v="C00631"/>
        <s v="C01216"/>
        <s v="C00597"/>
        <s v="C00221"/>
        <s v="C00321"/>
        <s v="C01349"/>
        <s v="C00415"/>
        <s v="C00098"/>
        <s v="C01355"/>
        <s v="C01567"/>
        <s v="C00388"/>
        <s v="C00697"/>
        <s v="C01142"/>
        <s v="C00646"/>
        <s v="C01088"/>
        <s v="C00164"/>
        <s v="C00219"/>
        <s v="C01122"/>
        <s v="C01263"/>
        <s v="C00272"/>
        <s v="C01469"/>
        <s v="C01394"/>
        <s v="C01576"/>
        <s v="C01257"/>
        <s v="C00666"/>
        <s v="C00526"/>
        <s v="C00091"/>
        <s v="C00751"/>
        <s v="C01353"/>
        <s v="C00187"/>
        <s v="C00104"/>
        <s v="C00068"/>
        <s v="C00202"/>
        <s v="C00958"/>
        <s v="C01132"/>
        <s v="C00290"/>
        <s v="C00596"/>
        <s v="C01380"/>
        <s v="C00809"/>
        <s v="C00188"/>
        <s v="C00754"/>
        <s v="C00814"/>
        <s v="C00238"/>
        <s v="C01322"/>
        <s v="C00593"/>
        <s v="C01315"/>
        <s v="C01167"/>
        <s v="C01143"/>
        <s v="C01243"/>
        <s v="C00775"/>
        <s v="C00402"/>
        <s v="C00644"/>
        <s v="C00485"/>
        <s v="C00897"/>
        <s v="C01514"/>
        <s v="C00177"/>
        <s v="C01163"/>
        <s v="C01049"/>
        <s v="C00917"/>
        <s v="C00652"/>
        <s v="C00352"/>
        <s v="C00750"/>
        <s v="C00246"/>
        <s v="C00808"/>
        <s v="C00785"/>
        <s v="C01045"/>
        <s v="C01420"/>
        <s v="C00583"/>
        <s v="C00294"/>
        <s v="C00949"/>
        <s v="C00804"/>
        <s v="C00060"/>
        <s v="C00251"/>
        <s v="C00960"/>
        <s v="C01367"/>
        <s v="C01360"/>
        <s v="C00510"/>
        <s v="C01222"/>
        <s v="C00267"/>
        <s v="C00505"/>
        <s v="C01135"/>
        <s v="C01460"/>
        <s v="C01158"/>
        <s v="C01547"/>
        <s v="C01551"/>
        <s v="C01018"/>
        <s v="C00305"/>
        <s v="C01372"/>
        <s v="C01402"/>
        <s v="C00623"/>
        <s v="C00532"/>
        <s v="C00324"/>
        <s v="C00089"/>
        <s v="C01427"/>
        <s v="C00001"/>
        <s v="C00537"/>
        <s v="C01531"/>
        <s v="C00255"/>
        <s v="C00016"/>
        <s v="C00800"/>
        <s v="C01361"/>
        <s v="C01035"/>
        <s v="C01100"/>
        <s v="C01440"/>
        <s v="C00566"/>
        <s v="C00760"/>
        <s v="C01477"/>
        <s v="C00109"/>
        <s v="C00720"/>
        <s v="C01524"/>
        <s v="C00010"/>
        <s v="C00080"/>
        <s v="C00327"/>
        <s v="C01365"/>
        <s v="C00711"/>
        <s v="C01414"/>
        <s v="C00193"/>
        <s v="C00978"/>
        <s v="C01432"/>
        <s v="C01439"/>
        <s v="C01053"/>
        <s v="C00122"/>
        <s v="C01020"/>
        <s v="C00520"/>
        <s v="C01252"/>
        <s v="C01193"/>
        <s v="C01435"/>
        <s v="C01391"/>
        <s v="C00540"/>
        <s v="C00534"/>
        <s v="C01156"/>
        <s v="C01161"/>
        <s v="C00051"/>
        <s v="C00250"/>
        <s v="C01261"/>
        <s v="C01416"/>
        <s v="C01321"/>
        <s v="C01373"/>
        <s v="C00502"/>
        <s v="C01346"/>
        <s v="C00148"/>
        <s v="C01425"/>
        <s v="C00674"/>
        <s v="C00811"/>
        <s v="C00874"/>
        <s v="C00626"/>
        <s v="C01482"/>
        <s v="C01503"/>
        <s v="C01249"/>
        <s v="C00419"/>
        <s v="C00291"/>
        <s v="C00696"/>
        <s v="C00925"/>
        <s v="C00315"/>
        <s v="C00363"/>
        <s v="C01023"/>
        <s v="C00154"/>
        <s v="C00228"/>
        <s v="C01105"/>
        <s v="C00728"/>
        <s v="C01273"/>
        <s v="C01178"/>
        <s v="C01565"/>
        <s v="C00812"/>
        <s v="C00058"/>
        <s v="C01140"/>
        <s v="C00030"/>
        <s v="C00621"/>
        <s v="C00872"/>
        <s v="C00632"/>
        <s v="C00063"/>
        <s v="C01037"/>
        <s v="C00730"/>
        <s v="C00430"/>
        <s v="C00349"/>
        <s v="C00423"/>
        <s v="C00097"/>
        <s v="C00630"/>
        <s v="C01364"/>
        <s v="C00805"/>
        <s v="C01097"/>
        <s v="C00403"/>
        <s v="C00134"/>
        <s v="C00515"/>
        <s v="C00342"/>
        <s v="C00106"/>
        <s v="C00115"/>
        <s v="C00389"/>
        <s v="C00971"/>
        <s v="C00370"/>
        <s v="C00615"/>
        <s v="C00655"/>
        <s v="C00260"/>
        <s v="C00006"/>
        <s v="C01422"/>
        <s v="C01441"/>
        <s v="C01305"/>
        <s v="C01276"/>
        <s v="C00850"/>
        <s v="C00465"/>
        <s v="C01474"/>
        <s v="C00787"/>
        <s v="C00906"/>
        <s v="C00825"/>
        <s v="C00107"/>
        <s v="C00323"/>
        <s v="C00367"/>
        <s v="C01195"/>
        <s v="C00888"/>
        <s v="C01512"/>
        <s v="C00275"/>
        <s v="C01060"/>
        <s v="C01510"/>
        <s v="C00345"/>
        <s v="C00108"/>
        <s v="C00951"/>
        <s v="C00878"/>
        <s v="C00085"/>
        <s v="C00797"/>
        <s v="C00625"/>
        <s v="C01111"/>
        <s v="C01064"/>
        <s v="C01331"/>
        <s v="C00965"/>
        <s v="C00867"/>
        <s v="C00938"/>
        <s v="C00320"/>
        <s v="C01545"/>
        <s v="C01596"/>
        <s v="C00070"/>
        <s v="C01107"/>
        <s v="C01330"/>
        <s v="C01248"/>
        <s v="C00395"/>
        <s v="C00639"/>
        <s v="C01246"/>
        <s v="C00114"/>
        <s v="C01344"/>
        <s v="C00822"/>
        <s v="C01313"/>
        <s v="C01291"/>
        <s v="C01236"/>
        <s v="C01274"/>
        <s v="C00679"/>
        <s v="C00143"/>
        <s v="C00448"/>
        <s v="C01491"/>
        <s v="C01447"/>
        <s v="C00591"/>
        <s v="C01317"/>
        <s v="C00627"/>
        <s v="C00008"/>
        <s v="C00413"/>
        <s v="C00436"/>
        <s v="C00225"/>
        <s v="C00640"/>
        <s v="C01052"/>
        <s v="C00941"/>
        <s v="C01294"/>
        <s v="C00055"/>
        <s v="C01134"/>
        <s v="C00244"/>
        <s v="C00280"/>
        <s v="C00708"/>
        <s v="C01579"/>
        <s v="C00263"/>
        <s v="C00433"/>
        <s v="C00131"/>
        <s v="C00173"/>
        <s v="C00501"/>
        <s v="C00077"/>
        <s v="C00155"/>
        <s v="C00664"/>
        <s v="C00607"/>
        <s v="C00587"/>
        <s v="C01356"/>
        <s v="C00976"/>
        <s v="C00967"/>
        <s v="C01570"/>
        <s v="C00029"/>
        <s v="C00493"/>
        <s v="C00613"/>
        <s v="C00552"/>
        <s v="C01271"/>
        <s v="C00165"/>
        <s v="C00425"/>
        <s v="C00302"/>
        <s v="C01586"/>
        <s v="C01475"/>
        <s v="C00159"/>
        <s v="C01182"/>
        <s v="C00392"/>
        <s v="C00782"/>
        <s v="C00790"/>
        <s v="C01465"/>
        <s v="C01337"/>
        <s v="C00222"/>
        <s v="C00863"/>
        <s v="C00019"/>
        <s v="C00592"/>
        <s v="C00636"/>
        <s v="C01141"/>
        <s v="C00823"/>
        <s v="C00614"/>
        <s v="C01580"/>
        <s v="C01513"/>
        <s v="C01146"/>
        <s v="C00376"/>
        <s v="C01295"/>
        <s v="C01411"/>
        <s v="C00178"/>
        <s v="C00575"/>
        <s v="C01392"/>
        <s v="C01594"/>
        <s v="C00765"/>
        <s v="C00071"/>
        <s v="C01101"/>
        <s v="C00048"/>
        <s v="C00745"/>
        <s v="C00853"/>
        <s v="C00056"/>
        <s v="C00119"/>
        <s v="C01256"/>
        <s v="C00833"/>
        <s v="C00234"/>
        <s v="C01536"/>
        <s v="C01237"/>
        <s v="C01068"/>
        <s v="C00361"/>
        <s v="C00964"/>
        <s v="C01324"/>
        <s v="C00633"/>
        <s v="C01050"/>
        <s v="C01166"/>
        <s v="C00169"/>
        <s v="C01104"/>
        <s v="C00683"/>
        <s v="C00067"/>
      </sharedItems>
    </cacheField>
    <cacheField name="Customer_Name" numFmtId="0">
      <sharedItems>
        <s v="Meera Das"/>
        <s v="Rahul Das"/>
        <s v="Priya Das"/>
        <s v="Anita Patel"/>
        <s v="Anita Kumar"/>
        <s v="Vikram Patel"/>
        <s v="Anita Sharma"/>
        <s v="Rahul Kumar"/>
        <s v="Rahul Patel"/>
        <s v="Sneha Nair"/>
        <s v="Karan Nair"/>
        <s v="Vikram Nair"/>
        <s v="Arun Patel"/>
        <s v="Arun Kumar"/>
        <s v="Karan Sharma"/>
        <s v="Vikram Das"/>
        <s v="Ravi Patel"/>
        <s v="Vikram Kumar"/>
        <s v="Rahul Singh"/>
        <s v="Sneha Singh"/>
        <s v="Ravi Reddy"/>
        <s v="Meera Singh"/>
        <s v="Ravi Iyer"/>
        <s v="Ravi Kumar"/>
        <s v="Vikram Reddy"/>
        <s v="Sneha Patel"/>
        <s v="Arun Das"/>
        <s v="Karan Patel"/>
        <s v="Neha Sharma"/>
        <s v="Karan Iyer"/>
        <s v="Anita Iyer"/>
        <s v="Anita Nair"/>
        <s v="Meera Iyer"/>
        <s v="Sneha Sharma"/>
        <s v="Meera Kumar"/>
        <s v="Sneha Iyer"/>
        <s v="Ravi Sharma"/>
        <s v="Vikram Singh"/>
        <s v="Sneha Reddy"/>
        <s v="Anita Reddy"/>
        <s v="Rahul Sharma"/>
        <s v="Arun Reddy"/>
        <s v="Priya Kumar"/>
        <s v="Karan Kumar"/>
        <s v="Anita Singh"/>
        <s v="Neha Nair"/>
        <s v="Rahul Iyer"/>
        <s v="Priya Sharma"/>
        <s v="Ravi Singh"/>
        <s v="Arun Iyer"/>
        <s v="Neha Das"/>
        <s v="Priya Patel"/>
        <s v="Meera Sharma"/>
        <s v="Priya Reddy"/>
        <s v="Arun Nair"/>
        <s v="Priya Singh"/>
        <s v="Meera Nair"/>
        <s v="Neha Singh"/>
        <s v="Sneha Kumar"/>
        <s v="Neha Iyer"/>
        <s v="Rahul Nair"/>
        <s v="Karan Das"/>
        <s v="Vikram Sharma"/>
        <s v="Rahul Reddy"/>
        <s v="Karan Reddy"/>
        <s v="Vikram Iyer"/>
        <s v="Neha Kumar"/>
        <s v="Meera Reddy"/>
        <s v="Neha Patel"/>
        <s v="Arun Singh"/>
        <s v="Ravi Das"/>
        <s v="Meera Patel"/>
        <s v="Anita Das"/>
        <s v="Neha Reddy"/>
        <s v="Priya Nair"/>
        <s v="Ravi Nair"/>
        <s v="Arun Sharma"/>
        <s v="Sneha Das"/>
        <s v="Priya Iyer"/>
        <s v="Karan Singh"/>
      </sharedItems>
    </cacheField>
    <cacheField name="Age">
      <sharedItems containsMixedTypes="1" containsNumber="1" containsInteger="1">
        <s v=""/>
        <n v="40.0"/>
        <n v="24.0"/>
        <n v="42.0"/>
        <n v="33.0"/>
        <n v="34.0"/>
        <n v="57.0"/>
        <n v="37.0"/>
        <n v="61.0"/>
        <n v="26.0"/>
        <n v="51.0"/>
        <n v="65.0"/>
        <n v="43.0"/>
        <n v="66.0"/>
        <n v="55.0"/>
        <n v="27.0"/>
        <n v="36.0"/>
        <n v="19.0"/>
        <n v="46.0"/>
        <n v="29.0"/>
        <n v="31.0"/>
        <n v="20.0"/>
        <n v="35.0"/>
        <n v="38.0"/>
        <n v="44.0"/>
        <n v="48.0"/>
        <n v="49.0"/>
        <n v="41.0"/>
        <n v="56.0"/>
        <n v="45.0"/>
        <n v="39.0"/>
        <n v="25.0"/>
        <n v="28.0"/>
        <n v="67.0"/>
        <n v="60.0"/>
        <n v="23.0"/>
        <n v="54.0"/>
        <n v="50.0"/>
        <n v="58.0"/>
        <n v="22.0"/>
        <n v="59.0"/>
        <n v="47.0"/>
        <n v="68.0"/>
        <n v="62.0"/>
        <n v="64.0"/>
        <n v="63.0"/>
        <n v="21.0"/>
        <n v="52.0"/>
        <n v="32.0"/>
        <n v="30.0"/>
        <n v="53.0"/>
        <n v="99.0"/>
        <n v="105.0"/>
        <n v="15.0"/>
        <n v="12.0"/>
      </sharedItems>
    </cacheField>
    <cacheField name="Region" numFmtId="0">
      <sharedItems>
        <s v="North"/>
        <s v="East"/>
        <s v="South"/>
        <s v="West"/>
      </sharedItems>
    </cacheField>
    <cacheField name="City" numFmtId="0">
      <sharedItems>
        <s v="Delhi"/>
        <s v="Jaipur"/>
        <s v="Kolkata"/>
        <s v="Bengaluru"/>
        <s v="Surat"/>
        <s v="Ahmedabad"/>
        <s v="Bhubaneswar"/>
        <s v="Patna"/>
        <s v="Pune"/>
        <s v="Kochi"/>
        <s v="Guwahati"/>
        <s v="Lucknow"/>
        <s v="Chandigarh"/>
        <s v="Hyderabad"/>
        <s v="Chennai"/>
        <s v=""/>
        <s v="Mumbai"/>
      </sharedItems>
    </cacheField>
    <cacheField name="Plan" numFmtId="0">
      <sharedItems>
        <s v="Standard"/>
        <s v="Basic"/>
        <s v="Premium"/>
      </sharedItems>
    </cacheField>
    <cacheField name="Acquisition_Channel" numFmtId="0">
      <sharedItems>
        <s v="Instagram"/>
        <s v="Facebook"/>
        <s v="Google Ads"/>
        <s v="Organic Search"/>
        <s v="Youtube"/>
        <s v="Email"/>
        <s v="Referral"/>
      </sharedItems>
    </cacheField>
    <cacheField name="Signup_Date" numFmtId="164">
      <sharedItems containsSemiMixedTypes="0" containsDate="1" containsString="0">
        <d v="2023-04-03T00:00:00Z"/>
        <d v="2025-01-21T00:00:00Z"/>
        <d v="2024-01-06T00:00:00Z"/>
        <d v="2023-08-16T00:00:00Z"/>
        <d v="2022-12-01T00:00:00Z"/>
        <d v="2023-10-07T00:00:00Z"/>
        <d v="2024-11-09T00:00:00Z"/>
        <d v="2022-01-24T00:00:00Z"/>
        <d v="2025-07-04T00:00:00Z"/>
        <d v="2025-03-07T00:00:00Z"/>
        <d v="2025-11-13T00:00:00Z"/>
        <d v="2022-05-26T00:00:00Z"/>
        <d v="2024-04-13T00:00:00Z"/>
        <d v="2023-05-25T00:00:00Z"/>
        <d v="2023-04-30T00:00:00Z"/>
        <d v="2025-02-12T00:00:00Z"/>
        <d v="2022-06-14T00:00:00Z"/>
        <d v="2024-12-06T00:00:00Z"/>
        <d v="2025-02-27T00:00:00Z"/>
        <d v="2023-09-06T00:00:00Z"/>
        <d v="2023-06-25T00:00:00Z"/>
        <d v="2022-06-04T00:00:00Z"/>
        <d v="2025-09-27T00:00:00Z"/>
        <d v="2023-05-24T00:00:00Z"/>
        <d v="2023-11-04T00:00:00Z"/>
        <d v="2023-12-09T00:00:00Z"/>
        <d v="2023-11-08T00:00:00Z"/>
        <d v="2024-02-16T00:00:00Z"/>
        <d v="2023-03-14T00:00:00Z"/>
        <d v="2024-08-31T00:00:00Z"/>
        <d v="2025-11-26T00:00:00Z"/>
        <d v="2024-10-30T00:00:00Z"/>
        <d v="2023-08-09T00:00:00Z"/>
        <d v="2024-05-01T00:00:00Z"/>
        <d v="2025-01-23T00:00:00Z"/>
        <d v="2024-12-29T00:00:00Z"/>
        <d v="2022-02-11T00:00:00Z"/>
        <d v="2025-03-31T00:00:00Z"/>
        <d v="2022-03-26T00:00:00Z"/>
        <d v="2024-12-04T00:00:00Z"/>
        <d v="2024-04-12T00:00:00Z"/>
        <d v="2024-08-27T00:00:00Z"/>
        <d v="2025-11-14T00:00:00Z"/>
        <d v="2022-09-17T00:00:00Z"/>
        <d v="2023-06-02T00:00:00Z"/>
        <d v="2025-05-26T00:00:00Z"/>
        <d v="2025-07-05T00:00:00Z"/>
        <d v="2025-12-18T00:00:00Z"/>
        <d v="2022-05-03T00:00:00Z"/>
        <d v="2024-06-03T00:00:00Z"/>
        <d v="2023-07-24T00:00:00Z"/>
        <d v="2025-09-18T00:00:00Z"/>
        <d v="2024-01-11T00:00:00Z"/>
        <d v="2025-02-02T00:00:00Z"/>
        <d v="2023-05-15T00:00:00Z"/>
        <d v="2025-04-17T00:00:00Z"/>
        <d v="2024-04-21T00:00:00Z"/>
        <d v="2022-07-24T00:00:00Z"/>
        <d v="2025-10-13T00:00:00Z"/>
        <d v="2025-07-21T00:00:00Z"/>
        <d v="2025-10-28T00:00:00Z"/>
        <d v="2024-08-10T00:00:00Z"/>
        <d v="2024-09-16T00:00:00Z"/>
        <d v="2023-04-17T00:00:00Z"/>
        <d v="2024-04-30T00:00:00Z"/>
        <d v="2025-10-17T00:00:00Z"/>
        <d v="2022-08-10T00:00:00Z"/>
        <d v="2022-03-18T00:00:00Z"/>
        <d v="2024-09-29T00:00:00Z"/>
        <d v="2023-01-24T00:00:00Z"/>
        <d v="2023-03-01T00:00:00Z"/>
        <d v="2022-09-27T00:00:00Z"/>
        <d v="2024-01-12T00:00:00Z"/>
        <d v="2024-04-02T00:00:00Z"/>
        <d v="2024-12-22T00:00:00Z"/>
        <d v="2023-10-03T00:00:00Z"/>
        <d v="2025-02-24T00:00:00Z"/>
        <d v="2023-09-25T00:00:00Z"/>
        <d v="2022-11-19T00:00:00Z"/>
        <d v="2024-09-21T00:00:00Z"/>
        <d v="2022-04-23T00:00:00Z"/>
        <d v="2024-10-21T00:00:00Z"/>
        <d v="2022-02-12T00:00:00Z"/>
        <d v="2023-11-27T00:00:00Z"/>
        <d v="2025-05-18T00:00:00Z"/>
        <d v="2024-06-24T00:00:00Z"/>
        <d v="2022-07-04T00:00:00Z"/>
        <d v="2022-07-31T00:00:00Z"/>
        <d v="2024-04-17T00:00:00Z"/>
        <d v="2025-09-21T00:00:00Z"/>
        <d v="2024-01-13T00:00:00Z"/>
        <d v="2022-09-26T00:00:00Z"/>
        <d v="2023-09-26T00:00:00Z"/>
        <d v="2023-05-28T00:00:00Z"/>
        <d v="2024-07-12T00:00:00Z"/>
        <d v="2022-03-20T00:00:00Z"/>
        <d v="2023-09-09T00:00:00Z"/>
        <d v="2025-06-13T00:00:00Z"/>
        <d v="2025-07-25T00:00:00Z"/>
        <d v="2023-11-25T00:00:00Z"/>
        <d v="2023-10-09T00:00:00Z"/>
        <d v="2024-06-19T00:00:00Z"/>
        <d v="2023-11-03T00:00:00Z"/>
        <d v="2022-04-28T00:00:00Z"/>
        <d v="2023-05-27T00:00:00Z"/>
        <d v="2022-06-01T00:00:00Z"/>
        <d v="2025-07-30T00:00:00Z"/>
        <d v="2022-05-15T00:00:00Z"/>
        <d v="2023-12-07T00:00:00Z"/>
        <d v="2023-12-10T00:00:00Z"/>
        <d v="2025-05-24T00:00:00Z"/>
        <d v="2023-08-17T00:00:00Z"/>
        <d v="2022-10-22T00:00:00Z"/>
        <d v="2022-10-16T00:00:00Z"/>
        <d v="2024-10-18T00:00:00Z"/>
        <d v="2022-08-09T00:00:00Z"/>
        <d v="2024-03-02T00:00:00Z"/>
        <d v="2023-09-05T00:00:00Z"/>
        <d v="2025-09-04T00:00:00Z"/>
        <d v="2024-05-07T00:00:00Z"/>
        <d v="2024-07-30T00:00:00Z"/>
        <d v="2022-10-27T00:00:00Z"/>
        <d v="2025-04-16T00:00:00Z"/>
        <d v="2022-12-27T00:00:00Z"/>
        <d v="2024-12-09T00:00:00Z"/>
        <d v="2023-08-28T00:00:00Z"/>
        <d v="2022-01-14T00:00:00Z"/>
        <d v="2025-11-06T00:00:00Z"/>
        <d v="2024-02-05T00:00:00Z"/>
        <d v="2022-05-07T00:00:00Z"/>
        <d v="2022-09-28T00:00:00Z"/>
        <d v="2022-05-11T00:00:00Z"/>
        <d v="2024-02-09T00:00:00Z"/>
        <d v="2024-08-06T00:00:00Z"/>
        <d v="2022-04-26T00:00:00Z"/>
        <d v="2025-04-26T00:00:00Z"/>
        <d v="2023-01-12T00:00:00Z"/>
        <d v="2025-04-18T00:00:00Z"/>
        <d v="2023-02-23T00:00:00Z"/>
        <d v="2024-08-19T00:00:00Z"/>
        <d v="2025-01-24T00:00:00Z"/>
        <d v="2022-01-19T00:00:00Z"/>
        <d v="2023-07-17T00:00:00Z"/>
        <d v="2022-06-11T00:00:00Z"/>
        <d v="2025-07-28T00:00:00Z"/>
        <d v="2025-11-02T00:00:00Z"/>
        <d v="2024-03-07T00:00:00Z"/>
        <d v="2022-03-02T00:00:00Z"/>
        <d v="2023-05-20T00:00:00Z"/>
        <d v="2022-07-29T00:00:00Z"/>
        <d v="2024-03-05T00:00:00Z"/>
        <d v="2024-05-12T00:00:00Z"/>
        <d v="2023-11-06T00:00:00Z"/>
        <d v="2023-05-12T00:00:00Z"/>
        <d v="2025-11-19T00:00:00Z"/>
        <d v="2025-04-07T00:00:00Z"/>
        <d v="2024-05-31T00:00:00Z"/>
        <d v="2022-08-03T00:00:00Z"/>
        <d v="2025-11-27T00:00:00Z"/>
        <d v="2025-02-20T00:00:00Z"/>
        <d v="2023-02-26T00:00:00Z"/>
        <d v="2024-03-14T00:00:00Z"/>
        <d v="2022-10-17T00:00:00Z"/>
        <d v="2024-09-27T00:00:00Z"/>
        <d v="2025-03-18T00:00:00Z"/>
        <d v="2024-07-10T00:00:00Z"/>
        <d v="2023-02-28T00:00:00Z"/>
        <d v="2024-04-22T00:00:00Z"/>
        <d v="2024-12-30T00:00:00Z"/>
        <d v="2022-04-10T00:00:00Z"/>
        <d v="2022-07-11T00:00:00Z"/>
        <d v="2022-06-09T00:00:00Z"/>
        <d v="2025-07-10T00:00:00Z"/>
        <d v="2022-10-14T00:00:00Z"/>
        <d v="2023-05-06T00:00:00Z"/>
        <d v="2024-08-22T00:00:00Z"/>
        <d v="2025-08-04T00:00:00Z"/>
        <d v="2023-05-04T00:00:00Z"/>
        <d v="2024-12-07T00:00:00Z"/>
        <d v="2025-07-09T00:00:00Z"/>
        <d v="2022-04-01T00:00:00Z"/>
        <d v="2023-10-18T00:00:00Z"/>
        <d v="2024-07-24T00:00:00Z"/>
        <d v="2022-02-18T00:00:00Z"/>
        <d v="2022-10-19T00:00:00Z"/>
        <d v="2022-05-08T00:00:00Z"/>
        <d v="2022-10-06T00:00:00Z"/>
        <d v="2022-07-05T00:00:00Z"/>
        <d v="2022-12-23T00:00:00Z"/>
        <d v="2024-02-02T00:00:00Z"/>
        <d v="2022-04-14T00:00:00Z"/>
        <d v="2025-06-11T00:00:00Z"/>
        <d v="2024-12-12T00:00:00Z"/>
        <d v="2023-10-16T00:00:00Z"/>
        <d v="2022-04-25T00:00:00Z"/>
        <d v="2023-02-17T00:00:00Z"/>
        <d v="2023-09-11T00:00:00Z"/>
        <d v="2025-11-11T00:00:00Z"/>
        <d v="2022-01-03T00:00:00Z"/>
        <d v="2022-03-10T00:00:00Z"/>
        <d v="2025-08-31T00:00:00Z"/>
        <d v="2022-04-12T00:00:00Z"/>
        <d v="2025-07-31T00:00:00Z"/>
        <d v="2022-04-02T00:00:00Z"/>
        <d v="2023-04-11T00:00:00Z"/>
        <d v="2024-07-08T00:00:00Z"/>
        <d v="2022-05-18T00:00:00Z"/>
        <d v="2025-03-06T00:00:00Z"/>
        <d v="2023-09-29T00:00:00Z"/>
        <d v="2023-02-16T00:00:00Z"/>
        <d v="2025-05-01T00:00:00Z"/>
        <d v="2025-03-17T00:00:00Z"/>
        <d v="2023-09-18T00:00:00Z"/>
        <d v="2024-02-06T00:00:00Z"/>
        <d v="2023-05-08T00:00:00Z"/>
        <d v="2025-12-21T00:00:00Z"/>
        <d v="2023-06-14T00:00:00Z"/>
        <d v="2024-08-07T00:00:00Z"/>
        <d v="2022-11-05T00:00:00Z"/>
        <d v="2024-07-14T00:00:00Z"/>
        <d v="2024-10-27T00:00:00Z"/>
        <d v="2024-04-06T00:00:00Z"/>
        <d v="2025-09-17T00:00:00Z"/>
        <d v="2022-01-20T00:00:00Z"/>
        <d v="2023-02-11T00:00:00Z"/>
        <d v="2022-01-27T00:00:00Z"/>
        <d v="2025-08-18T00:00:00Z"/>
        <d v="2024-05-13T00:00:00Z"/>
        <d v="2025-12-05T00:00:00Z"/>
        <d v="2022-12-05T00:00:00Z"/>
        <d v="2024-07-06T00:00:00Z"/>
        <d v="2025-07-29T00:00:00Z"/>
        <d v="2022-07-19T00:00:00Z"/>
        <d v="2023-02-06T00:00:00Z"/>
        <d v="2022-10-03T00:00:00Z"/>
        <d v="2023-10-05T00:00:00Z"/>
        <d v="2023-12-23T00:00:00Z"/>
        <d v="2023-02-14T00:00:00Z"/>
        <d v="2025-06-24T00:00:00Z"/>
        <d v="2024-11-18T00:00:00Z"/>
        <d v="2025-05-07T00:00:00Z"/>
        <d v="2024-07-01T00:00:00Z"/>
        <d v="2024-02-07T00:00:00Z"/>
        <d v="2023-03-13T00:00:00Z"/>
        <d v="2023-05-31T00:00:00Z"/>
        <d v="2022-05-10T00:00:00Z"/>
        <d v="2022-03-05T00:00:00Z"/>
        <d v="2025-05-06T00:00:00Z"/>
        <d v="2023-02-02T00:00:00Z"/>
        <d v="2025-04-04T00:00:00Z"/>
        <d v="2025-11-21T00:00:00Z"/>
        <d v="2025-10-23T00:00:00Z"/>
        <d v="2023-06-24T00:00:00Z"/>
        <d v="2024-01-20T00:00:00Z"/>
        <d v="2024-01-27T00:00:00Z"/>
        <d v="2023-12-08T00:00:00Z"/>
        <d v="2022-08-31T00:00:00Z"/>
        <d v="2022-11-26T00:00:00Z"/>
        <d v="2023-04-16T00:00:00Z"/>
        <d v="2022-09-24T00:00:00Z"/>
        <d v="2023-12-19T00:00:00Z"/>
        <d v="2022-01-15T00:00:00Z"/>
        <d v="2025-03-02T00:00:00Z"/>
        <d v="2025-12-15T00:00:00Z"/>
        <d v="2022-01-11T00:00:00Z"/>
        <d v="2023-08-10T00:00:00Z"/>
        <d v="2024-11-22T00:00:00Z"/>
        <d v="2022-02-01T00:00:00Z"/>
        <d v="2022-12-25T00:00:00Z"/>
        <d v="2023-05-14T00:00:00Z"/>
        <d v="2024-11-23T00:00:00Z"/>
        <d v="2023-01-10T00:00:00Z"/>
        <d v="2022-06-10T00:00:00Z"/>
        <d v="2023-07-28T00:00:00Z"/>
        <d v="2024-11-27T00:00:00Z"/>
        <d v="2023-12-04T00:00:00Z"/>
        <d v="2023-07-07T00:00:00Z"/>
        <d v="2025-03-08T00:00:00Z"/>
        <d v="2023-06-12T00:00:00Z"/>
        <d v="2024-09-25T00:00:00Z"/>
        <d v="2023-04-13T00:00:00Z"/>
        <d v="2022-02-17T00:00:00Z"/>
        <d v="2022-06-20T00:00:00Z"/>
        <d v="2022-02-28T00:00:00Z"/>
        <d v="2024-12-31T00:00:00Z"/>
        <d v="2024-06-14T00:00:00Z"/>
        <d v="2023-07-05T00:00:00Z"/>
        <d v="2024-10-17T00:00:00Z"/>
        <d v="2024-02-21T00:00:00Z"/>
        <d v="2023-10-02T00:00:00Z"/>
        <d v="2022-08-20T00:00:00Z"/>
        <d v="2025-08-13T00:00:00Z"/>
        <d v="2025-01-18T00:00:00Z"/>
        <d v="2025-06-09T00:00:00Z"/>
        <d v="2025-03-15T00:00:00Z"/>
        <d v="2022-06-13T00:00:00Z"/>
        <d v="2024-11-29T00:00:00Z"/>
        <d v="2024-01-04T00:00:00Z"/>
        <d v="2025-01-31T00:00:00Z"/>
        <d v="2024-03-24T00:00:00Z"/>
        <d v="2023-12-30T00:00:00Z"/>
        <d v="2024-09-26T00:00:00Z"/>
        <d v="2025-08-29T00:00:00Z"/>
        <d v="2024-03-15T00:00:00Z"/>
        <d v="2024-10-24T00:00:00Z"/>
        <d v="2024-05-30T00:00:00Z"/>
        <d v="2025-06-16T00:00:00Z"/>
        <d v="2023-08-13T00:00:00Z"/>
        <d v="2025-11-24T00:00:00Z"/>
        <d v="2022-05-17T00:00:00Z"/>
        <d v="2024-12-24T00:00:00Z"/>
        <d v="2023-12-22T00:00:00Z"/>
        <d v="2024-02-22T00:00:00Z"/>
        <d v="2025-01-13T00:00:00Z"/>
        <d v="2025-11-08T00:00:00Z"/>
        <d v="2023-04-09T00:00:00Z"/>
        <d v="2024-05-25T00:00:00Z"/>
        <d v="2022-03-28T00:00:00Z"/>
        <d v="2023-01-02T00:00:00Z"/>
        <d v="2025-07-22T00:00:00Z"/>
        <d v="2022-11-04T00:00:00Z"/>
        <d v="2023-06-03T00:00:00Z"/>
        <d v="2025-05-20T00:00:00Z"/>
        <d v="2022-03-15T00:00:00Z"/>
        <d v="2023-03-06T00:00:00Z"/>
        <d v="2023-06-16T00:00:00Z"/>
        <d v="2022-01-04T00:00:00Z"/>
        <d v="2023-07-31T00:00:00Z"/>
        <d v="2023-11-24T00:00:00Z"/>
        <d v="2025-03-03T00:00:00Z"/>
        <d v="2022-12-06T00:00:00Z"/>
        <d v="2023-03-19T00:00:00Z"/>
        <d v="2024-12-08T00:00:00Z"/>
        <d v="2023-08-04T00:00:00Z"/>
        <d v="2024-05-23T00:00:00Z"/>
        <d v="2025-12-01T00:00:00Z"/>
        <d v="2022-08-08T00:00:00Z"/>
        <d v="2025-11-22T00:00:00Z"/>
        <d v="2023-10-29T00:00:00Z"/>
        <d v="2022-01-02T00:00:00Z"/>
        <d v="2024-09-23T00:00:00Z"/>
        <d v="2024-05-19T00:00:00Z"/>
        <d v="2025-11-15T00:00:00Z"/>
        <d v="2025-03-30T00:00:00Z"/>
        <d v="2023-07-18T00:00:00Z"/>
        <d v="2022-10-25T00:00:00Z"/>
        <d v="2022-08-26T00:00:00Z"/>
        <d v="2022-01-25T00:00:00Z"/>
        <d v="2022-07-21T00:00:00Z"/>
        <d v="2022-09-07T00:00:00Z"/>
        <d v="2024-05-24T00:00:00Z"/>
        <d v="2022-12-31T00:00:00Z"/>
        <d v="2022-03-13T00:00:00Z"/>
        <d v="2024-03-12T00:00:00Z"/>
        <d v="2024-02-26T00:00:00Z"/>
        <d v="2025-09-01T00:00:00Z"/>
        <d v="2022-04-04T00:00:00Z"/>
        <d v="2025-06-14T00:00:00Z"/>
        <d v="2022-12-22T00:00:00Z"/>
        <d v="2025-07-18T00:00:00Z"/>
        <d v="2022-10-21T00:00:00Z"/>
        <d v="2025-02-16T00:00:00Z"/>
        <d v="2025-11-04T00:00:00Z"/>
        <d v="2025-01-05T00:00:00Z"/>
        <d v="2024-07-20T00:00:00Z"/>
        <d v="2024-08-11T00:00:00Z"/>
        <d v="2024-09-28T00:00:00Z"/>
        <d v="2022-03-24T00:00:00Z"/>
        <d v="2024-01-05T00:00:00Z"/>
        <d v="2023-01-14T00:00:00Z"/>
        <d v="2025-01-15T00:00:00Z"/>
        <d v="2025-02-18T00:00:00Z"/>
        <d v="2024-10-28T00:00:00Z"/>
        <d v="2025-10-10T00:00:00Z"/>
        <d v="2023-04-21T00:00:00Z"/>
        <d v="2023-08-14T00:00:00Z"/>
        <d v="2023-10-11T00:00:00Z"/>
        <d v="2022-02-21T00:00:00Z"/>
        <d v="2025-03-20T00:00:00Z"/>
        <d v="2023-03-28T00:00:00Z"/>
        <d v="2023-02-03T00:00:00Z"/>
        <d v="2023-09-23T00:00:00Z"/>
        <d v="2022-06-26T00:00:00Z"/>
        <d v="2022-10-08T00:00:00Z"/>
        <d v="2022-11-12T00:00:00Z"/>
        <d v="2025-05-11T00:00:00Z"/>
        <d v="2023-10-17T00:00:00Z"/>
        <d v="2022-07-13T00:00:00Z"/>
        <d v="2024-09-20T00:00:00Z"/>
        <d v="2022-08-27T00:00:00Z"/>
        <d v="2024-11-17T00:00:00Z"/>
        <d v="2022-12-18T00:00:00Z"/>
        <d v="2024-05-18T00:00:00Z"/>
        <d v="2022-06-18T00:00:00Z"/>
        <d v="2024-09-01T00:00:00Z"/>
        <d v="2022-07-28T00:00:00Z"/>
        <d v="2022-05-20T00:00:00Z"/>
        <d v="2023-08-25T00:00:00Z"/>
        <d v="2025-10-14T00:00:00Z"/>
        <d v="2023-10-19T00:00:00Z"/>
        <d v="2023-12-21T00:00:00Z"/>
        <d v="2024-08-01T00:00:00Z"/>
        <d v="2023-03-15T00:00:00Z"/>
        <d v="2024-07-17T00:00:00Z"/>
        <d v="2024-08-05T00:00:00Z"/>
        <d v="2025-11-07T00:00:00Z"/>
        <d v="2022-10-07T00:00:00Z"/>
        <d v="2024-01-15T00:00:00Z"/>
        <d v="2025-05-13T00:00:00Z"/>
        <d v="2025-04-22T00:00:00Z"/>
        <d v="2023-09-24T00:00:00Z"/>
        <d v="2022-01-17T00:00:00Z"/>
        <d v="2024-10-03T00:00:00Z"/>
        <d v="2022-04-17T00:00:00Z"/>
        <d v="2025-08-22T00:00:00Z"/>
        <d v="2023-01-08T00:00:00Z"/>
        <d v="2025-05-14T00:00:00Z"/>
        <d v="2023-06-30T00:00:00Z"/>
        <d v="2022-05-30T00:00:00Z"/>
        <d v="2025-10-06T00:00:00Z"/>
        <d v="2022-10-18T00:00:00Z"/>
        <d v="2024-06-12T00:00:00Z"/>
        <d v="2023-01-05T00:00:00Z"/>
        <d v="2022-02-23T00:00:00Z"/>
        <d v="2024-06-04T00:00:00Z"/>
        <d v="2024-12-10T00:00:00Z"/>
        <d v="2022-06-06T00:00:00Z"/>
        <d v="2023-01-03T00:00:00Z"/>
        <d v="2025-05-22T00:00:00Z"/>
        <d v="2025-06-17T00:00:00Z"/>
        <d v="2025-08-20T00:00:00Z"/>
        <d v="2022-11-28T00:00:00Z"/>
        <d v="2025-02-14T00:00:00Z"/>
        <d v="2023-06-13T00:00:00Z"/>
        <d v="2023-11-17T00:00:00Z"/>
        <d v="2024-04-29T00:00:00Z"/>
        <d v="2022-01-21T00:00:00Z"/>
        <d v="2025-12-06T00:00:00Z"/>
        <d v="2025-08-21T00:00:00Z"/>
        <d v="2025-08-26T00:00:00Z"/>
        <d v="2025-03-19T00:00:00Z"/>
        <d v="2024-04-23T00:00:00Z"/>
        <d v="2024-05-17T00:00:00Z"/>
        <d v="2022-11-18T00:00:00Z"/>
        <d v="2023-09-14T00:00:00Z"/>
        <d v="2024-05-05T00:00:00Z"/>
        <d v="2022-02-20T00:00:00Z"/>
        <d v="2022-02-08T00:00:00Z"/>
        <d v="2022-07-03T00:00:00Z"/>
        <d v="2023-10-26T00:00:00Z"/>
        <d v="2023-07-14T00:00:00Z"/>
        <d v="2022-09-09T00:00:00Z"/>
        <d v="2024-06-29T00:00:00Z"/>
        <d v="2025-12-12T00:00:00Z"/>
        <d v="2022-05-14T00:00:00Z"/>
        <d v="2025-08-05T00:00:00Z"/>
        <d v="2024-12-26T00:00:00Z"/>
        <d v="2022-05-09T00:00:00Z"/>
        <d v="2025-09-13T00:00:00Z"/>
        <d v="2025-05-03T00:00:00Z"/>
        <d v="2022-05-04T00:00:00Z"/>
        <d v="2025-11-17T00:00:00Z"/>
        <d v="2025-08-01T00:00:00Z"/>
        <d v="2022-03-03T00:00:00Z"/>
        <d v="2023-05-19T00:00:00Z"/>
        <d v="2025-07-26T00:00:00Z"/>
        <d v="2025-03-16T00:00:00Z"/>
        <d v="2024-05-22T00:00:00Z"/>
        <d v="2023-08-27T00:00:00Z"/>
        <d v="2024-04-07T00:00:00Z"/>
        <d v="2023-11-29T00:00:00Z"/>
        <d v="2025-03-09T00:00:00Z"/>
        <d v="2023-02-27T00:00:00Z"/>
        <d v="2023-09-02T00:00:00Z"/>
        <d v="2022-07-25T00:00:00Z"/>
        <d v="2023-02-18T00:00:00Z"/>
        <d v="2022-01-31T00:00:00Z"/>
        <d v="2023-09-10T00:00:00Z"/>
        <d v="2025-11-09T00:00:00Z"/>
        <d v="2022-09-12T00:00:00Z"/>
        <d v="2025-05-09T00:00:00Z"/>
        <d v="2022-04-21T00:00:00Z"/>
        <d v="2025-07-23T00:00:00Z"/>
        <d v="2025-05-25T00:00:00Z"/>
        <d v="2025-06-02T00:00:00Z"/>
        <d v="2024-03-19T00:00:00Z"/>
        <d v="2023-12-15T00:00:00Z"/>
        <d v="2022-02-27T00:00:00Z"/>
        <d v="2024-03-25T00:00:00Z"/>
        <d v="2022-07-02T00:00:00Z"/>
        <d v="2024-07-11T00:00:00Z"/>
        <d v="2022-09-13T00:00:00Z"/>
        <d v="2025-09-24T00:00:00Z"/>
        <d v="2022-09-10T00:00:00Z"/>
        <d v="2022-09-16T00:00:00Z"/>
        <d v="2022-11-09T00:00:00Z"/>
        <d v="2022-10-09T00:00:00Z"/>
        <d v="2023-05-09T00:00:00Z"/>
        <d v="2022-06-19T00:00:00Z"/>
        <d v="2025-12-10T00:00:00Z"/>
        <d v="2025-01-08T00:00:00Z"/>
        <d v="2025-03-23T00:00:00Z"/>
        <d v="2022-01-01T00:00:00Z"/>
        <d v="2022-06-02T00:00:00Z"/>
        <d v="2023-07-06T00:00:00Z"/>
        <d v="2024-02-15T00:00:00Z"/>
        <d v="2023-10-14T00:00:00Z"/>
        <d v="2023-07-02T00:00:00Z"/>
        <d v="2024-12-02T00:00:00Z"/>
        <d v="2022-06-23T00:00:00Z"/>
        <d v="2022-01-05T00:00:00Z"/>
        <d v="2024-06-07T00:00:00Z"/>
        <d v="2023-06-29T00:00:00Z"/>
        <d v="2022-11-15T00:00:00Z"/>
        <d v="2024-05-28T00:00:00Z"/>
        <d v="2025-06-05T00:00:00Z"/>
        <d v="2022-07-06T00:00:00Z"/>
        <d v="2023-07-29T00:00:00Z"/>
        <d v="2022-07-26T00:00:00Z"/>
        <d v="2023-01-26T00:00:00Z"/>
        <d v="2025-02-01T00:00:00Z"/>
        <d v="2022-02-14T00:00:00Z"/>
        <d v="2023-08-30T00:00:00Z"/>
        <d v="2025-08-08T00:00:00Z"/>
        <d v="2023-10-27T00:00:00Z"/>
        <d v="2024-07-29T00:00:00Z"/>
        <d v="2023-05-18T00:00:00Z"/>
        <d v="2023-07-03T00:00:00Z"/>
        <d v="2022-11-13T00:00:00Z"/>
        <d v="2022-02-19T00:00:00Z"/>
        <d v="2024-01-02T00:00:00Z"/>
        <d v="2024-07-03T00:00:00Z"/>
        <d v="2024-09-12T00:00:00Z"/>
        <d v="2023-12-17T00:00:00Z"/>
        <d v="2022-01-26T00:00:00Z"/>
        <d v="2023-07-11T00:00:00Z"/>
        <d v="2025-08-07T00:00:00Z"/>
        <d v="2025-01-14T00:00:00Z"/>
        <d v="2022-07-10T00:00:00Z"/>
        <d v="2023-04-20T00:00:00Z"/>
        <d v="2025-10-30T00:00:00Z"/>
        <d v="2022-12-14T00:00:00Z"/>
        <d v="2022-09-11T00:00:00Z"/>
        <d v="2024-08-04T00:00:00Z"/>
        <d v="2023-10-12T00:00:00Z"/>
        <d v="2024-02-18T00:00:00Z"/>
        <d v="2024-04-09T00:00:00Z"/>
        <d v="2022-12-03T00:00:00Z"/>
        <d v="2025-01-20T00:00:00Z"/>
        <d v="2023-12-20T00:00:00Z"/>
        <d v="2023-01-30T00:00:00Z"/>
        <d v="2024-10-29T00:00:00Z"/>
        <d v="2022-11-10T00:00:00Z"/>
        <d v="2023-03-07T00:00:00Z"/>
        <d v="2024-09-18T00:00:00Z"/>
        <d v="2023-03-21T00:00:00Z"/>
        <d v="2025-05-21T00:00:00Z"/>
        <d v="2023-10-06T00:00:00Z"/>
        <d v="2023-03-22T00:00:00Z"/>
        <d v="2022-04-06T00:00:00Z"/>
        <d v="2024-04-04T00:00:00Z"/>
        <d v="2023-10-04T00:00:00Z"/>
        <d v="2024-12-16T00:00:00Z"/>
        <d v="2023-03-04T00:00:00Z"/>
        <d v="2024-05-16T00:00:00Z"/>
        <d v="2024-12-23T00:00:00Z"/>
        <d v="2022-07-20T00:00:00Z"/>
        <d v="2025-08-16T00:00:00Z"/>
        <d v="2023-03-27T00:00:00Z"/>
        <d v="2025-06-28T00:00:00Z"/>
        <d v="2023-12-24T00:00:00Z"/>
        <d v="2024-06-06T00:00:00Z"/>
        <d v="2023-12-28T00:00:00Z"/>
        <d v="2025-10-31T00:00:00Z"/>
        <d v="2024-06-13T00:00:00Z"/>
        <d v="2022-01-13T00:00:00Z"/>
        <d v="2022-05-05T00:00:00Z"/>
        <d v="2024-03-11T00:00:00Z"/>
        <d v="2025-09-07T00:00:00Z"/>
        <d v="2025-09-05T00:00:00Z"/>
        <d v="2025-09-11T00:00:00Z"/>
        <d v="2022-11-22T00:00:00Z"/>
        <d v="2022-05-12T00:00:00Z"/>
        <d v="2025-03-21T00:00:00Z"/>
        <d v="2022-07-17T00:00:00Z"/>
        <d v="2024-10-22T00:00:00Z"/>
        <d v="2023-04-18T00:00:00Z"/>
        <d v="2022-05-02T00:00:00Z"/>
        <d v="2022-06-15T00:00:00Z"/>
        <d v="2022-02-13T00:00:00Z"/>
        <d v="2022-04-27T00:00:00Z"/>
        <d v="2022-06-07T00:00:00Z"/>
        <d v="2022-06-25T00:00:00Z"/>
        <d v="2023-10-20T00:00:00Z"/>
        <d v="2023-07-21T00:00:00Z"/>
        <d v="2023-01-13T00:00:00Z"/>
        <d v="2022-08-12T00:00:00Z"/>
        <d v="2025-05-28T00:00:00Z"/>
        <d v="2025-03-24T00:00:00Z"/>
        <d v="2024-11-01T00:00:00Z"/>
        <d v="2023-08-11T00:00:00Z"/>
        <d v="2025-02-09T00:00:00Z"/>
        <d v="2024-11-07T00:00:00Z"/>
        <d v="2023-01-01T00:00:00Z"/>
        <d v="2025-01-10T00:00:00Z"/>
        <d v="2025-12-17T00:00:00Z"/>
        <d v="2023-11-18T00:00:00Z"/>
        <d v="2022-08-19T00:00:00Z"/>
        <d v="2024-05-20T00:00:00Z"/>
        <d v="2023-05-22T00:00:00Z"/>
        <d v="2024-03-17T00:00:00Z"/>
        <d v="2025-07-14T00:00:00Z"/>
        <d v="2023-10-22T00:00:00Z"/>
        <d v="2022-12-07T00:00:00Z"/>
        <d v="2024-06-10T00:00:00Z"/>
        <d v="2024-08-24T00:00:00Z"/>
        <d v="2022-01-12T00:00:00Z"/>
        <d v="2023-04-08T00:00:00Z"/>
        <d v="2023-03-20T00:00:00Z"/>
        <d v="2023-09-12T00:00:00Z"/>
        <d v="2023-07-23T00:00:00Z"/>
        <d v="2025-10-04T00:00:00Z"/>
        <d v="2022-07-12T00:00:00Z"/>
        <d v="2025-05-29T00:00:00Z"/>
        <d v="2022-09-02T00:00:00Z"/>
        <d v="2024-01-21T00:00:00Z"/>
        <d v="2023-01-09T00:00:00Z"/>
        <d v="2023-01-27T00:00:00Z"/>
        <d v="2024-02-29T00:00:00Z"/>
        <d v="2025-07-13T00:00:00Z"/>
        <d v="2024-07-23T00:00:00Z"/>
        <d v="2024-11-04T00:00:00Z"/>
        <d v="2023-04-29T00:00:00Z"/>
        <d v="2025-09-30T00:00:00Z"/>
        <d v="2024-10-20T00:00:00Z"/>
        <d v="2024-09-22T00:00:00Z"/>
        <d v="2024-05-04T00:00:00Z"/>
        <d v="2025-07-20T00:00:00Z"/>
        <d v="2025-06-01T00:00:00Z"/>
        <d v="2023-01-16T00:00:00Z"/>
        <d v="2025-07-24T00:00:00Z"/>
        <d v="2025-09-15T00:00:00Z"/>
        <d v="2022-12-08T00:00:00Z"/>
        <d v="2022-08-15T00:00:00Z"/>
        <d v="2023-11-16T00:00:00Z"/>
        <d v="2024-07-26T00:00:00Z"/>
        <d v="2024-06-27T00:00:00Z"/>
        <d v="2025-07-12T00:00:00Z"/>
        <d v="2024-09-15T00:00:00Z"/>
        <d v="2023-09-13T00:00:00Z"/>
        <d v="2025-02-07T00:00:00Z"/>
        <d v="2022-12-30T00:00:00Z"/>
        <d v="2022-04-15T00:00:00Z"/>
        <d v="2024-11-19T00:00:00Z"/>
        <d v="2025-08-15T00:00:00Z"/>
        <d v="2025-08-02T00:00:00Z"/>
        <d v="2024-07-02T00:00:00Z"/>
        <d v="2024-07-13T00:00:00Z"/>
        <d v="2024-03-09T00:00:00Z"/>
        <d v="2023-07-10T00:00:00Z"/>
        <d v="2022-09-20T00:00:00Z"/>
        <d v="2024-11-28T00:00:00Z"/>
        <d v="2025-09-12T00:00:00Z"/>
        <d v="2024-02-28T00:00:00Z"/>
        <d v="2025-07-11T00:00:00Z"/>
        <d v="2022-08-16T00:00:00Z"/>
        <d v="2023-03-31T00:00:00Z"/>
        <d v="2023-07-19T00:00:00Z"/>
        <d v="2023-12-01T00:00:00Z"/>
        <d v="2024-01-01T00:00:00Z"/>
        <d v="2025-09-29T00:00:00Z"/>
        <d v="2023-12-13T00:00:00Z"/>
        <d v="2023-05-03T00:00:00Z"/>
        <d v="2023-10-24T00:00:00Z"/>
        <d v="2024-06-25T00:00:00Z"/>
        <d v="2024-11-05T00:00:00Z"/>
        <d v="2024-07-31T00:00:00Z"/>
        <d v="2023-07-20T00:00:00Z"/>
        <d v="2024-06-11T00:00:00Z"/>
        <d v="2022-11-27T00:00:00Z"/>
        <d v="2023-06-18T00:00:00Z"/>
        <d v="2022-12-12T00:00:00Z"/>
        <d v="2023-08-20T00:00:00Z"/>
        <d v="2025-10-01T00:00:00Z"/>
        <d v="2024-12-15T00:00:00Z"/>
        <d v="2024-10-01T00:00:00Z"/>
        <d v="2022-06-27T00:00:00Z"/>
        <d v="2024-01-30T00:00:00Z"/>
        <d v="2022-12-26T00:00:00Z"/>
        <d v="2025-06-20T00:00:00Z"/>
        <d v="2025-07-27T00:00:00Z"/>
        <d v="2024-06-28T00:00:00Z"/>
        <d v="2024-04-16T00:00:00Z"/>
        <d v="2023-02-10T00:00:00Z"/>
        <d v="2022-04-19T00:00:00Z"/>
        <d v="2022-10-28T00:00:00Z"/>
        <d v="2024-07-05T00:00:00Z"/>
        <d v="2024-12-01T00:00:00Z"/>
        <d v="2022-09-25T00:00:00Z"/>
        <d v="2022-05-25T00:00:00Z"/>
        <d v="2022-01-08T00:00:00Z"/>
        <d v="2025-10-16T00:00:00Z"/>
        <d v="2023-01-21T00:00:00Z"/>
        <d v="2024-07-15T00:00:00Z"/>
        <d v="2022-12-20T00:00:00Z"/>
        <d v="2025-01-30T00:00:00Z"/>
        <d v="2024-09-03T00:00:00Z"/>
        <d v="2022-09-23T00:00:00Z"/>
        <d v="2023-04-24T00:00:00Z"/>
        <d v="2023-01-31T00:00:00Z"/>
        <d v="2024-09-19T00:00:00Z"/>
        <d v="2024-09-04T00:00:00Z"/>
        <d v="2025-03-10T00:00:00Z"/>
        <d v="2024-11-12T00:00:00Z"/>
        <d v="2025-08-27T00:00:00Z"/>
        <d v="2024-03-06T00:00:00Z"/>
        <d v="2022-04-13T00:00:00Z"/>
        <d v="2022-06-05T00:00:00Z"/>
        <d v="2024-02-12T00:00:00Z"/>
        <d v="2024-01-23T00:00:00Z"/>
        <d v="2023-08-22T00:00:00Z"/>
        <d v="2025-10-25T00:00:00Z"/>
        <d v="2022-06-17T00:00:00Z"/>
        <d v="2024-02-04T00:00:00Z"/>
        <d v="2023-08-29T00:00:00Z"/>
        <d v="2023-09-15T00:00:00Z"/>
        <d v="2025-07-16T00:00:00Z"/>
        <d v="2025-04-30T00:00:00Z"/>
        <d v="2024-11-24T00:00:00Z"/>
        <d v="2023-05-26T00:00:00Z"/>
        <d v="2023-07-26T00:00:00Z"/>
        <d v="2023-01-18T00:00:00Z"/>
        <d v="2023-09-08T00:00:00Z"/>
        <d v="2024-11-10T00:00:00Z"/>
        <d v="2022-03-29T00:00:00Z"/>
        <d v="2023-09-20T00:00:00Z"/>
        <d v="2025-01-16T00:00:00Z"/>
        <d v="2024-10-14T00:00:00Z"/>
        <d v="2022-01-07T00:00:00Z"/>
        <d v="2025-05-04T00:00:00Z"/>
        <d v="2025-03-14T00:00:00Z"/>
        <d v="2023-02-25T00:00:00Z"/>
        <d v="2024-09-07T00:00:00Z"/>
        <d v="2022-07-09T00:00:00Z"/>
        <d v="2023-07-12T00:00:00Z"/>
        <d v="2023-09-04T00:00:00Z"/>
        <d v="2024-09-08T00:00:00Z"/>
        <d v="2024-12-03T00:00:00Z"/>
        <d v="2023-06-07T00:00:00Z"/>
        <d v="2023-12-03T00:00:00Z"/>
        <d v="2024-08-08T00:00:00Z"/>
        <d v="2022-05-16T00:00:00Z"/>
        <d v="2024-03-22T00:00:00Z"/>
        <d v="2022-01-18T00:00:00Z"/>
        <d v="2022-05-27T00:00:00Z"/>
        <d v="2024-08-26T00:00:00Z"/>
        <d v="2022-03-17T00:00:00Z"/>
        <d v="2024-04-19T00:00:00Z"/>
        <d v="2022-03-06T00:00:00Z"/>
        <d v="2025-07-17T00:00:00Z"/>
        <d v="2025-04-24T00:00:00Z"/>
        <d v="2025-04-01T00:00:00Z"/>
        <d v="2025-02-22T00:00:00Z"/>
        <d v="2025-01-28T00:00:00Z"/>
        <d v="2023-02-12T00:00:00Z"/>
        <d v="2025-05-02T00:00:00Z"/>
        <d v="2022-08-07T00:00:00Z"/>
        <d v="2023-09-07T00:00:00Z"/>
        <d v="2023-11-15T00:00:00Z"/>
        <d v="2022-03-25T00:00:00Z"/>
        <d v="2024-04-11T00:00:00Z"/>
        <d v="2024-10-16T00:00:00Z"/>
        <d v="2023-04-26T00:00:00Z"/>
        <d v="2023-09-28T00:00:00Z"/>
        <d v="2022-11-02T00:00:00Z"/>
        <d v="2022-05-29T00:00:00Z"/>
        <d v="2025-08-09T00:00:00Z"/>
        <d v="2023-03-05T00:00:00Z"/>
        <d v="2025-12-03T00:00:00Z"/>
        <d v="2024-06-30T00:00:00Z"/>
        <d v="2023-11-26T00:00:00Z"/>
        <d v="2024-05-14T00:00:00Z"/>
        <d v="2025-05-23T00:00:00Z"/>
        <d v="2022-04-07T00:00:00Z"/>
        <d v="2023-11-28T00:00:00Z"/>
        <d v="2023-05-10T00:00:00Z"/>
        <d v="2025-08-11T00:00:00Z"/>
        <d v="2023-09-30T00:00:00Z"/>
        <d v="2022-10-13T00:00:00Z"/>
        <d v="2022-03-16T00:00:00Z"/>
        <d v="2022-04-05T00:00:00Z"/>
        <d v="2022-02-25T00:00:00Z"/>
        <d v="2024-01-29T00:00:00Z"/>
        <d v="2024-07-16T00:00:00Z"/>
        <d v="2024-07-25T00:00:00Z"/>
        <d v="2022-10-29T00:00:00Z"/>
        <d v="2025-06-07T00:00:00Z"/>
        <d v="2024-01-25T00:00:00Z"/>
        <d v="2022-02-16T00:00:00Z"/>
        <d v="2022-08-11T00:00:00Z"/>
        <d v="2025-01-03T00:00:00Z"/>
        <d v="2025-01-09T00:00:00Z"/>
        <d v="2024-01-18T00:00:00Z"/>
        <d v="2025-02-15T00:00:00Z"/>
        <d v="2025-07-06T00:00:00Z"/>
        <d v="2025-09-06T00:00:00Z"/>
        <d v="2025-07-01T00:00:00Z"/>
        <d v="2022-12-10T00:00:00Z"/>
        <d v="2025-06-06T00:00:00Z"/>
        <d v="2023-12-05T00:00:00Z"/>
        <d v="2025-04-10T00:00:00Z"/>
        <d v="2025-04-19T00:00:00Z"/>
        <d v="2024-08-23T00:00:00Z"/>
        <d v="2025-08-14T00:00:00Z"/>
        <d v="2025-08-30T00:00:00Z"/>
        <d v="2023-03-25T00:00:00Z"/>
        <d v="2023-11-01T00:00:00Z"/>
        <d v="2023-06-28T00:00:00Z"/>
        <d v="2024-03-18T00:00:00Z"/>
        <d v="2022-11-30T00:00:00Z"/>
        <d v="2023-07-22T00:00:00Z"/>
        <d v="2023-08-06T00:00:00Z"/>
        <d v="2024-10-13T00:00:00Z"/>
        <d v="2023-03-11T00:00:00Z"/>
        <d v="2025-08-03T00:00:00Z"/>
        <d v="2023-05-30T00:00:00Z"/>
        <d v="2024-12-17T00:00:00Z"/>
        <d v="2023-02-15T00:00:00Z"/>
        <d v="2025-12-20T00:00:00Z"/>
        <d v="2022-11-21T00:00:00Z"/>
        <d v="2023-12-31T00:00:00Z"/>
        <d v="2025-10-05T00:00:00Z"/>
        <d v="2022-07-01T00:00:00Z"/>
        <d v="2023-06-27T00:00:00Z"/>
        <d v="2025-04-02T00:00:00Z"/>
        <d v="2023-06-06T00:00:00Z"/>
        <d v="2025-01-07T00:00:00Z"/>
        <d v="2024-06-20T00:00:00Z"/>
        <d v="2024-09-05T00:00:00Z"/>
        <d v="2023-01-29T00:00:00Z"/>
        <d v="2022-09-19T00:00:00Z"/>
        <d v="2023-07-04T00:00:00Z"/>
        <d v="2023-01-28T00:00:00Z"/>
        <d v="2022-03-27T00:00:00Z"/>
        <d v="2022-12-19T00:00:00Z"/>
        <d v="2024-03-01T00:00:00Z"/>
        <d v="2024-07-09T00:00:00Z"/>
        <d v="2023-08-15T00:00:00Z"/>
        <d v="2022-06-08T00:00:00Z"/>
        <d v="2023-07-25T00:00:00Z"/>
        <d v="2024-06-21T00:00:00Z"/>
        <d v="2024-01-08T00:00:00Z"/>
        <d v="2025-06-25T00:00:00Z"/>
        <d v="2022-01-22T00:00:00Z"/>
        <d v="2025-09-26T00:00:00Z"/>
        <d v="2025-03-12T00:00:00Z"/>
        <d v="2024-10-02T00:00:00Z"/>
        <d v="2023-11-09T00:00:00Z"/>
        <d v="2023-01-17T00:00:00Z"/>
        <d v="2022-01-09T00:00:00Z"/>
        <d v="2025-05-31T00:00:00Z"/>
        <d v="2022-11-29T00:00:00Z"/>
        <d v="2025-07-08T00:00:00Z"/>
        <d v="2024-10-23T00:00:00Z"/>
        <d v="2024-05-03T00:00:00Z"/>
        <d v="2023-06-08T00:00:00Z"/>
        <d v="2023-02-05T00:00:00Z"/>
        <d v="2022-12-13T00:00:00Z"/>
        <d v="2024-10-06T00:00:00Z"/>
        <d v="2024-03-23T00:00:00Z"/>
        <d v="2022-02-04T00:00:00Z"/>
        <d v="2024-09-17T00:00:00Z"/>
        <d v="2025-10-08T00:00:00Z"/>
        <d v="2022-08-14T00:00:00Z"/>
        <d v="2024-04-27T00:00:00Z"/>
        <d v="2025-04-21T00:00:00Z"/>
        <d v="2025-09-08T00:00:00Z"/>
        <d v="2022-08-01T00:00:00Z"/>
        <d v="2024-04-25T00:00:00Z"/>
        <d v="2022-10-31T00:00:00Z"/>
        <d v="2025-02-05T00:00:00Z"/>
        <d v="2023-06-04T00:00:00Z"/>
        <d v="2023-08-23T00:00:00Z"/>
        <d v="2025-05-15T00:00:00Z"/>
        <d v="2025-10-22T00:00:00Z"/>
        <d v="2022-02-07T00:00:00Z"/>
        <d v="2023-08-31T00:00:00Z"/>
        <d v="2023-04-02T00:00:00Z"/>
        <d v="2025-04-08T00:00:00Z"/>
        <d v="2025-05-05T00:00:00Z"/>
        <d v="2022-12-17T00:00:00Z"/>
        <d v="2023-05-23T00:00:00Z"/>
        <d v="2024-11-06T00:00:00Z"/>
        <d v="2022-03-30T00:00:00Z"/>
        <d v="2022-08-28T00:00:00Z"/>
        <d v="2025-02-06T00:00:00Z"/>
        <d v="2023-06-19T00:00:00Z"/>
        <d v="2024-04-28T00:00:00Z"/>
        <d v="2024-03-16T00:00:00Z"/>
        <d v="2025-12-09T00:00:00Z"/>
        <d v="2024-09-09T00:00:00Z"/>
        <d v="2023-06-11T00:00:00Z"/>
        <d v="2023-01-20T00:00:00Z"/>
        <d v="2022-02-10T00:00:00Z"/>
        <d v="2024-03-31T00:00:00Z"/>
        <d v="2025-06-21T00:00:00Z"/>
        <d v="2023-06-10T00:00:00Z"/>
        <d v="2023-06-17T00:00:00Z"/>
        <d v="2022-09-03T00:00:00Z"/>
        <d v="2025-08-28T00:00:00Z"/>
        <d v="2022-12-15T00:00:00Z"/>
        <d v="2022-10-23T00:00:00Z"/>
        <d v="2024-10-12T00:00:00Z"/>
        <d v="2024-06-02T00:00:00Z"/>
        <d v="2024-05-11T00:00:00Z"/>
        <d v="2025-11-18T00:00:00Z"/>
        <d v="2024-04-08T00:00:00Z"/>
        <d v="2023-02-13T00:00:00Z"/>
        <d v="2024-04-05T00:00:00Z"/>
        <d v="2023-05-16T00:00:00Z"/>
        <d v="2024-02-08T00:00:00Z"/>
        <d v="2022-02-02T00:00:00Z"/>
        <d v="2022-12-28T00:00:00Z"/>
        <d v="2022-09-14T00:00:00Z"/>
        <d v="2022-07-27T00:00:00Z"/>
        <d v="2024-03-30T00:00:00Z"/>
        <d v="2022-03-08T00:00:00Z"/>
        <d v="2022-09-04T00:00:00Z"/>
        <d v="2024-08-16T00:00:00Z"/>
        <d v="2025-10-18T00:00:00Z"/>
        <d v="2022-08-06T00:00:00Z"/>
        <d v="2022-10-04T00:00:00Z"/>
        <d v="2022-08-25T00:00:00Z"/>
        <d v="2023-05-17T00:00:00Z"/>
        <d v="2024-04-01T00:00:00Z"/>
        <d v="2024-05-06T00:00:00Z"/>
        <d v="2024-08-28T00:00:00Z"/>
        <d v="2022-06-03T00:00:00Z"/>
        <d v="2024-04-26T00:00:00Z"/>
        <d v="2022-02-09T00:00:00Z"/>
        <d v="2024-07-28T00:00:00Z"/>
        <d v="2024-10-07T00:00:00Z"/>
        <d v="2024-05-09T00:00:00Z"/>
        <d v="2023-12-02T00:00:00Z"/>
        <d v="2023-07-16T00:00:00Z"/>
        <d v="2023-04-14T00:00:00Z"/>
        <d v="2023-11-11T00:00:00Z"/>
        <d v="2022-08-13T00:00:00Z"/>
        <d v="2022-02-06T00:00:00Z"/>
        <d v="2023-01-22T00:00:00Z"/>
        <d v="2024-05-10T00:00:00Z"/>
        <d v="2022-02-03T00:00:00Z"/>
        <d v="2025-11-23T00:00:00Z"/>
        <d v="2022-05-23T00:00:00Z"/>
        <d v="2023-08-21T00:00:00Z"/>
        <d v="2025-03-04T00:00:00Z"/>
        <d v="2025-08-06T00:00:00Z"/>
        <d v="2022-09-18T00:00:00Z"/>
        <d v="2023-09-01T00:00:00Z"/>
        <d v="2022-06-24T00:00:00Z"/>
        <d v="2025-02-17T00:00:00Z"/>
        <d v="2024-03-26T00:00:00Z"/>
        <d v="2025-01-19T00:00:00Z"/>
        <d v="2023-08-02T00:00:00Z"/>
        <d v="2022-08-29T00:00:00Z"/>
        <d v="2025-11-01T00:00:00Z"/>
        <d v="2024-02-27T00:00:00Z"/>
        <d v="2025-05-30T00:00:00Z"/>
        <d v="2024-12-28T00:00:00Z"/>
        <d v="2023-03-09T00:00:00Z"/>
        <d v="2024-04-14T00:00:00Z"/>
        <d v="2025-02-08T00:00:00Z"/>
        <d v="2022-12-02T00:00:00Z"/>
        <d v="2024-11-02T00:00:00Z"/>
        <d v="2025-06-12T00:00:00Z"/>
        <d v="2022-03-23T00:00:00Z"/>
        <d v="2023-10-08T00:00:00Z"/>
        <d v="2024-02-20T00:00:00Z"/>
        <d v="2025-04-12T00:00:00Z"/>
        <d v="2023-08-18T00:00:00Z"/>
        <d v="2023-04-23T00:00:00Z"/>
        <d v="2024-12-14T00:00:00Z"/>
        <d v="2022-11-03T00:00:00Z"/>
        <d v="2023-02-19T00:00:00Z"/>
        <d v="2024-11-13T00:00:00Z"/>
        <d v="2023-10-23T00:00:00Z"/>
        <d v="2022-11-25T00:00:00Z"/>
        <d v="2024-09-24T00:00:00Z"/>
        <d v="2022-02-22T00:00:00Z"/>
        <d v="2024-02-13T00:00:00Z"/>
        <d v="2024-03-20T00:00:00Z"/>
        <d v="2025-11-25T00:00:00Z"/>
        <d v="2025-11-10T00:00:00Z"/>
        <d v="2022-10-10T00:00:00Z"/>
        <d v="2025-03-05T00:00:00Z"/>
        <d v="2025-04-03T00:00:00Z"/>
        <d v="2024-10-15T00:00:00Z"/>
        <d v="2025-04-20T00:00:00Z"/>
        <d v="2023-03-18T00:00:00Z"/>
        <d v="2024-06-08T00:00:00Z"/>
        <d v="2022-07-16T00:00:00Z"/>
        <d v="2025-04-25T00:00:00Z"/>
        <d v="2024-07-22T00:00:00Z"/>
        <d v="2024-07-19T00:00:00Z"/>
        <d v="2024-02-23T00:00:00Z"/>
        <d v="2023-07-30T00:00:00Z"/>
        <d v="2023-12-06T00:00:00Z"/>
        <d v="2024-05-26T00:00:00Z"/>
        <d v="2023-09-21T00:00:00Z"/>
        <d v="2022-04-22T00:00:00Z"/>
        <d v="2022-11-16T00:00:00Z"/>
        <d v="2022-05-06T00:00:00Z"/>
        <d v="2023-03-03T00:00:00Z"/>
        <d v="2023-12-18T00:00:00Z"/>
        <d v="2025-02-21T00:00:00Z"/>
        <d v="2022-08-22T00:00:00Z"/>
        <d v="2022-06-30T00:00:00Z"/>
        <d v="2023-08-19T00:00:00Z"/>
        <d v="2024-12-27T00:00:00Z"/>
        <d v="2023-06-20T00:00:00Z"/>
        <d v="2022-07-08T00:00:00Z"/>
        <d v="2025-09-19T00:00:00Z"/>
        <d v="2022-09-29T00:00:00Z"/>
        <d v="2022-03-01T00:00:00Z"/>
        <d v="2022-10-05T00:00:00Z"/>
        <d v="2023-08-08T00:00:00Z"/>
        <d v="2022-11-17T00:00:00Z"/>
        <d v="2024-02-19T00:00:00Z"/>
        <d v="2024-05-21T00:00:00Z"/>
        <d v="2022-07-14T00:00:00Z"/>
        <d v="2024-10-08T00:00:00Z"/>
        <d v="2025-12-11T00:00:00Z"/>
        <d v="2025-02-10T00:00:00Z"/>
        <d v="2024-12-11T00:00:00Z"/>
        <d v="2022-08-30T00:00:00Z"/>
        <d v="2025-06-23T00:00:00Z"/>
        <d v="2024-06-09T00:00:00Z"/>
        <d v="2024-05-15T00:00:00Z"/>
        <d v="2025-01-04T00:00:00Z"/>
        <d v="2024-02-10T00:00:00Z"/>
        <d v="2025-10-12T00:00:00Z"/>
        <d v="2022-02-26T00:00:00Z"/>
      </sharedItems>
    </cacheField>
    <cacheField name="Tenure_Months" numFmtId="3">
      <sharedItems containsSemiMixedTypes="0" containsString="0" containsNumber="1" containsInteger="1">
        <n v="9.0"/>
        <n v="27.0"/>
        <n v="23.0"/>
        <n v="6.0"/>
        <n v="30.0"/>
        <n v="14.0"/>
        <n v="32.0"/>
        <n v="44.0"/>
        <n v="20.0"/>
        <n v="13.0"/>
        <n v="46.0"/>
        <n v="11.0"/>
        <n v="43.0"/>
        <n v="12.0"/>
        <n v="21.0"/>
        <n v="7.0"/>
        <n v="33.0"/>
        <n v="45.0"/>
        <n v="18.0"/>
        <n v="47.0"/>
        <n v="40.0"/>
        <n v="34.0"/>
        <n v="28.0"/>
        <n v="16.0"/>
        <n v="4.0"/>
        <n v="39.0"/>
        <n v="2.0"/>
        <n v="42.0"/>
        <n v="22.0"/>
        <n v="36.0"/>
        <n v="31.0"/>
        <n v="19.0"/>
        <n v="48.0"/>
        <n v="26.0"/>
        <n v="1.0"/>
        <n v="38.0"/>
        <n v="3.0"/>
        <n v="35.0"/>
        <n v="120.0"/>
        <n v="8.0"/>
        <n v="24.0"/>
        <n v="15.0"/>
        <n v="10.0"/>
        <n v="41.0"/>
        <n v="25.0"/>
        <n v="5.0"/>
        <n v="29.0"/>
        <n v="37.0"/>
        <n v="17.0"/>
        <n v="0.0"/>
        <n v="-3.0"/>
      </sharedItems>
    </cacheField>
    <cacheField name="Contract_Type" numFmtId="0">
      <sharedItems>
        <s v="Monthly"/>
        <s v="Quarterly"/>
        <s v="Annual"/>
      </sharedItems>
    </cacheField>
    <cacheField name="Payment_Method" numFmtId="0">
      <sharedItems>
        <s v="Upi"/>
        <s v="Credit Card"/>
        <s v="Debit Card"/>
      </sharedItems>
    </cacheField>
    <cacheField name="Monthly_Fee">
      <sharedItems containsMixedTypes="1" containsNumber="1" containsInteger="1">
        <n v="1757.0"/>
        <n v="1283.0"/>
        <n v="521.0"/>
        <n v="550.0"/>
        <n v="1703.0"/>
        <n v="2938.0"/>
        <n v="523.0"/>
        <n v="3536.0"/>
        <n v="1622.0"/>
        <n v="747.0"/>
        <n v="3329.0"/>
        <n v="1068.0"/>
        <n v="836.0"/>
        <n v="1142.0"/>
        <n v="3769.0"/>
        <n v="1193.0"/>
        <n v="533.0"/>
        <n v="1684.0"/>
        <n v="608.0"/>
        <n v="1269.0"/>
        <n v="1093.0"/>
        <n v="1035.0"/>
        <n v="785.0"/>
        <n v="1109.0"/>
        <n v="1284.0"/>
        <n v="722.0"/>
        <n v="562.0"/>
        <n v="588.0"/>
        <n v="875.0"/>
        <n v="536.0"/>
        <n v="784.0"/>
        <n v="1455.0"/>
        <n v="662.0"/>
        <n v="714.0"/>
        <n v="1223.0"/>
        <n v="3356.0"/>
        <n v="1257.0"/>
        <n v="3370.0"/>
        <n v="3858.0"/>
        <n v="1378.0"/>
        <n v="774.0"/>
        <n v="1185.0"/>
        <n v="622.0"/>
        <n v="1762.0"/>
        <n v="877.0"/>
        <n v="526.0"/>
        <n v="532.0"/>
        <n v="1793.0"/>
        <n v="2490.0"/>
        <n v="731.0"/>
        <n v="1765.0"/>
        <n v="627.0"/>
        <n v="1649.0"/>
        <n v="1036.0"/>
        <n v="819.0"/>
        <n v="1229.0"/>
        <n v="1194.0"/>
        <n v="749.0"/>
        <n v="1721.0"/>
        <n v="2294.0"/>
        <n v="3470.0"/>
        <n v="3420.0"/>
        <n v="1623.0"/>
        <n v="579.0"/>
        <n v="3176.0"/>
        <n v="1650.0"/>
        <n v="3086.0"/>
        <n v="702.0"/>
        <n v="1633.0"/>
        <n v="558.0"/>
        <n v="1032.0"/>
        <n v="1335.0"/>
        <n v="1601.0"/>
        <n v="1514.0"/>
        <n v="3862.0"/>
        <n v="808.0"/>
        <n v="629.0"/>
        <n v="1419.0"/>
        <n v="1116.0"/>
        <n v="591.0"/>
        <n v="665.0"/>
        <n v="638.0"/>
        <n v="607.0"/>
        <n v="1072.0"/>
        <n v="815.0"/>
        <n v="3044.0"/>
        <n v="834.0"/>
        <n v="639.0"/>
        <s v=""/>
        <n v="3322.0"/>
        <n v="3324.0"/>
        <n v="657.0"/>
        <n v="1348.0"/>
        <n v="3701.0"/>
        <n v="598.0"/>
        <n v="1566.0"/>
        <n v="711.0"/>
        <n v="1711.0"/>
        <n v="1653.0"/>
        <n v="712.0"/>
        <n v="2032.0"/>
        <n v="897.0"/>
        <n v="1483.0"/>
        <n v="594.0"/>
        <n v="727.0"/>
        <n v="1371.0"/>
        <n v="1618.0"/>
        <n v="864.0"/>
        <n v="1228.0"/>
        <n v="1735.0"/>
        <n v="1563.0"/>
        <n v="2401.0"/>
        <n v="1041.0"/>
        <n v="3647.0"/>
        <n v="695.0"/>
        <n v="3034.0"/>
        <n v="634.0"/>
        <n v="1285.0"/>
        <n v="518.0"/>
        <n v="759.0"/>
        <n v="1051.0"/>
        <n v="603.0"/>
        <n v="680.0"/>
        <n v="1490.0"/>
        <n v="2708.0"/>
        <n v="841.0"/>
        <n v="3331.0"/>
        <n v="2957.0"/>
        <n v="1178.0"/>
        <n v="859.0"/>
        <n v="1774.0"/>
        <n v="3098.0"/>
        <n v="1058.0"/>
        <n v="534.0"/>
        <n v="2271.0"/>
        <n v="1543.0"/>
        <n v="1102.0"/>
        <n v="1238.0"/>
        <n v="614.0"/>
        <n v="729.0"/>
        <n v="610.0"/>
        <n v="1328.0"/>
        <n v="1319.0"/>
        <n v="624.0"/>
        <n v="776.0"/>
        <n v="690.0"/>
        <n v="507.0"/>
        <n v="734.0"/>
        <n v="1510.0"/>
        <n v="787.0"/>
        <n v="1392.0"/>
        <n v="2466.0"/>
        <n v="1156.0"/>
        <n v="719.0"/>
        <n v="538.0"/>
        <n v="1607.0"/>
        <n v="2232.0"/>
        <n v="1688.0"/>
        <n v="3112.0"/>
        <n v="652.0"/>
        <n v="1413.0"/>
        <n v="531.0"/>
        <n v="1467.0"/>
        <n v="804.0"/>
        <n v="682.0"/>
        <n v="1778.0"/>
        <n v="1374.0"/>
        <n v="3771.0"/>
        <n v="1358.0"/>
        <n v="882.0"/>
        <n v="3012.0"/>
        <n v="2253.0"/>
        <n v="3359.0"/>
        <n v="764.0"/>
        <n v="709.0"/>
        <n v="3132.0"/>
        <n v="1013.0"/>
        <n v="1117.0"/>
        <n v="1264.0"/>
        <n v="1367.0"/>
        <n v="791.0"/>
        <n v="648.0"/>
        <n v="824.0"/>
        <n v="565.0"/>
        <n v="553.0"/>
        <n v="654.0"/>
        <n v="1568.0"/>
        <n v="829.0"/>
        <n v="720.0"/>
        <n v="3020.0"/>
        <n v="1018.0"/>
        <n v="697.0"/>
        <n v="2631.0"/>
        <n v="589.0"/>
        <n v="1748.0"/>
        <n v="872.0"/>
        <n v="874.0"/>
        <n v="632.0"/>
        <n v="1159.0"/>
        <n v="750.0"/>
        <n v="741.0"/>
        <n v="633.0"/>
        <n v="2856.0"/>
        <n v="584.0"/>
        <n v="854.0"/>
        <n v="1700.0"/>
        <n v="763.0"/>
        <n v="732.0"/>
        <n v="830.0"/>
        <n v="828.0"/>
        <n v="810.0"/>
        <n v="806.0"/>
        <n v="1742.0"/>
        <n v="1186.0"/>
        <n v="823.0"/>
        <n v="674.0"/>
        <n v="1171.0"/>
        <n v="506.0"/>
        <n v="871.0"/>
        <n v="1048.0"/>
        <n v="1677.0"/>
        <n v="1534.0"/>
        <n v="555.0"/>
        <n v="3744.0"/>
        <n v="2548.0"/>
        <n v="1114.0"/>
        <n v="1493.0"/>
        <n v="1743.0"/>
        <n v="2676.0"/>
        <n v="1210.0"/>
        <n v="1362.0"/>
        <n v="700.0"/>
        <n v="1646.0"/>
        <n v="1682.0"/>
        <n v="581.0"/>
        <n v="1293.0"/>
        <n v="1720.0"/>
        <n v="718.0"/>
        <n v="1356.0"/>
        <n v="813.0"/>
        <n v="2088.0"/>
        <n v="552.0"/>
        <n v="615.0"/>
        <n v="1073.0"/>
        <n v="611.0"/>
        <n v="542.0"/>
        <n v="1054.0"/>
        <n v="681.0"/>
        <n v="1372.0"/>
        <n v="1472.0"/>
        <n v="2153.0"/>
        <n v="1602.0"/>
        <n v="604.0"/>
        <n v="1591.0"/>
        <n v="1005.0"/>
        <n v="668.0"/>
        <n v="519.0"/>
        <n v="2448.0"/>
        <n v="1015.0"/>
        <n v="499.0"/>
        <n v="1712.0"/>
        <n v="765.0"/>
        <n v="3545.0"/>
        <n v="1120.0"/>
        <n v="740.0"/>
        <n v="1791.0"/>
        <n v="1689.0"/>
        <n v="1561.0"/>
        <n v="1696.0"/>
        <n v="3508.0"/>
        <n v="1627.0"/>
        <n v="2109.0"/>
        <n v="3379.0"/>
        <n v="716.0"/>
        <n v="1199.0"/>
        <n v="852.0"/>
        <n v="539.0"/>
        <n v="837.0"/>
        <n v="1085.0"/>
        <n v="1486.0"/>
        <n v="1551.0"/>
        <n v="865.0"/>
        <n v="551.0"/>
        <n v="515.0"/>
        <n v="2508.0"/>
        <n v="1042.0"/>
        <n v="2341.0"/>
        <n v="850.0"/>
        <n v="723.0"/>
        <n v="738.0"/>
        <n v="835.0"/>
        <n v="3141.0"/>
        <n v="617.0"/>
        <n v="1436.0"/>
        <n v="3295.0"/>
        <n v="686.0"/>
        <n v="1608.0"/>
        <n v="3293.0"/>
        <n v="793.0"/>
        <n v="724.0"/>
        <n v="2920.0"/>
        <n v="1595.0"/>
        <n v="1674.0"/>
        <n v="619.0"/>
        <n v="1639.0"/>
        <n v="1315.0"/>
        <n v="710.0"/>
        <n v="1797.0"/>
        <n v="3687.0"/>
        <n v="1751.0"/>
        <n v="571.0"/>
        <n v="863.0"/>
        <n v="861.0"/>
        <n v="1786.0"/>
        <n v="754.0"/>
        <n v="641.0"/>
        <n v="1049.0"/>
        <n v="1376.0"/>
        <n v="1110.0"/>
        <n v="1361.0"/>
        <n v="1119.0"/>
        <n v="1306.0"/>
        <n v="1547.0"/>
        <n v="1382.0"/>
        <n v="572.0"/>
        <n v="669.0"/>
        <n v="535.0"/>
        <n v="514.0"/>
        <n v="721.0"/>
        <n v="1179.0"/>
        <n v="886.0"/>
        <n v="3762.0"/>
        <n v="742.0"/>
        <n v="873.0"/>
        <n v="1479.0"/>
        <n v="556.0"/>
        <n v="577.0"/>
        <n v="1390.0"/>
        <n v="699.0"/>
        <n v="1787.0"/>
        <n v="2803.0"/>
        <n v="1255.0"/>
        <n v="704.0"/>
        <n v="855.0"/>
        <n v="775.0"/>
        <n v="846.0"/>
        <n v="2351.0"/>
        <n v="602.0"/>
        <n v="1143.0"/>
        <n v="1420.0"/>
        <n v="770.0"/>
        <n v="580.0"/>
        <n v="513.0"/>
        <n v="1241.0"/>
        <n v="568.0"/>
        <n v="888.0"/>
        <n v="735.0"/>
        <n v="757.0"/>
        <n v="2981.0"/>
        <n v="2001.0"/>
        <n v="1081.0"/>
        <n v="862.0"/>
        <n v="1191.0"/>
        <n v="1022.0"/>
        <n v="644.0"/>
        <n v="1147.0"/>
        <n v="3856.0"/>
        <n v="666.0"/>
        <n v="3931.0"/>
        <n v="543.0"/>
        <n v="1536.0"/>
        <n v="1295.0"/>
        <n v="826.0"/>
        <n v="1578.0"/>
        <n v="1364.0"/>
        <n v="1329.0"/>
        <n v="1103.0"/>
        <n v="1355.0"/>
        <n v="563.0"/>
        <n v="559.0"/>
        <n v="1592.0"/>
        <n v="1100.0"/>
        <n v="1289.0"/>
        <n v="3005.0"/>
        <n v="585.0"/>
        <n v="760.0"/>
        <n v="590.0"/>
        <n v="1266.0"/>
        <n v="3761.0"/>
        <n v="1130.0"/>
        <n v="3326.0"/>
        <n v="1526.0"/>
        <n v="1343.0"/>
        <n v="1586.0"/>
        <n v="1666.0"/>
        <n v="1115.0"/>
        <n v="3930.0"/>
        <n v="3703.0"/>
        <n v="1034.0"/>
        <n v="2183.0"/>
        <n v="1453.0"/>
        <n v="687.0"/>
        <n v="694.0"/>
        <n v="1339.0"/>
        <n v="1129.0"/>
        <n v="3633.0"/>
        <n v="752.0"/>
        <n v="1123.0"/>
        <n v="1670.0"/>
        <n v="1244.0"/>
        <n v="1189.0"/>
        <n v="1080.0"/>
        <n v="1434.0"/>
        <n v="1084.0"/>
        <n v="1598.0"/>
        <n v="1505.0"/>
        <n v="807.0"/>
        <n v="1766.0"/>
        <n v="1046.0"/>
        <n v="1170.0"/>
        <n v="868.0"/>
        <n v="2074.0"/>
        <n v="1605.0"/>
        <n v="792.0"/>
        <n v="692.0"/>
        <n v="1132.0"/>
        <n v="1615.0"/>
        <n v="788.0"/>
        <n v="1637.0"/>
        <n v="1183.0"/>
        <n v="1023.0"/>
        <n v="707.0"/>
        <n v="847.0"/>
        <n v="642.0"/>
        <n v="567.0"/>
        <n v="1686.0"/>
        <n v="1775.0"/>
        <n v="502.0"/>
        <n v="790.0"/>
        <n v="525.0"/>
        <n v="1448.0"/>
        <n v="3627.0"/>
        <n v="3037.0"/>
        <n v="737.0"/>
        <n v="647.0"/>
        <n v="768.0"/>
        <n v="889.0"/>
        <n v="3258.0"/>
        <n v="1375.0"/>
        <n v="892.0"/>
        <n v="1438.0"/>
        <n v="3774.0"/>
        <n v="1690.0"/>
        <n v="1441.0"/>
        <n v="2672.0"/>
        <n v="1424.0"/>
        <n v="1549.0"/>
        <n v="736.0"/>
        <n v="1758.0"/>
        <n v="1203.0"/>
        <n v="505.0"/>
        <n v="3097.0"/>
        <n v="840.0"/>
        <n v="1136.0"/>
        <n v="2354.0"/>
        <n v="794.0"/>
        <n v="578.0"/>
        <n v="809.0"/>
        <n v="2753.0"/>
        <n v="1529.0"/>
        <n v="1351.0"/>
        <n v="1204.0"/>
        <n v="1363.0"/>
        <n v="3780.0"/>
        <n v="2818.0"/>
        <n v="1515.0"/>
        <n v="1715.0"/>
        <n v="3484.0"/>
        <n v="3654.0"/>
        <n v="1388.0"/>
        <n v="1226.0"/>
        <n v="3433.0"/>
        <n v="769.0"/>
        <n v="3994.0"/>
        <n v="851.0"/>
        <n v="1126.0"/>
        <n v="3348.0"/>
        <n v="1305.0"/>
        <n v="1664.0"/>
        <n v="597.0"/>
        <n v="3981.0"/>
        <n v="616.0"/>
        <n v="751.0"/>
        <n v="772.0"/>
        <n v="715.0"/>
        <n v="3637.0"/>
        <n v="1699.0"/>
        <n v="1522.0"/>
        <n v="1643.0"/>
        <n v="767.0"/>
        <n v="625.0"/>
        <n v="1075.0"/>
        <n v="887.0"/>
        <n v="1131.0"/>
        <n v="2236.0"/>
        <n v="2663.0"/>
        <n v="853.0"/>
        <n v="574.0"/>
        <n v="645.0"/>
        <n v="743.0"/>
        <n v="2602.0"/>
        <n v="2760.0"/>
        <n v="587.0"/>
        <n v="895.0"/>
        <n v="3573.0"/>
        <n v="2152.0"/>
        <n v="1292.0"/>
        <n v="1439.0"/>
        <n v="2972.0"/>
        <n v="1759.0"/>
        <n v="688.0"/>
        <n v="670.0"/>
        <n v="1594.0"/>
        <n v="3605.0"/>
        <n v="1779.0"/>
        <n v="1079.0"/>
        <n v="2157.0"/>
        <n v="3859.0"/>
        <n v="3067.0"/>
        <n v="3489.0"/>
        <n v="1359.0"/>
        <n v="1621.0"/>
        <n v="1462.0"/>
        <n v="586.0"/>
        <n v="693.0"/>
        <n v="1500.0"/>
        <n v="1710.0"/>
        <n v="1095.0"/>
        <n v="2542.0"/>
        <n v="1294.0"/>
        <n v="1288.0"/>
        <n v="825.0"/>
        <n v="1709.0"/>
        <n v="3610.0"/>
        <n v="1575.0"/>
        <n v="1037.0"/>
        <n v="628.0"/>
        <n v="1004.0"/>
        <n v="1140.0"/>
        <n v="3427.0"/>
        <n v="1276.0"/>
        <n v="2577.0"/>
        <n v="1209.0"/>
        <n v="856.0"/>
        <n v="1506.0"/>
        <n v="1771.0"/>
        <n v="1546.0"/>
        <n v="1344.0"/>
        <n v="726.0"/>
        <n v="1450.0"/>
        <n v="1519.0"/>
        <n v="3502.0"/>
        <n v="667.0"/>
        <n v="833.0"/>
        <n v="1417.0"/>
        <n v="879.0"/>
        <n v="894.0"/>
        <n v="3378.0"/>
        <n v="1443.0"/>
        <n v="1028.0"/>
        <n v="1624.0"/>
        <n v="1369.0"/>
        <n v="509.0"/>
        <n v="1385.0"/>
        <n v="547.0"/>
        <n v="3757.0"/>
        <n v="1038.0"/>
        <n v="845.0"/>
        <n v="1763.0"/>
        <n v="601.0"/>
        <n v="1572.0"/>
        <n v="2903.0"/>
        <n v="3145.0"/>
        <n v="1012.0"/>
        <n v="3534.0"/>
        <n v="2851.0"/>
        <n v="661.0"/>
        <n v="1316.0"/>
        <n v="3002.0"/>
        <n v="2887.0"/>
        <n v="503.0"/>
        <n v="891.0"/>
        <n v="869.0"/>
        <n v="1247.0"/>
        <n v="1026.0"/>
        <n v="1444.0"/>
        <n v="1431.0"/>
        <n v="1433.0"/>
        <n v="651.0"/>
        <n v="1629.0"/>
        <n v="1353.0"/>
        <n v="822.0"/>
        <n v="1513.0"/>
        <n v="848.0"/>
        <n v="2966.0"/>
        <n v="3099.0"/>
        <n v="3419.0"/>
        <n v="3377.0"/>
        <n v="3475.0"/>
        <n v="1492.0"/>
        <n v="1564.0"/>
        <n v="1200.0"/>
        <n v="1795.0"/>
        <n v="3014.0"/>
        <n v="1236.0"/>
        <n v="1174.0"/>
        <n v="2723.0"/>
        <n v="2038.0"/>
        <n v="2501.0"/>
        <n v="2958.0"/>
        <n v="1798.0"/>
        <n v="664.0"/>
        <n v="512.0"/>
        <n v="2468.0"/>
        <n v="1416.0"/>
        <n v="2274.0"/>
        <n v="3271.0"/>
        <n v="548.0"/>
        <n v="650.0"/>
        <n v="880.0"/>
        <n v="1679.0"/>
        <n v="1496.0"/>
        <n v="1603.0"/>
        <n v="1662.0"/>
        <n v="1508.0"/>
        <n v="1326.0"/>
        <n v="3652.0"/>
        <n v="1445.0"/>
        <n v="1027.0"/>
        <n v="3425.0"/>
        <n v="1661.0"/>
        <n v="1011.0"/>
        <n v="1373.0"/>
        <n v="1533.0"/>
        <n v="663.0"/>
        <n v="3311.0"/>
        <n v="1044.0"/>
        <n v="3368.0"/>
        <n v="1258.0"/>
        <n v="725.0"/>
        <n v="3327.0"/>
        <n v="1464.0"/>
        <n v="1332.0"/>
        <n v="2288.0"/>
        <n v="1250.0"/>
        <n v="659.0"/>
        <n v="1154.0"/>
        <n v="3801.0"/>
        <n v="1579.0"/>
        <n v="566.0"/>
        <n v="2151.0"/>
        <n v="3787.0"/>
        <n v="618.0"/>
        <n v="1452.0"/>
        <n v="1232.0"/>
        <n v="1256.0"/>
        <n v="1089.0"/>
        <n v="1393.0"/>
        <n v="1221.0"/>
        <n v="748.0"/>
        <n v="1381.0"/>
        <n v="3135.0"/>
        <n v="685.0"/>
        <n v="1146.0"/>
        <n v="1281.0"/>
        <n v="3125.0"/>
        <n v="527.0"/>
        <n v="1231.0"/>
        <n v="706.0"/>
        <n v="2469.0"/>
        <n v="2910.0"/>
        <n v="1303.0"/>
        <n v="1239.0"/>
        <n v="777.0"/>
        <n v="883.0"/>
        <n v="1517.0"/>
        <n v="1556.0"/>
        <n v="1671.0"/>
        <n v="896.0"/>
        <n v="3802.0"/>
        <n v="758.0"/>
        <n v="1299.0"/>
        <n v="1134.0"/>
        <n v="3358.0"/>
        <n v="1488.0"/>
        <n v="814.0"/>
        <n v="1691.0"/>
        <n v="2553.0"/>
        <n v="1415.0"/>
        <n v="1349.0"/>
        <n v="1389.0"/>
        <n v="798.0"/>
        <n v="546.0"/>
        <n v="1182.0"/>
        <n v="755.0"/>
        <n v="1164.0"/>
        <n v="1531.0"/>
        <n v="701.0"/>
        <n v="1341.0"/>
        <n v="1745.0"/>
        <n v="689.0"/>
        <n v="2830.0"/>
        <n v="2585.0"/>
        <n v="1101.0"/>
        <n v="1312.0"/>
        <n v="753.0"/>
        <n v="1473.0"/>
        <n v="1542.0"/>
        <n v="1784.0"/>
        <n v="2409.0"/>
        <n v="2850.0"/>
        <n v="3746.0"/>
        <n v="745.0"/>
        <n v="3068.0"/>
        <n v="816.0"/>
        <n v="595.0"/>
        <n v="839.0"/>
        <n v="1334.0"/>
        <n v="2433.0"/>
        <n v="1604.0"/>
        <n v="1520.0"/>
        <n v="3975.0"/>
        <n v="1658.0"/>
        <n v="3042.0"/>
        <n v="3959.0"/>
        <n v="3133.0"/>
        <n v="779.0"/>
        <n v="606.0"/>
        <n v="1220.0"/>
        <n v="583.0"/>
        <n v="1061.0"/>
        <n v="2980.0"/>
        <n v="1754.0"/>
        <n v="1167.0"/>
        <n v="679.0"/>
        <n v="1352.0"/>
        <n v="1313.0"/>
        <n v="1195.0"/>
        <n v="1181.0"/>
        <n v="609.0"/>
        <n v="1476.0"/>
        <n v="3308.0"/>
        <n v="1160.0"/>
        <n v="2655.0"/>
        <n v="1495.0"/>
        <n v="2485.0"/>
        <n v="508.0"/>
        <n v="3547.0"/>
        <n v="3303.0"/>
        <n v="3983.0"/>
        <n v="1099.0"/>
        <n v="1640.0"/>
        <n v="3030.0"/>
        <n v="649.0"/>
        <n v="1016.0"/>
        <n v="1545.0"/>
        <n v="1144.0"/>
        <n v="3062.0"/>
        <n v="1273.0"/>
        <n v="3224.0"/>
        <n v="1274.0"/>
        <n v="2208.0"/>
        <n v="1773.0"/>
        <n v="2682.0"/>
        <n v="635.0"/>
        <n v="885.0"/>
        <n v="1728.0"/>
        <n v="656.0"/>
        <n v="3111.0"/>
        <n v="1680.0"/>
        <n v="1702.0"/>
        <n v="3751.0"/>
        <n v="1252.0"/>
        <n v="2900.0"/>
        <n v="1094.0"/>
        <n v="520.0"/>
        <n v="605.0"/>
        <n v="1463.0"/>
        <n v="2131.0"/>
        <n v="3040.0"/>
        <n v="640.0"/>
        <n v="717.0"/>
        <n v="3715.0"/>
        <n v="1411.0"/>
        <n v="626.0"/>
        <n v="3808.0"/>
        <n v="3280.0"/>
        <n v="1583.0"/>
        <n v="1192.0"/>
        <n v="1153.0"/>
        <n v="1685.0"/>
        <n v="870.0"/>
        <n v="2679.0"/>
        <n v="817.0"/>
        <n v="1317.0"/>
        <n v="756.0"/>
        <n v="1590.0"/>
        <n v="1525.0"/>
        <n v="3507.0"/>
        <n v="1172.0"/>
        <n v="2066.0"/>
        <n v="857.0"/>
        <n v="1014.0"/>
        <n v="3079.0"/>
        <n v="691.0"/>
        <n v="1118.0"/>
        <n v="3848.0"/>
        <n v="3440.0"/>
        <n v="1302.0"/>
        <n v="1165.0"/>
        <n v="3705.0"/>
        <n v="1750.0"/>
        <n v="3149.0"/>
        <n v="3567.0"/>
        <n v="1263.0"/>
        <n v="2689.0"/>
        <n v="1783.0"/>
        <n v="3881.0"/>
        <n v="1503.0"/>
        <n v="2497.0"/>
        <n v="1127.0"/>
        <n v="1031.0"/>
        <n v="3578.0"/>
        <n v="2522.0"/>
        <n v="1217.0"/>
        <n v="1648.0"/>
        <n v="1794.0"/>
        <n v="803.0"/>
        <n v="1090.0"/>
        <n v="3680.0"/>
        <n v="2301.0"/>
        <n v="1470.0"/>
        <n v="1683.0"/>
        <n v="1188.0"/>
        <n v="1017.0"/>
        <n v="1213.0"/>
        <n v="1494.0"/>
        <n v="1737.0"/>
        <n v="2463.0"/>
        <n v="678.0"/>
        <n v="1106.0"/>
        <n v="545.0"/>
        <n v="1161.0"/>
        <n v="2946.0"/>
        <n v="849.0"/>
        <n v="1457.0"/>
        <n v="2450.0"/>
        <n v="2732.0"/>
        <n v="789.0"/>
        <n v="842.0"/>
        <n v="582.0"/>
        <n v="1656.0"/>
        <n v="524.0"/>
        <n v="733.0"/>
        <n v="3885.0"/>
        <n v="3866.0"/>
        <n v="1249.0"/>
        <n v="812.0"/>
        <n v="1333.0"/>
        <n v="1625.0"/>
        <n v="3667.0"/>
        <n v="1190.0"/>
        <n v="1112.0"/>
        <n v="2291.0"/>
        <n v="821.0"/>
        <n v="762.0"/>
        <n v="1331.0"/>
        <n v="744.0"/>
        <n v="1267.0"/>
        <n v="730.0"/>
        <n v="1083.0"/>
        <n v="1589.0"/>
        <n v="612.0"/>
        <n v="561.0"/>
        <n v="1580.0"/>
        <n v="631.0"/>
        <n v="1196.0"/>
        <n v="811.0"/>
        <n v="593.0"/>
        <n v="1138.0"/>
        <n v="573.0"/>
        <n v="660.0"/>
        <n v="658.0"/>
        <n v="1043.0"/>
        <n v="570.0"/>
        <n v="2325.0"/>
        <n v="2035.0"/>
        <n v="623.0"/>
        <n v="3950.0"/>
        <n v="3957.0"/>
        <n v="1175.0"/>
        <n v="1206.0"/>
        <n v="3463.0"/>
        <n v="2456.0"/>
        <n v="800.0"/>
        <n v="2029.0"/>
        <n v="537.0"/>
        <n v="1336.0"/>
        <n v="2464.0"/>
        <n v="1391.0"/>
        <n v="569.0"/>
        <n v="1609.0"/>
        <n v="1214.0"/>
        <n v="832.0"/>
        <n v="3822.0"/>
        <n v="1408.0"/>
        <n v="1265.0"/>
        <n v="1162.0"/>
        <n v="1427.0"/>
        <n v="3750.0"/>
        <n v="2269.0"/>
        <n v="795.0"/>
        <n v="1599.0"/>
        <n v="802.0"/>
        <n v="2765.0"/>
        <n v="1308.0"/>
        <n v="2724.0"/>
        <n v="1357.0"/>
        <n v="1212.0"/>
        <n v="2477.0"/>
        <n v="3725.0"/>
        <n v="1518.0"/>
        <n v="866.0"/>
        <n v="2568.0"/>
        <n v="1562.0"/>
        <n v="1672.0"/>
        <n v="2299.0"/>
        <n v="2379.0"/>
        <n v="1096.0"/>
        <n v="1713.0"/>
        <n v="1636.0"/>
        <n v="1642.0"/>
        <n v="893.0"/>
        <n v="1588.0"/>
        <n v="1243.0"/>
        <n v="1001.0"/>
        <n v="2305.0"/>
        <n v="1790.0"/>
        <n v="1395.0"/>
        <n v="2264.0"/>
        <n v="504.0"/>
        <n v="708.0"/>
        <n v="3636.0"/>
        <n v="1714.0"/>
        <n v="698.0"/>
        <n v="1310.0"/>
        <n v="3599.0"/>
        <n v="766.0"/>
        <n v="1610.0"/>
        <n v="3121.0"/>
        <n v="529.0"/>
        <n v="3021.0"/>
        <n v="1456.0"/>
        <n v="630.0"/>
        <n v="1552.0"/>
        <n v="703.0"/>
        <n v="3199.0"/>
        <n v="1345.0"/>
        <n v="2545.0"/>
        <n v="3898.0"/>
        <n v="797.0"/>
        <n v="1739.0"/>
        <n v="3291.0"/>
        <n v="2107.0"/>
        <n v="1097.0"/>
        <n v="1482.0"/>
        <n v="2503.0"/>
        <n v="1025.0"/>
        <n v="2231.0"/>
        <n v="713.0"/>
        <n v="1074.0"/>
        <n v="3879.0"/>
        <n v="1726.0"/>
        <n v="3065.0"/>
        <n v="673.0"/>
        <n v="1777.0"/>
        <n v="2495.0"/>
        <n v="1675.0"/>
        <n v="1404.0"/>
        <n v="1660.0"/>
        <n v="1756.0"/>
        <n v="1638.0"/>
        <n v="761.0"/>
        <n v="3493.0"/>
        <n v="884.0"/>
        <n v="1342.0"/>
        <n v="1516.0"/>
        <n v="1422.0"/>
        <n v="1652.0"/>
        <n v="3875.0"/>
        <n v="1122.0"/>
        <n v="541.0"/>
        <n v="739.0"/>
        <n v="643.0"/>
        <n v="1719.0"/>
        <n v="564.0"/>
        <n v="3458.0"/>
        <n v="3938.0"/>
        <n v="2285.0"/>
        <n v="576.0"/>
        <n v="554.0"/>
        <n v="1314.0"/>
        <n v="3297.0"/>
        <n v="2866.0"/>
        <n v="3936.0"/>
        <n v="1676.0"/>
        <n v="773.0"/>
        <n v="1681.0"/>
        <n v="501.0"/>
        <n v="1409.0"/>
        <n v="2932.0"/>
        <n v="1440.0"/>
        <n v="1108.0"/>
        <n v="2227.0"/>
        <n v="1405.0"/>
        <n v="1498.0"/>
        <n v="1747.0"/>
        <n v="3212.0"/>
        <n v="890.0"/>
        <n v="557.0"/>
        <n v="746.0"/>
        <n v="2329.0"/>
        <n v="838.0"/>
        <n v="2917.0"/>
        <n v="3745.0"/>
        <n v="1045.0"/>
        <n v="3706.0"/>
        <n v="2247.0"/>
        <n v="1320.0"/>
        <n v="1550.0"/>
        <n v="1230.0"/>
        <n v="530.0"/>
        <n v="637.0"/>
        <n v="2653.0"/>
        <n v="1645.0"/>
        <n v="1290.0"/>
        <n v="1021.0"/>
        <n v="2209.0"/>
        <n v="1502.0"/>
        <n v="899.0"/>
        <n v="3140.0"/>
        <n v="544.0"/>
      </sharedItems>
    </cacheField>
    <cacheField name="Support_Tickets" numFmtId="4">
      <sharedItems>
        <s v="2"/>
        <s v="0"/>
        <s v="1"/>
        <s v="3"/>
        <s v="5"/>
        <s v="4"/>
        <s v=""/>
        <s v="6"/>
        <s v="7"/>
        <s v="8"/>
      </sharedItems>
    </cacheField>
    <cacheField name="Complaints">
      <sharedItems containsMixedTypes="1" containsNumber="1" containsInteger="1">
        <n v="0.0"/>
        <n v="2.0"/>
        <n v="1.0"/>
        <n v="3.0"/>
        <n v="4.0"/>
        <n v="6.0"/>
        <n v="5.0"/>
        <s v=""/>
      </sharedItems>
    </cacheField>
    <cacheField name="Monthly_Usage_Hours" numFmtId="4">
      <sharedItems containsSemiMixedTypes="0" containsString="0" containsNumber="1">
        <n v="32.0"/>
        <n v="40.6"/>
        <n v="14.3"/>
        <n v="9.9"/>
        <n v="28.5"/>
        <n v="33.2"/>
        <n v="16.2"/>
        <n v="43.9"/>
        <n v="27.1"/>
        <n v="20.7"/>
        <n v="42.7"/>
        <n v="15.9"/>
        <n v="27.4"/>
        <n v="27.7"/>
        <n v="38.7"/>
        <n v="21.5"/>
        <n v="12.4"/>
        <n v="6.8"/>
        <n v="16.7"/>
        <n v="12.6"/>
        <n v="26.5"/>
        <n v="37.1"/>
        <n v="10.1"/>
        <n v="15.6"/>
        <n v="21.7"/>
        <n v="15.4"/>
        <n v="19.8"/>
        <n v="19.4"/>
        <n v="27.3"/>
        <n v="10.9"/>
        <n v="23.0"/>
        <n v="26.2"/>
        <n v="11.2"/>
        <n v="36.7"/>
        <n v="49.5"/>
        <n v="24.1"/>
        <n v="30.9"/>
        <n v="38.4"/>
        <n v="22.7"/>
        <n v="11.8"/>
        <n v="42.1"/>
        <n v="5.8"/>
        <n v="31.6"/>
        <n v="16.0"/>
        <n v="16.4"/>
        <n v="33.5"/>
        <n v="40.2"/>
        <n v="13.3"/>
        <n v="28.2"/>
        <n v="28.1"/>
        <n v="30.6"/>
        <n v="11.3"/>
        <n v="32.9"/>
        <n v="14.5"/>
        <n v="37.2"/>
        <n v="35.6"/>
        <n v="38.6"/>
        <n v="39.6"/>
        <n v="35.5"/>
        <n v="31.9"/>
        <n v="17.4"/>
        <n v="47.4"/>
        <n v="17.1"/>
        <n v="30.1"/>
        <n v="19.0"/>
        <n v="30.7"/>
        <n v="23.2"/>
        <n v="36.5"/>
        <n v="35.9"/>
        <n v="31.1"/>
        <n v="40.9"/>
        <n v="14.4"/>
        <n v="11.5"/>
        <n v="16.5"/>
        <n v="32.1"/>
        <n v="24.8"/>
        <n v="5.9"/>
        <n v="22.6"/>
        <n v="22.8"/>
        <n v="17.9"/>
        <n v="34.5"/>
        <n v="29.2"/>
        <n v="12.8"/>
        <n v="1.0"/>
        <n v="33.4"/>
        <n v="45.5"/>
        <n v="50.3"/>
        <n v="22.3"/>
        <n v="26.1"/>
        <n v="44.6"/>
        <n v="28.3"/>
        <n v="31.3"/>
        <n v="40.7"/>
        <n v="48.3"/>
        <n v="21.6"/>
        <n v="49.1"/>
        <n v="30.3"/>
        <n v="23.8"/>
        <n v="13.8"/>
        <n v="43.7"/>
        <n v="4.6"/>
        <n v="34.1"/>
        <n v="25.8"/>
        <n v="35.2"/>
        <n v="15.0"/>
        <n v="20.0"/>
        <n v="13.0"/>
        <n v="30.2"/>
        <n v="13.4"/>
        <n v="39.4"/>
        <n v="3.9"/>
        <n v="37.4"/>
        <n v="34.7"/>
        <n v="24.5"/>
        <n v="17.7"/>
        <n v="19.7"/>
        <n v="49.6"/>
        <n v="33.7"/>
        <n v="27.2"/>
        <n v="12.5"/>
        <n v="29.3"/>
        <n v="29.4"/>
        <n v="19.6"/>
        <n v="35.1"/>
        <n v="23.9"/>
        <n v="23.5"/>
        <n v="19.5"/>
        <n v="36.6"/>
        <n v="14.2"/>
        <n v="40.5"/>
        <n v="41.5"/>
        <n v="17.6"/>
        <n v="8.0"/>
        <n v="10.4"/>
        <n v="25.3"/>
        <n v="26.6"/>
        <n v="42.2"/>
        <n v="31.0"/>
        <n v="10.0"/>
        <n v="32.5"/>
        <n v="31.2"/>
        <n v="22.9"/>
        <n v="24.0"/>
        <n v="25.5"/>
        <n v="34.4"/>
        <n v="22.0"/>
        <n v="17.8"/>
        <n v="28.8"/>
        <n v="34.3"/>
        <n v="30.0"/>
        <n v="20.5"/>
        <n v="29.6"/>
        <n v="30.4"/>
        <n v="38.3"/>
        <n v="9.2"/>
        <n v="7.7"/>
        <n v="6.9"/>
        <n v="32.4"/>
        <n v="5.3"/>
        <n v="18.4"/>
        <n v="28.0"/>
        <n v="21.3"/>
        <n v="27.8"/>
        <n v="45.8"/>
        <n v="19.2"/>
        <n v="23.6"/>
        <n v="37.7"/>
        <n v="11.7"/>
        <n v="9.7"/>
        <n v="22.1"/>
        <n v="20.3"/>
        <n v="22.5"/>
        <n v="13.1"/>
        <n v="25.6"/>
        <n v="8.6"/>
        <n v="13.6"/>
        <n v="28.7"/>
        <n v="15.1"/>
        <n v="7.2"/>
        <n v="28.6"/>
        <n v="18.5"/>
        <n v="29.7"/>
        <n v="26.0"/>
        <n v="17.2"/>
        <n v="56.4"/>
        <n v="36.9"/>
        <n v="26.3"/>
        <n v="37.6"/>
        <n v="43.8"/>
        <n v="31.4"/>
        <n v="44.5"/>
        <n v="16.6"/>
        <n v="10.2"/>
        <n v="18.8"/>
        <n v="40.0"/>
        <n v="24.4"/>
        <n v="21.0"/>
        <n v="39.2"/>
        <n v="12.3"/>
        <n v="25.1"/>
        <n v="38.9"/>
        <n v="20.2"/>
        <n v="17.3"/>
        <n v="39.0"/>
        <n v="23.7"/>
        <n v="12.9"/>
        <n v="35.8"/>
        <n v="39.8"/>
        <n v="10.3"/>
        <n v="33.0"/>
        <n v="24.6"/>
        <n v="14.1"/>
        <n v="8.9"/>
        <n v="49.4"/>
        <n v="36.0"/>
        <n v="3.3"/>
        <n v="38.5"/>
        <n v="25.7"/>
        <n v="39.9"/>
        <n v="8.4"/>
        <n v="2.2"/>
        <n v="7.8"/>
        <n v="49.2"/>
        <n v="13.2"/>
        <n v="45.6"/>
        <n v="44.4"/>
        <n v="4.9"/>
        <n v="18.9"/>
        <n v="18.0"/>
        <n v="5.1"/>
        <n v="21.2"/>
        <n v="11.4"/>
        <n v="34.6"/>
        <n v="27.5"/>
        <n v="41.3"/>
        <n v="16.8"/>
        <n v="20.6"/>
        <n v="8.5"/>
        <n v="16.3"/>
        <n v="32.3"/>
        <n v="15.2"/>
        <n v="7.9"/>
        <n v="19.3"/>
        <n v="5.2"/>
        <n v="21.4"/>
        <n v="21.8"/>
        <n v="34.8"/>
        <n v="8.3"/>
        <n v="3.8"/>
        <n v="24.9"/>
        <n v="15.3"/>
        <n v="38.0"/>
        <n v="52.6"/>
        <n v="24.2"/>
        <n v="18.6"/>
        <n v="29.1"/>
        <n v="14.0"/>
        <n v="37.5"/>
        <n v="22.4"/>
        <n v="21.1"/>
        <n v="18.1"/>
        <n v="20.4"/>
        <n v="41.9"/>
        <n v="46.6"/>
        <n v="9.3"/>
        <n v="21.9"/>
        <n v="36.2"/>
        <n v="10.8"/>
        <n v="6.5"/>
        <n v="49.0"/>
        <n v="27.6"/>
        <n v="11.9"/>
        <n v="10.7"/>
        <n v="29.9"/>
        <n v="30.8"/>
        <n v="43.4"/>
        <n v="37.3"/>
        <n v="35.7"/>
        <n v="23.3"/>
        <n v="35.3"/>
        <n v="4.8"/>
        <n v="41.4"/>
        <n v="12.7"/>
        <n v="29.0"/>
        <n v="20.8"/>
        <n v="42.3"/>
        <n v="43.2"/>
        <n v="20.9"/>
        <n v="23.1"/>
        <n v="19.1"/>
        <n v="1.3"/>
        <n v="14.9"/>
        <n v="47.8"/>
        <n v="14.7"/>
        <n v="15.8"/>
        <n v="15.7"/>
        <n v="13.5"/>
        <n v="30.5"/>
        <n v="9.4"/>
        <n v="29.8"/>
        <n v="11.0"/>
        <n v="33.3"/>
        <n v="44.7"/>
        <n v="48.4"/>
        <n v="53.8"/>
        <n v="11.6"/>
        <n v="9.1"/>
        <n v="31.8"/>
        <n v="31.5"/>
        <n v="22.2"/>
        <n v="40.3"/>
        <n v="44.8"/>
        <n v="47.2"/>
        <n v="19.9"/>
        <n v="25.9"/>
        <n v="43.1"/>
        <n v="46.5"/>
        <n v="55.8"/>
        <n v="18.7"/>
        <n v="7.1"/>
        <n v="24.3"/>
        <n v="26.7"/>
        <n v="14.8"/>
        <n v="39.1"/>
        <n v="16.1"/>
        <n v="37.0"/>
        <n v="3.1"/>
        <n v="39.7"/>
        <n v="53.2"/>
        <n v="17.0"/>
        <n v="51.1"/>
        <n v="20.1"/>
        <n v="45.4"/>
        <n v="41.0"/>
        <n v="35.0"/>
        <n v="24.7"/>
        <n v="6.0"/>
        <n v="26.4"/>
        <n v="12.1"/>
        <n v="41.2"/>
        <n v="23.4"/>
        <n v="28.4"/>
        <n v="18.2"/>
        <n v="25.0"/>
        <n v="43.6"/>
        <n v="5.4"/>
        <n v="26.9"/>
        <n v="12.0"/>
        <n v="4.2"/>
        <n v="4.1"/>
        <n v="51.3"/>
        <n v="6.4"/>
        <n v="42.0"/>
        <n v="10.6"/>
        <n v="33.8"/>
        <n v="9.6"/>
        <n v="34.0"/>
        <n v="4.5"/>
        <n v="25.2"/>
        <n v="37.8"/>
        <n v="48.8"/>
        <n v="40.4"/>
        <n v="32.7"/>
        <n v="14.6"/>
        <n v="40.1"/>
        <n v="28.9"/>
        <n v="46.8"/>
        <n v="16.9"/>
        <n v="10.5"/>
        <n v="6.2"/>
        <n v="27.0"/>
        <n v="18.3"/>
        <n v="33.1"/>
        <n v="42.4"/>
        <n v="25.4"/>
        <n v="48.6"/>
        <n v="34.9"/>
        <n v="38.8"/>
        <n v="2.9"/>
        <n v="32.2"/>
        <n v="8.1"/>
        <n v="41.6"/>
        <n v="47.3"/>
        <n v="31.7"/>
        <n v="50.8"/>
        <n v="43.0"/>
        <n v="38.2"/>
        <n v="27.9"/>
        <n v="15.5"/>
        <n v="17.5"/>
        <n v="8.2"/>
        <n v="5.0"/>
        <n v="43.3"/>
        <n v="50.4"/>
        <n v="37.9"/>
        <n v="6.1"/>
        <n v="7.5"/>
        <n v="36.3"/>
        <n v="45.3"/>
        <n v="43.5"/>
        <n v="50.2"/>
        <n v="51.6"/>
        <n v="42.6"/>
        <n v="36.8"/>
        <n v="42.9"/>
        <n v="1.5"/>
        <n v="32.6"/>
        <n v="33.6"/>
        <n v="41.8"/>
        <n v="51.5"/>
        <n v="46.9"/>
        <n v="34.2"/>
        <n v="48.7"/>
        <n v="12.2"/>
        <n v="2.7"/>
        <n v="53.9"/>
        <n v="48.0"/>
        <n v="26.8"/>
        <n v="54.2"/>
        <n v="3.6"/>
        <n v="29.5"/>
        <n v="13.7"/>
        <n v="35.4"/>
        <n v="39.5"/>
        <n v="36.1"/>
        <n v="47.7"/>
        <n v="7.3"/>
        <n v="32.8"/>
        <n v="50.9"/>
        <n v="7.4"/>
        <n v="2.8"/>
        <n v="55.0"/>
        <n v="1.4"/>
        <n v="3.5"/>
        <n v="38.1"/>
        <n v="44.3"/>
        <n v="41.7"/>
        <n v="36.4"/>
        <n v="45.0"/>
        <n v="39.3"/>
        <n v="44.1"/>
        <n v="4.4"/>
        <n v="4.3"/>
        <n v="53.6"/>
        <n v="4.7"/>
        <n v="46.2"/>
        <n v="48.9"/>
        <n v="13.9"/>
        <n v="48.2"/>
        <n v="40.8"/>
        <n v="11.1"/>
      </sharedItems>
    </cacheField>
    <cacheField name="Satisfaction_Score">
      <sharedItems containsMixedTypes="1" containsNumber="1">
        <n v="3.6"/>
        <n v="4.4"/>
        <n v="3.3"/>
        <n v="4.0"/>
        <n v="2.4"/>
        <n v="3.4"/>
        <n v="4.1"/>
        <n v="3.9"/>
        <n v="2.1"/>
        <n v="4.5"/>
        <n v="4.7"/>
        <s v=""/>
        <n v="5.0"/>
        <n v="3.2"/>
        <n v="3.7"/>
        <n v="3.8"/>
        <n v="3.5"/>
        <n v="2.6"/>
        <n v="3.0"/>
        <n v="2.9"/>
        <n v="4.3"/>
        <n v="2.3"/>
        <n v="4.6"/>
        <n v="3.1"/>
        <n v="4.9"/>
        <n v="4.8"/>
        <n v="4.2"/>
        <n v="2.7"/>
        <n v="2.5"/>
        <n v="1.7"/>
        <n v="2.2"/>
        <n v="2.8"/>
        <n v="9.0"/>
        <n v="1.8"/>
        <n v="1.9"/>
        <n v="2.0"/>
        <n v="1.3"/>
        <n v="1.4"/>
        <n v="0.0"/>
        <n v="1.2"/>
        <n v="1.5"/>
        <n v="6.0"/>
        <n v="1.0"/>
        <n v="1.6"/>
      </sharedItems>
    </cacheField>
    <cacheField name="Last_Login">
      <sharedItems containsDate="1" containsMixedTypes="1">
        <d v="2024-01-17T00:00:00Z"/>
        <d v="2025-02-06T00:00:00Z"/>
        <d v="2025-07-18T00:00:00Z"/>
        <d v="2023-12-20T00:00:00Z"/>
        <d v="2023-07-23T00:00:00Z"/>
        <d v="2023-12-29T00:00:00Z"/>
        <d v="2026-08-23T00:00:00Z"/>
        <d v="2023-08-03T00:00:00Z"/>
        <d v="2025-12-17T00:00:00Z"/>
        <d v="2025-07-31T00:00:00Z"/>
        <d v="2026-06-02T00:00:00Z"/>
        <d v="2022-08-08T00:00:00Z"/>
        <d v="2024-11-25T00:00:00Z"/>
        <d v="2023-09-05T00:00:00Z"/>
        <d v="2023-12-01T00:00:00Z"/>
        <d v="2026-05-13T00:00:00Z"/>
        <d v="2022-10-22T00:00:00Z"/>
        <d v="2025-11-02T00:00:00Z"/>
        <d v="2025-04-11T00:00:00Z"/>
        <d v="2024-04-22T00:00:00Z"/>
        <d v="2024-09-10T00:00:00Z"/>
        <d v="2024-07-09T00:00:00Z"/>
        <d v="2026-03-14T00:00:00Z"/>
        <d v="2023-07-12T00:00:00Z"/>
        <d v="2025-04-18T00:00:00Z"/>
        <d v="2024-08-11T00:00:00Z"/>
        <d v="2025-07-25T00:00:00Z"/>
        <d v="2025-11-03T00:00:00Z"/>
        <d v="2023-06-18T00:00:00Z"/>
        <d v="2027-12-02T00:00:00Z"/>
        <d v="2026-08-11T00:00:00Z"/>
        <d v="2025-04-20T00:00:00Z"/>
        <d v="2023-10-28T00:00:00Z"/>
        <d v="2024-05-16T00:00:00Z"/>
        <d v="2027-07-14T00:00:00Z"/>
        <d v="2025-01-11T00:00:00Z"/>
        <d v="2024-05-19T00:00:00Z"/>
        <d v="2022-10-13T00:00:00Z"/>
        <d v="2025-05-28T00:00:00Z"/>
        <d v="2027-07-24T00:00:00Z"/>
        <d v="2024-09-30T00:00:00Z"/>
        <d v="2026-02-12T00:00:00Z"/>
        <d v="2026-07-15T00:00:00Z"/>
        <d v="2026-11-29T00:00:00Z"/>
        <d v="2023-02-03T00:00:00Z"/>
        <d v="2023-08-26T00:00:00Z"/>
        <d v="2025-10-11T00:00:00Z"/>
        <d v="2026-08-24T00:00:00Z"/>
        <d v="2023-02-28T00:00:00Z"/>
        <d v="2025-09-24T00:00:00Z"/>
        <d v="2024-04-10T00:00:00Z"/>
        <d v="2025-12-27T00:00:00Z"/>
        <d v="2024-05-05T00:00:00Z"/>
        <d v="2025-02-19T00:00:00Z"/>
        <d v="2025-01-27T00:00:00Z"/>
        <d v="2028-05-04T00:00:00Z"/>
        <d v="2024-06-18T00:00:00Z"/>
        <d v="2024-11-19T00:00:00Z"/>
        <d v="2028-07-18T00:00:00Z"/>
        <d v="2027-04-05T00:00:00Z"/>
        <d v="2026-05-21T00:00:00Z"/>
        <d v="2025-08-08T00:00:00Z"/>
        <d v="2024-12-10T00:00:00Z"/>
        <d v="2024-09-21T00:00:00Z"/>
        <d v="2025-01-21T00:00:00Z"/>
        <d v="2026-04-29T00:00:00Z"/>
        <d v="2025-10-12T00:00:00Z"/>
        <d v="2023-09-29T00:00:00Z"/>
        <d v="2026-11-06T00:00:00Z"/>
        <d v="2023-03-29T00:00:00Z"/>
        <d v="2024-01-07T00:00:00Z"/>
        <d v="2022-10-08T00:00:00Z"/>
        <d v="2026-09-16T00:00:00Z"/>
        <d v="2025-07-10T00:00:00Z"/>
        <d v="2025-04-28T00:00:00Z"/>
        <d v="2024-03-17T00:00:00Z"/>
        <d v="2027-07-20T00:00:00Z"/>
        <d v="2023-06-01T00:00:00Z"/>
        <d v="2024-11-18T00:00:00Z"/>
        <d v="2024-07-02T00:00:00Z"/>
        <d v="2027-08-16T00:00:00Z"/>
        <d v="2022-05-19T00:00:00Z"/>
        <d v="2025-01-25T00:00:00Z"/>
        <d v="2023-02-27T00:00:00Z"/>
        <d v="2024-10-26T00:00:00Z"/>
        <d v="2026-02-04T00:00:00Z"/>
        <d v="2026-06-24T00:00:00Z"/>
        <d v="2025-08-22T00:00:00Z"/>
        <d v="2023-02-02T00:00:00Z"/>
        <d v="2025-04-04T00:00:00Z"/>
        <d v="2026-04-19T00:00:00Z"/>
        <d v="2025-06-03T00:00:00Z"/>
        <d v="2023-09-10T00:00:00Z"/>
        <d v="2025-05-12T00:00:00Z"/>
        <d v="2023-07-03T00:00:00Z"/>
        <d v="2025-12-18T00:00:00Z"/>
        <d v="2022-08-19T00:00:00Z"/>
        <d v="2024-02-25T00:00:00Z"/>
        <d v="2027-05-08T00:00:00Z"/>
        <d v="2026-08-04T00:00:00Z"/>
        <d v="2023-11-25T00:00:00Z"/>
        <d v="2025-11-20T00:00:00Z"/>
        <d v="2026-04-03T00:00:00Z"/>
        <d v="2022-06-17T00:00:00Z"/>
        <d v="2023-09-13T00:00:00Z"/>
        <d v="2024-09-17T00:00:00Z"/>
        <d v="2025-11-19T00:00:00Z"/>
        <d v="2023-11-14T00:00:00Z"/>
        <d v="2024-03-19T00:00:00Z"/>
        <d v="2025-07-04T00:00:00Z"/>
        <d v="2025-07-02T00:00:00Z"/>
        <d v="2025-12-05T00:00:00Z"/>
        <d v="2023-10-20T00:00:00Z"/>
        <d v="2022-12-28T00:00:00Z"/>
        <d v="2026-02-08T00:00:00Z"/>
        <d v="2024-10-09T00:00:00Z"/>
        <d v="2025-12-10T00:00:00Z"/>
        <d v="2025-03-19T00:00:00Z"/>
        <d v="2025-05-20T00:00:00Z"/>
        <d v="2028-05-24T00:00:00Z"/>
        <d v="2025-01-13T00:00:00Z"/>
        <d v="2026-02-01T00:00:00Z"/>
        <d v="2026-05-01T00:00:00Z"/>
        <d v="2024-02-01T00:00:00Z"/>
        <d v="2026-03-18T00:00:00Z"/>
        <d v="2025-06-05T00:00:00Z"/>
        <d v="2023-04-11T00:00:00Z"/>
        <d v="2025-12-15T00:00:00Z"/>
        <d v="2022-12-27T00:00:00Z"/>
        <d v="2027-10-23T00:00:00Z"/>
        <d v="2025-12-26T00:00:00Z"/>
        <d v="2023-03-19T00:00:00Z"/>
        <d v="2024-01-24T00:00:00Z"/>
        <d v="2024-08-04T00:00:00Z"/>
        <d v="2025-11-29T00:00:00Z"/>
        <d v="2025-06-27T00:00:00Z"/>
        <d v="2022-10-16T00:00:00Z"/>
        <d v="2028-06-17T00:00:00Z"/>
        <d v="2023-11-13T00:00:00Z"/>
        <d v="2026-11-18T00:00:00Z"/>
        <d v="2027-03-10T00:00:00Z"/>
        <d v="2023-12-19T00:00:00Z"/>
        <d v="2024-10-14T00:00:00Z"/>
        <d v="2025-02-25T00:00:00Z"/>
        <d v="2022-12-21T00:00:00Z"/>
        <d v="2025-12-24T00:00:00Z"/>
        <d v="2024-06-03T00:00:00Z"/>
        <d v="2025-09-03T00:00:00Z"/>
        <d v="2026-05-14T00:00:00Z"/>
        <d v="2024-12-28T00:00:00Z"/>
        <d v="2024-03-09T00:00:00Z"/>
        <d v="2026-12-18T00:00:00Z"/>
        <d v="2023-04-27T00:00:00Z"/>
        <d v="2024-07-26T00:00:00Z"/>
        <d v="2025-01-29T00:00:00Z"/>
        <d v="2024-09-18T00:00:00Z"/>
        <d v="2024-12-19T00:00:00Z"/>
        <d v="2026-01-03T00:00:00Z"/>
        <s v=""/>
        <d v="2024-12-18T00:00:00Z"/>
        <d v="2023-01-05T00:00:00Z"/>
        <d v="2027-12-04T00:00:00Z"/>
        <d v="2025-09-06T00:00:00Z"/>
        <d v="2024-09-07T00:00:00Z"/>
        <d v="2025-12-03T00:00:00Z"/>
        <d v="2023-11-23T00:00:00Z"/>
        <d v="2024-03-04T00:00:00Z"/>
        <d v="2025-03-05T00:00:00Z"/>
        <d v="2025-10-24T00:00:00Z"/>
        <d v="2024-11-17T00:00:00Z"/>
        <d v="2023-07-31T00:00:00Z"/>
        <d v="2024-06-04T00:00:00Z"/>
        <d v="2025-10-10T00:00:00Z"/>
        <d v="2022-05-10T00:00:00Z"/>
        <d v="2023-06-24T00:00:00Z"/>
        <d v="2022-06-23T00:00:00Z"/>
        <d v="2023-02-22T00:00:00Z"/>
        <d v="2028-01-12T00:00:00Z"/>
        <d v="2023-08-27T00:00:00Z"/>
        <d v="2027-05-10T00:00:00Z"/>
        <d v="2023-05-28T00:00:00Z"/>
        <d v="2027-01-17T00:00:00Z"/>
        <d v="2025-11-23T00:00:00Z"/>
        <d v="2022-04-20T00:00:00Z"/>
        <d v="2025-03-25T00:00:00Z"/>
        <d v="2024-08-22T00:00:00Z"/>
        <d v="2022-03-04T00:00:00Z"/>
        <d v="2025-09-27T00:00:00Z"/>
        <d v="2023-02-09T00:00:00Z"/>
        <d v="2025-05-27T00:00:00Z"/>
        <d v="2023-05-19T00:00:00Z"/>
        <d v="2023-03-13T00:00:00Z"/>
        <d v="2027-05-27T00:00:00Z"/>
        <d v="2023-01-03T00:00:00Z"/>
        <d v="2026-01-26T00:00:00Z"/>
        <d v="2026-06-18T00:00:00Z"/>
        <d v="2023-07-08T00:00:00Z"/>
        <d v="2023-10-23T00:00:00Z"/>
        <d v="2023-03-10T00:00:00Z"/>
        <d v="2024-12-11T00:00:00Z"/>
        <d v="2026-12-26T00:00:00Z"/>
        <d v="2023-09-15T00:00:00Z"/>
        <d v="2022-02-24T00:00:00Z"/>
        <d v="2023-03-05T00:00:00Z"/>
        <d v="2025-10-31T00:00:00Z"/>
        <d v="2023-04-26T00:00:00Z"/>
        <d v="2026-09-21T00:00:00Z"/>
        <d v="2023-01-12T00:00:00Z"/>
        <d v="2024-10-24T00:00:00Z"/>
        <d v="2022-08-06T00:00:00Z"/>
        <d v="2025-10-08T00:00:00Z"/>
        <d v="2025-01-19T00:00:00Z"/>
        <d v="2024-05-29T00:00:00Z"/>
        <d v="2024-08-16T00:00:00Z"/>
        <d v="2023-05-29T00:00:00Z"/>
        <d v="2026-05-04T00:00:00Z"/>
        <d v="2025-11-07T00:00:00Z"/>
        <d v="2024-09-24T00:00:00Z"/>
        <d v="2023-08-07T00:00:00Z"/>
        <d v="2027-03-31T00:00:00Z"/>
        <d v="2027-04-16T00:00:00Z"/>
        <d v="2025-04-15T00:00:00Z"/>
        <d v="2023-07-07T00:00:00Z"/>
        <d v="2025-01-02T00:00:00Z"/>
        <d v="2025-10-06T00:00:00Z"/>
        <d v="2024-04-18T00:00:00Z"/>
        <d v="2025-10-26T00:00:00Z"/>
        <d v="2022-11-02T00:00:00Z"/>
        <d v="2024-04-09T00:00:00Z"/>
        <d v="2024-11-13T00:00:00Z"/>
        <d v="2024-04-27T00:00:00Z"/>
        <d v="2025-10-14T00:00:00Z"/>
        <d v="2024-09-20T00:00:00Z"/>
        <d v="2028-08-07T00:00:00Z"/>
        <d v="2028-08-27T00:00:00Z"/>
        <d v="2023-02-24T00:00:00Z"/>
        <d v="2024-11-20T00:00:00Z"/>
        <d v="2026-02-15T00:00:00Z"/>
        <d v="2024-03-22T00:00:00Z"/>
        <d v="2026-02-14T00:00:00Z"/>
        <d v="2024-11-29T00:00:00Z"/>
        <d v="2026-05-05T00:00:00Z"/>
        <d v="2023-11-07T00:00:00Z"/>
        <d v="2025-02-20T00:00:00Z"/>
        <d v="2027-04-28T00:00:00Z"/>
        <d v="2025-02-03T00:00:00Z"/>
        <d v="2025-08-02T00:00:00Z"/>
        <d v="2025-07-21T00:00:00Z"/>
        <d v="2025-11-13T00:00:00Z"/>
        <d v="2024-12-16T00:00:00Z"/>
        <d v="2025-08-30T00:00:00Z"/>
        <d v="2025-08-12T00:00:00Z"/>
        <d v="2025-03-14T00:00:00Z"/>
        <d v="2023-04-19T00:00:00Z"/>
        <d v="2027-06-21T00:00:00Z"/>
        <d v="2023-08-23T00:00:00Z"/>
        <d v="2027-02-14T00:00:00Z"/>
        <d v="2027-09-09T00:00:00Z"/>
        <d v="2027-11-06T00:00:00Z"/>
        <d v="2023-08-11T00:00:00Z"/>
        <d v="2024-11-22T00:00:00Z"/>
        <d v="2025-03-17T00:00:00Z"/>
        <d v="2026-01-25T00:00:00Z"/>
        <d v="2026-06-08T00:00:00Z"/>
        <d v="2025-05-23T00:00:00Z"/>
        <d v="2024-10-12T00:00:00Z"/>
        <d v="2024-07-16T00:00:00Z"/>
        <d v="2023-03-21T00:00:00Z"/>
        <d v="2026-08-17T00:00:00Z"/>
        <d v="2022-02-12T00:00:00Z"/>
        <d v="2024-08-12T00:00:00Z"/>
        <d v="2026-12-08T00:00:00Z"/>
        <d v="2025-04-01T00:00:00Z"/>
        <d v="2023-11-01T00:00:00Z"/>
        <d v="2025-06-11T00:00:00Z"/>
        <d v="2024-03-03T00:00:00Z"/>
        <d v="2025-01-26T00:00:00Z"/>
        <d v="2025-11-30T00:00:00Z"/>
        <d v="2024-08-29T00:00:00Z"/>
        <d v="2025-05-17T00:00:00Z"/>
        <d v="2025-01-01T00:00:00Z"/>
        <d v="2022-10-07T00:00:00Z"/>
        <d v="2022-05-18T00:00:00Z"/>
        <d v="2025-04-09T00:00:00Z"/>
        <d v="2025-07-28T00:00:00Z"/>
        <d v="2024-05-06T00:00:00Z"/>
        <d v="2024-03-26T00:00:00Z"/>
        <d v="2025-04-26T00:00:00Z"/>
        <d v="2023-10-10T00:00:00Z"/>
        <d v="2024-04-19T00:00:00Z"/>
        <d v="2025-09-13T00:00:00Z"/>
        <d v="2026-10-03T00:00:00Z"/>
        <d v="2028-01-03T00:00:00Z"/>
        <d v="2025-09-25T00:00:00Z"/>
        <d v="2028-07-15T00:00:00Z"/>
        <d v="2024-07-23T00:00:00Z"/>
        <d v="2024-08-14T00:00:00Z"/>
        <d v="2026-04-26T00:00:00Z"/>
        <d v="2024-05-07T00:00:00Z"/>
        <d v="2026-06-13T00:00:00Z"/>
        <d v="2027-10-31T00:00:00Z"/>
        <d v="2024-11-07T00:00:00Z"/>
        <d v="2026-03-10T00:00:00Z"/>
        <d v="2025-08-06T00:00:00Z"/>
        <d v="2027-10-11T00:00:00Z"/>
        <d v="2023-09-22T00:00:00Z"/>
        <d v="2029-08-23T00:00:00Z"/>
        <d v="2022-09-14T00:00:00Z"/>
        <d v="2027-12-31T00:00:00Z"/>
        <d v="2023-06-08T00:00:00Z"/>
        <d v="2023-06-10T00:00:00Z"/>
        <d v="2025-06-28T00:00:00Z"/>
        <d v="2023-01-17T00:00:00Z"/>
        <d v="2024-04-21T00:00:00Z"/>
        <d v="2027-01-06T00:00:00Z"/>
        <d v="2022-12-10T00:00:00Z"/>
        <d v="2023-06-13T00:00:00Z"/>
        <d v="2022-11-05T00:00:00Z"/>
        <d v="2026-07-30T00:00:00Z"/>
        <d v="2022-06-30T00:00:00Z"/>
        <d v="2026-09-24T00:00:00Z"/>
        <d v="2024-07-06T00:00:00Z"/>
        <d v="2025-03-28T00:00:00Z"/>
        <d v="2026-02-20T00:00:00Z"/>
        <d v="2024-08-01T00:00:00Z"/>
        <d v="2025-07-07T00:00:00Z"/>
        <d v="2026-05-09T00:00:00Z"/>
        <d v="2027-12-08T00:00:00Z"/>
        <d v="2024-03-12T00:00:00Z"/>
        <d v="2023-12-03T00:00:00Z"/>
        <d v="2027-11-02T00:00:00Z"/>
        <d v="2026-02-16T00:00:00Z"/>
        <d v="2026-02-13T00:00:00Z"/>
        <d v="2026-10-20T00:00:00Z"/>
        <d v="2023-08-12T00:00:00Z"/>
        <d v="2025-11-11T00:00:00Z"/>
        <d v="2027-02-01T00:00:00Z"/>
        <d v="2027-03-22T00:00:00Z"/>
        <d v="2025-01-31T00:00:00Z"/>
        <d v="2026-02-22T00:00:00Z"/>
        <d v="2025-02-26T00:00:00Z"/>
        <d v="2023-01-04T00:00:00Z"/>
        <d v="2022-12-24T00:00:00Z"/>
        <d v="2023-04-04T00:00:00Z"/>
        <d v="2024-06-27T00:00:00Z"/>
        <d v="2024-10-25T00:00:00Z"/>
        <d v="2025-11-12T00:00:00Z"/>
        <d v="2023-07-11T00:00:00Z"/>
        <d v="2022-07-15T00:00:00Z"/>
        <d v="2026-11-26T00:00:00Z"/>
        <d v="2025-11-08T00:00:00Z"/>
        <d v="2024-10-11T00:00:00Z"/>
        <d v="2024-10-06T00:00:00Z"/>
        <d v="2028-12-10T00:00:00Z"/>
        <d v="2023-03-03T00:00:00Z"/>
        <d v="2026-08-13T00:00:00Z"/>
        <d v="2024-03-01T00:00:00Z"/>
        <d v="2028-04-20T00:00:00Z"/>
        <d v="2025-12-28T00:00:00Z"/>
        <d v="2025-03-15T00:00:00Z"/>
        <d v="2023-08-10T00:00:00Z"/>
        <d v="2024-11-06T00:00:00Z"/>
        <d v="2025-10-16T00:00:00Z"/>
        <d v="2023-09-28T00:00:00Z"/>
        <d v="2024-10-27T00:00:00Z"/>
        <d v="2026-12-13T00:00:00Z"/>
        <d v="2025-12-08T00:00:00Z"/>
        <d v="2026-10-15T00:00:00Z"/>
        <d v="2028-05-14T00:00:00Z"/>
        <d v="2023-06-16T00:00:00Z"/>
        <d v="2025-02-27T00:00:00Z"/>
        <d v="2023-10-05T00:00:00Z"/>
        <d v="2024-12-14T00:00:00Z"/>
        <d v="2023-06-15T00:00:00Z"/>
        <d v="2027-09-21T00:00:00Z"/>
        <d v="2025-01-22T00:00:00Z"/>
        <d v="2024-12-30T00:00:00Z"/>
        <d v="2023-06-26T00:00:00Z"/>
        <d v="2026-10-31T00:00:00Z"/>
        <d v="2024-04-30T00:00:00Z"/>
        <d v="2025-03-07T00:00:00Z"/>
        <d v="2023-04-07T00:00:00Z"/>
        <d v="2023-01-11T00:00:00Z"/>
        <d v="2024-03-10T00:00:00Z"/>
        <d v="2024-11-04T00:00:00Z"/>
        <d v="2025-04-14T00:00:00Z"/>
        <d v="2023-09-18T00:00:00Z"/>
        <d v="2027-07-25T00:00:00Z"/>
        <d v="2024-04-24T00:00:00Z"/>
        <d v="2025-08-07T00:00:00Z"/>
        <d v="2024-11-16T00:00:00Z"/>
        <d v="2027-02-17T00:00:00Z"/>
        <d v="2024-01-30T00:00:00Z"/>
        <d v="2026-12-21T00:00:00Z"/>
        <d v="2025-02-12T00:00:00Z"/>
        <d v="2023-11-11T00:00:00Z"/>
        <d v="2025-07-16T00:00:00Z"/>
        <d v="2027-06-19T00:00:00Z"/>
        <d v="2025-01-15T00:00:00Z"/>
        <d v="2026-12-15T00:00:00Z"/>
        <d v="2022-11-08T00:00:00Z"/>
        <d v="2025-10-19T00:00:00Z"/>
        <d v="2025-05-30T00:00:00Z"/>
        <d v="2024-03-11T00:00:00Z"/>
        <d v="2027-03-29T00:00:00Z"/>
        <d v="2023-01-30T00:00:00Z"/>
        <d v="2026-02-11T00:00:00Z"/>
        <d v="2023-02-10T00:00:00Z"/>
        <d v="2025-09-21T00:00:00Z"/>
        <d v="2024-02-06T00:00:00Z"/>
        <d v="2026-04-17T00:00:00Z"/>
        <d v="2025-05-26T00:00:00Z"/>
        <d v="2023-03-22T00:00:00Z"/>
        <d v="2027-11-24T00:00:00Z"/>
        <d v="2024-06-12T00:00:00Z"/>
        <d v="2025-03-09T00:00:00Z"/>
        <d v="2025-04-21T00:00:00Z"/>
        <d v="2022-06-28T00:00:00Z"/>
        <d v="2024-01-08T00:00:00Z"/>
        <d v="2025-06-19T00:00:00Z"/>
        <d v="2026-05-02T00:00:00Z"/>
        <d v="2023-04-29T00:00:00Z"/>
        <d v="2025-04-24T00:00:00Z"/>
        <d v="2027-07-07T00:00:00Z"/>
        <d v="2027-06-22T00:00:00Z"/>
        <d v="2027-12-13T00:00:00Z"/>
        <d v="2025-04-05T00:00:00Z"/>
        <d v="2023-04-05T00:00:00Z"/>
        <d v="2024-06-26T00:00:00Z"/>
        <d v="2023-11-06T00:00:00Z"/>
        <d v="2027-11-20T00:00:00Z"/>
        <d v="2027-03-04T00:00:00Z"/>
        <d v="2022-03-29T00:00:00Z"/>
        <d v="2025-12-30T00:00:00Z"/>
        <d v="2026-08-18T00:00:00Z"/>
        <d v="2025-07-27T00:00:00Z"/>
        <d v="2025-03-13T00:00:00Z"/>
        <d v="2024-11-28T00:00:00Z"/>
        <d v="2025-04-25T00:00:00Z"/>
        <d v="2024-02-15T00:00:00Z"/>
        <d v="2022-11-10T00:00:00Z"/>
        <d v="2022-02-22T00:00:00Z"/>
        <d v="2023-08-21T00:00:00Z"/>
        <d v="2022-08-12T00:00:00Z"/>
        <d v="2024-07-07T00:00:00Z"/>
        <d v="2024-10-01T00:00:00Z"/>
        <d v="2023-06-04T00:00:00Z"/>
        <d v="2026-05-11T00:00:00Z"/>
        <d v="2024-07-31T00:00:00Z"/>
        <d v="2029-07-21T00:00:00Z"/>
        <d v="2023-02-15T00:00:00Z"/>
        <d v="2027-11-26T00:00:00Z"/>
        <d v="2025-03-29T00:00:00Z"/>
        <d v="2022-07-07T00:00:00Z"/>
        <d v="2023-06-03T00:00:00Z"/>
        <d v="2024-07-30T00:00:00Z"/>
        <d v="2028-02-16T00:00:00Z"/>
        <d v="2028-12-08T00:00:00Z"/>
        <d v="2022-11-13T00:00:00Z"/>
        <d v="2028-06-14T00:00:00Z"/>
        <d v="2026-11-05T00:00:00Z"/>
        <d v="2025-12-11T00:00:00Z"/>
        <d v="2023-07-19T00:00:00Z"/>
        <d v="2026-07-19T00:00:00Z"/>
        <d v="2025-11-09T00:00:00Z"/>
        <d v="2024-11-10T00:00:00Z"/>
        <d v="2028-03-26T00:00:00Z"/>
        <d v="2025-05-08T00:00:00Z"/>
        <d v="2025-10-23T00:00:00Z"/>
        <d v="2024-06-15T00:00:00Z"/>
        <d v="2024-03-14T00:00:00Z"/>
        <d v="2025-08-13T00:00:00Z"/>
        <d v="2027-05-28T00:00:00Z"/>
        <d v="2023-12-25T00:00:00Z"/>
        <d v="2024-03-13T00:00:00Z"/>
        <d v="2023-06-19T00:00:00Z"/>
        <d v="2024-05-04T00:00:00Z"/>
        <d v="2022-12-25T00:00:00Z"/>
        <d v="2022-10-29T00:00:00Z"/>
        <d v="2025-09-29T00:00:00Z"/>
        <d v="2023-03-08T00:00:00Z"/>
        <d v="2023-05-25T00:00:00Z"/>
        <d v="2026-11-28T00:00:00Z"/>
        <d v="2026-10-28T00:00:00Z"/>
        <d v="2022-12-12T00:00:00Z"/>
        <d v="2026-04-09T00:00:00Z"/>
        <d v="2023-07-30T00:00:00Z"/>
        <d v="2026-06-01T00:00:00Z"/>
        <d v="2026-04-25T00:00:00Z"/>
        <d v="2027-08-02T00:00:00Z"/>
        <d v="2027-07-16T00:00:00Z"/>
        <d v="2025-12-07T00:00:00Z"/>
        <d v="2024-09-26T00:00:00Z"/>
        <d v="2022-08-17T00:00:00Z"/>
        <d v="2027-02-21T00:00:00Z"/>
        <d v="2025-07-30T00:00:00Z"/>
        <d v="2024-01-25T00:00:00Z"/>
        <d v="2023-06-06T00:00:00Z"/>
        <d v="2026-09-07T00:00:00Z"/>
        <d v="2024-10-02T00:00:00Z"/>
        <d v="2027-04-15T00:00:00Z"/>
        <d v="2023-07-17T00:00:00Z"/>
        <d v="2025-06-23T00:00:00Z"/>
        <d v="2025-06-22T00:00:00Z"/>
        <d v="2025-03-30T00:00:00Z"/>
        <d v="2024-12-13T00:00:00Z"/>
        <d v="2023-03-06T00:00:00Z"/>
        <d v="2023-05-30T00:00:00Z"/>
        <d v="2026-07-02T00:00:00Z"/>
        <d v="2022-07-04T00:00:00Z"/>
        <d v="2026-02-23T00:00:00Z"/>
        <d v="2026-04-22T00:00:00Z"/>
        <d v="2022-10-11T00:00:00Z"/>
        <d v="2023-06-12T00:00:00Z"/>
        <d v="2023-05-12T00:00:00Z"/>
        <d v="2026-09-12T00:00:00Z"/>
        <d v="2025-06-15T00:00:00Z"/>
        <d v="2025-06-08T00:00:00Z"/>
        <d v="2023-06-09T00:00:00Z"/>
        <d v="2025-05-21T00:00:00Z"/>
        <d v="2023-10-01T00:00:00Z"/>
        <d v="2022-09-09T00:00:00Z"/>
        <d v="2022-08-15T00:00:00Z"/>
        <d v="2024-06-29T00:00:00Z"/>
        <d v="2023-12-30T00:00:00Z"/>
        <d v="2022-09-13T00:00:00Z"/>
        <d v="2023-09-25T00:00:00Z"/>
        <d v="2025-05-22T00:00:00Z"/>
        <d v="2027-01-23T00:00:00Z"/>
        <d v="2022-03-19T00:00:00Z"/>
        <d v="2025-05-04T00:00:00Z"/>
        <d v="2023-12-11T00:00:00Z"/>
        <d v="2025-08-18T00:00:00Z"/>
        <d v="2024-01-16T00:00:00Z"/>
        <d v="2026-12-03T00:00:00Z"/>
        <d v="2025-04-16T00:00:00Z"/>
        <d v="2022-07-25T00:00:00Z"/>
        <d v="2024-02-02T00:00:00Z"/>
        <d v="2026-03-04T00:00:00Z"/>
        <d v="2027-10-09T00:00:00Z"/>
        <d v="2023-02-13T00:00:00Z"/>
        <d v="2025-08-19T00:00:00Z"/>
        <d v="2023-10-31T00:00:00Z"/>
        <d v="2026-09-01T00:00:00Z"/>
        <d v="2025-04-13T00:00:00Z"/>
        <d v="2023-08-31T00:00:00Z"/>
        <d v="2025-04-06T00:00:00Z"/>
        <d v="2024-05-01T00:00:00Z"/>
        <d v="2026-04-14T00:00:00Z"/>
        <d v="2025-01-05T00:00:00Z"/>
        <d v="2024-09-16T00:00:00Z"/>
        <d v="2027-08-14T00:00:00Z"/>
        <d v="2024-08-08T00:00:00Z"/>
        <d v="2027-07-13T00:00:00Z"/>
        <d v="2026-06-12T00:00:00Z"/>
        <d v="2025-02-07T00:00:00Z"/>
        <d v="2024-07-01T00:00:00Z"/>
        <d v="2023-10-30T00:00:00Z"/>
        <d v="2025-06-30T00:00:00Z"/>
        <d v="2023-01-07T00:00:00Z"/>
        <d v="2027-02-06T00:00:00Z"/>
        <d v="2023-04-28T00:00:00Z"/>
        <d v="2026-03-03T00:00:00Z"/>
        <d v="2023-04-16T00:00:00Z"/>
        <d v="2025-01-10T00:00:00Z"/>
        <d v="2026-07-20T00:00:00Z"/>
        <d v="2023-10-24T00:00:00Z"/>
        <d v="2023-03-16T00:00:00Z"/>
        <d v="2024-07-05T00:00:00Z"/>
        <d v="2027-12-14T00:00:00Z"/>
        <d v="2026-11-02T00:00:00Z"/>
        <d v="2025-05-18T00:00:00Z"/>
        <d v="2023-10-22T00:00:00Z"/>
        <d v="2024-08-09T00:00:00Z"/>
        <d v="2026-11-27T00:00:00Z"/>
        <d v="2024-05-31T00:00:00Z"/>
        <d v="2026-05-26T00:00:00Z"/>
        <d v="2023-10-03T00:00:00Z"/>
        <d v="2025-04-10T00:00:00Z"/>
        <d v="2025-09-04T00:00:00Z"/>
        <d v="2024-06-24T00:00:00Z"/>
        <d v="2023-10-13T00:00:00Z"/>
        <d v="2026-04-16T00:00:00Z"/>
        <d v="2024-07-29T00:00:00Z"/>
        <d v="2026-04-13T00:00:00Z"/>
        <d v="2024-10-29T00:00:00Z"/>
        <d v="2022-11-14T00:00:00Z"/>
        <d v="2022-01-24T00:00:00Z"/>
        <d v="2026-09-29T00:00:00Z"/>
        <d v="2025-05-31T00:00:00Z"/>
        <d v="2028-04-12T00:00:00Z"/>
        <d v="2026-05-08T00:00:00Z"/>
        <d v="2026-06-17T00:00:00Z"/>
        <d v="2022-06-09T00:00:00Z"/>
        <d v="2025-01-08T00:00:00Z"/>
        <d v="2025-02-21T00:00:00Z"/>
        <d v="2022-06-12T00:00:00Z"/>
        <d v="2022-09-18T00:00:00Z"/>
        <d v="2022-05-31T00:00:00Z"/>
        <d v="2022-09-16T00:00:00Z"/>
        <d v="2026-07-31T00:00:00Z"/>
        <d v="2023-01-23T00:00:00Z"/>
        <d v="2025-01-09T00:00:00Z"/>
        <d v="2023-04-18T00:00:00Z"/>
        <d v="2022-10-21T00:00:00Z"/>
        <d v="2026-10-01T00:00:00Z"/>
        <d v="2026-05-15T00:00:00Z"/>
        <d v="2026-04-08T00:00:00Z"/>
        <d v="2025-04-29T00:00:00Z"/>
        <d v="2025-10-18T00:00:00Z"/>
        <d v="2026-07-18T00:00:00Z"/>
        <d v="2023-08-19T00:00:00Z"/>
        <d v="2025-06-25T00:00:00Z"/>
        <d v="2026-01-18T00:00:00Z"/>
        <d v="2024-02-11T00:00:00Z"/>
        <d v="2027-09-03T00:00:00Z"/>
        <d v="2026-06-14T00:00:00Z"/>
        <d v="2025-08-16T00:00:00Z"/>
        <d v="2023-06-30T00:00:00Z"/>
        <d v="2023-07-22T00:00:00Z"/>
        <d v="2026-12-14T00:00:00Z"/>
        <d v="2024-11-11T00:00:00Z"/>
        <d v="2025-11-26T00:00:00Z"/>
        <d v="2025-12-02T00:00:00Z"/>
        <d v="2025-11-27T00:00:00Z"/>
        <d v="2025-05-16T00:00:00Z"/>
        <d v="2023-07-26T00:00:00Z"/>
        <d v="2024-09-14T00:00:00Z"/>
        <d v="2026-04-27T00:00:00Z"/>
        <d v="2028-06-29T00:00:00Z"/>
        <d v="2022-10-06T00:00:00Z"/>
        <d v="2023-03-01T00:00:00Z"/>
        <d v="2025-03-23T00:00:00Z"/>
        <d v="2024-09-04T00:00:00Z"/>
        <d v="2024-09-03T00:00:00Z"/>
        <d v="2024-05-25T00:00:00Z"/>
        <d v="2026-11-21T00:00:00Z"/>
        <d v="2022-07-28T00:00:00Z"/>
        <d v="2024-04-23T00:00:00Z"/>
        <d v="2026-01-16T00:00:00Z"/>
        <d v="2028-03-06T00:00:00Z"/>
        <d v="2026-02-06T00:00:00Z"/>
        <d v="2023-08-16T00:00:00Z"/>
        <d v="2024-05-28T00:00:00Z"/>
        <d v="2026-11-11T00:00:00Z"/>
        <d v="2026-07-01T00:00:00Z"/>
        <d v="2025-03-26T00:00:00Z"/>
        <d v="2027-09-02T00:00:00Z"/>
        <d v="2024-11-23T00:00:00Z"/>
        <d v="2028-11-11T00:00:00Z"/>
        <d v="2025-07-12T00:00:00Z"/>
        <d v="2023-11-17T00:00:00Z"/>
        <d v="2024-09-01T00:00:00Z"/>
        <d v="2027-01-10T00:00:00Z"/>
        <d v="2024-11-01T00:00:00Z"/>
        <d v="2024-06-09T00:00:00Z"/>
        <d v="2027-06-18T00:00:00Z"/>
        <d v="2023-01-20T00:00:00Z"/>
        <d v="2022-08-22T00:00:00Z"/>
        <d v="2024-07-28T00:00:00Z"/>
        <d v="2026-05-27T00:00:00Z"/>
        <d v="2024-10-15T00:00:00Z"/>
        <d v="2025-12-06T00:00:00Z"/>
        <d v="2025-04-19T00:00:00Z"/>
        <d v="2026-05-30T00:00:00Z"/>
        <d v="2025-07-17T00:00:00Z"/>
        <d v="2025-10-21T00:00:00Z"/>
        <d v="2025-11-10T00:00:00Z"/>
        <d v="2025-06-07T00:00:00Z"/>
        <d v="2028-03-10T00:00:00Z"/>
        <d v="2023-08-02T00:00:00Z"/>
        <d v="2023-09-03T00:00:00Z"/>
        <d v="2025-08-03T00:00:00Z"/>
        <d v="2024-05-11T00:00:00Z"/>
        <d v="2022-12-18T00:00:00Z"/>
        <d v="2025-02-02T00:00:00Z"/>
        <d v="2027-02-05T00:00:00Z"/>
        <d v="2025-06-06T00:00:00Z"/>
        <d v="2027-03-08T00:00:00Z"/>
        <d v="2026-09-06T00:00:00Z"/>
        <d v="2022-11-22T00:00:00Z"/>
        <d v="2024-03-08T00:00:00Z"/>
        <d v="2026-08-19T00:00:00Z"/>
        <d v="2024-08-28T00:00:00Z"/>
        <d v="2027-11-01T00:00:00Z"/>
        <d v="2024-06-08T00:00:00Z"/>
        <d v="2027-07-29T00:00:00Z"/>
        <d v="2026-01-06T00:00:00Z"/>
        <d v="2025-06-13T00:00:00Z"/>
        <d v="2024-01-06T00:00:00Z"/>
        <d v="2024-07-08T00:00:00Z"/>
        <d v="2024-07-03T00:00:00Z"/>
        <d v="2028-04-05T00:00:00Z"/>
        <d v="2025-07-26T00:00:00Z"/>
        <d v="2026-04-30T00:00:00Z"/>
        <d v="2025-10-04T00:00:00Z"/>
        <d v="2023-12-09T00:00:00Z"/>
        <d v="2028-08-13T00:00:00Z"/>
        <d v="2023-09-19T00:00:00Z"/>
        <d v="2024-05-13T00:00:00Z"/>
        <d v="2023-10-11T00:00:00Z"/>
        <d v="2027-02-13T00:00:00Z"/>
        <d v="2028-01-17T00:00:00Z"/>
        <d v="2027-01-30T00:00:00Z"/>
        <d v="2023-08-18T00:00:00Z"/>
        <d v="2025-06-26T00:00:00Z"/>
        <d v="2023-08-08T00:00:00Z"/>
        <d v="2024-01-29T00:00:00Z"/>
        <d v="2022-12-22T00:00:00Z"/>
        <d v="2025-09-18T00:00:00Z"/>
        <d v="2028-01-23T00:00:00Z"/>
        <d v="2025-12-19T00:00:00Z"/>
        <d v="2025-08-20T00:00:00Z"/>
        <d v="2026-12-19T00:00:00Z"/>
        <d v="2022-09-30T00:00:00Z"/>
        <d v="2023-12-02T00:00:00Z"/>
        <d v="2024-08-27T00:00:00Z"/>
        <d v="2025-11-22T00:00:00Z"/>
        <d v="2022-05-28T00:00:00Z"/>
        <d v="2022-11-20T00:00:00Z"/>
        <d v="2024-01-22T00:00:00Z"/>
        <d v="2024-04-13T00:00:00Z"/>
        <d v="2024-08-18T00:00:00Z"/>
        <d v="2024-08-06T00:00:00Z"/>
        <d v="2026-07-05T00:00:00Z"/>
        <d v="2023-06-22T00:00:00Z"/>
        <d v="2024-04-16T00:00:00Z"/>
        <d v="2025-12-16T00:00:00Z"/>
        <d v="2024-10-10T00:00:00Z"/>
        <d v="2022-12-16T00:00:00Z"/>
        <d v="2023-04-24T00:00:00Z"/>
        <d v="2025-08-11T00:00:00Z"/>
        <d v="2026-04-24T00:00:00Z"/>
        <d v="2025-02-17T00:00:00Z"/>
        <d v="2022-05-17T00:00:00Z"/>
        <d v="2022-07-20T00:00:00Z"/>
        <d v="2024-03-15T00:00:00Z"/>
        <d v="2026-09-20T00:00:00Z"/>
        <d v="2026-04-28T00:00:00Z"/>
        <d v="2023-11-22T00:00:00Z"/>
        <d v="2025-05-24T00:00:00Z"/>
        <d v="2025-04-17T00:00:00Z"/>
        <d v="2028-03-03T00:00:00Z"/>
        <d v="2025-05-19T00:00:00Z"/>
        <d v="2023-11-02T00:00:00Z"/>
        <d v="2023-10-18T00:00:00Z"/>
        <d v="2024-12-27T00:00:00Z"/>
        <d v="2023-04-25T00:00:00Z"/>
        <d v="2024-10-23T00:00:00Z"/>
        <d v="2024-10-21T00:00:00Z"/>
        <d v="2024-02-19T00:00:00Z"/>
        <d v="2026-05-28T00:00:00Z"/>
        <d v="2022-06-06T00:00:00Z"/>
        <d v="2025-06-18T00:00:00Z"/>
        <d v="2024-03-20T00:00:00Z"/>
        <d v="2025-08-14T00:00:00Z"/>
        <d v="2025-07-20T00:00:00Z"/>
        <d v="2025-05-07T00:00:00Z"/>
        <d v="2026-05-29T00:00:00Z"/>
        <d v="2026-07-25T00:00:00Z"/>
        <d v="2023-11-29T00:00:00Z"/>
        <d v="2022-11-26T00:00:00Z"/>
        <d v="2025-02-08T00:00:00Z"/>
        <d v="2022-10-18T00:00:00Z"/>
        <d v="2023-07-06T00:00:00Z"/>
        <d v="2026-06-28T00:00:00Z"/>
        <d v="2022-04-15T00:00:00Z"/>
        <d v="2023-01-26T00:00:00Z"/>
        <d v="2023-11-20T00:00:00Z"/>
        <d v="2026-07-06T00:00:00Z"/>
        <d v="2022-07-19T00:00:00Z"/>
        <d v="2023-01-25T00:00:00Z"/>
        <d v="2025-07-29T00:00:00Z"/>
        <d v="2025-07-23T00:00:00Z"/>
        <d v="2024-11-09T00:00:00Z"/>
        <d v="2024-06-21T00:00:00Z"/>
        <d v="2025-04-02T00:00:00Z"/>
        <d v="2025-02-13T00:00:00Z"/>
        <d v="2025-10-20T00:00:00Z"/>
        <d v="2022-11-19T00:00:00Z"/>
        <d v="2025-05-15T00:00:00Z"/>
        <d v="2023-04-08T00:00:00Z"/>
        <d v="2028-01-06T00:00:00Z"/>
        <d v="2025-09-14T00:00:00Z"/>
        <d v="2025-07-13T00:00:00Z"/>
        <d v="2023-03-11T00:00:00Z"/>
        <d v="2025-09-10T00:00:00Z"/>
        <d v="2026-07-27T00:00:00Z"/>
        <d v="2023-07-13T00:00:00Z"/>
        <d v="2024-02-26T00:00:00Z"/>
        <d v="2024-05-14T00:00:00Z"/>
        <d v="2023-06-21T00:00:00Z"/>
        <d v="2022-07-12T00:00:00Z"/>
        <d v="2026-12-16T00:00:00Z"/>
        <d v="2028-03-28T00:00:00Z"/>
        <d v="2024-05-30T00:00:00Z"/>
        <d v="2026-09-10T00:00:00Z"/>
        <d v="2028-03-02T00:00:00Z"/>
        <d v="2024-09-09T00:00:00Z"/>
        <d v="2025-06-16T00:00:00Z"/>
        <d v="2026-09-11T00:00:00Z"/>
        <d v="2023-09-04T00:00:00Z"/>
        <d v="2022-11-30T00:00:00Z"/>
        <d v="2025-10-29T00:00:00Z"/>
        <d v="2026-11-25T00:00:00Z"/>
        <d v="2023-11-18T00:00:00Z"/>
        <d v="2024-12-04T00:00:00Z"/>
        <d v="2023-05-06T00:00:00Z"/>
        <d v="2023-04-02T00:00:00Z"/>
        <d v="2028-01-01T00:00:00Z"/>
        <d v="2026-12-30T00:00:00Z"/>
        <d v="2023-05-31T00:00:00Z"/>
        <d v="2025-02-22T00:00:00Z"/>
        <d v="2022-10-10T00:00:00Z"/>
        <d v="2024-03-27T00:00:00Z"/>
        <d v="2023-09-01T00:00:00Z"/>
        <d v="2027-03-15T00:00:00Z"/>
        <d v="2022-07-09T00:00:00Z"/>
        <d v="2027-06-14T00:00:00Z"/>
        <d v="2022-05-05T00:00:00Z"/>
        <d v="2023-03-18T00:00:00Z"/>
        <d v="2028-02-14T00:00:00Z"/>
        <d v="2025-11-01T00:00:00Z"/>
        <d v="2023-11-24T00:00:00Z"/>
        <d v="2025-08-15T00:00:00Z"/>
        <d v="2026-01-02T00:00:00Z"/>
        <d v="2025-09-30T00:00:00Z"/>
        <d v="2024-02-07T00:00:00Z"/>
        <d v="2026-08-25T00:00:00Z"/>
        <d v="2028-01-05T00:00:00Z"/>
        <d v="2026-03-29T00:00:00Z"/>
        <d v="2026-05-22T00:00:00Z"/>
        <d v="2023-12-05T00:00:00Z"/>
        <d v="2025-10-30T00:00:00Z"/>
        <d v="2025-03-16T00:00:00Z"/>
        <d v="2025-07-22T00:00:00Z"/>
        <d v="2023-02-12T00:00:00Z"/>
        <d v="2022-04-27T00:00:00Z"/>
        <d v="2026-07-16T00:00:00Z"/>
        <d v="2022-02-21T00:00:00Z"/>
        <d v="2025-02-15T00:00:00Z"/>
        <d v="2026-06-21T00:00:00Z"/>
        <d v="2025-03-02T00:00:00Z"/>
        <d v="2023-05-26T00:00:00Z"/>
        <d v="2026-03-15T00:00:00Z"/>
        <d v="2027-03-16T00:00:00Z"/>
        <d v="2023-04-14T00:00:00Z"/>
        <d v="2024-05-18T00:00:00Z"/>
        <d v="2024-01-12T00:00:00Z"/>
        <d v="2027-01-05T00:00:00Z"/>
        <d v="2022-08-29T00:00:00Z"/>
        <d v="2025-11-16T00:00:00Z"/>
        <d v="2023-04-09T00:00:00Z"/>
        <d v="2023-08-24T00:00:00Z"/>
        <d v="2026-08-27T00:00:00Z"/>
        <d v="2022-07-27T00:00:00Z"/>
        <d v="2028-04-30T00:00:00Z"/>
        <d v="2022-04-13T00:00:00Z"/>
        <d v="2026-03-22T00:00:00Z"/>
        <d v="2026-06-04T00:00:00Z"/>
        <d v="2025-03-27T00:00:00Z"/>
        <d v="2024-08-15T00:00:00Z"/>
        <d v="2026-02-28T00:00:00Z"/>
        <d v="2027-10-28T00:00:00Z"/>
        <d v="2025-03-01T00:00:00Z"/>
        <d v="2022-12-31T00:00:00Z"/>
        <d v="2028-01-30T00:00:00Z"/>
        <d v="2023-03-02T00:00:00Z"/>
        <d v="2025-09-09T00:00:00Z"/>
        <d v="2025-10-15T00:00:00Z"/>
        <d v="2026-12-11T00:00:00Z"/>
        <d v="2025-01-17T00:00:00Z"/>
        <d v="2023-10-14T00:00:00Z"/>
        <d v="2023-04-12T00:00:00Z"/>
        <d v="2025-11-21T00:00:00Z"/>
        <d v="2022-12-13T00:00:00Z"/>
        <d v="2023-03-31T00:00:00Z"/>
        <d v="2026-01-09T00:00:00Z"/>
        <d v="2023-10-16T00:00:00Z"/>
        <d v="2023-10-04T00:00:00Z"/>
        <d v="2023-09-23T00:00:00Z"/>
        <d v="2028-03-15T00:00:00Z"/>
        <d v="2027-01-28T00:00:00Z"/>
        <d v="2025-01-18T00:00:00Z"/>
        <d v="2023-06-23T00:00:00Z"/>
        <d v="2024-05-03T00:00:00Z"/>
        <d v="2026-01-31T00:00:00Z"/>
        <d v="2023-04-15T00:00:00Z"/>
        <d v="2023-10-15T00:00:00Z"/>
        <d v="2025-11-28T00:00:00Z"/>
        <d v="2024-10-28T00:00:00Z"/>
        <d v="2022-07-08T00:00:00Z"/>
        <d v="2026-03-11T00:00:00Z"/>
        <d v="2024-02-14T00:00:00Z"/>
        <d v="2025-07-14T00:00:00Z"/>
        <d v="2025-09-28T00:00:00Z"/>
        <d v="2022-02-26T00:00:00Z"/>
        <d v="2025-02-05T00:00:00Z"/>
        <d v="2027-03-17T00:00:00Z"/>
        <d v="2024-10-20T00:00:00Z"/>
        <d v="2023-05-15T00:00:00Z"/>
        <d v="2023-03-14T00:00:00Z"/>
        <d v="2022-09-05T00:00:00Z"/>
        <d v="2027-06-16T00:00:00Z"/>
        <d v="2026-07-13T00:00:00Z"/>
        <d v="2023-08-01T00:00:00Z"/>
        <d v="2025-02-16T00:00:00Z"/>
        <d v="2024-12-12T00:00:00Z"/>
        <d v="2024-10-31T00:00:00Z"/>
        <d v="2027-03-24T00:00:00Z"/>
        <d v="2022-10-23T00:00:00Z"/>
        <d v="2026-09-25T00:00:00Z"/>
        <d v="2027-11-25T00:00:00Z"/>
        <d v="2026-08-12T00:00:00Z"/>
        <d v="2026-05-16T00:00:00Z"/>
        <d v="2022-07-10T00:00:00Z"/>
        <d v="2023-12-08T00:00:00Z"/>
        <d v="2023-03-30T00:00:00Z"/>
        <d v="2025-07-06T00:00:00Z"/>
        <d v="2024-12-31T00:00:00Z"/>
        <d v="2026-04-05T00:00:00Z"/>
        <d v="2022-07-05T00:00:00Z"/>
        <d v="2024-03-24T00:00:00Z"/>
        <d v="2022-10-19T00:00:00Z"/>
        <d v="2026-05-17T00:00:00Z"/>
        <d v="2024-12-03T00:00:00Z"/>
        <d v="2027-02-07T00:00:00Z"/>
        <d v="2023-07-29T00:00:00Z"/>
        <d v="2025-09-23T00:00:00Z"/>
        <d v="2022-07-26T00:00:00Z"/>
        <d v="2022-12-07T00:00:00Z"/>
        <d v="2025-10-25T00:00:00Z"/>
        <d v="2026-07-14T00:00:00Z"/>
        <d v="2029-01-15T00:00:00Z"/>
        <d v="2026-03-19T00:00:00Z"/>
        <d v="2026-08-08T00:00:00Z"/>
        <d v="2023-10-17T00:00:00Z"/>
        <d v="2024-01-27T00:00:00Z"/>
        <d v="2023-12-16T00:00:00Z"/>
        <d v="2025-03-31T00:00:00Z"/>
        <d v="2022-09-04T00:00:00Z"/>
        <d v="2023-06-11T00:00:00Z"/>
        <d v="2026-01-20T00:00:00Z"/>
        <d v="2026-06-30T00:00:00Z"/>
        <d v="2022-10-09T00:00:00Z"/>
        <d v="2025-05-02T00:00:00Z"/>
        <d v="2025-09-12T00:00:00Z"/>
        <d v="2025-11-15T00:00:00Z"/>
        <d v="2025-05-13T00:00:00Z"/>
        <d v="2022-08-07T00:00:00Z"/>
        <d v="2023-08-17T00:00:00Z"/>
        <d v="2024-06-05T00:00:00Z"/>
        <d v="2025-02-09T00:00:00Z"/>
        <d v="2026-12-07T00:00:00Z"/>
        <d v="2028-06-03T00:00:00Z"/>
        <d v="2022-05-11T00:00:00Z"/>
        <d v="2025-06-29T00:00:00Z"/>
        <d v="2026-10-06T00:00:00Z"/>
        <d v="2027-11-03T00:00:00Z"/>
        <d v="2026-08-03T00:00:00Z"/>
        <d v="2024-11-24T00:00:00Z"/>
        <d v="2024-11-03T00:00:00Z"/>
        <d v="2024-07-15T00:00:00Z"/>
        <d v="2027-02-08T00:00:00Z"/>
        <d v="2024-07-22T00:00:00Z"/>
        <d v="2027-02-26T00:00:00Z"/>
        <d v="2026-11-14T00:00:00Z"/>
        <d v="2025-03-24T00:00:00Z"/>
        <d v="2026-03-17T00:00:00Z"/>
        <d v="2024-04-08T00:00:00Z"/>
        <d v="2025-06-01T00:00:00Z"/>
        <d v="2024-06-01T00:00:00Z"/>
        <d v="2025-03-11T00:00:00Z"/>
        <d v="2026-05-03T00:00:00Z"/>
        <d v="2023-06-28T00:00:00Z"/>
        <d v="2023-07-04T00:00:00Z"/>
        <d v="2024-05-15T00:00:00Z"/>
        <d v="2023-03-28T00:00:00Z"/>
        <d v="2023-08-29T00:00:00Z"/>
        <d v="2023-07-20T00:00:00Z"/>
        <d v="2022-03-16T00:00:00Z"/>
        <d v="2023-09-06T00:00:00Z"/>
        <d v="2023-07-21T00:00:00Z"/>
        <d v="2026-01-04T00:00:00Z"/>
        <d v="2022-02-23T00:00:00Z"/>
        <d v="2025-10-09T00:00:00Z"/>
        <d v="2025-03-20T00:00:00Z"/>
        <d v="2023-03-24T00:00:00Z"/>
        <d v="2022-09-19T00:00:00Z"/>
        <d v="2025-12-21T00:00:00Z"/>
        <d v="2022-11-28T00:00:00Z"/>
        <d v="2025-09-11T00:00:00Z"/>
        <d v="2022-08-26T00:00:00Z"/>
        <d v="2024-11-21T00:00:00Z"/>
        <d v="2024-04-06T00:00:00Z"/>
        <d v="2025-05-01T00:00:00Z"/>
        <d v="2027-06-27T00:00:00Z"/>
        <d v="2022-03-24T00:00:00Z"/>
        <d v="2022-12-09T00:00:00Z"/>
        <d v="2025-04-12T00:00:00Z"/>
        <d v="2022-09-20T00:00:00Z"/>
        <d v="2023-12-10T00:00:00Z"/>
        <d v="2024-10-18T00:00:00Z"/>
        <d v="2022-09-08T00:00:00Z"/>
        <d v="2027-03-19T00:00:00Z"/>
        <d v="2026-03-16T00:00:00Z"/>
        <d v="2024-06-07T00:00:00Z"/>
        <d v="2024-09-05T00:00:00Z"/>
        <d v="2024-08-17T00:00:00Z"/>
        <d v="2026-11-22T00:00:00Z"/>
        <d v="2024-01-18T00:00:00Z"/>
        <d v="2024-02-24T00:00:00Z"/>
        <d v="2022-05-29T00:00:00Z"/>
        <d v="2023-02-01T00:00:00Z"/>
        <d v="2027-08-22T00:00:00Z"/>
        <d v="2023-07-05T00:00:00Z"/>
        <d v="2024-10-19T00:00:00Z"/>
        <d v="2026-02-19T00:00:00Z"/>
        <d v="2023-07-01T00:00:00Z"/>
        <d v="2024-04-11T00:00:00Z"/>
        <d v="2025-09-07T00:00:00Z"/>
        <d v="2026-11-15T00:00:00Z"/>
        <d v="2023-07-27T00:00:00Z"/>
        <d v="2023-08-05T00:00:00Z"/>
        <d v="2023-07-24T00:00:00Z"/>
        <d v="2024-03-23T00:00:00Z"/>
        <d v="2026-12-09T00:00:00Z"/>
        <d v="2025-01-23T00:00:00Z"/>
        <d v="2024-11-15T00:00:00Z"/>
        <d v="2024-03-02T00:00:00Z"/>
        <d v="2025-03-03T00:00:00Z"/>
        <d v="2023-01-15T00:00:00Z"/>
        <d v="2028-01-25T00:00:00Z"/>
        <d v="2024-09-08T00:00:00Z"/>
        <d v="2024-07-12T00:00:00Z"/>
        <d v="2027-12-22T00:00:00Z"/>
        <d v="2024-02-12T00:00:00Z"/>
        <d v="2023-05-20T00:00:00Z"/>
        <d v="2024-12-08T00:00:00Z"/>
        <d v="2023-05-23T00:00:00Z"/>
        <d v="2022-12-06T00:00:00Z"/>
        <d v="2025-07-09T00:00:00Z"/>
        <d v="2024-10-08T00:00:00Z"/>
        <d v="2022-05-02T00:00:00Z"/>
        <d v="2024-02-09T00:00:00Z"/>
        <d v="2025-02-24T00:00:00Z"/>
        <d v="2022-07-06T00:00:00Z"/>
        <d v="2025-09-19T00:00:00Z"/>
        <d v="2026-04-11T00:00:00Z"/>
        <d v="2023-04-22T00:00:00Z"/>
        <d v="2024-06-16T00:00:00Z"/>
        <d v="2024-06-02T00:00:00Z"/>
        <d v="2024-04-07T00:00:00Z"/>
        <d v="2027-02-16T00:00:00Z"/>
        <d v="2023-12-04T00:00:00Z"/>
        <d v="2024-06-11T00:00:00Z"/>
        <d v="2026-09-23T00:00:00Z"/>
        <d v="2027-04-21T00:00:00Z"/>
        <d v="2024-04-29T00:00:00Z"/>
        <d v="2026-05-23T00:00:00Z"/>
        <d v="2025-08-29T00:00:00Z"/>
        <d v="2026-08-30T00:00:00Z"/>
        <d v="2023-05-22T00:00:00Z"/>
        <d v="2024-08-10T00:00:00Z"/>
        <d v="2027-02-20T00:00:00Z"/>
        <d v="2026-04-12T00:00:00Z"/>
        <d v="2022-10-01T00:00:00Z"/>
        <d v="2028-05-13T00:00:00Z"/>
        <d v="2024-05-17T00:00:00Z"/>
        <d v="2026-01-24T00:00:00Z"/>
        <d v="2023-09-16T00:00:00Z"/>
        <d v="2027-06-24T00:00:00Z"/>
        <d v="2022-09-21T00:00:00Z"/>
        <d v="2022-06-08T00:00:00Z"/>
        <d v="2022-04-05T00:00:00Z"/>
        <d v="2024-02-29T00:00:00Z"/>
        <d v="2023-10-27T00:00:00Z"/>
        <d v="2028-02-29T00:00:00Z"/>
        <d v="2023-05-21T00:00:00Z"/>
        <d v="2027-05-06T00:00:00Z"/>
        <d v="2025-06-21T00:00:00Z"/>
        <d v="2028-10-22T00:00:00Z"/>
        <d v="2024-02-13T00:00:00Z"/>
        <d v="2022-11-15T00:00:00Z"/>
        <d v="2027-05-25T00:00:00Z"/>
        <d v="2025-10-03T00:00:00Z"/>
        <d v="2027-01-09T00:00:00Z"/>
        <d v="2024-09-28T00:00:00Z"/>
        <d v="2024-07-19T00:00:00Z"/>
        <d v="2023-01-06T00:00:00Z"/>
        <d v="2022-12-15T00:00:00Z"/>
        <d v="2026-06-26T00:00:00Z"/>
        <d v="2028-11-01T00:00:00Z"/>
        <d v="2024-06-23T00:00:00Z"/>
        <d v="2026-05-07T00:00:00Z"/>
        <d v="2025-10-13T00:00:00Z"/>
        <d v="2026-10-10T00:00:00Z"/>
        <d v="2027-06-02T00:00:00Z"/>
        <d v="2025-06-24T00:00:00Z"/>
        <d v="2027-01-04T00:00:00Z"/>
        <d v="2026-06-29T00:00:00Z"/>
        <d v="2023-11-19T00:00:00Z"/>
        <d v="2026-03-12T00:00:00Z"/>
        <d v="2024-03-18T00:00:00Z"/>
        <d v="2027-04-25T00:00:00Z"/>
        <d v="2027-04-17T00:00:00Z"/>
        <d v="2026-06-19T00:00:00Z"/>
        <d v="2024-07-25T00:00:00Z"/>
        <d v="2024-08-30T00:00:00Z"/>
        <d v="2024-02-20T00:00:00Z"/>
        <d v="2023-07-14T00:00:00Z"/>
        <d v="2025-04-08T00:00:00Z"/>
        <d v="2026-03-30T00:00:00Z"/>
        <d v="2025-03-08T00:00:00Z"/>
        <d v="2025-07-05T00:00:00Z"/>
        <d v="2026-08-31T00:00:00Z"/>
        <d v="2024-11-27T00:00:00Z"/>
        <d v="2024-08-24T00:00:00Z"/>
        <d v="2025-12-23T00:00:00Z"/>
        <d v="2022-07-30T00:00:00Z"/>
        <d v="2025-04-03T00:00:00Z"/>
        <d v="2026-10-17T00:00:00Z"/>
        <d v="2026-08-29T00:00:00Z"/>
        <d v="2027-05-24T00:00:00Z"/>
        <d v="2028-03-17T00:00:00Z"/>
        <d v="2023-09-27T00:00:00Z"/>
        <d v="2026-02-26T00:00:00Z"/>
        <d v="2027-10-18T00:00:00Z"/>
        <d v="2023-03-07T00:00:00Z"/>
        <d v="2022-12-01T00:00:00Z"/>
        <d v="2029-01-06T00:00:00Z"/>
        <d v="2027-07-10T00:00:00Z"/>
        <d v="2024-01-19T00:00:00Z"/>
        <d v="2023-11-21T00:00:00Z"/>
        <d v="2026-03-20T00:00:00Z"/>
        <d v="2026-04-18T00:00:00Z"/>
        <d v="2023-09-09T00:00:00Z"/>
        <d v="2025-09-02T00:00:00Z"/>
        <d v="2027-03-03T00:00:00Z"/>
        <d v="2022-03-18T00:00:00Z"/>
        <d v="2023-10-21T00:00:00Z"/>
        <d v="2022-11-25T00:00:00Z"/>
        <d v="2025-11-14T00:00:00Z"/>
        <d v="2023-05-07T00:00:00Z"/>
        <d v="2027-10-29T00:00:00Z"/>
        <d v="2023-02-23T00:00:00Z"/>
        <d v="2024-10-13T00:00:00Z"/>
        <d v="2022-06-20T00:00:00Z"/>
        <d v="2025-11-17T00:00:00Z"/>
        <d v="2025-06-14T00:00:00Z"/>
        <d v="2024-10-30T00:00:00Z"/>
        <d v="2024-04-14T00:00:00Z"/>
        <d v="2025-12-31T00:00:00Z"/>
        <d v="2023-04-01T00:00:00Z"/>
        <d v="2026-12-12T00:00:00Z"/>
        <d v="2026-09-08T00:00:00Z"/>
        <d v="2024-03-16T00:00:00Z"/>
        <d v="2023-11-12T00:00:00Z"/>
        <d v="2027-04-19T00:00:00Z"/>
        <d v="2025-09-17T00:00:00Z"/>
        <d v="2025-01-16T00:00:00Z"/>
        <d v="2026-01-15T00:00:00Z"/>
        <d v="2025-01-30T00:00:00Z"/>
        <d v="2026-12-04T00:00:00Z"/>
        <d v="2026-07-22T00:00:00Z"/>
        <d v="2024-02-08T00:00:00Z"/>
        <d v="2026-12-02T00:00:00Z"/>
        <d v="2026-05-25T00:00:00Z"/>
        <d v="2025-03-10T00:00:00Z"/>
        <d v="2022-11-06T00:00:00Z"/>
        <d v="2025-11-04T00:00:00Z"/>
      </sharedItems>
    </cacheField>
    <cacheField name="Churn_Date">
      <sharedItems containsDate="1" containsMixedTypes="1">
        <s v="16/06/2023"/>
        <s v=""/>
        <s v="24/02/2024"/>
        <s v="27/09/2025"/>
        <s v="20/08/2026"/>
        <d v="2025-06-09T00:00:00Z"/>
        <d v="2025-08-10T00:00:00Z"/>
        <s v="16/01/2025"/>
        <d v="2026-06-03T00:00:00Z"/>
        <s v="26/06/2026"/>
        <d v="2025-02-11T00:00:00Z"/>
        <s v="30/12/2026"/>
        <s v="13/11/2027"/>
        <d v="2025-02-02T00:00:00Z"/>
        <d v="2025-11-07T00:00:00Z"/>
        <s v="25/05/2025"/>
        <d v="2028-03-01T00:00:00Z"/>
        <s v="27/10/2022"/>
        <d v="2023-08-10T00:00:00Z"/>
        <d v="2026-05-09T00:00:00Z"/>
        <d v="2025-01-04T00:00:00Z"/>
        <d v="2028-02-02T00:00:00Z"/>
        <s v="30/01/2025"/>
        <s v="18/10/2025"/>
        <s v="21/02/2024"/>
        <d v="2022-02-09T00:00:00Z"/>
        <d v="2023-06-08T00:00:00Z"/>
        <s v="18/04/2024"/>
        <d v="2027-02-05T00:00:00Z"/>
        <d v="2026-09-02T00:00:00Z"/>
        <d v="2022-09-10T00:00:00Z"/>
        <s v="26/12/2025"/>
        <s v="19/01/2025"/>
        <s v="28/08/2025"/>
        <d v="2023-12-08T00:00:00Z"/>
        <d v="2025-01-11T00:00:00Z"/>
        <s v="16/05/2025"/>
        <d v="2025-08-11T00:00:00Z"/>
        <d v="2024-12-03T00:00:00Z"/>
        <s v="16/05/2024"/>
        <s v="14/09/2025"/>
        <s v="17/05/2025"/>
        <d v="2024-03-01T00:00:00Z"/>
        <s v="22/12/2025"/>
        <d v="2023-04-03T00:00:00Z"/>
        <s v="24/07/2025"/>
        <d v="2026-05-04T00:00:00Z"/>
        <d v="2023-08-05T00:00:00Z"/>
        <s v="24/09/2024"/>
        <d v="2028-06-03T00:00:00Z"/>
        <s v="17/04/2024"/>
        <s v="17/04/2026"/>
        <s v="17/08/2024"/>
        <s v="27/02/2023"/>
        <s v="20/10/2026"/>
        <s v="13/09/2024"/>
        <s v="17/05/2024"/>
        <s v="28/09/2025"/>
        <d v="2023-05-10T00:00:00Z"/>
        <s v="29/01/2024"/>
        <s v="22/06/2024"/>
        <s v="15/05/2025"/>
        <d v="2024-09-01T00:00:00Z"/>
        <s v="24/08/2022"/>
        <d v="2023-06-02T00:00:00Z"/>
        <s v="29/05/2022"/>
        <s v="18/08/2025"/>
        <s v="25/12/2026"/>
        <d v="2024-10-10T00:00:00Z"/>
        <s v="14/03/2024"/>
        <s v="31/08/2025"/>
        <d v="2025-01-10T00:00:00Z"/>
        <d v="2023-02-09T00:00:00Z"/>
        <s v="18/01/2029"/>
        <s v="31/05/2025"/>
        <s v="16/02/2023"/>
        <d v="2025-05-05T00:00:00Z"/>
        <d v="2025-04-05T00:00:00Z"/>
        <s v="21/07/2026"/>
        <s v="16/01/2023"/>
        <d v="2026-12-08T00:00:00Z"/>
        <d v="2025-06-01T00:00:00Z"/>
        <d v="2026-04-08T00:00:00Z"/>
        <d v="2025-07-08T00:00:00Z"/>
        <s v="20/08/2024"/>
        <s v="13/09/2026"/>
        <s v="30/12/2025"/>
        <s v="27/05/2026"/>
        <d v="2026-09-09T00:00:00Z"/>
        <s v="28/05/2024"/>
        <s v="26/05/2025"/>
        <d v="2026-07-06T00:00:00Z"/>
        <s v="16/04/2027"/>
        <s v="26/02/2022"/>
        <d v="2027-12-04T00:00:00Z"/>
        <d v="2023-11-07T00:00:00Z"/>
        <d v="2022-04-10T00:00:00Z"/>
        <d v="2022-04-07T00:00:00Z"/>
        <s v="25/04/2026"/>
        <d v="2026-03-10T00:00:00Z"/>
        <s v="20/09/2026"/>
        <d v="2023-11-09T00:00:00Z"/>
        <s v="27/01/2026"/>
        <s v="27/04/2024"/>
        <s v="16/01/2026"/>
        <s v="30/06/2025"/>
        <s v="18/06/2026"/>
        <s v="24/05/2025"/>
        <s v="15/11/2025"/>
        <d v="2023-06-01T00:00:00Z"/>
        <d v="2026-01-07T00:00:00Z"/>
        <d v="2023-06-07T00:00:00Z"/>
        <d v="2023-08-04T00:00:00Z"/>
        <d v="2022-01-05T00:00:00Z"/>
        <s v="25/09/2024"/>
        <s v="19/06/2026"/>
        <d v="2026-07-07T00:00:00Z"/>
        <s v="17/11/2027"/>
        <s v="21/02/2026"/>
        <s v="20/08/2023"/>
        <d v="2026-12-06T00:00:00Z"/>
        <s v="20/05/2025"/>
        <s v="31/05/2023"/>
        <d v="2025-06-06T00:00:00Z"/>
        <d v="2026-06-05T00:00:00Z"/>
        <s v="13/02/2023"/>
        <s v="20/11/2025"/>
        <s v="21/08/2024"/>
        <s v="19/04/2024"/>
        <d v="2022-06-12T00:00:00Z"/>
        <s v="25/10/2022"/>
        <s v="20/07/2024"/>
        <s v="27/09/2026"/>
        <s v="28/02/2026"/>
        <d v="2025-02-09T00:00:00Z"/>
        <s v="17/12/2025"/>
        <s v="15/10/2022"/>
        <s v="19/02/2027"/>
        <d v="2026-10-05T00:00:00Z"/>
        <s v="31/08/2024"/>
        <d v="2024-06-03T00:00:00Z"/>
        <d v="2025-09-01T00:00:00Z"/>
        <s v="30/11/2023"/>
        <d v="2026-09-07T00:00:00Z"/>
        <s v="13/10/2023"/>
        <d v="2023-04-07T00:00:00Z"/>
        <s v="23/06/2025"/>
        <s v="20/01/2028"/>
        <d v="2025-07-04T00:00:00Z"/>
        <d v="2024-11-04T00:00:00Z"/>
        <s v="22/05/2024"/>
        <s v="21/01/2026"/>
        <s v="28/08/2026"/>
        <d v="2022-11-05T00:00:00Z"/>
        <s v="26/01/2024"/>
        <s v="25/12/2025"/>
        <s v="20/03/2023"/>
        <d v="2024-11-01T00:00:00Z"/>
        <s v="19/03/2027"/>
        <s v="21/09/2023"/>
        <d v="2026-05-11T00:00:00Z"/>
        <s v="21/01/2025"/>
        <s v="22/06/2025"/>
        <d v="2024-08-01T00:00:00Z"/>
        <d v="2026-07-03T00:00:00Z"/>
        <s v="30/04/2023"/>
        <s v="28/05/2027"/>
        <s v="18/06/2023"/>
        <s v="27/12/2025"/>
        <s v="29/03/2027"/>
        <s v="17/10/2025"/>
        <s v="30/05/2026"/>
        <d v="2024-12-04T00:00:00Z"/>
        <s v="17/10/2028"/>
        <d v="2024-02-06T00:00:00Z"/>
        <s v="26/10/2023"/>
        <s v="18/09/2026"/>
        <d v="2026-04-01T00:00:00Z"/>
        <d v="2027-03-10T00:00:00Z"/>
        <d v="2026-05-08T00:00:00Z"/>
        <s v="28/11/2024"/>
        <d v="2023-04-11T00:00:00Z"/>
        <s v="25/09/2023"/>
        <d v="2028-12-06T00:00:00Z"/>
        <d v="2024-11-06T00:00:00Z"/>
        <d v="2024-07-11T00:00:00Z"/>
        <s v="14/10/2024"/>
        <s v="30/06/2027"/>
        <d v="2023-10-08T00:00:00Z"/>
        <s v="23/08/2025"/>
        <d v="2024-07-03T00:00:00Z"/>
        <s v="25/03/2024"/>
        <d v="2027-12-08T00:00:00Z"/>
        <d v="2025-03-10T00:00:00Z"/>
        <s v="30/09/2023"/>
        <s v="15/06/2026"/>
        <d v="2026-12-11T00:00:00Z"/>
        <d v="2024-06-05T00:00:00Z"/>
        <s v="17/09/2026"/>
        <d v="2024-10-04T00:00:00Z"/>
        <s v="25/06/2027"/>
        <d v="2026-11-02T00:00:00Z"/>
        <d v="2025-03-05T00:00:00Z"/>
        <d v="2024-06-11T00:00:00Z"/>
        <d v="2022-09-05T00:00:00Z"/>
        <s v="17/06/2022"/>
        <s v="23/07/2024"/>
        <s v="14/01/2023"/>
        <s v="30/06/2023"/>
        <s v="20/06/2027"/>
        <s v="13/08/2022"/>
        <s v="23/11/2023"/>
        <d v="2026-05-10T00:00:00Z"/>
        <s v="15/12/2025"/>
        <s v="25/03/2025"/>
        <d v="2027-11-08T00:00:00Z"/>
        <d v="2027-07-03T00:00:00Z"/>
        <d v="2028-08-02T00:00:00Z"/>
        <s v="17/03/2026"/>
        <s v="28/11/2025"/>
        <s v="13/07/2025"/>
        <d v="2025-12-12T00:00:00Z"/>
        <s v="29/11/2026"/>
        <s v="14/09/2022"/>
        <d v="2024-05-10T00:00:00Z"/>
        <s v="20/07/2026"/>
        <s v="30/11/2026"/>
        <s v="26/10/2025"/>
        <d v="2026-04-07T00:00:00Z"/>
        <d v="2026-03-04T00:00:00Z"/>
        <s v="18/02/2028"/>
        <s v="17/03/2025"/>
        <d v="2025-11-09T00:00:00Z"/>
        <s v="13/08/2024"/>
        <d v="2027-09-09T00:00:00Z"/>
        <s v="22/02/2023"/>
        <s v="30/08/2025"/>
        <s v="23/10/2023"/>
        <s v="29/12/2025"/>
        <s v="25/10/2025"/>
        <d v="2027-02-03T00:00:00Z"/>
        <s v="18/10/2023"/>
        <d v="2022-07-09T00:00:00Z"/>
        <s v="21/03/2025"/>
        <d v="2026-10-06T00:00:00Z"/>
        <s v="28/04/2024"/>
        <s v="24/04/2024"/>
        <s v="30/10/2027"/>
        <s v="28/03/2024"/>
        <s v="23/01/2023"/>
        <s v="22/02/2024"/>
        <s v="24/08/2025"/>
        <d v="2024-08-07T00:00:00Z"/>
        <s v="13/03/2025"/>
        <d v="2026-07-01T00:00:00Z"/>
        <d v="2025-05-11T00:00:00Z"/>
        <s v="23/12/2022"/>
        <s v="13/11/2023"/>
        <d v="2024-09-08T00:00:00Z"/>
        <s v="30/04/2026"/>
        <s v="26/09/2022"/>
        <s v="29/04/2022"/>
        <s v="27/11/2025"/>
        <s v="25/08/2024"/>
        <d v="2024-08-04T00:00:00Z"/>
        <s v="25/04/2025"/>
        <d v="2023-05-06T00:00:00Z"/>
        <d v="2022-05-06T00:00:00Z"/>
        <d v="2025-06-11T00:00:00Z"/>
        <d v="2025-08-03T00:00:00Z"/>
        <s v="16/04/2024"/>
        <d v="2026-06-02T00:00:00Z"/>
        <s v="31/10/2022"/>
        <s v="27/05/2025"/>
        <d v="2026-05-06T00:00:00Z"/>
        <s v="25/06/2024"/>
        <s v="17/07/2024"/>
        <s v="25/09/2025"/>
        <d v="2023-02-06T00:00:00Z"/>
        <s v="18/11/2023"/>
        <d v="2024-03-03T00:00:00Z"/>
        <d v="2026-03-03T00:00:00Z"/>
        <s v="17/09/2024"/>
        <s v="13/12/2023"/>
        <s v="28/03/2027"/>
        <d v="2025-06-04T00:00:00Z"/>
        <s v="19/11/2022"/>
        <d v="2022-04-06T00:00:00Z"/>
        <s v="16/10/2024"/>
        <d v="2027-11-12T00:00:00Z"/>
        <s v="19/12/2022"/>
        <d v="2024-04-03T00:00:00Z"/>
        <s v="24/01/2023"/>
        <d v="2024-07-12T00:00:00Z"/>
        <d v="2026-09-05T00:00:00Z"/>
        <d v="2026-07-10T00:00:00Z"/>
        <d v="2025-01-12T00:00:00Z"/>
        <s v="22/05/2023"/>
        <s v="16/04/2025"/>
        <s v="20/09/2023"/>
        <s v="30/09/2026"/>
        <s v="17/06/2025"/>
        <d v="2022-03-10T00:00:00Z"/>
        <s v="21/07/2025"/>
        <s v="20/03/2026"/>
        <s v="22/04/2026"/>
        <s v="27/01/2024"/>
        <s v="17/09/2023"/>
        <s v="22/05/2022"/>
        <d v="2026-09-03T00:00:00Z"/>
        <s v="24/10/2025"/>
        <d v="2024-10-02T00:00:00Z"/>
        <s v="16/03/2023"/>
        <s v="26/09/2024"/>
        <d v="2026-11-04T00:00:00Z"/>
        <s v="18/04/2023"/>
        <s v="13/09/2023"/>
        <s v="29/11/2024"/>
        <s v="26/10/2024"/>
        <s v="17/11/2025"/>
        <d v="2025-05-07T00:00:00Z"/>
        <d v="2023-11-11T00:00:00Z"/>
        <d v="2025-11-02T00:00:00Z"/>
        <s v="19/07/2023"/>
        <s v="20/06/2025"/>
        <s v="27/06/2025"/>
        <d v="2023-03-06T00:00:00Z"/>
        <s v="29/10/2024"/>
        <d v="2028-12-05T00:00:00Z"/>
        <d v="2023-06-12T00:00:00Z"/>
        <d v="2024-03-05T00:00:00Z"/>
        <s v="13/12/2024"/>
        <s v="14/09/2023"/>
        <d v="2025-08-04T00:00:00Z"/>
        <s v="16/08/2023"/>
        <d v="2025-10-05T00:00:00Z"/>
        <s v="18/09/2024"/>
        <s v="20/02/2024"/>
        <s v="18/05/2026"/>
        <d v="2022-12-09T00:00:00Z"/>
        <s v="23/06/2027"/>
        <d v="2022-02-04T00:00:00Z"/>
        <s v="27/08/2023"/>
        <d v="2023-09-12T00:00:00Z"/>
        <d v="2023-08-08T00:00:00Z"/>
        <s v="20/10/2023"/>
        <d v="2026-06-04T00:00:00Z"/>
        <d v="2024-02-11T00:00:00Z"/>
        <d v="2024-08-12T00:00:00Z"/>
        <d v="2027-03-11T00:00:00Z"/>
        <d v="2024-04-05T00:00:00Z"/>
        <s v="13/03/2023"/>
        <s v="13/05/2023"/>
        <s v="17/08/2026"/>
        <d v="2022-03-12T00:00:00Z"/>
        <s v="30/09/2025"/>
        <d v="2022-01-09T00:00:00Z"/>
        <s v="19/10/2026"/>
        <s v="17/01/2024"/>
        <s v="18/03/2026"/>
        <s v="21/11/2023"/>
        <d v="2024-10-06T00:00:00Z"/>
        <s v="22/07/2023"/>
        <s v="26/09/2025"/>
        <s v="22/12/2024"/>
        <s v="27/07/2025"/>
        <s v="14/04/2025"/>
        <s v="17/10/2022"/>
        <s v="22/11/2024"/>
        <d v="2026-01-12T00:00:00Z"/>
        <d v="2025-12-03T00:00:00Z"/>
        <s v="16/08/2025"/>
        <s v="22/08/2022"/>
        <d v="2024-05-08T00:00:00Z"/>
        <d v="2023-05-08T00:00:00Z"/>
        <s v="25/09/2026"/>
        <s v="28/07/2024"/>
        <d v="2022-11-10T00:00:00Z"/>
        <s v="13/04/2022"/>
        <s v="15/07/2023"/>
        <d v="2026-04-11T00:00:00Z"/>
        <d v="2023-03-09T00:00:00Z"/>
        <s v="18/06/2025"/>
        <d v="2025-03-01T00:00:00Z"/>
        <s v="19/06/2024"/>
        <s v="19/03/2025"/>
        <s v="29/03/2026"/>
        <s v="20/04/2025"/>
        <s v="14/12/2025"/>
        <s v="24/11/2024"/>
        <s v="24/09/2023"/>
        <s v="19/12/2024"/>
        <s v="13/01/2027"/>
        <s v="29/07/2028"/>
        <d v="2023-04-01T00:00:00Z"/>
        <s v="28/01/2024"/>
        <s v="22/09/2024"/>
        <d v="2022-11-06T00:00:00Z"/>
        <d v="2022-03-11T00:00:00Z"/>
        <d v="2025-07-06T00:00:00Z"/>
        <s v="24/02/2023"/>
        <s v="20/12/2024"/>
        <s v="21/03/2026"/>
        <d v="2024-03-02T00:00:00Z"/>
        <d v="2023-07-06T00:00:00Z"/>
        <d v="2024-03-06T00:00:00Z"/>
        <s v="26/08/2024"/>
        <d v="2024-04-10T00:00:00Z"/>
        <d v="2025-11-08T00:00:00Z"/>
        <d v="2023-09-09T00:00:00Z"/>
        <d v="2024-04-07T00:00:00Z"/>
        <d v="2023-07-01T00:00:00Z"/>
        <d v="2025-10-11T00:00:00Z"/>
        <d v="2023-06-10T00:00:00Z"/>
        <d v="2026-04-05T00:00:00Z"/>
        <d v="2023-07-12T00:00:00Z"/>
        <s v="30/05/2023"/>
        <s v="14/04/2029"/>
        <d v="2024-01-10T00:00:00Z"/>
        <s v="30/07/2024"/>
        <s v="27/05/2024"/>
        <d v="2025-02-10T00:00:00Z"/>
        <s v="29/08/2026"/>
        <s v="30/10/2024"/>
        <d v="2025-01-07T00:00:00Z"/>
        <d v="2027-08-08T00:00:00Z"/>
        <s v="24/11/2022"/>
        <d v="2023-12-06T00:00:00Z"/>
        <s v="31/12/2025"/>
        <d v="2022-11-07T00:00:00Z"/>
        <s v="27/10/2023"/>
        <d v="2023-12-07T00:00:00Z"/>
        <d v="2025-02-07T00:00:00Z"/>
        <d v="2027-01-07T00:00:00Z"/>
        <s v="29/06/2027"/>
        <d v="2025-10-10T00:00:00Z"/>
        <s v="30/05/2024"/>
        <s v="19/01/2026"/>
        <s v="21/06/2026"/>
        <s v="13/04/2027"/>
        <d v="2026-08-11T00:00:00Z"/>
        <s v="22/09/2023"/>
        <s v="13/02/2025"/>
        <d v="2026-12-12T00:00:00Z"/>
        <s v="17/11/2024"/>
        <s v="17/12/2024"/>
        <s v="19/05/2024"/>
        <d v="2026-10-10T00:00:00Z"/>
        <s v="28/11/2022"/>
        <s v="30/11/2024"/>
        <s v="27/04/2023"/>
        <s v="16/06/2026"/>
        <d v="2026-12-04T00:00:00Z"/>
        <d v="2024-06-07T00:00:00Z"/>
        <s v="24/10/2022"/>
        <d v="2024-11-05T00:00:00Z"/>
        <s v="19/01/2024"/>
        <s v="29/11/2023"/>
        <s v="28/08/2024"/>
        <s v="24/02/2026"/>
        <d v="2022-07-06T00:00:00Z"/>
        <d v="2025-11-03T00:00:00Z"/>
        <s v="22/09/2022"/>
        <s v="29/06/2022"/>
        <s v="29/01/2025"/>
        <d v="2025-05-01T00:00:00Z"/>
        <s v="26/07/2025"/>
        <d v="2026-01-09T00:00:00Z"/>
      </sharedItems>
    </cacheField>
    <cacheField name="Churn_Status" numFmtId="0">
      <sharedItems>
        <s v="Churned"/>
        <s v="Active"/>
        <s v="Yes"/>
        <s v="No"/>
      </sharedItems>
    </cacheField>
    <cacheField name="Primary_Product" numFmtId="0">
      <sharedItems>
        <s v="Cloud Storage"/>
        <s v="Automation"/>
        <s v="Collaboration"/>
        <s v="Security"/>
        <s v="Analytics"/>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809" sheet="Cleaned_Data"/>
  </cacheSource>
  <cacheFields>
    <cacheField name="Customer_ID" numFmtId="0">
      <sharedItems>
        <s v="C01310"/>
        <s v="C00477"/>
        <s v="C01564"/>
        <s v="C00741"/>
        <s v="C01438"/>
        <s v="C00549"/>
        <s v="C00539"/>
        <s v="C01221"/>
        <s v="C00007"/>
        <s v="C00230"/>
        <s v="C00543"/>
        <s v="C00693"/>
        <s v="C00439"/>
        <s v="C00125"/>
        <s v="C00201"/>
        <s v="C00932"/>
        <s v="C01197"/>
        <s v="C00082"/>
        <s v="C00937"/>
        <s v="C00898"/>
        <s v="C01470"/>
        <s v="C00331"/>
        <s v="C00747"/>
        <s v="C00368"/>
        <s v="C00467"/>
        <s v="C01190"/>
        <s v="C00004"/>
        <s v="C01428"/>
        <s v="C01188"/>
        <s v="C00461"/>
        <s v="C01538"/>
        <s v="C01220"/>
        <s v="C01569"/>
        <s v="C00132"/>
        <s v="C01544"/>
        <s v="C01484"/>
        <s v="C00777"/>
        <s v="C01600"/>
        <s v="C00344"/>
        <s v="C00209"/>
        <s v="C00742"/>
        <s v="C00924"/>
        <s v="C01139"/>
        <s v="C00829"/>
        <s v="C00248"/>
        <s v="C00740"/>
        <s v="C00981"/>
        <s v="C00175"/>
        <s v="C01272"/>
        <s v="C01412"/>
        <s v="C01327"/>
        <s v="C00558"/>
        <s v="C00083"/>
        <s v="C00330"/>
        <s v="C01347"/>
        <s v="C00249"/>
        <s v="C01043"/>
        <s v="C01040"/>
        <s v="C00660"/>
        <s v="C01209"/>
        <s v="C01419"/>
        <s v="C00466"/>
        <s v="C00883"/>
        <s v="C00945"/>
        <s v="C00936"/>
        <s v="C01160"/>
        <s v="C00748"/>
        <s v="C00236"/>
        <s v="C00755"/>
        <s v="C01436"/>
        <s v="C00859"/>
        <s v="C01405"/>
        <s v="C01157"/>
        <s v="C00514"/>
        <s v="C01078"/>
        <s v="C00939"/>
        <s v="C00259"/>
        <s v="C00695"/>
        <s v="C00198"/>
        <s v="C01184"/>
        <s v="C00054"/>
        <s v="C01529"/>
        <s v="C00102"/>
        <s v="C00997"/>
        <s v="C00360"/>
        <s v="C01175"/>
        <s v="C00821"/>
        <s v="C00484"/>
        <s v="C00662"/>
        <s v="C00117"/>
        <s v="C01240"/>
        <s v="C00326"/>
        <s v="C00582"/>
        <s v="C00262"/>
        <s v="C00208"/>
        <s v="C00910"/>
        <s v="C00858"/>
        <s v="C00921"/>
        <s v="C00653"/>
        <s v="C00307"/>
        <s v="C00034"/>
        <s v="C01581"/>
        <s v="C00601"/>
        <s v="C00560"/>
        <s v="C00882"/>
        <s v="C01260"/>
        <s v="C01085"/>
        <s v="C00440"/>
        <s v="C00595"/>
        <s v="C00756"/>
        <s v="C01316"/>
        <s v="C00338"/>
        <s v="C01266"/>
        <s v="C00852"/>
        <s v="C00496"/>
        <s v="C01563"/>
        <s v="C00577"/>
        <s v="C01151"/>
        <s v="C00672"/>
        <s v="C00854"/>
        <s v="C01173"/>
        <s v="C01357"/>
        <s v="C00612"/>
        <s v="C00778"/>
        <s v="C01152"/>
        <s v="C00206"/>
        <s v="C00476"/>
        <s v="C00687"/>
        <s v="C01472"/>
        <s v="C00379"/>
        <s v="C00128"/>
        <s v="C00980"/>
        <s v="C00915"/>
        <s v="C01002"/>
        <s v="C01185"/>
        <s v="C00767"/>
        <s v="C00261"/>
        <s v="C01485"/>
        <s v="C00899"/>
        <s v="C00453"/>
        <s v="C01086"/>
        <s v="C01235"/>
        <s v="C01530"/>
        <s v="C01019"/>
        <s v="C01187"/>
        <s v="C00944"/>
        <s v="C00845"/>
        <s v="C01090"/>
        <s v="C01270"/>
        <s v="C00831"/>
        <s v="C01418"/>
        <s v="C00158"/>
        <s v="C00156"/>
        <s v="C01354"/>
        <s v="C00011"/>
        <s v="C00191"/>
        <s v="C01010"/>
        <s v="C00014"/>
        <s v="C00654"/>
        <s v="C01451"/>
        <s v="C00773"/>
        <s v="C00341"/>
        <s v="C01582"/>
        <s v="C00990"/>
        <s v="C01517"/>
        <s v="C01374"/>
        <s v="C00489"/>
        <s v="C01137"/>
        <s v="C00838"/>
        <s v="C01599"/>
        <s v="C01508"/>
        <s v="C01456"/>
        <s v="C00292"/>
        <s v="C01497"/>
        <s v="C01332"/>
        <s v="C00880"/>
        <s v="C00979"/>
        <s v="C01250"/>
        <s v="C01496"/>
        <s v="C00421"/>
        <s v="C01165"/>
        <s v="C01572"/>
        <s v="C01202"/>
        <s v="C01437"/>
        <s v="C01176"/>
        <s v="C00460"/>
        <s v="C00953"/>
        <s v="C01583"/>
        <s v="C00213"/>
        <s v="C00196"/>
        <s v="C00928"/>
        <s v="C00926"/>
        <s v="C00729"/>
        <s v="C00127"/>
        <s v="C00264"/>
        <s v="C00564"/>
        <s v="C00282"/>
        <s v="C01029"/>
        <s v="C01212"/>
        <s v="C00041"/>
        <s v="C00149"/>
        <s v="C00731"/>
        <s v="C00512"/>
        <s v="C01479"/>
        <s v="C00984"/>
        <s v="C00176"/>
        <s v="C01463"/>
        <s v="C01285"/>
        <s v="C01071"/>
        <s v="C01172"/>
        <s v="C00763"/>
        <s v="C01239"/>
        <s v="C00827"/>
        <s v="C01302"/>
        <s v="C00584"/>
        <s v="C00271"/>
        <s v="C01278"/>
        <s v="C00568"/>
        <s v="C00371"/>
        <s v="C00862"/>
        <s v="C01395"/>
        <s v="C01293"/>
        <s v="C01421"/>
        <s v="C01004"/>
        <s v="C00769"/>
        <s v="C00972"/>
        <s v="C00242"/>
        <s v="C01017"/>
        <s v="C00525"/>
        <s v="C01553"/>
        <s v="C00935"/>
        <s v="C00372"/>
        <s v="C00026"/>
        <s v="C00024"/>
        <s v="C00482"/>
        <s v="C01125"/>
        <s v="C01009"/>
        <s v="C00253"/>
        <s v="C00356"/>
        <s v="C00283"/>
        <s v="C01455"/>
        <s v="C00052"/>
        <s v="C00927"/>
        <s v="C01131"/>
        <s v="C00920"/>
        <s v="C00956"/>
        <s v="C00451"/>
        <s v="C01087"/>
        <s v="C01483"/>
        <s v="C01584"/>
        <s v="C00078"/>
        <s v="C01379"/>
        <s v="C00023"/>
        <s v="C01376"/>
        <s v="C00996"/>
        <s v="C01459"/>
        <s v="C00168"/>
        <s v="C01130"/>
        <s v="C00746"/>
        <s v="C01329"/>
        <s v="C00516"/>
        <s v="C00434"/>
        <s v="C00046"/>
        <s v="C01155"/>
        <s v="C00975"/>
        <s v="C00879"/>
        <s v="C01226"/>
        <s v="C01335"/>
        <s v="C00991"/>
        <s v="C01128"/>
        <s v="C00586"/>
        <s v="C00724"/>
        <s v="C00399"/>
        <s v="C00513"/>
        <s v="C01387"/>
        <s v="C00643"/>
        <s v="C00563"/>
        <s v="C00807"/>
        <s v="C00384"/>
        <s v="C01171"/>
        <s v="C00276"/>
        <s v="C00533"/>
        <s v="C00358"/>
        <s v="C01067"/>
        <s v="C01124"/>
        <s v="C01284"/>
        <s v="C01211"/>
        <s v="C00022"/>
        <s v="C01123"/>
        <s v="C01059"/>
        <s v="C01008"/>
        <s v="C01011"/>
        <s v="C00963"/>
        <s v="C01506"/>
        <s v="C00407"/>
        <s v="C01191"/>
        <s v="C00220"/>
        <s v="C01145"/>
        <s v="C00606"/>
        <s v="C00794"/>
        <s v="C00414"/>
        <s v="C00027"/>
        <s v="C01504"/>
        <s v="C01535"/>
        <s v="C00045"/>
        <s v="C00446"/>
        <s v="C00890"/>
        <s v="C00670"/>
        <s v="C01150"/>
        <s v="C01217"/>
        <s v="C00231"/>
        <s v="C00418"/>
        <s v="C00412"/>
        <s v="C01042"/>
        <s v="C00311"/>
        <s v="C00139"/>
        <s v="C01562"/>
        <s v="C00900"/>
        <s v="C01099"/>
        <s v="C00624"/>
        <s v="C00278"/>
        <s v="C01574"/>
        <s v="C00241"/>
        <s v="C00930"/>
        <s v="C00076"/>
        <s v="C01423"/>
        <s v="C01448"/>
        <s v="C01148"/>
        <s v="C00948"/>
        <s v="C00064"/>
        <s v="C00487"/>
        <s v="C01025"/>
        <s v="C01462"/>
        <s v="C00658"/>
        <s v="C00424"/>
        <s v="C01384"/>
        <s v="C00161"/>
        <s v="C00529"/>
        <s v="C01238"/>
        <s v="C01515"/>
        <s v="C01013"/>
        <s v="C00401"/>
        <s v="C00603"/>
        <s v="C01281"/>
        <s v="C00869"/>
        <s v="C00968"/>
        <s v="C01424"/>
        <s v="C00994"/>
        <s v="C01251"/>
        <s v="C00642"/>
        <s v="C00189"/>
        <s v="C00604"/>
        <s v="C00682"/>
        <s v="C01258"/>
        <s v="C01558"/>
        <s v="C00287"/>
        <s v="C00692"/>
        <s v="C01340"/>
        <s v="C01192"/>
        <s v="C01254"/>
        <s v="C00567"/>
        <s v="C00685"/>
        <s v="C00668"/>
        <s v="C00993"/>
        <s v="C01133"/>
        <s v="C00456"/>
        <s v="C01144"/>
        <s v="C00608"/>
        <s v="C00954"/>
        <s v="C01511"/>
        <s v="C01454"/>
        <s v="C00628"/>
        <s v="C00764"/>
        <s v="C01326"/>
        <s v="C01389"/>
        <s v="C00172"/>
        <s v="C00791"/>
        <s v="C01493"/>
        <s v="C00849"/>
        <s v="C01516"/>
        <s v="C00059"/>
        <s v="C00036"/>
        <s v="C00598"/>
        <s v="C00295"/>
        <s v="C01525"/>
        <s v="C00088"/>
        <s v="C00901"/>
        <s v="C00877"/>
        <s v="C00245"/>
        <s v="C00571"/>
        <s v="C01287"/>
        <s v="C01557"/>
        <s v="C00786"/>
        <s v="C01466"/>
        <s v="C01014"/>
        <s v="C00200"/>
        <s v="C01169"/>
        <s v="C00690"/>
        <s v="C00410"/>
        <s v="C00894"/>
        <s v="C01233"/>
        <s v="C01069"/>
        <s v="C00359"/>
        <s v="C00297"/>
        <s v="C01404"/>
        <s v="C01571"/>
        <s v="C00721"/>
        <s v="C01180"/>
        <s v="C00671"/>
        <s v="C00243"/>
        <s v="C01461"/>
        <s v="C00074"/>
        <s v="C00254"/>
        <s v="C00943"/>
        <s v="C00795"/>
        <s v="C01072"/>
        <s v="C01575"/>
        <s v="C00033"/>
        <s v="C00239"/>
        <s v="C01292"/>
        <s v="C00039"/>
        <s v="C00962"/>
        <s v="C00207"/>
        <s v="C01265"/>
        <s v="C01548"/>
        <s v="C01561"/>
        <s v="C00351"/>
        <s v="C00940"/>
        <s v="C01177"/>
        <s v="C01115"/>
        <s v="C00931"/>
        <s v="C01205"/>
        <s v="C00265"/>
        <s v="C00005"/>
        <s v="C01034"/>
        <s v="C01552"/>
        <s v="C00174"/>
        <s v="C01110"/>
        <s v="C00611"/>
        <s v="C00952"/>
        <s v="C01154"/>
        <s v="C00504"/>
        <s v="C01573"/>
        <s v="C00480"/>
        <s v="C00350"/>
        <s v="C01259"/>
        <s v="C01478"/>
        <s v="C00153"/>
        <s v="C00911"/>
        <s v="C00703"/>
        <s v="C00141"/>
        <s v="C00378"/>
        <s v="C00449"/>
        <s v="C00431"/>
        <s v="C01091"/>
        <s v="C01290"/>
        <s v="C01022"/>
        <s v="C00481"/>
        <s v="C01196"/>
        <s v="C00479"/>
        <s v="C01119"/>
        <s v="C00535"/>
        <s v="C00768"/>
        <s v="C00066"/>
        <s v="C00973"/>
        <s v="C00565"/>
        <s v="C00590"/>
        <s v="C01431"/>
        <s v="C00157"/>
        <s v="C00813"/>
        <s v="C00572"/>
        <s v="C00734"/>
        <s v="C00452"/>
        <s v="C01032"/>
        <s v="C01501"/>
        <s v="C00133"/>
        <s v="C00638"/>
        <s v="C00774"/>
        <s v="C00313"/>
        <s v="C00333"/>
        <s v="C01026"/>
        <s v="C00406"/>
        <s v="C01304"/>
        <s v="C01363"/>
        <s v="C01397"/>
        <s v="C00053"/>
        <s v="C00035"/>
        <s v="C00914"/>
        <s v="C01319"/>
        <s v="C00183"/>
        <s v="C00868"/>
        <s v="C01024"/>
        <s v="C01443"/>
        <s v="C00111"/>
        <s v="C01390"/>
        <s v="C00889"/>
        <s v="C01215"/>
        <s v="C00736"/>
        <s v="C00561"/>
        <s v="C00578"/>
        <s v="C00020"/>
        <s v="C00725"/>
        <s v="C01495"/>
        <s v="C01430"/>
        <s v="C01084"/>
        <s v="C00223"/>
        <s v="C00065"/>
        <s v="C00270"/>
        <s v="C00394"/>
        <s v="C00875"/>
        <s v="C00435"/>
        <s v="C01578"/>
        <s v="C00268"/>
        <s v="C01093"/>
        <s v="C01051"/>
        <s v="C00569"/>
        <s v="C00541"/>
        <s v="C00218"/>
        <s v="C01408"/>
        <s v="C00028"/>
        <s v="C00211"/>
        <s v="C00348"/>
        <s v="C01229"/>
        <s v="C01094"/>
        <s v="C00301"/>
        <s v="C00743"/>
        <s v="C00266"/>
        <s v="C00738"/>
        <s v="C01121"/>
        <s v="C00970"/>
        <s v="C00325"/>
        <s v="C00299"/>
        <s v="C00517"/>
        <s v="C00190"/>
        <s v="C00021"/>
        <s v="C00233"/>
        <s v="C01231"/>
        <s v="C00848"/>
        <s v="C01112"/>
        <s v="C00843"/>
        <s v="C00781"/>
        <s v="C00896"/>
        <s v="C00383"/>
        <s v="C00212"/>
        <s v="C01061"/>
        <s v="C00340"/>
        <s v="C00343"/>
        <s v="C00136"/>
        <s v="C00037"/>
        <s v="C00459"/>
        <s v="C00227"/>
        <s v="C01543"/>
        <s v="C01457"/>
        <s v="C00959"/>
        <s v="C01041"/>
        <s v="C01245"/>
        <s v="C00093"/>
        <s v="C01359"/>
        <s v="C00303"/>
        <s v="C01309"/>
        <s v="C00391"/>
        <s v="C00594"/>
        <s v="C00722"/>
        <s v="C01199"/>
        <s v="C01118"/>
        <s v="C00841"/>
        <s v="C00458"/>
        <s v="C01368"/>
        <s v="C00798"/>
        <s v="C00432"/>
        <s v="C00140"/>
        <s v="C00713"/>
        <s v="C00216"/>
        <s v="C00709"/>
        <s v="C00884"/>
        <s v="C00881"/>
        <s v="C00846"/>
        <s v="C00600"/>
        <s v="C00473"/>
        <s v="C01352"/>
        <s v="C01338"/>
        <s v="C00447"/>
        <s v="C00147"/>
        <s v="C00308"/>
        <s v="C01066"/>
        <s v="C00912"/>
        <s v="C01591"/>
        <s v="C00032"/>
        <s v="C00758"/>
        <s v="C00712"/>
        <s v="C00197"/>
        <s v="C00162"/>
        <s v="C00651"/>
        <s v="C00579"/>
        <s v="C01409"/>
        <s v="C01225"/>
        <s v="C00536"/>
        <s v="C00840"/>
        <s v="C00766"/>
        <s v="C00618"/>
        <s v="C00619"/>
        <s v="C01038"/>
        <s v="C00977"/>
        <s v="C01534"/>
        <s v="C01218"/>
        <s v="C01048"/>
        <s v="C00365"/>
        <s v="C00562"/>
        <s v="C01446"/>
        <s v="C00955"/>
        <s v="C00167"/>
        <s v="C00463"/>
        <s v="C01522"/>
        <s v="C00957"/>
        <s v="C00989"/>
        <s v="C01223"/>
        <s v="C00411"/>
        <s v="C00205"/>
        <s v="C00580"/>
        <s v="C00793"/>
        <s v="C00923"/>
        <s v="C00084"/>
        <s v="C01429"/>
        <s v="C01382"/>
        <s v="C00776"/>
        <s v="C00322"/>
        <s v="C01268"/>
        <s v="C01183"/>
        <s v="C00015"/>
        <s v="C00816"/>
        <s v="C01345"/>
        <s v="C00605"/>
        <s v="C00527"/>
        <s v="C00634"/>
        <s v="C00817"/>
        <s v="C01413"/>
        <s v="C00441"/>
        <s v="C00555"/>
        <s v="C01282"/>
        <s v="C00194"/>
        <s v="C01403"/>
        <s v="C00012"/>
        <s v="C00784"/>
        <s v="C01588"/>
        <s v="C00288"/>
        <s v="C00523"/>
        <s v="C01540"/>
        <s v="C00044"/>
        <s v="C01577"/>
        <s v="C01348"/>
        <s v="C00780"/>
        <s v="C00544"/>
        <s v="C00457"/>
        <s v="C00691"/>
        <s v="C01113"/>
        <s v="C00374"/>
        <s v="C00985"/>
        <s v="C01487"/>
        <s v="C00256"/>
        <s v="C01554"/>
        <s v="C01378"/>
        <s v="C00665"/>
        <s v="C01103"/>
        <s v="C00902"/>
        <s v="C00819"/>
        <s v="C01186"/>
        <s v="C00635"/>
        <s v="C01587"/>
        <s v="C00680"/>
        <s v="C00364"/>
        <s v="C00042"/>
        <s v="C00354"/>
        <s v="C01275"/>
        <s v="C01081"/>
        <s v="C00150"/>
        <s v="C00799"/>
        <s v="C00839"/>
        <s v="C00145"/>
        <s v="C00090"/>
        <s v="C00229"/>
        <s v="C00120"/>
        <s v="C00796"/>
        <s v="C00832"/>
        <s v="C00409"/>
        <s v="C01528"/>
        <s v="C01385"/>
        <s v="C01434"/>
        <s v="C01410"/>
        <s v="C01388"/>
        <s v="C00347"/>
        <s v="C00559"/>
        <s v="C00922"/>
        <s v="C00405"/>
        <s v="C01179"/>
        <s v="C00946"/>
        <s v="C00749"/>
        <s v="C00694"/>
        <s v="C00855"/>
        <s v="C01296"/>
        <s v="C01006"/>
        <s v="C01073"/>
        <s v="C01127"/>
        <s v="C00312"/>
        <s v="C01333"/>
        <s v="C01556"/>
        <s v="C00444"/>
        <s v="C00160"/>
        <s v="C01323"/>
        <s v="C00247"/>
        <s v="C01498"/>
        <s v="C01473"/>
        <s v="C00834"/>
        <s v="C01339"/>
        <s v="C01407"/>
        <s v="C01399"/>
        <s v="C00043"/>
        <s v="C00847"/>
        <s v="C01298"/>
        <s v="C00462"/>
        <s v="C01044"/>
        <s v="C00757"/>
        <s v="C01398"/>
        <s v="C00286"/>
        <s v="C00518"/>
        <s v="C00545"/>
        <s v="C00296"/>
        <s v="C01406"/>
        <s v="C00714"/>
        <s v="C00075"/>
        <s v="C00442"/>
        <s v="C00761"/>
        <s v="C00553"/>
        <s v="C00105"/>
        <s v="C01499"/>
        <s v="C00397"/>
        <s v="C00319"/>
        <s v="C00304"/>
        <s v="C00497"/>
        <s v="C00631"/>
        <s v="C01216"/>
        <s v="C00597"/>
        <s v="C00221"/>
        <s v="C00321"/>
        <s v="C01349"/>
        <s v="C00415"/>
        <s v="C00098"/>
        <s v="C01355"/>
        <s v="C01567"/>
        <s v="C00388"/>
        <s v="C00697"/>
        <s v="C01142"/>
        <s v="C00646"/>
        <s v="C01088"/>
        <s v="C00164"/>
        <s v="C00219"/>
        <s v="C01122"/>
        <s v="C01263"/>
        <s v="C00272"/>
        <s v="C01469"/>
        <s v="C01394"/>
        <s v="C01576"/>
        <s v="C01257"/>
        <s v="C00666"/>
        <s v="C00526"/>
        <s v="C00091"/>
        <s v="C00751"/>
        <s v="C01353"/>
        <s v="C00187"/>
        <s v="C00104"/>
        <s v="C00068"/>
        <s v="C00202"/>
        <s v="C00958"/>
        <s v="C01132"/>
        <s v="C00290"/>
        <s v="C00596"/>
        <s v="C01380"/>
        <s v="C00809"/>
        <s v="C00188"/>
        <s v="C00754"/>
        <s v="C00814"/>
        <s v="C00238"/>
        <s v="C01322"/>
        <s v="C00593"/>
        <s v="C01315"/>
        <s v="C01167"/>
        <s v="C01143"/>
        <s v="C01243"/>
        <s v="C00775"/>
        <s v="C00402"/>
        <s v="C00644"/>
        <s v="C00485"/>
        <s v="C00897"/>
        <s v="C01514"/>
        <s v="C00177"/>
        <s v="C01163"/>
        <s v="C01049"/>
        <s v="C00917"/>
        <s v="C00652"/>
        <s v="C00352"/>
        <s v="C00750"/>
        <s v="C00246"/>
        <s v="C00808"/>
        <s v="C00785"/>
        <s v="C01045"/>
        <s v="C01420"/>
        <s v="C00583"/>
        <s v="C00294"/>
        <s v="C00949"/>
        <s v="C00804"/>
        <s v="C00060"/>
        <s v="C00251"/>
        <s v="C00960"/>
        <s v="C01367"/>
        <s v="C01360"/>
        <s v="C00510"/>
        <s v="C01222"/>
        <s v="C00267"/>
        <s v="C00505"/>
        <s v="C01135"/>
        <s v="C01460"/>
        <s v="C01158"/>
        <s v="C01547"/>
        <s v="C01551"/>
        <s v="C01018"/>
        <s v="C00305"/>
        <s v="C01372"/>
        <s v="C01402"/>
        <s v="C00623"/>
        <s v="C00532"/>
        <s v="C00324"/>
        <s v="C00089"/>
        <s v="C01427"/>
        <s v="C00001"/>
        <s v="C00537"/>
        <s v="C01531"/>
        <s v="C00255"/>
        <s v="C00016"/>
        <s v="C00800"/>
        <s v="C01361"/>
        <s v="C01035"/>
        <s v="C01100"/>
        <s v="C01440"/>
        <s v="C00566"/>
        <s v="C00760"/>
        <s v="C01477"/>
        <s v="C00109"/>
        <s v="C00720"/>
        <s v="C01524"/>
        <s v="C00010"/>
        <s v="C00080"/>
        <s v="C00327"/>
        <s v="C01365"/>
        <s v="C00711"/>
        <s v="C01414"/>
        <s v="C00193"/>
        <s v="C00978"/>
        <s v="C01432"/>
        <s v="C01439"/>
        <s v="C01053"/>
        <s v="C00122"/>
        <s v="C01020"/>
        <s v="C00520"/>
        <s v="C01252"/>
        <s v="C01193"/>
        <s v="C01435"/>
        <s v="C01391"/>
        <s v="C00540"/>
        <s v="C00534"/>
        <s v="C01156"/>
        <s v="C01161"/>
        <s v="C00051"/>
        <s v="C00250"/>
        <s v="C01261"/>
        <s v="C01416"/>
        <s v="C01321"/>
        <s v="C01373"/>
        <s v="C00502"/>
        <s v="C01346"/>
        <s v="C00148"/>
        <s v="C01425"/>
        <s v="C00674"/>
        <s v="C00811"/>
        <s v="C00874"/>
        <s v="C00626"/>
        <s v="C01482"/>
        <s v="C01503"/>
        <s v="C01249"/>
        <s v="C00419"/>
        <s v="C00291"/>
        <s v="C00696"/>
        <s v="C00925"/>
        <s v="C00315"/>
        <s v="C00363"/>
        <s v="C01023"/>
        <s v="C00154"/>
        <s v="C00228"/>
        <s v="C01105"/>
        <s v="C00728"/>
        <s v="C01273"/>
        <s v="C01178"/>
        <s v="C01565"/>
        <s v="C00812"/>
        <s v="C00058"/>
        <s v="C01140"/>
        <s v="C00030"/>
        <s v="C00621"/>
        <s v="C00872"/>
        <s v="C00632"/>
        <s v="C00063"/>
        <s v="C01037"/>
        <s v="C00730"/>
        <s v="C00430"/>
        <s v="C00349"/>
        <s v="C00423"/>
        <s v="C00097"/>
        <s v="C00630"/>
        <s v="C01364"/>
        <s v="C00805"/>
        <s v="C01097"/>
        <s v="C00403"/>
        <s v="C00134"/>
        <s v="C00515"/>
        <s v="C00342"/>
        <s v="C00106"/>
        <s v="C00115"/>
        <s v="C00389"/>
        <s v="C00971"/>
        <s v="C00370"/>
        <s v="C00615"/>
        <s v="C00655"/>
        <s v="C00260"/>
        <s v="C00006"/>
        <s v="C01422"/>
        <s v="C01441"/>
        <s v="C01305"/>
        <s v="C01276"/>
        <s v="C00850"/>
        <s v="C00465"/>
        <s v="C01474"/>
        <s v="C00787"/>
        <s v="C00906"/>
        <s v="C00825"/>
        <s v="C00107"/>
        <s v="C00323"/>
        <s v="C00367"/>
        <s v="C01195"/>
        <s v="C00888"/>
        <s v="C01512"/>
        <s v="C00275"/>
        <s v="C01060"/>
        <s v="C01510"/>
        <s v="C00345"/>
        <s v="C00108"/>
        <s v="C00951"/>
        <s v="C00878"/>
        <s v="C00085"/>
        <s v="C00797"/>
        <s v="C00625"/>
        <s v="C01111"/>
        <s v="C01064"/>
        <s v="C01331"/>
        <s v="C00965"/>
        <s v="C00867"/>
        <s v="C00938"/>
        <s v="C00320"/>
        <s v="C01545"/>
        <s v="C01596"/>
        <s v="C00070"/>
        <s v="C01107"/>
        <s v="C01330"/>
        <s v="C01248"/>
        <s v="C00395"/>
        <s v="C00639"/>
        <s v="C01246"/>
        <s v="C00114"/>
        <s v="C01344"/>
        <s v="C00822"/>
        <s v="C01313"/>
        <s v="C01291"/>
        <s v="C01236"/>
        <s v="C01274"/>
        <s v="C00679"/>
        <s v="C00143"/>
        <s v="C00448"/>
        <s v="C01491"/>
        <s v="C01447"/>
        <s v="C00591"/>
        <s v="C01317"/>
        <s v="C00627"/>
        <s v="C00008"/>
        <s v="C00413"/>
        <s v="C00436"/>
        <s v="C00225"/>
        <s v="C00640"/>
        <s v="C01052"/>
        <s v="C00941"/>
        <s v="C01294"/>
        <s v="C00055"/>
        <s v="C01134"/>
        <s v="C00244"/>
        <s v="C00280"/>
        <s v="C00708"/>
        <s v="C01579"/>
        <s v="C00263"/>
        <s v="C00433"/>
        <s v="C00131"/>
        <s v="C00173"/>
        <s v="C00501"/>
        <s v="C00077"/>
        <s v="C00155"/>
        <s v="C00664"/>
        <s v="C00607"/>
        <s v="C00587"/>
        <s v="C01356"/>
        <s v="C00976"/>
        <s v="C00967"/>
        <s v="C01570"/>
        <s v="C00029"/>
        <s v="C00493"/>
        <s v="C00613"/>
        <s v="C00552"/>
        <s v="C01271"/>
        <s v="C00165"/>
        <s v="C00425"/>
        <s v="C00302"/>
        <s v="C01586"/>
        <s v="C01475"/>
        <s v="C00159"/>
        <s v="C01182"/>
        <s v="C00392"/>
        <s v="C00782"/>
        <s v="C00790"/>
        <s v="C01465"/>
        <s v="C01337"/>
        <s v="C00222"/>
        <s v="C00863"/>
        <s v="C00019"/>
        <s v="C00592"/>
        <s v="C00636"/>
        <s v="C01141"/>
        <s v="C00823"/>
        <s v="C00614"/>
        <s v="C01580"/>
        <s v="C01513"/>
        <s v="C01146"/>
        <s v="C00376"/>
        <s v="C01295"/>
        <s v="C01411"/>
        <s v="C00178"/>
        <s v="C00575"/>
        <s v="C01392"/>
        <s v="C01594"/>
        <s v="C00765"/>
        <s v="C00071"/>
        <s v="C01101"/>
        <s v="C00048"/>
        <s v="C00745"/>
        <s v="C00853"/>
        <s v="C00056"/>
        <s v="C00119"/>
        <s v="C01256"/>
        <s v="C00833"/>
        <s v="C00234"/>
        <s v="C01536"/>
        <s v="C01237"/>
        <s v="C01068"/>
        <s v="C00361"/>
        <s v="C00964"/>
        <s v="C01324"/>
        <s v="C00633"/>
        <s v="C01050"/>
        <s v="C01166"/>
        <s v="C00169"/>
        <s v="C01104"/>
        <s v="C00683"/>
        <s v="C00067"/>
      </sharedItems>
    </cacheField>
    <cacheField name="Customer_Name" numFmtId="0">
      <sharedItems>
        <s v="Meera Das"/>
        <s v="Rahul Das"/>
        <s v="Priya Das"/>
        <s v="Anita Patel"/>
        <s v="Anita Kumar"/>
        <s v="Vikram Patel"/>
        <s v="Anita Sharma"/>
        <s v="Rahul Kumar"/>
        <s v="Rahul Patel"/>
        <s v="Sneha Nair"/>
        <s v="Karan Nair"/>
        <s v="Vikram Nair"/>
        <s v="Arun Patel"/>
        <s v="Arun Kumar"/>
        <s v="Karan Sharma"/>
        <s v="Vikram Das"/>
        <s v="Ravi Patel"/>
        <s v="Vikram Kumar"/>
        <s v="Rahul Singh"/>
        <s v="Sneha Singh"/>
        <s v="Ravi Reddy"/>
        <s v="Meera Singh"/>
        <s v="Ravi Iyer"/>
        <s v="Ravi Kumar"/>
        <s v="Vikram Reddy"/>
        <s v="Sneha Patel"/>
        <s v="Arun Das"/>
        <s v="Karan Patel"/>
        <s v="Neha Sharma"/>
        <s v="Karan Iyer"/>
        <s v="Anita Iyer"/>
        <s v="Anita Nair"/>
        <s v="Meera Iyer"/>
        <s v="Sneha Sharma"/>
        <s v="Meera Kumar"/>
        <s v="Sneha Iyer"/>
        <s v="Ravi Sharma"/>
        <s v="Vikram Singh"/>
        <s v="Sneha Reddy"/>
        <s v="Anita Reddy"/>
        <s v="Rahul Sharma"/>
        <s v="Arun Reddy"/>
        <s v="Priya Kumar"/>
        <s v="Karan Kumar"/>
        <s v="Anita Singh"/>
        <s v="Neha Nair"/>
        <s v="Rahul Iyer"/>
        <s v="Priya Sharma"/>
        <s v="Ravi Singh"/>
        <s v="Arun Iyer"/>
        <s v="Neha Das"/>
        <s v="Priya Patel"/>
        <s v="Meera Sharma"/>
        <s v="Priya Reddy"/>
        <s v="Arun Nair"/>
        <s v="Priya Singh"/>
        <s v="Meera Nair"/>
        <s v="Neha Singh"/>
        <s v="Sneha Kumar"/>
        <s v="Neha Iyer"/>
        <s v="Rahul Nair"/>
        <s v="Karan Das"/>
        <s v="Vikram Sharma"/>
        <s v="Rahul Reddy"/>
        <s v="Karan Reddy"/>
        <s v="Vikram Iyer"/>
        <s v="Neha Kumar"/>
        <s v="Meera Reddy"/>
        <s v="Neha Patel"/>
        <s v="Arun Singh"/>
        <s v="Ravi Das"/>
        <s v="Meera Patel"/>
        <s v="Anita Das"/>
        <s v="Neha Reddy"/>
        <s v="Priya Nair"/>
        <s v="Ravi Nair"/>
        <s v="Arun Sharma"/>
        <s v="Sneha Das"/>
        <s v="Priya Iyer"/>
        <s v="Karan Singh"/>
      </sharedItems>
    </cacheField>
    <cacheField name="Age">
      <sharedItems containsMixedTypes="1" containsNumber="1" containsInteger="1">
        <s v=""/>
        <n v="40.0"/>
        <n v="24.0"/>
        <n v="42.0"/>
        <n v="33.0"/>
        <n v="34.0"/>
        <n v="57.0"/>
        <n v="37.0"/>
        <n v="61.0"/>
        <n v="26.0"/>
        <n v="51.0"/>
        <n v="65.0"/>
        <n v="43.0"/>
        <n v="66.0"/>
        <n v="55.0"/>
        <n v="27.0"/>
        <n v="36.0"/>
        <n v="19.0"/>
        <n v="46.0"/>
        <n v="29.0"/>
        <n v="31.0"/>
        <n v="20.0"/>
        <n v="35.0"/>
        <n v="38.0"/>
        <n v="44.0"/>
        <n v="48.0"/>
        <n v="49.0"/>
        <n v="41.0"/>
        <n v="56.0"/>
        <n v="45.0"/>
        <n v="39.0"/>
        <n v="25.0"/>
        <n v="28.0"/>
        <n v="67.0"/>
        <n v="60.0"/>
        <n v="23.0"/>
        <n v="54.0"/>
        <n v="50.0"/>
        <n v="58.0"/>
        <n v="22.0"/>
        <n v="59.0"/>
        <n v="47.0"/>
        <n v="68.0"/>
        <n v="62.0"/>
        <n v="64.0"/>
        <n v="63.0"/>
        <n v="21.0"/>
        <n v="52.0"/>
        <n v="32.0"/>
        <n v="30.0"/>
        <n v="53.0"/>
        <n v="99.0"/>
        <n v="105.0"/>
        <n v="15.0"/>
        <n v="12.0"/>
      </sharedItems>
    </cacheField>
    <cacheField name="Region" numFmtId="0">
      <sharedItems>
        <s v="North"/>
        <s v="East"/>
        <s v="South"/>
        <s v="West"/>
      </sharedItems>
    </cacheField>
    <cacheField name="City" numFmtId="0">
      <sharedItems>
        <s v="Delhi"/>
        <s v="Jaipur"/>
        <s v="Kolkata"/>
        <s v="Bengaluru"/>
        <s v="Surat"/>
        <s v="Ahmedabad"/>
        <s v="Bhubaneswar"/>
        <s v="Patna"/>
        <s v="Pune"/>
        <s v="Kochi"/>
        <s v="Guwahati"/>
        <s v="Lucknow"/>
        <s v="Chandigarh"/>
        <s v="Hyderabad"/>
        <s v="Chennai"/>
        <s v=""/>
        <s v="Mumbai"/>
      </sharedItems>
    </cacheField>
    <cacheField name="Plan" numFmtId="0">
      <sharedItems>
        <s v="Standard"/>
        <s v="Basic"/>
        <s v="Premium"/>
      </sharedItems>
    </cacheField>
    <cacheField name="Acquisition_Channel" numFmtId="0">
      <sharedItems>
        <s v="Instagram"/>
        <s v="Facebook"/>
        <s v="Google Ads"/>
        <s v="Organic Search"/>
        <s v="Youtube"/>
        <s v="Email"/>
        <s v="Referral"/>
      </sharedItems>
    </cacheField>
    <cacheField name="Signup_Date" numFmtId="164">
      <sharedItems containsSemiMixedTypes="0" containsDate="1" containsString="0">
        <d v="2023-04-03T00:00:00Z"/>
        <d v="2025-01-21T00:00:00Z"/>
        <d v="2024-01-06T00:00:00Z"/>
        <d v="2023-08-16T00:00:00Z"/>
        <d v="2022-12-01T00:00:00Z"/>
        <d v="2023-10-07T00:00:00Z"/>
        <d v="2024-11-09T00:00:00Z"/>
        <d v="2022-01-24T00:00:00Z"/>
        <d v="2025-07-04T00:00:00Z"/>
        <d v="2025-03-07T00:00:00Z"/>
        <d v="2025-11-13T00:00:00Z"/>
        <d v="2022-05-26T00:00:00Z"/>
        <d v="2024-04-13T00:00:00Z"/>
        <d v="2023-05-25T00:00:00Z"/>
        <d v="2023-04-30T00:00:00Z"/>
        <d v="2025-02-12T00:00:00Z"/>
        <d v="2022-06-14T00:00:00Z"/>
        <d v="2024-12-06T00:00:00Z"/>
        <d v="2025-02-27T00:00:00Z"/>
        <d v="2023-09-06T00:00:00Z"/>
        <d v="2023-06-25T00:00:00Z"/>
        <d v="2022-06-04T00:00:00Z"/>
        <d v="2025-09-27T00:00:00Z"/>
        <d v="2023-05-24T00:00:00Z"/>
        <d v="2023-11-04T00:00:00Z"/>
        <d v="2023-12-09T00:00:00Z"/>
        <d v="2023-11-08T00:00:00Z"/>
        <d v="2024-02-16T00:00:00Z"/>
        <d v="2023-03-14T00:00:00Z"/>
        <d v="2024-08-31T00:00:00Z"/>
        <d v="2025-11-26T00:00:00Z"/>
        <d v="2024-10-30T00:00:00Z"/>
        <d v="2023-08-09T00:00:00Z"/>
        <d v="2024-05-01T00:00:00Z"/>
        <d v="2025-01-23T00:00:00Z"/>
        <d v="2024-12-29T00:00:00Z"/>
        <d v="2022-02-11T00:00:00Z"/>
        <d v="2025-03-31T00:00:00Z"/>
        <d v="2022-03-26T00:00:00Z"/>
        <d v="2024-12-04T00:00:00Z"/>
        <d v="2024-04-12T00:00:00Z"/>
        <d v="2024-08-27T00:00:00Z"/>
        <d v="2025-11-14T00:00:00Z"/>
        <d v="2022-09-17T00:00:00Z"/>
        <d v="2023-06-02T00:00:00Z"/>
        <d v="2025-05-26T00:00:00Z"/>
        <d v="2025-07-05T00:00:00Z"/>
        <d v="2025-12-18T00:00:00Z"/>
        <d v="2022-05-03T00:00:00Z"/>
        <d v="2024-06-03T00:00:00Z"/>
        <d v="2023-07-24T00:00:00Z"/>
        <d v="2025-09-18T00:00:00Z"/>
        <d v="2024-01-11T00:00:00Z"/>
        <d v="2025-02-02T00:00:00Z"/>
        <d v="2023-05-15T00:00:00Z"/>
        <d v="2025-04-17T00:00:00Z"/>
        <d v="2024-04-21T00:00:00Z"/>
        <d v="2022-07-24T00:00:00Z"/>
        <d v="2025-10-13T00:00:00Z"/>
        <d v="2025-07-21T00:00:00Z"/>
        <d v="2025-10-28T00:00:00Z"/>
        <d v="2024-08-10T00:00:00Z"/>
        <d v="2024-09-16T00:00:00Z"/>
        <d v="2023-04-17T00:00:00Z"/>
        <d v="2024-04-30T00:00:00Z"/>
        <d v="2025-10-17T00:00:00Z"/>
        <d v="2022-08-10T00:00:00Z"/>
        <d v="2022-03-18T00:00:00Z"/>
        <d v="2024-09-29T00:00:00Z"/>
        <d v="2023-01-24T00:00:00Z"/>
        <d v="2023-03-01T00:00:00Z"/>
        <d v="2022-09-27T00:00:00Z"/>
        <d v="2024-01-12T00:00:00Z"/>
        <d v="2024-04-02T00:00:00Z"/>
        <d v="2024-12-22T00:00:00Z"/>
        <d v="2023-10-03T00:00:00Z"/>
        <d v="2025-02-24T00:00:00Z"/>
        <d v="2023-09-25T00:00:00Z"/>
        <d v="2022-11-19T00:00:00Z"/>
        <d v="2024-09-21T00:00:00Z"/>
        <d v="2022-04-23T00:00:00Z"/>
        <d v="2024-10-21T00:00:00Z"/>
        <d v="2022-02-12T00:00:00Z"/>
        <d v="2023-11-27T00:00:00Z"/>
        <d v="2025-05-18T00:00:00Z"/>
        <d v="2024-06-24T00:00:00Z"/>
        <d v="2022-07-04T00:00:00Z"/>
        <d v="2022-07-31T00:00:00Z"/>
        <d v="2024-04-17T00:00:00Z"/>
        <d v="2025-09-21T00:00:00Z"/>
        <d v="2024-01-13T00:00:00Z"/>
        <d v="2022-09-26T00:00:00Z"/>
        <d v="2023-09-26T00:00:00Z"/>
        <d v="2023-05-28T00:00:00Z"/>
        <d v="2024-07-12T00:00:00Z"/>
        <d v="2022-03-20T00:00:00Z"/>
        <d v="2023-09-09T00:00:00Z"/>
        <d v="2025-06-13T00:00:00Z"/>
        <d v="2025-07-25T00:00:00Z"/>
        <d v="2023-11-25T00:00:00Z"/>
        <d v="2023-10-09T00:00:00Z"/>
        <d v="2024-06-19T00:00:00Z"/>
        <d v="2023-11-03T00:00:00Z"/>
        <d v="2022-04-28T00:00:00Z"/>
        <d v="2023-05-27T00:00:00Z"/>
        <d v="2022-06-01T00:00:00Z"/>
        <d v="2025-07-30T00:00:00Z"/>
        <d v="2022-05-15T00:00:00Z"/>
        <d v="2023-12-07T00:00:00Z"/>
        <d v="2023-12-10T00:00:00Z"/>
        <d v="2025-05-24T00:00:00Z"/>
        <d v="2023-08-17T00:00:00Z"/>
        <d v="2022-10-22T00:00:00Z"/>
        <d v="2022-10-16T00:00:00Z"/>
        <d v="2024-10-18T00:00:00Z"/>
        <d v="2022-08-09T00:00:00Z"/>
        <d v="2024-03-02T00:00:00Z"/>
        <d v="2023-09-05T00:00:00Z"/>
        <d v="2025-09-04T00:00:00Z"/>
        <d v="2024-05-07T00:00:00Z"/>
        <d v="2024-07-30T00:00:00Z"/>
        <d v="2022-10-27T00:00:00Z"/>
        <d v="2025-04-16T00:00:00Z"/>
        <d v="2022-12-27T00:00:00Z"/>
        <d v="2024-12-09T00:00:00Z"/>
        <d v="2023-08-28T00:00:00Z"/>
        <d v="2022-01-14T00:00:00Z"/>
        <d v="2025-11-06T00:00:00Z"/>
        <d v="2024-02-05T00:00:00Z"/>
        <d v="2022-05-07T00:00:00Z"/>
        <d v="2022-09-28T00:00:00Z"/>
        <d v="2022-05-11T00:00:00Z"/>
        <d v="2024-02-09T00:00:00Z"/>
        <d v="2024-08-06T00:00:00Z"/>
        <d v="2022-04-26T00:00:00Z"/>
        <d v="2025-04-26T00:00:00Z"/>
        <d v="2023-01-12T00:00:00Z"/>
        <d v="2025-04-18T00:00:00Z"/>
        <d v="2023-02-23T00:00:00Z"/>
        <d v="2024-08-19T00:00:00Z"/>
        <d v="2025-01-24T00:00:00Z"/>
        <d v="2022-01-19T00:00:00Z"/>
        <d v="2023-07-17T00:00:00Z"/>
        <d v="2022-06-11T00:00:00Z"/>
        <d v="2025-07-28T00:00:00Z"/>
        <d v="2025-11-02T00:00:00Z"/>
        <d v="2024-03-07T00:00:00Z"/>
        <d v="2022-03-02T00:00:00Z"/>
        <d v="2023-05-20T00:00:00Z"/>
        <d v="2022-07-29T00:00:00Z"/>
        <d v="2024-03-05T00:00:00Z"/>
        <d v="2024-05-12T00:00:00Z"/>
        <d v="2023-11-06T00:00:00Z"/>
        <d v="2023-05-12T00:00:00Z"/>
        <d v="2025-11-19T00:00:00Z"/>
        <d v="2025-04-07T00:00:00Z"/>
        <d v="2024-05-31T00:00:00Z"/>
        <d v="2022-08-03T00:00:00Z"/>
        <d v="2025-11-27T00:00:00Z"/>
        <d v="2025-02-20T00:00:00Z"/>
        <d v="2023-02-26T00:00:00Z"/>
        <d v="2024-03-14T00:00:00Z"/>
        <d v="2022-10-17T00:00:00Z"/>
        <d v="2024-09-27T00:00:00Z"/>
        <d v="2025-03-18T00:00:00Z"/>
        <d v="2024-07-10T00:00:00Z"/>
        <d v="2023-02-28T00:00:00Z"/>
        <d v="2024-04-22T00:00:00Z"/>
        <d v="2024-12-30T00:00:00Z"/>
        <d v="2022-04-10T00:00:00Z"/>
        <d v="2022-07-11T00:00:00Z"/>
        <d v="2022-06-09T00:00:00Z"/>
        <d v="2025-07-10T00:00:00Z"/>
        <d v="2022-10-14T00:00:00Z"/>
        <d v="2023-05-06T00:00:00Z"/>
        <d v="2024-08-22T00:00:00Z"/>
        <d v="2025-08-04T00:00:00Z"/>
        <d v="2023-05-04T00:00:00Z"/>
        <d v="2024-12-07T00:00:00Z"/>
        <d v="2025-07-09T00:00:00Z"/>
        <d v="2022-04-01T00:00:00Z"/>
        <d v="2023-10-18T00:00:00Z"/>
        <d v="2024-07-24T00:00:00Z"/>
        <d v="2022-02-18T00:00:00Z"/>
        <d v="2022-10-19T00:00:00Z"/>
        <d v="2022-05-08T00:00:00Z"/>
        <d v="2022-10-06T00:00:00Z"/>
        <d v="2022-07-05T00:00:00Z"/>
        <d v="2022-12-23T00:00:00Z"/>
        <d v="2024-02-02T00:00:00Z"/>
        <d v="2022-04-14T00:00:00Z"/>
        <d v="2025-06-11T00:00:00Z"/>
        <d v="2024-12-12T00:00:00Z"/>
        <d v="2023-10-16T00:00:00Z"/>
        <d v="2022-04-25T00:00:00Z"/>
        <d v="2023-02-17T00:00:00Z"/>
        <d v="2023-09-11T00:00:00Z"/>
        <d v="2025-11-11T00:00:00Z"/>
        <d v="2022-01-03T00:00:00Z"/>
        <d v="2022-03-10T00:00:00Z"/>
        <d v="2025-08-31T00:00:00Z"/>
        <d v="2022-04-12T00:00:00Z"/>
        <d v="2025-07-31T00:00:00Z"/>
        <d v="2022-04-02T00:00:00Z"/>
        <d v="2023-04-11T00:00:00Z"/>
        <d v="2024-07-08T00:00:00Z"/>
        <d v="2022-05-18T00:00:00Z"/>
        <d v="2025-03-06T00:00:00Z"/>
        <d v="2023-09-29T00:00:00Z"/>
        <d v="2023-02-16T00:00:00Z"/>
        <d v="2025-05-01T00:00:00Z"/>
        <d v="2025-03-17T00:00:00Z"/>
        <d v="2023-09-18T00:00:00Z"/>
        <d v="2024-02-06T00:00:00Z"/>
        <d v="2023-05-08T00:00:00Z"/>
        <d v="2025-12-21T00:00:00Z"/>
        <d v="2023-06-14T00:00:00Z"/>
        <d v="2024-08-07T00:00:00Z"/>
        <d v="2022-11-05T00:00:00Z"/>
        <d v="2024-07-14T00:00:00Z"/>
        <d v="2024-10-27T00:00:00Z"/>
        <d v="2024-04-06T00:00:00Z"/>
        <d v="2025-09-17T00:00:00Z"/>
        <d v="2022-01-20T00:00:00Z"/>
        <d v="2023-02-11T00:00:00Z"/>
        <d v="2022-01-27T00:00:00Z"/>
        <d v="2025-08-18T00:00:00Z"/>
        <d v="2024-05-13T00:00:00Z"/>
        <d v="2025-12-05T00:00:00Z"/>
        <d v="2022-12-05T00:00:00Z"/>
        <d v="2024-07-06T00:00:00Z"/>
        <d v="2025-07-29T00:00:00Z"/>
        <d v="2022-07-19T00:00:00Z"/>
        <d v="2023-02-06T00:00:00Z"/>
        <d v="2022-10-03T00:00:00Z"/>
        <d v="2023-10-05T00:00:00Z"/>
        <d v="2023-12-23T00:00:00Z"/>
        <d v="2023-02-14T00:00:00Z"/>
        <d v="2025-06-24T00:00:00Z"/>
        <d v="2024-11-18T00:00:00Z"/>
        <d v="2025-05-07T00:00:00Z"/>
        <d v="2024-07-01T00:00:00Z"/>
        <d v="2024-02-07T00:00:00Z"/>
        <d v="2023-03-13T00:00:00Z"/>
        <d v="2023-05-31T00:00:00Z"/>
        <d v="2022-05-10T00:00:00Z"/>
        <d v="2022-03-05T00:00:00Z"/>
        <d v="2025-05-06T00:00:00Z"/>
        <d v="2023-02-02T00:00:00Z"/>
        <d v="2025-04-04T00:00:00Z"/>
        <d v="2025-11-21T00:00:00Z"/>
        <d v="2025-10-23T00:00:00Z"/>
        <d v="2023-06-24T00:00:00Z"/>
        <d v="2024-01-20T00:00:00Z"/>
        <d v="2024-01-27T00:00:00Z"/>
        <d v="2023-12-08T00:00:00Z"/>
        <d v="2022-08-31T00:00:00Z"/>
        <d v="2022-11-26T00:00:00Z"/>
        <d v="2023-04-16T00:00:00Z"/>
        <d v="2022-09-24T00:00:00Z"/>
        <d v="2023-12-19T00:00:00Z"/>
        <d v="2022-01-15T00:00:00Z"/>
        <d v="2025-03-02T00:00:00Z"/>
        <d v="2025-12-15T00:00:00Z"/>
        <d v="2022-01-11T00:00:00Z"/>
        <d v="2023-08-10T00:00:00Z"/>
        <d v="2024-11-22T00:00:00Z"/>
        <d v="2022-02-01T00:00:00Z"/>
        <d v="2022-12-25T00:00:00Z"/>
        <d v="2023-05-14T00:00:00Z"/>
        <d v="2024-11-23T00:00:00Z"/>
        <d v="2023-01-10T00:00:00Z"/>
        <d v="2022-06-10T00:00:00Z"/>
        <d v="2023-07-28T00:00:00Z"/>
        <d v="2024-11-27T00:00:00Z"/>
        <d v="2023-12-04T00:00:00Z"/>
        <d v="2023-07-07T00:00:00Z"/>
        <d v="2025-03-08T00:00:00Z"/>
        <d v="2023-06-12T00:00:00Z"/>
        <d v="2024-09-25T00:00:00Z"/>
        <d v="2023-04-13T00:00:00Z"/>
        <d v="2022-02-17T00:00:00Z"/>
        <d v="2022-06-20T00:00:00Z"/>
        <d v="2022-02-28T00:00:00Z"/>
        <d v="2024-12-31T00:00:00Z"/>
        <d v="2024-06-14T00:00:00Z"/>
        <d v="2023-07-05T00:00:00Z"/>
        <d v="2024-10-17T00:00:00Z"/>
        <d v="2024-02-21T00:00:00Z"/>
        <d v="2023-10-02T00:00:00Z"/>
        <d v="2022-08-20T00:00:00Z"/>
        <d v="2025-08-13T00:00:00Z"/>
        <d v="2025-01-18T00:00:00Z"/>
        <d v="2025-06-09T00:00:00Z"/>
        <d v="2025-03-15T00:00:00Z"/>
        <d v="2022-06-13T00:00:00Z"/>
        <d v="2024-11-29T00:00:00Z"/>
        <d v="2024-01-04T00:00:00Z"/>
        <d v="2025-01-31T00:00:00Z"/>
        <d v="2024-03-24T00:00:00Z"/>
        <d v="2023-12-30T00:00:00Z"/>
        <d v="2024-09-26T00:00:00Z"/>
        <d v="2025-08-29T00:00:00Z"/>
        <d v="2024-03-15T00:00:00Z"/>
        <d v="2024-10-24T00:00:00Z"/>
        <d v="2024-05-30T00:00:00Z"/>
        <d v="2025-06-16T00:00:00Z"/>
        <d v="2023-08-13T00:00:00Z"/>
        <d v="2025-11-24T00:00:00Z"/>
        <d v="2022-05-17T00:00:00Z"/>
        <d v="2024-12-24T00:00:00Z"/>
        <d v="2023-12-22T00:00:00Z"/>
        <d v="2024-02-22T00:00:00Z"/>
        <d v="2025-01-13T00:00:00Z"/>
        <d v="2025-11-08T00:00:00Z"/>
        <d v="2023-04-09T00:00:00Z"/>
        <d v="2024-05-25T00:00:00Z"/>
        <d v="2022-03-28T00:00:00Z"/>
        <d v="2023-01-02T00:00:00Z"/>
        <d v="2025-07-22T00:00:00Z"/>
        <d v="2022-11-04T00:00:00Z"/>
        <d v="2023-06-03T00:00:00Z"/>
        <d v="2025-05-20T00:00:00Z"/>
        <d v="2022-03-15T00:00:00Z"/>
        <d v="2023-03-06T00:00:00Z"/>
        <d v="2023-06-16T00:00:00Z"/>
        <d v="2022-01-04T00:00:00Z"/>
        <d v="2023-07-31T00:00:00Z"/>
        <d v="2023-11-24T00:00:00Z"/>
        <d v="2025-03-03T00:00:00Z"/>
        <d v="2022-12-06T00:00:00Z"/>
        <d v="2023-03-19T00:00:00Z"/>
        <d v="2024-12-08T00:00:00Z"/>
        <d v="2023-08-04T00:00:00Z"/>
        <d v="2024-05-23T00:00:00Z"/>
        <d v="2025-12-01T00:00:00Z"/>
        <d v="2022-08-08T00:00:00Z"/>
        <d v="2025-11-22T00:00:00Z"/>
        <d v="2023-10-29T00:00:00Z"/>
        <d v="2022-01-02T00:00:00Z"/>
        <d v="2024-09-23T00:00:00Z"/>
        <d v="2024-05-19T00:00:00Z"/>
        <d v="2025-11-15T00:00:00Z"/>
        <d v="2025-03-30T00:00:00Z"/>
        <d v="2023-07-18T00:00:00Z"/>
        <d v="2022-10-25T00:00:00Z"/>
        <d v="2022-08-26T00:00:00Z"/>
        <d v="2022-01-25T00:00:00Z"/>
        <d v="2022-07-21T00:00:00Z"/>
        <d v="2022-09-07T00:00:00Z"/>
        <d v="2024-05-24T00:00:00Z"/>
        <d v="2022-12-31T00:00:00Z"/>
        <d v="2022-03-13T00:00:00Z"/>
        <d v="2024-03-12T00:00:00Z"/>
        <d v="2024-02-26T00:00:00Z"/>
        <d v="2025-09-01T00:00:00Z"/>
        <d v="2022-04-04T00:00:00Z"/>
        <d v="2025-06-14T00:00:00Z"/>
        <d v="2022-12-22T00:00:00Z"/>
        <d v="2025-07-18T00:00:00Z"/>
        <d v="2022-10-21T00:00:00Z"/>
        <d v="2025-02-16T00:00:00Z"/>
        <d v="2025-11-04T00:00:00Z"/>
        <d v="2025-01-05T00:00:00Z"/>
        <d v="2024-07-20T00:00:00Z"/>
        <d v="2024-08-11T00:00:00Z"/>
        <d v="2024-09-28T00:00:00Z"/>
        <d v="2022-03-24T00:00:00Z"/>
        <d v="2024-01-05T00:00:00Z"/>
        <d v="2023-01-14T00:00:00Z"/>
        <d v="2025-01-15T00:00:00Z"/>
        <d v="2025-02-18T00:00:00Z"/>
        <d v="2024-10-28T00:00:00Z"/>
        <d v="2025-10-10T00:00:00Z"/>
        <d v="2023-04-21T00:00:00Z"/>
        <d v="2023-08-14T00:00:00Z"/>
        <d v="2023-10-11T00:00:00Z"/>
        <d v="2022-02-21T00:00:00Z"/>
        <d v="2025-03-20T00:00:00Z"/>
        <d v="2023-03-28T00:00:00Z"/>
        <d v="2023-02-03T00:00:00Z"/>
        <d v="2023-09-23T00:00:00Z"/>
        <d v="2022-06-26T00:00:00Z"/>
        <d v="2022-10-08T00:00:00Z"/>
        <d v="2022-11-12T00:00:00Z"/>
        <d v="2025-05-11T00:00:00Z"/>
        <d v="2023-10-17T00:00:00Z"/>
        <d v="2022-07-13T00:00:00Z"/>
        <d v="2024-09-20T00:00:00Z"/>
        <d v="2022-08-27T00:00:00Z"/>
        <d v="2024-11-17T00:00:00Z"/>
        <d v="2022-12-18T00:00:00Z"/>
        <d v="2024-05-18T00:00:00Z"/>
        <d v="2022-06-18T00:00:00Z"/>
        <d v="2024-09-01T00:00:00Z"/>
        <d v="2022-07-28T00:00:00Z"/>
        <d v="2022-05-20T00:00:00Z"/>
        <d v="2023-08-25T00:00:00Z"/>
        <d v="2025-10-14T00:00:00Z"/>
        <d v="2023-10-19T00:00:00Z"/>
        <d v="2023-12-21T00:00:00Z"/>
        <d v="2024-08-01T00:00:00Z"/>
        <d v="2023-03-15T00:00:00Z"/>
        <d v="2024-07-17T00:00:00Z"/>
        <d v="2024-08-05T00:00:00Z"/>
        <d v="2025-11-07T00:00:00Z"/>
        <d v="2022-10-07T00:00:00Z"/>
        <d v="2024-01-15T00:00:00Z"/>
        <d v="2025-05-13T00:00:00Z"/>
        <d v="2025-04-22T00:00:00Z"/>
        <d v="2023-09-24T00:00:00Z"/>
        <d v="2022-01-17T00:00:00Z"/>
        <d v="2024-10-03T00:00:00Z"/>
        <d v="2022-04-17T00:00:00Z"/>
        <d v="2025-08-22T00:00:00Z"/>
        <d v="2023-01-08T00:00:00Z"/>
        <d v="2025-05-14T00:00:00Z"/>
        <d v="2023-06-30T00:00:00Z"/>
        <d v="2022-05-30T00:00:00Z"/>
        <d v="2025-10-06T00:00:00Z"/>
        <d v="2022-10-18T00:00:00Z"/>
        <d v="2024-06-12T00:00:00Z"/>
        <d v="2023-01-05T00:00:00Z"/>
        <d v="2022-02-23T00:00:00Z"/>
        <d v="2024-06-04T00:00:00Z"/>
        <d v="2024-12-10T00:00:00Z"/>
        <d v="2022-06-06T00:00:00Z"/>
        <d v="2023-01-03T00:00:00Z"/>
        <d v="2025-05-22T00:00:00Z"/>
        <d v="2025-06-17T00:00:00Z"/>
        <d v="2025-08-20T00:00:00Z"/>
        <d v="2022-11-28T00:00:00Z"/>
        <d v="2025-02-14T00:00:00Z"/>
        <d v="2023-06-13T00:00:00Z"/>
        <d v="2023-11-17T00:00:00Z"/>
        <d v="2024-04-29T00:00:00Z"/>
        <d v="2022-01-21T00:00:00Z"/>
        <d v="2025-12-06T00:00:00Z"/>
        <d v="2025-08-21T00:00:00Z"/>
        <d v="2025-08-26T00:00:00Z"/>
        <d v="2025-03-19T00:00:00Z"/>
        <d v="2024-04-23T00:00:00Z"/>
        <d v="2024-05-17T00:00:00Z"/>
        <d v="2022-11-18T00:00:00Z"/>
        <d v="2023-09-14T00:00:00Z"/>
        <d v="2024-05-05T00:00:00Z"/>
        <d v="2022-02-20T00:00:00Z"/>
        <d v="2022-02-08T00:00:00Z"/>
        <d v="2022-07-03T00:00:00Z"/>
        <d v="2023-10-26T00:00:00Z"/>
        <d v="2023-07-14T00:00:00Z"/>
        <d v="2022-09-09T00:00:00Z"/>
        <d v="2024-06-29T00:00:00Z"/>
        <d v="2025-12-12T00:00:00Z"/>
        <d v="2022-05-14T00:00:00Z"/>
        <d v="2025-08-05T00:00:00Z"/>
        <d v="2024-12-26T00:00:00Z"/>
        <d v="2022-05-09T00:00:00Z"/>
        <d v="2025-09-13T00:00:00Z"/>
        <d v="2025-05-03T00:00:00Z"/>
        <d v="2022-05-04T00:00:00Z"/>
        <d v="2025-11-17T00:00:00Z"/>
        <d v="2025-08-01T00:00:00Z"/>
        <d v="2022-03-03T00:00:00Z"/>
        <d v="2023-05-19T00:00:00Z"/>
        <d v="2025-07-26T00:00:00Z"/>
        <d v="2025-03-16T00:00:00Z"/>
        <d v="2024-05-22T00:00:00Z"/>
        <d v="2023-08-27T00:00:00Z"/>
        <d v="2024-04-07T00:00:00Z"/>
        <d v="2023-11-29T00:00:00Z"/>
        <d v="2025-03-09T00:00:00Z"/>
        <d v="2023-02-27T00:00:00Z"/>
        <d v="2023-09-02T00:00:00Z"/>
        <d v="2022-07-25T00:00:00Z"/>
        <d v="2023-02-18T00:00:00Z"/>
        <d v="2022-01-31T00:00:00Z"/>
        <d v="2023-09-10T00:00:00Z"/>
        <d v="2025-11-09T00:00:00Z"/>
        <d v="2022-09-12T00:00:00Z"/>
        <d v="2025-05-09T00:00:00Z"/>
        <d v="2022-04-21T00:00:00Z"/>
        <d v="2025-07-23T00:00:00Z"/>
        <d v="2025-05-25T00:00:00Z"/>
        <d v="2025-06-02T00:00:00Z"/>
        <d v="2024-03-19T00:00:00Z"/>
        <d v="2023-12-15T00:00:00Z"/>
        <d v="2022-02-27T00:00:00Z"/>
        <d v="2024-03-25T00:00:00Z"/>
        <d v="2022-07-02T00:00:00Z"/>
        <d v="2024-07-11T00:00:00Z"/>
        <d v="2022-09-13T00:00:00Z"/>
        <d v="2025-09-24T00:00:00Z"/>
        <d v="2022-09-10T00:00:00Z"/>
        <d v="2022-09-16T00:00:00Z"/>
        <d v="2022-11-09T00:00:00Z"/>
        <d v="2022-10-09T00:00:00Z"/>
        <d v="2023-05-09T00:00:00Z"/>
        <d v="2022-06-19T00:00:00Z"/>
        <d v="2025-12-10T00:00:00Z"/>
        <d v="2025-01-08T00:00:00Z"/>
        <d v="2025-03-23T00:00:00Z"/>
        <d v="2022-01-01T00:00:00Z"/>
        <d v="2022-06-02T00:00:00Z"/>
        <d v="2023-07-06T00:00:00Z"/>
        <d v="2024-02-15T00:00:00Z"/>
        <d v="2023-10-14T00:00:00Z"/>
        <d v="2023-07-02T00:00:00Z"/>
        <d v="2024-12-02T00:00:00Z"/>
        <d v="2022-06-23T00:00:00Z"/>
        <d v="2022-01-05T00:00:00Z"/>
        <d v="2024-06-07T00:00:00Z"/>
        <d v="2023-06-29T00:00:00Z"/>
        <d v="2022-11-15T00:00:00Z"/>
        <d v="2024-05-28T00:00:00Z"/>
        <d v="2025-06-05T00:00:00Z"/>
        <d v="2022-07-06T00:00:00Z"/>
        <d v="2023-07-29T00:00:00Z"/>
        <d v="2022-07-26T00:00:00Z"/>
        <d v="2023-01-26T00:00:00Z"/>
        <d v="2025-02-01T00:00:00Z"/>
        <d v="2022-02-14T00:00:00Z"/>
        <d v="2023-08-30T00:00:00Z"/>
        <d v="2025-08-08T00:00:00Z"/>
        <d v="2023-10-27T00:00:00Z"/>
        <d v="2024-07-29T00:00:00Z"/>
        <d v="2023-05-18T00:00:00Z"/>
        <d v="2023-07-03T00:00:00Z"/>
        <d v="2022-11-13T00:00:00Z"/>
        <d v="2022-02-19T00:00:00Z"/>
        <d v="2024-01-02T00:00:00Z"/>
        <d v="2024-07-03T00:00:00Z"/>
        <d v="2024-09-12T00:00:00Z"/>
        <d v="2023-12-17T00:00:00Z"/>
        <d v="2022-01-26T00:00:00Z"/>
        <d v="2023-07-11T00:00:00Z"/>
        <d v="2025-08-07T00:00:00Z"/>
        <d v="2025-01-14T00:00:00Z"/>
        <d v="2022-07-10T00:00:00Z"/>
        <d v="2023-04-20T00:00:00Z"/>
        <d v="2025-10-30T00:00:00Z"/>
        <d v="2022-12-14T00:00:00Z"/>
        <d v="2022-09-11T00:00:00Z"/>
        <d v="2024-08-04T00:00:00Z"/>
        <d v="2023-10-12T00:00:00Z"/>
        <d v="2024-02-18T00:00:00Z"/>
        <d v="2024-04-09T00:00:00Z"/>
        <d v="2022-12-03T00:00:00Z"/>
        <d v="2025-01-20T00:00:00Z"/>
        <d v="2023-12-20T00:00:00Z"/>
        <d v="2023-01-30T00:00:00Z"/>
        <d v="2024-10-29T00:00:00Z"/>
        <d v="2022-11-10T00:00:00Z"/>
        <d v="2023-03-07T00:00:00Z"/>
        <d v="2024-09-18T00:00:00Z"/>
        <d v="2023-03-21T00:00:00Z"/>
        <d v="2025-05-21T00:00:00Z"/>
        <d v="2023-10-06T00:00:00Z"/>
        <d v="2023-03-22T00:00:00Z"/>
        <d v="2022-04-06T00:00:00Z"/>
        <d v="2024-04-04T00:00:00Z"/>
        <d v="2023-10-04T00:00:00Z"/>
        <d v="2024-12-16T00:00:00Z"/>
        <d v="2023-03-04T00:00:00Z"/>
        <d v="2024-05-16T00:00:00Z"/>
        <d v="2024-12-23T00:00:00Z"/>
        <d v="2022-07-20T00:00:00Z"/>
        <d v="2025-08-16T00:00:00Z"/>
        <d v="2023-03-27T00:00:00Z"/>
        <d v="2025-06-28T00:00:00Z"/>
        <d v="2023-12-24T00:00:00Z"/>
        <d v="2024-06-06T00:00:00Z"/>
        <d v="2023-12-28T00:00:00Z"/>
        <d v="2025-10-31T00:00:00Z"/>
        <d v="2024-06-13T00:00:00Z"/>
        <d v="2022-01-13T00:00:00Z"/>
        <d v="2022-05-05T00:00:00Z"/>
        <d v="2024-03-11T00:00:00Z"/>
        <d v="2025-09-07T00:00:00Z"/>
        <d v="2025-09-05T00:00:00Z"/>
        <d v="2025-09-11T00:00:00Z"/>
        <d v="2022-11-22T00:00:00Z"/>
        <d v="2022-05-12T00:00:00Z"/>
        <d v="2025-03-21T00:00:00Z"/>
        <d v="2022-07-17T00:00:00Z"/>
        <d v="2024-10-22T00:00:00Z"/>
        <d v="2023-04-18T00:00:00Z"/>
        <d v="2022-05-02T00:00:00Z"/>
        <d v="2022-06-15T00:00:00Z"/>
        <d v="2022-02-13T00:00:00Z"/>
        <d v="2022-04-27T00:00:00Z"/>
        <d v="2022-06-07T00:00:00Z"/>
        <d v="2022-06-25T00:00:00Z"/>
        <d v="2023-10-20T00:00:00Z"/>
        <d v="2023-07-21T00:00:00Z"/>
        <d v="2023-01-13T00:00:00Z"/>
        <d v="2022-08-12T00:00:00Z"/>
        <d v="2025-05-28T00:00:00Z"/>
        <d v="2025-03-24T00:00:00Z"/>
        <d v="2024-11-01T00:00:00Z"/>
        <d v="2023-08-11T00:00:00Z"/>
        <d v="2025-02-09T00:00:00Z"/>
        <d v="2024-11-07T00:00:00Z"/>
        <d v="2023-01-01T00:00:00Z"/>
        <d v="2025-01-10T00:00:00Z"/>
        <d v="2025-12-17T00:00:00Z"/>
        <d v="2023-11-18T00:00:00Z"/>
        <d v="2022-08-19T00:00:00Z"/>
        <d v="2024-05-20T00:00:00Z"/>
        <d v="2023-05-22T00:00:00Z"/>
        <d v="2024-03-17T00:00:00Z"/>
        <d v="2025-07-14T00:00:00Z"/>
        <d v="2023-10-22T00:00:00Z"/>
        <d v="2022-12-07T00:00:00Z"/>
        <d v="2024-06-10T00:00:00Z"/>
        <d v="2024-08-24T00:00:00Z"/>
        <d v="2022-01-12T00:00:00Z"/>
        <d v="2023-04-08T00:00:00Z"/>
        <d v="2023-03-20T00:00:00Z"/>
        <d v="2023-09-12T00:00:00Z"/>
        <d v="2023-07-23T00:00:00Z"/>
        <d v="2025-10-04T00:00:00Z"/>
        <d v="2022-07-12T00:00:00Z"/>
        <d v="2025-05-29T00:00:00Z"/>
        <d v="2022-09-02T00:00:00Z"/>
        <d v="2024-01-21T00:00:00Z"/>
        <d v="2023-01-09T00:00:00Z"/>
        <d v="2023-01-27T00:00:00Z"/>
        <d v="2024-02-29T00:00:00Z"/>
        <d v="2025-07-13T00:00:00Z"/>
        <d v="2024-07-23T00:00:00Z"/>
        <d v="2024-11-04T00:00:00Z"/>
        <d v="2023-04-29T00:00:00Z"/>
        <d v="2025-09-30T00:00:00Z"/>
        <d v="2024-10-20T00:00:00Z"/>
        <d v="2024-09-22T00:00:00Z"/>
        <d v="2024-05-04T00:00:00Z"/>
        <d v="2025-07-20T00:00:00Z"/>
        <d v="2025-06-01T00:00:00Z"/>
        <d v="2023-01-16T00:00:00Z"/>
        <d v="2025-07-24T00:00:00Z"/>
        <d v="2025-09-15T00:00:00Z"/>
        <d v="2022-12-08T00:00:00Z"/>
        <d v="2022-08-15T00:00:00Z"/>
        <d v="2023-11-16T00:00:00Z"/>
        <d v="2024-07-26T00:00:00Z"/>
        <d v="2024-06-27T00:00:00Z"/>
        <d v="2025-07-12T00:00:00Z"/>
        <d v="2024-09-15T00:00:00Z"/>
        <d v="2023-09-13T00:00:00Z"/>
        <d v="2025-02-07T00:00:00Z"/>
        <d v="2022-12-30T00:00:00Z"/>
        <d v="2022-04-15T00:00:00Z"/>
        <d v="2024-11-19T00:00:00Z"/>
        <d v="2025-08-15T00:00:00Z"/>
        <d v="2025-08-02T00:00:00Z"/>
        <d v="2024-07-02T00:00:00Z"/>
        <d v="2024-07-13T00:00:00Z"/>
        <d v="2024-03-09T00:00:00Z"/>
        <d v="2023-07-10T00:00:00Z"/>
        <d v="2022-09-20T00:00:00Z"/>
        <d v="2024-11-28T00:00:00Z"/>
        <d v="2025-09-12T00:00:00Z"/>
        <d v="2024-02-28T00:00:00Z"/>
        <d v="2025-07-11T00:00:00Z"/>
        <d v="2022-08-16T00:00:00Z"/>
        <d v="2023-03-31T00:00:00Z"/>
        <d v="2023-07-19T00:00:00Z"/>
        <d v="2023-12-01T00:00:00Z"/>
        <d v="2024-01-01T00:00:00Z"/>
        <d v="2025-09-29T00:00:00Z"/>
        <d v="2023-12-13T00:00:00Z"/>
        <d v="2023-05-03T00:00:00Z"/>
        <d v="2023-10-24T00:00:00Z"/>
        <d v="2024-06-25T00:00:00Z"/>
        <d v="2024-11-05T00:00:00Z"/>
        <d v="2024-07-31T00:00:00Z"/>
        <d v="2023-07-20T00:00:00Z"/>
        <d v="2024-06-11T00:00:00Z"/>
        <d v="2022-11-27T00:00:00Z"/>
        <d v="2023-06-18T00:00:00Z"/>
        <d v="2022-12-12T00:00:00Z"/>
        <d v="2023-08-20T00:00:00Z"/>
        <d v="2025-10-01T00:00:00Z"/>
        <d v="2024-12-15T00:00:00Z"/>
        <d v="2024-10-01T00:00:00Z"/>
        <d v="2022-06-27T00:00:00Z"/>
        <d v="2024-01-30T00:00:00Z"/>
        <d v="2022-12-26T00:00:00Z"/>
        <d v="2025-06-20T00:00:00Z"/>
        <d v="2025-07-27T00:00:00Z"/>
        <d v="2024-06-28T00:00:00Z"/>
        <d v="2024-04-16T00:00:00Z"/>
        <d v="2023-02-10T00:00:00Z"/>
        <d v="2022-04-19T00:00:00Z"/>
        <d v="2022-10-28T00:00:00Z"/>
        <d v="2024-07-05T00:00:00Z"/>
        <d v="2024-12-01T00:00:00Z"/>
        <d v="2022-09-25T00:00:00Z"/>
        <d v="2022-05-25T00:00:00Z"/>
        <d v="2022-01-08T00:00:00Z"/>
        <d v="2025-10-16T00:00:00Z"/>
        <d v="2023-01-21T00:00:00Z"/>
        <d v="2024-07-15T00:00:00Z"/>
        <d v="2022-12-20T00:00:00Z"/>
        <d v="2025-01-30T00:00:00Z"/>
        <d v="2024-09-03T00:00:00Z"/>
        <d v="2022-09-23T00:00:00Z"/>
        <d v="2023-04-24T00:00:00Z"/>
        <d v="2023-01-31T00:00:00Z"/>
        <d v="2024-09-19T00:00:00Z"/>
        <d v="2024-09-04T00:00:00Z"/>
        <d v="2025-03-10T00:00:00Z"/>
        <d v="2024-11-12T00:00:00Z"/>
        <d v="2025-08-27T00:00:00Z"/>
        <d v="2024-03-06T00:00:00Z"/>
        <d v="2022-04-13T00:00:00Z"/>
        <d v="2022-06-05T00:00:00Z"/>
        <d v="2024-02-12T00:00:00Z"/>
        <d v="2024-01-23T00:00:00Z"/>
        <d v="2023-08-22T00:00:00Z"/>
        <d v="2025-10-25T00:00:00Z"/>
        <d v="2022-06-17T00:00:00Z"/>
        <d v="2024-02-04T00:00:00Z"/>
        <d v="2023-08-29T00:00:00Z"/>
        <d v="2023-09-15T00:00:00Z"/>
        <d v="2025-07-16T00:00:00Z"/>
        <d v="2025-04-30T00:00:00Z"/>
        <d v="2024-11-24T00:00:00Z"/>
        <d v="2023-05-26T00:00:00Z"/>
        <d v="2023-07-26T00:00:00Z"/>
        <d v="2023-01-18T00:00:00Z"/>
        <d v="2023-09-08T00:00:00Z"/>
        <d v="2024-11-10T00:00:00Z"/>
        <d v="2022-03-29T00:00:00Z"/>
        <d v="2023-09-20T00:00:00Z"/>
        <d v="2025-01-16T00:00:00Z"/>
        <d v="2024-10-14T00:00:00Z"/>
        <d v="2022-01-07T00:00:00Z"/>
        <d v="2025-05-04T00:00:00Z"/>
        <d v="2025-03-14T00:00:00Z"/>
        <d v="2023-02-25T00:00:00Z"/>
        <d v="2024-09-07T00:00:00Z"/>
        <d v="2022-07-09T00:00:00Z"/>
        <d v="2023-07-12T00:00:00Z"/>
        <d v="2023-09-04T00:00:00Z"/>
        <d v="2024-09-08T00:00:00Z"/>
        <d v="2024-12-03T00:00:00Z"/>
        <d v="2023-06-07T00:00:00Z"/>
        <d v="2023-12-03T00:00:00Z"/>
        <d v="2024-08-08T00:00:00Z"/>
        <d v="2022-05-16T00:00:00Z"/>
        <d v="2024-03-22T00:00:00Z"/>
        <d v="2022-01-18T00:00:00Z"/>
        <d v="2022-05-27T00:00:00Z"/>
        <d v="2024-08-26T00:00:00Z"/>
        <d v="2022-03-17T00:00:00Z"/>
        <d v="2024-04-19T00:00:00Z"/>
        <d v="2022-03-06T00:00:00Z"/>
        <d v="2025-07-17T00:00:00Z"/>
        <d v="2025-04-24T00:00:00Z"/>
        <d v="2025-04-01T00:00:00Z"/>
        <d v="2025-02-22T00:00:00Z"/>
        <d v="2025-01-28T00:00:00Z"/>
        <d v="2023-02-12T00:00:00Z"/>
        <d v="2025-05-02T00:00:00Z"/>
        <d v="2022-08-07T00:00:00Z"/>
        <d v="2023-09-07T00:00:00Z"/>
        <d v="2023-11-15T00:00:00Z"/>
        <d v="2022-03-25T00:00:00Z"/>
        <d v="2024-04-11T00:00:00Z"/>
        <d v="2024-10-16T00:00:00Z"/>
        <d v="2023-04-26T00:00:00Z"/>
        <d v="2023-09-28T00:00:00Z"/>
        <d v="2022-11-02T00:00:00Z"/>
        <d v="2022-05-29T00:00:00Z"/>
        <d v="2025-08-09T00:00:00Z"/>
        <d v="2023-03-05T00:00:00Z"/>
        <d v="2025-12-03T00:00:00Z"/>
        <d v="2024-06-30T00:00:00Z"/>
        <d v="2023-11-26T00:00:00Z"/>
        <d v="2024-05-14T00:00:00Z"/>
        <d v="2025-05-23T00:00:00Z"/>
        <d v="2022-04-07T00:00:00Z"/>
        <d v="2023-11-28T00:00:00Z"/>
        <d v="2023-05-10T00:00:00Z"/>
        <d v="2025-08-11T00:00:00Z"/>
        <d v="2023-09-30T00:00:00Z"/>
        <d v="2022-10-13T00:00:00Z"/>
        <d v="2022-03-16T00:00:00Z"/>
        <d v="2022-04-05T00:00:00Z"/>
        <d v="2022-02-25T00:00:00Z"/>
        <d v="2024-01-29T00:00:00Z"/>
        <d v="2024-07-16T00:00:00Z"/>
        <d v="2024-07-25T00:00:00Z"/>
        <d v="2022-10-29T00:00:00Z"/>
        <d v="2025-06-07T00:00:00Z"/>
        <d v="2024-01-25T00:00:00Z"/>
        <d v="2022-02-16T00:00:00Z"/>
        <d v="2022-08-11T00:00:00Z"/>
        <d v="2025-01-03T00:00:00Z"/>
        <d v="2025-01-09T00:00:00Z"/>
        <d v="2024-01-18T00:00:00Z"/>
        <d v="2025-02-15T00:00:00Z"/>
        <d v="2025-07-06T00:00:00Z"/>
        <d v="2025-09-06T00:00:00Z"/>
        <d v="2025-07-01T00:00:00Z"/>
        <d v="2022-12-10T00:00:00Z"/>
        <d v="2025-06-06T00:00:00Z"/>
        <d v="2023-12-05T00:00:00Z"/>
        <d v="2025-04-10T00:00:00Z"/>
        <d v="2025-04-19T00:00:00Z"/>
        <d v="2024-08-23T00:00:00Z"/>
        <d v="2025-08-14T00:00:00Z"/>
        <d v="2025-08-30T00:00:00Z"/>
        <d v="2023-03-25T00:00:00Z"/>
        <d v="2023-11-01T00:00:00Z"/>
        <d v="2023-06-28T00:00:00Z"/>
        <d v="2024-03-18T00:00:00Z"/>
        <d v="2022-11-30T00:00:00Z"/>
        <d v="2023-07-22T00:00:00Z"/>
        <d v="2023-08-06T00:00:00Z"/>
        <d v="2024-10-13T00:00:00Z"/>
        <d v="2023-03-11T00:00:00Z"/>
        <d v="2025-08-03T00:00:00Z"/>
        <d v="2023-05-30T00:00:00Z"/>
        <d v="2024-12-17T00:00:00Z"/>
        <d v="2023-02-15T00:00:00Z"/>
        <d v="2025-12-20T00:00:00Z"/>
        <d v="2022-11-21T00:00:00Z"/>
        <d v="2023-12-31T00:00:00Z"/>
        <d v="2025-10-05T00:00:00Z"/>
        <d v="2022-07-01T00:00:00Z"/>
        <d v="2023-06-27T00:00:00Z"/>
        <d v="2025-04-02T00:00:00Z"/>
        <d v="2023-06-06T00:00:00Z"/>
        <d v="2025-01-07T00:00:00Z"/>
        <d v="2024-06-20T00:00:00Z"/>
        <d v="2024-09-05T00:00:00Z"/>
        <d v="2023-01-29T00:00:00Z"/>
        <d v="2022-09-19T00:00:00Z"/>
        <d v="2023-07-04T00:00:00Z"/>
        <d v="2023-01-28T00:00:00Z"/>
        <d v="2022-03-27T00:00:00Z"/>
        <d v="2022-12-19T00:00:00Z"/>
        <d v="2024-03-01T00:00:00Z"/>
        <d v="2024-07-09T00:00:00Z"/>
        <d v="2023-08-15T00:00:00Z"/>
        <d v="2022-06-08T00:00:00Z"/>
        <d v="2023-07-25T00:00:00Z"/>
        <d v="2024-06-21T00:00:00Z"/>
        <d v="2024-01-08T00:00:00Z"/>
        <d v="2025-06-25T00:00:00Z"/>
        <d v="2022-01-22T00:00:00Z"/>
        <d v="2025-09-26T00:00:00Z"/>
        <d v="2025-03-12T00:00:00Z"/>
        <d v="2024-10-02T00:00:00Z"/>
        <d v="2023-11-09T00:00:00Z"/>
        <d v="2023-01-17T00:00:00Z"/>
        <d v="2022-01-09T00:00:00Z"/>
        <d v="2025-05-31T00:00:00Z"/>
        <d v="2022-11-29T00:00:00Z"/>
        <d v="2025-07-08T00:00:00Z"/>
        <d v="2024-10-23T00:00:00Z"/>
        <d v="2024-05-03T00:00:00Z"/>
        <d v="2023-06-08T00:00:00Z"/>
        <d v="2023-02-05T00:00:00Z"/>
        <d v="2022-12-13T00:00:00Z"/>
        <d v="2024-10-06T00:00:00Z"/>
        <d v="2024-03-23T00:00:00Z"/>
        <d v="2022-02-04T00:00:00Z"/>
        <d v="2024-09-17T00:00:00Z"/>
        <d v="2025-10-08T00:00:00Z"/>
        <d v="2022-08-14T00:00:00Z"/>
        <d v="2024-04-27T00:00:00Z"/>
        <d v="2025-04-21T00:00:00Z"/>
        <d v="2025-09-08T00:00:00Z"/>
        <d v="2022-08-01T00:00:00Z"/>
        <d v="2024-04-25T00:00:00Z"/>
        <d v="2022-10-31T00:00:00Z"/>
        <d v="2025-02-05T00:00:00Z"/>
        <d v="2023-06-04T00:00:00Z"/>
        <d v="2023-08-23T00:00:00Z"/>
        <d v="2025-05-15T00:00:00Z"/>
        <d v="2025-10-22T00:00:00Z"/>
        <d v="2022-02-07T00:00:00Z"/>
        <d v="2023-08-31T00:00:00Z"/>
        <d v="2023-04-02T00:00:00Z"/>
        <d v="2025-04-08T00:00:00Z"/>
        <d v="2025-05-05T00:00:00Z"/>
        <d v="2022-12-17T00:00:00Z"/>
        <d v="2023-05-23T00:00:00Z"/>
        <d v="2024-11-06T00:00:00Z"/>
        <d v="2022-03-30T00:00:00Z"/>
        <d v="2022-08-28T00:00:00Z"/>
        <d v="2025-02-06T00:00:00Z"/>
        <d v="2023-06-19T00:00:00Z"/>
        <d v="2024-04-28T00:00:00Z"/>
        <d v="2024-03-16T00:00:00Z"/>
        <d v="2025-12-09T00:00:00Z"/>
        <d v="2024-09-09T00:00:00Z"/>
        <d v="2023-06-11T00:00:00Z"/>
        <d v="2023-01-20T00:00:00Z"/>
        <d v="2022-02-10T00:00:00Z"/>
        <d v="2024-03-31T00:00:00Z"/>
        <d v="2025-06-21T00:00:00Z"/>
        <d v="2023-06-10T00:00:00Z"/>
        <d v="2023-06-17T00:00:00Z"/>
        <d v="2022-09-03T00:00:00Z"/>
        <d v="2025-08-28T00:00:00Z"/>
        <d v="2022-12-15T00:00:00Z"/>
        <d v="2022-10-23T00:00:00Z"/>
        <d v="2024-10-12T00:00:00Z"/>
        <d v="2024-06-02T00:00:00Z"/>
        <d v="2024-05-11T00:00:00Z"/>
        <d v="2025-11-18T00:00:00Z"/>
        <d v="2024-04-08T00:00:00Z"/>
        <d v="2023-02-13T00:00:00Z"/>
        <d v="2024-04-05T00:00:00Z"/>
        <d v="2023-05-16T00:00:00Z"/>
        <d v="2024-02-08T00:00:00Z"/>
        <d v="2022-02-02T00:00:00Z"/>
        <d v="2022-12-28T00:00:00Z"/>
        <d v="2022-09-14T00:00:00Z"/>
        <d v="2022-07-27T00:00:00Z"/>
        <d v="2024-03-30T00:00:00Z"/>
        <d v="2022-03-08T00:00:00Z"/>
        <d v="2022-09-04T00:00:00Z"/>
        <d v="2024-08-16T00:00:00Z"/>
        <d v="2025-10-18T00:00:00Z"/>
        <d v="2022-08-06T00:00:00Z"/>
        <d v="2022-10-04T00:00:00Z"/>
        <d v="2022-08-25T00:00:00Z"/>
        <d v="2023-05-17T00:00:00Z"/>
        <d v="2024-04-01T00:00:00Z"/>
        <d v="2024-05-06T00:00:00Z"/>
        <d v="2024-08-28T00:00:00Z"/>
        <d v="2022-06-03T00:00:00Z"/>
        <d v="2024-04-26T00:00:00Z"/>
        <d v="2022-02-09T00:00:00Z"/>
        <d v="2024-07-28T00:00:00Z"/>
        <d v="2024-10-07T00:00:00Z"/>
        <d v="2024-05-09T00:00:00Z"/>
        <d v="2023-12-02T00:00:00Z"/>
        <d v="2023-07-16T00:00:00Z"/>
        <d v="2023-04-14T00:00:00Z"/>
        <d v="2023-11-11T00:00:00Z"/>
        <d v="2022-08-13T00:00:00Z"/>
        <d v="2022-02-06T00:00:00Z"/>
        <d v="2023-01-22T00:00:00Z"/>
        <d v="2024-05-10T00:00:00Z"/>
        <d v="2022-02-03T00:00:00Z"/>
        <d v="2025-11-23T00:00:00Z"/>
        <d v="2022-05-23T00:00:00Z"/>
        <d v="2023-08-21T00:00:00Z"/>
        <d v="2025-03-04T00:00:00Z"/>
        <d v="2025-08-06T00:00:00Z"/>
        <d v="2022-09-18T00:00:00Z"/>
        <d v="2023-09-01T00:00:00Z"/>
        <d v="2022-06-24T00:00:00Z"/>
        <d v="2025-02-17T00:00:00Z"/>
        <d v="2024-03-26T00:00:00Z"/>
        <d v="2025-01-19T00:00:00Z"/>
        <d v="2023-08-02T00:00:00Z"/>
        <d v="2022-08-29T00:00:00Z"/>
        <d v="2025-11-01T00:00:00Z"/>
        <d v="2024-02-27T00:00:00Z"/>
        <d v="2025-05-30T00:00:00Z"/>
        <d v="2024-12-28T00:00:00Z"/>
        <d v="2023-03-09T00:00:00Z"/>
        <d v="2024-04-14T00:00:00Z"/>
        <d v="2025-02-08T00:00:00Z"/>
        <d v="2022-12-02T00:00:00Z"/>
        <d v="2024-11-02T00:00:00Z"/>
        <d v="2025-06-12T00:00:00Z"/>
        <d v="2022-03-23T00:00:00Z"/>
        <d v="2023-10-08T00:00:00Z"/>
        <d v="2024-02-20T00:00:00Z"/>
        <d v="2025-04-12T00:00:00Z"/>
        <d v="2023-08-18T00:00:00Z"/>
        <d v="2023-04-23T00:00:00Z"/>
        <d v="2024-12-14T00:00:00Z"/>
        <d v="2022-11-03T00:00:00Z"/>
        <d v="2023-02-19T00:00:00Z"/>
        <d v="2024-11-13T00:00:00Z"/>
        <d v="2023-10-23T00:00:00Z"/>
        <d v="2022-11-25T00:00:00Z"/>
        <d v="2024-09-24T00:00:00Z"/>
        <d v="2022-02-22T00:00:00Z"/>
        <d v="2024-02-13T00:00:00Z"/>
        <d v="2024-03-20T00:00:00Z"/>
        <d v="2025-11-25T00:00:00Z"/>
        <d v="2025-11-10T00:00:00Z"/>
        <d v="2022-10-10T00:00:00Z"/>
        <d v="2025-03-05T00:00:00Z"/>
        <d v="2025-04-03T00:00:00Z"/>
        <d v="2024-10-15T00:00:00Z"/>
        <d v="2025-04-20T00:00:00Z"/>
        <d v="2023-03-18T00:00:00Z"/>
        <d v="2024-06-08T00:00:00Z"/>
        <d v="2022-07-16T00:00:00Z"/>
        <d v="2025-04-25T00:00:00Z"/>
        <d v="2024-07-22T00:00:00Z"/>
        <d v="2024-07-19T00:00:00Z"/>
        <d v="2024-02-23T00:00:00Z"/>
        <d v="2023-07-30T00:00:00Z"/>
        <d v="2023-12-06T00:00:00Z"/>
        <d v="2024-05-26T00:00:00Z"/>
        <d v="2023-09-21T00:00:00Z"/>
        <d v="2022-04-22T00:00:00Z"/>
        <d v="2022-11-16T00:00:00Z"/>
        <d v="2022-05-06T00:00:00Z"/>
        <d v="2023-03-03T00:00:00Z"/>
        <d v="2023-12-18T00:00:00Z"/>
        <d v="2025-02-21T00:00:00Z"/>
        <d v="2022-08-22T00:00:00Z"/>
        <d v="2022-06-30T00:00:00Z"/>
        <d v="2023-08-19T00:00:00Z"/>
        <d v="2024-12-27T00:00:00Z"/>
        <d v="2023-06-20T00:00:00Z"/>
        <d v="2022-07-08T00:00:00Z"/>
        <d v="2025-09-19T00:00:00Z"/>
        <d v="2022-09-29T00:00:00Z"/>
        <d v="2022-03-01T00:00:00Z"/>
        <d v="2022-10-05T00:00:00Z"/>
        <d v="2023-08-08T00:00:00Z"/>
        <d v="2022-11-17T00:00:00Z"/>
        <d v="2024-02-19T00:00:00Z"/>
        <d v="2024-05-21T00:00:00Z"/>
        <d v="2022-07-14T00:00:00Z"/>
        <d v="2024-10-08T00:00:00Z"/>
        <d v="2025-12-11T00:00:00Z"/>
        <d v="2025-02-10T00:00:00Z"/>
        <d v="2024-12-11T00:00:00Z"/>
        <d v="2022-08-30T00:00:00Z"/>
        <d v="2025-06-23T00:00:00Z"/>
        <d v="2024-06-09T00:00:00Z"/>
        <d v="2024-05-15T00:00:00Z"/>
        <d v="2025-01-04T00:00:00Z"/>
        <d v="2024-02-10T00:00:00Z"/>
        <d v="2025-10-12T00:00:00Z"/>
        <d v="2022-02-26T00:00:00Z"/>
      </sharedItems>
    </cacheField>
    <cacheField name="Tenure_Months" numFmtId="3">
      <sharedItems containsSemiMixedTypes="0" containsString="0" containsNumber="1" containsInteger="1">
        <n v="9.0"/>
        <n v="27.0"/>
        <n v="23.0"/>
        <n v="6.0"/>
        <n v="30.0"/>
        <n v="14.0"/>
        <n v="32.0"/>
        <n v="44.0"/>
        <n v="20.0"/>
        <n v="13.0"/>
        <n v="46.0"/>
        <n v="11.0"/>
        <n v="43.0"/>
        <n v="12.0"/>
        <n v="21.0"/>
        <n v="7.0"/>
        <n v="33.0"/>
        <n v="45.0"/>
        <n v="18.0"/>
        <n v="47.0"/>
        <n v="40.0"/>
        <n v="34.0"/>
        <n v="28.0"/>
        <n v="16.0"/>
        <n v="4.0"/>
        <n v="39.0"/>
        <n v="2.0"/>
        <n v="42.0"/>
        <n v="22.0"/>
        <n v="36.0"/>
        <n v="31.0"/>
        <n v="19.0"/>
        <n v="48.0"/>
        <n v="26.0"/>
        <n v="1.0"/>
        <n v="38.0"/>
        <n v="3.0"/>
        <n v="35.0"/>
        <n v="120.0"/>
        <n v="8.0"/>
        <n v="24.0"/>
        <n v="15.0"/>
        <n v="10.0"/>
        <n v="41.0"/>
        <n v="25.0"/>
        <n v="5.0"/>
        <n v="29.0"/>
        <n v="37.0"/>
        <n v="17.0"/>
        <n v="0.0"/>
        <n v="-3.0"/>
      </sharedItems>
    </cacheField>
    <cacheField name="Contract_Type" numFmtId="0">
      <sharedItems>
        <s v="Monthly"/>
        <s v="Quarterly"/>
        <s v="Annual"/>
      </sharedItems>
    </cacheField>
    <cacheField name="Payment_Method" numFmtId="0">
      <sharedItems>
        <s v="Upi"/>
        <s v="Credit Card"/>
        <s v="Debit Card"/>
      </sharedItems>
    </cacheField>
    <cacheField name="Monthly_Fee">
      <sharedItems containsMixedTypes="1" containsNumber="1" containsInteger="1">
        <n v="1757.0"/>
        <n v="1283.0"/>
        <n v="521.0"/>
        <n v="550.0"/>
        <n v="1703.0"/>
        <n v="2938.0"/>
        <n v="523.0"/>
        <n v="3536.0"/>
        <n v="1622.0"/>
        <n v="747.0"/>
        <n v="3329.0"/>
        <n v="1068.0"/>
        <n v="836.0"/>
        <n v="1142.0"/>
        <n v="3769.0"/>
        <n v="1193.0"/>
        <n v="533.0"/>
        <n v="1684.0"/>
        <n v="608.0"/>
        <n v="1269.0"/>
        <n v="1093.0"/>
        <n v="1035.0"/>
        <n v="785.0"/>
        <n v="1109.0"/>
        <n v="1284.0"/>
        <n v="722.0"/>
        <n v="562.0"/>
        <n v="588.0"/>
        <n v="875.0"/>
        <n v="536.0"/>
        <n v="784.0"/>
        <n v="1455.0"/>
        <n v="662.0"/>
        <n v="714.0"/>
        <n v="1223.0"/>
        <n v="3356.0"/>
        <n v="1257.0"/>
        <n v="3370.0"/>
        <n v="3858.0"/>
        <n v="1378.0"/>
        <n v="774.0"/>
        <n v="1185.0"/>
        <n v="622.0"/>
        <n v="1762.0"/>
        <n v="877.0"/>
        <n v="526.0"/>
        <n v="532.0"/>
        <n v="1793.0"/>
        <n v="2490.0"/>
        <n v="731.0"/>
        <n v="1765.0"/>
        <n v="627.0"/>
        <n v="1649.0"/>
        <n v="1036.0"/>
        <n v="819.0"/>
        <n v="1229.0"/>
        <n v="1194.0"/>
        <n v="749.0"/>
        <n v="1721.0"/>
        <n v="2294.0"/>
        <n v="3470.0"/>
        <n v="3420.0"/>
        <n v="1623.0"/>
        <n v="579.0"/>
        <n v="3176.0"/>
        <n v="1650.0"/>
        <n v="3086.0"/>
        <n v="702.0"/>
        <n v="1633.0"/>
        <n v="558.0"/>
        <n v="1032.0"/>
        <n v="1335.0"/>
        <n v="1601.0"/>
        <n v="1514.0"/>
        <n v="3862.0"/>
        <n v="808.0"/>
        <n v="629.0"/>
        <n v="1419.0"/>
        <n v="1116.0"/>
        <n v="591.0"/>
        <n v="665.0"/>
        <n v="638.0"/>
        <n v="607.0"/>
        <n v="1072.0"/>
        <n v="815.0"/>
        <n v="3044.0"/>
        <n v="834.0"/>
        <n v="639.0"/>
        <s v=""/>
        <n v="3322.0"/>
        <n v="3324.0"/>
        <n v="657.0"/>
        <n v="1348.0"/>
        <n v="3701.0"/>
        <n v="598.0"/>
        <n v="1566.0"/>
        <n v="711.0"/>
        <n v="1711.0"/>
        <n v="1653.0"/>
        <n v="712.0"/>
        <n v="2032.0"/>
        <n v="897.0"/>
        <n v="1483.0"/>
        <n v="594.0"/>
        <n v="727.0"/>
        <n v="1371.0"/>
        <n v="1618.0"/>
        <n v="864.0"/>
        <n v="1228.0"/>
        <n v="1735.0"/>
        <n v="1563.0"/>
        <n v="2401.0"/>
        <n v="1041.0"/>
        <n v="3647.0"/>
        <n v="695.0"/>
        <n v="3034.0"/>
        <n v="634.0"/>
        <n v="1285.0"/>
        <n v="518.0"/>
        <n v="759.0"/>
        <n v="1051.0"/>
        <n v="603.0"/>
        <n v="680.0"/>
        <n v="1490.0"/>
        <n v="2708.0"/>
        <n v="841.0"/>
        <n v="3331.0"/>
        <n v="2957.0"/>
        <n v="1178.0"/>
        <n v="859.0"/>
        <n v="1774.0"/>
        <n v="3098.0"/>
        <n v="1058.0"/>
        <n v="534.0"/>
        <n v="2271.0"/>
        <n v="1543.0"/>
        <n v="1102.0"/>
        <n v="1238.0"/>
        <n v="614.0"/>
        <n v="729.0"/>
        <n v="610.0"/>
        <n v="1328.0"/>
        <n v="1319.0"/>
        <n v="624.0"/>
        <n v="776.0"/>
        <n v="690.0"/>
        <n v="507.0"/>
        <n v="734.0"/>
        <n v="1510.0"/>
        <n v="787.0"/>
        <n v="1392.0"/>
        <n v="2466.0"/>
        <n v="1156.0"/>
        <n v="719.0"/>
        <n v="538.0"/>
        <n v="1607.0"/>
        <n v="2232.0"/>
        <n v="1688.0"/>
        <n v="3112.0"/>
        <n v="652.0"/>
        <n v="1413.0"/>
        <n v="531.0"/>
        <n v="1467.0"/>
        <n v="804.0"/>
        <n v="682.0"/>
        <n v="1778.0"/>
        <n v="1374.0"/>
        <n v="3771.0"/>
        <n v="1358.0"/>
        <n v="882.0"/>
        <n v="3012.0"/>
        <n v="2253.0"/>
        <n v="3359.0"/>
        <n v="764.0"/>
        <n v="709.0"/>
        <n v="3132.0"/>
        <n v="1013.0"/>
        <n v="1117.0"/>
        <n v="1264.0"/>
        <n v="1367.0"/>
        <n v="791.0"/>
        <n v="648.0"/>
        <n v="824.0"/>
        <n v="565.0"/>
        <n v="553.0"/>
        <n v="654.0"/>
        <n v="1568.0"/>
        <n v="829.0"/>
        <n v="720.0"/>
        <n v="3020.0"/>
        <n v="1018.0"/>
        <n v="697.0"/>
        <n v="2631.0"/>
        <n v="589.0"/>
        <n v="1748.0"/>
        <n v="872.0"/>
        <n v="874.0"/>
        <n v="632.0"/>
        <n v="1159.0"/>
        <n v="750.0"/>
        <n v="741.0"/>
        <n v="633.0"/>
        <n v="2856.0"/>
        <n v="584.0"/>
        <n v="854.0"/>
        <n v="1700.0"/>
        <n v="763.0"/>
        <n v="732.0"/>
        <n v="830.0"/>
        <n v="828.0"/>
        <n v="810.0"/>
        <n v="806.0"/>
        <n v="1742.0"/>
        <n v="1186.0"/>
        <n v="823.0"/>
        <n v="674.0"/>
        <n v="1171.0"/>
        <n v="506.0"/>
        <n v="871.0"/>
        <n v="1048.0"/>
        <n v="1677.0"/>
        <n v="1534.0"/>
        <n v="555.0"/>
        <n v="3744.0"/>
        <n v="2548.0"/>
        <n v="1114.0"/>
        <n v="1493.0"/>
        <n v="1743.0"/>
        <n v="2676.0"/>
        <n v="1210.0"/>
        <n v="1362.0"/>
        <n v="700.0"/>
        <n v="1646.0"/>
        <n v="1682.0"/>
        <n v="581.0"/>
        <n v="1293.0"/>
        <n v="1720.0"/>
        <n v="718.0"/>
        <n v="1356.0"/>
        <n v="813.0"/>
        <n v="2088.0"/>
        <n v="552.0"/>
        <n v="615.0"/>
        <n v="1073.0"/>
        <n v="611.0"/>
        <n v="542.0"/>
        <n v="1054.0"/>
        <n v="681.0"/>
        <n v="1372.0"/>
        <n v="1472.0"/>
        <n v="2153.0"/>
        <n v="1602.0"/>
        <n v="604.0"/>
        <n v="1591.0"/>
        <n v="1005.0"/>
        <n v="668.0"/>
        <n v="519.0"/>
        <n v="2448.0"/>
        <n v="1015.0"/>
        <n v="499.0"/>
        <n v="1712.0"/>
        <n v="765.0"/>
        <n v="3545.0"/>
        <n v="1120.0"/>
        <n v="740.0"/>
        <n v="1791.0"/>
        <n v="1689.0"/>
        <n v="1561.0"/>
        <n v="1696.0"/>
        <n v="3508.0"/>
        <n v="1627.0"/>
        <n v="2109.0"/>
        <n v="3379.0"/>
        <n v="716.0"/>
        <n v="1199.0"/>
        <n v="852.0"/>
        <n v="539.0"/>
        <n v="837.0"/>
        <n v="1085.0"/>
        <n v="1486.0"/>
        <n v="1551.0"/>
        <n v="865.0"/>
        <n v="551.0"/>
        <n v="515.0"/>
        <n v="2508.0"/>
        <n v="1042.0"/>
        <n v="2341.0"/>
        <n v="850.0"/>
        <n v="723.0"/>
        <n v="738.0"/>
        <n v="835.0"/>
        <n v="3141.0"/>
        <n v="617.0"/>
        <n v="1436.0"/>
        <n v="3295.0"/>
        <n v="686.0"/>
        <n v="1608.0"/>
        <n v="3293.0"/>
        <n v="793.0"/>
        <n v="724.0"/>
        <n v="2920.0"/>
        <n v="1595.0"/>
        <n v="1674.0"/>
        <n v="619.0"/>
        <n v="1639.0"/>
        <n v="1315.0"/>
        <n v="710.0"/>
        <n v="1797.0"/>
        <n v="3687.0"/>
        <n v="1751.0"/>
        <n v="571.0"/>
        <n v="863.0"/>
        <n v="861.0"/>
        <n v="1786.0"/>
        <n v="754.0"/>
        <n v="641.0"/>
        <n v="1049.0"/>
        <n v="1376.0"/>
        <n v="1110.0"/>
        <n v="1361.0"/>
        <n v="1119.0"/>
        <n v="1306.0"/>
        <n v="1547.0"/>
        <n v="1382.0"/>
        <n v="572.0"/>
        <n v="669.0"/>
        <n v="535.0"/>
        <n v="514.0"/>
        <n v="721.0"/>
        <n v="1179.0"/>
        <n v="886.0"/>
        <n v="3762.0"/>
        <n v="742.0"/>
        <n v="873.0"/>
        <n v="1479.0"/>
        <n v="556.0"/>
        <n v="577.0"/>
        <n v="1390.0"/>
        <n v="699.0"/>
        <n v="1787.0"/>
        <n v="2803.0"/>
        <n v="1255.0"/>
        <n v="704.0"/>
        <n v="855.0"/>
        <n v="775.0"/>
        <n v="846.0"/>
        <n v="2351.0"/>
        <n v="602.0"/>
        <n v="1143.0"/>
        <n v="1420.0"/>
        <n v="770.0"/>
        <n v="580.0"/>
        <n v="513.0"/>
        <n v="1241.0"/>
        <n v="568.0"/>
        <n v="888.0"/>
        <n v="735.0"/>
        <n v="757.0"/>
        <n v="2981.0"/>
        <n v="2001.0"/>
        <n v="1081.0"/>
        <n v="862.0"/>
        <n v="1191.0"/>
        <n v="1022.0"/>
        <n v="644.0"/>
        <n v="1147.0"/>
        <n v="3856.0"/>
        <n v="666.0"/>
        <n v="3931.0"/>
        <n v="543.0"/>
        <n v="1536.0"/>
        <n v="1295.0"/>
        <n v="826.0"/>
        <n v="1578.0"/>
        <n v="1364.0"/>
        <n v="1329.0"/>
        <n v="1103.0"/>
        <n v="1355.0"/>
        <n v="563.0"/>
        <n v="559.0"/>
        <n v="1592.0"/>
        <n v="1100.0"/>
        <n v="1289.0"/>
        <n v="3005.0"/>
        <n v="585.0"/>
        <n v="760.0"/>
        <n v="590.0"/>
        <n v="1266.0"/>
        <n v="3761.0"/>
        <n v="1130.0"/>
        <n v="3326.0"/>
        <n v="1526.0"/>
        <n v="1343.0"/>
        <n v="1586.0"/>
        <n v="1666.0"/>
        <n v="1115.0"/>
        <n v="3930.0"/>
        <n v="3703.0"/>
        <n v="1034.0"/>
        <n v="2183.0"/>
        <n v="1453.0"/>
        <n v="687.0"/>
        <n v="694.0"/>
        <n v="1339.0"/>
        <n v="1129.0"/>
        <n v="3633.0"/>
        <n v="752.0"/>
        <n v="1123.0"/>
        <n v="1670.0"/>
        <n v="1244.0"/>
        <n v="1189.0"/>
        <n v="1080.0"/>
        <n v="1434.0"/>
        <n v="1084.0"/>
        <n v="1598.0"/>
        <n v="1505.0"/>
        <n v="807.0"/>
        <n v="1766.0"/>
        <n v="1046.0"/>
        <n v="1170.0"/>
        <n v="868.0"/>
        <n v="2074.0"/>
        <n v="1605.0"/>
        <n v="792.0"/>
        <n v="692.0"/>
        <n v="1132.0"/>
        <n v="1615.0"/>
        <n v="788.0"/>
        <n v="1637.0"/>
        <n v="1183.0"/>
        <n v="1023.0"/>
        <n v="707.0"/>
        <n v="847.0"/>
        <n v="642.0"/>
        <n v="567.0"/>
        <n v="1686.0"/>
        <n v="1775.0"/>
        <n v="502.0"/>
        <n v="790.0"/>
        <n v="525.0"/>
        <n v="1448.0"/>
        <n v="3627.0"/>
        <n v="3037.0"/>
        <n v="737.0"/>
        <n v="647.0"/>
        <n v="768.0"/>
        <n v="889.0"/>
        <n v="3258.0"/>
        <n v="1375.0"/>
        <n v="892.0"/>
        <n v="1438.0"/>
        <n v="3774.0"/>
        <n v="1690.0"/>
        <n v="1441.0"/>
        <n v="2672.0"/>
        <n v="1424.0"/>
        <n v="1549.0"/>
        <n v="736.0"/>
        <n v="1758.0"/>
        <n v="1203.0"/>
        <n v="505.0"/>
        <n v="3097.0"/>
        <n v="840.0"/>
        <n v="1136.0"/>
        <n v="2354.0"/>
        <n v="794.0"/>
        <n v="578.0"/>
        <n v="809.0"/>
        <n v="2753.0"/>
        <n v="1529.0"/>
        <n v="1351.0"/>
        <n v="1204.0"/>
        <n v="1363.0"/>
        <n v="3780.0"/>
        <n v="2818.0"/>
        <n v="1515.0"/>
        <n v="1715.0"/>
        <n v="3484.0"/>
        <n v="3654.0"/>
        <n v="1388.0"/>
        <n v="1226.0"/>
        <n v="3433.0"/>
        <n v="769.0"/>
        <n v="3994.0"/>
        <n v="851.0"/>
        <n v="1126.0"/>
        <n v="3348.0"/>
        <n v="1305.0"/>
        <n v="1664.0"/>
        <n v="597.0"/>
        <n v="3981.0"/>
        <n v="616.0"/>
        <n v="751.0"/>
        <n v="772.0"/>
        <n v="715.0"/>
        <n v="3637.0"/>
        <n v="1699.0"/>
        <n v="1522.0"/>
        <n v="1643.0"/>
        <n v="767.0"/>
        <n v="625.0"/>
        <n v="1075.0"/>
        <n v="887.0"/>
        <n v="1131.0"/>
        <n v="2236.0"/>
        <n v="2663.0"/>
        <n v="853.0"/>
        <n v="574.0"/>
        <n v="645.0"/>
        <n v="743.0"/>
        <n v="2602.0"/>
        <n v="2760.0"/>
        <n v="587.0"/>
        <n v="895.0"/>
        <n v="3573.0"/>
        <n v="2152.0"/>
        <n v="1292.0"/>
        <n v="1439.0"/>
        <n v="2972.0"/>
        <n v="1759.0"/>
        <n v="688.0"/>
        <n v="670.0"/>
        <n v="1594.0"/>
        <n v="3605.0"/>
        <n v="1779.0"/>
        <n v="1079.0"/>
        <n v="2157.0"/>
        <n v="3859.0"/>
        <n v="3067.0"/>
        <n v="3489.0"/>
        <n v="1359.0"/>
        <n v="1621.0"/>
        <n v="1462.0"/>
        <n v="586.0"/>
        <n v="693.0"/>
        <n v="1500.0"/>
        <n v="1710.0"/>
        <n v="1095.0"/>
        <n v="2542.0"/>
        <n v="1294.0"/>
        <n v="1288.0"/>
        <n v="825.0"/>
        <n v="1709.0"/>
        <n v="3610.0"/>
        <n v="1575.0"/>
        <n v="1037.0"/>
        <n v="628.0"/>
        <n v="1004.0"/>
        <n v="1140.0"/>
        <n v="3427.0"/>
        <n v="1276.0"/>
        <n v="2577.0"/>
        <n v="1209.0"/>
        <n v="856.0"/>
        <n v="1506.0"/>
        <n v="1771.0"/>
        <n v="1546.0"/>
        <n v="1344.0"/>
        <n v="726.0"/>
        <n v="1450.0"/>
        <n v="1519.0"/>
        <n v="3502.0"/>
        <n v="667.0"/>
        <n v="833.0"/>
        <n v="1417.0"/>
        <n v="879.0"/>
        <n v="894.0"/>
        <n v="3378.0"/>
        <n v="1443.0"/>
        <n v="1028.0"/>
        <n v="1624.0"/>
        <n v="1369.0"/>
        <n v="509.0"/>
        <n v="1385.0"/>
        <n v="547.0"/>
        <n v="3757.0"/>
        <n v="1038.0"/>
        <n v="845.0"/>
        <n v="1763.0"/>
        <n v="601.0"/>
        <n v="1572.0"/>
        <n v="2903.0"/>
        <n v="3145.0"/>
        <n v="1012.0"/>
        <n v="3534.0"/>
        <n v="2851.0"/>
        <n v="661.0"/>
        <n v="1316.0"/>
        <n v="3002.0"/>
        <n v="2887.0"/>
        <n v="503.0"/>
        <n v="891.0"/>
        <n v="869.0"/>
        <n v="1247.0"/>
        <n v="1026.0"/>
        <n v="1444.0"/>
        <n v="1431.0"/>
        <n v="1433.0"/>
        <n v="651.0"/>
        <n v="1629.0"/>
        <n v="1353.0"/>
        <n v="822.0"/>
        <n v="1513.0"/>
        <n v="848.0"/>
        <n v="2966.0"/>
        <n v="3099.0"/>
        <n v="3419.0"/>
        <n v="3377.0"/>
        <n v="3475.0"/>
        <n v="1492.0"/>
        <n v="1564.0"/>
        <n v="1200.0"/>
        <n v="1795.0"/>
        <n v="3014.0"/>
        <n v="1236.0"/>
        <n v="1174.0"/>
        <n v="2723.0"/>
        <n v="2038.0"/>
        <n v="2501.0"/>
        <n v="2958.0"/>
        <n v="1798.0"/>
        <n v="664.0"/>
        <n v="512.0"/>
        <n v="2468.0"/>
        <n v="1416.0"/>
        <n v="2274.0"/>
        <n v="3271.0"/>
        <n v="548.0"/>
        <n v="650.0"/>
        <n v="880.0"/>
        <n v="1679.0"/>
        <n v="1496.0"/>
        <n v="1603.0"/>
        <n v="1662.0"/>
        <n v="1508.0"/>
        <n v="1326.0"/>
        <n v="3652.0"/>
        <n v="1445.0"/>
        <n v="1027.0"/>
        <n v="3425.0"/>
        <n v="1661.0"/>
        <n v="1011.0"/>
        <n v="1373.0"/>
        <n v="1533.0"/>
        <n v="663.0"/>
        <n v="3311.0"/>
        <n v="1044.0"/>
        <n v="3368.0"/>
        <n v="1258.0"/>
        <n v="725.0"/>
        <n v="3327.0"/>
        <n v="1464.0"/>
        <n v="1332.0"/>
        <n v="2288.0"/>
        <n v="1250.0"/>
        <n v="659.0"/>
        <n v="1154.0"/>
        <n v="3801.0"/>
        <n v="1579.0"/>
        <n v="566.0"/>
        <n v="2151.0"/>
        <n v="3787.0"/>
        <n v="618.0"/>
        <n v="1452.0"/>
        <n v="1232.0"/>
        <n v="1256.0"/>
        <n v="1089.0"/>
        <n v="1393.0"/>
        <n v="1221.0"/>
        <n v="748.0"/>
        <n v="1381.0"/>
        <n v="3135.0"/>
        <n v="685.0"/>
        <n v="1146.0"/>
        <n v="1281.0"/>
        <n v="3125.0"/>
        <n v="527.0"/>
        <n v="1231.0"/>
        <n v="706.0"/>
        <n v="2469.0"/>
        <n v="2910.0"/>
        <n v="1303.0"/>
        <n v="1239.0"/>
        <n v="777.0"/>
        <n v="883.0"/>
        <n v="1517.0"/>
        <n v="1556.0"/>
        <n v="1671.0"/>
        <n v="896.0"/>
        <n v="3802.0"/>
        <n v="758.0"/>
        <n v="1299.0"/>
        <n v="1134.0"/>
        <n v="3358.0"/>
        <n v="1488.0"/>
        <n v="814.0"/>
        <n v="1691.0"/>
        <n v="2553.0"/>
        <n v="1415.0"/>
        <n v="1349.0"/>
        <n v="1389.0"/>
        <n v="798.0"/>
        <n v="546.0"/>
        <n v="1182.0"/>
        <n v="755.0"/>
        <n v="1164.0"/>
        <n v="1531.0"/>
        <n v="701.0"/>
        <n v="1341.0"/>
        <n v="1745.0"/>
        <n v="689.0"/>
        <n v="2830.0"/>
        <n v="2585.0"/>
        <n v="1101.0"/>
        <n v="1312.0"/>
        <n v="753.0"/>
        <n v="1473.0"/>
        <n v="1542.0"/>
        <n v="1784.0"/>
        <n v="2409.0"/>
        <n v="2850.0"/>
        <n v="3746.0"/>
        <n v="745.0"/>
        <n v="3068.0"/>
        <n v="816.0"/>
        <n v="595.0"/>
        <n v="839.0"/>
        <n v="1334.0"/>
        <n v="2433.0"/>
        <n v="1604.0"/>
        <n v="1520.0"/>
        <n v="3975.0"/>
        <n v="1658.0"/>
        <n v="3042.0"/>
        <n v="3959.0"/>
        <n v="3133.0"/>
        <n v="779.0"/>
        <n v="606.0"/>
        <n v="1220.0"/>
        <n v="583.0"/>
        <n v="1061.0"/>
        <n v="2980.0"/>
        <n v="1754.0"/>
        <n v="1167.0"/>
        <n v="679.0"/>
        <n v="1352.0"/>
        <n v="1313.0"/>
        <n v="1195.0"/>
        <n v="1181.0"/>
        <n v="609.0"/>
        <n v="1476.0"/>
        <n v="3308.0"/>
        <n v="1160.0"/>
        <n v="2655.0"/>
        <n v="1495.0"/>
        <n v="2485.0"/>
        <n v="508.0"/>
        <n v="3547.0"/>
        <n v="3303.0"/>
        <n v="3983.0"/>
        <n v="1099.0"/>
        <n v="1640.0"/>
        <n v="3030.0"/>
        <n v="649.0"/>
        <n v="1016.0"/>
        <n v="1545.0"/>
        <n v="1144.0"/>
        <n v="3062.0"/>
        <n v="1273.0"/>
        <n v="3224.0"/>
        <n v="1274.0"/>
        <n v="2208.0"/>
        <n v="1773.0"/>
        <n v="2682.0"/>
        <n v="635.0"/>
        <n v="885.0"/>
        <n v="1728.0"/>
        <n v="656.0"/>
        <n v="3111.0"/>
        <n v="1680.0"/>
        <n v="1702.0"/>
        <n v="3751.0"/>
        <n v="1252.0"/>
        <n v="2900.0"/>
        <n v="1094.0"/>
        <n v="520.0"/>
        <n v="605.0"/>
        <n v="1463.0"/>
        <n v="2131.0"/>
        <n v="3040.0"/>
        <n v="640.0"/>
        <n v="717.0"/>
        <n v="3715.0"/>
        <n v="1411.0"/>
        <n v="626.0"/>
        <n v="3808.0"/>
        <n v="3280.0"/>
        <n v="1583.0"/>
        <n v="1192.0"/>
        <n v="1153.0"/>
        <n v="1685.0"/>
        <n v="870.0"/>
        <n v="2679.0"/>
        <n v="817.0"/>
        <n v="1317.0"/>
        <n v="756.0"/>
        <n v="1590.0"/>
        <n v="1525.0"/>
        <n v="3507.0"/>
        <n v="1172.0"/>
        <n v="2066.0"/>
        <n v="857.0"/>
        <n v="1014.0"/>
        <n v="3079.0"/>
        <n v="691.0"/>
        <n v="1118.0"/>
        <n v="3848.0"/>
        <n v="3440.0"/>
        <n v="1302.0"/>
        <n v="1165.0"/>
        <n v="3705.0"/>
        <n v="1750.0"/>
        <n v="3149.0"/>
        <n v="3567.0"/>
        <n v="1263.0"/>
        <n v="2689.0"/>
        <n v="1783.0"/>
        <n v="3881.0"/>
        <n v="1503.0"/>
        <n v="2497.0"/>
        <n v="1127.0"/>
        <n v="1031.0"/>
        <n v="3578.0"/>
        <n v="2522.0"/>
        <n v="1217.0"/>
        <n v="1648.0"/>
        <n v="1794.0"/>
        <n v="803.0"/>
        <n v="1090.0"/>
        <n v="3680.0"/>
        <n v="2301.0"/>
        <n v="1470.0"/>
        <n v="1683.0"/>
        <n v="1188.0"/>
        <n v="1017.0"/>
        <n v="1213.0"/>
        <n v="1494.0"/>
        <n v="1737.0"/>
        <n v="2463.0"/>
        <n v="678.0"/>
        <n v="1106.0"/>
        <n v="545.0"/>
        <n v="1161.0"/>
        <n v="2946.0"/>
        <n v="849.0"/>
        <n v="1457.0"/>
        <n v="2450.0"/>
        <n v="2732.0"/>
        <n v="789.0"/>
        <n v="842.0"/>
        <n v="582.0"/>
        <n v="1656.0"/>
        <n v="524.0"/>
        <n v="733.0"/>
        <n v="3885.0"/>
        <n v="3866.0"/>
        <n v="1249.0"/>
        <n v="812.0"/>
        <n v="1333.0"/>
        <n v="1625.0"/>
        <n v="3667.0"/>
        <n v="1190.0"/>
        <n v="1112.0"/>
        <n v="2291.0"/>
        <n v="821.0"/>
        <n v="762.0"/>
        <n v="1331.0"/>
        <n v="744.0"/>
        <n v="1267.0"/>
        <n v="730.0"/>
        <n v="1083.0"/>
        <n v="1589.0"/>
        <n v="612.0"/>
        <n v="561.0"/>
        <n v="1580.0"/>
        <n v="631.0"/>
        <n v="1196.0"/>
        <n v="811.0"/>
        <n v="593.0"/>
        <n v="1138.0"/>
        <n v="573.0"/>
        <n v="660.0"/>
        <n v="658.0"/>
        <n v="1043.0"/>
        <n v="570.0"/>
        <n v="2325.0"/>
        <n v="2035.0"/>
        <n v="623.0"/>
        <n v="3950.0"/>
        <n v="3957.0"/>
        <n v="1175.0"/>
        <n v="1206.0"/>
        <n v="3463.0"/>
        <n v="2456.0"/>
        <n v="800.0"/>
        <n v="2029.0"/>
        <n v="537.0"/>
        <n v="1336.0"/>
        <n v="2464.0"/>
        <n v="1391.0"/>
        <n v="569.0"/>
        <n v="1609.0"/>
        <n v="1214.0"/>
        <n v="832.0"/>
        <n v="3822.0"/>
        <n v="1408.0"/>
        <n v="1265.0"/>
        <n v="1162.0"/>
        <n v="1427.0"/>
        <n v="3750.0"/>
        <n v="2269.0"/>
        <n v="795.0"/>
        <n v="1599.0"/>
        <n v="802.0"/>
        <n v="2765.0"/>
        <n v="1308.0"/>
        <n v="2724.0"/>
        <n v="1357.0"/>
        <n v="1212.0"/>
        <n v="2477.0"/>
        <n v="3725.0"/>
        <n v="1518.0"/>
        <n v="866.0"/>
        <n v="2568.0"/>
        <n v="1562.0"/>
        <n v="1672.0"/>
        <n v="2299.0"/>
        <n v="2379.0"/>
        <n v="1096.0"/>
        <n v="1713.0"/>
        <n v="1636.0"/>
        <n v="1642.0"/>
        <n v="893.0"/>
        <n v="1588.0"/>
        <n v="1243.0"/>
        <n v="1001.0"/>
        <n v="2305.0"/>
        <n v="1790.0"/>
        <n v="1395.0"/>
        <n v="2264.0"/>
        <n v="504.0"/>
        <n v="708.0"/>
        <n v="3636.0"/>
        <n v="1714.0"/>
        <n v="698.0"/>
        <n v="1310.0"/>
        <n v="3599.0"/>
        <n v="766.0"/>
        <n v="1610.0"/>
        <n v="3121.0"/>
        <n v="529.0"/>
        <n v="3021.0"/>
        <n v="1456.0"/>
        <n v="630.0"/>
        <n v="1552.0"/>
        <n v="703.0"/>
        <n v="3199.0"/>
        <n v="1345.0"/>
        <n v="2545.0"/>
        <n v="3898.0"/>
        <n v="797.0"/>
        <n v="1739.0"/>
        <n v="3291.0"/>
        <n v="2107.0"/>
        <n v="1097.0"/>
        <n v="1482.0"/>
        <n v="2503.0"/>
        <n v="1025.0"/>
        <n v="2231.0"/>
        <n v="713.0"/>
        <n v="1074.0"/>
        <n v="3879.0"/>
        <n v="1726.0"/>
        <n v="3065.0"/>
        <n v="673.0"/>
        <n v="1777.0"/>
        <n v="2495.0"/>
        <n v="1675.0"/>
        <n v="1404.0"/>
        <n v="1660.0"/>
        <n v="1756.0"/>
        <n v="1638.0"/>
        <n v="761.0"/>
        <n v="3493.0"/>
        <n v="884.0"/>
        <n v="1342.0"/>
        <n v="1516.0"/>
        <n v="1422.0"/>
        <n v="1652.0"/>
        <n v="3875.0"/>
        <n v="1122.0"/>
        <n v="541.0"/>
        <n v="739.0"/>
        <n v="643.0"/>
        <n v="1719.0"/>
        <n v="564.0"/>
        <n v="3458.0"/>
        <n v="3938.0"/>
        <n v="2285.0"/>
        <n v="576.0"/>
        <n v="554.0"/>
        <n v="1314.0"/>
        <n v="3297.0"/>
        <n v="2866.0"/>
        <n v="3936.0"/>
        <n v="1676.0"/>
        <n v="773.0"/>
        <n v="1681.0"/>
        <n v="501.0"/>
        <n v="1409.0"/>
        <n v="2932.0"/>
        <n v="1440.0"/>
        <n v="1108.0"/>
        <n v="2227.0"/>
        <n v="1405.0"/>
        <n v="1498.0"/>
        <n v="1747.0"/>
        <n v="3212.0"/>
        <n v="890.0"/>
        <n v="557.0"/>
        <n v="746.0"/>
        <n v="2329.0"/>
        <n v="838.0"/>
        <n v="2917.0"/>
        <n v="3745.0"/>
        <n v="1045.0"/>
        <n v="3706.0"/>
        <n v="2247.0"/>
        <n v="1320.0"/>
        <n v="1550.0"/>
        <n v="1230.0"/>
        <n v="530.0"/>
        <n v="637.0"/>
        <n v="2653.0"/>
        <n v="1645.0"/>
        <n v="1290.0"/>
        <n v="1021.0"/>
        <n v="2209.0"/>
        <n v="1502.0"/>
        <n v="899.0"/>
        <n v="3140.0"/>
        <n v="544.0"/>
      </sharedItems>
    </cacheField>
    <cacheField name="Support_Tickets" numFmtId="4">
      <sharedItems>
        <s v="2"/>
        <s v="0"/>
        <s v="1"/>
        <s v="3"/>
        <s v="5"/>
        <s v="4"/>
        <s v=""/>
        <s v="6"/>
        <s v="7"/>
        <s v="8"/>
      </sharedItems>
    </cacheField>
    <cacheField name="Complaints">
      <sharedItems containsMixedTypes="1" containsNumber="1" containsInteger="1">
        <n v="0.0"/>
        <n v="2.0"/>
        <n v="1.0"/>
        <n v="3.0"/>
        <n v="4.0"/>
        <n v="6.0"/>
        <n v="5.0"/>
        <s v=""/>
      </sharedItems>
    </cacheField>
    <cacheField name="Monthly_Usage_Hours" numFmtId="4">
      <sharedItems containsSemiMixedTypes="0" containsString="0" containsNumber="1">
        <n v="32.0"/>
        <n v="40.6"/>
        <n v="14.3"/>
        <n v="9.9"/>
        <n v="28.5"/>
        <n v="33.2"/>
        <n v="16.2"/>
        <n v="43.9"/>
        <n v="27.1"/>
        <n v="20.7"/>
        <n v="42.7"/>
        <n v="15.9"/>
        <n v="27.4"/>
        <n v="27.7"/>
        <n v="38.7"/>
        <n v="21.5"/>
        <n v="12.4"/>
        <n v="6.8"/>
        <n v="16.7"/>
        <n v="12.6"/>
        <n v="26.5"/>
        <n v="37.1"/>
        <n v="10.1"/>
        <n v="15.6"/>
        <n v="21.7"/>
        <n v="15.4"/>
        <n v="19.8"/>
        <n v="19.4"/>
        <n v="27.3"/>
        <n v="10.9"/>
        <n v="23.0"/>
        <n v="26.2"/>
        <n v="11.2"/>
        <n v="36.7"/>
        <n v="49.5"/>
        <n v="24.1"/>
        <n v="30.9"/>
        <n v="38.4"/>
        <n v="22.7"/>
        <n v="11.8"/>
        <n v="42.1"/>
        <n v="5.8"/>
        <n v="31.6"/>
        <n v="16.0"/>
        <n v="16.4"/>
        <n v="33.5"/>
        <n v="40.2"/>
        <n v="13.3"/>
        <n v="28.2"/>
        <n v="28.1"/>
        <n v="30.6"/>
        <n v="11.3"/>
        <n v="32.9"/>
        <n v="14.5"/>
        <n v="37.2"/>
        <n v="35.6"/>
        <n v="38.6"/>
        <n v="39.6"/>
        <n v="35.5"/>
        <n v="31.9"/>
        <n v="17.4"/>
        <n v="47.4"/>
        <n v="17.1"/>
        <n v="30.1"/>
        <n v="19.0"/>
        <n v="30.7"/>
        <n v="23.2"/>
        <n v="36.5"/>
        <n v="35.9"/>
        <n v="31.1"/>
        <n v="40.9"/>
        <n v="14.4"/>
        <n v="11.5"/>
        <n v="16.5"/>
        <n v="32.1"/>
        <n v="24.8"/>
        <n v="5.9"/>
        <n v="22.6"/>
        <n v="22.8"/>
        <n v="17.9"/>
        <n v="34.5"/>
        <n v="29.2"/>
        <n v="12.8"/>
        <n v="1.0"/>
        <n v="33.4"/>
        <n v="45.5"/>
        <n v="50.3"/>
        <n v="22.3"/>
        <n v="26.1"/>
        <n v="44.6"/>
        <n v="28.3"/>
        <n v="31.3"/>
        <n v="40.7"/>
        <n v="48.3"/>
        <n v="21.6"/>
        <n v="49.1"/>
        <n v="30.3"/>
        <n v="23.8"/>
        <n v="13.8"/>
        <n v="43.7"/>
        <n v="4.6"/>
        <n v="34.1"/>
        <n v="25.8"/>
        <n v="35.2"/>
        <n v="15.0"/>
        <n v="20.0"/>
        <n v="13.0"/>
        <n v="30.2"/>
        <n v="13.4"/>
        <n v="39.4"/>
        <n v="3.9"/>
        <n v="37.4"/>
        <n v="34.7"/>
        <n v="24.5"/>
        <n v="17.7"/>
        <n v="19.7"/>
        <n v="49.6"/>
        <n v="33.7"/>
        <n v="27.2"/>
        <n v="12.5"/>
        <n v="29.3"/>
        <n v="29.4"/>
        <n v="19.6"/>
        <n v="35.1"/>
        <n v="23.9"/>
        <n v="23.5"/>
        <n v="19.5"/>
        <n v="36.6"/>
        <n v="14.2"/>
        <n v="40.5"/>
        <n v="41.5"/>
        <n v="17.6"/>
        <n v="8.0"/>
        <n v="10.4"/>
        <n v="25.3"/>
        <n v="26.6"/>
        <n v="42.2"/>
        <n v="31.0"/>
        <n v="10.0"/>
        <n v="32.5"/>
        <n v="31.2"/>
        <n v="22.9"/>
        <n v="24.0"/>
        <n v="25.5"/>
        <n v="34.4"/>
        <n v="22.0"/>
        <n v="17.8"/>
        <n v="28.8"/>
        <n v="34.3"/>
        <n v="30.0"/>
        <n v="20.5"/>
        <n v="29.6"/>
        <n v="30.4"/>
        <n v="38.3"/>
        <n v="9.2"/>
        <n v="7.7"/>
        <n v="6.9"/>
        <n v="32.4"/>
        <n v="5.3"/>
        <n v="18.4"/>
        <n v="28.0"/>
        <n v="21.3"/>
        <n v="27.8"/>
        <n v="45.8"/>
        <n v="19.2"/>
        <n v="23.6"/>
        <n v="37.7"/>
        <n v="11.7"/>
        <n v="9.7"/>
        <n v="22.1"/>
        <n v="20.3"/>
        <n v="22.5"/>
        <n v="13.1"/>
        <n v="25.6"/>
        <n v="8.6"/>
        <n v="13.6"/>
        <n v="28.7"/>
        <n v="15.1"/>
        <n v="7.2"/>
        <n v="28.6"/>
        <n v="18.5"/>
        <n v="29.7"/>
        <n v="26.0"/>
        <n v="17.2"/>
        <n v="56.4"/>
        <n v="36.9"/>
        <n v="26.3"/>
        <n v="37.6"/>
        <n v="43.8"/>
        <n v="31.4"/>
        <n v="44.5"/>
        <n v="16.6"/>
        <n v="10.2"/>
        <n v="18.8"/>
        <n v="40.0"/>
        <n v="24.4"/>
        <n v="21.0"/>
        <n v="39.2"/>
        <n v="12.3"/>
        <n v="25.1"/>
        <n v="38.9"/>
        <n v="20.2"/>
        <n v="17.3"/>
        <n v="39.0"/>
        <n v="23.7"/>
        <n v="12.9"/>
        <n v="35.8"/>
        <n v="39.8"/>
        <n v="10.3"/>
        <n v="33.0"/>
        <n v="24.6"/>
        <n v="14.1"/>
        <n v="8.9"/>
        <n v="49.4"/>
        <n v="36.0"/>
        <n v="3.3"/>
        <n v="38.5"/>
        <n v="25.7"/>
        <n v="39.9"/>
        <n v="8.4"/>
        <n v="2.2"/>
        <n v="7.8"/>
        <n v="49.2"/>
        <n v="13.2"/>
        <n v="45.6"/>
        <n v="44.4"/>
        <n v="4.9"/>
        <n v="18.9"/>
        <n v="18.0"/>
        <n v="5.1"/>
        <n v="21.2"/>
        <n v="11.4"/>
        <n v="34.6"/>
        <n v="27.5"/>
        <n v="41.3"/>
        <n v="16.8"/>
        <n v="20.6"/>
        <n v="8.5"/>
        <n v="16.3"/>
        <n v="32.3"/>
        <n v="15.2"/>
        <n v="7.9"/>
        <n v="19.3"/>
        <n v="5.2"/>
        <n v="21.4"/>
        <n v="21.8"/>
        <n v="34.8"/>
        <n v="8.3"/>
        <n v="3.8"/>
        <n v="24.9"/>
        <n v="15.3"/>
        <n v="38.0"/>
        <n v="52.6"/>
        <n v="24.2"/>
        <n v="18.6"/>
        <n v="29.1"/>
        <n v="14.0"/>
        <n v="37.5"/>
        <n v="22.4"/>
        <n v="21.1"/>
        <n v="18.1"/>
        <n v="20.4"/>
        <n v="41.9"/>
        <n v="46.6"/>
        <n v="9.3"/>
        <n v="21.9"/>
        <n v="36.2"/>
        <n v="10.8"/>
        <n v="6.5"/>
        <n v="49.0"/>
        <n v="27.6"/>
        <n v="11.9"/>
        <n v="10.7"/>
        <n v="29.9"/>
        <n v="30.8"/>
        <n v="43.4"/>
        <n v="37.3"/>
        <n v="35.7"/>
        <n v="23.3"/>
        <n v="35.3"/>
        <n v="4.8"/>
        <n v="41.4"/>
        <n v="12.7"/>
        <n v="29.0"/>
        <n v="20.8"/>
        <n v="42.3"/>
        <n v="43.2"/>
        <n v="20.9"/>
        <n v="23.1"/>
        <n v="19.1"/>
        <n v="1.3"/>
        <n v="14.9"/>
        <n v="47.8"/>
        <n v="14.7"/>
        <n v="15.8"/>
        <n v="15.7"/>
        <n v="13.5"/>
        <n v="30.5"/>
        <n v="9.4"/>
        <n v="29.8"/>
        <n v="11.0"/>
        <n v="33.3"/>
        <n v="44.7"/>
        <n v="48.4"/>
        <n v="53.8"/>
        <n v="11.6"/>
        <n v="9.1"/>
        <n v="31.8"/>
        <n v="31.5"/>
        <n v="22.2"/>
        <n v="40.3"/>
        <n v="44.8"/>
        <n v="47.2"/>
        <n v="19.9"/>
        <n v="25.9"/>
        <n v="43.1"/>
        <n v="46.5"/>
        <n v="55.8"/>
        <n v="18.7"/>
        <n v="7.1"/>
        <n v="24.3"/>
        <n v="26.7"/>
        <n v="14.8"/>
        <n v="39.1"/>
        <n v="16.1"/>
        <n v="37.0"/>
        <n v="3.1"/>
        <n v="39.7"/>
        <n v="53.2"/>
        <n v="17.0"/>
        <n v="51.1"/>
        <n v="20.1"/>
        <n v="45.4"/>
        <n v="41.0"/>
        <n v="35.0"/>
        <n v="24.7"/>
        <n v="6.0"/>
        <n v="26.4"/>
        <n v="12.1"/>
        <n v="41.2"/>
        <n v="23.4"/>
        <n v="28.4"/>
        <n v="18.2"/>
        <n v="25.0"/>
        <n v="43.6"/>
        <n v="5.4"/>
        <n v="26.9"/>
        <n v="12.0"/>
        <n v="4.2"/>
        <n v="4.1"/>
        <n v="51.3"/>
        <n v="6.4"/>
        <n v="42.0"/>
        <n v="10.6"/>
        <n v="33.8"/>
        <n v="9.6"/>
        <n v="34.0"/>
        <n v="4.5"/>
        <n v="25.2"/>
        <n v="37.8"/>
        <n v="48.8"/>
        <n v="40.4"/>
        <n v="32.7"/>
        <n v="14.6"/>
        <n v="40.1"/>
        <n v="28.9"/>
        <n v="46.8"/>
        <n v="16.9"/>
        <n v="10.5"/>
        <n v="6.2"/>
        <n v="27.0"/>
        <n v="18.3"/>
        <n v="33.1"/>
        <n v="42.4"/>
        <n v="25.4"/>
        <n v="48.6"/>
        <n v="34.9"/>
        <n v="38.8"/>
        <n v="2.9"/>
        <n v="32.2"/>
        <n v="8.1"/>
        <n v="41.6"/>
        <n v="47.3"/>
        <n v="31.7"/>
        <n v="50.8"/>
        <n v="43.0"/>
        <n v="38.2"/>
        <n v="27.9"/>
        <n v="15.5"/>
        <n v="17.5"/>
        <n v="8.2"/>
        <n v="5.0"/>
        <n v="43.3"/>
        <n v="50.4"/>
        <n v="37.9"/>
        <n v="6.1"/>
        <n v="7.5"/>
        <n v="36.3"/>
        <n v="45.3"/>
        <n v="43.5"/>
        <n v="50.2"/>
        <n v="51.6"/>
        <n v="42.6"/>
        <n v="36.8"/>
        <n v="42.9"/>
        <n v="1.5"/>
        <n v="32.6"/>
        <n v="33.6"/>
        <n v="41.8"/>
        <n v="51.5"/>
        <n v="46.9"/>
        <n v="34.2"/>
        <n v="48.7"/>
        <n v="12.2"/>
        <n v="2.7"/>
        <n v="53.9"/>
        <n v="48.0"/>
        <n v="26.8"/>
        <n v="54.2"/>
        <n v="3.6"/>
        <n v="29.5"/>
        <n v="13.7"/>
        <n v="35.4"/>
        <n v="39.5"/>
        <n v="36.1"/>
        <n v="47.7"/>
        <n v="7.3"/>
        <n v="32.8"/>
        <n v="50.9"/>
        <n v="7.4"/>
        <n v="2.8"/>
        <n v="55.0"/>
        <n v="1.4"/>
        <n v="3.5"/>
        <n v="38.1"/>
        <n v="44.3"/>
        <n v="41.7"/>
        <n v="36.4"/>
        <n v="45.0"/>
        <n v="39.3"/>
        <n v="44.1"/>
        <n v="4.4"/>
        <n v="4.3"/>
        <n v="53.6"/>
        <n v="4.7"/>
        <n v="46.2"/>
        <n v="48.9"/>
        <n v="13.9"/>
        <n v="48.2"/>
        <n v="40.8"/>
        <n v="11.1"/>
      </sharedItems>
    </cacheField>
    <cacheField name="Satisfaction_Score">
      <sharedItems containsMixedTypes="1" containsNumber="1">
        <n v="3.6"/>
        <n v="4.4"/>
        <n v="3.3"/>
        <n v="4.0"/>
        <n v="2.4"/>
        <n v="3.4"/>
        <n v="4.1"/>
        <n v="3.9"/>
        <n v="2.1"/>
        <n v="4.5"/>
        <n v="4.7"/>
        <s v=""/>
        <n v="5.0"/>
        <n v="3.2"/>
        <n v="3.7"/>
        <n v="3.8"/>
        <n v="3.5"/>
        <n v="2.6"/>
        <n v="3.0"/>
        <n v="2.9"/>
        <n v="4.3"/>
        <n v="2.3"/>
        <n v="4.6"/>
        <n v="3.1"/>
        <n v="4.9"/>
        <n v="4.8"/>
        <n v="4.2"/>
        <n v="2.7"/>
        <n v="2.5"/>
        <n v="1.7"/>
        <n v="2.2"/>
        <n v="2.8"/>
        <n v="9.0"/>
        <n v="1.8"/>
        <n v="1.9"/>
        <n v="2.0"/>
        <n v="1.3"/>
        <n v="1.4"/>
        <n v="0.0"/>
        <n v="1.2"/>
        <n v="1.5"/>
        <n v="6.0"/>
        <n v="1.0"/>
        <n v="1.6"/>
      </sharedItems>
    </cacheField>
    <cacheField name="Last_Login">
      <sharedItems containsDate="1" containsMixedTypes="1">
        <d v="2024-01-17T00:00:00Z"/>
        <d v="2025-02-06T00:00:00Z"/>
        <d v="2025-07-18T00:00:00Z"/>
        <d v="2023-12-20T00:00:00Z"/>
        <d v="2023-07-23T00:00:00Z"/>
        <d v="2023-12-29T00:00:00Z"/>
        <d v="2026-08-23T00:00:00Z"/>
        <d v="2023-08-03T00:00:00Z"/>
        <d v="2025-12-17T00:00:00Z"/>
        <d v="2025-07-31T00:00:00Z"/>
        <d v="2026-06-02T00:00:00Z"/>
        <d v="2022-08-08T00:00:00Z"/>
        <d v="2024-11-25T00:00:00Z"/>
        <d v="2023-09-05T00:00:00Z"/>
        <d v="2023-12-01T00:00:00Z"/>
        <d v="2026-05-13T00:00:00Z"/>
        <d v="2022-10-22T00:00:00Z"/>
        <d v="2025-11-02T00:00:00Z"/>
        <d v="2025-04-11T00:00:00Z"/>
        <d v="2024-04-22T00:00:00Z"/>
        <d v="2024-09-10T00:00:00Z"/>
        <d v="2024-07-09T00:00:00Z"/>
        <d v="2026-03-14T00:00:00Z"/>
        <d v="2023-07-12T00:00:00Z"/>
        <d v="2025-04-18T00:00:00Z"/>
        <d v="2024-08-11T00:00:00Z"/>
        <d v="2025-07-25T00:00:00Z"/>
        <d v="2025-11-03T00:00:00Z"/>
        <d v="2023-06-18T00:00:00Z"/>
        <d v="2027-12-02T00:00:00Z"/>
        <d v="2026-08-11T00:00:00Z"/>
        <d v="2025-04-20T00:00:00Z"/>
        <d v="2023-10-28T00:00:00Z"/>
        <d v="2024-05-16T00:00:00Z"/>
        <d v="2027-07-14T00:00:00Z"/>
        <d v="2025-01-11T00:00:00Z"/>
        <d v="2024-05-19T00:00:00Z"/>
        <d v="2022-10-13T00:00:00Z"/>
        <d v="2025-05-28T00:00:00Z"/>
        <d v="2027-07-24T00:00:00Z"/>
        <d v="2024-09-30T00:00:00Z"/>
        <d v="2026-02-12T00:00:00Z"/>
        <d v="2026-07-15T00:00:00Z"/>
        <d v="2026-11-29T00:00:00Z"/>
        <d v="2023-02-03T00:00:00Z"/>
        <d v="2023-08-26T00:00:00Z"/>
        <d v="2025-10-11T00:00:00Z"/>
        <d v="2026-08-24T00:00:00Z"/>
        <d v="2023-02-28T00:00:00Z"/>
        <d v="2025-09-24T00:00:00Z"/>
        <d v="2024-04-10T00:00:00Z"/>
        <d v="2025-12-27T00:00:00Z"/>
        <d v="2024-05-05T00:00:00Z"/>
        <d v="2025-02-19T00:00:00Z"/>
        <d v="2025-01-27T00:00:00Z"/>
        <d v="2028-05-04T00:00:00Z"/>
        <d v="2024-06-18T00:00:00Z"/>
        <d v="2024-11-19T00:00:00Z"/>
        <d v="2028-07-18T00:00:00Z"/>
        <d v="2027-04-05T00:00:00Z"/>
        <d v="2026-05-21T00:00:00Z"/>
        <d v="2025-08-08T00:00:00Z"/>
        <d v="2024-12-10T00:00:00Z"/>
        <d v="2024-09-21T00:00:00Z"/>
        <d v="2025-01-21T00:00:00Z"/>
        <d v="2026-04-29T00:00:00Z"/>
        <d v="2025-10-12T00:00:00Z"/>
        <d v="2023-09-29T00:00:00Z"/>
        <d v="2026-11-06T00:00:00Z"/>
        <d v="2023-03-29T00:00:00Z"/>
        <d v="2024-01-07T00:00:00Z"/>
        <d v="2022-10-08T00:00:00Z"/>
        <d v="2026-09-16T00:00:00Z"/>
        <d v="2025-07-10T00:00:00Z"/>
        <d v="2025-04-28T00:00:00Z"/>
        <d v="2024-03-17T00:00:00Z"/>
        <d v="2027-07-20T00:00:00Z"/>
        <d v="2023-06-01T00:00:00Z"/>
        <d v="2024-11-18T00:00:00Z"/>
        <d v="2024-07-02T00:00:00Z"/>
        <d v="2027-08-16T00:00:00Z"/>
        <d v="2022-05-19T00:00:00Z"/>
        <d v="2025-01-25T00:00:00Z"/>
        <d v="2023-02-27T00:00:00Z"/>
        <d v="2024-10-26T00:00:00Z"/>
        <d v="2026-02-04T00:00:00Z"/>
        <d v="2026-06-24T00:00:00Z"/>
        <d v="2025-08-22T00:00:00Z"/>
        <d v="2023-02-02T00:00:00Z"/>
        <d v="2025-04-04T00:00:00Z"/>
        <d v="2026-04-19T00:00:00Z"/>
        <d v="2025-06-03T00:00:00Z"/>
        <d v="2023-09-10T00:00:00Z"/>
        <d v="2025-05-12T00:00:00Z"/>
        <d v="2023-07-03T00:00:00Z"/>
        <d v="2025-12-18T00:00:00Z"/>
        <d v="2022-08-19T00:00:00Z"/>
        <d v="2024-02-25T00:00:00Z"/>
        <d v="2027-05-08T00:00:00Z"/>
        <d v="2026-08-04T00:00:00Z"/>
        <d v="2023-11-25T00:00:00Z"/>
        <d v="2025-11-20T00:00:00Z"/>
        <d v="2026-04-03T00:00:00Z"/>
        <d v="2022-06-17T00:00:00Z"/>
        <d v="2023-09-13T00:00:00Z"/>
        <d v="2024-09-17T00:00:00Z"/>
        <d v="2025-11-19T00:00:00Z"/>
        <d v="2023-11-14T00:00:00Z"/>
        <d v="2024-03-19T00:00:00Z"/>
        <d v="2025-07-04T00:00:00Z"/>
        <d v="2025-07-02T00:00:00Z"/>
        <d v="2025-12-05T00:00:00Z"/>
        <d v="2023-10-20T00:00:00Z"/>
        <d v="2022-12-28T00:00:00Z"/>
        <d v="2026-02-08T00:00:00Z"/>
        <d v="2024-10-09T00:00:00Z"/>
        <d v="2025-12-10T00:00:00Z"/>
        <d v="2025-03-19T00:00:00Z"/>
        <d v="2025-05-20T00:00:00Z"/>
        <d v="2028-05-24T00:00:00Z"/>
        <d v="2025-01-13T00:00:00Z"/>
        <d v="2026-02-01T00:00:00Z"/>
        <d v="2026-05-01T00:00:00Z"/>
        <d v="2024-02-01T00:00:00Z"/>
        <d v="2026-03-18T00:00:00Z"/>
        <d v="2025-06-05T00:00:00Z"/>
        <d v="2023-04-11T00:00:00Z"/>
        <d v="2025-12-15T00:00:00Z"/>
        <d v="2022-12-27T00:00:00Z"/>
        <d v="2027-10-23T00:00:00Z"/>
        <d v="2025-12-26T00:00:00Z"/>
        <d v="2023-03-19T00:00:00Z"/>
        <d v="2024-01-24T00:00:00Z"/>
        <d v="2024-08-04T00:00:00Z"/>
        <d v="2025-11-29T00:00:00Z"/>
        <d v="2025-06-27T00:00:00Z"/>
        <d v="2022-10-16T00:00:00Z"/>
        <d v="2028-06-17T00:00:00Z"/>
        <d v="2023-11-13T00:00:00Z"/>
        <d v="2026-11-18T00:00:00Z"/>
        <d v="2027-03-10T00:00:00Z"/>
        <d v="2023-12-19T00:00:00Z"/>
        <d v="2024-10-14T00:00:00Z"/>
        <d v="2025-02-25T00:00:00Z"/>
        <d v="2022-12-21T00:00:00Z"/>
        <d v="2025-12-24T00:00:00Z"/>
        <d v="2024-06-03T00:00:00Z"/>
        <d v="2025-09-03T00:00:00Z"/>
        <d v="2026-05-14T00:00:00Z"/>
        <d v="2024-12-28T00:00:00Z"/>
        <d v="2024-03-09T00:00:00Z"/>
        <d v="2026-12-18T00:00:00Z"/>
        <d v="2023-04-27T00:00:00Z"/>
        <d v="2024-07-26T00:00:00Z"/>
        <d v="2025-01-29T00:00:00Z"/>
        <d v="2024-09-18T00:00:00Z"/>
        <d v="2024-12-19T00:00:00Z"/>
        <d v="2026-01-03T00:00:00Z"/>
        <s v=""/>
        <d v="2024-12-18T00:00:00Z"/>
        <d v="2023-01-05T00:00:00Z"/>
        <d v="2027-12-04T00:00:00Z"/>
        <d v="2025-09-06T00:00:00Z"/>
        <d v="2024-09-07T00:00:00Z"/>
        <d v="2025-12-03T00:00:00Z"/>
        <d v="2023-11-23T00:00:00Z"/>
        <d v="2024-03-04T00:00:00Z"/>
        <d v="2025-03-05T00:00:00Z"/>
        <d v="2025-10-24T00:00:00Z"/>
        <d v="2024-11-17T00:00:00Z"/>
        <d v="2023-07-31T00:00:00Z"/>
        <d v="2024-06-04T00:00:00Z"/>
        <d v="2025-10-10T00:00:00Z"/>
        <d v="2022-05-10T00:00:00Z"/>
        <d v="2023-06-24T00:00:00Z"/>
        <d v="2022-06-23T00:00:00Z"/>
        <d v="2023-02-22T00:00:00Z"/>
        <d v="2028-01-12T00:00:00Z"/>
        <d v="2023-08-27T00:00:00Z"/>
        <d v="2027-05-10T00:00:00Z"/>
        <d v="2023-05-28T00:00:00Z"/>
        <d v="2027-01-17T00:00:00Z"/>
        <d v="2025-11-23T00:00:00Z"/>
        <d v="2022-04-20T00:00:00Z"/>
        <d v="2025-03-25T00:00:00Z"/>
        <d v="2024-08-22T00:00:00Z"/>
        <d v="2022-03-04T00:00:00Z"/>
        <d v="2025-09-27T00:00:00Z"/>
        <d v="2023-02-09T00:00:00Z"/>
        <d v="2025-05-27T00:00:00Z"/>
        <d v="2023-05-19T00:00:00Z"/>
        <d v="2023-03-13T00:00:00Z"/>
        <d v="2027-05-27T00:00:00Z"/>
        <d v="2023-01-03T00:00:00Z"/>
        <d v="2026-01-26T00:00:00Z"/>
        <d v="2026-06-18T00:00:00Z"/>
        <d v="2023-07-08T00:00:00Z"/>
        <d v="2023-10-23T00:00:00Z"/>
        <d v="2023-03-10T00:00:00Z"/>
        <d v="2024-12-11T00:00:00Z"/>
        <d v="2026-12-26T00:00:00Z"/>
        <d v="2023-09-15T00:00:00Z"/>
        <d v="2022-02-24T00:00:00Z"/>
        <d v="2023-03-05T00:00:00Z"/>
        <d v="2025-10-31T00:00:00Z"/>
        <d v="2023-04-26T00:00:00Z"/>
        <d v="2026-09-21T00:00:00Z"/>
        <d v="2023-01-12T00:00:00Z"/>
        <d v="2024-10-24T00:00:00Z"/>
        <d v="2022-08-06T00:00:00Z"/>
        <d v="2025-10-08T00:00:00Z"/>
        <d v="2025-01-19T00:00:00Z"/>
        <d v="2024-05-29T00:00:00Z"/>
        <d v="2024-08-16T00:00:00Z"/>
        <d v="2023-05-29T00:00:00Z"/>
        <d v="2026-05-04T00:00:00Z"/>
        <d v="2025-11-07T00:00:00Z"/>
        <d v="2024-09-24T00:00:00Z"/>
        <d v="2023-08-07T00:00:00Z"/>
        <d v="2027-03-31T00:00:00Z"/>
        <d v="2027-04-16T00:00:00Z"/>
        <d v="2025-04-15T00:00:00Z"/>
        <d v="2023-07-07T00:00:00Z"/>
        <d v="2025-01-02T00:00:00Z"/>
        <d v="2025-10-06T00:00:00Z"/>
        <d v="2024-04-18T00:00:00Z"/>
        <d v="2025-10-26T00:00:00Z"/>
        <d v="2022-11-02T00:00:00Z"/>
        <d v="2024-04-09T00:00:00Z"/>
        <d v="2024-11-13T00:00:00Z"/>
        <d v="2024-04-27T00:00:00Z"/>
        <d v="2025-10-14T00:00:00Z"/>
        <d v="2024-09-20T00:00:00Z"/>
        <d v="2028-08-07T00:00:00Z"/>
        <d v="2028-08-27T00:00:00Z"/>
        <d v="2023-02-24T00:00:00Z"/>
        <d v="2024-11-20T00:00:00Z"/>
        <d v="2026-02-15T00:00:00Z"/>
        <d v="2024-03-22T00:00:00Z"/>
        <d v="2026-02-14T00:00:00Z"/>
        <d v="2024-11-29T00:00:00Z"/>
        <d v="2026-05-05T00:00:00Z"/>
        <d v="2023-11-07T00:00:00Z"/>
        <d v="2025-02-20T00:00:00Z"/>
        <d v="2027-04-28T00:00:00Z"/>
        <d v="2025-02-03T00:00:00Z"/>
        <d v="2025-08-02T00:00:00Z"/>
        <d v="2025-07-21T00:00:00Z"/>
        <d v="2025-11-13T00:00:00Z"/>
        <d v="2024-12-16T00:00:00Z"/>
        <d v="2025-08-30T00:00:00Z"/>
        <d v="2025-08-12T00:00:00Z"/>
        <d v="2025-03-14T00:00:00Z"/>
        <d v="2023-04-19T00:00:00Z"/>
        <d v="2027-06-21T00:00:00Z"/>
        <d v="2023-08-23T00:00:00Z"/>
        <d v="2027-02-14T00:00:00Z"/>
        <d v="2027-09-09T00:00:00Z"/>
        <d v="2027-11-06T00:00:00Z"/>
        <d v="2023-08-11T00:00:00Z"/>
        <d v="2024-11-22T00:00:00Z"/>
        <d v="2025-03-17T00:00:00Z"/>
        <d v="2026-01-25T00:00:00Z"/>
        <d v="2026-06-08T00:00:00Z"/>
        <d v="2025-05-23T00:00:00Z"/>
        <d v="2024-10-12T00:00:00Z"/>
        <d v="2024-07-16T00:00:00Z"/>
        <d v="2023-03-21T00:00:00Z"/>
        <d v="2026-08-17T00:00:00Z"/>
        <d v="2022-02-12T00:00:00Z"/>
        <d v="2024-08-12T00:00:00Z"/>
        <d v="2026-12-08T00:00:00Z"/>
        <d v="2025-04-01T00:00:00Z"/>
        <d v="2023-11-01T00:00:00Z"/>
        <d v="2025-06-11T00:00:00Z"/>
        <d v="2024-03-03T00:00:00Z"/>
        <d v="2025-01-26T00:00:00Z"/>
        <d v="2025-11-30T00:00:00Z"/>
        <d v="2024-08-29T00:00:00Z"/>
        <d v="2025-05-17T00:00:00Z"/>
        <d v="2025-01-01T00:00:00Z"/>
        <d v="2022-10-07T00:00:00Z"/>
        <d v="2022-05-18T00:00:00Z"/>
        <d v="2025-04-09T00:00:00Z"/>
        <d v="2025-07-28T00:00:00Z"/>
        <d v="2024-05-06T00:00:00Z"/>
        <d v="2024-03-26T00:00:00Z"/>
        <d v="2025-04-26T00:00:00Z"/>
        <d v="2023-10-10T00:00:00Z"/>
        <d v="2024-04-19T00:00:00Z"/>
        <d v="2025-09-13T00:00:00Z"/>
        <d v="2026-10-03T00:00:00Z"/>
        <d v="2028-01-03T00:00:00Z"/>
        <d v="2025-09-25T00:00:00Z"/>
        <d v="2028-07-15T00:00:00Z"/>
        <d v="2024-07-23T00:00:00Z"/>
        <d v="2024-08-14T00:00:00Z"/>
        <d v="2026-04-26T00:00:00Z"/>
        <d v="2024-05-07T00:00:00Z"/>
        <d v="2026-06-13T00:00:00Z"/>
        <d v="2027-10-31T00:00:00Z"/>
        <d v="2024-11-07T00:00:00Z"/>
        <d v="2026-03-10T00:00:00Z"/>
        <d v="2025-08-06T00:00:00Z"/>
        <d v="2027-10-11T00:00:00Z"/>
        <d v="2023-09-22T00:00:00Z"/>
        <d v="2029-08-23T00:00:00Z"/>
        <d v="2022-09-14T00:00:00Z"/>
        <d v="2027-12-31T00:00:00Z"/>
        <d v="2023-06-08T00:00:00Z"/>
        <d v="2023-06-10T00:00:00Z"/>
        <d v="2025-06-28T00:00:00Z"/>
        <d v="2023-01-17T00:00:00Z"/>
        <d v="2024-04-21T00:00:00Z"/>
        <d v="2027-01-06T00:00:00Z"/>
        <d v="2022-12-10T00:00:00Z"/>
        <d v="2023-06-13T00:00:00Z"/>
        <d v="2022-11-05T00:00:00Z"/>
        <d v="2026-07-30T00:00:00Z"/>
        <d v="2022-06-30T00:00:00Z"/>
        <d v="2026-09-24T00:00:00Z"/>
        <d v="2024-07-06T00:00:00Z"/>
        <d v="2025-03-28T00:00:00Z"/>
        <d v="2026-02-20T00:00:00Z"/>
        <d v="2024-08-01T00:00:00Z"/>
        <d v="2025-07-07T00:00:00Z"/>
        <d v="2026-05-09T00:00:00Z"/>
        <d v="2027-12-08T00:00:00Z"/>
        <d v="2024-03-12T00:00:00Z"/>
        <d v="2023-12-03T00:00:00Z"/>
        <d v="2027-11-02T00:00:00Z"/>
        <d v="2026-02-16T00:00:00Z"/>
        <d v="2026-02-13T00:00:00Z"/>
        <d v="2026-10-20T00:00:00Z"/>
        <d v="2023-08-12T00:00:00Z"/>
        <d v="2025-11-11T00:00:00Z"/>
        <d v="2027-02-01T00:00:00Z"/>
        <d v="2027-03-22T00:00:00Z"/>
        <d v="2025-01-31T00:00:00Z"/>
        <d v="2026-02-22T00:00:00Z"/>
        <d v="2025-02-26T00:00:00Z"/>
        <d v="2023-01-04T00:00:00Z"/>
        <d v="2022-12-24T00:00:00Z"/>
        <d v="2023-04-04T00:00:00Z"/>
        <d v="2024-06-27T00:00:00Z"/>
        <d v="2024-10-25T00:00:00Z"/>
        <d v="2025-11-12T00:00:00Z"/>
        <d v="2023-07-11T00:00:00Z"/>
        <d v="2022-07-15T00:00:00Z"/>
        <d v="2026-11-26T00:00:00Z"/>
        <d v="2025-11-08T00:00:00Z"/>
        <d v="2024-10-11T00:00:00Z"/>
        <d v="2024-10-06T00:00:00Z"/>
        <d v="2028-12-10T00:00:00Z"/>
        <d v="2023-03-03T00:00:00Z"/>
        <d v="2026-08-13T00:00:00Z"/>
        <d v="2024-03-01T00:00:00Z"/>
        <d v="2028-04-20T00:00:00Z"/>
        <d v="2025-12-28T00:00:00Z"/>
        <d v="2025-03-15T00:00:00Z"/>
        <d v="2023-08-10T00:00:00Z"/>
        <d v="2024-11-06T00:00:00Z"/>
        <d v="2025-10-16T00:00:00Z"/>
        <d v="2023-09-28T00:00:00Z"/>
        <d v="2024-10-27T00:00:00Z"/>
        <d v="2026-12-13T00:00:00Z"/>
        <d v="2025-12-08T00:00:00Z"/>
        <d v="2026-10-15T00:00:00Z"/>
        <d v="2028-05-14T00:00:00Z"/>
        <d v="2023-06-16T00:00:00Z"/>
        <d v="2025-02-27T00:00:00Z"/>
        <d v="2023-10-05T00:00:00Z"/>
        <d v="2024-12-14T00:00:00Z"/>
        <d v="2023-06-15T00:00:00Z"/>
        <d v="2027-09-21T00:00:00Z"/>
        <d v="2025-01-22T00:00:00Z"/>
        <d v="2024-12-30T00:00:00Z"/>
        <d v="2023-06-26T00:00:00Z"/>
        <d v="2026-10-31T00:00:00Z"/>
        <d v="2024-04-30T00:00:00Z"/>
        <d v="2025-03-07T00:00:00Z"/>
        <d v="2023-04-07T00:00:00Z"/>
        <d v="2023-01-11T00:00:00Z"/>
        <d v="2024-03-10T00:00:00Z"/>
        <d v="2024-11-04T00:00:00Z"/>
        <d v="2025-04-14T00:00:00Z"/>
        <d v="2023-09-18T00:00:00Z"/>
        <d v="2027-07-25T00:00:00Z"/>
        <d v="2024-04-24T00:00:00Z"/>
        <d v="2025-08-07T00:00:00Z"/>
        <d v="2024-11-16T00:00:00Z"/>
        <d v="2027-02-17T00:00:00Z"/>
        <d v="2024-01-30T00:00:00Z"/>
        <d v="2026-12-21T00:00:00Z"/>
        <d v="2025-02-12T00:00:00Z"/>
        <d v="2023-11-11T00:00:00Z"/>
        <d v="2025-07-16T00:00:00Z"/>
        <d v="2027-06-19T00:00:00Z"/>
        <d v="2025-01-15T00:00:00Z"/>
        <d v="2026-12-15T00:00:00Z"/>
        <d v="2022-11-08T00:00:00Z"/>
        <d v="2025-10-19T00:00:00Z"/>
        <d v="2025-05-30T00:00:00Z"/>
        <d v="2024-03-11T00:00:00Z"/>
        <d v="2027-03-29T00:00:00Z"/>
        <d v="2023-01-30T00:00:00Z"/>
        <d v="2026-02-11T00:00:00Z"/>
        <d v="2023-02-10T00:00:00Z"/>
        <d v="2025-09-21T00:00:00Z"/>
        <d v="2024-02-06T00:00:00Z"/>
        <d v="2026-04-17T00:00:00Z"/>
        <d v="2025-05-26T00:00:00Z"/>
        <d v="2023-03-22T00:00:00Z"/>
        <d v="2027-11-24T00:00:00Z"/>
        <d v="2024-06-12T00:00:00Z"/>
        <d v="2025-03-09T00:00:00Z"/>
        <d v="2025-04-21T00:00:00Z"/>
        <d v="2022-06-28T00:00:00Z"/>
        <d v="2024-01-08T00:00:00Z"/>
        <d v="2025-06-19T00:00:00Z"/>
        <d v="2026-05-02T00:00:00Z"/>
        <d v="2023-04-29T00:00:00Z"/>
        <d v="2025-04-24T00:00:00Z"/>
        <d v="2027-07-07T00:00:00Z"/>
        <d v="2027-06-22T00:00:00Z"/>
        <d v="2027-12-13T00:00:00Z"/>
        <d v="2025-04-05T00:00:00Z"/>
        <d v="2023-04-05T00:00:00Z"/>
        <d v="2024-06-26T00:00:00Z"/>
        <d v="2023-11-06T00:00:00Z"/>
        <d v="2027-11-20T00:00:00Z"/>
        <d v="2027-03-04T00:00:00Z"/>
        <d v="2022-03-29T00:00:00Z"/>
        <d v="2025-12-30T00:00:00Z"/>
        <d v="2026-08-18T00:00:00Z"/>
        <d v="2025-07-27T00:00:00Z"/>
        <d v="2025-03-13T00:00:00Z"/>
        <d v="2024-11-28T00:00:00Z"/>
        <d v="2025-04-25T00:00:00Z"/>
        <d v="2024-02-15T00:00:00Z"/>
        <d v="2022-11-10T00:00:00Z"/>
        <d v="2022-02-22T00:00:00Z"/>
        <d v="2023-08-21T00:00:00Z"/>
        <d v="2022-08-12T00:00:00Z"/>
        <d v="2024-07-07T00:00:00Z"/>
        <d v="2024-10-01T00:00:00Z"/>
        <d v="2023-06-04T00:00:00Z"/>
        <d v="2026-05-11T00:00:00Z"/>
        <d v="2024-07-31T00:00:00Z"/>
        <d v="2029-07-21T00:00:00Z"/>
        <d v="2023-02-15T00:00:00Z"/>
        <d v="2027-11-26T00:00:00Z"/>
        <d v="2025-03-29T00:00:00Z"/>
        <d v="2022-07-07T00:00:00Z"/>
        <d v="2023-06-03T00:00:00Z"/>
        <d v="2024-07-30T00:00:00Z"/>
        <d v="2028-02-16T00:00:00Z"/>
        <d v="2028-12-08T00:00:00Z"/>
        <d v="2022-11-13T00:00:00Z"/>
        <d v="2028-06-14T00:00:00Z"/>
        <d v="2026-11-05T00:00:00Z"/>
        <d v="2025-12-11T00:00:00Z"/>
        <d v="2023-07-19T00:00:00Z"/>
        <d v="2026-07-19T00:00:00Z"/>
        <d v="2025-11-09T00:00:00Z"/>
        <d v="2024-11-10T00:00:00Z"/>
        <d v="2028-03-26T00:00:00Z"/>
        <d v="2025-05-08T00:00:00Z"/>
        <d v="2025-10-23T00:00:00Z"/>
        <d v="2024-06-15T00:00:00Z"/>
        <d v="2024-03-14T00:00:00Z"/>
        <d v="2025-08-13T00:00:00Z"/>
        <d v="2027-05-28T00:00:00Z"/>
        <d v="2023-12-25T00:00:00Z"/>
        <d v="2024-03-13T00:00:00Z"/>
        <d v="2023-06-19T00:00:00Z"/>
        <d v="2024-05-04T00:00:00Z"/>
        <d v="2022-12-25T00:00:00Z"/>
        <d v="2022-10-29T00:00:00Z"/>
        <d v="2025-09-29T00:00:00Z"/>
        <d v="2023-03-08T00:00:00Z"/>
        <d v="2023-05-25T00:00:00Z"/>
        <d v="2026-11-28T00:00:00Z"/>
        <d v="2026-10-28T00:00:00Z"/>
        <d v="2022-12-12T00:00:00Z"/>
        <d v="2026-04-09T00:00:00Z"/>
        <d v="2023-07-30T00:00:00Z"/>
        <d v="2026-06-01T00:00:00Z"/>
        <d v="2026-04-25T00:00:00Z"/>
        <d v="2027-08-02T00:00:00Z"/>
        <d v="2027-07-16T00:00:00Z"/>
        <d v="2025-12-07T00:00:00Z"/>
        <d v="2024-09-26T00:00:00Z"/>
        <d v="2022-08-17T00:00:00Z"/>
        <d v="2027-02-21T00:00:00Z"/>
        <d v="2025-07-30T00:00:00Z"/>
        <d v="2024-01-25T00:00:00Z"/>
        <d v="2023-06-06T00:00:00Z"/>
        <d v="2026-09-07T00:00:00Z"/>
        <d v="2024-10-02T00:00:00Z"/>
        <d v="2027-04-15T00:00:00Z"/>
        <d v="2023-07-17T00:00:00Z"/>
        <d v="2025-06-23T00:00:00Z"/>
        <d v="2025-06-22T00:00:00Z"/>
        <d v="2025-03-30T00:00:00Z"/>
        <d v="2024-12-13T00:00:00Z"/>
        <d v="2023-03-06T00:00:00Z"/>
        <d v="2023-05-30T00:00:00Z"/>
        <d v="2026-07-02T00:00:00Z"/>
        <d v="2022-07-04T00:00:00Z"/>
        <d v="2026-02-23T00:00:00Z"/>
        <d v="2026-04-22T00:00:00Z"/>
        <d v="2022-10-11T00:00:00Z"/>
        <d v="2023-06-12T00:00:00Z"/>
        <d v="2023-05-12T00:00:00Z"/>
        <d v="2026-09-12T00:00:00Z"/>
        <d v="2025-06-15T00:00:00Z"/>
        <d v="2025-06-08T00:00:00Z"/>
        <d v="2023-06-09T00:00:00Z"/>
        <d v="2025-05-21T00:00:00Z"/>
        <d v="2023-10-01T00:00:00Z"/>
        <d v="2022-09-09T00:00:00Z"/>
        <d v="2022-08-15T00:00:00Z"/>
        <d v="2024-06-29T00:00:00Z"/>
        <d v="2023-12-30T00:00:00Z"/>
        <d v="2022-09-13T00:00:00Z"/>
        <d v="2023-09-25T00:00:00Z"/>
        <d v="2025-05-22T00:00:00Z"/>
        <d v="2027-01-23T00:00:00Z"/>
        <d v="2022-03-19T00:00:00Z"/>
        <d v="2025-05-04T00:00:00Z"/>
        <d v="2023-12-11T00:00:00Z"/>
        <d v="2025-08-18T00:00:00Z"/>
        <d v="2024-01-16T00:00:00Z"/>
        <d v="2026-12-03T00:00:00Z"/>
        <d v="2025-04-16T00:00:00Z"/>
        <d v="2022-07-25T00:00:00Z"/>
        <d v="2024-02-02T00:00:00Z"/>
        <d v="2026-03-04T00:00:00Z"/>
        <d v="2027-10-09T00:00:00Z"/>
        <d v="2023-02-13T00:00:00Z"/>
        <d v="2025-08-19T00:00:00Z"/>
        <d v="2023-10-31T00:00:00Z"/>
        <d v="2026-09-01T00:00:00Z"/>
        <d v="2025-04-13T00:00:00Z"/>
        <d v="2023-08-31T00:00:00Z"/>
        <d v="2025-04-06T00:00:00Z"/>
        <d v="2024-05-01T00:00:00Z"/>
        <d v="2026-04-14T00:00:00Z"/>
        <d v="2025-01-05T00:00:00Z"/>
        <d v="2024-09-16T00:00:00Z"/>
        <d v="2027-08-14T00:00:00Z"/>
        <d v="2024-08-08T00:00:00Z"/>
        <d v="2027-07-13T00:00:00Z"/>
        <d v="2026-06-12T00:00:00Z"/>
        <d v="2025-02-07T00:00:00Z"/>
        <d v="2024-07-01T00:00:00Z"/>
        <d v="2023-10-30T00:00:00Z"/>
        <d v="2025-06-30T00:00:00Z"/>
        <d v="2023-01-07T00:00:00Z"/>
        <d v="2027-02-06T00:00:00Z"/>
        <d v="2023-04-28T00:00:00Z"/>
        <d v="2026-03-03T00:00:00Z"/>
        <d v="2023-04-16T00:00:00Z"/>
        <d v="2025-01-10T00:00:00Z"/>
        <d v="2026-07-20T00:00:00Z"/>
        <d v="2023-10-24T00:00:00Z"/>
        <d v="2023-03-16T00:00:00Z"/>
        <d v="2024-07-05T00:00:00Z"/>
        <d v="2027-12-14T00:00:00Z"/>
        <d v="2026-11-02T00:00:00Z"/>
        <d v="2025-05-18T00:00:00Z"/>
        <d v="2023-10-22T00:00:00Z"/>
        <d v="2024-08-09T00:00:00Z"/>
        <d v="2026-11-27T00:00:00Z"/>
        <d v="2024-05-31T00:00:00Z"/>
        <d v="2026-05-26T00:00:00Z"/>
        <d v="2023-10-03T00:00:00Z"/>
        <d v="2025-04-10T00:00:00Z"/>
        <d v="2025-09-04T00:00:00Z"/>
        <d v="2024-06-24T00:00:00Z"/>
        <d v="2023-10-13T00:00:00Z"/>
        <d v="2026-04-16T00:00:00Z"/>
        <d v="2024-07-29T00:00:00Z"/>
        <d v="2026-04-13T00:00:00Z"/>
        <d v="2024-10-29T00:00:00Z"/>
        <d v="2022-11-14T00:00:00Z"/>
        <d v="2022-01-24T00:00:00Z"/>
        <d v="2026-09-29T00:00:00Z"/>
        <d v="2025-05-31T00:00:00Z"/>
        <d v="2028-04-12T00:00:00Z"/>
        <d v="2026-05-08T00:00:00Z"/>
        <d v="2026-06-17T00:00:00Z"/>
        <d v="2022-06-09T00:00:00Z"/>
        <d v="2025-01-08T00:00:00Z"/>
        <d v="2025-02-21T00:00:00Z"/>
        <d v="2022-06-12T00:00:00Z"/>
        <d v="2022-09-18T00:00:00Z"/>
        <d v="2022-05-31T00:00:00Z"/>
        <d v="2022-09-16T00:00:00Z"/>
        <d v="2026-07-31T00:00:00Z"/>
        <d v="2023-01-23T00:00:00Z"/>
        <d v="2025-01-09T00:00:00Z"/>
        <d v="2023-04-18T00:00:00Z"/>
        <d v="2022-10-21T00:00:00Z"/>
        <d v="2026-10-01T00:00:00Z"/>
        <d v="2026-05-15T00:00:00Z"/>
        <d v="2026-04-08T00:00:00Z"/>
        <d v="2025-04-29T00:00:00Z"/>
        <d v="2025-10-18T00:00:00Z"/>
        <d v="2026-07-18T00:00:00Z"/>
        <d v="2023-08-19T00:00:00Z"/>
        <d v="2025-06-25T00:00:00Z"/>
        <d v="2026-01-18T00:00:00Z"/>
        <d v="2024-02-11T00:00:00Z"/>
        <d v="2027-09-03T00:00:00Z"/>
        <d v="2026-06-14T00:00:00Z"/>
        <d v="2025-08-16T00:00:00Z"/>
        <d v="2023-06-30T00:00:00Z"/>
        <d v="2023-07-22T00:00:00Z"/>
        <d v="2026-12-14T00:00:00Z"/>
        <d v="2024-11-11T00:00:00Z"/>
        <d v="2025-11-26T00:00:00Z"/>
        <d v="2025-12-02T00:00:00Z"/>
        <d v="2025-11-27T00:00:00Z"/>
        <d v="2025-05-16T00:00:00Z"/>
        <d v="2023-07-26T00:00:00Z"/>
        <d v="2024-09-14T00:00:00Z"/>
        <d v="2026-04-27T00:00:00Z"/>
        <d v="2028-06-29T00:00:00Z"/>
        <d v="2022-10-06T00:00:00Z"/>
        <d v="2023-03-01T00:00:00Z"/>
        <d v="2025-03-23T00:00:00Z"/>
        <d v="2024-09-04T00:00:00Z"/>
        <d v="2024-09-03T00:00:00Z"/>
        <d v="2024-05-25T00:00:00Z"/>
        <d v="2026-11-21T00:00:00Z"/>
        <d v="2022-07-28T00:00:00Z"/>
        <d v="2024-04-23T00:00:00Z"/>
        <d v="2026-01-16T00:00:00Z"/>
        <d v="2028-03-06T00:00:00Z"/>
        <d v="2026-02-06T00:00:00Z"/>
        <d v="2023-08-16T00:00:00Z"/>
        <d v="2024-05-28T00:00:00Z"/>
        <d v="2026-11-11T00:00:00Z"/>
        <d v="2026-07-01T00:00:00Z"/>
        <d v="2025-03-26T00:00:00Z"/>
        <d v="2027-09-02T00:00:00Z"/>
        <d v="2024-11-23T00:00:00Z"/>
        <d v="2028-11-11T00:00:00Z"/>
        <d v="2025-07-12T00:00:00Z"/>
        <d v="2023-11-17T00:00:00Z"/>
        <d v="2024-09-01T00:00:00Z"/>
        <d v="2027-01-10T00:00:00Z"/>
        <d v="2024-11-01T00:00:00Z"/>
        <d v="2024-06-09T00:00:00Z"/>
        <d v="2027-06-18T00:00:00Z"/>
        <d v="2023-01-20T00:00:00Z"/>
        <d v="2022-08-22T00:00:00Z"/>
        <d v="2024-07-28T00:00:00Z"/>
        <d v="2026-05-27T00:00:00Z"/>
        <d v="2024-10-15T00:00:00Z"/>
        <d v="2025-12-06T00:00:00Z"/>
        <d v="2025-04-19T00:00:00Z"/>
        <d v="2026-05-30T00:00:00Z"/>
        <d v="2025-07-17T00:00:00Z"/>
        <d v="2025-10-21T00:00:00Z"/>
        <d v="2025-11-10T00:00:00Z"/>
        <d v="2025-06-07T00:00:00Z"/>
        <d v="2028-03-10T00:00:00Z"/>
        <d v="2023-08-02T00:00:00Z"/>
        <d v="2023-09-03T00:00:00Z"/>
        <d v="2025-08-03T00:00:00Z"/>
        <d v="2024-05-11T00:00:00Z"/>
        <d v="2022-12-18T00:00:00Z"/>
        <d v="2025-02-02T00:00:00Z"/>
        <d v="2027-02-05T00:00:00Z"/>
        <d v="2025-06-06T00:00:00Z"/>
        <d v="2027-03-08T00:00:00Z"/>
        <d v="2026-09-06T00:00:00Z"/>
        <d v="2022-11-22T00:00:00Z"/>
        <d v="2024-03-08T00:00:00Z"/>
        <d v="2026-08-19T00:00:00Z"/>
        <d v="2024-08-28T00:00:00Z"/>
        <d v="2027-11-01T00:00:00Z"/>
        <d v="2024-06-08T00:00:00Z"/>
        <d v="2027-07-29T00:00:00Z"/>
        <d v="2026-01-06T00:00:00Z"/>
        <d v="2025-06-13T00:00:00Z"/>
        <d v="2024-01-06T00:00:00Z"/>
        <d v="2024-07-08T00:00:00Z"/>
        <d v="2024-07-03T00:00:00Z"/>
        <d v="2028-04-05T00:00:00Z"/>
        <d v="2025-07-26T00:00:00Z"/>
        <d v="2026-04-30T00:00:00Z"/>
        <d v="2025-10-04T00:00:00Z"/>
        <d v="2023-12-09T00:00:00Z"/>
        <d v="2028-08-13T00:00:00Z"/>
        <d v="2023-09-19T00:00:00Z"/>
        <d v="2024-05-13T00:00:00Z"/>
        <d v="2023-10-11T00:00:00Z"/>
        <d v="2027-02-13T00:00:00Z"/>
        <d v="2028-01-17T00:00:00Z"/>
        <d v="2027-01-30T00:00:00Z"/>
        <d v="2023-08-18T00:00:00Z"/>
        <d v="2025-06-26T00:00:00Z"/>
        <d v="2023-08-08T00:00:00Z"/>
        <d v="2024-01-29T00:00:00Z"/>
        <d v="2022-12-22T00:00:00Z"/>
        <d v="2025-09-18T00:00:00Z"/>
        <d v="2028-01-23T00:00:00Z"/>
        <d v="2025-12-19T00:00:00Z"/>
        <d v="2025-08-20T00:00:00Z"/>
        <d v="2026-12-19T00:00:00Z"/>
        <d v="2022-09-30T00:00:00Z"/>
        <d v="2023-12-02T00:00:00Z"/>
        <d v="2024-08-27T00:00:00Z"/>
        <d v="2025-11-22T00:00:00Z"/>
        <d v="2022-05-28T00:00:00Z"/>
        <d v="2022-11-20T00:00:00Z"/>
        <d v="2024-01-22T00:00:00Z"/>
        <d v="2024-04-13T00:00:00Z"/>
        <d v="2024-08-18T00:00:00Z"/>
        <d v="2024-08-06T00:00:00Z"/>
        <d v="2026-07-05T00:00:00Z"/>
        <d v="2023-06-22T00:00:00Z"/>
        <d v="2024-04-16T00:00:00Z"/>
        <d v="2025-12-16T00:00:00Z"/>
        <d v="2024-10-10T00:00:00Z"/>
        <d v="2022-12-16T00:00:00Z"/>
        <d v="2023-04-24T00:00:00Z"/>
        <d v="2025-08-11T00:00:00Z"/>
        <d v="2026-04-24T00:00:00Z"/>
        <d v="2025-02-17T00:00:00Z"/>
        <d v="2022-05-17T00:00:00Z"/>
        <d v="2022-07-20T00:00:00Z"/>
        <d v="2024-03-15T00:00:00Z"/>
        <d v="2026-09-20T00:00:00Z"/>
        <d v="2026-04-28T00:00:00Z"/>
        <d v="2023-11-22T00:00:00Z"/>
        <d v="2025-05-24T00:00:00Z"/>
        <d v="2025-04-17T00:00:00Z"/>
        <d v="2028-03-03T00:00:00Z"/>
        <d v="2025-05-19T00:00:00Z"/>
        <d v="2023-11-02T00:00:00Z"/>
        <d v="2023-10-18T00:00:00Z"/>
        <d v="2024-12-27T00:00:00Z"/>
        <d v="2023-04-25T00:00:00Z"/>
        <d v="2024-10-23T00:00:00Z"/>
        <d v="2024-10-21T00:00:00Z"/>
        <d v="2024-02-19T00:00:00Z"/>
        <d v="2026-05-28T00:00:00Z"/>
        <d v="2022-06-06T00:00:00Z"/>
        <d v="2025-06-18T00:00:00Z"/>
        <d v="2024-03-20T00:00:00Z"/>
        <d v="2025-08-14T00:00:00Z"/>
        <d v="2025-07-20T00:00:00Z"/>
        <d v="2025-05-07T00:00:00Z"/>
        <d v="2026-05-29T00:00:00Z"/>
        <d v="2026-07-25T00:00:00Z"/>
        <d v="2023-11-29T00:00:00Z"/>
        <d v="2022-11-26T00:00:00Z"/>
        <d v="2025-02-08T00:00:00Z"/>
        <d v="2022-10-18T00:00:00Z"/>
        <d v="2023-07-06T00:00:00Z"/>
        <d v="2026-06-28T00:00:00Z"/>
        <d v="2022-04-15T00:00:00Z"/>
        <d v="2023-01-26T00:00:00Z"/>
        <d v="2023-11-20T00:00:00Z"/>
        <d v="2026-07-06T00:00:00Z"/>
        <d v="2022-07-19T00:00:00Z"/>
        <d v="2023-01-25T00:00:00Z"/>
        <d v="2025-07-29T00:00:00Z"/>
        <d v="2025-07-23T00:00:00Z"/>
        <d v="2024-11-09T00:00:00Z"/>
        <d v="2024-06-21T00:00:00Z"/>
        <d v="2025-04-02T00:00:00Z"/>
        <d v="2025-02-13T00:00:00Z"/>
        <d v="2025-10-20T00:00:00Z"/>
        <d v="2022-11-19T00:00:00Z"/>
        <d v="2025-05-15T00:00:00Z"/>
        <d v="2023-04-08T00:00:00Z"/>
        <d v="2028-01-06T00:00:00Z"/>
        <d v="2025-09-14T00:00:00Z"/>
        <d v="2025-07-13T00:00:00Z"/>
        <d v="2023-03-11T00:00:00Z"/>
        <d v="2025-09-10T00:00:00Z"/>
        <d v="2026-07-27T00:00:00Z"/>
        <d v="2023-07-13T00:00:00Z"/>
        <d v="2024-02-26T00:00:00Z"/>
        <d v="2024-05-14T00:00:00Z"/>
        <d v="2023-06-21T00:00:00Z"/>
        <d v="2022-07-12T00:00:00Z"/>
        <d v="2026-12-16T00:00:00Z"/>
        <d v="2028-03-28T00:00:00Z"/>
        <d v="2024-05-30T00:00:00Z"/>
        <d v="2026-09-10T00:00:00Z"/>
        <d v="2028-03-02T00:00:00Z"/>
        <d v="2024-09-09T00:00:00Z"/>
        <d v="2025-06-16T00:00:00Z"/>
        <d v="2026-09-11T00:00:00Z"/>
        <d v="2023-09-04T00:00:00Z"/>
        <d v="2022-11-30T00:00:00Z"/>
        <d v="2025-10-29T00:00:00Z"/>
        <d v="2026-11-25T00:00:00Z"/>
        <d v="2023-11-18T00:00:00Z"/>
        <d v="2024-12-04T00:00:00Z"/>
        <d v="2023-05-06T00:00:00Z"/>
        <d v="2023-04-02T00:00:00Z"/>
        <d v="2028-01-01T00:00:00Z"/>
        <d v="2026-12-30T00:00:00Z"/>
        <d v="2023-05-31T00:00:00Z"/>
        <d v="2025-02-22T00:00:00Z"/>
        <d v="2022-10-10T00:00:00Z"/>
        <d v="2024-03-27T00:00:00Z"/>
        <d v="2023-09-01T00:00:00Z"/>
        <d v="2027-03-15T00:00:00Z"/>
        <d v="2022-07-09T00:00:00Z"/>
        <d v="2027-06-14T00:00:00Z"/>
        <d v="2022-05-05T00:00:00Z"/>
        <d v="2023-03-18T00:00:00Z"/>
        <d v="2028-02-14T00:00:00Z"/>
        <d v="2025-11-01T00:00:00Z"/>
        <d v="2023-11-24T00:00:00Z"/>
        <d v="2025-08-15T00:00:00Z"/>
        <d v="2026-01-02T00:00:00Z"/>
        <d v="2025-09-30T00:00:00Z"/>
        <d v="2024-02-07T00:00:00Z"/>
        <d v="2026-08-25T00:00:00Z"/>
        <d v="2028-01-05T00:00:00Z"/>
        <d v="2026-03-29T00:00:00Z"/>
        <d v="2026-05-22T00:00:00Z"/>
        <d v="2023-12-05T00:00:00Z"/>
        <d v="2025-10-30T00:00:00Z"/>
        <d v="2025-03-16T00:00:00Z"/>
        <d v="2025-07-22T00:00:00Z"/>
        <d v="2023-02-12T00:00:00Z"/>
        <d v="2022-04-27T00:00:00Z"/>
        <d v="2026-07-16T00:00:00Z"/>
        <d v="2022-02-21T00:00:00Z"/>
        <d v="2025-02-15T00:00:00Z"/>
        <d v="2026-06-21T00:00:00Z"/>
        <d v="2025-03-02T00:00:00Z"/>
        <d v="2023-05-26T00:00:00Z"/>
        <d v="2026-03-15T00:00:00Z"/>
        <d v="2027-03-16T00:00:00Z"/>
        <d v="2023-04-14T00:00:00Z"/>
        <d v="2024-05-18T00:00:00Z"/>
        <d v="2024-01-12T00:00:00Z"/>
        <d v="2027-01-05T00:00:00Z"/>
        <d v="2022-08-29T00:00:00Z"/>
        <d v="2025-11-16T00:00:00Z"/>
        <d v="2023-04-09T00:00:00Z"/>
        <d v="2023-08-24T00:00:00Z"/>
        <d v="2026-08-27T00:00:00Z"/>
        <d v="2022-07-27T00:00:00Z"/>
        <d v="2028-04-30T00:00:00Z"/>
        <d v="2022-04-13T00:00:00Z"/>
        <d v="2026-03-22T00:00:00Z"/>
        <d v="2026-06-04T00:00:00Z"/>
        <d v="2025-03-27T00:00:00Z"/>
        <d v="2024-08-15T00:00:00Z"/>
        <d v="2026-02-28T00:00:00Z"/>
        <d v="2027-10-28T00:00:00Z"/>
        <d v="2025-03-01T00:00:00Z"/>
        <d v="2022-12-31T00:00:00Z"/>
        <d v="2028-01-30T00:00:00Z"/>
        <d v="2023-03-02T00:00:00Z"/>
        <d v="2025-09-09T00:00:00Z"/>
        <d v="2025-10-15T00:00:00Z"/>
        <d v="2026-12-11T00:00:00Z"/>
        <d v="2025-01-17T00:00:00Z"/>
        <d v="2023-10-14T00:00:00Z"/>
        <d v="2023-04-12T00:00:00Z"/>
        <d v="2025-11-21T00:00:00Z"/>
        <d v="2022-12-13T00:00:00Z"/>
        <d v="2023-03-31T00:00:00Z"/>
        <d v="2026-01-09T00:00:00Z"/>
        <d v="2023-10-16T00:00:00Z"/>
        <d v="2023-10-04T00:00:00Z"/>
        <d v="2023-09-23T00:00:00Z"/>
        <d v="2028-03-15T00:00:00Z"/>
        <d v="2027-01-28T00:00:00Z"/>
        <d v="2025-01-18T00:00:00Z"/>
        <d v="2023-06-23T00:00:00Z"/>
        <d v="2024-05-03T00:00:00Z"/>
        <d v="2026-01-31T00:00:00Z"/>
        <d v="2023-04-15T00:00:00Z"/>
        <d v="2023-10-15T00:00:00Z"/>
        <d v="2025-11-28T00:00:00Z"/>
        <d v="2024-10-28T00:00:00Z"/>
        <d v="2022-07-08T00:00:00Z"/>
        <d v="2026-03-11T00:00:00Z"/>
        <d v="2024-02-14T00:00:00Z"/>
        <d v="2025-07-14T00:00:00Z"/>
        <d v="2025-09-28T00:00:00Z"/>
        <d v="2022-02-26T00:00:00Z"/>
        <d v="2025-02-05T00:00:00Z"/>
        <d v="2027-03-17T00:00:00Z"/>
        <d v="2024-10-20T00:00:00Z"/>
        <d v="2023-05-15T00:00:00Z"/>
        <d v="2023-03-14T00:00:00Z"/>
        <d v="2022-09-05T00:00:00Z"/>
        <d v="2027-06-16T00:00:00Z"/>
        <d v="2026-07-13T00:00:00Z"/>
        <d v="2023-08-01T00:00:00Z"/>
        <d v="2025-02-16T00:00:00Z"/>
        <d v="2024-12-12T00:00:00Z"/>
        <d v="2024-10-31T00:00:00Z"/>
        <d v="2027-03-24T00:00:00Z"/>
        <d v="2022-10-23T00:00:00Z"/>
        <d v="2026-09-25T00:00:00Z"/>
        <d v="2027-11-25T00:00:00Z"/>
        <d v="2026-08-12T00:00:00Z"/>
        <d v="2026-05-16T00:00:00Z"/>
        <d v="2022-07-10T00:00:00Z"/>
        <d v="2023-12-08T00:00:00Z"/>
        <d v="2023-03-30T00:00:00Z"/>
        <d v="2025-07-06T00:00:00Z"/>
        <d v="2024-12-31T00:00:00Z"/>
        <d v="2026-04-05T00:00:00Z"/>
        <d v="2022-07-05T00:00:00Z"/>
        <d v="2024-03-24T00:00:00Z"/>
        <d v="2022-10-19T00:00:00Z"/>
        <d v="2026-05-17T00:00:00Z"/>
        <d v="2024-12-03T00:00:00Z"/>
        <d v="2027-02-07T00:00:00Z"/>
        <d v="2023-07-29T00:00:00Z"/>
        <d v="2025-09-23T00:00:00Z"/>
        <d v="2022-07-26T00:00:00Z"/>
        <d v="2022-12-07T00:00:00Z"/>
        <d v="2025-10-25T00:00:00Z"/>
        <d v="2026-07-14T00:00:00Z"/>
        <d v="2029-01-15T00:00:00Z"/>
        <d v="2026-03-19T00:00:00Z"/>
        <d v="2026-08-08T00:00:00Z"/>
        <d v="2023-10-17T00:00:00Z"/>
        <d v="2024-01-27T00:00:00Z"/>
        <d v="2023-12-16T00:00:00Z"/>
        <d v="2025-03-31T00:00:00Z"/>
        <d v="2022-09-04T00:00:00Z"/>
        <d v="2023-06-11T00:00:00Z"/>
        <d v="2026-01-20T00:00:00Z"/>
        <d v="2026-06-30T00:00:00Z"/>
        <d v="2022-10-09T00:00:00Z"/>
        <d v="2025-05-02T00:00:00Z"/>
        <d v="2025-09-12T00:00:00Z"/>
        <d v="2025-11-15T00:00:00Z"/>
        <d v="2025-05-13T00:00:00Z"/>
        <d v="2022-08-07T00:00:00Z"/>
        <d v="2023-08-17T00:00:00Z"/>
        <d v="2024-06-05T00:00:00Z"/>
        <d v="2025-02-09T00:00:00Z"/>
        <d v="2026-12-07T00:00:00Z"/>
        <d v="2028-06-03T00:00:00Z"/>
        <d v="2022-05-11T00:00:00Z"/>
        <d v="2025-06-29T00:00:00Z"/>
        <d v="2026-10-06T00:00:00Z"/>
        <d v="2027-11-03T00:00:00Z"/>
        <d v="2026-08-03T00:00:00Z"/>
        <d v="2024-11-24T00:00:00Z"/>
        <d v="2024-11-03T00:00:00Z"/>
        <d v="2024-07-15T00:00:00Z"/>
        <d v="2027-02-08T00:00:00Z"/>
        <d v="2024-07-22T00:00:00Z"/>
        <d v="2027-02-26T00:00:00Z"/>
        <d v="2026-11-14T00:00:00Z"/>
        <d v="2025-03-24T00:00:00Z"/>
        <d v="2026-03-17T00:00:00Z"/>
        <d v="2024-04-08T00:00:00Z"/>
        <d v="2025-06-01T00:00:00Z"/>
        <d v="2024-06-01T00:00:00Z"/>
        <d v="2025-03-11T00:00:00Z"/>
        <d v="2026-05-03T00:00:00Z"/>
        <d v="2023-06-28T00:00:00Z"/>
        <d v="2023-07-04T00:00:00Z"/>
        <d v="2024-05-15T00:00:00Z"/>
        <d v="2023-03-28T00:00:00Z"/>
        <d v="2023-08-29T00:00:00Z"/>
        <d v="2023-07-20T00:00:00Z"/>
        <d v="2022-03-16T00:00:00Z"/>
        <d v="2023-09-06T00:00:00Z"/>
        <d v="2023-07-21T00:00:00Z"/>
        <d v="2026-01-04T00:00:00Z"/>
        <d v="2022-02-23T00:00:00Z"/>
        <d v="2025-10-09T00:00:00Z"/>
        <d v="2025-03-20T00:00:00Z"/>
        <d v="2023-03-24T00:00:00Z"/>
        <d v="2022-09-19T00:00:00Z"/>
        <d v="2025-12-21T00:00:00Z"/>
        <d v="2022-11-28T00:00:00Z"/>
        <d v="2025-09-11T00:00:00Z"/>
        <d v="2022-08-26T00:00:00Z"/>
        <d v="2024-11-21T00:00:00Z"/>
        <d v="2024-04-06T00:00:00Z"/>
        <d v="2025-05-01T00:00:00Z"/>
        <d v="2027-06-27T00:00:00Z"/>
        <d v="2022-03-24T00:00:00Z"/>
        <d v="2022-12-09T00:00:00Z"/>
        <d v="2025-04-12T00:00:00Z"/>
        <d v="2022-09-20T00:00:00Z"/>
        <d v="2023-12-10T00:00:00Z"/>
        <d v="2024-10-18T00:00:00Z"/>
        <d v="2022-09-08T00:00:00Z"/>
        <d v="2027-03-19T00:00:00Z"/>
        <d v="2026-03-16T00:00:00Z"/>
        <d v="2024-06-07T00:00:00Z"/>
        <d v="2024-09-05T00:00:00Z"/>
        <d v="2024-08-17T00:00:00Z"/>
        <d v="2026-11-22T00:00:00Z"/>
        <d v="2024-01-18T00:00:00Z"/>
        <d v="2024-02-24T00:00:00Z"/>
        <d v="2022-05-29T00:00:00Z"/>
        <d v="2023-02-01T00:00:00Z"/>
        <d v="2027-08-22T00:00:00Z"/>
        <d v="2023-07-05T00:00:00Z"/>
        <d v="2024-10-19T00:00:00Z"/>
        <d v="2026-02-19T00:00:00Z"/>
        <d v="2023-07-01T00:00:00Z"/>
        <d v="2024-04-11T00:00:00Z"/>
        <d v="2025-09-07T00:00:00Z"/>
        <d v="2026-11-15T00:00:00Z"/>
        <d v="2023-07-27T00:00:00Z"/>
        <d v="2023-08-05T00:00:00Z"/>
        <d v="2023-07-24T00:00:00Z"/>
        <d v="2024-03-23T00:00:00Z"/>
        <d v="2026-12-09T00:00:00Z"/>
        <d v="2025-01-23T00:00:00Z"/>
        <d v="2024-11-15T00:00:00Z"/>
        <d v="2024-03-02T00:00:00Z"/>
        <d v="2025-03-03T00:00:00Z"/>
        <d v="2023-01-15T00:00:00Z"/>
        <d v="2028-01-25T00:00:00Z"/>
        <d v="2024-09-08T00:00:00Z"/>
        <d v="2024-07-12T00:00:00Z"/>
        <d v="2027-12-22T00:00:00Z"/>
        <d v="2024-02-12T00:00:00Z"/>
        <d v="2023-05-20T00:00:00Z"/>
        <d v="2024-12-08T00:00:00Z"/>
        <d v="2023-05-23T00:00:00Z"/>
        <d v="2022-12-06T00:00:00Z"/>
        <d v="2025-07-09T00:00:00Z"/>
        <d v="2024-10-08T00:00:00Z"/>
        <d v="2022-05-02T00:00:00Z"/>
        <d v="2024-02-09T00:00:00Z"/>
        <d v="2025-02-24T00:00:00Z"/>
        <d v="2022-07-06T00:00:00Z"/>
        <d v="2025-09-19T00:00:00Z"/>
        <d v="2026-04-11T00:00:00Z"/>
        <d v="2023-04-22T00:00:00Z"/>
        <d v="2024-06-16T00:00:00Z"/>
        <d v="2024-06-02T00:00:00Z"/>
        <d v="2024-04-07T00:00:00Z"/>
        <d v="2027-02-16T00:00:00Z"/>
        <d v="2023-12-04T00:00:00Z"/>
        <d v="2024-06-11T00:00:00Z"/>
        <d v="2026-09-23T00:00:00Z"/>
        <d v="2027-04-21T00:00:00Z"/>
        <d v="2024-04-29T00:00:00Z"/>
        <d v="2026-05-23T00:00:00Z"/>
        <d v="2025-08-29T00:00:00Z"/>
        <d v="2026-08-30T00:00:00Z"/>
        <d v="2023-05-22T00:00:00Z"/>
        <d v="2024-08-10T00:00:00Z"/>
        <d v="2027-02-20T00:00:00Z"/>
        <d v="2026-04-12T00:00:00Z"/>
        <d v="2022-10-01T00:00:00Z"/>
        <d v="2028-05-13T00:00:00Z"/>
        <d v="2024-05-17T00:00:00Z"/>
        <d v="2026-01-24T00:00:00Z"/>
        <d v="2023-09-16T00:00:00Z"/>
        <d v="2027-06-24T00:00:00Z"/>
        <d v="2022-09-21T00:00:00Z"/>
        <d v="2022-06-08T00:00:00Z"/>
        <d v="2022-04-05T00:00:00Z"/>
        <d v="2024-02-29T00:00:00Z"/>
        <d v="2023-10-27T00:00:00Z"/>
        <d v="2028-02-29T00:00:00Z"/>
        <d v="2023-05-21T00:00:00Z"/>
        <d v="2027-05-06T00:00:00Z"/>
        <d v="2025-06-21T00:00:00Z"/>
        <d v="2028-10-22T00:00:00Z"/>
        <d v="2024-02-13T00:00:00Z"/>
        <d v="2022-11-15T00:00:00Z"/>
        <d v="2027-05-25T00:00:00Z"/>
        <d v="2025-10-03T00:00:00Z"/>
        <d v="2027-01-09T00:00:00Z"/>
        <d v="2024-09-28T00:00:00Z"/>
        <d v="2024-07-19T00:00:00Z"/>
        <d v="2023-01-06T00:00:00Z"/>
        <d v="2022-12-15T00:00:00Z"/>
        <d v="2026-06-26T00:00:00Z"/>
        <d v="2028-11-01T00:00:00Z"/>
        <d v="2024-06-23T00:00:00Z"/>
        <d v="2026-05-07T00:00:00Z"/>
        <d v="2025-10-13T00:00:00Z"/>
        <d v="2026-10-10T00:00:00Z"/>
        <d v="2027-06-02T00:00:00Z"/>
        <d v="2025-06-24T00:00:00Z"/>
        <d v="2027-01-04T00:00:00Z"/>
        <d v="2026-06-29T00:00:00Z"/>
        <d v="2023-11-19T00:00:00Z"/>
        <d v="2026-03-12T00:00:00Z"/>
        <d v="2024-03-18T00:00:00Z"/>
        <d v="2027-04-25T00:00:00Z"/>
        <d v="2027-04-17T00:00:00Z"/>
        <d v="2026-06-19T00:00:00Z"/>
        <d v="2024-07-25T00:00:00Z"/>
        <d v="2024-08-30T00:00:00Z"/>
        <d v="2024-02-20T00:00:00Z"/>
        <d v="2023-07-14T00:00:00Z"/>
        <d v="2025-04-08T00:00:00Z"/>
        <d v="2026-03-30T00:00:00Z"/>
        <d v="2025-03-08T00:00:00Z"/>
        <d v="2025-07-05T00:00:00Z"/>
        <d v="2026-08-31T00:00:00Z"/>
        <d v="2024-11-27T00:00:00Z"/>
        <d v="2024-08-24T00:00:00Z"/>
        <d v="2025-12-23T00:00:00Z"/>
        <d v="2022-07-30T00:00:00Z"/>
        <d v="2025-04-03T00:00:00Z"/>
        <d v="2026-10-17T00:00:00Z"/>
        <d v="2026-08-29T00:00:00Z"/>
        <d v="2027-05-24T00:00:00Z"/>
        <d v="2028-03-17T00:00:00Z"/>
        <d v="2023-09-27T00:00:00Z"/>
        <d v="2026-02-26T00:00:00Z"/>
        <d v="2027-10-18T00:00:00Z"/>
        <d v="2023-03-07T00:00:00Z"/>
        <d v="2022-12-01T00:00:00Z"/>
        <d v="2029-01-06T00:00:00Z"/>
        <d v="2027-07-10T00:00:00Z"/>
        <d v="2024-01-19T00:00:00Z"/>
        <d v="2023-11-21T00:00:00Z"/>
        <d v="2026-03-20T00:00:00Z"/>
        <d v="2026-04-18T00:00:00Z"/>
        <d v="2023-09-09T00:00:00Z"/>
        <d v="2025-09-02T00:00:00Z"/>
        <d v="2027-03-03T00:00:00Z"/>
        <d v="2022-03-18T00:00:00Z"/>
        <d v="2023-10-21T00:00:00Z"/>
        <d v="2022-11-25T00:00:00Z"/>
        <d v="2025-11-14T00:00:00Z"/>
        <d v="2023-05-07T00:00:00Z"/>
        <d v="2027-10-29T00:00:00Z"/>
        <d v="2023-02-23T00:00:00Z"/>
        <d v="2024-10-13T00:00:00Z"/>
        <d v="2022-06-20T00:00:00Z"/>
        <d v="2025-11-17T00:00:00Z"/>
        <d v="2025-06-14T00:00:00Z"/>
        <d v="2024-10-30T00:00:00Z"/>
        <d v="2024-04-14T00:00:00Z"/>
        <d v="2025-12-31T00:00:00Z"/>
        <d v="2023-04-01T00:00:00Z"/>
        <d v="2026-12-12T00:00:00Z"/>
        <d v="2026-09-08T00:00:00Z"/>
        <d v="2024-03-16T00:00:00Z"/>
        <d v="2023-11-12T00:00:00Z"/>
        <d v="2027-04-19T00:00:00Z"/>
        <d v="2025-09-17T00:00:00Z"/>
        <d v="2025-01-16T00:00:00Z"/>
        <d v="2026-01-15T00:00:00Z"/>
        <d v="2025-01-30T00:00:00Z"/>
        <d v="2026-12-04T00:00:00Z"/>
        <d v="2026-07-22T00:00:00Z"/>
        <d v="2024-02-08T00:00:00Z"/>
        <d v="2026-12-02T00:00:00Z"/>
        <d v="2026-05-25T00:00:00Z"/>
        <d v="2025-03-10T00:00:00Z"/>
        <d v="2022-11-06T00:00:00Z"/>
        <d v="2025-11-04T00:00:00Z"/>
      </sharedItems>
    </cacheField>
    <cacheField name="Churn_Date">
      <sharedItems containsDate="1" containsMixedTypes="1">
        <s v="16/06/2023"/>
        <s v=""/>
        <s v="24/02/2024"/>
        <s v="27/09/2025"/>
        <s v="20/08/2026"/>
        <d v="2025-06-09T00:00:00Z"/>
        <d v="2025-08-10T00:00:00Z"/>
        <s v="16/01/2025"/>
        <d v="2026-06-03T00:00:00Z"/>
        <s v="26/06/2026"/>
        <d v="2025-02-11T00:00:00Z"/>
        <s v="30/12/2026"/>
        <s v="13/11/2027"/>
        <d v="2025-02-02T00:00:00Z"/>
        <d v="2025-11-07T00:00:00Z"/>
        <s v="25/05/2025"/>
        <d v="2028-03-01T00:00:00Z"/>
        <s v="27/10/2022"/>
        <d v="2023-08-10T00:00:00Z"/>
        <d v="2026-05-09T00:00:00Z"/>
        <d v="2025-01-04T00:00:00Z"/>
        <d v="2028-02-02T00:00:00Z"/>
        <s v="30/01/2025"/>
        <s v="18/10/2025"/>
        <s v="21/02/2024"/>
        <d v="2022-02-09T00:00:00Z"/>
        <d v="2023-06-08T00:00:00Z"/>
        <s v="18/04/2024"/>
        <d v="2027-02-05T00:00:00Z"/>
        <d v="2026-09-02T00:00:00Z"/>
        <d v="2022-09-10T00:00:00Z"/>
        <s v="26/12/2025"/>
        <s v="19/01/2025"/>
        <s v="28/08/2025"/>
        <d v="2023-12-08T00:00:00Z"/>
        <d v="2025-01-11T00:00:00Z"/>
        <s v="16/05/2025"/>
        <d v="2025-08-11T00:00:00Z"/>
        <d v="2024-12-03T00:00:00Z"/>
        <s v="16/05/2024"/>
        <s v="14/09/2025"/>
        <s v="17/05/2025"/>
        <d v="2024-03-01T00:00:00Z"/>
        <s v="22/12/2025"/>
        <d v="2023-04-03T00:00:00Z"/>
        <s v="24/07/2025"/>
        <d v="2026-05-04T00:00:00Z"/>
        <d v="2023-08-05T00:00:00Z"/>
        <s v="24/09/2024"/>
        <d v="2028-06-03T00:00:00Z"/>
        <s v="17/04/2024"/>
        <s v="17/04/2026"/>
        <s v="17/08/2024"/>
        <s v="27/02/2023"/>
        <s v="20/10/2026"/>
        <s v="13/09/2024"/>
        <s v="17/05/2024"/>
        <s v="28/09/2025"/>
        <d v="2023-05-10T00:00:00Z"/>
        <s v="29/01/2024"/>
        <s v="22/06/2024"/>
        <s v="15/05/2025"/>
        <d v="2024-09-01T00:00:00Z"/>
        <s v="24/08/2022"/>
        <d v="2023-06-02T00:00:00Z"/>
        <s v="29/05/2022"/>
        <s v="18/08/2025"/>
        <s v="25/12/2026"/>
        <d v="2024-10-10T00:00:00Z"/>
        <s v="14/03/2024"/>
        <s v="31/08/2025"/>
        <d v="2025-01-10T00:00:00Z"/>
        <d v="2023-02-09T00:00:00Z"/>
        <s v="18/01/2029"/>
        <s v="31/05/2025"/>
        <s v="16/02/2023"/>
        <d v="2025-05-05T00:00:00Z"/>
        <d v="2025-04-05T00:00:00Z"/>
        <s v="21/07/2026"/>
        <s v="16/01/2023"/>
        <d v="2026-12-08T00:00:00Z"/>
        <d v="2025-06-01T00:00:00Z"/>
        <d v="2026-04-08T00:00:00Z"/>
        <d v="2025-07-08T00:00:00Z"/>
        <s v="20/08/2024"/>
        <s v="13/09/2026"/>
        <s v="30/12/2025"/>
        <s v="27/05/2026"/>
        <d v="2026-09-09T00:00:00Z"/>
        <s v="28/05/2024"/>
        <s v="26/05/2025"/>
        <d v="2026-07-06T00:00:00Z"/>
        <s v="16/04/2027"/>
        <s v="26/02/2022"/>
        <d v="2027-12-04T00:00:00Z"/>
        <d v="2023-11-07T00:00:00Z"/>
        <d v="2022-04-10T00:00:00Z"/>
        <d v="2022-04-07T00:00:00Z"/>
        <s v="25/04/2026"/>
        <d v="2026-03-10T00:00:00Z"/>
        <s v="20/09/2026"/>
        <d v="2023-11-09T00:00:00Z"/>
        <s v="27/01/2026"/>
        <s v="27/04/2024"/>
        <s v="16/01/2026"/>
        <s v="30/06/2025"/>
        <s v="18/06/2026"/>
        <s v="24/05/2025"/>
        <s v="15/11/2025"/>
        <d v="2023-06-01T00:00:00Z"/>
        <d v="2026-01-07T00:00:00Z"/>
        <d v="2023-06-07T00:00:00Z"/>
        <d v="2023-08-04T00:00:00Z"/>
        <d v="2022-01-05T00:00:00Z"/>
        <s v="25/09/2024"/>
        <s v="19/06/2026"/>
        <d v="2026-07-07T00:00:00Z"/>
        <s v="17/11/2027"/>
        <s v="21/02/2026"/>
        <s v="20/08/2023"/>
        <d v="2026-12-06T00:00:00Z"/>
        <s v="20/05/2025"/>
        <s v="31/05/2023"/>
        <d v="2025-06-06T00:00:00Z"/>
        <d v="2026-06-05T00:00:00Z"/>
        <s v="13/02/2023"/>
        <s v="20/11/2025"/>
        <s v="21/08/2024"/>
        <s v="19/04/2024"/>
        <d v="2022-06-12T00:00:00Z"/>
        <s v="25/10/2022"/>
        <s v="20/07/2024"/>
        <s v="27/09/2026"/>
        <s v="28/02/2026"/>
        <d v="2025-02-09T00:00:00Z"/>
        <s v="17/12/2025"/>
        <s v="15/10/2022"/>
        <s v="19/02/2027"/>
        <d v="2026-10-05T00:00:00Z"/>
        <s v="31/08/2024"/>
        <d v="2024-06-03T00:00:00Z"/>
        <d v="2025-09-01T00:00:00Z"/>
        <s v="30/11/2023"/>
        <d v="2026-09-07T00:00:00Z"/>
        <s v="13/10/2023"/>
        <d v="2023-04-07T00:00:00Z"/>
        <s v="23/06/2025"/>
        <s v="20/01/2028"/>
        <d v="2025-07-04T00:00:00Z"/>
        <d v="2024-11-04T00:00:00Z"/>
        <s v="22/05/2024"/>
        <s v="21/01/2026"/>
        <s v="28/08/2026"/>
        <d v="2022-11-05T00:00:00Z"/>
        <s v="26/01/2024"/>
        <s v="25/12/2025"/>
        <s v="20/03/2023"/>
        <d v="2024-11-01T00:00:00Z"/>
        <s v="19/03/2027"/>
        <s v="21/09/2023"/>
        <d v="2026-05-11T00:00:00Z"/>
        <s v="21/01/2025"/>
        <s v="22/06/2025"/>
        <d v="2024-08-01T00:00:00Z"/>
        <d v="2026-07-03T00:00:00Z"/>
        <s v="30/04/2023"/>
        <s v="28/05/2027"/>
        <s v="18/06/2023"/>
        <s v="27/12/2025"/>
        <s v="29/03/2027"/>
        <s v="17/10/2025"/>
        <s v="30/05/2026"/>
        <d v="2024-12-04T00:00:00Z"/>
        <s v="17/10/2028"/>
        <d v="2024-02-06T00:00:00Z"/>
        <s v="26/10/2023"/>
        <s v="18/09/2026"/>
        <d v="2026-04-01T00:00:00Z"/>
        <d v="2027-03-10T00:00:00Z"/>
        <d v="2026-05-08T00:00:00Z"/>
        <s v="28/11/2024"/>
        <d v="2023-04-11T00:00:00Z"/>
        <s v="25/09/2023"/>
        <d v="2028-12-06T00:00:00Z"/>
        <d v="2024-11-06T00:00:00Z"/>
        <d v="2024-07-11T00:00:00Z"/>
        <s v="14/10/2024"/>
        <s v="30/06/2027"/>
        <d v="2023-10-08T00:00:00Z"/>
        <s v="23/08/2025"/>
        <d v="2024-07-03T00:00:00Z"/>
        <s v="25/03/2024"/>
        <d v="2027-12-08T00:00:00Z"/>
        <d v="2025-03-10T00:00:00Z"/>
        <s v="30/09/2023"/>
        <s v="15/06/2026"/>
        <d v="2026-12-11T00:00:00Z"/>
        <d v="2024-06-05T00:00:00Z"/>
        <s v="17/09/2026"/>
        <d v="2024-10-04T00:00:00Z"/>
        <s v="25/06/2027"/>
        <d v="2026-11-02T00:00:00Z"/>
        <d v="2025-03-05T00:00:00Z"/>
        <d v="2024-06-11T00:00:00Z"/>
        <d v="2022-09-05T00:00:00Z"/>
        <s v="17/06/2022"/>
        <s v="23/07/2024"/>
        <s v="14/01/2023"/>
        <s v="30/06/2023"/>
        <s v="20/06/2027"/>
        <s v="13/08/2022"/>
        <s v="23/11/2023"/>
        <d v="2026-05-10T00:00:00Z"/>
        <s v="15/12/2025"/>
        <s v="25/03/2025"/>
        <d v="2027-11-08T00:00:00Z"/>
        <d v="2027-07-03T00:00:00Z"/>
        <d v="2028-08-02T00:00:00Z"/>
        <s v="17/03/2026"/>
        <s v="28/11/2025"/>
        <s v="13/07/2025"/>
        <d v="2025-12-12T00:00:00Z"/>
        <s v="29/11/2026"/>
        <s v="14/09/2022"/>
        <d v="2024-05-10T00:00:00Z"/>
        <s v="20/07/2026"/>
        <s v="30/11/2026"/>
        <s v="26/10/2025"/>
        <d v="2026-04-07T00:00:00Z"/>
        <d v="2026-03-04T00:00:00Z"/>
        <s v="18/02/2028"/>
        <s v="17/03/2025"/>
        <d v="2025-11-09T00:00:00Z"/>
        <s v="13/08/2024"/>
        <d v="2027-09-09T00:00:00Z"/>
        <s v="22/02/2023"/>
        <s v="30/08/2025"/>
        <s v="23/10/2023"/>
        <s v="29/12/2025"/>
        <s v="25/10/2025"/>
        <d v="2027-02-03T00:00:00Z"/>
        <s v="18/10/2023"/>
        <d v="2022-07-09T00:00:00Z"/>
        <s v="21/03/2025"/>
        <d v="2026-10-06T00:00:00Z"/>
        <s v="28/04/2024"/>
        <s v="24/04/2024"/>
        <s v="30/10/2027"/>
        <s v="28/03/2024"/>
        <s v="23/01/2023"/>
        <s v="22/02/2024"/>
        <s v="24/08/2025"/>
        <d v="2024-08-07T00:00:00Z"/>
        <s v="13/03/2025"/>
        <d v="2026-07-01T00:00:00Z"/>
        <d v="2025-05-11T00:00:00Z"/>
        <s v="23/12/2022"/>
        <s v="13/11/2023"/>
        <d v="2024-09-08T00:00:00Z"/>
        <s v="30/04/2026"/>
        <s v="26/09/2022"/>
        <s v="29/04/2022"/>
        <s v="27/11/2025"/>
        <s v="25/08/2024"/>
        <d v="2024-08-04T00:00:00Z"/>
        <s v="25/04/2025"/>
        <d v="2023-05-06T00:00:00Z"/>
        <d v="2022-05-06T00:00:00Z"/>
        <d v="2025-06-11T00:00:00Z"/>
        <d v="2025-08-03T00:00:00Z"/>
        <s v="16/04/2024"/>
        <d v="2026-06-02T00:00:00Z"/>
        <s v="31/10/2022"/>
        <s v="27/05/2025"/>
        <d v="2026-05-06T00:00:00Z"/>
        <s v="25/06/2024"/>
        <s v="17/07/2024"/>
        <s v="25/09/2025"/>
        <d v="2023-02-06T00:00:00Z"/>
        <s v="18/11/2023"/>
        <d v="2024-03-03T00:00:00Z"/>
        <d v="2026-03-03T00:00:00Z"/>
        <s v="17/09/2024"/>
        <s v="13/12/2023"/>
        <s v="28/03/2027"/>
        <d v="2025-06-04T00:00:00Z"/>
        <s v="19/11/2022"/>
        <d v="2022-04-06T00:00:00Z"/>
        <s v="16/10/2024"/>
        <d v="2027-11-12T00:00:00Z"/>
        <s v="19/12/2022"/>
        <d v="2024-04-03T00:00:00Z"/>
        <s v="24/01/2023"/>
        <d v="2024-07-12T00:00:00Z"/>
        <d v="2026-09-05T00:00:00Z"/>
        <d v="2026-07-10T00:00:00Z"/>
        <d v="2025-01-12T00:00:00Z"/>
        <s v="22/05/2023"/>
        <s v="16/04/2025"/>
        <s v="20/09/2023"/>
        <s v="30/09/2026"/>
        <s v="17/06/2025"/>
        <d v="2022-03-10T00:00:00Z"/>
        <s v="21/07/2025"/>
        <s v="20/03/2026"/>
        <s v="22/04/2026"/>
        <s v="27/01/2024"/>
        <s v="17/09/2023"/>
        <s v="22/05/2022"/>
        <d v="2026-09-03T00:00:00Z"/>
        <s v="24/10/2025"/>
        <d v="2024-10-02T00:00:00Z"/>
        <s v="16/03/2023"/>
        <s v="26/09/2024"/>
        <d v="2026-11-04T00:00:00Z"/>
        <s v="18/04/2023"/>
        <s v="13/09/2023"/>
        <s v="29/11/2024"/>
        <s v="26/10/2024"/>
        <s v="17/11/2025"/>
        <d v="2025-05-07T00:00:00Z"/>
        <d v="2023-11-11T00:00:00Z"/>
        <d v="2025-11-02T00:00:00Z"/>
        <s v="19/07/2023"/>
        <s v="20/06/2025"/>
        <s v="27/06/2025"/>
        <d v="2023-03-06T00:00:00Z"/>
        <s v="29/10/2024"/>
        <d v="2028-12-05T00:00:00Z"/>
        <d v="2023-06-12T00:00:00Z"/>
        <d v="2024-03-05T00:00:00Z"/>
        <s v="13/12/2024"/>
        <s v="14/09/2023"/>
        <d v="2025-08-04T00:00:00Z"/>
        <s v="16/08/2023"/>
        <d v="2025-10-05T00:00:00Z"/>
        <s v="18/09/2024"/>
        <s v="20/02/2024"/>
        <s v="18/05/2026"/>
        <d v="2022-12-09T00:00:00Z"/>
        <s v="23/06/2027"/>
        <d v="2022-02-04T00:00:00Z"/>
        <s v="27/08/2023"/>
        <d v="2023-09-12T00:00:00Z"/>
        <d v="2023-08-08T00:00:00Z"/>
        <s v="20/10/2023"/>
        <d v="2026-06-04T00:00:00Z"/>
        <d v="2024-02-11T00:00:00Z"/>
        <d v="2024-08-12T00:00:00Z"/>
        <d v="2027-03-11T00:00:00Z"/>
        <d v="2024-04-05T00:00:00Z"/>
        <s v="13/03/2023"/>
        <s v="13/05/2023"/>
        <s v="17/08/2026"/>
        <d v="2022-03-12T00:00:00Z"/>
        <s v="30/09/2025"/>
        <d v="2022-01-09T00:00:00Z"/>
        <s v="19/10/2026"/>
        <s v="17/01/2024"/>
        <s v="18/03/2026"/>
        <s v="21/11/2023"/>
        <d v="2024-10-06T00:00:00Z"/>
        <s v="22/07/2023"/>
        <s v="26/09/2025"/>
        <s v="22/12/2024"/>
        <s v="27/07/2025"/>
        <s v="14/04/2025"/>
        <s v="17/10/2022"/>
        <s v="22/11/2024"/>
        <d v="2026-01-12T00:00:00Z"/>
        <d v="2025-12-03T00:00:00Z"/>
        <s v="16/08/2025"/>
        <s v="22/08/2022"/>
        <d v="2024-05-08T00:00:00Z"/>
        <d v="2023-05-08T00:00:00Z"/>
        <s v="25/09/2026"/>
        <s v="28/07/2024"/>
        <d v="2022-11-10T00:00:00Z"/>
        <s v="13/04/2022"/>
        <s v="15/07/2023"/>
        <d v="2026-04-11T00:00:00Z"/>
        <d v="2023-03-09T00:00:00Z"/>
        <s v="18/06/2025"/>
        <d v="2025-03-01T00:00:00Z"/>
        <s v="19/06/2024"/>
        <s v="19/03/2025"/>
        <s v="29/03/2026"/>
        <s v="20/04/2025"/>
        <s v="14/12/2025"/>
        <s v="24/11/2024"/>
        <s v="24/09/2023"/>
        <s v="19/12/2024"/>
        <s v="13/01/2027"/>
        <s v="29/07/2028"/>
        <d v="2023-04-01T00:00:00Z"/>
        <s v="28/01/2024"/>
        <s v="22/09/2024"/>
        <d v="2022-11-06T00:00:00Z"/>
        <d v="2022-03-11T00:00:00Z"/>
        <d v="2025-07-06T00:00:00Z"/>
        <s v="24/02/2023"/>
        <s v="20/12/2024"/>
        <s v="21/03/2026"/>
        <d v="2024-03-02T00:00:00Z"/>
        <d v="2023-07-06T00:00:00Z"/>
        <d v="2024-03-06T00:00:00Z"/>
        <s v="26/08/2024"/>
        <d v="2024-04-10T00:00:00Z"/>
        <d v="2025-11-08T00:00:00Z"/>
        <d v="2023-09-09T00:00:00Z"/>
        <d v="2024-04-07T00:00:00Z"/>
        <d v="2023-07-01T00:00:00Z"/>
        <d v="2025-10-11T00:00:00Z"/>
        <d v="2023-06-10T00:00:00Z"/>
        <d v="2026-04-05T00:00:00Z"/>
        <d v="2023-07-12T00:00:00Z"/>
        <s v="30/05/2023"/>
        <s v="14/04/2029"/>
        <d v="2024-01-10T00:00:00Z"/>
        <s v="30/07/2024"/>
        <s v="27/05/2024"/>
        <d v="2025-02-10T00:00:00Z"/>
        <s v="29/08/2026"/>
        <s v="30/10/2024"/>
        <d v="2025-01-07T00:00:00Z"/>
        <d v="2027-08-08T00:00:00Z"/>
        <s v="24/11/2022"/>
        <d v="2023-12-06T00:00:00Z"/>
        <s v="31/12/2025"/>
        <d v="2022-11-07T00:00:00Z"/>
        <s v="27/10/2023"/>
        <d v="2023-12-07T00:00:00Z"/>
        <d v="2025-02-07T00:00:00Z"/>
        <d v="2027-01-07T00:00:00Z"/>
        <s v="29/06/2027"/>
        <d v="2025-10-10T00:00:00Z"/>
        <s v="30/05/2024"/>
        <s v="19/01/2026"/>
        <s v="21/06/2026"/>
        <s v="13/04/2027"/>
        <d v="2026-08-11T00:00:00Z"/>
        <s v="22/09/2023"/>
        <s v="13/02/2025"/>
        <d v="2026-12-12T00:00:00Z"/>
        <s v="17/11/2024"/>
        <s v="17/12/2024"/>
        <s v="19/05/2024"/>
        <d v="2026-10-10T00:00:00Z"/>
        <s v="28/11/2022"/>
        <s v="30/11/2024"/>
        <s v="27/04/2023"/>
        <s v="16/06/2026"/>
        <d v="2026-12-04T00:00:00Z"/>
        <d v="2024-06-07T00:00:00Z"/>
        <s v="24/10/2022"/>
        <d v="2024-11-05T00:00:00Z"/>
        <s v="19/01/2024"/>
        <s v="29/11/2023"/>
        <s v="28/08/2024"/>
        <s v="24/02/2026"/>
        <d v="2022-07-06T00:00:00Z"/>
        <d v="2025-11-03T00:00:00Z"/>
        <s v="22/09/2022"/>
        <s v="29/06/2022"/>
        <s v="29/01/2025"/>
        <d v="2025-05-01T00:00:00Z"/>
        <s v="26/07/2025"/>
        <d v="2026-01-09T00:00:00Z"/>
      </sharedItems>
    </cacheField>
    <cacheField name="Churn_Status" numFmtId="0">
      <sharedItems>
        <s v="Churned"/>
        <s v="Active"/>
        <s v="Yes"/>
        <s v="No"/>
      </sharedItems>
    </cacheField>
    <cacheField name="Primary_Product" numFmtId="0">
      <sharedItems>
        <s v="Cloud Storage"/>
        <s v="Automation"/>
        <s v="Collaboration"/>
        <s v="Security"/>
        <s v="Analytics"/>
        <s v=""/>
      </sharedItems>
    </cacheField>
    <cacheField name="Satisfaction_Group" numFmtId="0">
      <sharedItems>
        <s v="Moderate"/>
        <s v="Low"/>
        <s v=""/>
        <s v="High"/>
        <s v="Very High"/>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809" sheet="Cleaned_Data"/>
  </cacheSource>
  <cacheFields>
    <cacheField name="Customer_ID" numFmtId="0">
      <sharedItems>
        <s v="C01310"/>
        <s v="C00477"/>
        <s v="C01564"/>
        <s v="C00741"/>
        <s v="C01438"/>
        <s v="C00549"/>
        <s v="C00539"/>
        <s v="C01221"/>
        <s v="C00007"/>
        <s v="C00230"/>
        <s v="C00543"/>
        <s v="C00693"/>
        <s v="C00439"/>
        <s v="C00125"/>
        <s v="C00201"/>
        <s v="C00932"/>
        <s v="C01197"/>
        <s v="C00082"/>
        <s v="C00937"/>
        <s v="C00898"/>
        <s v="C01470"/>
        <s v="C00331"/>
        <s v="C00747"/>
        <s v="C00368"/>
        <s v="C00467"/>
        <s v="C01190"/>
        <s v="C00004"/>
        <s v="C01428"/>
        <s v="C01188"/>
        <s v="C00461"/>
        <s v="C01538"/>
        <s v="C01220"/>
        <s v="C01569"/>
        <s v="C00132"/>
        <s v="C01544"/>
        <s v="C01484"/>
        <s v="C00777"/>
        <s v="C01600"/>
        <s v="C00344"/>
        <s v="C00209"/>
        <s v="C00742"/>
        <s v="C00924"/>
        <s v="C01139"/>
        <s v="C00829"/>
        <s v="C00248"/>
        <s v="C00740"/>
        <s v="C00981"/>
        <s v="C00175"/>
        <s v="C01272"/>
        <s v="C01412"/>
        <s v="C01327"/>
        <s v="C00558"/>
        <s v="C00083"/>
        <s v="C00330"/>
        <s v="C01347"/>
        <s v="C00249"/>
        <s v="C01043"/>
        <s v="C01040"/>
        <s v="C00660"/>
        <s v="C01209"/>
        <s v="C01419"/>
        <s v="C00466"/>
        <s v="C00883"/>
        <s v="C00945"/>
        <s v="C00936"/>
        <s v="C01160"/>
        <s v="C00748"/>
        <s v="C00236"/>
        <s v="C00755"/>
        <s v="C01436"/>
        <s v="C00859"/>
        <s v="C01405"/>
        <s v="C01157"/>
        <s v="C00514"/>
        <s v="C01078"/>
        <s v="C00939"/>
        <s v="C00259"/>
        <s v="C00695"/>
        <s v="C00198"/>
        <s v="C01184"/>
        <s v="C00054"/>
        <s v="C01529"/>
        <s v="C00102"/>
        <s v="C00997"/>
        <s v="C00360"/>
        <s v="C01175"/>
        <s v="C00821"/>
        <s v="C00484"/>
        <s v="C00662"/>
        <s v="C00117"/>
        <s v="C01240"/>
        <s v="C00326"/>
        <s v="C00582"/>
        <s v="C00262"/>
        <s v="C00208"/>
        <s v="C00910"/>
        <s v="C00858"/>
        <s v="C00921"/>
        <s v="C00653"/>
        <s v="C00307"/>
        <s v="C00034"/>
        <s v="C01581"/>
        <s v="C00601"/>
        <s v="C00560"/>
        <s v="C00882"/>
        <s v="C01260"/>
        <s v="C01085"/>
        <s v="C00440"/>
        <s v="C00595"/>
        <s v="C00756"/>
        <s v="C01316"/>
        <s v="C00338"/>
        <s v="C01266"/>
        <s v="C00852"/>
        <s v="C00496"/>
        <s v="C01563"/>
        <s v="C00577"/>
        <s v="C01151"/>
        <s v="C00672"/>
        <s v="C00854"/>
        <s v="C01173"/>
        <s v="C01357"/>
        <s v="C00612"/>
        <s v="C00778"/>
        <s v="C01152"/>
        <s v="C00206"/>
        <s v="C00476"/>
        <s v="C00687"/>
        <s v="C01472"/>
        <s v="C00379"/>
        <s v="C00128"/>
        <s v="C00980"/>
        <s v="C00915"/>
        <s v="C01002"/>
        <s v="C01185"/>
        <s v="C00767"/>
        <s v="C00261"/>
        <s v="C01485"/>
        <s v="C00899"/>
        <s v="C00453"/>
        <s v="C01086"/>
        <s v="C01235"/>
        <s v="C01530"/>
        <s v="C01019"/>
        <s v="C01187"/>
        <s v="C00944"/>
        <s v="C00845"/>
        <s v="C01090"/>
        <s v="C01270"/>
        <s v="C00831"/>
        <s v="C01418"/>
        <s v="C00158"/>
        <s v="C00156"/>
        <s v="C01354"/>
        <s v="C00011"/>
        <s v="C00191"/>
        <s v="C01010"/>
        <s v="C00014"/>
        <s v="C00654"/>
        <s v="C01451"/>
        <s v="C00773"/>
        <s v="C00341"/>
        <s v="C01582"/>
        <s v="C00990"/>
        <s v="C01517"/>
        <s v="C01374"/>
        <s v="C00489"/>
        <s v="C01137"/>
        <s v="C00838"/>
        <s v="C01599"/>
        <s v="C01508"/>
        <s v="C01456"/>
        <s v="C00292"/>
        <s v="C01497"/>
        <s v="C01332"/>
        <s v="C00880"/>
        <s v="C00979"/>
        <s v="C01250"/>
        <s v="C01496"/>
        <s v="C00421"/>
        <s v="C01165"/>
        <s v="C01572"/>
        <s v="C01202"/>
        <s v="C01437"/>
        <s v="C01176"/>
        <s v="C00460"/>
        <s v="C00953"/>
        <s v="C01583"/>
        <s v="C00213"/>
        <s v="C00196"/>
        <s v="C00928"/>
        <s v="C00926"/>
        <s v="C00729"/>
        <s v="C00127"/>
        <s v="C00264"/>
        <s v="C00564"/>
        <s v="C00282"/>
        <s v="C01029"/>
        <s v="C01212"/>
        <s v="C00041"/>
        <s v="C00149"/>
        <s v="C00731"/>
        <s v="C00512"/>
        <s v="C01479"/>
        <s v="C00984"/>
        <s v="C00176"/>
        <s v="C01463"/>
        <s v="C01285"/>
        <s v="C01071"/>
        <s v="C01172"/>
        <s v="C00763"/>
        <s v="C01239"/>
        <s v="C00827"/>
        <s v="C01302"/>
        <s v="C00584"/>
        <s v="C00271"/>
        <s v="C01278"/>
        <s v="C00568"/>
        <s v="C00371"/>
        <s v="C00862"/>
        <s v="C01395"/>
        <s v="C01293"/>
        <s v="C01421"/>
        <s v="C01004"/>
        <s v="C00769"/>
        <s v="C00972"/>
        <s v="C00242"/>
        <s v="C01017"/>
        <s v="C00525"/>
        <s v="C01553"/>
        <s v="C00935"/>
        <s v="C00372"/>
        <s v="C00026"/>
        <s v="C00024"/>
        <s v="C00482"/>
        <s v="C01125"/>
        <s v="C01009"/>
        <s v="C00253"/>
        <s v="C00356"/>
        <s v="C00283"/>
        <s v="C01455"/>
        <s v="C00052"/>
        <s v="C00927"/>
        <s v="C01131"/>
        <s v="C00920"/>
        <s v="C00956"/>
        <s v="C00451"/>
        <s v="C01087"/>
        <s v="C01483"/>
        <s v="C01584"/>
        <s v="C00078"/>
        <s v="C01379"/>
        <s v="C00023"/>
        <s v="C01376"/>
        <s v="C00996"/>
        <s v="C01459"/>
        <s v="C00168"/>
        <s v="C01130"/>
        <s v="C00746"/>
        <s v="C01329"/>
        <s v="C00516"/>
        <s v="C00434"/>
        <s v="C00046"/>
        <s v="C01155"/>
        <s v="C00975"/>
        <s v="C00879"/>
        <s v="C01226"/>
        <s v="C01335"/>
        <s v="C00991"/>
        <s v="C01128"/>
        <s v="C00586"/>
        <s v="C00724"/>
        <s v="C00399"/>
        <s v="C00513"/>
        <s v="C01387"/>
        <s v="C00643"/>
        <s v="C00563"/>
        <s v="C00807"/>
        <s v="C00384"/>
        <s v="C01171"/>
        <s v="C00276"/>
        <s v="C00533"/>
        <s v="C00358"/>
        <s v="C01067"/>
        <s v="C01124"/>
        <s v="C01284"/>
        <s v="C01211"/>
        <s v="C00022"/>
        <s v="C01123"/>
        <s v="C01059"/>
        <s v="C01008"/>
        <s v="C01011"/>
        <s v="C00963"/>
        <s v="C01506"/>
        <s v="C00407"/>
        <s v="C01191"/>
        <s v="C00220"/>
        <s v="C01145"/>
        <s v="C00606"/>
        <s v="C00794"/>
        <s v="C00414"/>
        <s v="C00027"/>
        <s v="C01504"/>
        <s v="C01535"/>
        <s v="C00045"/>
        <s v="C00446"/>
        <s v="C00890"/>
        <s v="C00670"/>
        <s v="C01150"/>
        <s v="C01217"/>
        <s v="C00231"/>
        <s v="C00418"/>
        <s v="C00412"/>
        <s v="C01042"/>
        <s v="C00311"/>
        <s v="C00139"/>
        <s v="C01562"/>
        <s v="C00900"/>
        <s v="C01099"/>
        <s v="C00624"/>
        <s v="C00278"/>
        <s v="C01574"/>
        <s v="C00241"/>
        <s v="C00930"/>
        <s v="C00076"/>
        <s v="C01423"/>
        <s v="C01448"/>
        <s v="C01148"/>
        <s v="C00948"/>
        <s v="C00064"/>
        <s v="C00487"/>
        <s v="C01025"/>
        <s v="C01462"/>
        <s v="C00658"/>
        <s v="C00424"/>
        <s v="C01384"/>
        <s v="C00161"/>
        <s v="C00529"/>
        <s v="C01238"/>
        <s v="C01515"/>
        <s v="C01013"/>
        <s v="C00401"/>
        <s v="C00603"/>
        <s v="C01281"/>
        <s v="C00869"/>
        <s v="C00968"/>
        <s v="C01424"/>
        <s v="C00994"/>
        <s v="C01251"/>
        <s v="C00642"/>
        <s v="C00189"/>
        <s v="C00604"/>
        <s v="C00682"/>
        <s v="C01258"/>
        <s v="C01558"/>
        <s v="C00287"/>
        <s v="C00692"/>
        <s v="C01340"/>
        <s v="C01192"/>
        <s v="C01254"/>
        <s v="C00567"/>
        <s v="C00685"/>
        <s v="C00668"/>
        <s v="C00993"/>
        <s v="C01133"/>
        <s v="C00456"/>
        <s v="C01144"/>
        <s v="C00608"/>
        <s v="C00954"/>
        <s v="C01511"/>
        <s v="C01454"/>
        <s v="C00628"/>
        <s v="C00764"/>
        <s v="C01326"/>
        <s v="C01389"/>
        <s v="C00172"/>
        <s v="C00791"/>
        <s v="C01493"/>
        <s v="C00849"/>
        <s v="C01516"/>
        <s v="C00059"/>
        <s v="C00036"/>
        <s v="C00598"/>
        <s v="C00295"/>
        <s v="C01525"/>
        <s v="C00088"/>
        <s v="C00901"/>
        <s v="C00877"/>
        <s v="C00245"/>
        <s v="C00571"/>
        <s v="C01287"/>
        <s v="C01557"/>
        <s v="C00786"/>
        <s v="C01466"/>
        <s v="C01014"/>
        <s v="C00200"/>
        <s v="C01169"/>
        <s v="C00690"/>
        <s v="C00410"/>
        <s v="C00894"/>
        <s v="C01233"/>
        <s v="C01069"/>
        <s v="C00359"/>
        <s v="C00297"/>
        <s v="C01404"/>
        <s v="C01571"/>
        <s v="C00721"/>
        <s v="C01180"/>
        <s v="C00671"/>
        <s v="C00243"/>
        <s v="C01461"/>
        <s v="C00074"/>
        <s v="C00254"/>
        <s v="C00943"/>
        <s v="C00795"/>
        <s v="C01072"/>
        <s v="C01575"/>
        <s v="C00033"/>
        <s v="C00239"/>
        <s v="C01292"/>
        <s v="C00039"/>
        <s v="C00962"/>
        <s v="C00207"/>
        <s v="C01265"/>
        <s v="C01548"/>
        <s v="C01561"/>
        <s v="C00351"/>
        <s v="C00940"/>
        <s v="C01177"/>
        <s v="C01115"/>
        <s v="C00931"/>
        <s v="C01205"/>
        <s v="C00265"/>
        <s v="C00005"/>
        <s v="C01034"/>
        <s v="C01552"/>
        <s v="C00174"/>
        <s v="C01110"/>
        <s v="C00611"/>
        <s v="C00952"/>
        <s v="C01154"/>
        <s v="C00504"/>
        <s v="C01573"/>
        <s v="C00480"/>
        <s v="C00350"/>
        <s v="C01259"/>
        <s v="C01478"/>
        <s v="C00153"/>
        <s v="C00911"/>
        <s v="C00703"/>
        <s v="C00141"/>
        <s v="C00378"/>
        <s v="C00449"/>
        <s v="C00431"/>
        <s v="C01091"/>
        <s v="C01290"/>
        <s v="C01022"/>
        <s v="C00481"/>
        <s v="C01196"/>
        <s v="C00479"/>
        <s v="C01119"/>
        <s v="C00535"/>
        <s v="C00768"/>
        <s v="C00066"/>
        <s v="C00973"/>
        <s v="C00565"/>
        <s v="C00590"/>
        <s v="C01431"/>
        <s v="C00157"/>
        <s v="C00813"/>
        <s v="C00572"/>
        <s v="C00734"/>
        <s v="C00452"/>
        <s v="C01032"/>
        <s v="C01501"/>
        <s v="C00133"/>
        <s v="C00638"/>
        <s v="C00774"/>
        <s v="C00313"/>
        <s v="C00333"/>
        <s v="C01026"/>
        <s v="C00406"/>
        <s v="C01304"/>
        <s v="C01363"/>
        <s v="C01397"/>
        <s v="C00053"/>
        <s v="C00035"/>
        <s v="C00914"/>
        <s v="C01319"/>
        <s v="C00183"/>
        <s v="C00868"/>
        <s v="C01024"/>
        <s v="C01443"/>
        <s v="C00111"/>
        <s v="C01390"/>
        <s v="C00889"/>
        <s v="C01215"/>
        <s v="C00736"/>
        <s v="C00561"/>
        <s v="C00578"/>
        <s v="C00020"/>
        <s v="C00725"/>
        <s v="C01495"/>
        <s v="C01430"/>
        <s v="C01084"/>
        <s v="C00223"/>
        <s v="C00065"/>
        <s v="C00270"/>
        <s v="C00394"/>
        <s v="C00875"/>
        <s v="C00435"/>
        <s v="C01578"/>
        <s v="C00268"/>
        <s v="C01093"/>
        <s v="C01051"/>
        <s v="C00569"/>
        <s v="C00541"/>
        <s v="C00218"/>
        <s v="C01408"/>
        <s v="C00028"/>
        <s v="C00211"/>
        <s v="C00348"/>
        <s v="C01229"/>
        <s v="C01094"/>
        <s v="C00301"/>
        <s v="C00743"/>
        <s v="C00266"/>
        <s v="C00738"/>
        <s v="C01121"/>
        <s v="C00970"/>
        <s v="C00325"/>
        <s v="C00299"/>
        <s v="C00517"/>
        <s v="C00190"/>
        <s v="C00021"/>
        <s v="C00233"/>
        <s v="C01231"/>
        <s v="C00848"/>
        <s v="C01112"/>
        <s v="C00843"/>
        <s v="C00781"/>
        <s v="C00896"/>
        <s v="C00383"/>
        <s v="C00212"/>
        <s v="C01061"/>
        <s v="C00340"/>
        <s v="C00343"/>
        <s v="C00136"/>
        <s v="C00037"/>
        <s v="C00459"/>
        <s v="C00227"/>
        <s v="C01543"/>
        <s v="C01457"/>
        <s v="C00959"/>
        <s v="C01041"/>
        <s v="C01245"/>
        <s v="C00093"/>
        <s v="C01359"/>
        <s v="C00303"/>
        <s v="C01309"/>
        <s v="C00391"/>
        <s v="C00594"/>
        <s v="C00722"/>
        <s v="C01199"/>
        <s v="C01118"/>
        <s v="C00841"/>
        <s v="C00458"/>
        <s v="C01368"/>
        <s v="C00798"/>
        <s v="C00432"/>
        <s v="C00140"/>
        <s v="C00713"/>
        <s v="C00216"/>
        <s v="C00709"/>
        <s v="C00884"/>
        <s v="C00881"/>
        <s v="C00846"/>
        <s v="C00600"/>
        <s v="C00473"/>
        <s v="C01352"/>
        <s v="C01338"/>
        <s v="C00447"/>
        <s v="C00147"/>
        <s v="C00308"/>
        <s v="C01066"/>
        <s v="C00912"/>
        <s v="C01591"/>
        <s v="C00032"/>
        <s v="C00758"/>
        <s v="C00712"/>
        <s v="C00197"/>
        <s v="C00162"/>
        <s v="C00651"/>
        <s v="C00579"/>
        <s v="C01409"/>
        <s v="C01225"/>
        <s v="C00536"/>
        <s v="C00840"/>
        <s v="C00766"/>
        <s v="C00618"/>
        <s v="C00619"/>
        <s v="C01038"/>
        <s v="C00977"/>
        <s v="C01534"/>
        <s v="C01218"/>
        <s v="C01048"/>
        <s v="C00365"/>
        <s v="C00562"/>
        <s v="C01446"/>
        <s v="C00955"/>
        <s v="C00167"/>
        <s v="C00463"/>
        <s v="C01522"/>
        <s v="C00957"/>
        <s v="C00989"/>
        <s v="C01223"/>
        <s v="C00411"/>
        <s v="C00205"/>
        <s v="C00580"/>
        <s v="C00793"/>
        <s v="C00923"/>
        <s v="C00084"/>
        <s v="C01429"/>
        <s v="C01382"/>
        <s v="C00776"/>
        <s v="C00322"/>
        <s v="C01268"/>
        <s v="C01183"/>
        <s v="C00015"/>
        <s v="C00816"/>
        <s v="C01345"/>
        <s v="C00605"/>
        <s v="C00527"/>
        <s v="C00634"/>
        <s v="C00817"/>
        <s v="C01413"/>
        <s v="C00441"/>
        <s v="C00555"/>
        <s v="C01282"/>
        <s v="C00194"/>
        <s v="C01403"/>
        <s v="C00012"/>
        <s v="C00784"/>
        <s v="C01588"/>
        <s v="C00288"/>
        <s v="C00523"/>
        <s v="C01540"/>
        <s v="C00044"/>
        <s v="C01577"/>
        <s v="C01348"/>
        <s v="C00780"/>
        <s v="C00544"/>
        <s v="C00457"/>
        <s v="C00691"/>
        <s v="C01113"/>
        <s v="C00374"/>
        <s v="C00985"/>
        <s v="C01487"/>
        <s v="C00256"/>
        <s v="C01554"/>
        <s v="C01378"/>
        <s v="C00665"/>
        <s v="C01103"/>
        <s v="C00902"/>
        <s v="C00819"/>
        <s v="C01186"/>
        <s v="C00635"/>
        <s v="C01587"/>
        <s v="C00680"/>
        <s v="C00364"/>
        <s v="C00042"/>
        <s v="C00354"/>
        <s v="C01275"/>
        <s v="C01081"/>
        <s v="C00150"/>
        <s v="C00799"/>
        <s v="C00839"/>
        <s v="C00145"/>
        <s v="C00090"/>
        <s v="C00229"/>
        <s v="C00120"/>
        <s v="C00796"/>
        <s v="C00832"/>
        <s v="C00409"/>
        <s v="C01528"/>
        <s v="C01385"/>
        <s v="C01434"/>
        <s v="C01410"/>
        <s v="C01388"/>
        <s v="C00347"/>
        <s v="C00559"/>
        <s v="C00922"/>
        <s v="C00405"/>
        <s v="C01179"/>
        <s v="C00946"/>
        <s v="C00749"/>
        <s v="C00694"/>
        <s v="C00855"/>
        <s v="C01296"/>
        <s v="C01006"/>
        <s v="C01073"/>
        <s v="C01127"/>
        <s v="C00312"/>
        <s v="C01333"/>
        <s v="C01556"/>
        <s v="C00444"/>
        <s v="C00160"/>
        <s v="C01323"/>
        <s v="C00247"/>
        <s v="C01498"/>
        <s v="C01473"/>
        <s v="C00834"/>
        <s v="C01339"/>
        <s v="C01407"/>
        <s v="C01399"/>
        <s v="C00043"/>
        <s v="C00847"/>
        <s v="C01298"/>
        <s v="C00462"/>
        <s v="C01044"/>
        <s v="C00757"/>
        <s v="C01398"/>
        <s v="C00286"/>
        <s v="C00518"/>
        <s v="C00545"/>
        <s v="C00296"/>
        <s v="C01406"/>
        <s v="C00714"/>
        <s v="C00075"/>
        <s v="C00442"/>
        <s v="C00761"/>
        <s v="C00553"/>
        <s v="C00105"/>
        <s v="C01499"/>
        <s v="C00397"/>
        <s v="C00319"/>
        <s v="C00304"/>
        <s v="C00497"/>
        <s v="C00631"/>
        <s v="C01216"/>
        <s v="C00597"/>
        <s v="C00221"/>
        <s v="C00321"/>
        <s v="C01349"/>
        <s v="C00415"/>
        <s v="C00098"/>
        <s v="C01355"/>
        <s v="C01567"/>
        <s v="C00388"/>
        <s v="C00697"/>
        <s v="C01142"/>
        <s v="C00646"/>
        <s v="C01088"/>
        <s v="C00164"/>
        <s v="C00219"/>
        <s v="C01122"/>
        <s v="C01263"/>
        <s v="C00272"/>
        <s v="C01469"/>
        <s v="C01394"/>
        <s v="C01576"/>
        <s v="C01257"/>
        <s v="C00666"/>
        <s v="C00526"/>
        <s v="C00091"/>
        <s v="C00751"/>
        <s v="C01353"/>
        <s v="C00187"/>
        <s v="C00104"/>
        <s v="C00068"/>
        <s v="C00202"/>
        <s v="C00958"/>
        <s v="C01132"/>
        <s v="C00290"/>
        <s v="C00596"/>
        <s v="C01380"/>
        <s v="C00809"/>
        <s v="C00188"/>
        <s v="C00754"/>
        <s v="C00814"/>
        <s v="C00238"/>
        <s v="C01322"/>
        <s v="C00593"/>
        <s v="C01315"/>
        <s v="C01167"/>
        <s v="C01143"/>
        <s v="C01243"/>
        <s v="C00775"/>
        <s v="C00402"/>
        <s v="C00644"/>
        <s v="C00485"/>
        <s v="C00897"/>
        <s v="C01514"/>
        <s v="C00177"/>
        <s v="C01163"/>
        <s v="C01049"/>
        <s v="C00917"/>
        <s v="C00652"/>
        <s v="C00352"/>
        <s v="C00750"/>
        <s v="C00246"/>
        <s v="C00808"/>
        <s v="C00785"/>
        <s v="C01045"/>
        <s v="C01420"/>
        <s v="C00583"/>
        <s v="C00294"/>
        <s v="C00949"/>
        <s v="C00804"/>
        <s v="C00060"/>
        <s v="C00251"/>
        <s v="C00960"/>
        <s v="C01367"/>
        <s v="C01360"/>
        <s v="C00510"/>
        <s v="C01222"/>
        <s v="C00267"/>
        <s v="C00505"/>
        <s v="C01135"/>
        <s v="C01460"/>
        <s v="C01158"/>
        <s v="C01547"/>
        <s v="C01551"/>
        <s v="C01018"/>
        <s v="C00305"/>
        <s v="C01372"/>
        <s v="C01402"/>
        <s v="C00623"/>
        <s v="C00532"/>
        <s v="C00324"/>
        <s v="C00089"/>
        <s v="C01427"/>
        <s v="C00001"/>
        <s v="C00537"/>
        <s v="C01531"/>
        <s v="C00255"/>
        <s v="C00016"/>
        <s v="C00800"/>
        <s v="C01361"/>
        <s v="C01035"/>
        <s v="C01100"/>
        <s v="C01440"/>
        <s v="C00566"/>
        <s v="C00760"/>
        <s v="C01477"/>
        <s v="C00109"/>
        <s v="C00720"/>
        <s v="C01524"/>
        <s v="C00010"/>
        <s v="C00080"/>
        <s v="C00327"/>
        <s v="C01365"/>
        <s v="C00711"/>
        <s v="C01414"/>
        <s v="C00193"/>
        <s v="C00978"/>
        <s v="C01432"/>
        <s v="C01439"/>
        <s v="C01053"/>
        <s v="C00122"/>
        <s v="C01020"/>
        <s v="C00520"/>
        <s v="C01252"/>
        <s v="C01193"/>
        <s v="C01435"/>
        <s v="C01391"/>
        <s v="C00540"/>
        <s v="C00534"/>
        <s v="C01156"/>
        <s v="C01161"/>
        <s v="C00051"/>
        <s v="C00250"/>
        <s v="C01261"/>
        <s v="C01416"/>
        <s v="C01321"/>
        <s v="C01373"/>
        <s v="C00502"/>
        <s v="C01346"/>
        <s v="C00148"/>
        <s v="C01425"/>
        <s v="C00674"/>
        <s v="C00811"/>
        <s v="C00874"/>
        <s v="C00626"/>
        <s v="C01482"/>
        <s v="C01503"/>
        <s v="C01249"/>
        <s v="C00419"/>
        <s v="C00291"/>
        <s v="C00696"/>
        <s v="C00925"/>
        <s v="C00315"/>
        <s v="C00363"/>
        <s v="C01023"/>
        <s v="C00154"/>
        <s v="C00228"/>
        <s v="C01105"/>
        <s v="C00728"/>
        <s v="C01273"/>
        <s v="C01178"/>
        <s v="C01565"/>
        <s v="C00812"/>
        <s v="C00058"/>
        <s v="C01140"/>
        <s v="C00030"/>
        <s v="C00621"/>
        <s v="C00872"/>
        <s v="C00632"/>
        <s v="C00063"/>
        <s v="C01037"/>
        <s v="C00730"/>
        <s v="C00430"/>
        <s v="C00349"/>
        <s v="C00423"/>
        <s v="C00097"/>
        <s v="C00630"/>
        <s v="C01364"/>
        <s v="C00805"/>
        <s v="C01097"/>
        <s v="C00403"/>
        <s v="C00134"/>
        <s v="C00515"/>
        <s v="C00342"/>
        <s v="C00106"/>
        <s v="C00115"/>
        <s v="C00389"/>
        <s v="C00971"/>
        <s v="C00370"/>
        <s v="C00615"/>
        <s v="C00655"/>
        <s v="C00260"/>
        <s v="C00006"/>
        <s v="C01422"/>
        <s v="C01441"/>
        <s v="C01305"/>
        <s v="C01276"/>
        <s v="C00850"/>
        <s v="C00465"/>
        <s v="C01474"/>
        <s v="C00787"/>
        <s v="C00906"/>
        <s v="C00825"/>
        <s v="C00107"/>
        <s v="C00323"/>
        <s v="C00367"/>
        <s v="C01195"/>
        <s v="C00888"/>
        <s v="C01512"/>
        <s v="C00275"/>
        <s v="C01060"/>
        <s v="C01510"/>
        <s v="C00345"/>
        <s v="C00108"/>
        <s v="C00951"/>
        <s v="C00878"/>
        <s v="C00085"/>
        <s v="C00797"/>
        <s v="C00625"/>
        <s v="C01111"/>
        <s v="C01064"/>
        <s v="C01331"/>
        <s v="C00965"/>
        <s v="C00867"/>
        <s v="C00938"/>
        <s v="C00320"/>
        <s v="C01545"/>
        <s v="C01596"/>
        <s v="C00070"/>
        <s v="C01107"/>
        <s v="C01330"/>
        <s v="C01248"/>
        <s v="C00395"/>
        <s v="C00639"/>
        <s v="C01246"/>
        <s v="C00114"/>
        <s v="C01344"/>
        <s v="C00822"/>
        <s v="C01313"/>
        <s v="C01291"/>
        <s v="C01236"/>
        <s v="C01274"/>
        <s v="C00679"/>
        <s v="C00143"/>
        <s v="C00448"/>
        <s v="C01491"/>
        <s v="C01447"/>
        <s v="C00591"/>
        <s v="C01317"/>
        <s v="C00627"/>
        <s v="C00008"/>
        <s v="C00413"/>
        <s v="C00436"/>
        <s v="C00225"/>
        <s v="C00640"/>
        <s v="C01052"/>
        <s v="C00941"/>
        <s v="C01294"/>
        <s v="C00055"/>
        <s v="C01134"/>
        <s v="C00244"/>
        <s v="C00280"/>
        <s v="C00708"/>
        <s v="C01579"/>
        <s v="C00263"/>
        <s v="C00433"/>
        <s v="C00131"/>
        <s v="C00173"/>
        <s v="C00501"/>
        <s v="C00077"/>
        <s v="C00155"/>
        <s v="C00664"/>
        <s v="C00607"/>
        <s v="C00587"/>
        <s v="C01356"/>
        <s v="C00976"/>
        <s v="C00967"/>
        <s v="C01570"/>
        <s v="C00029"/>
        <s v="C00493"/>
        <s v="C00613"/>
        <s v="C00552"/>
        <s v="C01271"/>
        <s v="C00165"/>
        <s v="C00425"/>
        <s v="C00302"/>
        <s v="C01586"/>
        <s v="C01475"/>
        <s v="C00159"/>
        <s v="C01182"/>
        <s v="C00392"/>
        <s v="C00782"/>
        <s v="C00790"/>
        <s v="C01465"/>
        <s v="C01337"/>
        <s v="C00222"/>
        <s v="C00863"/>
        <s v="C00019"/>
        <s v="C00592"/>
        <s v="C00636"/>
        <s v="C01141"/>
        <s v="C00823"/>
        <s v="C00614"/>
        <s v="C01580"/>
        <s v="C01513"/>
        <s v="C01146"/>
        <s v="C00376"/>
        <s v="C01295"/>
        <s v="C01411"/>
        <s v="C00178"/>
        <s v="C00575"/>
        <s v="C01392"/>
        <s v="C01594"/>
        <s v="C00765"/>
        <s v="C00071"/>
        <s v="C01101"/>
        <s v="C00048"/>
        <s v="C00745"/>
        <s v="C00853"/>
        <s v="C00056"/>
        <s v="C00119"/>
        <s v="C01256"/>
        <s v="C00833"/>
        <s v="C00234"/>
        <s v="C01536"/>
        <s v="C01237"/>
        <s v="C01068"/>
        <s v="C00361"/>
        <s v="C00964"/>
        <s v="C01324"/>
        <s v="C00633"/>
        <s v="C01050"/>
        <s v="C01166"/>
        <s v="C00169"/>
        <s v="C01104"/>
        <s v="C00683"/>
        <s v="C00067"/>
      </sharedItems>
    </cacheField>
    <cacheField name="Customer_Name" numFmtId="0">
      <sharedItems>
        <s v="Meera Das"/>
        <s v="Rahul Das"/>
        <s v="Priya Das"/>
        <s v="Anita Patel"/>
        <s v="Anita Kumar"/>
        <s v="Vikram Patel"/>
        <s v="Anita Sharma"/>
        <s v="Rahul Kumar"/>
        <s v="Rahul Patel"/>
        <s v="Sneha Nair"/>
        <s v="Karan Nair"/>
        <s v="Vikram Nair"/>
        <s v="Arun Patel"/>
        <s v="Arun Kumar"/>
        <s v="Karan Sharma"/>
        <s v="Vikram Das"/>
        <s v="Ravi Patel"/>
        <s v="Vikram Kumar"/>
        <s v="Rahul Singh"/>
        <s v="Sneha Singh"/>
        <s v="Ravi Reddy"/>
        <s v="Meera Singh"/>
        <s v="Ravi Iyer"/>
        <s v="Ravi Kumar"/>
        <s v="Vikram Reddy"/>
        <s v="Sneha Patel"/>
        <s v="Arun Das"/>
        <s v="Karan Patel"/>
        <s v="Neha Sharma"/>
        <s v="Karan Iyer"/>
        <s v="Anita Iyer"/>
        <s v="Anita Nair"/>
        <s v="Meera Iyer"/>
        <s v="Sneha Sharma"/>
        <s v="Meera Kumar"/>
        <s v="Sneha Iyer"/>
        <s v="Ravi Sharma"/>
        <s v="Vikram Singh"/>
        <s v="Sneha Reddy"/>
        <s v="Anita Reddy"/>
        <s v="Rahul Sharma"/>
        <s v="Arun Reddy"/>
        <s v="Priya Kumar"/>
        <s v="Karan Kumar"/>
        <s v="Anita Singh"/>
        <s v="Neha Nair"/>
        <s v="Rahul Iyer"/>
        <s v="Priya Sharma"/>
        <s v="Ravi Singh"/>
        <s v="Arun Iyer"/>
        <s v="Neha Das"/>
        <s v="Priya Patel"/>
        <s v="Meera Sharma"/>
        <s v="Priya Reddy"/>
        <s v="Arun Nair"/>
        <s v="Priya Singh"/>
        <s v="Meera Nair"/>
        <s v="Neha Singh"/>
        <s v="Sneha Kumar"/>
        <s v="Neha Iyer"/>
        <s v="Rahul Nair"/>
        <s v="Karan Das"/>
        <s v="Vikram Sharma"/>
        <s v="Rahul Reddy"/>
        <s v="Karan Reddy"/>
        <s v="Vikram Iyer"/>
        <s v="Neha Kumar"/>
        <s v="Meera Reddy"/>
        <s v="Neha Patel"/>
        <s v="Arun Singh"/>
        <s v="Ravi Das"/>
        <s v="Meera Patel"/>
        <s v="Anita Das"/>
        <s v="Neha Reddy"/>
        <s v="Priya Nair"/>
        <s v="Ravi Nair"/>
        <s v="Arun Sharma"/>
        <s v="Sneha Das"/>
        <s v="Priya Iyer"/>
        <s v="Karan Singh"/>
      </sharedItems>
    </cacheField>
    <cacheField name="Age">
      <sharedItems containsMixedTypes="1" containsNumber="1" containsInteger="1">
        <s v=""/>
        <n v="40.0"/>
        <n v="24.0"/>
        <n v="42.0"/>
        <n v="33.0"/>
        <n v="34.0"/>
        <n v="57.0"/>
        <n v="37.0"/>
        <n v="61.0"/>
        <n v="26.0"/>
        <n v="51.0"/>
        <n v="65.0"/>
        <n v="43.0"/>
        <n v="66.0"/>
        <n v="55.0"/>
        <n v="27.0"/>
        <n v="36.0"/>
        <n v="19.0"/>
        <n v="46.0"/>
        <n v="29.0"/>
        <n v="31.0"/>
        <n v="20.0"/>
        <n v="35.0"/>
        <n v="38.0"/>
        <n v="44.0"/>
        <n v="48.0"/>
        <n v="49.0"/>
        <n v="41.0"/>
        <n v="56.0"/>
        <n v="45.0"/>
        <n v="39.0"/>
        <n v="25.0"/>
        <n v="28.0"/>
        <n v="67.0"/>
        <n v="60.0"/>
        <n v="23.0"/>
        <n v="54.0"/>
        <n v="50.0"/>
        <n v="58.0"/>
        <n v="22.0"/>
        <n v="59.0"/>
        <n v="47.0"/>
        <n v="68.0"/>
        <n v="62.0"/>
        <n v="64.0"/>
        <n v="63.0"/>
        <n v="21.0"/>
        <n v="52.0"/>
        <n v="32.0"/>
        <n v="30.0"/>
        <n v="53.0"/>
        <n v="99.0"/>
        <n v="105.0"/>
        <n v="15.0"/>
        <n v="12.0"/>
      </sharedItems>
    </cacheField>
    <cacheField name="Region" numFmtId="0">
      <sharedItems>
        <s v="North"/>
        <s v="East"/>
        <s v="South"/>
        <s v="West"/>
      </sharedItems>
    </cacheField>
    <cacheField name="City" numFmtId="0">
      <sharedItems>
        <s v="Delhi"/>
        <s v="Jaipur"/>
        <s v="Kolkata"/>
        <s v="Bengaluru"/>
        <s v="Surat"/>
        <s v="Ahmedabad"/>
        <s v="Bhubaneswar"/>
        <s v="Patna"/>
        <s v="Pune"/>
        <s v="Kochi"/>
        <s v="Guwahati"/>
        <s v="Lucknow"/>
        <s v="Chandigarh"/>
        <s v="Hyderabad"/>
        <s v="Chennai"/>
        <s v=""/>
        <s v="Mumbai"/>
      </sharedItems>
    </cacheField>
    <cacheField name="Plan" numFmtId="0">
      <sharedItems>
        <s v="Standard"/>
        <s v="Basic"/>
        <s v="Premium"/>
      </sharedItems>
    </cacheField>
    <cacheField name="Acquisition_Channel" numFmtId="0">
      <sharedItems>
        <s v="Instagram"/>
        <s v="Facebook"/>
        <s v="Google Ads"/>
        <s v="Organic Search"/>
        <s v="Youtube"/>
        <s v="Email"/>
        <s v="Referral"/>
      </sharedItems>
    </cacheField>
    <cacheField name="Signup_Date" numFmtId="164">
      <sharedItems containsSemiMixedTypes="0" containsDate="1" containsString="0">
        <d v="2023-04-03T00:00:00Z"/>
        <d v="2025-01-21T00:00:00Z"/>
        <d v="2024-01-06T00:00:00Z"/>
        <d v="2023-08-16T00:00:00Z"/>
        <d v="2022-12-01T00:00:00Z"/>
        <d v="2023-10-07T00:00:00Z"/>
        <d v="2024-11-09T00:00:00Z"/>
        <d v="2022-01-24T00:00:00Z"/>
        <d v="2025-07-04T00:00:00Z"/>
        <d v="2025-03-07T00:00:00Z"/>
        <d v="2025-11-13T00:00:00Z"/>
        <d v="2022-05-26T00:00:00Z"/>
        <d v="2024-04-13T00:00:00Z"/>
        <d v="2023-05-25T00:00:00Z"/>
        <d v="2023-04-30T00:00:00Z"/>
        <d v="2025-02-12T00:00:00Z"/>
        <d v="2022-06-14T00:00:00Z"/>
        <d v="2024-12-06T00:00:00Z"/>
        <d v="2025-02-27T00:00:00Z"/>
        <d v="2023-09-06T00:00:00Z"/>
        <d v="2023-06-25T00:00:00Z"/>
        <d v="2022-06-04T00:00:00Z"/>
        <d v="2025-09-27T00:00:00Z"/>
        <d v="2023-05-24T00:00:00Z"/>
        <d v="2023-11-04T00:00:00Z"/>
        <d v="2023-12-09T00:00:00Z"/>
        <d v="2023-11-08T00:00:00Z"/>
        <d v="2024-02-16T00:00:00Z"/>
        <d v="2023-03-14T00:00:00Z"/>
        <d v="2024-08-31T00:00:00Z"/>
        <d v="2025-11-26T00:00:00Z"/>
        <d v="2024-10-30T00:00:00Z"/>
        <d v="2023-08-09T00:00:00Z"/>
        <d v="2024-05-01T00:00:00Z"/>
        <d v="2025-01-23T00:00:00Z"/>
        <d v="2024-12-29T00:00:00Z"/>
        <d v="2022-02-11T00:00:00Z"/>
        <d v="2025-03-31T00:00:00Z"/>
        <d v="2022-03-26T00:00:00Z"/>
        <d v="2024-12-04T00:00:00Z"/>
        <d v="2024-04-12T00:00:00Z"/>
        <d v="2024-08-27T00:00:00Z"/>
        <d v="2025-11-14T00:00:00Z"/>
        <d v="2022-09-17T00:00:00Z"/>
        <d v="2023-06-02T00:00:00Z"/>
        <d v="2025-05-26T00:00:00Z"/>
        <d v="2025-07-05T00:00:00Z"/>
        <d v="2025-12-18T00:00:00Z"/>
        <d v="2022-05-03T00:00:00Z"/>
        <d v="2024-06-03T00:00:00Z"/>
        <d v="2023-07-24T00:00:00Z"/>
        <d v="2025-09-18T00:00:00Z"/>
        <d v="2024-01-11T00:00:00Z"/>
        <d v="2025-02-02T00:00:00Z"/>
        <d v="2023-05-15T00:00:00Z"/>
        <d v="2025-04-17T00:00:00Z"/>
        <d v="2024-04-21T00:00:00Z"/>
        <d v="2022-07-24T00:00:00Z"/>
        <d v="2025-10-13T00:00:00Z"/>
        <d v="2025-07-21T00:00:00Z"/>
        <d v="2025-10-28T00:00:00Z"/>
        <d v="2024-08-10T00:00:00Z"/>
        <d v="2024-09-16T00:00:00Z"/>
        <d v="2023-04-17T00:00:00Z"/>
        <d v="2024-04-30T00:00:00Z"/>
        <d v="2025-10-17T00:00:00Z"/>
        <d v="2022-08-10T00:00:00Z"/>
        <d v="2022-03-18T00:00:00Z"/>
        <d v="2024-09-29T00:00:00Z"/>
        <d v="2023-01-24T00:00:00Z"/>
        <d v="2023-03-01T00:00:00Z"/>
        <d v="2022-09-27T00:00:00Z"/>
        <d v="2024-01-12T00:00:00Z"/>
        <d v="2024-04-02T00:00:00Z"/>
        <d v="2024-12-22T00:00:00Z"/>
        <d v="2023-10-03T00:00:00Z"/>
        <d v="2025-02-24T00:00:00Z"/>
        <d v="2023-09-25T00:00:00Z"/>
        <d v="2022-11-19T00:00:00Z"/>
        <d v="2024-09-21T00:00:00Z"/>
        <d v="2022-04-23T00:00:00Z"/>
        <d v="2024-10-21T00:00:00Z"/>
        <d v="2022-02-12T00:00:00Z"/>
        <d v="2023-11-27T00:00:00Z"/>
        <d v="2025-05-18T00:00:00Z"/>
        <d v="2024-06-24T00:00:00Z"/>
        <d v="2022-07-04T00:00:00Z"/>
        <d v="2022-07-31T00:00:00Z"/>
        <d v="2024-04-17T00:00:00Z"/>
        <d v="2025-09-21T00:00:00Z"/>
        <d v="2024-01-13T00:00:00Z"/>
        <d v="2022-09-26T00:00:00Z"/>
        <d v="2023-09-26T00:00:00Z"/>
        <d v="2023-05-28T00:00:00Z"/>
        <d v="2024-07-12T00:00:00Z"/>
        <d v="2022-03-20T00:00:00Z"/>
        <d v="2023-09-09T00:00:00Z"/>
        <d v="2025-06-13T00:00:00Z"/>
        <d v="2025-07-25T00:00:00Z"/>
        <d v="2023-11-25T00:00:00Z"/>
        <d v="2023-10-09T00:00:00Z"/>
        <d v="2024-06-19T00:00:00Z"/>
        <d v="2023-11-03T00:00:00Z"/>
        <d v="2022-04-28T00:00:00Z"/>
        <d v="2023-05-27T00:00:00Z"/>
        <d v="2022-06-01T00:00:00Z"/>
        <d v="2025-07-30T00:00:00Z"/>
        <d v="2022-05-15T00:00:00Z"/>
        <d v="2023-12-07T00:00:00Z"/>
        <d v="2023-12-10T00:00:00Z"/>
        <d v="2025-05-24T00:00:00Z"/>
        <d v="2023-08-17T00:00:00Z"/>
        <d v="2022-10-22T00:00:00Z"/>
        <d v="2022-10-16T00:00:00Z"/>
        <d v="2024-10-18T00:00:00Z"/>
        <d v="2022-08-09T00:00:00Z"/>
        <d v="2024-03-02T00:00:00Z"/>
        <d v="2023-09-05T00:00:00Z"/>
        <d v="2025-09-04T00:00:00Z"/>
        <d v="2024-05-07T00:00:00Z"/>
        <d v="2024-07-30T00:00:00Z"/>
        <d v="2022-10-27T00:00:00Z"/>
        <d v="2025-04-16T00:00:00Z"/>
        <d v="2022-12-27T00:00:00Z"/>
        <d v="2024-12-09T00:00:00Z"/>
        <d v="2023-08-28T00:00:00Z"/>
        <d v="2022-01-14T00:00:00Z"/>
        <d v="2025-11-06T00:00:00Z"/>
        <d v="2024-02-05T00:00:00Z"/>
        <d v="2022-05-07T00:00:00Z"/>
        <d v="2022-09-28T00:00:00Z"/>
        <d v="2022-05-11T00:00:00Z"/>
        <d v="2024-02-09T00:00:00Z"/>
        <d v="2024-08-06T00:00:00Z"/>
        <d v="2022-04-26T00:00:00Z"/>
        <d v="2025-04-26T00:00:00Z"/>
        <d v="2023-01-12T00:00:00Z"/>
        <d v="2025-04-18T00:00:00Z"/>
        <d v="2023-02-23T00:00:00Z"/>
        <d v="2024-08-19T00:00:00Z"/>
        <d v="2025-01-24T00:00:00Z"/>
        <d v="2022-01-19T00:00:00Z"/>
        <d v="2023-07-17T00:00:00Z"/>
        <d v="2022-06-11T00:00:00Z"/>
        <d v="2025-07-28T00:00:00Z"/>
        <d v="2025-11-02T00:00:00Z"/>
        <d v="2024-03-07T00:00:00Z"/>
        <d v="2022-03-02T00:00:00Z"/>
        <d v="2023-05-20T00:00:00Z"/>
        <d v="2022-07-29T00:00:00Z"/>
        <d v="2024-03-05T00:00:00Z"/>
        <d v="2024-05-12T00:00:00Z"/>
        <d v="2023-11-06T00:00:00Z"/>
        <d v="2023-05-12T00:00:00Z"/>
        <d v="2025-11-19T00:00:00Z"/>
        <d v="2025-04-07T00:00:00Z"/>
        <d v="2024-05-31T00:00:00Z"/>
        <d v="2022-08-03T00:00:00Z"/>
        <d v="2025-11-27T00:00:00Z"/>
        <d v="2025-02-20T00:00:00Z"/>
        <d v="2023-02-26T00:00:00Z"/>
        <d v="2024-03-14T00:00:00Z"/>
        <d v="2022-10-17T00:00:00Z"/>
        <d v="2024-09-27T00:00:00Z"/>
        <d v="2025-03-18T00:00:00Z"/>
        <d v="2024-07-10T00:00:00Z"/>
        <d v="2023-02-28T00:00:00Z"/>
        <d v="2024-04-22T00:00:00Z"/>
        <d v="2024-12-30T00:00:00Z"/>
        <d v="2022-04-10T00:00:00Z"/>
        <d v="2022-07-11T00:00:00Z"/>
        <d v="2022-06-09T00:00:00Z"/>
        <d v="2025-07-10T00:00:00Z"/>
        <d v="2022-10-14T00:00:00Z"/>
        <d v="2023-05-06T00:00:00Z"/>
        <d v="2024-08-22T00:00:00Z"/>
        <d v="2025-08-04T00:00:00Z"/>
        <d v="2023-05-04T00:00:00Z"/>
        <d v="2024-12-07T00:00:00Z"/>
        <d v="2025-07-09T00:00:00Z"/>
        <d v="2022-04-01T00:00:00Z"/>
        <d v="2023-10-18T00:00:00Z"/>
        <d v="2024-07-24T00:00:00Z"/>
        <d v="2022-02-18T00:00:00Z"/>
        <d v="2022-10-19T00:00:00Z"/>
        <d v="2022-05-08T00:00:00Z"/>
        <d v="2022-10-06T00:00:00Z"/>
        <d v="2022-07-05T00:00:00Z"/>
        <d v="2022-12-23T00:00:00Z"/>
        <d v="2024-02-02T00:00:00Z"/>
        <d v="2022-04-14T00:00:00Z"/>
        <d v="2025-06-11T00:00:00Z"/>
        <d v="2024-12-12T00:00:00Z"/>
        <d v="2023-10-16T00:00:00Z"/>
        <d v="2022-04-25T00:00:00Z"/>
        <d v="2023-02-17T00:00:00Z"/>
        <d v="2023-09-11T00:00:00Z"/>
        <d v="2025-11-11T00:00:00Z"/>
        <d v="2022-01-03T00:00:00Z"/>
        <d v="2022-03-10T00:00:00Z"/>
        <d v="2025-08-31T00:00:00Z"/>
        <d v="2022-04-12T00:00:00Z"/>
        <d v="2025-07-31T00:00:00Z"/>
        <d v="2022-04-02T00:00:00Z"/>
        <d v="2023-04-11T00:00:00Z"/>
        <d v="2024-07-08T00:00:00Z"/>
        <d v="2022-05-18T00:00:00Z"/>
        <d v="2025-03-06T00:00:00Z"/>
        <d v="2023-09-29T00:00:00Z"/>
        <d v="2023-02-16T00:00:00Z"/>
        <d v="2025-05-01T00:00:00Z"/>
        <d v="2025-03-17T00:00:00Z"/>
        <d v="2023-09-18T00:00:00Z"/>
        <d v="2024-02-06T00:00:00Z"/>
        <d v="2023-05-08T00:00:00Z"/>
        <d v="2025-12-21T00:00:00Z"/>
        <d v="2023-06-14T00:00:00Z"/>
        <d v="2024-08-07T00:00:00Z"/>
        <d v="2022-11-05T00:00:00Z"/>
        <d v="2024-07-14T00:00:00Z"/>
        <d v="2024-10-27T00:00:00Z"/>
        <d v="2024-04-06T00:00:00Z"/>
        <d v="2025-09-17T00:00:00Z"/>
        <d v="2022-01-20T00:00:00Z"/>
        <d v="2023-02-11T00:00:00Z"/>
        <d v="2022-01-27T00:00:00Z"/>
        <d v="2025-08-18T00:00:00Z"/>
        <d v="2024-05-13T00:00:00Z"/>
        <d v="2025-12-05T00:00:00Z"/>
        <d v="2022-12-05T00:00:00Z"/>
        <d v="2024-07-06T00:00:00Z"/>
        <d v="2025-07-29T00:00:00Z"/>
        <d v="2022-07-19T00:00:00Z"/>
        <d v="2023-02-06T00:00:00Z"/>
        <d v="2022-10-03T00:00:00Z"/>
        <d v="2023-10-05T00:00:00Z"/>
        <d v="2023-12-23T00:00:00Z"/>
        <d v="2023-02-14T00:00:00Z"/>
        <d v="2025-06-24T00:00:00Z"/>
        <d v="2024-11-18T00:00:00Z"/>
        <d v="2025-05-07T00:00:00Z"/>
        <d v="2024-07-01T00:00:00Z"/>
        <d v="2024-02-07T00:00:00Z"/>
        <d v="2023-03-13T00:00:00Z"/>
        <d v="2023-05-31T00:00:00Z"/>
        <d v="2022-05-10T00:00:00Z"/>
        <d v="2022-03-05T00:00:00Z"/>
        <d v="2025-05-06T00:00:00Z"/>
        <d v="2023-02-02T00:00:00Z"/>
        <d v="2025-04-04T00:00:00Z"/>
        <d v="2025-11-21T00:00:00Z"/>
        <d v="2025-10-23T00:00:00Z"/>
        <d v="2023-06-24T00:00:00Z"/>
        <d v="2024-01-20T00:00:00Z"/>
        <d v="2024-01-27T00:00:00Z"/>
        <d v="2023-12-08T00:00:00Z"/>
        <d v="2022-08-31T00:00:00Z"/>
        <d v="2022-11-26T00:00:00Z"/>
        <d v="2023-04-16T00:00:00Z"/>
        <d v="2022-09-24T00:00:00Z"/>
        <d v="2023-12-19T00:00:00Z"/>
        <d v="2022-01-15T00:00:00Z"/>
        <d v="2025-03-02T00:00:00Z"/>
        <d v="2025-12-15T00:00:00Z"/>
        <d v="2022-01-11T00:00:00Z"/>
        <d v="2023-08-10T00:00:00Z"/>
        <d v="2024-11-22T00:00:00Z"/>
        <d v="2022-02-01T00:00:00Z"/>
        <d v="2022-12-25T00:00:00Z"/>
        <d v="2023-05-14T00:00:00Z"/>
        <d v="2024-11-23T00:00:00Z"/>
        <d v="2023-01-10T00:00:00Z"/>
        <d v="2022-06-10T00:00:00Z"/>
        <d v="2023-07-28T00:00:00Z"/>
        <d v="2024-11-27T00:00:00Z"/>
        <d v="2023-12-04T00:00:00Z"/>
        <d v="2023-07-07T00:00:00Z"/>
        <d v="2025-03-08T00:00:00Z"/>
        <d v="2023-06-12T00:00:00Z"/>
        <d v="2024-09-25T00:00:00Z"/>
        <d v="2023-04-13T00:00:00Z"/>
        <d v="2022-02-17T00:00:00Z"/>
        <d v="2022-06-20T00:00:00Z"/>
        <d v="2022-02-28T00:00:00Z"/>
        <d v="2024-12-31T00:00:00Z"/>
        <d v="2024-06-14T00:00:00Z"/>
        <d v="2023-07-05T00:00:00Z"/>
        <d v="2024-10-17T00:00:00Z"/>
        <d v="2024-02-21T00:00:00Z"/>
        <d v="2023-10-02T00:00:00Z"/>
        <d v="2022-08-20T00:00:00Z"/>
        <d v="2025-08-13T00:00:00Z"/>
        <d v="2025-01-18T00:00:00Z"/>
        <d v="2025-06-09T00:00:00Z"/>
        <d v="2025-03-15T00:00:00Z"/>
        <d v="2022-06-13T00:00:00Z"/>
        <d v="2024-11-29T00:00:00Z"/>
        <d v="2024-01-04T00:00:00Z"/>
        <d v="2025-01-31T00:00:00Z"/>
        <d v="2024-03-24T00:00:00Z"/>
        <d v="2023-12-30T00:00:00Z"/>
        <d v="2024-09-26T00:00:00Z"/>
        <d v="2025-08-29T00:00:00Z"/>
        <d v="2024-03-15T00:00:00Z"/>
        <d v="2024-10-24T00:00:00Z"/>
        <d v="2024-05-30T00:00:00Z"/>
        <d v="2025-06-16T00:00:00Z"/>
        <d v="2023-08-13T00:00:00Z"/>
        <d v="2025-11-24T00:00:00Z"/>
        <d v="2022-05-17T00:00:00Z"/>
        <d v="2024-12-24T00:00:00Z"/>
        <d v="2023-12-22T00:00:00Z"/>
        <d v="2024-02-22T00:00:00Z"/>
        <d v="2025-01-13T00:00:00Z"/>
        <d v="2025-11-08T00:00:00Z"/>
        <d v="2023-04-09T00:00:00Z"/>
        <d v="2024-05-25T00:00:00Z"/>
        <d v="2022-03-28T00:00:00Z"/>
        <d v="2023-01-02T00:00:00Z"/>
        <d v="2025-07-22T00:00:00Z"/>
        <d v="2022-11-04T00:00:00Z"/>
        <d v="2023-06-03T00:00:00Z"/>
        <d v="2025-05-20T00:00:00Z"/>
        <d v="2022-03-15T00:00:00Z"/>
        <d v="2023-03-06T00:00:00Z"/>
        <d v="2023-06-16T00:00:00Z"/>
        <d v="2022-01-04T00:00:00Z"/>
        <d v="2023-07-31T00:00:00Z"/>
        <d v="2023-11-24T00:00:00Z"/>
        <d v="2025-03-03T00:00:00Z"/>
        <d v="2022-12-06T00:00:00Z"/>
        <d v="2023-03-19T00:00:00Z"/>
        <d v="2024-12-08T00:00:00Z"/>
        <d v="2023-08-04T00:00:00Z"/>
        <d v="2024-05-23T00:00:00Z"/>
        <d v="2025-12-01T00:00:00Z"/>
        <d v="2022-08-08T00:00:00Z"/>
        <d v="2025-11-22T00:00:00Z"/>
        <d v="2023-10-29T00:00:00Z"/>
        <d v="2022-01-02T00:00:00Z"/>
        <d v="2024-09-23T00:00:00Z"/>
        <d v="2024-05-19T00:00:00Z"/>
        <d v="2025-11-15T00:00:00Z"/>
        <d v="2025-03-30T00:00:00Z"/>
        <d v="2023-07-18T00:00:00Z"/>
        <d v="2022-10-25T00:00:00Z"/>
        <d v="2022-08-26T00:00:00Z"/>
        <d v="2022-01-25T00:00:00Z"/>
        <d v="2022-07-21T00:00:00Z"/>
        <d v="2022-09-07T00:00:00Z"/>
        <d v="2024-05-24T00:00:00Z"/>
        <d v="2022-12-31T00:00:00Z"/>
        <d v="2022-03-13T00:00:00Z"/>
        <d v="2024-03-12T00:00:00Z"/>
        <d v="2024-02-26T00:00:00Z"/>
        <d v="2025-09-01T00:00:00Z"/>
        <d v="2022-04-04T00:00:00Z"/>
        <d v="2025-06-14T00:00:00Z"/>
        <d v="2022-12-22T00:00:00Z"/>
        <d v="2025-07-18T00:00:00Z"/>
        <d v="2022-10-21T00:00:00Z"/>
        <d v="2025-02-16T00:00:00Z"/>
        <d v="2025-11-04T00:00:00Z"/>
        <d v="2025-01-05T00:00:00Z"/>
        <d v="2024-07-20T00:00:00Z"/>
        <d v="2024-08-11T00:00:00Z"/>
        <d v="2024-09-28T00:00:00Z"/>
        <d v="2022-03-24T00:00:00Z"/>
        <d v="2024-01-05T00:00:00Z"/>
        <d v="2023-01-14T00:00:00Z"/>
        <d v="2025-01-15T00:00:00Z"/>
        <d v="2025-02-18T00:00:00Z"/>
        <d v="2024-10-28T00:00:00Z"/>
        <d v="2025-10-10T00:00:00Z"/>
        <d v="2023-04-21T00:00:00Z"/>
        <d v="2023-08-14T00:00:00Z"/>
        <d v="2023-10-11T00:00:00Z"/>
        <d v="2022-02-21T00:00:00Z"/>
        <d v="2025-03-20T00:00:00Z"/>
        <d v="2023-03-28T00:00:00Z"/>
        <d v="2023-02-03T00:00:00Z"/>
        <d v="2023-09-23T00:00:00Z"/>
        <d v="2022-06-26T00:00:00Z"/>
        <d v="2022-10-08T00:00:00Z"/>
        <d v="2022-11-12T00:00:00Z"/>
        <d v="2025-05-11T00:00:00Z"/>
        <d v="2023-10-17T00:00:00Z"/>
        <d v="2022-07-13T00:00:00Z"/>
        <d v="2024-09-20T00:00:00Z"/>
        <d v="2022-08-27T00:00:00Z"/>
        <d v="2024-11-17T00:00:00Z"/>
        <d v="2022-12-18T00:00:00Z"/>
        <d v="2024-05-18T00:00:00Z"/>
        <d v="2022-06-18T00:00:00Z"/>
        <d v="2024-09-01T00:00:00Z"/>
        <d v="2022-07-28T00:00:00Z"/>
        <d v="2022-05-20T00:00:00Z"/>
        <d v="2023-08-25T00:00:00Z"/>
        <d v="2025-10-14T00:00:00Z"/>
        <d v="2023-10-19T00:00:00Z"/>
        <d v="2023-12-21T00:00:00Z"/>
        <d v="2024-08-01T00:00:00Z"/>
        <d v="2023-03-15T00:00:00Z"/>
        <d v="2024-07-17T00:00:00Z"/>
        <d v="2024-08-05T00:00:00Z"/>
        <d v="2025-11-07T00:00:00Z"/>
        <d v="2022-10-07T00:00:00Z"/>
        <d v="2024-01-15T00:00:00Z"/>
        <d v="2025-05-13T00:00:00Z"/>
        <d v="2025-04-22T00:00:00Z"/>
        <d v="2023-09-24T00:00:00Z"/>
        <d v="2022-01-17T00:00:00Z"/>
        <d v="2024-10-03T00:00:00Z"/>
        <d v="2022-04-17T00:00:00Z"/>
        <d v="2025-08-22T00:00:00Z"/>
        <d v="2023-01-08T00:00:00Z"/>
        <d v="2025-05-14T00:00:00Z"/>
        <d v="2023-06-30T00:00:00Z"/>
        <d v="2022-05-30T00:00:00Z"/>
        <d v="2025-10-06T00:00:00Z"/>
        <d v="2022-10-18T00:00:00Z"/>
        <d v="2024-06-12T00:00:00Z"/>
        <d v="2023-01-05T00:00:00Z"/>
        <d v="2022-02-23T00:00:00Z"/>
        <d v="2024-06-04T00:00:00Z"/>
        <d v="2024-12-10T00:00:00Z"/>
        <d v="2022-06-06T00:00:00Z"/>
        <d v="2023-01-03T00:00:00Z"/>
        <d v="2025-05-22T00:00:00Z"/>
        <d v="2025-06-17T00:00:00Z"/>
        <d v="2025-08-20T00:00:00Z"/>
        <d v="2022-11-28T00:00:00Z"/>
        <d v="2025-02-14T00:00:00Z"/>
        <d v="2023-06-13T00:00:00Z"/>
        <d v="2023-11-17T00:00:00Z"/>
        <d v="2024-04-29T00:00:00Z"/>
        <d v="2022-01-21T00:00:00Z"/>
        <d v="2025-12-06T00:00:00Z"/>
        <d v="2025-08-21T00:00:00Z"/>
        <d v="2025-08-26T00:00:00Z"/>
        <d v="2025-03-19T00:00:00Z"/>
        <d v="2024-04-23T00:00:00Z"/>
        <d v="2024-05-17T00:00:00Z"/>
        <d v="2022-11-18T00:00:00Z"/>
        <d v="2023-09-14T00:00:00Z"/>
        <d v="2024-05-05T00:00:00Z"/>
        <d v="2022-02-20T00:00:00Z"/>
        <d v="2022-02-08T00:00:00Z"/>
        <d v="2022-07-03T00:00:00Z"/>
        <d v="2023-10-26T00:00:00Z"/>
        <d v="2023-07-14T00:00:00Z"/>
        <d v="2022-09-09T00:00:00Z"/>
        <d v="2024-06-29T00:00:00Z"/>
        <d v="2025-12-12T00:00:00Z"/>
        <d v="2022-05-14T00:00:00Z"/>
        <d v="2025-08-05T00:00:00Z"/>
        <d v="2024-12-26T00:00:00Z"/>
        <d v="2022-05-09T00:00:00Z"/>
        <d v="2025-09-13T00:00:00Z"/>
        <d v="2025-05-03T00:00:00Z"/>
        <d v="2022-05-04T00:00:00Z"/>
        <d v="2025-11-17T00:00:00Z"/>
        <d v="2025-08-01T00:00:00Z"/>
        <d v="2022-03-03T00:00:00Z"/>
        <d v="2023-05-19T00:00:00Z"/>
        <d v="2025-07-26T00:00:00Z"/>
        <d v="2025-03-16T00:00:00Z"/>
        <d v="2024-05-22T00:00:00Z"/>
        <d v="2023-08-27T00:00:00Z"/>
        <d v="2024-04-07T00:00:00Z"/>
        <d v="2023-11-29T00:00:00Z"/>
        <d v="2025-03-09T00:00:00Z"/>
        <d v="2023-02-27T00:00:00Z"/>
        <d v="2023-09-02T00:00:00Z"/>
        <d v="2022-07-25T00:00:00Z"/>
        <d v="2023-02-18T00:00:00Z"/>
        <d v="2022-01-31T00:00:00Z"/>
        <d v="2023-09-10T00:00:00Z"/>
        <d v="2025-11-09T00:00:00Z"/>
        <d v="2022-09-12T00:00:00Z"/>
        <d v="2025-05-09T00:00:00Z"/>
        <d v="2022-04-21T00:00:00Z"/>
        <d v="2025-07-23T00:00:00Z"/>
        <d v="2025-05-25T00:00:00Z"/>
        <d v="2025-06-02T00:00:00Z"/>
        <d v="2024-03-19T00:00:00Z"/>
        <d v="2023-12-15T00:00:00Z"/>
        <d v="2022-02-27T00:00:00Z"/>
        <d v="2024-03-25T00:00:00Z"/>
        <d v="2022-07-02T00:00:00Z"/>
        <d v="2024-07-11T00:00:00Z"/>
        <d v="2022-09-13T00:00:00Z"/>
        <d v="2025-09-24T00:00:00Z"/>
        <d v="2022-09-10T00:00:00Z"/>
        <d v="2022-09-16T00:00:00Z"/>
        <d v="2022-11-09T00:00:00Z"/>
        <d v="2022-10-09T00:00:00Z"/>
        <d v="2023-05-09T00:00:00Z"/>
        <d v="2022-06-19T00:00:00Z"/>
        <d v="2025-12-10T00:00:00Z"/>
        <d v="2025-01-08T00:00:00Z"/>
        <d v="2025-03-23T00:00:00Z"/>
        <d v="2022-01-01T00:00:00Z"/>
        <d v="2022-06-02T00:00:00Z"/>
        <d v="2023-07-06T00:00:00Z"/>
        <d v="2024-02-15T00:00:00Z"/>
        <d v="2023-10-14T00:00:00Z"/>
        <d v="2023-07-02T00:00:00Z"/>
        <d v="2024-12-02T00:00:00Z"/>
        <d v="2022-06-23T00:00:00Z"/>
        <d v="2022-01-05T00:00:00Z"/>
        <d v="2024-06-07T00:00:00Z"/>
        <d v="2023-06-29T00:00:00Z"/>
        <d v="2022-11-15T00:00:00Z"/>
        <d v="2024-05-28T00:00:00Z"/>
        <d v="2025-06-05T00:00:00Z"/>
        <d v="2022-07-06T00:00:00Z"/>
        <d v="2023-07-29T00:00:00Z"/>
        <d v="2022-07-26T00:00:00Z"/>
        <d v="2023-01-26T00:00:00Z"/>
        <d v="2025-02-01T00:00:00Z"/>
        <d v="2022-02-14T00:00:00Z"/>
        <d v="2023-08-30T00:00:00Z"/>
        <d v="2025-08-08T00:00:00Z"/>
        <d v="2023-10-27T00:00:00Z"/>
        <d v="2024-07-29T00:00:00Z"/>
        <d v="2023-05-18T00:00:00Z"/>
        <d v="2023-07-03T00:00:00Z"/>
        <d v="2022-11-13T00:00:00Z"/>
        <d v="2022-02-19T00:00:00Z"/>
        <d v="2024-01-02T00:00:00Z"/>
        <d v="2024-07-03T00:00:00Z"/>
        <d v="2024-09-12T00:00:00Z"/>
        <d v="2023-12-17T00:00:00Z"/>
        <d v="2022-01-26T00:00:00Z"/>
        <d v="2023-07-11T00:00:00Z"/>
        <d v="2025-08-07T00:00:00Z"/>
        <d v="2025-01-14T00:00:00Z"/>
        <d v="2022-07-10T00:00:00Z"/>
        <d v="2023-04-20T00:00:00Z"/>
        <d v="2025-10-30T00:00:00Z"/>
        <d v="2022-12-14T00:00:00Z"/>
        <d v="2022-09-11T00:00:00Z"/>
        <d v="2024-08-04T00:00:00Z"/>
        <d v="2023-10-12T00:00:00Z"/>
        <d v="2024-02-18T00:00:00Z"/>
        <d v="2024-04-09T00:00:00Z"/>
        <d v="2022-12-03T00:00:00Z"/>
        <d v="2025-01-20T00:00:00Z"/>
        <d v="2023-12-20T00:00:00Z"/>
        <d v="2023-01-30T00:00:00Z"/>
        <d v="2024-10-29T00:00:00Z"/>
        <d v="2022-11-10T00:00:00Z"/>
        <d v="2023-03-07T00:00:00Z"/>
        <d v="2024-09-18T00:00:00Z"/>
        <d v="2023-03-21T00:00:00Z"/>
        <d v="2025-05-21T00:00:00Z"/>
        <d v="2023-10-06T00:00:00Z"/>
        <d v="2023-03-22T00:00:00Z"/>
        <d v="2022-04-06T00:00:00Z"/>
        <d v="2024-04-04T00:00:00Z"/>
        <d v="2023-10-04T00:00:00Z"/>
        <d v="2024-12-16T00:00:00Z"/>
        <d v="2023-03-04T00:00:00Z"/>
        <d v="2024-05-16T00:00:00Z"/>
        <d v="2024-12-23T00:00:00Z"/>
        <d v="2022-07-20T00:00:00Z"/>
        <d v="2025-08-16T00:00:00Z"/>
        <d v="2023-03-27T00:00:00Z"/>
        <d v="2025-06-28T00:00:00Z"/>
        <d v="2023-12-24T00:00:00Z"/>
        <d v="2024-06-06T00:00:00Z"/>
        <d v="2023-12-28T00:00:00Z"/>
        <d v="2025-10-31T00:00:00Z"/>
        <d v="2024-06-13T00:00:00Z"/>
        <d v="2022-01-13T00:00:00Z"/>
        <d v="2022-05-05T00:00:00Z"/>
        <d v="2024-03-11T00:00:00Z"/>
        <d v="2025-09-07T00:00:00Z"/>
        <d v="2025-09-05T00:00:00Z"/>
        <d v="2025-09-11T00:00:00Z"/>
        <d v="2022-11-22T00:00:00Z"/>
        <d v="2022-05-12T00:00:00Z"/>
        <d v="2025-03-21T00:00:00Z"/>
        <d v="2022-07-17T00:00:00Z"/>
        <d v="2024-10-22T00:00:00Z"/>
        <d v="2023-04-18T00:00:00Z"/>
        <d v="2022-05-02T00:00:00Z"/>
        <d v="2022-06-15T00:00:00Z"/>
        <d v="2022-02-13T00:00:00Z"/>
        <d v="2022-04-27T00:00:00Z"/>
        <d v="2022-06-07T00:00:00Z"/>
        <d v="2022-06-25T00:00:00Z"/>
        <d v="2023-10-20T00:00:00Z"/>
        <d v="2023-07-21T00:00:00Z"/>
        <d v="2023-01-13T00:00:00Z"/>
        <d v="2022-08-12T00:00:00Z"/>
        <d v="2025-05-28T00:00:00Z"/>
        <d v="2025-03-24T00:00:00Z"/>
        <d v="2024-11-01T00:00:00Z"/>
        <d v="2023-08-11T00:00:00Z"/>
        <d v="2025-02-09T00:00:00Z"/>
        <d v="2024-11-07T00:00:00Z"/>
        <d v="2023-01-01T00:00:00Z"/>
        <d v="2025-01-10T00:00:00Z"/>
        <d v="2025-12-17T00:00:00Z"/>
        <d v="2023-11-18T00:00:00Z"/>
        <d v="2022-08-19T00:00:00Z"/>
        <d v="2024-05-20T00:00:00Z"/>
        <d v="2023-05-22T00:00:00Z"/>
        <d v="2024-03-17T00:00:00Z"/>
        <d v="2025-07-14T00:00:00Z"/>
        <d v="2023-10-22T00:00:00Z"/>
        <d v="2022-12-07T00:00:00Z"/>
        <d v="2024-06-10T00:00:00Z"/>
        <d v="2024-08-24T00:00:00Z"/>
        <d v="2022-01-12T00:00:00Z"/>
        <d v="2023-04-08T00:00:00Z"/>
        <d v="2023-03-20T00:00:00Z"/>
        <d v="2023-09-12T00:00:00Z"/>
        <d v="2023-07-23T00:00:00Z"/>
        <d v="2025-10-04T00:00:00Z"/>
        <d v="2022-07-12T00:00:00Z"/>
        <d v="2025-05-29T00:00:00Z"/>
        <d v="2022-09-02T00:00:00Z"/>
        <d v="2024-01-21T00:00:00Z"/>
        <d v="2023-01-09T00:00:00Z"/>
        <d v="2023-01-27T00:00:00Z"/>
        <d v="2024-02-29T00:00:00Z"/>
        <d v="2025-07-13T00:00:00Z"/>
        <d v="2024-07-23T00:00:00Z"/>
        <d v="2024-11-04T00:00:00Z"/>
        <d v="2023-04-29T00:00:00Z"/>
        <d v="2025-09-30T00:00:00Z"/>
        <d v="2024-10-20T00:00:00Z"/>
        <d v="2024-09-22T00:00:00Z"/>
        <d v="2024-05-04T00:00:00Z"/>
        <d v="2025-07-20T00:00:00Z"/>
        <d v="2025-06-01T00:00:00Z"/>
        <d v="2023-01-16T00:00:00Z"/>
        <d v="2025-07-24T00:00:00Z"/>
        <d v="2025-09-15T00:00:00Z"/>
        <d v="2022-12-08T00:00:00Z"/>
        <d v="2022-08-15T00:00:00Z"/>
        <d v="2023-11-16T00:00:00Z"/>
        <d v="2024-07-26T00:00:00Z"/>
        <d v="2024-06-27T00:00:00Z"/>
        <d v="2025-07-12T00:00:00Z"/>
        <d v="2024-09-15T00:00:00Z"/>
        <d v="2023-09-13T00:00:00Z"/>
        <d v="2025-02-07T00:00:00Z"/>
        <d v="2022-12-30T00:00:00Z"/>
        <d v="2022-04-15T00:00:00Z"/>
        <d v="2024-11-19T00:00:00Z"/>
        <d v="2025-08-15T00:00:00Z"/>
        <d v="2025-08-02T00:00:00Z"/>
        <d v="2024-07-02T00:00:00Z"/>
        <d v="2024-07-13T00:00:00Z"/>
        <d v="2024-03-09T00:00:00Z"/>
        <d v="2023-07-10T00:00:00Z"/>
        <d v="2022-09-20T00:00:00Z"/>
        <d v="2024-11-28T00:00:00Z"/>
        <d v="2025-09-12T00:00:00Z"/>
        <d v="2024-02-28T00:00:00Z"/>
        <d v="2025-07-11T00:00:00Z"/>
        <d v="2022-08-16T00:00:00Z"/>
        <d v="2023-03-31T00:00:00Z"/>
        <d v="2023-07-19T00:00:00Z"/>
        <d v="2023-12-01T00:00:00Z"/>
        <d v="2024-01-01T00:00:00Z"/>
        <d v="2025-09-29T00:00:00Z"/>
        <d v="2023-12-13T00:00:00Z"/>
        <d v="2023-05-03T00:00:00Z"/>
        <d v="2023-10-24T00:00:00Z"/>
        <d v="2024-06-25T00:00:00Z"/>
        <d v="2024-11-05T00:00:00Z"/>
        <d v="2024-07-31T00:00:00Z"/>
        <d v="2023-07-20T00:00:00Z"/>
        <d v="2024-06-11T00:00:00Z"/>
        <d v="2022-11-27T00:00:00Z"/>
        <d v="2023-06-18T00:00:00Z"/>
        <d v="2022-12-12T00:00:00Z"/>
        <d v="2023-08-20T00:00:00Z"/>
        <d v="2025-10-01T00:00:00Z"/>
        <d v="2024-12-15T00:00:00Z"/>
        <d v="2024-10-01T00:00:00Z"/>
        <d v="2022-06-27T00:00:00Z"/>
        <d v="2024-01-30T00:00:00Z"/>
        <d v="2022-12-26T00:00:00Z"/>
        <d v="2025-06-20T00:00:00Z"/>
        <d v="2025-07-27T00:00:00Z"/>
        <d v="2024-06-28T00:00:00Z"/>
        <d v="2024-04-16T00:00:00Z"/>
        <d v="2023-02-10T00:00:00Z"/>
        <d v="2022-04-19T00:00:00Z"/>
        <d v="2022-10-28T00:00:00Z"/>
        <d v="2024-07-05T00:00:00Z"/>
        <d v="2024-12-01T00:00:00Z"/>
        <d v="2022-09-25T00:00:00Z"/>
        <d v="2022-05-25T00:00:00Z"/>
        <d v="2022-01-08T00:00:00Z"/>
        <d v="2025-10-16T00:00:00Z"/>
        <d v="2023-01-21T00:00:00Z"/>
        <d v="2024-07-15T00:00:00Z"/>
        <d v="2022-12-20T00:00:00Z"/>
        <d v="2025-01-30T00:00:00Z"/>
        <d v="2024-09-03T00:00:00Z"/>
        <d v="2022-09-23T00:00:00Z"/>
        <d v="2023-04-24T00:00:00Z"/>
        <d v="2023-01-31T00:00:00Z"/>
        <d v="2024-09-19T00:00:00Z"/>
        <d v="2024-09-04T00:00:00Z"/>
        <d v="2025-03-10T00:00:00Z"/>
        <d v="2024-11-12T00:00:00Z"/>
        <d v="2025-08-27T00:00:00Z"/>
        <d v="2024-03-06T00:00:00Z"/>
        <d v="2022-04-13T00:00:00Z"/>
        <d v="2022-06-05T00:00:00Z"/>
        <d v="2024-02-12T00:00:00Z"/>
        <d v="2024-01-23T00:00:00Z"/>
        <d v="2023-08-22T00:00:00Z"/>
        <d v="2025-10-25T00:00:00Z"/>
        <d v="2022-06-17T00:00:00Z"/>
        <d v="2024-02-04T00:00:00Z"/>
        <d v="2023-08-29T00:00:00Z"/>
        <d v="2023-09-15T00:00:00Z"/>
        <d v="2025-07-16T00:00:00Z"/>
        <d v="2025-04-30T00:00:00Z"/>
        <d v="2024-11-24T00:00:00Z"/>
        <d v="2023-05-26T00:00:00Z"/>
        <d v="2023-07-26T00:00:00Z"/>
        <d v="2023-01-18T00:00:00Z"/>
        <d v="2023-09-08T00:00:00Z"/>
        <d v="2024-11-10T00:00:00Z"/>
        <d v="2022-03-29T00:00:00Z"/>
        <d v="2023-09-20T00:00:00Z"/>
        <d v="2025-01-16T00:00:00Z"/>
        <d v="2024-10-14T00:00:00Z"/>
        <d v="2022-01-07T00:00:00Z"/>
        <d v="2025-05-04T00:00:00Z"/>
        <d v="2025-03-14T00:00:00Z"/>
        <d v="2023-02-25T00:00:00Z"/>
        <d v="2024-09-07T00:00:00Z"/>
        <d v="2022-07-09T00:00:00Z"/>
        <d v="2023-07-12T00:00:00Z"/>
        <d v="2023-09-04T00:00:00Z"/>
        <d v="2024-09-08T00:00:00Z"/>
        <d v="2024-12-03T00:00:00Z"/>
        <d v="2023-06-07T00:00:00Z"/>
        <d v="2023-12-03T00:00:00Z"/>
        <d v="2024-08-08T00:00:00Z"/>
        <d v="2022-05-16T00:00:00Z"/>
        <d v="2024-03-22T00:00:00Z"/>
        <d v="2022-01-18T00:00:00Z"/>
        <d v="2022-05-27T00:00:00Z"/>
        <d v="2024-08-26T00:00:00Z"/>
        <d v="2022-03-17T00:00:00Z"/>
        <d v="2024-04-19T00:00:00Z"/>
        <d v="2022-03-06T00:00:00Z"/>
        <d v="2025-07-17T00:00:00Z"/>
        <d v="2025-04-24T00:00:00Z"/>
        <d v="2025-04-01T00:00:00Z"/>
        <d v="2025-02-22T00:00:00Z"/>
        <d v="2025-01-28T00:00:00Z"/>
        <d v="2023-02-12T00:00:00Z"/>
        <d v="2025-05-02T00:00:00Z"/>
        <d v="2022-08-07T00:00:00Z"/>
        <d v="2023-09-07T00:00:00Z"/>
        <d v="2023-11-15T00:00:00Z"/>
        <d v="2022-03-25T00:00:00Z"/>
        <d v="2024-04-11T00:00:00Z"/>
        <d v="2024-10-16T00:00:00Z"/>
        <d v="2023-04-26T00:00:00Z"/>
        <d v="2023-09-28T00:00:00Z"/>
        <d v="2022-11-02T00:00:00Z"/>
        <d v="2022-05-29T00:00:00Z"/>
        <d v="2025-08-09T00:00:00Z"/>
        <d v="2023-03-05T00:00:00Z"/>
        <d v="2025-12-03T00:00:00Z"/>
        <d v="2024-06-30T00:00:00Z"/>
        <d v="2023-11-26T00:00:00Z"/>
        <d v="2024-05-14T00:00:00Z"/>
        <d v="2025-05-23T00:00:00Z"/>
        <d v="2022-04-07T00:00:00Z"/>
        <d v="2023-11-28T00:00:00Z"/>
        <d v="2023-05-10T00:00:00Z"/>
        <d v="2025-08-11T00:00:00Z"/>
        <d v="2023-09-30T00:00:00Z"/>
        <d v="2022-10-13T00:00:00Z"/>
        <d v="2022-03-16T00:00:00Z"/>
        <d v="2022-04-05T00:00:00Z"/>
        <d v="2022-02-25T00:00:00Z"/>
        <d v="2024-01-29T00:00:00Z"/>
        <d v="2024-07-16T00:00:00Z"/>
        <d v="2024-07-25T00:00:00Z"/>
        <d v="2022-10-29T00:00:00Z"/>
        <d v="2025-06-07T00:00:00Z"/>
        <d v="2024-01-25T00:00:00Z"/>
        <d v="2022-02-16T00:00:00Z"/>
        <d v="2022-08-11T00:00:00Z"/>
        <d v="2025-01-03T00:00:00Z"/>
        <d v="2025-01-09T00:00:00Z"/>
        <d v="2024-01-18T00:00:00Z"/>
        <d v="2025-02-15T00:00:00Z"/>
        <d v="2025-07-06T00:00:00Z"/>
        <d v="2025-09-06T00:00:00Z"/>
        <d v="2025-07-01T00:00:00Z"/>
        <d v="2022-12-10T00:00:00Z"/>
        <d v="2025-06-06T00:00:00Z"/>
        <d v="2023-12-05T00:00:00Z"/>
        <d v="2025-04-10T00:00:00Z"/>
        <d v="2025-04-19T00:00:00Z"/>
        <d v="2024-08-23T00:00:00Z"/>
        <d v="2025-08-14T00:00:00Z"/>
        <d v="2025-08-30T00:00:00Z"/>
        <d v="2023-03-25T00:00:00Z"/>
        <d v="2023-11-01T00:00:00Z"/>
        <d v="2023-06-28T00:00:00Z"/>
        <d v="2024-03-18T00:00:00Z"/>
        <d v="2022-11-30T00:00:00Z"/>
        <d v="2023-07-22T00:00:00Z"/>
        <d v="2023-08-06T00:00:00Z"/>
        <d v="2024-10-13T00:00:00Z"/>
        <d v="2023-03-11T00:00:00Z"/>
        <d v="2025-08-03T00:00:00Z"/>
        <d v="2023-05-30T00:00:00Z"/>
        <d v="2024-12-17T00:00:00Z"/>
        <d v="2023-02-15T00:00:00Z"/>
        <d v="2025-12-20T00:00:00Z"/>
        <d v="2022-11-21T00:00:00Z"/>
        <d v="2023-12-31T00:00:00Z"/>
        <d v="2025-10-05T00:00:00Z"/>
        <d v="2022-07-01T00:00:00Z"/>
        <d v="2023-06-27T00:00:00Z"/>
        <d v="2025-04-02T00:00:00Z"/>
        <d v="2023-06-06T00:00:00Z"/>
        <d v="2025-01-07T00:00:00Z"/>
        <d v="2024-06-20T00:00:00Z"/>
        <d v="2024-09-05T00:00:00Z"/>
        <d v="2023-01-29T00:00:00Z"/>
        <d v="2022-09-19T00:00:00Z"/>
        <d v="2023-07-04T00:00:00Z"/>
        <d v="2023-01-28T00:00:00Z"/>
        <d v="2022-03-27T00:00:00Z"/>
        <d v="2022-12-19T00:00:00Z"/>
        <d v="2024-03-01T00:00:00Z"/>
        <d v="2024-07-09T00:00:00Z"/>
        <d v="2023-08-15T00:00:00Z"/>
        <d v="2022-06-08T00:00:00Z"/>
        <d v="2023-07-25T00:00:00Z"/>
        <d v="2024-06-21T00:00:00Z"/>
        <d v="2024-01-08T00:00:00Z"/>
        <d v="2025-06-25T00:00:00Z"/>
        <d v="2022-01-22T00:00:00Z"/>
        <d v="2025-09-26T00:00:00Z"/>
        <d v="2025-03-12T00:00:00Z"/>
        <d v="2024-10-02T00:00:00Z"/>
        <d v="2023-11-09T00:00:00Z"/>
        <d v="2023-01-17T00:00:00Z"/>
        <d v="2022-01-09T00:00:00Z"/>
        <d v="2025-05-31T00:00:00Z"/>
        <d v="2022-11-29T00:00:00Z"/>
        <d v="2025-07-08T00:00:00Z"/>
        <d v="2024-10-23T00:00:00Z"/>
        <d v="2024-05-03T00:00:00Z"/>
        <d v="2023-06-08T00:00:00Z"/>
        <d v="2023-02-05T00:00:00Z"/>
        <d v="2022-12-13T00:00:00Z"/>
        <d v="2024-10-06T00:00:00Z"/>
        <d v="2024-03-23T00:00:00Z"/>
        <d v="2022-02-04T00:00:00Z"/>
        <d v="2024-09-17T00:00:00Z"/>
        <d v="2025-10-08T00:00:00Z"/>
        <d v="2022-08-14T00:00:00Z"/>
        <d v="2024-04-27T00:00:00Z"/>
        <d v="2025-04-21T00:00:00Z"/>
        <d v="2025-09-08T00:00:00Z"/>
        <d v="2022-08-01T00:00:00Z"/>
        <d v="2024-04-25T00:00:00Z"/>
        <d v="2022-10-31T00:00:00Z"/>
        <d v="2025-02-05T00:00:00Z"/>
        <d v="2023-06-04T00:00:00Z"/>
        <d v="2023-08-23T00:00:00Z"/>
        <d v="2025-05-15T00:00:00Z"/>
        <d v="2025-10-22T00:00:00Z"/>
        <d v="2022-02-07T00:00:00Z"/>
        <d v="2023-08-31T00:00:00Z"/>
        <d v="2023-04-02T00:00:00Z"/>
        <d v="2025-04-08T00:00:00Z"/>
        <d v="2025-05-05T00:00:00Z"/>
        <d v="2022-12-17T00:00:00Z"/>
        <d v="2023-05-23T00:00:00Z"/>
        <d v="2024-11-06T00:00:00Z"/>
        <d v="2022-03-30T00:00:00Z"/>
        <d v="2022-08-28T00:00:00Z"/>
        <d v="2025-02-06T00:00:00Z"/>
        <d v="2023-06-19T00:00:00Z"/>
        <d v="2024-04-28T00:00:00Z"/>
        <d v="2024-03-16T00:00:00Z"/>
        <d v="2025-12-09T00:00:00Z"/>
        <d v="2024-09-09T00:00:00Z"/>
        <d v="2023-06-11T00:00:00Z"/>
        <d v="2023-01-20T00:00:00Z"/>
        <d v="2022-02-10T00:00:00Z"/>
        <d v="2024-03-31T00:00:00Z"/>
        <d v="2025-06-21T00:00:00Z"/>
        <d v="2023-06-10T00:00:00Z"/>
        <d v="2023-06-17T00:00:00Z"/>
        <d v="2022-09-03T00:00:00Z"/>
        <d v="2025-08-28T00:00:00Z"/>
        <d v="2022-12-15T00:00:00Z"/>
        <d v="2022-10-23T00:00:00Z"/>
        <d v="2024-10-12T00:00:00Z"/>
        <d v="2024-06-02T00:00:00Z"/>
        <d v="2024-05-11T00:00:00Z"/>
        <d v="2025-11-18T00:00:00Z"/>
        <d v="2024-04-08T00:00:00Z"/>
        <d v="2023-02-13T00:00:00Z"/>
        <d v="2024-04-05T00:00:00Z"/>
        <d v="2023-05-16T00:00:00Z"/>
        <d v="2024-02-08T00:00:00Z"/>
        <d v="2022-02-02T00:00:00Z"/>
        <d v="2022-12-28T00:00:00Z"/>
        <d v="2022-09-14T00:00:00Z"/>
        <d v="2022-07-27T00:00:00Z"/>
        <d v="2024-03-30T00:00:00Z"/>
        <d v="2022-03-08T00:00:00Z"/>
        <d v="2022-09-04T00:00:00Z"/>
        <d v="2024-08-16T00:00:00Z"/>
        <d v="2025-10-18T00:00:00Z"/>
        <d v="2022-08-06T00:00:00Z"/>
        <d v="2022-10-04T00:00:00Z"/>
        <d v="2022-08-25T00:00:00Z"/>
        <d v="2023-05-17T00:00:00Z"/>
        <d v="2024-04-01T00:00:00Z"/>
        <d v="2024-05-06T00:00:00Z"/>
        <d v="2024-08-28T00:00:00Z"/>
        <d v="2022-06-03T00:00:00Z"/>
        <d v="2024-04-26T00:00:00Z"/>
        <d v="2022-02-09T00:00:00Z"/>
        <d v="2024-07-28T00:00:00Z"/>
        <d v="2024-10-07T00:00:00Z"/>
        <d v="2024-05-09T00:00:00Z"/>
        <d v="2023-12-02T00:00:00Z"/>
        <d v="2023-07-16T00:00:00Z"/>
        <d v="2023-04-14T00:00:00Z"/>
        <d v="2023-11-11T00:00:00Z"/>
        <d v="2022-08-13T00:00:00Z"/>
        <d v="2022-02-06T00:00:00Z"/>
        <d v="2023-01-22T00:00:00Z"/>
        <d v="2024-05-10T00:00:00Z"/>
        <d v="2022-02-03T00:00:00Z"/>
        <d v="2025-11-23T00:00:00Z"/>
        <d v="2022-05-23T00:00:00Z"/>
        <d v="2023-08-21T00:00:00Z"/>
        <d v="2025-03-04T00:00:00Z"/>
        <d v="2025-08-06T00:00:00Z"/>
        <d v="2022-09-18T00:00:00Z"/>
        <d v="2023-09-01T00:00:00Z"/>
        <d v="2022-06-24T00:00:00Z"/>
        <d v="2025-02-17T00:00:00Z"/>
        <d v="2024-03-26T00:00:00Z"/>
        <d v="2025-01-19T00:00:00Z"/>
        <d v="2023-08-02T00:00:00Z"/>
        <d v="2022-08-29T00:00:00Z"/>
        <d v="2025-11-01T00:00:00Z"/>
        <d v="2024-02-27T00:00:00Z"/>
        <d v="2025-05-30T00:00:00Z"/>
        <d v="2024-12-28T00:00:00Z"/>
        <d v="2023-03-09T00:00:00Z"/>
        <d v="2024-04-14T00:00:00Z"/>
        <d v="2025-02-08T00:00:00Z"/>
        <d v="2022-12-02T00:00:00Z"/>
        <d v="2024-11-02T00:00:00Z"/>
        <d v="2025-06-12T00:00:00Z"/>
        <d v="2022-03-23T00:00:00Z"/>
        <d v="2023-10-08T00:00:00Z"/>
        <d v="2024-02-20T00:00:00Z"/>
        <d v="2025-04-12T00:00:00Z"/>
        <d v="2023-08-18T00:00:00Z"/>
        <d v="2023-04-23T00:00:00Z"/>
        <d v="2024-12-14T00:00:00Z"/>
        <d v="2022-11-03T00:00:00Z"/>
        <d v="2023-02-19T00:00:00Z"/>
        <d v="2024-11-13T00:00:00Z"/>
        <d v="2023-10-23T00:00:00Z"/>
        <d v="2022-11-25T00:00:00Z"/>
        <d v="2024-09-24T00:00:00Z"/>
        <d v="2022-02-22T00:00:00Z"/>
        <d v="2024-02-13T00:00:00Z"/>
        <d v="2024-03-20T00:00:00Z"/>
        <d v="2025-11-25T00:00:00Z"/>
        <d v="2025-11-10T00:00:00Z"/>
        <d v="2022-10-10T00:00:00Z"/>
        <d v="2025-03-05T00:00:00Z"/>
        <d v="2025-04-03T00:00:00Z"/>
        <d v="2024-10-15T00:00:00Z"/>
        <d v="2025-04-20T00:00:00Z"/>
        <d v="2023-03-18T00:00:00Z"/>
        <d v="2024-06-08T00:00:00Z"/>
        <d v="2022-07-16T00:00:00Z"/>
        <d v="2025-04-25T00:00:00Z"/>
        <d v="2024-07-22T00:00:00Z"/>
        <d v="2024-07-19T00:00:00Z"/>
        <d v="2024-02-23T00:00:00Z"/>
        <d v="2023-07-30T00:00:00Z"/>
        <d v="2023-12-06T00:00:00Z"/>
        <d v="2024-05-26T00:00:00Z"/>
        <d v="2023-09-21T00:00:00Z"/>
        <d v="2022-04-22T00:00:00Z"/>
        <d v="2022-11-16T00:00:00Z"/>
        <d v="2022-05-06T00:00:00Z"/>
        <d v="2023-03-03T00:00:00Z"/>
        <d v="2023-12-18T00:00:00Z"/>
        <d v="2025-02-21T00:00:00Z"/>
        <d v="2022-08-22T00:00:00Z"/>
        <d v="2022-06-30T00:00:00Z"/>
        <d v="2023-08-19T00:00:00Z"/>
        <d v="2024-12-27T00:00:00Z"/>
        <d v="2023-06-20T00:00:00Z"/>
        <d v="2022-07-08T00:00:00Z"/>
        <d v="2025-09-19T00:00:00Z"/>
        <d v="2022-09-29T00:00:00Z"/>
        <d v="2022-03-01T00:00:00Z"/>
        <d v="2022-10-05T00:00:00Z"/>
        <d v="2023-08-08T00:00:00Z"/>
        <d v="2022-11-17T00:00:00Z"/>
        <d v="2024-02-19T00:00:00Z"/>
        <d v="2024-05-21T00:00:00Z"/>
        <d v="2022-07-14T00:00:00Z"/>
        <d v="2024-10-08T00:00:00Z"/>
        <d v="2025-12-11T00:00:00Z"/>
        <d v="2025-02-10T00:00:00Z"/>
        <d v="2024-12-11T00:00:00Z"/>
        <d v="2022-08-30T00:00:00Z"/>
        <d v="2025-06-23T00:00:00Z"/>
        <d v="2024-06-09T00:00:00Z"/>
        <d v="2024-05-15T00:00:00Z"/>
        <d v="2025-01-04T00:00:00Z"/>
        <d v="2024-02-10T00:00:00Z"/>
        <d v="2025-10-12T00:00:00Z"/>
        <d v="2022-02-26T00:00:00Z"/>
      </sharedItems>
    </cacheField>
    <cacheField name="Tenure_Months" numFmtId="3">
      <sharedItems containsSemiMixedTypes="0" containsString="0" containsNumber="1" containsInteger="1">
        <n v="9.0"/>
        <n v="27.0"/>
        <n v="23.0"/>
        <n v="6.0"/>
        <n v="30.0"/>
        <n v="14.0"/>
        <n v="32.0"/>
        <n v="44.0"/>
        <n v="20.0"/>
        <n v="13.0"/>
        <n v="46.0"/>
        <n v="11.0"/>
        <n v="43.0"/>
        <n v="12.0"/>
        <n v="21.0"/>
        <n v="7.0"/>
        <n v="33.0"/>
        <n v="45.0"/>
        <n v="18.0"/>
        <n v="47.0"/>
        <n v="40.0"/>
        <n v="34.0"/>
        <n v="28.0"/>
        <n v="16.0"/>
        <n v="4.0"/>
        <n v="39.0"/>
        <n v="2.0"/>
        <n v="42.0"/>
        <n v="22.0"/>
        <n v="36.0"/>
        <n v="31.0"/>
        <n v="19.0"/>
        <n v="48.0"/>
        <n v="26.0"/>
        <n v="1.0"/>
        <n v="38.0"/>
        <n v="3.0"/>
        <n v="35.0"/>
        <n v="120.0"/>
        <n v="8.0"/>
        <n v="24.0"/>
        <n v="15.0"/>
        <n v="10.0"/>
        <n v="41.0"/>
        <n v="25.0"/>
        <n v="5.0"/>
        <n v="29.0"/>
        <n v="37.0"/>
        <n v="17.0"/>
        <n v="0.0"/>
        <n v="-3.0"/>
      </sharedItems>
    </cacheField>
    <cacheField name="Contract_Type" numFmtId="0">
      <sharedItems>
        <s v="Monthly"/>
        <s v="Quarterly"/>
        <s v="Annual"/>
      </sharedItems>
    </cacheField>
    <cacheField name="Payment_Method" numFmtId="0">
      <sharedItems>
        <s v="Upi"/>
        <s v="Credit Card"/>
        <s v="Debit Card"/>
      </sharedItems>
    </cacheField>
    <cacheField name="Monthly_Fee">
      <sharedItems containsMixedTypes="1" containsNumber="1" containsInteger="1">
        <n v="1757.0"/>
        <n v="1283.0"/>
        <n v="521.0"/>
        <n v="550.0"/>
        <n v="1703.0"/>
        <n v="2938.0"/>
        <n v="523.0"/>
        <n v="3536.0"/>
        <n v="1622.0"/>
        <n v="747.0"/>
        <n v="3329.0"/>
        <n v="1068.0"/>
        <n v="836.0"/>
        <n v="1142.0"/>
        <n v="3769.0"/>
        <n v="1193.0"/>
        <n v="533.0"/>
        <n v="1684.0"/>
        <n v="608.0"/>
        <n v="1269.0"/>
        <n v="1093.0"/>
        <n v="1035.0"/>
        <n v="785.0"/>
        <n v="1109.0"/>
        <n v="1284.0"/>
        <n v="722.0"/>
        <n v="562.0"/>
        <n v="588.0"/>
        <n v="875.0"/>
        <n v="536.0"/>
        <n v="784.0"/>
        <n v="1455.0"/>
        <n v="662.0"/>
        <n v="714.0"/>
        <n v="1223.0"/>
        <n v="3356.0"/>
        <n v="1257.0"/>
        <n v="3370.0"/>
        <n v="3858.0"/>
        <n v="1378.0"/>
        <n v="774.0"/>
        <n v="1185.0"/>
        <n v="622.0"/>
        <n v="1762.0"/>
        <n v="877.0"/>
        <n v="526.0"/>
        <n v="532.0"/>
        <n v="1793.0"/>
        <n v="2490.0"/>
        <n v="731.0"/>
        <n v="1765.0"/>
        <n v="627.0"/>
        <n v="1649.0"/>
        <n v="1036.0"/>
        <n v="819.0"/>
        <n v="1229.0"/>
        <n v="1194.0"/>
        <n v="749.0"/>
        <n v="1721.0"/>
        <n v="2294.0"/>
        <n v="3470.0"/>
        <n v="3420.0"/>
        <n v="1623.0"/>
        <n v="579.0"/>
        <n v="3176.0"/>
        <n v="1650.0"/>
        <n v="3086.0"/>
        <n v="702.0"/>
        <n v="1633.0"/>
        <n v="558.0"/>
        <n v="1032.0"/>
        <n v="1335.0"/>
        <n v="1601.0"/>
        <n v="1514.0"/>
        <n v="3862.0"/>
        <n v="808.0"/>
        <n v="629.0"/>
        <n v="1419.0"/>
        <n v="1116.0"/>
        <n v="591.0"/>
        <n v="665.0"/>
        <n v="638.0"/>
        <n v="607.0"/>
        <n v="1072.0"/>
        <n v="815.0"/>
        <n v="3044.0"/>
        <n v="834.0"/>
        <n v="639.0"/>
        <s v=""/>
        <n v="3322.0"/>
        <n v="3324.0"/>
        <n v="657.0"/>
        <n v="1348.0"/>
        <n v="3701.0"/>
        <n v="598.0"/>
        <n v="1566.0"/>
        <n v="711.0"/>
        <n v="1711.0"/>
        <n v="1653.0"/>
        <n v="712.0"/>
        <n v="2032.0"/>
        <n v="897.0"/>
        <n v="1483.0"/>
        <n v="594.0"/>
        <n v="727.0"/>
        <n v="1371.0"/>
        <n v="1618.0"/>
        <n v="864.0"/>
        <n v="1228.0"/>
        <n v="1735.0"/>
        <n v="1563.0"/>
        <n v="2401.0"/>
        <n v="1041.0"/>
        <n v="3647.0"/>
        <n v="695.0"/>
        <n v="3034.0"/>
        <n v="634.0"/>
        <n v="1285.0"/>
        <n v="518.0"/>
        <n v="759.0"/>
        <n v="1051.0"/>
        <n v="603.0"/>
        <n v="680.0"/>
        <n v="1490.0"/>
        <n v="2708.0"/>
        <n v="841.0"/>
        <n v="3331.0"/>
        <n v="2957.0"/>
        <n v="1178.0"/>
        <n v="859.0"/>
        <n v="1774.0"/>
        <n v="3098.0"/>
        <n v="1058.0"/>
        <n v="534.0"/>
        <n v="2271.0"/>
        <n v="1543.0"/>
        <n v="1102.0"/>
        <n v="1238.0"/>
        <n v="614.0"/>
        <n v="729.0"/>
        <n v="610.0"/>
        <n v="1328.0"/>
        <n v="1319.0"/>
        <n v="624.0"/>
        <n v="776.0"/>
        <n v="690.0"/>
        <n v="507.0"/>
        <n v="734.0"/>
        <n v="1510.0"/>
        <n v="787.0"/>
        <n v="1392.0"/>
        <n v="2466.0"/>
        <n v="1156.0"/>
        <n v="719.0"/>
        <n v="538.0"/>
        <n v="1607.0"/>
        <n v="2232.0"/>
        <n v="1688.0"/>
        <n v="3112.0"/>
        <n v="652.0"/>
        <n v="1413.0"/>
        <n v="531.0"/>
        <n v="1467.0"/>
        <n v="804.0"/>
        <n v="682.0"/>
        <n v="1778.0"/>
        <n v="1374.0"/>
        <n v="3771.0"/>
        <n v="1358.0"/>
        <n v="882.0"/>
        <n v="3012.0"/>
        <n v="2253.0"/>
        <n v="3359.0"/>
        <n v="764.0"/>
        <n v="709.0"/>
        <n v="3132.0"/>
        <n v="1013.0"/>
        <n v="1117.0"/>
        <n v="1264.0"/>
        <n v="1367.0"/>
        <n v="791.0"/>
        <n v="648.0"/>
        <n v="824.0"/>
        <n v="565.0"/>
        <n v="553.0"/>
        <n v="654.0"/>
        <n v="1568.0"/>
        <n v="829.0"/>
        <n v="720.0"/>
        <n v="3020.0"/>
        <n v="1018.0"/>
        <n v="697.0"/>
        <n v="2631.0"/>
        <n v="589.0"/>
        <n v="1748.0"/>
        <n v="872.0"/>
        <n v="874.0"/>
        <n v="632.0"/>
        <n v="1159.0"/>
        <n v="750.0"/>
        <n v="741.0"/>
        <n v="633.0"/>
        <n v="2856.0"/>
        <n v="584.0"/>
        <n v="854.0"/>
        <n v="1700.0"/>
        <n v="763.0"/>
        <n v="732.0"/>
        <n v="830.0"/>
        <n v="828.0"/>
        <n v="810.0"/>
        <n v="806.0"/>
        <n v="1742.0"/>
        <n v="1186.0"/>
        <n v="823.0"/>
        <n v="674.0"/>
        <n v="1171.0"/>
        <n v="506.0"/>
        <n v="871.0"/>
        <n v="1048.0"/>
        <n v="1677.0"/>
        <n v="1534.0"/>
        <n v="555.0"/>
        <n v="3744.0"/>
        <n v="2548.0"/>
        <n v="1114.0"/>
        <n v="1493.0"/>
        <n v="1743.0"/>
        <n v="2676.0"/>
        <n v="1210.0"/>
        <n v="1362.0"/>
        <n v="700.0"/>
        <n v="1646.0"/>
        <n v="1682.0"/>
        <n v="581.0"/>
        <n v="1293.0"/>
        <n v="1720.0"/>
        <n v="718.0"/>
        <n v="1356.0"/>
        <n v="813.0"/>
        <n v="2088.0"/>
        <n v="552.0"/>
        <n v="615.0"/>
        <n v="1073.0"/>
        <n v="611.0"/>
        <n v="542.0"/>
        <n v="1054.0"/>
        <n v="681.0"/>
        <n v="1372.0"/>
        <n v="1472.0"/>
        <n v="2153.0"/>
        <n v="1602.0"/>
        <n v="604.0"/>
        <n v="1591.0"/>
        <n v="1005.0"/>
        <n v="668.0"/>
        <n v="519.0"/>
        <n v="2448.0"/>
        <n v="1015.0"/>
        <n v="499.0"/>
        <n v="1712.0"/>
        <n v="765.0"/>
        <n v="3545.0"/>
        <n v="1120.0"/>
        <n v="740.0"/>
        <n v="1791.0"/>
        <n v="1689.0"/>
        <n v="1561.0"/>
        <n v="1696.0"/>
        <n v="3508.0"/>
        <n v="1627.0"/>
        <n v="2109.0"/>
        <n v="3379.0"/>
        <n v="716.0"/>
        <n v="1199.0"/>
        <n v="852.0"/>
        <n v="539.0"/>
        <n v="837.0"/>
        <n v="1085.0"/>
        <n v="1486.0"/>
        <n v="1551.0"/>
        <n v="865.0"/>
        <n v="551.0"/>
        <n v="515.0"/>
        <n v="2508.0"/>
        <n v="1042.0"/>
        <n v="2341.0"/>
        <n v="850.0"/>
        <n v="723.0"/>
        <n v="738.0"/>
        <n v="835.0"/>
        <n v="3141.0"/>
        <n v="617.0"/>
        <n v="1436.0"/>
        <n v="3295.0"/>
        <n v="686.0"/>
        <n v="1608.0"/>
        <n v="3293.0"/>
        <n v="793.0"/>
        <n v="724.0"/>
        <n v="2920.0"/>
        <n v="1595.0"/>
        <n v="1674.0"/>
        <n v="619.0"/>
        <n v="1639.0"/>
        <n v="1315.0"/>
        <n v="710.0"/>
        <n v="1797.0"/>
        <n v="3687.0"/>
        <n v="1751.0"/>
        <n v="571.0"/>
        <n v="863.0"/>
        <n v="861.0"/>
        <n v="1786.0"/>
        <n v="754.0"/>
        <n v="641.0"/>
        <n v="1049.0"/>
        <n v="1376.0"/>
        <n v="1110.0"/>
        <n v="1361.0"/>
        <n v="1119.0"/>
        <n v="1306.0"/>
        <n v="1547.0"/>
        <n v="1382.0"/>
        <n v="572.0"/>
        <n v="669.0"/>
        <n v="535.0"/>
        <n v="514.0"/>
        <n v="721.0"/>
        <n v="1179.0"/>
        <n v="886.0"/>
        <n v="3762.0"/>
        <n v="742.0"/>
        <n v="873.0"/>
        <n v="1479.0"/>
        <n v="556.0"/>
        <n v="577.0"/>
        <n v="1390.0"/>
        <n v="699.0"/>
        <n v="1787.0"/>
        <n v="2803.0"/>
        <n v="1255.0"/>
        <n v="704.0"/>
        <n v="855.0"/>
        <n v="775.0"/>
        <n v="846.0"/>
        <n v="2351.0"/>
        <n v="602.0"/>
        <n v="1143.0"/>
        <n v="1420.0"/>
        <n v="770.0"/>
        <n v="580.0"/>
        <n v="513.0"/>
        <n v="1241.0"/>
        <n v="568.0"/>
        <n v="888.0"/>
        <n v="735.0"/>
        <n v="757.0"/>
        <n v="2981.0"/>
        <n v="2001.0"/>
        <n v="1081.0"/>
        <n v="862.0"/>
        <n v="1191.0"/>
        <n v="1022.0"/>
        <n v="644.0"/>
        <n v="1147.0"/>
        <n v="3856.0"/>
        <n v="666.0"/>
        <n v="3931.0"/>
        <n v="543.0"/>
        <n v="1536.0"/>
        <n v="1295.0"/>
        <n v="826.0"/>
        <n v="1578.0"/>
        <n v="1364.0"/>
        <n v="1329.0"/>
        <n v="1103.0"/>
        <n v="1355.0"/>
        <n v="563.0"/>
        <n v="559.0"/>
        <n v="1592.0"/>
        <n v="1100.0"/>
        <n v="1289.0"/>
        <n v="3005.0"/>
        <n v="585.0"/>
        <n v="760.0"/>
        <n v="590.0"/>
        <n v="1266.0"/>
        <n v="3761.0"/>
        <n v="1130.0"/>
        <n v="3326.0"/>
        <n v="1526.0"/>
        <n v="1343.0"/>
        <n v="1586.0"/>
        <n v="1666.0"/>
        <n v="1115.0"/>
        <n v="3930.0"/>
        <n v="3703.0"/>
        <n v="1034.0"/>
        <n v="2183.0"/>
        <n v="1453.0"/>
        <n v="687.0"/>
        <n v="694.0"/>
        <n v="1339.0"/>
        <n v="1129.0"/>
        <n v="3633.0"/>
        <n v="752.0"/>
        <n v="1123.0"/>
        <n v="1670.0"/>
        <n v="1244.0"/>
        <n v="1189.0"/>
        <n v="1080.0"/>
        <n v="1434.0"/>
        <n v="1084.0"/>
        <n v="1598.0"/>
        <n v="1505.0"/>
        <n v="807.0"/>
        <n v="1766.0"/>
        <n v="1046.0"/>
        <n v="1170.0"/>
        <n v="868.0"/>
        <n v="2074.0"/>
        <n v="1605.0"/>
        <n v="792.0"/>
        <n v="692.0"/>
        <n v="1132.0"/>
        <n v="1615.0"/>
        <n v="788.0"/>
        <n v="1637.0"/>
        <n v="1183.0"/>
        <n v="1023.0"/>
        <n v="707.0"/>
        <n v="847.0"/>
        <n v="642.0"/>
        <n v="567.0"/>
        <n v="1686.0"/>
        <n v="1775.0"/>
        <n v="502.0"/>
        <n v="790.0"/>
        <n v="525.0"/>
        <n v="1448.0"/>
        <n v="3627.0"/>
        <n v="3037.0"/>
        <n v="737.0"/>
        <n v="647.0"/>
        <n v="768.0"/>
        <n v="889.0"/>
        <n v="3258.0"/>
        <n v="1375.0"/>
        <n v="892.0"/>
        <n v="1438.0"/>
        <n v="3774.0"/>
        <n v="1690.0"/>
        <n v="1441.0"/>
        <n v="2672.0"/>
        <n v="1424.0"/>
        <n v="1549.0"/>
        <n v="736.0"/>
        <n v="1758.0"/>
        <n v="1203.0"/>
        <n v="505.0"/>
        <n v="3097.0"/>
        <n v="840.0"/>
        <n v="1136.0"/>
        <n v="2354.0"/>
        <n v="794.0"/>
        <n v="578.0"/>
        <n v="809.0"/>
        <n v="2753.0"/>
        <n v="1529.0"/>
        <n v="1351.0"/>
        <n v="1204.0"/>
        <n v="1363.0"/>
        <n v="3780.0"/>
        <n v="2818.0"/>
        <n v="1515.0"/>
        <n v="1715.0"/>
        <n v="3484.0"/>
        <n v="3654.0"/>
        <n v="1388.0"/>
        <n v="1226.0"/>
        <n v="3433.0"/>
        <n v="769.0"/>
        <n v="3994.0"/>
        <n v="851.0"/>
        <n v="1126.0"/>
        <n v="3348.0"/>
        <n v="1305.0"/>
        <n v="1664.0"/>
        <n v="597.0"/>
        <n v="3981.0"/>
        <n v="616.0"/>
        <n v="751.0"/>
        <n v="772.0"/>
        <n v="715.0"/>
        <n v="3637.0"/>
        <n v="1699.0"/>
        <n v="1522.0"/>
        <n v="1643.0"/>
        <n v="767.0"/>
        <n v="625.0"/>
        <n v="1075.0"/>
        <n v="887.0"/>
        <n v="1131.0"/>
        <n v="2236.0"/>
        <n v="2663.0"/>
        <n v="853.0"/>
        <n v="574.0"/>
        <n v="645.0"/>
        <n v="743.0"/>
        <n v="2602.0"/>
        <n v="2760.0"/>
        <n v="587.0"/>
        <n v="895.0"/>
        <n v="3573.0"/>
        <n v="2152.0"/>
        <n v="1292.0"/>
        <n v="1439.0"/>
        <n v="2972.0"/>
        <n v="1759.0"/>
        <n v="688.0"/>
        <n v="670.0"/>
        <n v="1594.0"/>
        <n v="3605.0"/>
        <n v="1779.0"/>
        <n v="1079.0"/>
        <n v="2157.0"/>
        <n v="3859.0"/>
        <n v="3067.0"/>
        <n v="3489.0"/>
        <n v="1359.0"/>
        <n v="1621.0"/>
        <n v="1462.0"/>
        <n v="586.0"/>
        <n v="693.0"/>
        <n v="1500.0"/>
        <n v="1710.0"/>
        <n v="1095.0"/>
        <n v="2542.0"/>
        <n v="1294.0"/>
        <n v="1288.0"/>
        <n v="825.0"/>
        <n v="1709.0"/>
        <n v="3610.0"/>
        <n v="1575.0"/>
        <n v="1037.0"/>
        <n v="628.0"/>
        <n v="1004.0"/>
        <n v="1140.0"/>
        <n v="3427.0"/>
        <n v="1276.0"/>
        <n v="2577.0"/>
        <n v="1209.0"/>
        <n v="856.0"/>
        <n v="1506.0"/>
        <n v="1771.0"/>
        <n v="1546.0"/>
        <n v="1344.0"/>
        <n v="726.0"/>
        <n v="1450.0"/>
        <n v="1519.0"/>
        <n v="3502.0"/>
        <n v="667.0"/>
        <n v="833.0"/>
        <n v="1417.0"/>
        <n v="879.0"/>
        <n v="894.0"/>
        <n v="3378.0"/>
        <n v="1443.0"/>
        <n v="1028.0"/>
        <n v="1624.0"/>
        <n v="1369.0"/>
        <n v="509.0"/>
        <n v="1385.0"/>
        <n v="547.0"/>
        <n v="3757.0"/>
        <n v="1038.0"/>
        <n v="845.0"/>
        <n v="1763.0"/>
        <n v="601.0"/>
        <n v="1572.0"/>
        <n v="2903.0"/>
        <n v="3145.0"/>
        <n v="1012.0"/>
        <n v="3534.0"/>
        <n v="2851.0"/>
        <n v="661.0"/>
        <n v="1316.0"/>
        <n v="3002.0"/>
        <n v="2887.0"/>
        <n v="503.0"/>
        <n v="891.0"/>
        <n v="869.0"/>
        <n v="1247.0"/>
        <n v="1026.0"/>
        <n v="1444.0"/>
        <n v="1431.0"/>
        <n v="1433.0"/>
        <n v="651.0"/>
        <n v="1629.0"/>
        <n v="1353.0"/>
        <n v="822.0"/>
        <n v="1513.0"/>
        <n v="848.0"/>
        <n v="2966.0"/>
        <n v="3099.0"/>
        <n v="3419.0"/>
        <n v="3377.0"/>
        <n v="3475.0"/>
        <n v="1492.0"/>
        <n v="1564.0"/>
        <n v="1200.0"/>
        <n v="1795.0"/>
        <n v="3014.0"/>
        <n v="1236.0"/>
        <n v="1174.0"/>
        <n v="2723.0"/>
        <n v="2038.0"/>
        <n v="2501.0"/>
        <n v="2958.0"/>
        <n v="1798.0"/>
        <n v="664.0"/>
        <n v="512.0"/>
        <n v="2468.0"/>
        <n v="1416.0"/>
        <n v="2274.0"/>
        <n v="3271.0"/>
        <n v="548.0"/>
        <n v="650.0"/>
        <n v="880.0"/>
        <n v="1679.0"/>
        <n v="1496.0"/>
        <n v="1603.0"/>
        <n v="1662.0"/>
        <n v="1508.0"/>
        <n v="1326.0"/>
        <n v="3652.0"/>
        <n v="1445.0"/>
        <n v="1027.0"/>
        <n v="3425.0"/>
        <n v="1661.0"/>
        <n v="1011.0"/>
        <n v="1373.0"/>
        <n v="1533.0"/>
        <n v="663.0"/>
        <n v="3311.0"/>
        <n v="1044.0"/>
        <n v="3368.0"/>
        <n v="1258.0"/>
        <n v="725.0"/>
        <n v="3327.0"/>
        <n v="1464.0"/>
        <n v="1332.0"/>
        <n v="2288.0"/>
        <n v="1250.0"/>
        <n v="659.0"/>
        <n v="1154.0"/>
        <n v="3801.0"/>
        <n v="1579.0"/>
        <n v="566.0"/>
        <n v="2151.0"/>
        <n v="3787.0"/>
        <n v="618.0"/>
        <n v="1452.0"/>
        <n v="1232.0"/>
        <n v="1256.0"/>
        <n v="1089.0"/>
        <n v="1393.0"/>
        <n v="1221.0"/>
        <n v="748.0"/>
        <n v="1381.0"/>
        <n v="3135.0"/>
        <n v="685.0"/>
        <n v="1146.0"/>
        <n v="1281.0"/>
        <n v="3125.0"/>
        <n v="527.0"/>
        <n v="1231.0"/>
        <n v="706.0"/>
        <n v="2469.0"/>
        <n v="2910.0"/>
        <n v="1303.0"/>
        <n v="1239.0"/>
        <n v="777.0"/>
        <n v="883.0"/>
        <n v="1517.0"/>
        <n v="1556.0"/>
        <n v="1671.0"/>
        <n v="896.0"/>
        <n v="3802.0"/>
        <n v="758.0"/>
        <n v="1299.0"/>
        <n v="1134.0"/>
        <n v="3358.0"/>
        <n v="1488.0"/>
        <n v="814.0"/>
        <n v="1691.0"/>
        <n v="2553.0"/>
        <n v="1415.0"/>
        <n v="1349.0"/>
        <n v="1389.0"/>
        <n v="798.0"/>
        <n v="546.0"/>
        <n v="1182.0"/>
        <n v="755.0"/>
        <n v="1164.0"/>
        <n v="1531.0"/>
        <n v="701.0"/>
        <n v="1341.0"/>
        <n v="1745.0"/>
        <n v="689.0"/>
        <n v="2830.0"/>
        <n v="2585.0"/>
        <n v="1101.0"/>
        <n v="1312.0"/>
        <n v="753.0"/>
        <n v="1473.0"/>
        <n v="1542.0"/>
        <n v="1784.0"/>
        <n v="2409.0"/>
        <n v="2850.0"/>
        <n v="3746.0"/>
        <n v="745.0"/>
        <n v="3068.0"/>
        <n v="816.0"/>
        <n v="595.0"/>
        <n v="839.0"/>
        <n v="1334.0"/>
        <n v="2433.0"/>
        <n v="1604.0"/>
        <n v="1520.0"/>
        <n v="3975.0"/>
        <n v="1658.0"/>
        <n v="3042.0"/>
        <n v="3959.0"/>
        <n v="3133.0"/>
        <n v="779.0"/>
        <n v="606.0"/>
        <n v="1220.0"/>
        <n v="583.0"/>
        <n v="1061.0"/>
        <n v="2980.0"/>
        <n v="1754.0"/>
        <n v="1167.0"/>
        <n v="679.0"/>
        <n v="1352.0"/>
        <n v="1313.0"/>
        <n v="1195.0"/>
        <n v="1181.0"/>
        <n v="609.0"/>
        <n v="1476.0"/>
        <n v="3308.0"/>
        <n v="1160.0"/>
        <n v="2655.0"/>
        <n v="1495.0"/>
        <n v="2485.0"/>
        <n v="508.0"/>
        <n v="3547.0"/>
        <n v="3303.0"/>
        <n v="3983.0"/>
        <n v="1099.0"/>
        <n v="1640.0"/>
        <n v="3030.0"/>
        <n v="649.0"/>
        <n v="1016.0"/>
        <n v="1545.0"/>
        <n v="1144.0"/>
        <n v="3062.0"/>
        <n v="1273.0"/>
        <n v="3224.0"/>
        <n v="1274.0"/>
        <n v="2208.0"/>
        <n v="1773.0"/>
        <n v="2682.0"/>
        <n v="635.0"/>
        <n v="885.0"/>
        <n v="1728.0"/>
        <n v="656.0"/>
        <n v="3111.0"/>
        <n v="1680.0"/>
        <n v="1702.0"/>
        <n v="3751.0"/>
        <n v="1252.0"/>
        <n v="2900.0"/>
        <n v="1094.0"/>
        <n v="520.0"/>
        <n v="605.0"/>
        <n v="1463.0"/>
        <n v="2131.0"/>
        <n v="3040.0"/>
        <n v="640.0"/>
        <n v="717.0"/>
        <n v="3715.0"/>
        <n v="1411.0"/>
        <n v="626.0"/>
        <n v="3808.0"/>
        <n v="3280.0"/>
        <n v="1583.0"/>
        <n v="1192.0"/>
        <n v="1153.0"/>
        <n v="1685.0"/>
        <n v="870.0"/>
        <n v="2679.0"/>
        <n v="817.0"/>
        <n v="1317.0"/>
        <n v="756.0"/>
        <n v="1590.0"/>
        <n v="1525.0"/>
        <n v="3507.0"/>
        <n v="1172.0"/>
        <n v="2066.0"/>
        <n v="857.0"/>
        <n v="1014.0"/>
        <n v="3079.0"/>
        <n v="691.0"/>
        <n v="1118.0"/>
        <n v="3848.0"/>
        <n v="3440.0"/>
        <n v="1302.0"/>
        <n v="1165.0"/>
        <n v="3705.0"/>
        <n v="1750.0"/>
        <n v="3149.0"/>
        <n v="3567.0"/>
        <n v="1263.0"/>
        <n v="2689.0"/>
        <n v="1783.0"/>
        <n v="3881.0"/>
        <n v="1503.0"/>
        <n v="2497.0"/>
        <n v="1127.0"/>
        <n v="1031.0"/>
        <n v="3578.0"/>
        <n v="2522.0"/>
        <n v="1217.0"/>
        <n v="1648.0"/>
        <n v="1794.0"/>
        <n v="803.0"/>
        <n v="1090.0"/>
        <n v="3680.0"/>
        <n v="2301.0"/>
        <n v="1470.0"/>
        <n v="1683.0"/>
        <n v="1188.0"/>
        <n v="1017.0"/>
        <n v="1213.0"/>
        <n v="1494.0"/>
        <n v="1737.0"/>
        <n v="2463.0"/>
        <n v="678.0"/>
        <n v="1106.0"/>
        <n v="545.0"/>
        <n v="1161.0"/>
        <n v="2946.0"/>
        <n v="849.0"/>
        <n v="1457.0"/>
        <n v="2450.0"/>
        <n v="2732.0"/>
        <n v="789.0"/>
        <n v="842.0"/>
        <n v="582.0"/>
        <n v="1656.0"/>
        <n v="524.0"/>
        <n v="733.0"/>
        <n v="3885.0"/>
        <n v="3866.0"/>
        <n v="1249.0"/>
        <n v="812.0"/>
        <n v="1333.0"/>
        <n v="1625.0"/>
        <n v="3667.0"/>
        <n v="1190.0"/>
        <n v="1112.0"/>
        <n v="2291.0"/>
        <n v="821.0"/>
        <n v="762.0"/>
        <n v="1331.0"/>
        <n v="744.0"/>
        <n v="1267.0"/>
        <n v="730.0"/>
        <n v="1083.0"/>
        <n v="1589.0"/>
        <n v="612.0"/>
        <n v="561.0"/>
        <n v="1580.0"/>
        <n v="631.0"/>
        <n v="1196.0"/>
        <n v="811.0"/>
        <n v="593.0"/>
        <n v="1138.0"/>
        <n v="573.0"/>
        <n v="660.0"/>
        <n v="658.0"/>
        <n v="1043.0"/>
        <n v="570.0"/>
        <n v="2325.0"/>
        <n v="2035.0"/>
        <n v="623.0"/>
        <n v="3950.0"/>
        <n v="3957.0"/>
        <n v="1175.0"/>
        <n v="1206.0"/>
        <n v="3463.0"/>
        <n v="2456.0"/>
        <n v="800.0"/>
        <n v="2029.0"/>
        <n v="537.0"/>
        <n v="1336.0"/>
        <n v="2464.0"/>
        <n v="1391.0"/>
        <n v="569.0"/>
        <n v="1609.0"/>
        <n v="1214.0"/>
        <n v="832.0"/>
        <n v="3822.0"/>
        <n v="1408.0"/>
        <n v="1265.0"/>
        <n v="1162.0"/>
        <n v="1427.0"/>
        <n v="3750.0"/>
        <n v="2269.0"/>
        <n v="795.0"/>
        <n v="1599.0"/>
        <n v="802.0"/>
        <n v="2765.0"/>
        <n v="1308.0"/>
        <n v="2724.0"/>
        <n v="1357.0"/>
        <n v="1212.0"/>
        <n v="2477.0"/>
        <n v="3725.0"/>
        <n v="1518.0"/>
        <n v="866.0"/>
        <n v="2568.0"/>
        <n v="1562.0"/>
        <n v="1672.0"/>
        <n v="2299.0"/>
        <n v="2379.0"/>
        <n v="1096.0"/>
        <n v="1713.0"/>
        <n v="1636.0"/>
        <n v="1642.0"/>
        <n v="893.0"/>
        <n v="1588.0"/>
        <n v="1243.0"/>
        <n v="1001.0"/>
        <n v="2305.0"/>
        <n v="1790.0"/>
        <n v="1395.0"/>
        <n v="2264.0"/>
        <n v="504.0"/>
        <n v="708.0"/>
        <n v="3636.0"/>
        <n v="1714.0"/>
        <n v="698.0"/>
        <n v="1310.0"/>
        <n v="3599.0"/>
        <n v="766.0"/>
        <n v="1610.0"/>
        <n v="3121.0"/>
        <n v="529.0"/>
        <n v="3021.0"/>
        <n v="1456.0"/>
        <n v="630.0"/>
        <n v="1552.0"/>
        <n v="703.0"/>
        <n v="3199.0"/>
        <n v="1345.0"/>
        <n v="2545.0"/>
        <n v="3898.0"/>
        <n v="797.0"/>
        <n v="1739.0"/>
        <n v="3291.0"/>
        <n v="2107.0"/>
        <n v="1097.0"/>
        <n v="1482.0"/>
        <n v="2503.0"/>
        <n v="1025.0"/>
        <n v="2231.0"/>
        <n v="713.0"/>
        <n v="1074.0"/>
        <n v="3879.0"/>
        <n v="1726.0"/>
        <n v="3065.0"/>
        <n v="673.0"/>
        <n v="1777.0"/>
        <n v="2495.0"/>
        <n v="1675.0"/>
        <n v="1404.0"/>
        <n v="1660.0"/>
        <n v="1756.0"/>
        <n v="1638.0"/>
        <n v="761.0"/>
        <n v="3493.0"/>
        <n v="884.0"/>
        <n v="1342.0"/>
        <n v="1516.0"/>
        <n v="1422.0"/>
        <n v="1652.0"/>
        <n v="3875.0"/>
        <n v="1122.0"/>
        <n v="541.0"/>
        <n v="739.0"/>
        <n v="643.0"/>
        <n v="1719.0"/>
        <n v="564.0"/>
        <n v="3458.0"/>
        <n v="3938.0"/>
        <n v="2285.0"/>
        <n v="576.0"/>
        <n v="554.0"/>
        <n v="1314.0"/>
        <n v="3297.0"/>
        <n v="2866.0"/>
        <n v="3936.0"/>
        <n v="1676.0"/>
        <n v="773.0"/>
        <n v="1681.0"/>
        <n v="501.0"/>
        <n v="1409.0"/>
        <n v="2932.0"/>
        <n v="1440.0"/>
        <n v="1108.0"/>
        <n v="2227.0"/>
        <n v="1405.0"/>
        <n v="1498.0"/>
        <n v="1747.0"/>
        <n v="3212.0"/>
        <n v="890.0"/>
        <n v="557.0"/>
        <n v="746.0"/>
        <n v="2329.0"/>
        <n v="838.0"/>
        <n v="2917.0"/>
        <n v="3745.0"/>
        <n v="1045.0"/>
        <n v="3706.0"/>
        <n v="2247.0"/>
        <n v="1320.0"/>
        <n v="1550.0"/>
        <n v="1230.0"/>
        <n v="530.0"/>
        <n v="637.0"/>
        <n v="2653.0"/>
        <n v="1645.0"/>
        <n v="1290.0"/>
        <n v="1021.0"/>
        <n v="2209.0"/>
        <n v="1502.0"/>
        <n v="899.0"/>
        <n v="3140.0"/>
        <n v="544.0"/>
      </sharedItems>
    </cacheField>
    <cacheField name="Support_Tickets" numFmtId="4">
      <sharedItems>
        <s v="2"/>
        <s v="0"/>
        <s v="1"/>
        <s v="3"/>
        <s v="5"/>
        <s v="4"/>
        <s v=""/>
        <s v="6"/>
        <s v="7"/>
        <s v="8"/>
      </sharedItems>
    </cacheField>
    <cacheField name="Complaints">
      <sharedItems containsMixedTypes="1" containsNumber="1" containsInteger="1">
        <n v="0.0"/>
        <n v="2.0"/>
        <n v="1.0"/>
        <n v="3.0"/>
        <n v="4.0"/>
        <n v="6.0"/>
        <n v="5.0"/>
        <s v=""/>
      </sharedItems>
    </cacheField>
    <cacheField name="Monthly_Usage_Hours" numFmtId="4">
      <sharedItems containsSemiMixedTypes="0" containsString="0" containsNumber="1">
        <n v="32.0"/>
        <n v="40.6"/>
        <n v="14.3"/>
        <n v="9.9"/>
        <n v="28.5"/>
        <n v="33.2"/>
        <n v="16.2"/>
        <n v="43.9"/>
        <n v="27.1"/>
        <n v="20.7"/>
        <n v="42.7"/>
        <n v="15.9"/>
        <n v="27.4"/>
        <n v="27.7"/>
        <n v="38.7"/>
        <n v="21.5"/>
        <n v="12.4"/>
        <n v="6.8"/>
        <n v="16.7"/>
        <n v="12.6"/>
        <n v="26.5"/>
        <n v="37.1"/>
        <n v="10.1"/>
        <n v="15.6"/>
        <n v="21.7"/>
        <n v="15.4"/>
        <n v="19.8"/>
        <n v="19.4"/>
        <n v="27.3"/>
        <n v="10.9"/>
        <n v="23.0"/>
        <n v="26.2"/>
        <n v="11.2"/>
        <n v="36.7"/>
        <n v="49.5"/>
        <n v="24.1"/>
        <n v="30.9"/>
        <n v="38.4"/>
        <n v="22.7"/>
        <n v="11.8"/>
        <n v="42.1"/>
        <n v="5.8"/>
        <n v="31.6"/>
        <n v="16.0"/>
        <n v="16.4"/>
        <n v="33.5"/>
        <n v="40.2"/>
        <n v="13.3"/>
        <n v="28.2"/>
        <n v="28.1"/>
        <n v="30.6"/>
        <n v="11.3"/>
        <n v="32.9"/>
        <n v="14.5"/>
        <n v="37.2"/>
        <n v="35.6"/>
        <n v="38.6"/>
        <n v="39.6"/>
        <n v="35.5"/>
        <n v="31.9"/>
        <n v="17.4"/>
        <n v="47.4"/>
        <n v="17.1"/>
        <n v="30.1"/>
        <n v="19.0"/>
        <n v="30.7"/>
        <n v="23.2"/>
        <n v="36.5"/>
        <n v="35.9"/>
        <n v="31.1"/>
        <n v="40.9"/>
        <n v="14.4"/>
        <n v="11.5"/>
        <n v="16.5"/>
        <n v="32.1"/>
        <n v="24.8"/>
        <n v="5.9"/>
        <n v="22.6"/>
        <n v="22.8"/>
        <n v="17.9"/>
        <n v="34.5"/>
        <n v="29.2"/>
        <n v="12.8"/>
        <n v="1.0"/>
        <n v="33.4"/>
        <n v="45.5"/>
        <n v="50.3"/>
        <n v="22.3"/>
        <n v="26.1"/>
        <n v="44.6"/>
        <n v="28.3"/>
        <n v="31.3"/>
        <n v="40.7"/>
        <n v="48.3"/>
        <n v="21.6"/>
        <n v="49.1"/>
        <n v="30.3"/>
        <n v="23.8"/>
        <n v="13.8"/>
        <n v="43.7"/>
        <n v="4.6"/>
        <n v="34.1"/>
        <n v="25.8"/>
        <n v="35.2"/>
        <n v="15.0"/>
        <n v="20.0"/>
        <n v="13.0"/>
        <n v="30.2"/>
        <n v="13.4"/>
        <n v="39.4"/>
        <n v="3.9"/>
        <n v="37.4"/>
        <n v="34.7"/>
        <n v="24.5"/>
        <n v="17.7"/>
        <n v="19.7"/>
        <n v="49.6"/>
        <n v="33.7"/>
        <n v="27.2"/>
        <n v="12.5"/>
        <n v="29.3"/>
        <n v="29.4"/>
        <n v="19.6"/>
        <n v="35.1"/>
        <n v="23.9"/>
        <n v="23.5"/>
        <n v="19.5"/>
        <n v="36.6"/>
        <n v="14.2"/>
        <n v="40.5"/>
        <n v="41.5"/>
        <n v="17.6"/>
        <n v="8.0"/>
        <n v="10.4"/>
        <n v="25.3"/>
        <n v="26.6"/>
        <n v="42.2"/>
        <n v="31.0"/>
        <n v="10.0"/>
        <n v="32.5"/>
        <n v="31.2"/>
        <n v="22.9"/>
        <n v="24.0"/>
        <n v="25.5"/>
        <n v="34.4"/>
        <n v="22.0"/>
        <n v="17.8"/>
        <n v="28.8"/>
        <n v="34.3"/>
        <n v="30.0"/>
        <n v="20.5"/>
        <n v="29.6"/>
        <n v="30.4"/>
        <n v="38.3"/>
        <n v="9.2"/>
        <n v="7.7"/>
        <n v="6.9"/>
        <n v="32.4"/>
        <n v="5.3"/>
        <n v="18.4"/>
        <n v="28.0"/>
        <n v="21.3"/>
        <n v="27.8"/>
        <n v="45.8"/>
        <n v="19.2"/>
        <n v="23.6"/>
        <n v="37.7"/>
        <n v="11.7"/>
        <n v="9.7"/>
        <n v="22.1"/>
        <n v="20.3"/>
        <n v="22.5"/>
        <n v="13.1"/>
        <n v="25.6"/>
        <n v="8.6"/>
        <n v="13.6"/>
        <n v="28.7"/>
        <n v="15.1"/>
        <n v="7.2"/>
        <n v="28.6"/>
        <n v="18.5"/>
        <n v="29.7"/>
        <n v="26.0"/>
        <n v="17.2"/>
        <n v="56.4"/>
        <n v="36.9"/>
        <n v="26.3"/>
        <n v="37.6"/>
        <n v="43.8"/>
        <n v="31.4"/>
        <n v="44.5"/>
        <n v="16.6"/>
        <n v="10.2"/>
        <n v="18.8"/>
        <n v="40.0"/>
        <n v="24.4"/>
        <n v="21.0"/>
        <n v="39.2"/>
        <n v="12.3"/>
        <n v="25.1"/>
        <n v="38.9"/>
        <n v="20.2"/>
        <n v="17.3"/>
        <n v="39.0"/>
        <n v="23.7"/>
        <n v="12.9"/>
        <n v="35.8"/>
        <n v="39.8"/>
        <n v="10.3"/>
        <n v="33.0"/>
        <n v="24.6"/>
        <n v="14.1"/>
        <n v="8.9"/>
        <n v="49.4"/>
        <n v="36.0"/>
        <n v="3.3"/>
        <n v="38.5"/>
        <n v="25.7"/>
        <n v="39.9"/>
        <n v="8.4"/>
        <n v="2.2"/>
        <n v="7.8"/>
        <n v="49.2"/>
        <n v="13.2"/>
        <n v="45.6"/>
        <n v="44.4"/>
        <n v="4.9"/>
        <n v="18.9"/>
        <n v="18.0"/>
        <n v="5.1"/>
        <n v="21.2"/>
        <n v="11.4"/>
        <n v="34.6"/>
        <n v="27.5"/>
        <n v="41.3"/>
        <n v="16.8"/>
        <n v="20.6"/>
        <n v="8.5"/>
        <n v="16.3"/>
        <n v="32.3"/>
        <n v="15.2"/>
        <n v="7.9"/>
        <n v="19.3"/>
        <n v="5.2"/>
        <n v="21.4"/>
        <n v="21.8"/>
        <n v="34.8"/>
        <n v="8.3"/>
        <n v="3.8"/>
        <n v="24.9"/>
        <n v="15.3"/>
        <n v="38.0"/>
        <n v="52.6"/>
        <n v="24.2"/>
        <n v="18.6"/>
        <n v="29.1"/>
        <n v="14.0"/>
        <n v="37.5"/>
        <n v="22.4"/>
        <n v="21.1"/>
        <n v="18.1"/>
        <n v="20.4"/>
        <n v="41.9"/>
        <n v="46.6"/>
        <n v="9.3"/>
        <n v="21.9"/>
        <n v="36.2"/>
        <n v="10.8"/>
        <n v="6.5"/>
        <n v="49.0"/>
        <n v="27.6"/>
        <n v="11.9"/>
        <n v="10.7"/>
        <n v="29.9"/>
        <n v="30.8"/>
        <n v="43.4"/>
        <n v="37.3"/>
        <n v="35.7"/>
        <n v="23.3"/>
        <n v="35.3"/>
        <n v="4.8"/>
        <n v="41.4"/>
        <n v="12.7"/>
        <n v="29.0"/>
        <n v="20.8"/>
        <n v="42.3"/>
        <n v="43.2"/>
        <n v="20.9"/>
        <n v="23.1"/>
        <n v="19.1"/>
        <n v="1.3"/>
        <n v="14.9"/>
        <n v="47.8"/>
        <n v="14.7"/>
        <n v="15.8"/>
        <n v="15.7"/>
        <n v="13.5"/>
        <n v="30.5"/>
        <n v="9.4"/>
        <n v="29.8"/>
        <n v="11.0"/>
        <n v="33.3"/>
        <n v="44.7"/>
        <n v="48.4"/>
        <n v="53.8"/>
        <n v="11.6"/>
        <n v="9.1"/>
        <n v="31.8"/>
        <n v="31.5"/>
        <n v="22.2"/>
        <n v="40.3"/>
        <n v="44.8"/>
        <n v="47.2"/>
        <n v="19.9"/>
        <n v="25.9"/>
        <n v="43.1"/>
        <n v="46.5"/>
        <n v="55.8"/>
        <n v="18.7"/>
        <n v="7.1"/>
        <n v="24.3"/>
        <n v="26.7"/>
        <n v="14.8"/>
        <n v="39.1"/>
        <n v="16.1"/>
        <n v="37.0"/>
        <n v="3.1"/>
        <n v="39.7"/>
        <n v="53.2"/>
        <n v="17.0"/>
        <n v="51.1"/>
        <n v="20.1"/>
        <n v="45.4"/>
        <n v="41.0"/>
        <n v="35.0"/>
        <n v="24.7"/>
        <n v="6.0"/>
        <n v="26.4"/>
        <n v="12.1"/>
        <n v="41.2"/>
        <n v="23.4"/>
        <n v="28.4"/>
        <n v="18.2"/>
        <n v="25.0"/>
        <n v="43.6"/>
        <n v="5.4"/>
        <n v="26.9"/>
        <n v="12.0"/>
        <n v="4.2"/>
        <n v="4.1"/>
        <n v="51.3"/>
        <n v="6.4"/>
        <n v="42.0"/>
        <n v="10.6"/>
        <n v="33.8"/>
        <n v="9.6"/>
        <n v="34.0"/>
        <n v="4.5"/>
        <n v="25.2"/>
        <n v="37.8"/>
        <n v="48.8"/>
        <n v="40.4"/>
        <n v="32.7"/>
        <n v="14.6"/>
        <n v="40.1"/>
        <n v="28.9"/>
        <n v="46.8"/>
        <n v="16.9"/>
        <n v="10.5"/>
        <n v="6.2"/>
        <n v="27.0"/>
        <n v="18.3"/>
        <n v="33.1"/>
        <n v="42.4"/>
        <n v="25.4"/>
        <n v="48.6"/>
        <n v="34.9"/>
        <n v="38.8"/>
        <n v="2.9"/>
        <n v="32.2"/>
        <n v="8.1"/>
        <n v="41.6"/>
        <n v="47.3"/>
        <n v="31.7"/>
        <n v="50.8"/>
        <n v="43.0"/>
        <n v="38.2"/>
        <n v="27.9"/>
        <n v="15.5"/>
        <n v="17.5"/>
        <n v="8.2"/>
        <n v="5.0"/>
        <n v="43.3"/>
        <n v="50.4"/>
        <n v="37.9"/>
        <n v="6.1"/>
        <n v="7.5"/>
        <n v="36.3"/>
        <n v="45.3"/>
        <n v="43.5"/>
        <n v="50.2"/>
        <n v="51.6"/>
        <n v="42.6"/>
        <n v="36.8"/>
        <n v="42.9"/>
        <n v="1.5"/>
        <n v="32.6"/>
        <n v="33.6"/>
        <n v="41.8"/>
        <n v="51.5"/>
        <n v="46.9"/>
        <n v="34.2"/>
        <n v="48.7"/>
        <n v="12.2"/>
        <n v="2.7"/>
        <n v="53.9"/>
        <n v="48.0"/>
        <n v="26.8"/>
        <n v="54.2"/>
        <n v="3.6"/>
        <n v="29.5"/>
        <n v="13.7"/>
        <n v="35.4"/>
        <n v="39.5"/>
        <n v="36.1"/>
        <n v="47.7"/>
        <n v="7.3"/>
        <n v="32.8"/>
        <n v="50.9"/>
        <n v="7.4"/>
        <n v="2.8"/>
        <n v="55.0"/>
        <n v="1.4"/>
        <n v="3.5"/>
        <n v="38.1"/>
        <n v="44.3"/>
        <n v="41.7"/>
        <n v="36.4"/>
        <n v="45.0"/>
        <n v="39.3"/>
        <n v="44.1"/>
        <n v="4.4"/>
        <n v="4.3"/>
        <n v="53.6"/>
        <n v="4.7"/>
        <n v="46.2"/>
        <n v="48.9"/>
        <n v="13.9"/>
        <n v="48.2"/>
        <n v="40.8"/>
        <n v="11.1"/>
      </sharedItems>
    </cacheField>
    <cacheField name="Satisfaction_Score">
      <sharedItems containsMixedTypes="1" containsNumber="1">
        <n v="3.6"/>
        <n v="4.4"/>
        <n v="3.3"/>
        <n v="4.0"/>
        <n v="2.4"/>
        <n v="3.4"/>
        <n v="4.1"/>
        <n v="3.9"/>
        <n v="2.1"/>
        <n v="4.5"/>
        <n v="4.7"/>
        <s v=""/>
        <n v="5.0"/>
        <n v="3.2"/>
        <n v="3.7"/>
        <n v="3.8"/>
        <n v="3.5"/>
        <n v="2.6"/>
        <n v="3.0"/>
        <n v="2.9"/>
        <n v="4.3"/>
        <n v="2.3"/>
        <n v="4.6"/>
        <n v="3.1"/>
        <n v="4.9"/>
        <n v="4.8"/>
        <n v="4.2"/>
        <n v="2.7"/>
        <n v="2.5"/>
        <n v="1.7"/>
        <n v="2.2"/>
        <n v="2.8"/>
        <n v="9.0"/>
        <n v="1.8"/>
        <n v="1.9"/>
        <n v="2.0"/>
        <n v="1.3"/>
        <n v="1.4"/>
        <n v="0.0"/>
        <n v="1.2"/>
        <n v="1.5"/>
        <n v="6.0"/>
        <n v="1.0"/>
        <n v="1.6"/>
      </sharedItems>
    </cacheField>
    <cacheField name="Last_Login">
      <sharedItems containsDate="1" containsMixedTypes="1">
        <d v="2024-01-17T00:00:00Z"/>
        <d v="2025-02-06T00:00:00Z"/>
        <d v="2025-07-18T00:00:00Z"/>
        <d v="2023-12-20T00:00:00Z"/>
        <d v="2023-07-23T00:00:00Z"/>
        <d v="2023-12-29T00:00:00Z"/>
        <d v="2026-08-23T00:00:00Z"/>
        <d v="2023-08-03T00:00:00Z"/>
        <d v="2025-12-17T00:00:00Z"/>
        <d v="2025-07-31T00:00:00Z"/>
        <d v="2026-06-02T00:00:00Z"/>
        <d v="2022-08-08T00:00:00Z"/>
        <d v="2024-11-25T00:00:00Z"/>
        <d v="2023-09-05T00:00:00Z"/>
        <d v="2023-12-01T00:00:00Z"/>
        <d v="2026-05-13T00:00:00Z"/>
        <d v="2022-10-22T00:00:00Z"/>
        <d v="2025-11-02T00:00:00Z"/>
        <d v="2025-04-11T00:00:00Z"/>
        <d v="2024-04-22T00:00:00Z"/>
        <d v="2024-09-10T00:00:00Z"/>
        <d v="2024-07-09T00:00:00Z"/>
        <d v="2026-03-14T00:00:00Z"/>
        <d v="2023-07-12T00:00:00Z"/>
        <d v="2025-04-18T00:00:00Z"/>
        <d v="2024-08-11T00:00:00Z"/>
        <d v="2025-07-25T00:00:00Z"/>
        <d v="2025-11-03T00:00:00Z"/>
        <d v="2023-06-18T00:00:00Z"/>
        <d v="2027-12-02T00:00:00Z"/>
        <d v="2026-08-11T00:00:00Z"/>
        <d v="2025-04-20T00:00:00Z"/>
        <d v="2023-10-28T00:00:00Z"/>
        <d v="2024-05-16T00:00:00Z"/>
        <d v="2027-07-14T00:00:00Z"/>
        <d v="2025-01-11T00:00:00Z"/>
        <d v="2024-05-19T00:00:00Z"/>
        <d v="2022-10-13T00:00:00Z"/>
        <d v="2025-05-28T00:00:00Z"/>
        <d v="2027-07-24T00:00:00Z"/>
        <d v="2024-09-30T00:00:00Z"/>
        <d v="2026-02-12T00:00:00Z"/>
        <d v="2026-07-15T00:00:00Z"/>
        <d v="2026-11-29T00:00:00Z"/>
        <d v="2023-02-03T00:00:00Z"/>
        <d v="2023-08-26T00:00:00Z"/>
        <d v="2025-10-11T00:00:00Z"/>
        <d v="2026-08-24T00:00:00Z"/>
        <d v="2023-02-28T00:00:00Z"/>
        <d v="2025-09-24T00:00:00Z"/>
        <d v="2024-04-10T00:00:00Z"/>
        <d v="2025-12-27T00:00:00Z"/>
        <d v="2024-05-05T00:00:00Z"/>
        <d v="2025-02-19T00:00:00Z"/>
        <d v="2025-01-27T00:00:00Z"/>
        <d v="2028-05-04T00:00:00Z"/>
        <d v="2024-06-18T00:00:00Z"/>
        <d v="2024-11-19T00:00:00Z"/>
        <d v="2028-07-18T00:00:00Z"/>
        <d v="2027-04-05T00:00:00Z"/>
        <d v="2026-05-21T00:00:00Z"/>
        <d v="2025-08-08T00:00:00Z"/>
        <d v="2024-12-10T00:00:00Z"/>
        <d v="2024-09-21T00:00:00Z"/>
        <d v="2025-01-21T00:00:00Z"/>
        <d v="2026-04-29T00:00:00Z"/>
        <d v="2025-10-12T00:00:00Z"/>
        <d v="2023-09-29T00:00:00Z"/>
        <d v="2026-11-06T00:00:00Z"/>
        <d v="2023-03-29T00:00:00Z"/>
        <d v="2024-01-07T00:00:00Z"/>
        <d v="2022-10-08T00:00:00Z"/>
        <d v="2026-09-16T00:00:00Z"/>
        <d v="2025-07-10T00:00:00Z"/>
        <d v="2025-04-28T00:00:00Z"/>
        <d v="2024-03-17T00:00:00Z"/>
        <d v="2027-07-20T00:00:00Z"/>
        <d v="2023-06-01T00:00:00Z"/>
        <d v="2024-11-18T00:00:00Z"/>
        <d v="2024-07-02T00:00:00Z"/>
        <d v="2027-08-16T00:00:00Z"/>
        <d v="2022-05-19T00:00:00Z"/>
        <d v="2025-01-25T00:00:00Z"/>
        <d v="2023-02-27T00:00:00Z"/>
        <d v="2024-10-26T00:00:00Z"/>
        <d v="2026-02-04T00:00:00Z"/>
        <d v="2026-06-24T00:00:00Z"/>
        <d v="2025-08-22T00:00:00Z"/>
        <d v="2023-02-02T00:00:00Z"/>
        <d v="2025-04-04T00:00:00Z"/>
        <d v="2026-04-19T00:00:00Z"/>
        <d v="2025-06-03T00:00:00Z"/>
        <d v="2023-09-10T00:00:00Z"/>
        <d v="2025-05-12T00:00:00Z"/>
        <d v="2023-07-03T00:00:00Z"/>
        <d v="2025-12-18T00:00:00Z"/>
        <d v="2022-08-19T00:00:00Z"/>
        <d v="2024-02-25T00:00:00Z"/>
        <d v="2027-05-08T00:00:00Z"/>
        <d v="2026-08-04T00:00:00Z"/>
        <d v="2023-11-25T00:00:00Z"/>
        <d v="2025-11-20T00:00:00Z"/>
        <d v="2026-04-03T00:00:00Z"/>
        <d v="2022-06-17T00:00:00Z"/>
        <d v="2023-09-13T00:00:00Z"/>
        <d v="2024-09-17T00:00:00Z"/>
        <d v="2025-11-19T00:00:00Z"/>
        <d v="2023-11-14T00:00:00Z"/>
        <d v="2024-03-19T00:00:00Z"/>
        <d v="2025-07-04T00:00:00Z"/>
        <d v="2025-07-02T00:00:00Z"/>
        <d v="2025-12-05T00:00:00Z"/>
        <d v="2023-10-20T00:00:00Z"/>
        <d v="2022-12-28T00:00:00Z"/>
        <d v="2026-02-08T00:00:00Z"/>
        <d v="2024-10-09T00:00:00Z"/>
        <d v="2025-12-10T00:00:00Z"/>
        <d v="2025-03-19T00:00:00Z"/>
        <d v="2025-05-20T00:00:00Z"/>
        <d v="2028-05-24T00:00:00Z"/>
        <d v="2025-01-13T00:00:00Z"/>
        <d v="2026-02-01T00:00:00Z"/>
        <d v="2026-05-01T00:00:00Z"/>
        <d v="2024-02-01T00:00:00Z"/>
        <d v="2026-03-18T00:00:00Z"/>
        <d v="2025-06-05T00:00:00Z"/>
        <d v="2023-04-11T00:00:00Z"/>
        <d v="2025-12-15T00:00:00Z"/>
        <d v="2022-12-27T00:00:00Z"/>
        <d v="2027-10-23T00:00:00Z"/>
        <d v="2025-12-26T00:00:00Z"/>
        <d v="2023-03-19T00:00:00Z"/>
        <d v="2024-01-24T00:00:00Z"/>
        <d v="2024-08-04T00:00:00Z"/>
        <d v="2025-11-29T00:00:00Z"/>
        <d v="2025-06-27T00:00:00Z"/>
        <d v="2022-10-16T00:00:00Z"/>
        <d v="2028-06-17T00:00:00Z"/>
        <d v="2023-11-13T00:00:00Z"/>
        <d v="2026-11-18T00:00:00Z"/>
        <d v="2027-03-10T00:00:00Z"/>
        <d v="2023-12-19T00:00:00Z"/>
        <d v="2024-10-14T00:00:00Z"/>
        <d v="2025-02-25T00:00:00Z"/>
        <d v="2022-12-21T00:00:00Z"/>
        <d v="2025-12-24T00:00:00Z"/>
        <d v="2024-06-03T00:00:00Z"/>
        <d v="2025-09-03T00:00:00Z"/>
        <d v="2026-05-14T00:00:00Z"/>
        <d v="2024-12-28T00:00:00Z"/>
        <d v="2024-03-09T00:00:00Z"/>
        <d v="2026-12-18T00:00:00Z"/>
        <d v="2023-04-27T00:00:00Z"/>
        <d v="2024-07-26T00:00:00Z"/>
        <d v="2025-01-29T00:00:00Z"/>
        <d v="2024-09-18T00:00:00Z"/>
        <d v="2024-12-19T00:00:00Z"/>
        <d v="2026-01-03T00:00:00Z"/>
        <s v=""/>
        <d v="2024-12-18T00:00:00Z"/>
        <d v="2023-01-05T00:00:00Z"/>
        <d v="2027-12-04T00:00:00Z"/>
        <d v="2025-09-06T00:00:00Z"/>
        <d v="2024-09-07T00:00:00Z"/>
        <d v="2025-12-03T00:00:00Z"/>
        <d v="2023-11-23T00:00:00Z"/>
        <d v="2024-03-04T00:00:00Z"/>
        <d v="2025-03-05T00:00:00Z"/>
        <d v="2025-10-24T00:00:00Z"/>
        <d v="2024-11-17T00:00:00Z"/>
        <d v="2023-07-31T00:00:00Z"/>
        <d v="2024-06-04T00:00:00Z"/>
        <d v="2025-10-10T00:00:00Z"/>
        <d v="2022-05-10T00:00:00Z"/>
        <d v="2023-06-24T00:00:00Z"/>
        <d v="2022-06-23T00:00:00Z"/>
        <d v="2023-02-22T00:00:00Z"/>
        <d v="2028-01-12T00:00:00Z"/>
        <d v="2023-08-27T00:00:00Z"/>
        <d v="2027-05-10T00:00:00Z"/>
        <d v="2023-05-28T00:00:00Z"/>
        <d v="2027-01-17T00:00:00Z"/>
        <d v="2025-11-23T00:00:00Z"/>
        <d v="2022-04-20T00:00:00Z"/>
        <d v="2025-03-25T00:00:00Z"/>
        <d v="2024-08-22T00:00:00Z"/>
        <d v="2022-03-04T00:00:00Z"/>
        <d v="2025-09-27T00:00:00Z"/>
        <d v="2023-02-09T00:00:00Z"/>
        <d v="2025-05-27T00:00:00Z"/>
        <d v="2023-05-19T00:00:00Z"/>
        <d v="2023-03-13T00:00:00Z"/>
        <d v="2027-05-27T00:00:00Z"/>
        <d v="2023-01-03T00:00:00Z"/>
        <d v="2026-01-26T00:00:00Z"/>
        <d v="2026-06-18T00:00:00Z"/>
        <d v="2023-07-08T00:00:00Z"/>
        <d v="2023-10-23T00:00:00Z"/>
        <d v="2023-03-10T00:00:00Z"/>
        <d v="2024-12-11T00:00:00Z"/>
        <d v="2026-12-26T00:00:00Z"/>
        <d v="2023-09-15T00:00:00Z"/>
        <d v="2022-02-24T00:00:00Z"/>
        <d v="2023-03-05T00:00:00Z"/>
        <d v="2025-10-31T00:00:00Z"/>
        <d v="2023-04-26T00:00:00Z"/>
        <d v="2026-09-21T00:00:00Z"/>
        <d v="2023-01-12T00:00:00Z"/>
        <d v="2024-10-24T00:00:00Z"/>
        <d v="2022-08-06T00:00:00Z"/>
        <d v="2025-10-08T00:00:00Z"/>
        <d v="2025-01-19T00:00:00Z"/>
        <d v="2024-05-29T00:00:00Z"/>
        <d v="2024-08-16T00:00:00Z"/>
        <d v="2023-05-29T00:00:00Z"/>
        <d v="2026-05-04T00:00:00Z"/>
        <d v="2025-11-07T00:00:00Z"/>
        <d v="2024-09-24T00:00:00Z"/>
        <d v="2023-08-07T00:00:00Z"/>
        <d v="2027-03-31T00:00:00Z"/>
        <d v="2027-04-16T00:00:00Z"/>
        <d v="2025-04-15T00:00:00Z"/>
        <d v="2023-07-07T00:00:00Z"/>
        <d v="2025-01-02T00:00:00Z"/>
        <d v="2025-10-06T00:00:00Z"/>
        <d v="2024-04-18T00:00:00Z"/>
        <d v="2025-10-26T00:00:00Z"/>
        <d v="2022-11-02T00:00:00Z"/>
        <d v="2024-04-09T00:00:00Z"/>
        <d v="2024-11-13T00:00:00Z"/>
        <d v="2024-04-27T00:00:00Z"/>
        <d v="2025-10-14T00:00:00Z"/>
        <d v="2024-09-20T00:00:00Z"/>
        <d v="2028-08-07T00:00:00Z"/>
        <d v="2028-08-27T00:00:00Z"/>
        <d v="2023-02-24T00:00:00Z"/>
        <d v="2024-11-20T00:00:00Z"/>
        <d v="2026-02-15T00:00:00Z"/>
        <d v="2024-03-22T00:00:00Z"/>
        <d v="2026-02-14T00:00:00Z"/>
        <d v="2024-11-29T00:00:00Z"/>
        <d v="2026-05-05T00:00:00Z"/>
        <d v="2023-11-07T00:00:00Z"/>
        <d v="2025-02-20T00:00:00Z"/>
        <d v="2027-04-28T00:00:00Z"/>
        <d v="2025-02-03T00:00:00Z"/>
        <d v="2025-08-02T00:00:00Z"/>
        <d v="2025-07-21T00:00:00Z"/>
        <d v="2025-11-13T00:00:00Z"/>
        <d v="2024-12-16T00:00:00Z"/>
        <d v="2025-08-30T00:00:00Z"/>
        <d v="2025-08-12T00:00:00Z"/>
        <d v="2025-03-14T00:00:00Z"/>
        <d v="2023-04-19T00:00:00Z"/>
        <d v="2027-06-21T00:00:00Z"/>
        <d v="2023-08-23T00:00:00Z"/>
        <d v="2027-02-14T00:00:00Z"/>
        <d v="2027-09-09T00:00:00Z"/>
        <d v="2027-11-06T00:00:00Z"/>
        <d v="2023-08-11T00:00:00Z"/>
        <d v="2024-11-22T00:00:00Z"/>
        <d v="2025-03-17T00:00:00Z"/>
        <d v="2026-01-25T00:00:00Z"/>
        <d v="2026-06-08T00:00:00Z"/>
        <d v="2025-05-23T00:00:00Z"/>
        <d v="2024-10-12T00:00:00Z"/>
        <d v="2024-07-16T00:00:00Z"/>
        <d v="2023-03-21T00:00:00Z"/>
        <d v="2026-08-17T00:00:00Z"/>
        <d v="2022-02-12T00:00:00Z"/>
        <d v="2024-08-12T00:00:00Z"/>
        <d v="2026-12-08T00:00:00Z"/>
        <d v="2025-04-01T00:00:00Z"/>
        <d v="2023-11-01T00:00:00Z"/>
        <d v="2025-06-11T00:00:00Z"/>
        <d v="2024-03-03T00:00:00Z"/>
        <d v="2025-01-26T00:00:00Z"/>
        <d v="2025-11-30T00:00:00Z"/>
        <d v="2024-08-29T00:00:00Z"/>
        <d v="2025-05-17T00:00:00Z"/>
        <d v="2025-01-01T00:00:00Z"/>
        <d v="2022-10-07T00:00:00Z"/>
        <d v="2022-05-18T00:00:00Z"/>
        <d v="2025-04-09T00:00:00Z"/>
        <d v="2025-07-28T00:00:00Z"/>
        <d v="2024-05-06T00:00:00Z"/>
        <d v="2024-03-26T00:00:00Z"/>
        <d v="2025-04-26T00:00:00Z"/>
        <d v="2023-10-10T00:00:00Z"/>
        <d v="2024-04-19T00:00:00Z"/>
        <d v="2025-09-13T00:00:00Z"/>
        <d v="2026-10-03T00:00:00Z"/>
        <d v="2028-01-03T00:00:00Z"/>
        <d v="2025-09-25T00:00:00Z"/>
        <d v="2028-07-15T00:00:00Z"/>
        <d v="2024-07-23T00:00:00Z"/>
        <d v="2024-08-14T00:00:00Z"/>
        <d v="2026-04-26T00:00:00Z"/>
        <d v="2024-05-07T00:00:00Z"/>
        <d v="2026-06-13T00:00:00Z"/>
        <d v="2027-10-31T00:00:00Z"/>
        <d v="2024-11-07T00:00:00Z"/>
        <d v="2026-03-10T00:00:00Z"/>
        <d v="2025-08-06T00:00:00Z"/>
        <d v="2027-10-11T00:00:00Z"/>
        <d v="2023-09-22T00:00:00Z"/>
        <d v="2029-08-23T00:00:00Z"/>
        <d v="2022-09-14T00:00:00Z"/>
        <d v="2027-12-31T00:00:00Z"/>
        <d v="2023-06-08T00:00:00Z"/>
        <d v="2023-06-10T00:00:00Z"/>
        <d v="2025-06-28T00:00:00Z"/>
        <d v="2023-01-17T00:00:00Z"/>
        <d v="2024-04-21T00:00:00Z"/>
        <d v="2027-01-06T00:00:00Z"/>
        <d v="2022-12-10T00:00:00Z"/>
        <d v="2023-06-13T00:00:00Z"/>
        <d v="2022-11-05T00:00:00Z"/>
        <d v="2026-07-30T00:00:00Z"/>
        <d v="2022-06-30T00:00:00Z"/>
        <d v="2026-09-24T00:00:00Z"/>
        <d v="2024-07-06T00:00:00Z"/>
        <d v="2025-03-28T00:00:00Z"/>
        <d v="2026-02-20T00:00:00Z"/>
        <d v="2024-08-01T00:00:00Z"/>
        <d v="2025-07-07T00:00:00Z"/>
        <d v="2026-05-09T00:00:00Z"/>
        <d v="2027-12-08T00:00:00Z"/>
        <d v="2024-03-12T00:00:00Z"/>
        <d v="2023-12-03T00:00:00Z"/>
        <d v="2027-11-02T00:00:00Z"/>
        <d v="2026-02-16T00:00:00Z"/>
        <d v="2026-02-13T00:00:00Z"/>
        <d v="2026-10-20T00:00:00Z"/>
        <d v="2023-08-12T00:00:00Z"/>
        <d v="2025-11-11T00:00:00Z"/>
        <d v="2027-02-01T00:00:00Z"/>
        <d v="2027-03-22T00:00:00Z"/>
        <d v="2025-01-31T00:00:00Z"/>
        <d v="2026-02-22T00:00:00Z"/>
        <d v="2025-02-26T00:00:00Z"/>
        <d v="2023-01-04T00:00:00Z"/>
        <d v="2022-12-24T00:00:00Z"/>
        <d v="2023-04-04T00:00:00Z"/>
        <d v="2024-06-27T00:00:00Z"/>
        <d v="2024-10-25T00:00:00Z"/>
        <d v="2025-11-12T00:00:00Z"/>
        <d v="2023-07-11T00:00:00Z"/>
        <d v="2022-07-15T00:00:00Z"/>
        <d v="2026-11-26T00:00:00Z"/>
        <d v="2025-11-08T00:00:00Z"/>
        <d v="2024-10-11T00:00:00Z"/>
        <d v="2024-10-06T00:00:00Z"/>
        <d v="2028-12-10T00:00:00Z"/>
        <d v="2023-03-03T00:00:00Z"/>
        <d v="2026-08-13T00:00:00Z"/>
        <d v="2024-03-01T00:00:00Z"/>
        <d v="2028-04-20T00:00:00Z"/>
        <d v="2025-12-28T00:00:00Z"/>
        <d v="2025-03-15T00:00:00Z"/>
        <d v="2023-08-10T00:00:00Z"/>
        <d v="2024-11-06T00:00:00Z"/>
        <d v="2025-10-16T00:00:00Z"/>
        <d v="2023-09-28T00:00:00Z"/>
        <d v="2024-10-27T00:00:00Z"/>
        <d v="2026-12-13T00:00:00Z"/>
        <d v="2025-12-08T00:00:00Z"/>
        <d v="2026-10-15T00:00:00Z"/>
        <d v="2028-05-14T00:00:00Z"/>
        <d v="2023-06-16T00:00:00Z"/>
        <d v="2025-02-27T00:00:00Z"/>
        <d v="2023-10-05T00:00:00Z"/>
        <d v="2024-12-14T00:00:00Z"/>
        <d v="2023-06-15T00:00:00Z"/>
        <d v="2027-09-21T00:00:00Z"/>
        <d v="2025-01-22T00:00:00Z"/>
        <d v="2024-12-30T00:00:00Z"/>
        <d v="2023-06-26T00:00:00Z"/>
        <d v="2026-10-31T00:00:00Z"/>
        <d v="2024-04-30T00:00:00Z"/>
        <d v="2025-03-07T00:00:00Z"/>
        <d v="2023-04-07T00:00:00Z"/>
        <d v="2023-01-11T00:00:00Z"/>
        <d v="2024-03-10T00:00:00Z"/>
        <d v="2024-11-04T00:00:00Z"/>
        <d v="2025-04-14T00:00:00Z"/>
        <d v="2023-09-18T00:00:00Z"/>
        <d v="2027-07-25T00:00:00Z"/>
        <d v="2024-04-24T00:00:00Z"/>
        <d v="2025-08-07T00:00:00Z"/>
        <d v="2024-11-16T00:00:00Z"/>
        <d v="2027-02-17T00:00:00Z"/>
        <d v="2024-01-30T00:00:00Z"/>
        <d v="2026-12-21T00:00:00Z"/>
        <d v="2025-02-12T00:00:00Z"/>
        <d v="2023-11-11T00:00:00Z"/>
        <d v="2025-07-16T00:00:00Z"/>
        <d v="2027-06-19T00:00:00Z"/>
        <d v="2025-01-15T00:00:00Z"/>
        <d v="2026-12-15T00:00:00Z"/>
        <d v="2022-11-08T00:00:00Z"/>
        <d v="2025-10-19T00:00:00Z"/>
        <d v="2025-05-30T00:00:00Z"/>
        <d v="2024-03-11T00:00:00Z"/>
        <d v="2027-03-29T00:00:00Z"/>
        <d v="2023-01-30T00:00:00Z"/>
        <d v="2026-02-11T00:00:00Z"/>
        <d v="2023-02-10T00:00:00Z"/>
        <d v="2025-09-21T00:00:00Z"/>
        <d v="2024-02-06T00:00:00Z"/>
        <d v="2026-04-17T00:00:00Z"/>
        <d v="2025-05-26T00:00:00Z"/>
        <d v="2023-03-22T00:00:00Z"/>
        <d v="2027-11-24T00:00:00Z"/>
        <d v="2024-06-12T00:00:00Z"/>
        <d v="2025-03-09T00:00:00Z"/>
        <d v="2025-04-21T00:00:00Z"/>
        <d v="2022-06-28T00:00:00Z"/>
        <d v="2024-01-08T00:00:00Z"/>
        <d v="2025-06-19T00:00:00Z"/>
        <d v="2026-05-02T00:00:00Z"/>
        <d v="2023-04-29T00:00:00Z"/>
        <d v="2025-04-24T00:00:00Z"/>
        <d v="2027-07-07T00:00:00Z"/>
        <d v="2027-06-22T00:00:00Z"/>
        <d v="2027-12-13T00:00:00Z"/>
        <d v="2025-04-05T00:00:00Z"/>
        <d v="2023-04-05T00:00:00Z"/>
        <d v="2024-06-26T00:00:00Z"/>
        <d v="2023-11-06T00:00:00Z"/>
        <d v="2027-11-20T00:00:00Z"/>
        <d v="2027-03-04T00:00:00Z"/>
        <d v="2022-03-29T00:00:00Z"/>
        <d v="2025-12-30T00:00:00Z"/>
        <d v="2026-08-18T00:00:00Z"/>
        <d v="2025-07-27T00:00:00Z"/>
        <d v="2025-03-13T00:00:00Z"/>
        <d v="2024-11-28T00:00:00Z"/>
        <d v="2025-04-25T00:00:00Z"/>
        <d v="2024-02-15T00:00:00Z"/>
        <d v="2022-11-10T00:00:00Z"/>
        <d v="2022-02-22T00:00:00Z"/>
        <d v="2023-08-21T00:00:00Z"/>
        <d v="2022-08-12T00:00:00Z"/>
        <d v="2024-07-07T00:00:00Z"/>
        <d v="2024-10-01T00:00:00Z"/>
        <d v="2023-06-04T00:00:00Z"/>
        <d v="2026-05-11T00:00:00Z"/>
        <d v="2024-07-31T00:00:00Z"/>
        <d v="2029-07-21T00:00:00Z"/>
        <d v="2023-02-15T00:00:00Z"/>
        <d v="2027-11-26T00:00:00Z"/>
        <d v="2025-03-29T00:00:00Z"/>
        <d v="2022-07-07T00:00:00Z"/>
        <d v="2023-06-03T00:00:00Z"/>
        <d v="2024-07-30T00:00:00Z"/>
        <d v="2028-02-16T00:00:00Z"/>
        <d v="2028-12-08T00:00:00Z"/>
        <d v="2022-11-13T00:00:00Z"/>
        <d v="2028-06-14T00:00:00Z"/>
        <d v="2026-11-05T00:00:00Z"/>
        <d v="2025-12-11T00:00:00Z"/>
        <d v="2023-07-19T00:00:00Z"/>
        <d v="2026-07-19T00:00:00Z"/>
        <d v="2025-11-09T00:00:00Z"/>
        <d v="2024-11-10T00:00:00Z"/>
        <d v="2028-03-26T00:00:00Z"/>
        <d v="2025-05-08T00:00:00Z"/>
        <d v="2025-10-23T00:00:00Z"/>
        <d v="2024-06-15T00:00:00Z"/>
        <d v="2024-03-14T00:00:00Z"/>
        <d v="2025-08-13T00:00:00Z"/>
        <d v="2027-05-28T00:00:00Z"/>
        <d v="2023-12-25T00:00:00Z"/>
        <d v="2024-03-13T00:00:00Z"/>
        <d v="2023-06-19T00:00:00Z"/>
        <d v="2024-05-04T00:00:00Z"/>
        <d v="2022-12-25T00:00:00Z"/>
        <d v="2022-10-29T00:00:00Z"/>
        <d v="2025-09-29T00:00:00Z"/>
        <d v="2023-03-08T00:00:00Z"/>
        <d v="2023-05-25T00:00:00Z"/>
        <d v="2026-11-28T00:00:00Z"/>
        <d v="2026-10-28T00:00:00Z"/>
        <d v="2022-12-12T00:00:00Z"/>
        <d v="2026-04-09T00:00:00Z"/>
        <d v="2023-07-30T00:00:00Z"/>
        <d v="2026-06-01T00:00:00Z"/>
        <d v="2026-04-25T00:00:00Z"/>
        <d v="2027-08-02T00:00:00Z"/>
        <d v="2027-07-16T00:00:00Z"/>
        <d v="2025-12-07T00:00:00Z"/>
        <d v="2024-09-26T00:00:00Z"/>
        <d v="2022-08-17T00:00:00Z"/>
        <d v="2027-02-21T00:00:00Z"/>
        <d v="2025-07-30T00:00:00Z"/>
        <d v="2024-01-25T00:00:00Z"/>
        <d v="2023-06-06T00:00:00Z"/>
        <d v="2026-09-07T00:00:00Z"/>
        <d v="2024-10-02T00:00:00Z"/>
        <d v="2027-04-15T00:00:00Z"/>
        <d v="2023-07-17T00:00:00Z"/>
        <d v="2025-06-23T00:00:00Z"/>
        <d v="2025-06-22T00:00:00Z"/>
        <d v="2025-03-30T00:00:00Z"/>
        <d v="2024-12-13T00:00:00Z"/>
        <d v="2023-03-06T00:00:00Z"/>
        <d v="2023-05-30T00:00:00Z"/>
        <d v="2026-07-02T00:00:00Z"/>
        <d v="2022-07-04T00:00:00Z"/>
        <d v="2026-02-23T00:00:00Z"/>
        <d v="2026-04-22T00:00:00Z"/>
        <d v="2022-10-11T00:00:00Z"/>
        <d v="2023-06-12T00:00:00Z"/>
        <d v="2023-05-12T00:00:00Z"/>
        <d v="2026-09-12T00:00:00Z"/>
        <d v="2025-06-15T00:00:00Z"/>
        <d v="2025-06-08T00:00:00Z"/>
        <d v="2023-06-09T00:00:00Z"/>
        <d v="2025-05-21T00:00:00Z"/>
        <d v="2023-10-01T00:00:00Z"/>
        <d v="2022-09-09T00:00:00Z"/>
        <d v="2022-08-15T00:00:00Z"/>
        <d v="2024-06-29T00:00:00Z"/>
        <d v="2023-12-30T00:00:00Z"/>
        <d v="2022-09-13T00:00:00Z"/>
        <d v="2023-09-25T00:00:00Z"/>
        <d v="2025-05-22T00:00:00Z"/>
        <d v="2027-01-23T00:00:00Z"/>
        <d v="2022-03-19T00:00:00Z"/>
        <d v="2025-05-04T00:00:00Z"/>
        <d v="2023-12-11T00:00:00Z"/>
        <d v="2025-08-18T00:00:00Z"/>
        <d v="2024-01-16T00:00:00Z"/>
        <d v="2026-12-03T00:00:00Z"/>
        <d v="2025-04-16T00:00:00Z"/>
        <d v="2022-07-25T00:00:00Z"/>
        <d v="2024-02-02T00:00:00Z"/>
        <d v="2026-03-04T00:00:00Z"/>
        <d v="2027-10-09T00:00:00Z"/>
        <d v="2023-02-13T00:00:00Z"/>
        <d v="2025-08-19T00:00:00Z"/>
        <d v="2023-10-31T00:00:00Z"/>
        <d v="2026-09-01T00:00:00Z"/>
        <d v="2025-04-13T00:00:00Z"/>
        <d v="2023-08-31T00:00:00Z"/>
        <d v="2025-04-06T00:00:00Z"/>
        <d v="2024-05-01T00:00:00Z"/>
        <d v="2026-04-14T00:00:00Z"/>
        <d v="2025-01-05T00:00:00Z"/>
        <d v="2024-09-16T00:00:00Z"/>
        <d v="2027-08-14T00:00:00Z"/>
        <d v="2024-08-08T00:00:00Z"/>
        <d v="2027-07-13T00:00:00Z"/>
        <d v="2026-06-12T00:00:00Z"/>
        <d v="2025-02-07T00:00:00Z"/>
        <d v="2024-07-01T00:00:00Z"/>
        <d v="2023-10-30T00:00:00Z"/>
        <d v="2025-06-30T00:00:00Z"/>
        <d v="2023-01-07T00:00:00Z"/>
        <d v="2027-02-06T00:00:00Z"/>
        <d v="2023-04-28T00:00:00Z"/>
        <d v="2026-03-03T00:00:00Z"/>
        <d v="2023-04-16T00:00:00Z"/>
        <d v="2025-01-10T00:00:00Z"/>
        <d v="2026-07-20T00:00:00Z"/>
        <d v="2023-10-24T00:00:00Z"/>
        <d v="2023-03-16T00:00:00Z"/>
        <d v="2024-07-05T00:00:00Z"/>
        <d v="2027-12-14T00:00:00Z"/>
        <d v="2026-11-02T00:00:00Z"/>
        <d v="2025-05-18T00:00:00Z"/>
        <d v="2023-10-22T00:00:00Z"/>
        <d v="2024-08-09T00:00:00Z"/>
        <d v="2026-11-27T00:00:00Z"/>
        <d v="2024-05-31T00:00:00Z"/>
        <d v="2026-05-26T00:00:00Z"/>
        <d v="2023-10-03T00:00:00Z"/>
        <d v="2025-04-10T00:00:00Z"/>
        <d v="2025-09-04T00:00:00Z"/>
        <d v="2024-06-24T00:00:00Z"/>
        <d v="2023-10-13T00:00:00Z"/>
        <d v="2026-04-16T00:00:00Z"/>
        <d v="2024-07-29T00:00:00Z"/>
        <d v="2026-04-13T00:00:00Z"/>
        <d v="2024-10-29T00:00:00Z"/>
        <d v="2022-11-14T00:00:00Z"/>
        <d v="2022-01-24T00:00:00Z"/>
        <d v="2026-09-29T00:00:00Z"/>
        <d v="2025-05-31T00:00:00Z"/>
        <d v="2028-04-12T00:00:00Z"/>
        <d v="2026-05-08T00:00:00Z"/>
        <d v="2026-06-17T00:00:00Z"/>
        <d v="2022-06-09T00:00:00Z"/>
        <d v="2025-01-08T00:00:00Z"/>
        <d v="2025-02-21T00:00:00Z"/>
        <d v="2022-06-12T00:00:00Z"/>
        <d v="2022-09-18T00:00:00Z"/>
        <d v="2022-05-31T00:00:00Z"/>
        <d v="2022-09-16T00:00:00Z"/>
        <d v="2026-07-31T00:00:00Z"/>
        <d v="2023-01-23T00:00:00Z"/>
        <d v="2025-01-09T00:00:00Z"/>
        <d v="2023-04-18T00:00:00Z"/>
        <d v="2022-10-21T00:00:00Z"/>
        <d v="2026-10-01T00:00:00Z"/>
        <d v="2026-05-15T00:00:00Z"/>
        <d v="2026-04-08T00:00:00Z"/>
        <d v="2025-04-29T00:00:00Z"/>
        <d v="2025-10-18T00:00:00Z"/>
        <d v="2026-07-18T00:00:00Z"/>
        <d v="2023-08-19T00:00:00Z"/>
        <d v="2025-06-25T00:00:00Z"/>
        <d v="2026-01-18T00:00:00Z"/>
        <d v="2024-02-11T00:00:00Z"/>
        <d v="2027-09-03T00:00:00Z"/>
        <d v="2026-06-14T00:00:00Z"/>
        <d v="2025-08-16T00:00:00Z"/>
        <d v="2023-06-30T00:00:00Z"/>
        <d v="2023-07-22T00:00:00Z"/>
        <d v="2026-12-14T00:00:00Z"/>
        <d v="2024-11-11T00:00:00Z"/>
        <d v="2025-11-26T00:00:00Z"/>
        <d v="2025-12-02T00:00:00Z"/>
        <d v="2025-11-27T00:00:00Z"/>
        <d v="2025-05-16T00:00:00Z"/>
        <d v="2023-07-26T00:00:00Z"/>
        <d v="2024-09-14T00:00:00Z"/>
        <d v="2026-04-27T00:00:00Z"/>
        <d v="2028-06-29T00:00:00Z"/>
        <d v="2022-10-06T00:00:00Z"/>
        <d v="2023-03-01T00:00:00Z"/>
        <d v="2025-03-23T00:00:00Z"/>
        <d v="2024-09-04T00:00:00Z"/>
        <d v="2024-09-03T00:00:00Z"/>
        <d v="2024-05-25T00:00:00Z"/>
        <d v="2026-11-21T00:00:00Z"/>
        <d v="2022-07-28T00:00:00Z"/>
        <d v="2024-04-23T00:00:00Z"/>
        <d v="2026-01-16T00:00:00Z"/>
        <d v="2028-03-06T00:00:00Z"/>
        <d v="2026-02-06T00:00:00Z"/>
        <d v="2023-08-16T00:00:00Z"/>
        <d v="2024-05-28T00:00:00Z"/>
        <d v="2026-11-11T00:00:00Z"/>
        <d v="2026-07-01T00:00:00Z"/>
        <d v="2025-03-26T00:00:00Z"/>
        <d v="2027-09-02T00:00:00Z"/>
        <d v="2024-11-23T00:00:00Z"/>
        <d v="2028-11-11T00:00:00Z"/>
        <d v="2025-07-12T00:00:00Z"/>
        <d v="2023-11-17T00:00:00Z"/>
        <d v="2024-09-01T00:00:00Z"/>
        <d v="2027-01-10T00:00:00Z"/>
        <d v="2024-11-01T00:00:00Z"/>
        <d v="2024-06-09T00:00:00Z"/>
        <d v="2027-06-18T00:00:00Z"/>
        <d v="2023-01-20T00:00:00Z"/>
        <d v="2022-08-22T00:00:00Z"/>
        <d v="2024-07-28T00:00:00Z"/>
        <d v="2026-05-27T00:00:00Z"/>
        <d v="2024-10-15T00:00:00Z"/>
        <d v="2025-12-06T00:00:00Z"/>
        <d v="2025-04-19T00:00:00Z"/>
        <d v="2026-05-30T00:00:00Z"/>
        <d v="2025-07-17T00:00:00Z"/>
        <d v="2025-10-21T00:00:00Z"/>
        <d v="2025-11-10T00:00:00Z"/>
        <d v="2025-06-07T00:00:00Z"/>
        <d v="2028-03-10T00:00:00Z"/>
        <d v="2023-08-02T00:00:00Z"/>
        <d v="2023-09-03T00:00:00Z"/>
        <d v="2025-08-03T00:00:00Z"/>
        <d v="2024-05-11T00:00:00Z"/>
        <d v="2022-12-18T00:00:00Z"/>
        <d v="2025-02-02T00:00:00Z"/>
        <d v="2027-02-05T00:00:00Z"/>
        <d v="2025-06-06T00:00:00Z"/>
        <d v="2027-03-08T00:00:00Z"/>
        <d v="2026-09-06T00:00:00Z"/>
        <d v="2022-11-22T00:00:00Z"/>
        <d v="2024-03-08T00:00:00Z"/>
        <d v="2026-08-19T00:00:00Z"/>
        <d v="2024-08-28T00:00:00Z"/>
        <d v="2027-11-01T00:00:00Z"/>
        <d v="2024-06-08T00:00:00Z"/>
        <d v="2027-07-29T00:00:00Z"/>
        <d v="2026-01-06T00:00:00Z"/>
        <d v="2025-06-13T00:00:00Z"/>
        <d v="2024-01-06T00:00:00Z"/>
        <d v="2024-07-08T00:00:00Z"/>
        <d v="2024-07-03T00:00:00Z"/>
        <d v="2028-04-05T00:00:00Z"/>
        <d v="2025-07-26T00:00:00Z"/>
        <d v="2026-04-30T00:00:00Z"/>
        <d v="2025-10-04T00:00:00Z"/>
        <d v="2023-12-09T00:00:00Z"/>
        <d v="2028-08-13T00:00:00Z"/>
        <d v="2023-09-19T00:00:00Z"/>
        <d v="2024-05-13T00:00:00Z"/>
        <d v="2023-10-11T00:00:00Z"/>
        <d v="2027-02-13T00:00:00Z"/>
        <d v="2028-01-17T00:00:00Z"/>
        <d v="2027-01-30T00:00:00Z"/>
        <d v="2023-08-18T00:00:00Z"/>
        <d v="2025-06-26T00:00:00Z"/>
        <d v="2023-08-08T00:00:00Z"/>
        <d v="2024-01-29T00:00:00Z"/>
        <d v="2022-12-22T00:00:00Z"/>
        <d v="2025-09-18T00:00:00Z"/>
        <d v="2028-01-23T00:00:00Z"/>
        <d v="2025-12-19T00:00:00Z"/>
        <d v="2025-08-20T00:00:00Z"/>
        <d v="2026-12-19T00:00:00Z"/>
        <d v="2022-09-30T00:00:00Z"/>
        <d v="2023-12-02T00:00:00Z"/>
        <d v="2024-08-27T00:00:00Z"/>
        <d v="2025-11-22T00:00:00Z"/>
        <d v="2022-05-28T00:00:00Z"/>
        <d v="2022-11-20T00:00:00Z"/>
        <d v="2024-01-22T00:00:00Z"/>
        <d v="2024-04-13T00:00:00Z"/>
        <d v="2024-08-18T00:00:00Z"/>
        <d v="2024-08-06T00:00:00Z"/>
        <d v="2026-07-05T00:00:00Z"/>
        <d v="2023-06-22T00:00:00Z"/>
        <d v="2024-04-16T00:00:00Z"/>
        <d v="2025-12-16T00:00:00Z"/>
        <d v="2024-10-10T00:00:00Z"/>
        <d v="2022-12-16T00:00:00Z"/>
        <d v="2023-04-24T00:00:00Z"/>
        <d v="2025-08-11T00:00:00Z"/>
        <d v="2026-04-24T00:00:00Z"/>
        <d v="2025-02-17T00:00:00Z"/>
        <d v="2022-05-17T00:00:00Z"/>
        <d v="2022-07-20T00:00:00Z"/>
        <d v="2024-03-15T00:00:00Z"/>
        <d v="2026-09-20T00:00:00Z"/>
        <d v="2026-04-28T00:00:00Z"/>
        <d v="2023-11-22T00:00:00Z"/>
        <d v="2025-05-24T00:00:00Z"/>
        <d v="2025-04-17T00:00:00Z"/>
        <d v="2028-03-03T00:00:00Z"/>
        <d v="2025-05-19T00:00:00Z"/>
        <d v="2023-11-02T00:00:00Z"/>
        <d v="2023-10-18T00:00:00Z"/>
        <d v="2024-12-27T00:00:00Z"/>
        <d v="2023-04-25T00:00:00Z"/>
        <d v="2024-10-23T00:00:00Z"/>
        <d v="2024-10-21T00:00:00Z"/>
        <d v="2024-02-19T00:00:00Z"/>
        <d v="2026-05-28T00:00:00Z"/>
        <d v="2022-06-06T00:00:00Z"/>
        <d v="2025-06-18T00:00:00Z"/>
        <d v="2024-03-20T00:00:00Z"/>
        <d v="2025-08-14T00:00:00Z"/>
        <d v="2025-07-20T00:00:00Z"/>
        <d v="2025-05-07T00:00:00Z"/>
        <d v="2026-05-29T00:00:00Z"/>
        <d v="2026-07-25T00:00:00Z"/>
        <d v="2023-11-29T00:00:00Z"/>
        <d v="2022-11-26T00:00:00Z"/>
        <d v="2025-02-08T00:00:00Z"/>
        <d v="2022-10-18T00:00:00Z"/>
        <d v="2023-07-06T00:00:00Z"/>
        <d v="2026-06-28T00:00:00Z"/>
        <d v="2022-04-15T00:00:00Z"/>
        <d v="2023-01-26T00:00:00Z"/>
        <d v="2023-11-20T00:00:00Z"/>
        <d v="2026-07-06T00:00:00Z"/>
        <d v="2022-07-19T00:00:00Z"/>
        <d v="2023-01-25T00:00:00Z"/>
        <d v="2025-07-29T00:00:00Z"/>
        <d v="2025-07-23T00:00:00Z"/>
        <d v="2024-11-09T00:00:00Z"/>
        <d v="2024-06-21T00:00:00Z"/>
        <d v="2025-04-02T00:00:00Z"/>
        <d v="2025-02-13T00:00:00Z"/>
        <d v="2025-10-20T00:00:00Z"/>
        <d v="2022-11-19T00:00:00Z"/>
        <d v="2025-05-15T00:00:00Z"/>
        <d v="2023-04-08T00:00:00Z"/>
        <d v="2028-01-06T00:00:00Z"/>
        <d v="2025-09-14T00:00:00Z"/>
        <d v="2025-07-13T00:00:00Z"/>
        <d v="2023-03-11T00:00:00Z"/>
        <d v="2025-09-10T00:00:00Z"/>
        <d v="2026-07-27T00:00:00Z"/>
        <d v="2023-07-13T00:00:00Z"/>
        <d v="2024-02-26T00:00:00Z"/>
        <d v="2024-05-14T00:00:00Z"/>
        <d v="2023-06-21T00:00:00Z"/>
        <d v="2022-07-12T00:00:00Z"/>
        <d v="2026-12-16T00:00:00Z"/>
        <d v="2028-03-28T00:00:00Z"/>
        <d v="2024-05-30T00:00:00Z"/>
        <d v="2026-09-10T00:00:00Z"/>
        <d v="2028-03-02T00:00:00Z"/>
        <d v="2024-09-09T00:00:00Z"/>
        <d v="2025-06-16T00:00:00Z"/>
        <d v="2026-09-11T00:00:00Z"/>
        <d v="2023-09-04T00:00:00Z"/>
        <d v="2022-11-30T00:00:00Z"/>
        <d v="2025-10-29T00:00:00Z"/>
        <d v="2026-11-25T00:00:00Z"/>
        <d v="2023-11-18T00:00:00Z"/>
        <d v="2024-12-04T00:00:00Z"/>
        <d v="2023-05-06T00:00:00Z"/>
        <d v="2023-04-02T00:00:00Z"/>
        <d v="2028-01-01T00:00:00Z"/>
        <d v="2026-12-30T00:00:00Z"/>
        <d v="2023-05-31T00:00:00Z"/>
        <d v="2025-02-22T00:00:00Z"/>
        <d v="2022-10-10T00:00:00Z"/>
        <d v="2024-03-27T00:00:00Z"/>
        <d v="2023-09-01T00:00:00Z"/>
        <d v="2027-03-15T00:00:00Z"/>
        <d v="2022-07-09T00:00:00Z"/>
        <d v="2027-06-14T00:00:00Z"/>
        <d v="2022-05-05T00:00:00Z"/>
        <d v="2023-03-18T00:00:00Z"/>
        <d v="2028-02-14T00:00:00Z"/>
        <d v="2025-11-01T00:00:00Z"/>
        <d v="2023-11-24T00:00:00Z"/>
        <d v="2025-08-15T00:00:00Z"/>
        <d v="2026-01-02T00:00:00Z"/>
        <d v="2025-09-30T00:00:00Z"/>
        <d v="2024-02-07T00:00:00Z"/>
        <d v="2026-08-25T00:00:00Z"/>
        <d v="2028-01-05T00:00:00Z"/>
        <d v="2026-03-29T00:00:00Z"/>
        <d v="2026-05-22T00:00:00Z"/>
        <d v="2023-12-05T00:00:00Z"/>
        <d v="2025-10-30T00:00:00Z"/>
        <d v="2025-03-16T00:00:00Z"/>
        <d v="2025-07-22T00:00:00Z"/>
        <d v="2023-02-12T00:00:00Z"/>
        <d v="2022-04-27T00:00:00Z"/>
        <d v="2026-07-16T00:00:00Z"/>
        <d v="2022-02-21T00:00:00Z"/>
        <d v="2025-02-15T00:00:00Z"/>
        <d v="2026-06-21T00:00:00Z"/>
        <d v="2025-03-02T00:00:00Z"/>
        <d v="2023-05-26T00:00:00Z"/>
        <d v="2026-03-15T00:00:00Z"/>
        <d v="2027-03-16T00:00:00Z"/>
        <d v="2023-04-14T00:00:00Z"/>
        <d v="2024-05-18T00:00:00Z"/>
        <d v="2024-01-12T00:00:00Z"/>
        <d v="2027-01-05T00:00:00Z"/>
        <d v="2022-08-29T00:00:00Z"/>
        <d v="2025-11-16T00:00:00Z"/>
        <d v="2023-04-09T00:00:00Z"/>
        <d v="2023-08-24T00:00:00Z"/>
        <d v="2026-08-27T00:00:00Z"/>
        <d v="2022-07-27T00:00:00Z"/>
        <d v="2028-04-30T00:00:00Z"/>
        <d v="2022-04-13T00:00:00Z"/>
        <d v="2026-03-22T00:00:00Z"/>
        <d v="2026-06-04T00:00:00Z"/>
        <d v="2025-03-27T00:00:00Z"/>
        <d v="2024-08-15T00:00:00Z"/>
        <d v="2026-02-28T00:00:00Z"/>
        <d v="2027-10-28T00:00:00Z"/>
        <d v="2025-03-01T00:00:00Z"/>
        <d v="2022-12-31T00:00:00Z"/>
        <d v="2028-01-30T00:00:00Z"/>
        <d v="2023-03-02T00:00:00Z"/>
        <d v="2025-09-09T00:00:00Z"/>
        <d v="2025-10-15T00:00:00Z"/>
        <d v="2026-12-11T00:00:00Z"/>
        <d v="2025-01-17T00:00:00Z"/>
        <d v="2023-10-14T00:00:00Z"/>
        <d v="2023-04-12T00:00:00Z"/>
        <d v="2025-11-21T00:00:00Z"/>
        <d v="2022-12-13T00:00:00Z"/>
        <d v="2023-03-31T00:00:00Z"/>
        <d v="2026-01-09T00:00:00Z"/>
        <d v="2023-10-16T00:00:00Z"/>
        <d v="2023-10-04T00:00:00Z"/>
        <d v="2023-09-23T00:00:00Z"/>
        <d v="2028-03-15T00:00:00Z"/>
        <d v="2027-01-28T00:00:00Z"/>
        <d v="2025-01-18T00:00:00Z"/>
        <d v="2023-06-23T00:00:00Z"/>
        <d v="2024-05-03T00:00:00Z"/>
        <d v="2026-01-31T00:00:00Z"/>
        <d v="2023-04-15T00:00:00Z"/>
        <d v="2023-10-15T00:00:00Z"/>
        <d v="2025-11-28T00:00:00Z"/>
        <d v="2024-10-28T00:00:00Z"/>
        <d v="2022-07-08T00:00:00Z"/>
        <d v="2026-03-11T00:00:00Z"/>
        <d v="2024-02-14T00:00:00Z"/>
        <d v="2025-07-14T00:00:00Z"/>
        <d v="2025-09-28T00:00:00Z"/>
        <d v="2022-02-26T00:00:00Z"/>
        <d v="2025-02-05T00:00:00Z"/>
        <d v="2027-03-17T00:00:00Z"/>
        <d v="2024-10-20T00:00:00Z"/>
        <d v="2023-05-15T00:00:00Z"/>
        <d v="2023-03-14T00:00:00Z"/>
        <d v="2022-09-05T00:00:00Z"/>
        <d v="2027-06-16T00:00:00Z"/>
        <d v="2026-07-13T00:00:00Z"/>
        <d v="2023-08-01T00:00:00Z"/>
        <d v="2025-02-16T00:00:00Z"/>
        <d v="2024-12-12T00:00:00Z"/>
        <d v="2024-10-31T00:00:00Z"/>
        <d v="2027-03-24T00:00:00Z"/>
        <d v="2022-10-23T00:00:00Z"/>
        <d v="2026-09-25T00:00:00Z"/>
        <d v="2027-11-25T00:00:00Z"/>
        <d v="2026-08-12T00:00:00Z"/>
        <d v="2026-05-16T00:00:00Z"/>
        <d v="2022-07-10T00:00:00Z"/>
        <d v="2023-12-08T00:00:00Z"/>
        <d v="2023-03-30T00:00:00Z"/>
        <d v="2025-07-06T00:00:00Z"/>
        <d v="2024-12-31T00:00:00Z"/>
        <d v="2026-04-05T00:00:00Z"/>
        <d v="2022-07-05T00:00:00Z"/>
        <d v="2024-03-24T00:00:00Z"/>
        <d v="2022-10-19T00:00:00Z"/>
        <d v="2026-05-17T00:00:00Z"/>
        <d v="2024-12-03T00:00:00Z"/>
        <d v="2027-02-07T00:00:00Z"/>
        <d v="2023-07-29T00:00:00Z"/>
        <d v="2025-09-23T00:00:00Z"/>
        <d v="2022-07-26T00:00:00Z"/>
        <d v="2022-12-07T00:00:00Z"/>
        <d v="2025-10-25T00:00:00Z"/>
        <d v="2026-07-14T00:00:00Z"/>
        <d v="2029-01-15T00:00:00Z"/>
        <d v="2026-03-19T00:00:00Z"/>
        <d v="2026-08-08T00:00:00Z"/>
        <d v="2023-10-17T00:00:00Z"/>
        <d v="2024-01-27T00:00:00Z"/>
        <d v="2023-12-16T00:00:00Z"/>
        <d v="2025-03-31T00:00:00Z"/>
        <d v="2022-09-04T00:00:00Z"/>
        <d v="2023-06-11T00:00:00Z"/>
        <d v="2026-01-20T00:00:00Z"/>
        <d v="2026-06-30T00:00:00Z"/>
        <d v="2022-10-09T00:00:00Z"/>
        <d v="2025-05-02T00:00:00Z"/>
        <d v="2025-09-12T00:00:00Z"/>
        <d v="2025-11-15T00:00:00Z"/>
        <d v="2025-05-13T00:00:00Z"/>
        <d v="2022-08-07T00:00:00Z"/>
        <d v="2023-08-17T00:00:00Z"/>
        <d v="2024-06-05T00:00:00Z"/>
        <d v="2025-02-09T00:00:00Z"/>
        <d v="2026-12-07T00:00:00Z"/>
        <d v="2028-06-03T00:00:00Z"/>
        <d v="2022-05-11T00:00:00Z"/>
        <d v="2025-06-29T00:00:00Z"/>
        <d v="2026-10-06T00:00:00Z"/>
        <d v="2027-11-03T00:00:00Z"/>
        <d v="2026-08-03T00:00:00Z"/>
        <d v="2024-11-24T00:00:00Z"/>
        <d v="2024-11-03T00:00:00Z"/>
        <d v="2024-07-15T00:00:00Z"/>
        <d v="2027-02-08T00:00:00Z"/>
        <d v="2024-07-22T00:00:00Z"/>
        <d v="2027-02-26T00:00:00Z"/>
        <d v="2026-11-14T00:00:00Z"/>
        <d v="2025-03-24T00:00:00Z"/>
        <d v="2026-03-17T00:00:00Z"/>
        <d v="2024-04-08T00:00:00Z"/>
        <d v="2025-06-01T00:00:00Z"/>
        <d v="2024-06-01T00:00:00Z"/>
        <d v="2025-03-11T00:00:00Z"/>
        <d v="2026-05-03T00:00:00Z"/>
        <d v="2023-06-28T00:00:00Z"/>
        <d v="2023-07-04T00:00:00Z"/>
        <d v="2024-05-15T00:00:00Z"/>
        <d v="2023-03-28T00:00:00Z"/>
        <d v="2023-08-29T00:00:00Z"/>
        <d v="2023-07-20T00:00:00Z"/>
        <d v="2022-03-16T00:00:00Z"/>
        <d v="2023-09-06T00:00:00Z"/>
        <d v="2023-07-21T00:00:00Z"/>
        <d v="2026-01-04T00:00:00Z"/>
        <d v="2022-02-23T00:00:00Z"/>
        <d v="2025-10-09T00:00:00Z"/>
        <d v="2025-03-20T00:00:00Z"/>
        <d v="2023-03-24T00:00:00Z"/>
        <d v="2022-09-19T00:00:00Z"/>
        <d v="2025-12-21T00:00:00Z"/>
        <d v="2022-11-28T00:00:00Z"/>
        <d v="2025-09-11T00:00:00Z"/>
        <d v="2022-08-26T00:00:00Z"/>
        <d v="2024-11-21T00:00:00Z"/>
        <d v="2024-04-06T00:00:00Z"/>
        <d v="2025-05-01T00:00:00Z"/>
        <d v="2027-06-27T00:00:00Z"/>
        <d v="2022-03-24T00:00:00Z"/>
        <d v="2022-12-09T00:00:00Z"/>
        <d v="2025-04-12T00:00:00Z"/>
        <d v="2022-09-20T00:00:00Z"/>
        <d v="2023-12-10T00:00:00Z"/>
        <d v="2024-10-18T00:00:00Z"/>
        <d v="2022-09-08T00:00:00Z"/>
        <d v="2027-03-19T00:00:00Z"/>
        <d v="2026-03-16T00:00:00Z"/>
        <d v="2024-06-07T00:00:00Z"/>
        <d v="2024-09-05T00:00:00Z"/>
        <d v="2024-08-17T00:00:00Z"/>
        <d v="2026-11-22T00:00:00Z"/>
        <d v="2024-01-18T00:00:00Z"/>
        <d v="2024-02-24T00:00:00Z"/>
        <d v="2022-05-29T00:00:00Z"/>
        <d v="2023-02-01T00:00:00Z"/>
        <d v="2027-08-22T00:00:00Z"/>
        <d v="2023-07-05T00:00:00Z"/>
        <d v="2024-10-19T00:00:00Z"/>
        <d v="2026-02-19T00:00:00Z"/>
        <d v="2023-07-01T00:00:00Z"/>
        <d v="2024-04-11T00:00:00Z"/>
        <d v="2025-09-07T00:00:00Z"/>
        <d v="2026-11-15T00:00:00Z"/>
        <d v="2023-07-27T00:00:00Z"/>
        <d v="2023-08-05T00:00:00Z"/>
        <d v="2023-07-24T00:00:00Z"/>
        <d v="2024-03-23T00:00:00Z"/>
        <d v="2026-12-09T00:00:00Z"/>
        <d v="2025-01-23T00:00:00Z"/>
        <d v="2024-11-15T00:00:00Z"/>
        <d v="2024-03-02T00:00:00Z"/>
        <d v="2025-03-03T00:00:00Z"/>
        <d v="2023-01-15T00:00:00Z"/>
        <d v="2028-01-25T00:00:00Z"/>
        <d v="2024-09-08T00:00:00Z"/>
        <d v="2024-07-12T00:00:00Z"/>
        <d v="2027-12-22T00:00:00Z"/>
        <d v="2024-02-12T00:00:00Z"/>
        <d v="2023-05-20T00:00:00Z"/>
        <d v="2024-12-08T00:00:00Z"/>
        <d v="2023-05-23T00:00:00Z"/>
        <d v="2022-12-06T00:00:00Z"/>
        <d v="2025-07-09T00:00:00Z"/>
        <d v="2024-10-08T00:00:00Z"/>
        <d v="2022-05-02T00:00:00Z"/>
        <d v="2024-02-09T00:00:00Z"/>
        <d v="2025-02-24T00:00:00Z"/>
        <d v="2022-07-06T00:00:00Z"/>
        <d v="2025-09-19T00:00:00Z"/>
        <d v="2026-04-11T00:00:00Z"/>
        <d v="2023-04-22T00:00:00Z"/>
        <d v="2024-06-16T00:00:00Z"/>
        <d v="2024-06-02T00:00:00Z"/>
        <d v="2024-04-07T00:00:00Z"/>
        <d v="2027-02-16T00:00:00Z"/>
        <d v="2023-12-04T00:00:00Z"/>
        <d v="2024-06-11T00:00:00Z"/>
        <d v="2026-09-23T00:00:00Z"/>
        <d v="2027-04-21T00:00:00Z"/>
        <d v="2024-04-29T00:00:00Z"/>
        <d v="2026-05-23T00:00:00Z"/>
        <d v="2025-08-29T00:00:00Z"/>
        <d v="2026-08-30T00:00:00Z"/>
        <d v="2023-05-22T00:00:00Z"/>
        <d v="2024-08-10T00:00:00Z"/>
        <d v="2027-02-20T00:00:00Z"/>
        <d v="2026-04-12T00:00:00Z"/>
        <d v="2022-10-01T00:00:00Z"/>
        <d v="2028-05-13T00:00:00Z"/>
        <d v="2024-05-17T00:00:00Z"/>
        <d v="2026-01-24T00:00:00Z"/>
        <d v="2023-09-16T00:00:00Z"/>
        <d v="2027-06-24T00:00:00Z"/>
        <d v="2022-09-21T00:00:00Z"/>
        <d v="2022-06-08T00:00:00Z"/>
        <d v="2022-04-05T00:00:00Z"/>
        <d v="2024-02-29T00:00:00Z"/>
        <d v="2023-10-27T00:00:00Z"/>
        <d v="2028-02-29T00:00:00Z"/>
        <d v="2023-05-21T00:00:00Z"/>
        <d v="2027-05-06T00:00:00Z"/>
        <d v="2025-06-21T00:00:00Z"/>
        <d v="2028-10-22T00:00:00Z"/>
        <d v="2024-02-13T00:00:00Z"/>
        <d v="2022-11-15T00:00:00Z"/>
        <d v="2027-05-25T00:00:00Z"/>
        <d v="2025-10-03T00:00:00Z"/>
        <d v="2027-01-09T00:00:00Z"/>
        <d v="2024-09-28T00:00:00Z"/>
        <d v="2024-07-19T00:00:00Z"/>
        <d v="2023-01-06T00:00:00Z"/>
        <d v="2022-12-15T00:00:00Z"/>
        <d v="2026-06-26T00:00:00Z"/>
        <d v="2028-11-01T00:00:00Z"/>
        <d v="2024-06-23T00:00:00Z"/>
        <d v="2026-05-07T00:00:00Z"/>
        <d v="2025-10-13T00:00:00Z"/>
        <d v="2026-10-10T00:00:00Z"/>
        <d v="2027-06-02T00:00:00Z"/>
        <d v="2025-06-24T00:00:00Z"/>
        <d v="2027-01-04T00:00:00Z"/>
        <d v="2026-06-29T00:00:00Z"/>
        <d v="2023-11-19T00:00:00Z"/>
        <d v="2026-03-12T00:00:00Z"/>
        <d v="2024-03-18T00:00:00Z"/>
        <d v="2027-04-25T00:00:00Z"/>
        <d v="2027-04-17T00:00:00Z"/>
        <d v="2026-06-19T00:00:00Z"/>
        <d v="2024-07-25T00:00:00Z"/>
        <d v="2024-08-30T00:00:00Z"/>
        <d v="2024-02-20T00:00:00Z"/>
        <d v="2023-07-14T00:00:00Z"/>
        <d v="2025-04-08T00:00:00Z"/>
        <d v="2026-03-30T00:00:00Z"/>
        <d v="2025-03-08T00:00:00Z"/>
        <d v="2025-07-05T00:00:00Z"/>
        <d v="2026-08-31T00:00:00Z"/>
        <d v="2024-11-27T00:00:00Z"/>
        <d v="2024-08-24T00:00:00Z"/>
        <d v="2025-12-23T00:00:00Z"/>
        <d v="2022-07-30T00:00:00Z"/>
        <d v="2025-04-03T00:00:00Z"/>
        <d v="2026-10-17T00:00:00Z"/>
        <d v="2026-08-29T00:00:00Z"/>
        <d v="2027-05-24T00:00:00Z"/>
        <d v="2028-03-17T00:00:00Z"/>
        <d v="2023-09-27T00:00:00Z"/>
        <d v="2026-02-26T00:00:00Z"/>
        <d v="2027-10-18T00:00:00Z"/>
        <d v="2023-03-07T00:00:00Z"/>
        <d v="2022-12-01T00:00:00Z"/>
        <d v="2029-01-06T00:00:00Z"/>
        <d v="2027-07-10T00:00:00Z"/>
        <d v="2024-01-19T00:00:00Z"/>
        <d v="2023-11-21T00:00:00Z"/>
        <d v="2026-03-20T00:00:00Z"/>
        <d v="2026-04-18T00:00:00Z"/>
        <d v="2023-09-09T00:00:00Z"/>
        <d v="2025-09-02T00:00:00Z"/>
        <d v="2027-03-03T00:00:00Z"/>
        <d v="2022-03-18T00:00:00Z"/>
        <d v="2023-10-21T00:00:00Z"/>
        <d v="2022-11-25T00:00:00Z"/>
        <d v="2025-11-14T00:00:00Z"/>
        <d v="2023-05-07T00:00:00Z"/>
        <d v="2027-10-29T00:00:00Z"/>
        <d v="2023-02-23T00:00:00Z"/>
        <d v="2024-10-13T00:00:00Z"/>
        <d v="2022-06-20T00:00:00Z"/>
        <d v="2025-11-17T00:00:00Z"/>
        <d v="2025-06-14T00:00:00Z"/>
        <d v="2024-10-30T00:00:00Z"/>
        <d v="2024-04-14T00:00:00Z"/>
        <d v="2025-12-31T00:00:00Z"/>
        <d v="2023-04-01T00:00:00Z"/>
        <d v="2026-12-12T00:00:00Z"/>
        <d v="2026-09-08T00:00:00Z"/>
        <d v="2024-03-16T00:00:00Z"/>
        <d v="2023-11-12T00:00:00Z"/>
        <d v="2027-04-19T00:00:00Z"/>
        <d v="2025-09-17T00:00:00Z"/>
        <d v="2025-01-16T00:00:00Z"/>
        <d v="2026-01-15T00:00:00Z"/>
        <d v="2025-01-30T00:00:00Z"/>
        <d v="2026-12-04T00:00:00Z"/>
        <d v="2026-07-22T00:00:00Z"/>
        <d v="2024-02-08T00:00:00Z"/>
        <d v="2026-12-02T00:00:00Z"/>
        <d v="2026-05-25T00:00:00Z"/>
        <d v="2025-03-10T00:00:00Z"/>
        <d v="2022-11-06T00:00:00Z"/>
        <d v="2025-11-04T00:00:00Z"/>
      </sharedItems>
    </cacheField>
    <cacheField name="Churn_Date">
      <sharedItems containsDate="1" containsMixedTypes="1">
        <s v="16/06/2023"/>
        <s v=""/>
        <s v="24/02/2024"/>
        <s v="27/09/2025"/>
        <s v="20/08/2026"/>
        <d v="2025-06-09T00:00:00Z"/>
        <d v="2025-08-10T00:00:00Z"/>
        <s v="16/01/2025"/>
        <d v="2026-06-03T00:00:00Z"/>
        <s v="26/06/2026"/>
        <d v="2025-02-11T00:00:00Z"/>
        <s v="30/12/2026"/>
        <s v="13/11/2027"/>
        <d v="2025-02-02T00:00:00Z"/>
        <d v="2025-11-07T00:00:00Z"/>
        <s v="25/05/2025"/>
        <d v="2028-03-01T00:00:00Z"/>
        <s v="27/10/2022"/>
        <d v="2023-08-10T00:00:00Z"/>
        <d v="2026-05-09T00:00:00Z"/>
        <d v="2025-01-04T00:00:00Z"/>
        <d v="2028-02-02T00:00:00Z"/>
        <s v="30/01/2025"/>
        <s v="18/10/2025"/>
        <s v="21/02/2024"/>
        <d v="2022-02-09T00:00:00Z"/>
        <d v="2023-06-08T00:00:00Z"/>
        <s v="18/04/2024"/>
        <d v="2027-02-05T00:00:00Z"/>
        <d v="2026-09-02T00:00:00Z"/>
        <d v="2022-09-10T00:00:00Z"/>
        <s v="26/12/2025"/>
        <s v="19/01/2025"/>
        <s v="28/08/2025"/>
        <d v="2023-12-08T00:00:00Z"/>
        <d v="2025-01-11T00:00:00Z"/>
        <s v="16/05/2025"/>
        <d v="2025-08-11T00:00:00Z"/>
        <d v="2024-12-03T00:00:00Z"/>
        <s v="16/05/2024"/>
        <s v="14/09/2025"/>
        <s v="17/05/2025"/>
        <d v="2024-03-01T00:00:00Z"/>
        <s v="22/12/2025"/>
        <d v="2023-04-03T00:00:00Z"/>
        <s v="24/07/2025"/>
        <d v="2026-05-04T00:00:00Z"/>
        <d v="2023-08-05T00:00:00Z"/>
        <s v="24/09/2024"/>
        <d v="2028-06-03T00:00:00Z"/>
        <s v="17/04/2024"/>
        <s v="17/04/2026"/>
        <s v="17/08/2024"/>
        <s v="27/02/2023"/>
        <s v="20/10/2026"/>
        <s v="13/09/2024"/>
        <s v="17/05/2024"/>
        <s v="28/09/2025"/>
        <d v="2023-05-10T00:00:00Z"/>
        <s v="29/01/2024"/>
        <s v="22/06/2024"/>
        <s v="15/05/2025"/>
        <d v="2024-09-01T00:00:00Z"/>
        <s v="24/08/2022"/>
        <d v="2023-06-02T00:00:00Z"/>
        <s v="29/05/2022"/>
        <s v="18/08/2025"/>
        <s v="25/12/2026"/>
        <d v="2024-10-10T00:00:00Z"/>
        <s v="14/03/2024"/>
        <s v="31/08/2025"/>
        <d v="2025-01-10T00:00:00Z"/>
        <d v="2023-02-09T00:00:00Z"/>
        <s v="18/01/2029"/>
        <s v="31/05/2025"/>
        <s v="16/02/2023"/>
        <d v="2025-05-05T00:00:00Z"/>
        <d v="2025-04-05T00:00:00Z"/>
        <s v="21/07/2026"/>
        <s v="16/01/2023"/>
        <d v="2026-12-08T00:00:00Z"/>
        <d v="2025-06-01T00:00:00Z"/>
        <d v="2026-04-08T00:00:00Z"/>
        <d v="2025-07-08T00:00:00Z"/>
        <s v="20/08/2024"/>
        <s v="13/09/2026"/>
        <s v="30/12/2025"/>
        <s v="27/05/2026"/>
        <d v="2026-09-09T00:00:00Z"/>
        <s v="28/05/2024"/>
        <s v="26/05/2025"/>
        <d v="2026-07-06T00:00:00Z"/>
        <s v="16/04/2027"/>
        <s v="26/02/2022"/>
        <d v="2027-12-04T00:00:00Z"/>
        <d v="2023-11-07T00:00:00Z"/>
        <d v="2022-04-10T00:00:00Z"/>
        <d v="2022-04-07T00:00:00Z"/>
        <s v="25/04/2026"/>
        <d v="2026-03-10T00:00:00Z"/>
        <s v="20/09/2026"/>
        <d v="2023-11-09T00:00:00Z"/>
        <s v="27/01/2026"/>
        <s v="27/04/2024"/>
        <s v="16/01/2026"/>
        <s v="30/06/2025"/>
        <s v="18/06/2026"/>
        <s v="24/05/2025"/>
        <s v="15/11/2025"/>
        <d v="2023-06-01T00:00:00Z"/>
        <d v="2026-01-07T00:00:00Z"/>
        <d v="2023-06-07T00:00:00Z"/>
        <d v="2023-08-04T00:00:00Z"/>
        <d v="2022-01-05T00:00:00Z"/>
        <s v="25/09/2024"/>
        <s v="19/06/2026"/>
        <d v="2026-07-07T00:00:00Z"/>
        <s v="17/11/2027"/>
        <s v="21/02/2026"/>
        <s v="20/08/2023"/>
        <d v="2026-12-06T00:00:00Z"/>
        <s v="20/05/2025"/>
        <s v="31/05/2023"/>
        <d v="2025-06-06T00:00:00Z"/>
        <d v="2026-06-05T00:00:00Z"/>
        <s v="13/02/2023"/>
        <s v="20/11/2025"/>
        <s v="21/08/2024"/>
        <s v="19/04/2024"/>
        <d v="2022-06-12T00:00:00Z"/>
        <s v="25/10/2022"/>
        <s v="20/07/2024"/>
        <s v="27/09/2026"/>
        <s v="28/02/2026"/>
        <d v="2025-02-09T00:00:00Z"/>
        <s v="17/12/2025"/>
        <s v="15/10/2022"/>
        <s v="19/02/2027"/>
        <d v="2026-10-05T00:00:00Z"/>
        <s v="31/08/2024"/>
        <d v="2024-06-03T00:00:00Z"/>
        <d v="2025-09-01T00:00:00Z"/>
        <s v="30/11/2023"/>
        <d v="2026-09-07T00:00:00Z"/>
        <s v="13/10/2023"/>
        <d v="2023-04-07T00:00:00Z"/>
        <s v="23/06/2025"/>
        <s v="20/01/2028"/>
        <d v="2025-07-04T00:00:00Z"/>
        <d v="2024-11-04T00:00:00Z"/>
        <s v="22/05/2024"/>
        <s v="21/01/2026"/>
        <s v="28/08/2026"/>
        <d v="2022-11-05T00:00:00Z"/>
        <s v="26/01/2024"/>
        <s v="25/12/2025"/>
        <s v="20/03/2023"/>
        <d v="2024-11-01T00:00:00Z"/>
        <s v="19/03/2027"/>
        <s v="21/09/2023"/>
        <d v="2026-05-11T00:00:00Z"/>
        <s v="21/01/2025"/>
        <s v="22/06/2025"/>
        <d v="2024-08-01T00:00:00Z"/>
        <d v="2026-07-03T00:00:00Z"/>
        <s v="30/04/2023"/>
        <s v="28/05/2027"/>
        <s v="18/06/2023"/>
        <s v="27/12/2025"/>
        <s v="29/03/2027"/>
        <s v="17/10/2025"/>
        <s v="30/05/2026"/>
        <d v="2024-12-04T00:00:00Z"/>
        <s v="17/10/2028"/>
        <d v="2024-02-06T00:00:00Z"/>
        <s v="26/10/2023"/>
        <s v="18/09/2026"/>
        <d v="2026-04-01T00:00:00Z"/>
        <d v="2027-03-10T00:00:00Z"/>
        <d v="2026-05-08T00:00:00Z"/>
        <s v="28/11/2024"/>
        <d v="2023-04-11T00:00:00Z"/>
        <s v="25/09/2023"/>
        <d v="2028-12-06T00:00:00Z"/>
        <d v="2024-11-06T00:00:00Z"/>
        <d v="2024-07-11T00:00:00Z"/>
        <s v="14/10/2024"/>
        <s v="30/06/2027"/>
        <d v="2023-10-08T00:00:00Z"/>
        <s v="23/08/2025"/>
        <d v="2024-07-03T00:00:00Z"/>
        <s v="25/03/2024"/>
        <d v="2027-12-08T00:00:00Z"/>
        <d v="2025-03-10T00:00:00Z"/>
        <s v="30/09/2023"/>
        <s v="15/06/2026"/>
        <d v="2026-12-11T00:00:00Z"/>
        <d v="2024-06-05T00:00:00Z"/>
        <s v="17/09/2026"/>
        <d v="2024-10-04T00:00:00Z"/>
        <s v="25/06/2027"/>
        <d v="2026-11-02T00:00:00Z"/>
        <d v="2025-03-05T00:00:00Z"/>
        <d v="2024-06-11T00:00:00Z"/>
        <d v="2022-09-05T00:00:00Z"/>
        <s v="17/06/2022"/>
        <s v="23/07/2024"/>
        <s v="14/01/2023"/>
        <s v="30/06/2023"/>
        <s v="20/06/2027"/>
        <s v="13/08/2022"/>
        <s v="23/11/2023"/>
        <d v="2026-05-10T00:00:00Z"/>
        <s v="15/12/2025"/>
        <s v="25/03/2025"/>
        <d v="2027-11-08T00:00:00Z"/>
        <d v="2027-07-03T00:00:00Z"/>
        <d v="2028-08-02T00:00:00Z"/>
        <s v="17/03/2026"/>
        <s v="28/11/2025"/>
        <s v="13/07/2025"/>
        <d v="2025-12-12T00:00:00Z"/>
        <s v="29/11/2026"/>
        <s v="14/09/2022"/>
        <d v="2024-05-10T00:00:00Z"/>
        <s v="20/07/2026"/>
        <s v="30/11/2026"/>
        <s v="26/10/2025"/>
        <d v="2026-04-07T00:00:00Z"/>
        <d v="2026-03-04T00:00:00Z"/>
        <s v="18/02/2028"/>
        <s v="17/03/2025"/>
        <d v="2025-11-09T00:00:00Z"/>
        <s v="13/08/2024"/>
        <d v="2027-09-09T00:00:00Z"/>
        <s v="22/02/2023"/>
        <s v="30/08/2025"/>
        <s v="23/10/2023"/>
        <s v="29/12/2025"/>
        <s v="25/10/2025"/>
        <d v="2027-02-03T00:00:00Z"/>
        <s v="18/10/2023"/>
        <d v="2022-07-09T00:00:00Z"/>
        <s v="21/03/2025"/>
        <d v="2026-10-06T00:00:00Z"/>
        <s v="28/04/2024"/>
        <s v="24/04/2024"/>
        <s v="30/10/2027"/>
        <s v="28/03/2024"/>
        <s v="23/01/2023"/>
        <s v="22/02/2024"/>
        <s v="24/08/2025"/>
        <d v="2024-08-07T00:00:00Z"/>
        <s v="13/03/2025"/>
        <d v="2026-07-01T00:00:00Z"/>
        <d v="2025-05-11T00:00:00Z"/>
        <s v="23/12/2022"/>
        <s v="13/11/2023"/>
        <d v="2024-09-08T00:00:00Z"/>
        <s v="30/04/2026"/>
        <s v="26/09/2022"/>
        <s v="29/04/2022"/>
        <s v="27/11/2025"/>
        <s v="25/08/2024"/>
        <d v="2024-08-04T00:00:00Z"/>
        <s v="25/04/2025"/>
        <d v="2023-05-06T00:00:00Z"/>
        <d v="2022-05-06T00:00:00Z"/>
        <d v="2025-06-11T00:00:00Z"/>
        <d v="2025-08-03T00:00:00Z"/>
        <s v="16/04/2024"/>
        <d v="2026-06-02T00:00:00Z"/>
        <s v="31/10/2022"/>
        <s v="27/05/2025"/>
        <d v="2026-05-06T00:00:00Z"/>
        <s v="25/06/2024"/>
        <s v="17/07/2024"/>
        <s v="25/09/2025"/>
        <d v="2023-02-06T00:00:00Z"/>
        <s v="18/11/2023"/>
        <d v="2024-03-03T00:00:00Z"/>
        <d v="2026-03-03T00:00:00Z"/>
        <s v="17/09/2024"/>
        <s v="13/12/2023"/>
        <s v="28/03/2027"/>
        <d v="2025-06-04T00:00:00Z"/>
        <s v="19/11/2022"/>
        <d v="2022-04-06T00:00:00Z"/>
        <s v="16/10/2024"/>
        <d v="2027-11-12T00:00:00Z"/>
        <s v="19/12/2022"/>
        <d v="2024-04-03T00:00:00Z"/>
        <s v="24/01/2023"/>
        <d v="2024-07-12T00:00:00Z"/>
        <d v="2026-09-05T00:00:00Z"/>
        <d v="2026-07-10T00:00:00Z"/>
        <d v="2025-01-12T00:00:00Z"/>
        <s v="22/05/2023"/>
        <s v="16/04/2025"/>
        <s v="20/09/2023"/>
        <s v="30/09/2026"/>
        <s v="17/06/2025"/>
        <d v="2022-03-10T00:00:00Z"/>
        <s v="21/07/2025"/>
        <s v="20/03/2026"/>
        <s v="22/04/2026"/>
        <s v="27/01/2024"/>
        <s v="17/09/2023"/>
        <s v="22/05/2022"/>
        <d v="2026-09-03T00:00:00Z"/>
        <s v="24/10/2025"/>
        <d v="2024-10-02T00:00:00Z"/>
        <s v="16/03/2023"/>
        <s v="26/09/2024"/>
        <d v="2026-11-04T00:00:00Z"/>
        <s v="18/04/2023"/>
        <s v="13/09/2023"/>
        <s v="29/11/2024"/>
        <s v="26/10/2024"/>
        <s v="17/11/2025"/>
        <d v="2025-05-07T00:00:00Z"/>
        <d v="2023-11-11T00:00:00Z"/>
        <d v="2025-11-02T00:00:00Z"/>
        <s v="19/07/2023"/>
        <s v="20/06/2025"/>
        <s v="27/06/2025"/>
        <d v="2023-03-06T00:00:00Z"/>
        <s v="29/10/2024"/>
        <d v="2028-12-05T00:00:00Z"/>
        <d v="2023-06-12T00:00:00Z"/>
        <d v="2024-03-05T00:00:00Z"/>
        <s v="13/12/2024"/>
        <s v="14/09/2023"/>
        <d v="2025-08-04T00:00:00Z"/>
        <s v="16/08/2023"/>
        <d v="2025-10-05T00:00:00Z"/>
        <s v="18/09/2024"/>
        <s v="20/02/2024"/>
        <s v="18/05/2026"/>
        <d v="2022-12-09T00:00:00Z"/>
        <s v="23/06/2027"/>
        <d v="2022-02-04T00:00:00Z"/>
        <s v="27/08/2023"/>
        <d v="2023-09-12T00:00:00Z"/>
        <d v="2023-08-08T00:00:00Z"/>
        <s v="20/10/2023"/>
        <d v="2026-06-04T00:00:00Z"/>
        <d v="2024-02-11T00:00:00Z"/>
        <d v="2024-08-12T00:00:00Z"/>
        <d v="2027-03-11T00:00:00Z"/>
        <d v="2024-04-05T00:00:00Z"/>
        <s v="13/03/2023"/>
        <s v="13/05/2023"/>
        <s v="17/08/2026"/>
        <d v="2022-03-12T00:00:00Z"/>
        <s v="30/09/2025"/>
        <d v="2022-01-09T00:00:00Z"/>
        <s v="19/10/2026"/>
        <s v="17/01/2024"/>
        <s v="18/03/2026"/>
        <s v="21/11/2023"/>
        <d v="2024-10-06T00:00:00Z"/>
        <s v="22/07/2023"/>
        <s v="26/09/2025"/>
        <s v="22/12/2024"/>
        <s v="27/07/2025"/>
        <s v="14/04/2025"/>
        <s v="17/10/2022"/>
        <s v="22/11/2024"/>
        <d v="2026-01-12T00:00:00Z"/>
        <d v="2025-12-03T00:00:00Z"/>
        <s v="16/08/2025"/>
        <s v="22/08/2022"/>
        <d v="2024-05-08T00:00:00Z"/>
        <d v="2023-05-08T00:00:00Z"/>
        <s v="25/09/2026"/>
        <s v="28/07/2024"/>
        <d v="2022-11-10T00:00:00Z"/>
        <s v="13/04/2022"/>
        <s v="15/07/2023"/>
        <d v="2026-04-11T00:00:00Z"/>
        <d v="2023-03-09T00:00:00Z"/>
        <s v="18/06/2025"/>
        <d v="2025-03-01T00:00:00Z"/>
        <s v="19/06/2024"/>
        <s v="19/03/2025"/>
        <s v="29/03/2026"/>
        <s v="20/04/2025"/>
        <s v="14/12/2025"/>
        <s v="24/11/2024"/>
        <s v="24/09/2023"/>
        <s v="19/12/2024"/>
        <s v="13/01/2027"/>
        <s v="29/07/2028"/>
        <d v="2023-04-01T00:00:00Z"/>
        <s v="28/01/2024"/>
        <s v="22/09/2024"/>
        <d v="2022-11-06T00:00:00Z"/>
        <d v="2022-03-11T00:00:00Z"/>
        <d v="2025-07-06T00:00:00Z"/>
        <s v="24/02/2023"/>
        <s v="20/12/2024"/>
        <s v="21/03/2026"/>
        <d v="2024-03-02T00:00:00Z"/>
        <d v="2023-07-06T00:00:00Z"/>
        <d v="2024-03-06T00:00:00Z"/>
        <s v="26/08/2024"/>
        <d v="2024-04-10T00:00:00Z"/>
        <d v="2025-11-08T00:00:00Z"/>
        <d v="2023-09-09T00:00:00Z"/>
        <d v="2024-04-07T00:00:00Z"/>
        <d v="2023-07-01T00:00:00Z"/>
        <d v="2025-10-11T00:00:00Z"/>
        <d v="2023-06-10T00:00:00Z"/>
        <d v="2026-04-05T00:00:00Z"/>
        <d v="2023-07-12T00:00:00Z"/>
        <s v="30/05/2023"/>
        <s v="14/04/2029"/>
        <d v="2024-01-10T00:00:00Z"/>
        <s v="30/07/2024"/>
        <s v="27/05/2024"/>
        <d v="2025-02-10T00:00:00Z"/>
        <s v="29/08/2026"/>
        <s v="30/10/2024"/>
        <d v="2025-01-07T00:00:00Z"/>
        <d v="2027-08-08T00:00:00Z"/>
        <s v="24/11/2022"/>
        <d v="2023-12-06T00:00:00Z"/>
        <s v="31/12/2025"/>
        <d v="2022-11-07T00:00:00Z"/>
        <s v="27/10/2023"/>
        <d v="2023-12-07T00:00:00Z"/>
        <d v="2025-02-07T00:00:00Z"/>
        <d v="2027-01-07T00:00:00Z"/>
        <s v="29/06/2027"/>
        <d v="2025-10-10T00:00:00Z"/>
        <s v="30/05/2024"/>
        <s v="19/01/2026"/>
        <s v="21/06/2026"/>
        <s v="13/04/2027"/>
        <d v="2026-08-11T00:00:00Z"/>
        <s v="22/09/2023"/>
        <s v="13/02/2025"/>
        <d v="2026-12-12T00:00:00Z"/>
        <s v="17/11/2024"/>
        <s v="17/12/2024"/>
        <s v="19/05/2024"/>
        <d v="2026-10-10T00:00:00Z"/>
        <s v="28/11/2022"/>
        <s v="30/11/2024"/>
        <s v="27/04/2023"/>
        <s v="16/06/2026"/>
        <d v="2026-12-04T00:00:00Z"/>
        <d v="2024-06-07T00:00:00Z"/>
        <s v="24/10/2022"/>
        <d v="2024-11-05T00:00:00Z"/>
        <s v="19/01/2024"/>
        <s v="29/11/2023"/>
        <s v="28/08/2024"/>
        <s v="24/02/2026"/>
        <d v="2022-07-06T00:00:00Z"/>
        <d v="2025-11-03T00:00:00Z"/>
        <s v="22/09/2022"/>
        <s v="29/06/2022"/>
        <s v="29/01/2025"/>
        <d v="2025-05-01T00:00:00Z"/>
        <s v="26/07/2025"/>
        <d v="2026-01-09T00:00:00Z"/>
      </sharedItems>
    </cacheField>
    <cacheField name="Churn_Status" numFmtId="0">
      <sharedItems>
        <s v="Churned"/>
        <s v="Active"/>
        <s v="Yes"/>
        <s v="No"/>
      </sharedItems>
    </cacheField>
    <cacheField name="Primary_Product" numFmtId="0">
      <sharedItems>
        <s v="Cloud Storage"/>
        <s v="Automation"/>
        <s v="Collaboration"/>
        <s v="Security"/>
        <s v="Analytics"/>
        <s v=""/>
      </sharedItems>
    </cacheField>
    <cacheField name="Satisfaction_Group" numFmtId="0">
      <sharedItems>
        <s v="Moderate"/>
        <s v="Low"/>
        <s v=""/>
        <s v="High"/>
        <s v="Very High"/>
      </sharedItems>
    </cacheField>
    <cacheField name="Usage_Group" numFmtId="0">
      <sharedItems>
        <s v="Median or Above"/>
        <s v="Below Median"/>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1809" sheet="Cleaned_Data"/>
  </cacheSource>
  <cacheFields>
    <cacheField name="Customer_ID" numFmtId="0">
      <sharedItems>
        <s v="C01310"/>
        <s v="C00477"/>
        <s v="C01564"/>
        <s v="C00741"/>
        <s v="C01438"/>
        <s v="C00549"/>
        <s v="C00539"/>
        <s v="C01221"/>
        <s v="C00007"/>
        <s v="C00230"/>
        <s v="C00543"/>
        <s v="C00693"/>
        <s v="C00439"/>
        <s v="C00125"/>
        <s v="C00201"/>
        <s v="C00932"/>
        <s v="C01197"/>
        <s v="C00082"/>
        <s v="C00937"/>
        <s v="C00898"/>
        <s v="C01470"/>
        <s v="C00331"/>
        <s v="C00747"/>
        <s v="C00368"/>
        <s v="C00467"/>
        <s v="C01190"/>
        <s v="C00004"/>
        <s v="C01428"/>
        <s v="C01188"/>
        <s v="C00461"/>
        <s v="C01538"/>
        <s v="C01220"/>
        <s v="C01569"/>
        <s v="C00132"/>
        <s v="C01544"/>
        <s v="C01484"/>
        <s v="C00777"/>
        <s v="C01600"/>
        <s v="C00344"/>
        <s v="C00209"/>
        <s v="C00742"/>
        <s v="C00924"/>
        <s v="C01139"/>
        <s v="C00829"/>
        <s v="C00248"/>
        <s v="C00740"/>
        <s v="C00981"/>
        <s v="C00175"/>
        <s v="C01272"/>
        <s v="C01412"/>
        <s v="C01327"/>
        <s v="C00558"/>
        <s v="C00083"/>
        <s v="C00330"/>
        <s v="C01347"/>
        <s v="C00249"/>
        <s v="C01043"/>
        <s v="C01040"/>
        <s v="C00660"/>
        <s v="C01209"/>
        <s v="C01419"/>
        <s v="C00466"/>
        <s v="C00883"/>
        <s v="C00945"/>
        <s v="C00936"/>
        <s v="C01160"/>
        <s v="C00748"/>
        <s v="C00236"/>
        <s v="C00755"/>
        <s v="C01436"/>
        <s v="C00859"/>
        <s v="C01405"/>
        <s v="C01157"/>
        <s v="C00514"/>
        <s v="C01078"/>
        <s v="C00939"/>
        <s v="C00259"/>
        <s v="C00695"/>
        <s v="C00198"/>
        <s v="C01184"/>
        <s v="C00054"/>
        <s v="C01529"/>
        <s v="C00102"/>
        <s v="C00997"/>
        <s v="C00360"/>
        <s v="C01175"/>
        <s v="C00821"/>
        <s v="C00484"/>
        <s v="C00662"/>
        <s v="C00117"/>
        <s v="C01240"/>
        <s v="C00326"/>
        <s v="C00582"/>
        <s v="C00262"/>
        <s v="C00208"/>
        <s v="C00910"/>
        <s v="C00858"/>
        <s v="C00921"/>
        <s v="C00653"/>
        <s v="C00307"/>
        <s v="C00034"/>
        <s v="C01581"/>
        <s v="C00601"/>
        <s v="C00560"/>
        <s v="C00882"/>
        <s v="C01260"/>
        <s v="C01085"/>
        <s v="C00440"/>
        <s v="C00595"/>
        <s v="C00756"/>
        <s v="C01316"/>
        <s v="C00338"/>
        <s v="C01266"/>
        <s v="C00852"/>
        <s v="C00496"/>
        <s v="C01563"/>
        <s v="C00577"/>
        <s v="C01151"/>
        <s v="C00672"/>
        <s v="C00854"/>
        <s v="C01173"/>
        <s v="C01357"/>
        <s v="C00612"/>
        <s v="C00778"/>
        <s v="C01152"/>
        <s v="C00206"/>
        <s v="C00476"/>
        <s v="C00687"/>
        <s v="C01472"/>
        <s v="C00379"/>
        <s v="C00128"/>
        <s v="C00980"/>
        <s v="C00915"/>
        <s v="C01002"/>
        <s v="C01185"/>
        <s v="C00767"/>
        <s v="C00261"/>
        <s v="C01485"/>
        <s v="C00899"/>
        <s v="C00453"/>
        <s v="C01086"/>
        <s v="C01235"/>
        <s v="C01530"/>
        <s v="C01019"/>
        <s v="C01187"/>
        <s v="C00944"/>
        <s v="C00845"/>
        <s v="C01090"/>
        <s v="C01270"/>
        <s v="C00831"/>
        <s v="C01418"/>
        <s v="C00158"/>
        <s v="C00156"/>
        <s v="C01354"/>
        <s v="C00011"/>
        <s v="C00191"/>
        <s v="C01010"/>
        <s v="C00014"/>
        <s v="C00654"/>
        <s v="C01451"/>
        <s v="C00773"/>
        <s v="C00341"/>
        <s v="C01582"/>
        <s v="C00990"/>
        <s v="C01517"/>
        <s v="C01374"/>
        <s v="C00489"/>
        <s v="C01137"/>
        <s v="C00838"/>
        <s v="C01599"/>
        <s v="C01508"/>
        <s v="C01456"/>
        <s v="C00292"/>
        <s v="C01497"/>
        <s v="C01332"/>
        <s v="C00880"/>
        <s v="C00979"/>
        <s v="C01250"/>
        <s v="C01496"/>
        <s v="C00421"/>
        <s v="C01165"/>
        <s v="C01572"/>
        <s v="C01202"/>
        <s v="C01437"/>
        <s v="C01176"/>
        <s v="C00460"/>
        <s v="C00953"/>
        <s v="C01583"/>
        <s v="C00213"/>
        <s v="C00196"/>
        <s v="C00928"/>
        <s v="C00926"/>
        <s v="C00729"/>
        <s v="C00127"/>
        <s v="C00264"/>
        <s v="C00564"/>
        <s v="C00282"/>
        <s v="C01029"/>
        <s v="C01212"/>
        <s v="C00041"/>
        <s v="C00149"/>
        <s v="C00731"/>
        <s v="C00512"/>
        <s v="C01479"/>
        <s v="C00984"/>
        <s v="C00176"/>
        <s v="C01463"/>
        <s v="C01285"/>
        <s v="C01071"/>
        <s v="C01172"/>
        <s v="C00763"/>
        <s v="C01239"/>
        <s v="C00827"/>
        <s v="C01302"/>
        <s v="C00584"/>
        <s v="C00271"/>
        <s v="C01278"/>
        <s v="C00568"/>
        <s v="C00371"/>
        <s v="C00862"/>
        <s v="C01395"/>
        <s v="C01293"/>
        <s v="C01421"/>
        <s v="C01004"/>
        <s v="C00769"/>
        <s v="C00972"/>
        <s v="C00242"/>
        <s v="C01017"/>
        <s v="C00525"/>
        <s v="C01553"/>
        <s v="C00935"/>
        <s v="C00372"/>
        <s v="C00026"/>
        <s v="C00024"/>
        <s v="C00482"/>
        <s v="C01125"/>
        <s v="C01009"/>
        <s v="C00253"/>
        <s v="C00356"/>
        <s v="C00283"/>
        <s v="C01455"/>
        <s v="C00052"/>
        <s v="C00927"/>
        <s v="C01131"/>
        <s v="C00920"/>
        <s v="C00956"/>
        <s v="C00451"/>
        <s v="C01087"/>
        <s v="C01483"/>
        <s v="C01584"/>
        <s v="C00078"/>
        <s v="C01379"/>
        <s v="C00023"/>
        <s v="C01376"/>
        <s v="C00996"/>
        <s v="C01459"/>
        <s v="C00168"/>
        <s v="C01130"/>
        <s v="C00746"/>
        <s v="C01329"/>
        <s v="C00516"/>
        <s v="C00434"/>
        <s v="C00046"/>
        <s v="C01155"/>
        <s v="C00975"/>
        <s v="C00879"/>
        <s v="C01226"/>
        <s v="C01335"/>
        <s v="C00991"/>
        <s v="C01128"/>
        <s v="C00586"/>
        <s v="C00724"/>
        <s v="C00399"/>
        <s v="C00513"/>
        <s v="C01387"/>
        <s v="C00643"/>
        <s v="C00563"/>
        <s v="C00807"/>
        <s v="C00384"/>
        <s v="C01171"/>
        <s v="C00276"/>
        <s v="C00533"/>
        <s v="C00358"/>
        <s v="C01067"/>
        <s v="C01124"/>
        <s v="C01284"/>
        <s v="C01211"/>
        <s v="C00022"/>
        <s v="C01123"/>
        <s v="C01059"/>
        <s v="C01008"/>
        <s v="C01011"/>
        <s v="C00963"/>
        <s v="C01506"/>
        <s v="C00407"/>
        <s v="C01191"/>
        <s v="C00220"/>
        <s v="C01145"/>
        <s v="C00606"/>
        <s v="C00794"/>
        <s v="C00414"/>
        <s v="C00027"/>
        <s v="C01504"/>
        <s v="C01535"/>
        <s v="C00045"/>
        <s v="C00446"/>
        <s v="C00890"/>
        <s v="C00670"/>
        <s v="C01150"/>
        <s v="C01217"/>
        <s v="C00231"/>
        <s v="C00418"/>
        <s v="C00412"/>
        <s v="C01042"/>
        <s v="C00311"/>
        <s v="C00139"/>
        <s v="C01562"/>
        <s v="C00900"/>
        <s v="C01099"/>
        <s v="C00624"/>
        <s v="C00278"/>
        <s v="C01574"/>
        <s v="C00241"/>
        <s v="C00930"/>
        <s v="C00076"/>
        <s v="C01423"/>
        <s v="C01448"/>
        <s v="C01148"/>
        <s v="C00948"/>
        <s v="C00064"/>
        <s v="C00487"/>
        <s v="C01025"/>
        <s v="C01462"/>
        <s v="C00658"/>
        <s v="C00424"/>
        <s v="C01384"/>
        <s v="C00161"/>
        <s v="C00529"/>
        <s v="C01238"/>
        <s v="C01515"/>
        <s v="C01013"/>
        <s v="C00401"/>
        <s v="C00603"/>
        <s v="C01281"/>
        <s v="C00869"/>
        <s v="C00968"/>
        <s v="C01424"/>
        <s v="C00994"/>
        <s v="C01251"/>
        <s v="C00642"/>
        <s v="C00189"/>
        <s v="C00604"/>
        <s v="C00682"/>
        <s v="C01258"/>
        <s v="C01558"/>
        <s v="C00287"/>
        <s v="C00692"/>
        <s v="C01340"/>
        <s v="C01192"/>
        <s v="C01254"/>
        <s v="C00567"/>
        <s v="C00685"/>
        <s v="C00668"/>
        <s v="C00993"/>
        <s v="C01133"/>
        <s v="C00456"/>
        <s v="C01144"/>
        <s v="C00608"/>
        <s v="C00954"/>
        <s v="C01511"/>
        <s v="C01454"/>
        <s v="C00628"/>
        <s v="C00764"/>
        <s v="C01326"/>
        <s v="C01389"/>
        <s v="C00172"/>
        <s v="C00791"/>
        <s v="C01493"/>
        <s v="C00849"/>
        <s v="C01516"/>
        <s v="C00059"/>
        <s v="C00036"/>
        <s v="C00598"/>
        <s v="C00295"/>
        <s v="C01525"/>
        <s v="C00088"/>
        <s v="C00901"/>
        <s v="C00877"/>
        <s v="C00245"/>
        <s v="C00571"/>
        <s v="C01287"/>
        <s v="C01557"/>
        <s v="C00786"/>
        <s v="C01466"/>
        <s v="C01014"/>
        <s v="C00200"/>
        <s v="C01169"/>
        <s v="C00690"/>
        <s v="C00410"/>
        <s v="C00894"/>
        <s v="C01233"/>
        <s v="C01069"/>
        <s v="C00359"/>
        <s v="C00297"/>
        <s v="C01404"/>
        <s v="C01571"/>
        <s v="C00721"/>
        <s v="C01180"/>
        <s v="C00671"/>
        <s v="C00243"/>
        <s v="C01461"/>
        <s v="C00074"/>
        <s v="C00254"/>
        <s v="C00943"/>
        <s v="C00795"/>
        <s v="C01072"/>
        <s v="C01575"/>
        <s v="C00033"/>
        <s v="C00239"/>
        <s v="C01292"/>
        <s v="C00039"/>
        <s v="C00962"/>
        <s v="C00207"/>
        <s v="C01265"/>
        <s v="C01548"/>
        <s v="C01561"/>
        <s v="C00351"/>
        <s v="C00940"/>
        <s v="C01177"/>
        <s v="C01115"/>
        <s v="C00931"/>
        <s v="C01205"/>
        <s v="C00265"/>
        <s v="C00005"/>
        <s v="C01034"/>
        <s v="C01552"/>
        <s v="C00174"/>
        <s v="C01110"/>
        <s v="C00611"/>
        <s v="C00952"/>
        <s v="C01154"/>
        <s v="C00504"/>
        <s v="C01573"/>
        <s v="C00480"/>
        <s v="C00350"/>
        <s v="C01259"/>
        <s v="C01478"/>
        <s v="C00153"/>
        <s v="C00911"/>
        <s v="C00703"/>
        <s v="C00141"/>
        <s v="C00378"/>
        <s v="C00449"/>
        <s v="C00431"/>
        <s v="C01091"/>
        <s v="C01290"/>
        <s v="C01022"/>
        <s v="C00481"/>
        <s v="C01196"/>
        <s v="C00479"/>
        <s v="C01119"/>
        <s v="C00535"/>
        <s v="C00768"/>
        <s v="C00066"/>
        <s v="C00973"/>
        <s v="C00565"/>
        <s v="C00590"/>
        <s v="C01431"/>
        <s v="C00157"/>
        <s v="C00813"/>
        <s v="C00572"/>
        <s v="C00734"/>
        <s v="C00452"/>
        <s v="C01032"/>
        <s v="C01501"/>
        <s v="C00133"/>
        <s v="C00638"/>
        <s v="C00774"/>
        <s v="C00313"/>
        <s v="C00333"/>
        <s v="C01026"/>
        <s v="C00406"/>
        <s v="C01304"/>
        <s v="C01363"/>
        <s v="C01397"/>
        <s v="C00053"/>
        <s v="C00035"/>
        <s v="C00914"/>
        <s v="C01319"/>
        <s v="C00183"/>
        <s v="C00868"/>
        <s v="C01024"/>
        <s v="C01443"/>
        <s v="C00111"/>
        <s v="C01390"/>
        <s v="C00889"/>
        <s v="C01215"/>
        <s v="C00736"/>
        <s v="C00561"/>
        <s v="C00578"/>
        <s v="C00020"/>
        <s v="C00725"/>
        <s v="C01495"/>
        <s v="C01430"/>
        <s v="C01084"/>
        <s v="C00223"/>
        <s v="C00065"/>
        <s v="C00270"/>
        <s v="C00394"/>
        <s v="C00875"/>
        <s v="C00435"/>
        <s v="C01578"/>
        <s v="C00268"/>
        <s v="C01093"/>
        <s v="C01051"/>
        <s v="C00569"/>
        <s v="C00541"/>
        <s v="C00218"/>
        <s v="C01408"/>
        <s v="C00028"/>
        <s v="C00211"/>
        <s v="C00348"/>
        <s v="C01229"/>
        <s v="C01094"/>
        <s v="C00301"/>
        <s v="C00743"/>
        <s v="C00266"/>
        <s v="C00738"/>
        <s v="C01121"/>
        <s v="C00970"/>
        <s v="C00325"/>
        <s v="C00299"/>
        <s v="C00517"/>
        <s v="C00190"/>
        <s v="C00021"/>
        <s v="C00233"/>
        <s v="C01231"/>
        <s v="C00848"/>
        <s v="C01112"/>
        <s v="C00843"/>
        <s v="C00781"/>
        <s v="C00896"/>
        <s v="C00383"/>
        <s v="C00212"/>
        <s v="C01061"/>
        <s v="C00340"/>
        <s v="C00343"/>
        <s v="C00136"/>
        <s v="C00037"/>
        <s v="C00459"/>
        <s v="C00227"/>
        <s v="C01543"/>
        <s v="C01457"/>
        <s v="C00959"/>
        <s v="C01041"/>
        <s v="C01245"/>
        <s v="C00093"/>
        <s v="C01359"/>
        <s v="C00303"/>
        <s v="C01309"/>
        <s v="C00391"/>
        <s v="C00594"/>
        <s v="C00722"/>
        <s v="C01199"/>
        <s v="C01118"/>
        <s v="C00841"/>
        <s v="C00458"/>
        <s v="C01368"/>
        <s v="C00798"/>
        <s v="C00432"/>
        <s v="C00140"/>
        <s v="C00713"/>
        <s v="C00216"/>
        <s v="C00709"/>
        <s v="C00884"/>
        <s v="C00881"/>
        <s v="C00846"/>
        <s v="C00600"/>
        <s v="C00473"/>
        <s v="C01352"/>
        <s v="C01338"/>
        <s v="C00447"/>
        <s v="C00147"/>
        <s v="C00308"/>
        <s v="C01066"/>
        <s v="C00912"/>
        <s v="C01591"/>
        <s v="C00032"/>
        <s v="C00758"/>
        <s v="C00712"/>
        <s v="C00197"/>
        <s v="C00162"/>
        <s v="C00651"/>
        <s v="C00579"/>
        <s v="C01409"/>
        <s v="C01225"/>
        <s v="C00536"/>
        <s v="C00840"/>
        <s v="C00766"/>
        <s v="C00618"/>
        <s v="C00619"/>
        <s v="C01038"/>
        <s v="C00977"/>
        <s v="C01534"/>
        <s v="C01218"/>
        <s v="C01048"/>
        <s v="C00365"/>
        <s v="C00562"/>
        <s v="C01446"/>
        <s v="C00955"/>
        <s v="C00167"/>
        <s v="C00463"/>
        <s v="C01522"/>
        <s v="C00957"/>
        <s v="C00989"/>
        <s v="C01223"/>
        <s v="C00411"/>
        <s v="C00205"/>
        <s v="C00580"/>
        <s v="C00793"/>
        <s v="C00923"/>
        <s v="C00084"/>
        <s v="C01429"/>
        <s v="C01382"/>
        <s v="C00776"/>
        <s v="C00322"/>
        <s v="C01268"/>
        <s v="C01183"/>
        <s v="C00015"/>
        <s v="C00816"/>
        <s v="C01345"/>
        <s v="C00605"/>
        <s v="C00527"/>
        <s v="C00634"/>
        <s v="C00817"/>
        <s v="C01413"/>
        <s v="C00441"/>
        <s v="C00555"/>
        <s v="C01282"/>
        <s v="C00194"/>
        <s v="C01403"/>
        <s v="C00012"/>
        <s v="C00784"/>
        <s v="C01588"/>
        <s v="C00288"/>
        <s v="C00523"/>
        <s v="C01540"/>
        <s v="C00044"/>
        <s v="C01577"/>
        <s v="C01348"/>
        <s v="C00780"/>
        <s v="C00544"/>
        <s v="C00457"/>
        <s v="C00691"/>
        <s v="C01113"/>
        <s v="C00374"/>
        <s v="C00985"/>
        <s v="C01487"/>
        <s v="C00256"/>
        <s v="C01554"/>
        <s v="C01378"/>
        <s v="C00665"/>
        <s v="C01103"/>
        <s v="C00902"/>
        <s v="C00819"/>
        <s v="C01186"/>
        <s v="C00635"/>
        <s v="C01587"/>
        <s v="C00680"/>
        <s v="C00364"/>
        <s v="C00042"/>
        <s v="C00354"/>
        <s v="C01275"/>
        <s v="C01081"/>
        <s v="C00150"/>
        <s v="C00799"/>
        <s v="C00839"/>
        <s v="C00145"/>
        <s v="C00090"/>
        <s v="C00229"/>
        <s v="C00120"/>
        <s v="C00796"/>
        <s v="C00832"/>
        <s v="C00409"/>
        <s v="C01528"/>
        <s v="C01385"/>
        <s v="C01434"/>
        <s v="C01410"/>
        <s v="C01388"/>
        <s v="C00347"/>
        <s v="C00559"/>
        <s v="C00922"/>
        <s v="C00405"/>
        <s v="C01179"/>
        <s v="C00946"/>
        <s v="C00749"/>
        <s v="C00694"/>
        <s v="C00855"/>
        <s v="C01296"/>
        <s v="C01006"/>
        <s v="C01073"/>
        <s v="C01127"/>
        <s v="C00312"/>
        <s v="C01333"/>
        <s v="C01556"/>
        <s v="C00444"/>
        <s v="C00160"/>
        <s v="C01323"/>
        <s v="C00247"/>
        <s v="C01498"/>
        <s v="C01473"/>
        <s v="C00834"/>
        <s v="C01339"/>
        <s v="C01407"/>
        <s v="C01399"/>
        <s v="C00043"/>
        <s v="C00847"/>
        <s v="C01298"/>
        <s v="C00462"/>
        <s v="C01044"/>
        <s v="C00757"/>
        <s v="C01398"/>
        <s v="C00286"/>
        <s v="C00518"/>
        <s v="C00545"/>
        <s v="C00296"/>
        <s v="C01406"/>
        <s v="C00714"/>
        <s v="C00075"/>
        <s v="C00442"/>
        <s v="C00761"/>
        <s v="C00553"/>
        <s v="C00105"/>
        <s v="C01499"/>
        <s v="C00397"/>
        <s v="C00319"/>
        <s v="C00304"/>
        <s v="C00497"/>
        <s v="C00631"/>
        <s v="C01216"/>
        <s v="C00597"/>
        <s v="C00221"/>
        <s v="C00321"/>
        <s v="C01349"/>
        <s v="C00415"/>
        <s v="C00098"/>
        <s v="C01355"/>
        <s v="C01567"/>
        <s v="C00388"/>
        <s v="C00697"/>
        <s v="C01142"/>
        <s v="C00646"/>
        <s v="C01088"/>
        <s v="C00164"/>
        <s v="C00219"/>
        <s v="C01122"/>
        <s v="C01263"/>
        <s v="C00272"/>
        <s v="C01469"/>
        <s v="C01394"/>
        <s v="C01576"/>
        <s v="C01257"/>
        <s v="C00666"/>
        <s v="C00526"/>
        <s v="C00091"/>
        <s v="C00751"/>
        <s v="C01353"/>
        <s v="C00187"/>
        <s v="C00104"/>
        <s v="C00068"/>
        <s v="C00202"/>
        <s v="C00958"/>
        <s v="C01132"/>
        <s v="C00290"/>
        <s v="C00596"/>
        <s v="C01380"/>
        <s v="C00809"/>
        <s v="C00188"/>
        <s v="C00754"/>
        <s v="C00814"/>
        <s v="C00238"/>
        <s v="C01322"/>
        <s v="C00593"/>
        <s v="C01315"/>
        <s v="C01167"/>
        <s v="C01143"/>
        <s v="C01243"/>
        <s v="C00775"/>
        <s v="C00402"/>
        <s v="C00644"/>
        <s v="C00485"/>
        <s v="C00897"/>
        <s v="C01514"/>
        <s v="C00177"/>
        <s v="C01163"/>
        <s v="C01049"/>
        <s v="C00917"/>
        <s v="C00652"/>
        <s v="C00352"/>
        <s v="C00750"/>
        <s v="C00246"/>
        <s v="C00808"/>
        <s v="C00785"/>
        <s v="C01045"/>
        <s v="C01420"/>
        <s v="C00583"/>
        <s v="C00294"/>
        <s v="C00949"/>
        <s v="C00804"/>
        <s v="C00060"/>
        <s v="C00251"/>
        <s v="C00960"/>
        <s v="C01367"/>
        <s v="C01360"/>
        <s v="C00510"/>
        <s v="C01222"/>
        <s v="C00267"/>
        <s v="C00505"/>
        <s v="C01135"/>
        <s v="C01460"/>
        <s v="C01158"/>
        <s v="C01547"/>
        <s v="C01551"/>
        <s v="C01018"/>
        <s v="C00305"/>
        <s v="C01372"/>
        <s v="C01402"/>
        <s v="C00623"/>
        <s v="C00532"/>
        <s v="C00324"/>
        <s v="C00089"/>
        <s v="C01427"/>
        <s v="C00001"/>
        <s v="C00537"/>
        <s v="C01531"/>
        <s v="C00255"/>
        <s v="C00016"/>
        <s v="C00800"/>
        <s v="C01361"/>
        <s v="C01035"/>
        <s v="C01100"/>
        <s v="C01440"/>
        <s v="C00566"/>
        <s v="C00760"/>
        <s v="C01477"/>
        <s v="C00109"/>
        <s v="C00720"/>
        <s v="C01524"/>
        <s v="C00010"/>
        <s v="C00080"/>
        <s v="C00327"/>
        <s v="C01365"/>
        <s v="C00711"/>
        <s v="C01414"/>
        <s v="C00193"/>
        <s v="C00978"/>
        <s v="C01432"/>
        <s v="C01439"/>
        <s v="C01053"/>
        <s v="C00122"/>
        <s v="C01020"/>
        <s v="C00520"/>
        <s v="C01252"/>
        <s v="C01193"/>
        <s v="C01435"/>
        <s v="C01391"/>
        <s v="C00540"/>
        <s v="C00534"/>
        <s v="C01156"/>
        <s v="C01161"/>
        <s v="C00051"/>
        <s v="C00250"/>
        <s v="C01261"/>
        <s v="C01416"/>
        <s v="C01321"/>
        <s v="C01373"/>
        <s v="C00502"/>
        <s v="C01346"/>
        <s v="C00148"/>
        <s v="C01425"/>
        <s v="C00674"/>
        <s v="C00811"/>
        <s v="C00874"/>
        <s v="C00626"/>
        <s v="C01482"/>
        <s v="C01503"/>
        <s v="C01249"/>
        <s v="C00419"/>
        <s v="C00291"/>
        <s v="C00696"/>
        <s v="C00925"/>
        <s v="C00315"/>
        <s v="C00363"/>
        <s v="C01023"/>
        <s v="C00154"/>
        <s v="C00228"/>
        <s v="C01105"/>
        <s v="C00728"/>
        <s v="C01273"/>
        <s v="C01178"/>
        <s v="C01565"/>
        <s v="C00812"/>
        <s v="C00058"/>
        <s v="C01140"/>
        <s v="C00030"/>
        <s v="C00621"/>
        <s v="C00872"/>
        <s v="C00632"/>
        <s v="C00063"/>
        <s v="C01037"/>
        <s v="C00730"/>
        <s v="C00430"/>
        <s v="C00349"/>
        <s v="C00423"/>
        <s v="C00097"/>
        <s v="C00630"/>
        <s v="C01364"/>
        <s v="C00805"/>
        <s v="C01097"/>
        <s v="C00403"/>
        <s v="C00134"/>
        <s v="C00515"/>
        <s v="C00342"/>
        <s v="C00106"/>
        <s v="C00115"/>
        <s v="C00389"/>
        <s v="C00971"/>
        <s v="C00370"/>
        <s v="C00615"/>
        <s v="C00655"/>
        <s v="C00260"/>
        <s v="C00006"/>
        <s v="C01422"/>
        <s v="C01441"/>
        <s v="C01305"/>
        <s v="C01276"/>
        <s v="C00850"/>
        <s v="C00465"/>
        <s v="C01474"/>
        <s v="C00787"/>
        <s v="C00906"/>
        <s v="C00825"/>
        <s v="C00107"/>
        <s v="C00323"/>
        <s v="C00367"/>
        <s v="C01195"/>
        <s v="C00888"/>
        <s v="C01512"/>
        <s v="C00275"/>
        <s v="C01060"/>
        <s v="C01510"/>
        <s v="C00345"/>
        <s v="C00108"/>
        <s v="C00951"/>
        <s v="C00878"/>
        <s v="C00085"/>
        <s v="C00797"/>
        <s v="C00625"/>
        <s v="C01111"/>
        <s v="C01064"/>
        <s v="C01331"/>
        <s v="C00965"/>
        <s v="C00867"/>
        <s v="C00938"/>
        <s v="C00320"/>
        <s v="C01545"/>
        <s v="C01596"/>
        <s v="C00070"/>
        <s v="C01107"/>
        <s v="C01330"/>
        <s v="C01248"/>
        <s v="C00395"/>
        <s v="C00639"/>
        <s v="C01246"/>
        <s v="C00114"/>
        <s v="C01344"/>
        <s v="C00822"/>
        <s v="C01313"/>
        <s v="C01291"/>
        <s v="C01236"/>
        <s v="C01274"/>
        <s v="C00679"/>
        <s v="C00143"/>
        <s v="C00448"/>
        <s v="C01491"/>
        <s v="C01447"/>
        <s v="C00591"/>
        <s v="C01317"/>
        <s v="C00627"/>
        <s v="C00008"/>
        <s v="C00413"/>
        <s v="C00436"/>
        <s v="C00225"/>
        <s v="C00640"/>
        <s v="C01052"/>
        <s v="C00941"/>
        <s v="C01294"/>
        <s v="C00055"/>
        <s v="C01134"/>
        <s v="C00244"/>
        <s v="C00280"/>
        <s v="C00708"/>
        <s v="C01579"/>
        <s v="C00263"/>
        <s v="C00433"/>
        <s v="C00131"/>
        <s v="C00173"/>
        <s v="C00501"/>
        <s v="C00077"/>
        <s v="C00155"/>
        <s v="C00664"/>
        <s v="C00607"/>
        <s v="C00587"/>
        <s v="C01356"/>
        <s v="C00976"/>
        <s v="C00967"/>
        <s v="C01570"/>
        <s v="C00029"/>
        <s v="C00493"/>
        <s v="C00613"/>
        <s v="C00552"/>
        <s v="C01271"/>
        <s v="C00165"/>
        <s v="C00425"/>
        <s v="C00302"/>
        <s v="C01586"/>
        <s v="C01475"/>
        <s v="C00159"/>
        <s v="C01182"/>
        <s v="C00392"/>
        <s v="C00782"/>
        <s v="C00790"/>
        <s v="C01465"/>
        <s v="C01337"/>
        <s v="C00222"/>
        <s v="C00863"/>
        <s v="C00019"/>
        <s v="C00592"/>
        <s v="C00636"/>
        <s v="C01141"/>
        <s v="C00823"/>
        <s v="C00614"/>
        <s v="C01580"/>
        <s v="C01513"/>
        <s v="C01146"/>
        <s v="C00376"/>
        <s v="C01295"/>
        <s v="C01411"/>
        <s v="C00178"/>
        <s v="C00575"/>
        <s v="C01392"/>
        <s v="C01594"/>
        <s v="C00765"/>
        <s v="C00071"/>
        <s v="C01101"/>
        <s v="C00048"/>
        <s v="C00745"/>
        <s v="C00853"/>
        <s v="C00056"/>
        <s v="C00119"/>
        <s v="C01256"/>
        <s v="C00833"/>
        <s v="C00234"/>
        <s v="C01536"/>
        <s v="C01237"/>
        <s v="C01068"/>
        <s v="C00361"/>
        <s v="C00964"/>
        <s v="C01324"/>
        <s v="C00633"/>
        <s v="C01050"/>
        <s v="C01166"/>
        <s v="C00169"/>
        <s v="C01104"/>
        <s v="C00683"/>
        <s v="C00067"/>
      </sharedItems>
    </cacheField>
    <cacheField name="Customer_Name" numFmtId="0">
      <sharedItems>
        <s v="Meera Das"/>
        <s v="Rahul Das"/>
        <s v="Priya Das"/>
        <s v="Anita Patel"/>
        <s v="Anita Kumar"/>
        <s v="Vikram Patel"/>
        <s v="Anita Sharma"/>
        <s v="Rahul Kumar"/>
        <s v="Rahul Patel"/>
        <s v="Sneha Nair"/>
        <s v="Karan Nair"/>
        <s v="Vikram Nair"/>
        <s v="Arun Patel"/>
        <s v="Arun Kumar"/>
        <s v="Karan Sharma"/>
        <s v="Vikram Das"/>
        <s v="Ravi Patel"/>
        <s v="Vikram Kumar"/>
        <s v="Rahul Singh"/>
        <s v="Sneha Singh"/>
        <s v="Ravi Reddy"/>
        <s v="Meera Singh"/>
        <s v="Ravi Iyer"/>
        <s v="Ravi Kumar"/>
        <s v="Vikram Reddy"/>
        <s v="Sneha Patel"/>
        <s v="Arun Das"/>
        <s v="Karan Patel"/>
        <s v="Neha Sharma"/>
        <s v="Karan Iyer"/>
        <s v="Anita Iyer"/>
        <s v="Anita Nair"/>
        <s v="Meera Iyer"/>
        <s v="Sneha Sharma"/>
        <s v="Meera Kumar"/>
        <s v="Sneha Iyer"/>
        <s v="Ravi Sharma"/>
        <s v="Vikram Singh"/>
        <s v="Sneha Reddy"/>
        <s v="Anita Reddy"/>
        <s v="Rahul Sharma"/>
        <s v="Arun Reddy"/>
        <s v="Priya Kumar"/>
        <s v="Karan Kumar"/>
        <s v="Anita Singh"/>
        <s v="Neha Nair"/>
        <s v="Rahul Iyer"/>
        <s v="Priya Sharma"/>
        <s v="Ravi Singh"/>
        <s v="Arun Iyer"/>
        <s v="Neha Das"/>
        <s v="Priya Patel"/>
        <s v="Meera Sharma"/>
        <s v="Priya Reddy"/>
        <s v="Arun Nair"/>
        <s v="Priya Singh"/>
        <s v="Meera Nair"/>
        <s v="Neha Singh"/>
        <s v="Sneha Kumar"/>
        <s v="Neha Iyer"/>
        <s v="Rahul Nair"/>
        <s v="Karan Das"/>
        <s v="Vikram Sharma"/>
        <s v="Rahul Reddy"/>
        <s v="Karan Reddy"/>
        <s v="Vikram Iyer"/>
        <s v="Neha Kumar"/>
        <s v="Meera Reddy"/>
        <s v="Neha Patel"/>
        <s v="Arun Singh"/>
        <s v="Ravi Das"/>
        <s v="Meera Patel"/>
        <s v="Anita Das"/>
        <s v="Neha Reddy"/>
        <s v="Priya Nair"/>
        <s v="Ravi Nair"/>
        <s v="Arun Sharma"/>
        <s v="Sneha Das"/>
        <s v="Priya Iyer"/>
        <s v="Karan Singh"/>
      </sharedItems>
    </cacheField>
    <cacheField name="Age">
      <sharedItems containsMixedTypes="1" containsNumber="1" containsInteger="1">
        <s v=""/>
        <n v="40.0"/>
        <n v="24.0"/>
        <n v="42.0"/>
        <n v="33.0"/>
        <n v="34.0"/>
        <n v="57.0"/>
        <n v="37.0"/>
        <n v="61.0"/>
        <n v="26.0"/>
        <n v="51.0"/>
        <n v="65.0"/>
        <n v="43.0"/>
        <n v="66.0"/>
        <n v="55.0"/>
        <n v="27.0"/>
        <n v="36.0"/>
        <n v="19.0"/>
        <n v="46.0"/>
        <n v="29.0"/>
        <n v="31.0"/>
        <n v="20.0"/>
        <n v="35.0"/>
        <n v="38.0"/>
        <n v="44.0"/>
        <n v="48.0"/>
        <n v="49.0"/>
        <n v="41.0"/>
        <n v="56.0"/>
        <n v="45.0"/>
        <n v="39.0"/>
        <n v="25.0"/>
        <n v="28.0"/>
        <n v="67.0"/>
        <n v="60.0"/>
        <n v="23.0"/>
        <n v="54.0"/>
        <n v="50.0"/>
        <n v="58.0"/>
        <n v="22.0"/>
        <n v="59.0"/>
        <n v="47.0"/>
        <n v="68.0"/>
        <n v="62.0"/>
        <n v="64.0"/>
        <n v="63.0"/>
        <n v="21.0"/>
        <n v="52.0"/>
        <n v="32.0"/>
        <n v="30.0"/>
        <n v="53.0"/>
        <n v="99.0"/>
        <n v="105.0"/>
        <n v="15.0"/>
        <n v="12.0"/>
      </sharedItems>
    </cacheField>
    <cacheField name="Region" numFmtId="0">
      <sharedItems>
        <s v="North"/>
        <s v="East"/>
        <s v="South"/>
        <s v="West"/>
      </sharedItems>
    </cacheField>
    <cacheField name="City" numFmtId="0">
      <sharedItems>
        <s v="Delhi"/>
        <s v="Jaipur"/>
        <s v="Kolkata"/>
        <s v="Bengaluru"/>
        <s v="Surat"/>
        <s v="Ahmedabad"/>
        <s v="Bhubaneswar"/>
        <s v="Patna"/>
        <s v="Pune"/>
        <s v="Kochi"/>
        <s v="Guwahati"/>
        <s v="Lucknow"/>
        <s v="Chandigarh"/>
        <s v="Hyderabad"/>
        <s v="Chennai"/>
        <s v=""/>
        <s v="Mumbai"/>
      </sharedItems>
    </cacheField>
    <cacheField name="Plan" numFmtId="0">
      <sharedItems>
        <s v="Standard"/>
        <s v="Basic"/>
        <s v="Premium"/>
      </sharedItems>
    </cacheField>
    <cacheField name="Acquisition_Channel" numFmtId="0">
      <sharedItems>
        <s v="Instagram"/>
        <s v="Facebook"/>
        <s v="Google Ads"/>
        <s v="Organic Search"/>
        <s v="Youtube"/>
        <s v="Email"/>
        <s v="Referral"/>
      </sharedItems>
    </cacheField>
    <cacheField name="Signup_Date" numFmtId="164">
      <sharedItems containsSemiMixedTypes="0" containsDate="1" containsString="0">
        <d v="2023-04-03T00:00:00Z"/>
        <d v="2025-01-21T00:00:00Z"/>
        <d v="2024-01-06T00:00:00Z"/>
        <d v="2023-08-16T00:00:00Z"/>
        <d v="2022-12-01T00:00:00Z"/>
        <d v="2023-10-07T00:00:00Z"/>
        <d v="2024-11-09T00:00:00Z"/>
        <d v="2022-01-24T00:00:00Z"/>
        <d v="2025-07-04T00:00:00Z"/>
        <d v="2025-03-07T00:00:00Z"/>
        <d v="2025-11-13T00:00:00Z"/>
        <d v="2022-05-26T00:00:00Z"/>
        <d v="2024-04-13T00:00:00Z"/>
        <d v="2023-05-25T00:00:00Z"/>
        <d v="2023-04-30T00:00:00Z"/>
        <d v="2025-02-12T00:00:00Z"/>
        <d v="2022-06-14T00:00:00Z"/>
        <d v="2024-12-06T00:00:00Z"/>
        <d v="2025-02-27T00:00:00Z"/>
        <d v="2023-09-06T00:00:00Z"/>
        <d v="2023-06-25T00:00:00Z"/>
        <d v="2022-06-04T00:00:00Z"/>
        <d v="2025-09-27T00:00:00Z"/>
        <d v="2023-05-24T00:00:00Z"/>
        <d v="2023-11-04T00:00:00Z"/>
        <d v="2023-12-09T00:00:00Z"/>
        <d v="2023-11-08T00:00:00Z"/>
        <d v="2024-02-16T00:00:00Z"/>
        <d v="2023-03-14T00:00:00Z"/>
        <d v="2024-08-31T00:00:00Z"/>
        <d v="2025-11-26T00:00:00Z"/>
        <d v="2024-10-30T00:00:00Z"/>
        <d v="2023-08-09T00:00:00Z"/>
        <d v="2024-05-01T00:00:00Z"/>
        <d v="2025-01-23T00:00:00Z"/>
        <d v="2024-12-29T00:00:00Z"/>
        <d v="2022-02-11T00:00:00Z"/>
        <d v="2025-03-31T00:00:00Z"/>
        <d v="2022-03-26T00:00:00Z"/>
        <d v="2024-12-04T00:00:00Z"/>
        <d v="2024-04-12T00:00:00Z"/>
        <d v="2024-08-27T00:00:00Z"/>
        <d v="2025-11-14T00:00:00Z"/>
        <d v="2022-09-17T00:00:00Z"/>
        <d v="2023-06-02T00:00:00Z"/>
        <d v="2025-05-26T00:00:00Z"/>
        <d v="2025-07-05T00:00:00Z"/>
        <d v="2025-12-18T00:00:00Z"/>
        <d v="2022-05-03T00:00:00Z"/>
        <d v="2024-06-03T00:00:00Z"/>
        <d v="2023-07-24T00:00:00Z"/>
        <d v="2025-09-18T00:00:00Z"/>
        <d v="2024-01-11T00:00:00Z"/>
        <d v="2025-02-02T00:00:00Z"/>
        <d v="2023-05-15T00:00:00Z"/>
        <d v="2025-04-17T00:00:00Z"/>
        <d v="2024-04-21T00:00:00Z"/>
        <d v="2022-07-24T00:00:00Z"/>
        <d v="2025-10-13T00:00:00Z"/>
        <d v="2025-07-21T00:00:00Z"/>
        <d v="2025-10-28T00:00:00Z"/>
        <d v="2024-08-10T00:00:00Z"/>
        <d v="2024-09-16T00:00:00Z"/>
        <d v="2023-04-17T00:00:00Z"/>
        <d v="2024-04-30T00:00:00Z"/>
        <d v="2025-10-17T00:00:00Z"/>
        <d v="2022-08-10T00:00:00Z"/>
        <d v="2022-03-18T00:00:00Z"/>
        <d v="2024-09-29T00:00:00Z"/>
        <d v="2023-01-24T00:00:00Z"/>
        <d v="2023-03-01T00:00:00Z"/>
        <d v="2022-09-27T00:00:00Z"/>
        <d v="2024-01-12T00:00:00Z"/>
        <d v="2024-04-02T00:00:00Z"/>
        <d v="2024-12-22T00:00:00Z"/>
        <d v="2023-10-03T00:00:00Z"/>
        <d v="2025-02-24T00:00:00Z"/>
        <d v="2023-09-25T00:00:00Z"/>
        <d v="2022-11-19T00:00:00Z"/>
        <d v="2024-09-21T00:00:00Z"/>
        <d v="2022-04-23T00:00:00Z"/>
        <d v="2024-10-21T00:00:00Z"/>
        <d v="2022-02-12T00:00:00Z"/>
        <d v="2023-11-27T00:00:00Z"/>
        <d v="2025-05-18T00:00:00Z"/>
        <d v="2024-06-24T00:00:00Z"/>
        <d v="2022-07-04T00:00:00Z"/>
        <d v="2022-07-31T00:00:00Z"/>
        <d v="2024-04-17T00:00:00Z"/>
        <d v="2025-09-21T00:00:00Z"/>
        <d v="2024-01-13T00:00:00Z"/>
        <d v="2022-09-26T00:00:00Z"/>
        <d v="2023-09-26T00:00:00Z"/>
        <d v="2023-05-28T00:00:00Z"/>
        <d v="2024-07-12T00:00:00Z"/>
        <d v="2022-03-20T00:00:00Z"/>
        <d v="2023-09-09T00:00:00Z"/>
        <d v="2025-06-13T00:00:00Z"/>
        <d v="2025-07-25T00:00:00Z"/>
        <d v="2023-11-25T00:00:00Z"/>
        <d v="2023-10-09T00:00:00Z"/>
        <d v="2024-06-19T00:00:00Z"/>
        <d v="2023-11-03T00:00:00Z"/>
        <d v="2022-04-28T00:00:00Z"/>
        <d v="2023-05-27T00:00:00Z"/>
        <d v="2022-06-01T00:00:00Z"/>
        <d v="2025-07-30T00:00:00Z"/>
        <d v="2022-05-15T00:00:00Z"/>
        <d v="2023-12-07T00:00:00Z"/>
        <d v="2023-12-10T00:00:00Z"/>
        <d v="2025-05-24T00:00:00Z"/>
        <d v="2023-08-17T00:00:00Z"/>
        <d v="2022-10-22T00:00:00Z"/>
        <d v="2022-10-16T00:00:00Z"/>
        <d v="2024-10-18T00:00:00Z"/>
        <d v="2022-08-09T00:00:00Z"/>
        <d v="2024-03-02T00:00:00Z"/>
        <d v="2023-09-05T00:00:00Z"/>
        <d v="2025-09-04T00:00:00Z"/>
        <d v="2024-05-07T00:00:00Z"/>
        <d v="2024-07-30T00:00:00Z"/>
        <d v="2022-10-27T00:00:00Z"/>
        <d v="2025-04-16T00:00:00Z"/>
        <d v="2022-12-27T00:00:00Z"/>
        <d v="2024-12-09T00:00:00Z"/>
        <d v="2023-08-28T00:00:00Z"/>
        <d v="2022-01-14T00:00:00Z"/>
        <d v="2025-11-06T00:00:00Z"/>
        <d v="2024-02-05T00:00:00Z"/>
        <d v="2022-05-07T00:00:00Z"/>
        <d v="2022-09-28T00:00:00Z"/>
        <d v="2022-05-11T00:00:00Z"/>
        <d v="2024-02-09T00:00:00Z"/>
        <d v="2024-08-06T00:00:00Z"/>
        <d v="2022-04-26T00:00:00Z"/>
        <d v="2025-04-26T00:00:00Z"/>
        <d v="2023-01-12T00:00:00Z"/>
        <d v="2025-04-18T00:00:00Z"/>
        <d v="2023-02-23T00:00:00Z"/>
        <d v="2024-08-19T00:00:00Z"/>
        <d v="2025-01-24T00:00:00Z"/>
        <d v="2022-01-19T00:00:00Z"/>
        <d v="2023-07-17T00:00:00Z"/>
        <d v="2022-06-11T00:00:00Z"/>
        <d v="2025-07-28T00:00:00Z"/>
        <d v="2025-11-02T00:00:00Z"/>
        <d v="2024-03-07T00:00:00Z"/>
        <d v="2022-03-02T00:00:00Z"/>
        <d v="2023-05-20T00:00:00Z"/>
        <d v="2022-07-29T00:00:00Z"/>
        <d v="2024-03-05T00:00:00Z"/>
        <d v="2024-05-12T00:00:00Z"/>
        <d v="2023-11-06T00:00:00Z"/>
        <d v="2023-05-12T00:00:00Z"/>
        <d v="2025-11-19T00:00:00Z"/>
        <d v="2025-04-07T00:00:00Z"/>
        <d v="2024-05-31T00:00:00Z"/>
        <d v="2022-08-03T00:00:00Z"/>
        <d v="2025-11-27T00:00:00Z"/>
        <d v="2025-02-20T00:00:00Z"/>
        <d v="2023-02-26T00:00:00Z"/>
        <d v="2024-03-14T00:00:00Z"/>
        <d v="2022-10-17T00:00:00Z"/>
        <d v="2024-09-27T00:00:00Z"/>
        <d v="2025-03-18T00:00:00Z"/>
        <d v="2024-07-10T00:00:00Z"/>
        <d v="2023-02-28T00:00:00Z"/>
        <d v="2024-04-22T00:00:00Z"/>
        <d v="2024-12-30T00:00:00Z"/>
        <d v="2022-04-10T00:00:00Z"/>
        <d v="2022-07-11T00:00:00Z"/>
        <d v="2022-06-09T00:00:00Z"/>
        <d v="2025-07-10T00:00:00Z"/>
        <d v="2022-10-14T00:00:00Z"/>
        <d v="2023-05-06T00:00:00Z"/>
        <d v="2024-08-22T00:00:00Z"/>
        <d v="2025-08-04T00:00:00Z"/>
        <d v="2023-05-04T00:00:00Z"/>
        <d v="2024-12-07T00:00:00Z"/>
        <d v="2025-07-09T00:00:00Z"/>
        <d v="2022-04-01T00:00:00Z"/>
        <d v="2023-10-18T00:00:00Z"/>
        <d v="2024-07-24T00:00:00Z"/>
        <d v="2022-02-18T00:00:00Z"/>
        <d v="2022-10-19T00:00:00Z"/>
        <d v="2022-05-08T00:00:00Z"/>
        <d v="2022-10-06T00:00:00Z"/>
        <d v="2022-07-05T00:00:00Z"/>
        <d v="2022-12-23T00:00:00Z"/>
        <d v="2024-02-02T00:00:00Z"/>
        <d v="2022-04-14T00:00:00Z"/>
        <d v="2025-06-11T00:00:00Z"/>
        <d v="2024-12-12T00:00:00Z"/>
        <d v="2023-10-16T00:00:00Z"/>
        <d v="2022-04-25T00:00:00Z"/>
        <d v="2023-02-17T00:00:00Z"/>
        <d v="2023-09-11T00:00:00Z"/>
        <d v="2025-11-11T00:00:00Z"/>
        <d v="2022-01-03T00:00:00Z"/>
        <d v="2022-03-10T00:00:00Z"/>
        <d v="2025-08-31T00:00:00Z"/>
        <d v="2022-04-12T00:00:00Z"/>
        <d v="2025-07-31T00:00:00Z"/>
        <d v="2022-04-02T00:00:00Z"/>
        <d v="2023-04-11T00:00:00Z"/>
        <d v="2024-07-08T00:00:00Z"/>
        <d v="2022-05-18T00:00:00Z"/>
        <d v="2025-03-06T00:00:00Z"/>
        <d v="2023-09-29T00:00:00Z"/>
        <d v="2023-02-16T00:00:00Z"/>
        <d v="2025-05-01T00:00:00Z"/>
        <d v="2025-03-17T00:00:00Z"/>
        <d v="2023-09-18T00:00:00Z"/>
        <d v="2024-02-06T00:00:00Z"/>
        <d v="2023-05-08T00:00:00Z"/>
        <d v="2025-12-21T00:00:00Z"/>
        <d v="2023-06-14T00:00:00Z"/>
        <d v="2024-08-07T00:00:00Z"/>
        <d v="2022-11-05T00:00:00Z"/>
        <d v="2024-07-14T00:00:00Z"/>
        <d v="2024-10-27T00:00:00Z"/>
        <d v="2024-04-06T00:00:00Z"/>
        <d v="2025-09-17T00:00:00Z"/>
        <d v="2022-01-20T00:00:00Z"/>
        <d v="2023-02-11T00:00:00Z"/>
        <d v="2022-01-27T00:00:00Z"/>
        <d v="2025-08-18T00:00:00Z"/>
        <d v="2024-05-13T00:00:00Z"/>
        <d v="2025-12-05T00:00:00Z"/>
        <d v="2022-12-05T00:00:00Z"/>
        <d v="2024-07-06T00:00:00Z"/>
        <d v="2025-07-29T00:00:00Z"/>
        <d v="2022-07-19T00:00:00Z"/>
        <d v="2023-02-06T00:00:00Z"/>
        <d v="2022-10-03T00:00:00Z"/>
        <d v="2023-10-05T00:00:00Z"/>
        <d v="2023-12-23T00:00:00Z"/>
        <d v="2023-02-14T00:00:00Z"/>
        <d v="2025-06-24T00:00:00Z"/>
        <d v="2024-11-18T00:00:00Z"/>
        <d v="2025-05-07T00:00:00Z"/>
        <d v="2024-07-01T00:00:00Z"/>
        <d v="2024-02-07T00:00:00Z"/>
        <d v="2023-03-13T00:00:00Z"/>
        <d v="2023-05-31T00:00:00Z"/>
        <d v="2022-05-10T00:00:00Z"/>
        <d v="2022-03-05T00:00:00Z"/>
        <d v="2025-05-06T00:00:00Z"/>
        <d v="2023-02-02T00:00:00Z"/>
        <d v="2025-04-04T00:00:00Z"/>
        <d v="2025-11-21T00:00:00Z"/>
        <d v="2025-10-23T00:00:00Z"/>
        <d v="2023-06-24T00:00:00Z"/>
        <d v="2024-01-20T00:00:00Z"/>
        <d v="2024-01-27T00:00:00Z"/>
        <d v="2023-12-08T00:00:00Z"/>
        <d v="2022-08-31T00:00:00Z"/>
        <d v="2022-11-26T00:00:00Z"/>
        <d v="2023-04-16T00:00:00Z"/>
        <d v="2022-09-24T00:00:00Z"/>
        <d v="2023-12-19T00:00:00Z"/>
        <d v="2022-01-15T00:00:00Z"/>
        <d v="2025-03-02T00:00:00Z"/>
        <d v="2025-12-15T00:00:00Z"/>
        <d v="2022-01-11T00:00:00Z"/>
        <d v="2023-08-10T00:00:00Z"/>
        <d v="2024-11-22T00:00:00Z"/>
        <d v="2022-02-01T00:00:00Z"/>
        <d v="2022-12-25T00:00:00Z"/>
        <d v="2023-05-14T00:00:00Z"/>
        <d v="2024-11-23T00:00:00Z"/>
        <d v="2023-01-10T00:00:00Z"/>
        <d v="2022-06-10T00:00:00Z"/>
        <d v="2023-07-28T00:00:00Z"/>
        <d v="2024-11-27T00:00:00Z"/>
        <d v="2023-12-04T00:00:00Z"/>
        <d v="2023-07-07T00:00:00Z"/>
        <d v="2025-03-08T00:00:00Z"/>
        <d v="2023-06-12T00:00:00Z"/>
        <d v="2024-09-25T00:00:00Z"/>
        <d v="2023-04-13T00:00:00Z"/>
        <d v="2022-02-17T00:00:00Z"/>
        <d v="2022-06-20T00:00:00Z"/>
        <d v="2022-02-28T00:00:00Z"/>
        <d v="2024-12-31T00:00:00Z"/>
        <d v="2024-06-14T00:00:00Z"/>
        <d v="2023-07-05T00:00:00Z"/>
        <d v="2024-10-17T00:00:00Z"/>
        <d v="2024-02-21T00:00:00Z"/>
        <d v="2023-10-02T00:00:00Z"/>
        <d v="2022-08-20T00:00:00Z"/>
        <d v="2025-08-13T00:00:00Z"/>
        <d v="2025-01-18T00:00:00Z"/>
        <d v="2025-06-09T00:00:00Z"/>
        <d v="2025-03-15T00:00:00Z"/>
        <d v="2022-06-13T00:00:00Z"/>
        <d v="2024-11-29T00:00:00Z"/>
        <d v="2024-01-04T00:00:00Z"/>
        <d v="2025-01-31T00:00:00Z"/>
        <d v="2024-03-24T00:00:00Z"/>
        <d v="2023-12-30T00:00:00Z"/>
        <d v="2024-09-26T00:00:00Z"/>
        <d v="2025-08-29T00:00:00Z"/>
        <d v="2024-03-15T00:00:00Z"/>
        <d v="2024-10-24T00:00:00Z"/>
        <d v="2024-05-30T00:00:00Z"/>
        <d v="2025-06-16T00:00:00Z"/>
        <d v="2023-08-13T00:00:00Z"/>
        <d v="2025-11-24T00:00:00Z"/>
        <d v="2022-05-17T00:00:00Z"/>
        <d v="2024-12-24T00:00:00Z"/>
        <d v="2023-12-22T00:00:00Z"/>
        <d v="2024-02-22T00:00:00Z"/>
        <d v="2025-01-13T00:00:00Z"/>
        <d v="2025-11-08T00:00:00Z"/>
        <d v="2023-04-09T00:00:00Z"/>
        <d v="2024-05-25T00:00:00Z"/>
        <d v="2022-03-28T00:00:00Z"/>
        <d v="2023-01-02T00:00:00Z"/>
        <d v="2025-07-22T00:00:00Z"/>
        <d v="2022-11-04T00:00:00Z"/>
        <d v="2023-06-03T00:00:00Z"/>
        <d v="2025-05-20T00:00:00Z"/>
        <d v="2022-03-15T00:00:00Z"/>
        <d v="2023-03-06T00:00:00Z"/>
        <d v="2023-06-16T00:00:00Z"/>
        <d v="2022-01-04T00:00:00Z"/>
        <d v="2023-07-31T00:00:00Z"/>
        <d v="2023-11-24T00:00:00Z"/>
        <d v="2025-03-03T00:00:00Z"/>
        <d v="2022-12-06T00:00:00Z"/>
        <d v="2023-03-19T00:00:00Z"/>
        <d v="2024-12-08T00:00:00Z"/>
        <d v="2023-08-04T00:00:00Z"/>
        <d v="2024-05-23T00:00:00Z"/>
        <d v="2025-12-01T00:00:00Z"/>
        <d v="2022-08-08T00:00:00Z"/>
        <d v="2025-11-22T00:00:00Z"/>
        <d v="2023-10-29T00:00:00Z"/>
        <d v="2022-01-02T00:00:00Z"/>
        <d v="2024-09-23T00:00:00Z"/>
        <d v="2024-05-19T00:00:00Z"/>
        <d v="2025-11-15T00:00:00Z"/>
        <d v="2025-03-30T00:00:00Z"/>
        <d v="2023-07-18T00:00:00Z"/>
        <d v="2022-10-25T00:00:00Z"/>
        <d v="2022-08-26T00:00:00Z"/>
        <d v="2022-01-25T00:00:00Z"/>
        <d v="2022-07-21T00:00:00Z"/>
        <d v="2022-09-07T00:00:00Z"/>
        <d v="2024-05-24T00:00:00Z"/>
        <d v="2022-12-31T00:00:00Z"/>
        <d v="2022-03-13T00:00:00Z"/>
        <d v="2024-03-12T00:00:00Z"/>
        <d v="2024-02-26T00:00:00Z"/>
        <d v="2025-09-01T00:00:00Z"/>
        <d v="2022-04-04T00:00:00Z"/>
        <d v="2025-06-14T00:00:00Z"/>
        <d v="2022-12-22T00:00:00Z"/>
        <d v="2025-07-18T00:00:00Z"/>
        <d v="2022-10-21T00:00:00Z"/>
        <d v="2025-02-16T00:00:00Z"/>
        <d v="2025-11-04T00:00:00Z"/>
        <d v="2025-01-05T00:00:00Z"/>
        <d v="2024-07-20T00:00:00Z"/>
        <d v="2024-08-11T00:00:00Z"/>
        <d v="2024-09-28T00:00:00Z"/>
        <d v="2022-03-24T00:00:00Z"/>
        <d v="2024-01-05T00:00:00Z"/>
        <d v="2023-01-14T00:00:00Z"/>
        <d v="2025-01-15T00:00:00Z"/>
        <d v="2025-02-18T00:00:00Z"/>
        <d v="2024-10-28T00:00:00Z"/>
        <d v="2025-10-10T00:00:00Z"/>
        <d v="2023-04-21T00:00:00Z"/>
        <d v="2023-08-14T00:00:00Z"/>
        <d v="2023-10-11T00:00:00Z"/>
        <d v="2022-02-21T00:00:00Z"/>
        <d v="2025-03-20T00:00:00Z"/>
        <d v="2023-03-28T00:00:00Z"/>
        <d v="2023-02-03T00:00:00Z"/>
        <d v="2023-09-23T00:00:00Z"/>
        <d v="2022-06-26T00:00:00Z"/>
        <d v="2022-10-08T00:00:00Z"/>
        <d v="2022-11-12T00:00:00Z"/>
        <d v="2025-05-11T00:00:00Z"/>
        <d v="2023-10-17T00:00:00Z"/>
        <d v="2022-07-13T00:00:00Z"/>
        <d v="2024-09-20T00:00:00Z"/>
        <d v="2022-08-27T00:00:00Z"/>
        <d v="2024-11-17T00:00:00Z"/>
        <d v="2022-12-18T00:00:00Z"/>
        <d v="2024-05-18T00:00:00Z"/>
        <d v="2022-06-18T00:00:00Z"/>
        <d v="2024-09-01T00:00:00Z"/>
        <d v="2022-07-28T00:00:00Z"/>
        <d v="2022-05-20T00:00:00Z"/>
        <d v="2023-08-25T00:00:00Z"/>
        <d v="2025-10-14T00:00:00Z"/>
        <d v="2023-10-19T00:00:00Z"/>
        <d v="2023-12-21T00:00:00Z"/>
        <d v="2024-08-01T00:00:00Z"/>
        <d v="2023-03-15T00:00:00Z"/>
        <d v="2024-07-17T00:00:00Z"/>
        <d v="2024-08-05T00:00:00Z"/>
        <d v="2025-11-07T00:00:00Z"/>
        <d v="2022-10-07T00:00:00Z"/>
        <d v="2024-01-15T00:00:00Z"/>
        <d v="2025-05-13T00:00:00Z"/>
        <d v="2025-04-22T00:00:00Z"/>
        <d v="2023-09-24T00:00:00Z"/>
        <d v="2022-01-17T00:00:00Z"/>
        <d v="2024-10-03T00:00:00Z"/>
        <d v="2022-04-17T00:00:00Z"/>
        <d v="2025-08-22T00:00:00Z"/>
        <d v="2023-01-08T00:00:00Z"/>
        <d v="2025-05-14T00:00:00Z"/>
        <d v="2023-06-30T00:00:00Z"/>
        <d v="2022-05-30T00:00:00Z"/>
        <d v="2025-10-06T00:00:00Z"/>
        <d v="2022-10-18T00:00:00Z"/>
        <d v="2024-06-12T00:00:00Z"/>
        <d v="2023-01-05T00:00:00Z"/>
        <d v="2022-02-23T00:00:00Z"/>
        <d v="2024-06-04T00:00:00Z"/>
        <d v="2024-12-10T00:00:00Z"/>
        <d v="2022-06-06T00:00:00Z"/>
        <d v="2023-01-03T00:00:00Z"/>
        <d v="2025-05-22T00:00:00Z"/>
        <d v="2025-06-17T00:00:00Z"/>
        <d v="2025-08-20T00:00:00Z"/>
        <d v="2022-11-28T00:00:00Z"/>
        <d v="2025-02-14T00:00:00Z"/>
        <d v="2023-06-13T00:00:00Z"/>
        <d v="2023-11-17T00:00:00Z"/>
        <d v="2024-04-29T00:00:00Z"/>
        <d v="2022-01-21T00:00:00Z"/>
        <d v="2025-12-06T00:00:00Z"/>
        <d v="2025-08-21T00:00:00Z"/>
        <d v="2025-08-26T00:00:00Z"/>
        <d v="2025-03-19T00:00:00Z"/>
        <d v="2024-04-23T00:00:00Z"/>
        <d v="2024-05-17T00:00:00Z"/>
        <d v="2022-11-18T00:00:00Z"/>
        <d v="2023-09-14T00:00:00Z"/>
        <d v="2024-05-05T00:00:00Z"/>
        <d v="2022-02-20T00:00:00Z"/>
        <d v="2022-02-08T00:00:00Z"/>
        <d v="2022-07-03T00:00:00Z"/>
        <d v="2023-10-26T00:00:00Z"/>
        <d v="2023-07-14T00:00:00Z"/>
        <d v="2022-09-09T00:00:00Z"/>
        <d v="2024-06-29T00:00:00Z"/>
        <d v="2025-12-12T00:00:00Z"/>
        <d v="2022-05-14T00:00:00Z"/>
        <d v="2025-08-05T00:00:00Z"/>
        <d v="2024-12-26T00:00:00Z"/>
        <d v="2022-05-09T00:00:00Z"/>
        <d v="2025-09-13T00:00:00Z"/>
        <d v="2025-05-03T00:00:00Z"/>
        <d v="2022-05-04T00:00:00Z"/>
        <d v="2025-11-17T00:00:00Z"/>
        <d v="2025-08-01T00:00:00Z"/>
        <d v="2022-03-03T00:00:00Z"/>
        <d v="2023-05-19T00:00:00Z"/>
        <d v="2025-07-26T00:00:00Z"/>
        <d v="2025-03-16T00:00:00Z"/>
        <d v="2024-05-22T00:00:00Z"/>
        <d v="2023-08-27T00:00:00Z"/>
        <d v="2024-04-07T00:00:00Z"/>
        <d v="2023-11-29T00:00:00Z"/>
        <d v="2025-03-09T00:00:00Z"/>
        <d v="2023-02-27T00:00:00Z"/>
        <d v="2023-09-02T00:00:00Z"/>
        <d v="2022-07-25T00:00:00Z"/>
        <d v="2023-02-18T00:00:00Z"/>
        <d v="2022-01-31T00:00:00Z"/>
        <d v="2023-09-10T00:00:00Z"/>
        <d v="2025-11-09T00:00:00Z"/>
        <d v="2022-09-12T00:00:00Z"/>
        <d v="2025-05-09T00:00:00Z"/>
        <d v="2022-04-21T00:00:00Z"/>
        <d v="2025-07-23T00:00:00Z"/>
        <d v="2025-05-25T00:00:00Z"/>
        <d v="2025-06-02T00:00:00Z"/>
        <d v="2024-03-19T00:00:00Z"/>
        <d v="2023-12-15T00:00:00Z"/>
        <d v="2022-02-27T00:00:00Z"/>
        <d v="2024-03-25T00:00:00Z"/>
        <d v="2022-07-02T00:00:00Z"/>
        <d v="2024-07-11T00:00:00Z"/>
        <d v="2022-09-13T00:00:00Z"/>
        <d v="2025-09-24T00:00:00Z"/>
        <d v="2022-09-10T00:00:00Z"/>
        <d v="2022-09-16T00:00:00Z"/>
        <d v="2022-11-09T00:00:00Z"/>
        <d v="2022-10-09T00:00:00Z"/>
        <d v="2023-05-09T00:00:00Z"/>
        <d v="2022-06-19T00:00:00Z"/>
        <d v="2025-12-10T00:00:00Z"/>
        <d v="2025-01-08T00:00:00Z"/>
        <d v="2025-03-23T00:00:00Z"/>
        <d v="2022-01-01T00:00:00Z"/>
        <d v="2022-06-02T00:00:00Z"/>
        <d v="2023-07-06T00:00:00Z"/>
        <d v="2024-02-15T00:00:00Z"/>
        <d v="2023-10-14T00:00:00Z"/>
        <d v="2023-07-02T00:00:00Z"/>
        <d v="2024-12-02T00:00:00Z"/>
        <d v="2022-06-23T00:00:00Z"/>
        <d v="2022-01-05T00:00:00Z"/>
        <d v="2024-06-07T00:00:00Z"/>
        <d v="2023-06-29T00:00:00Z"/>
        <d v="2022-11-15T00:00:00Z"/>
        <d v="2024-05-28T00:00:00Z"/>
        <d v="2025-06-05T00:00:00Z"/>
        <d v="2022-07-06T00:00:00Z"/>
        <d v="2023-07-29T00:00:00Z"/>
        <d v="2022-07-26T00:00:00Z"/>
        <d v="2023-01-26T00:00:00Z"/>
        <d v="2025-02-01T00:00:00Z"/>
        <d v="2022-02-14T00:00:00Z"/>
        <d v="2023-08-30T00:00:00Z"/>
        <d v="2025-08-08T00:00:00Z"/>
        <d v="2023-10-27T00:00:00Z"/>
        <d v="2024-07-29T00:00:00Z"/>
        <d v="2023-05-18T00:00:00Z"/>
        <d v="2023-07-03T00:00:00Z"/>
        <d v="2022-11-13T00:00:00Z"/>
        <d v="2022-02-19T00:00:00Z"/>
        <d v="2024-01-02T00:00:00Z"/>
        <d v="2024-07-03T00:00:00Z"/>
        <d v="2024-09-12T00:00:00Z"/>
        <d v="2023-12-17T00:00:00Z"/>
        <d v="2022-01-26T00:00:00Z"/>
        <d v="2023-07-11T00:00:00Z"/>
        <d v="2025-08-07T00:00:00Z"/>
        <d v="2025-01-14T00:00:00Z"/>
        <d v="2022-07-10T00:00:00Z"/>
        <d v="2023-04-20T00:00:00Z"/>
        <d v="2025-10-30T00:00:00Z"/>
        <d v="2022-12-14T00:00:00Z"/>
        <d v="2022-09-11T00:00:00Z"/>
        <d v="2024-08-04T00:00:00Z"/>
        <d v="2023-10-12T00:00:00Z"/>
        <d v="2024-02-18T00:00:00Z"/>
        <d v="2024-04-09T00:00:00Z"/>
        <d v="2022-12-03T00:00:00Z"/>
        <d v="2025-01-20T00:00:00Z"/>
        <d v="2023-12-20T00:00:00Z"/>
        <d v="2023-01-30T00:00:00Z"/>
        <d v="2024-10-29T00:00:00Z"/>
        <d v="2022-11-10T00:00:00Z"/>
        <d v="2023-03-07T00:00:00Z"/>
        <d v="2024-09-18T00:00:00Z"/>
        <d v="2023-03-21T00:00:00Z"/>
        <d v="2025-05-21T00:00:00Z"/>
        <d v="2023-10-06T00:00:00Z"/>
        <d v="2023-03-22T00:00:00Z"/>
        <d v="2022-04-06T00:00:00Z"/>
        <d v="2024-04-04T00:00:00Z"/>
        <d v="2023-10-04T00:00:00Z"/>
        <d v="2024-12-16T00:00:00Z"/>
        <d v="2023-03-04T00:00:00Z"/>
        <d v="2024-05-16T00:00:00Z"/>
        <d v="2024-12-23T00:00:00Z"/>
        <d v="2022-07-20T00:00:00Z"/>
        <d v="2025-08-16T00:00:00Z"/>
        <d v="2023-03-27T00:00:00Z"/>
        <d v="2025-06-28T00:00:00Z"/>
        <d v="2023-12-24T00:00:00Z"/>
        <d v="2024-06-06T00:00:00Z"/>
        <d v="2023-12-28T00:00:00Z"/>
        <d v="2025-10-31T00:00:00Z"/>
        <d v="2024-06-13T00:00:00Z"/>
        <d v="2022-01-13T00:00:00Z"/>
        <d v="2022-05-05T00:00:00Z"/>
        <d v="2024-03-11T00:00:00Z"/>
        <d v="2025-09-07T00:00:00Z"/>
        <d v="2025-09-05T00:00:00Z"/>
        <d v="2025-09-11T00:00:00Z"/>
        <d v="2022-11-22T00:00:00Z"/>
        <d v="2022-05-12T00:00:00Z"/>
        <d v="2025-03-21T00:00:00Z"/>
        <d v="2022-07-17T00:00:00Z"/>
        <d v="2024-10-22T00:00:00Z"/>
        <d v="2023-04-18T00:00:00Z"/>
        <d v="2022-05-02T00:00:00Z"/>
        <d v="2022-06-15T00:00:00Z"/>
        <d v="2022-02-13T00:00:00Z"/>
        <d v="2022-04-27T00:00:00Z"/>
        <d v="2022-06-07T00:00:00Z"/>
        <d v="2022-06-25T00:00:00Z"/>
        <d v="2023-10-20T00:00:00Z"/>
        <d v="2023-07-21T00:00:00Z"/>
        <d v="2023-01-13T00:00:00Z"/>
        <d v="2022-08-12T00:00:00Z"/>
        <d v="2025-05-28T00:00:00Z"/>
        <d v="2025-03-24T00:00:00Z"/>
        <d v="2024-11-01T00:00:00Z"/>
        <d v="2023-08-11T00:00:00Z"/>
        <d v="2025-02-09T00:00:00Z"/>
        <d v="2024-11-07T00:00:00Z"/>
        <d v="2023-01-01T00:00:00Z"/>
        <d v="2025-01-10T00:00:00Z"/>
        <d v="2025-12-17T00:00:00Z"/>
        <d v="2023-11-18T00:00:00Z"/>
        <d v="2022-08-19T00:00:00Z"/>
        <d v="2024-05-20T00:00:00Z"/>
        <d v="2023-05-22T00:00:00Z"/>
        <d v="2024-03-17T00:00:00Z"/>
        <d v="2025-07-14T00:00:00Z"/>
        <d v="2023-10-22T00:00:00Z"/>
        <d v="2022-12-07T00:00:00Z"/>
        <d v="2024-06-10T00:00:00Z"/>
        <d v="2024-08-24T00:00:00Z"/>
        <d v="2022-01-12T00:00:00Z"/>
        <d v="2023-04-08T00:00:00Z"/>
        <d v="2023-03-20T00:00:00Z"/>
        <d v="2023-09-12T00:00:00Z"/>
        <d v="2023-07-23T00:00:00Z"/>
        <d v="2025-10-04T00:00:00Z"/>
        <d v="2022-07-12T00:00:00Z"/>
        <d v="2025-05-29T00:00:00Z"/>
        <d v="2022-09-02T00:00:00Z"/>
        <d v="2024-01-21T00:00:00Z"/>
        <d v="2023-01-09T00:00:00Z"/>
        <d v="2023-01-27T00:00:00Z"/>
        <d v="2024-02-29T00:00:00Z"/>
        <d v="2025-07-13T00:00:00Z"/>
        <d v="2024-07-23T00:00:00Z"/>
        <d v="2024-11-04T00:00:00Z"/>
        <d v="2023-04-29T00:00:00Z"/>
        <d v="2025-09-30T00:00:00Z"/>
        <d v="2024-10-20T00:00:00Z"/>
        <d v="2024-09-22T00:00:00Z"/>
        <d v="2024-05-04T00:00:00Z"/>
        <d v="2025-07-20T00:00:00Z"/>
        <d v="2025-06-01T00:00:00Z"/>
        <d v="2023-01-16T00:00:00Z"/>
        <d v="2025-07-24T00:00:00Z"/>
        <d v="2025-09-15T00:00:00Z"/>
        <d v="2022-12-08T00:00:00Z"/>
        <d v="2022-08-15T00:00:00Z"/>
        <d v="2023-11-16T00:00:00Z"/>
        <d v="2024-07-26T00:00:00Z"/>
        <d v="2024-06-27T00:00:00Z"/>
        <d v="2025-07-12T00:00:00Z"/>
        <d v="2024-09-15T00:00:00Z"/>
        <d v="2023-09-13T00:00:00Z"/>
        <d v="2025-02-07T00:00:00Z"/>
        <d v="2022-12-30T00:00:00Z"/>
        <d v="2022-04-15T00:00:00Z"/>
        <d v="2024-11-19T00:00:00Z"/>
        <d v="2025-08-15T00:00:00Z"/>
        <d v="2025-08-02T00:00:00Z"/>
        <d v="2024-07-02T00:00:00Z"/>
        <d v="2024-07-13T00:00:00Z"/>
        <d v="2024-03-09T00:00:00Z"/>
        <d v="2023-07-10T00:00:00Z"/>
        <d v="2022-09-20T00:00:00Z"/>
        <d v="2024-11-28T00:00:00Z"/>
        <d v="2025-09-12T00:00:00Z"/>
        <d v="2024-02-28T00:00:00Z"/>
        <d v="2025-07-11T00:00:00Z"/>
        <d v="2022-08-16T00:00:00Z"/>
        <d v="2023-03-31T00:00:00Z"/>
        <d v="2023-07-19T00:00:00Z"/>
        <d v="2023-12-01T00:00:00Z"/>
        <d v="2024-01-01T00:00:00Z"/>
        <d v="2025-09-29T00:00:00Z"/>
        <d v="2023-12-13T00:00:00Z"/>
        <d v="2023-05-03T00:00:00Z"/>
        <d v="2023-10-24T00:00:00Z"/>
        <d v="2024-06-25T00:00:00Z"/>
        <d v="2024-11-05T00:00:00Z"/>
        <d v="2024-07-31T00:00:00Z"/>
        <d v="2023-07-20T00:00:00Z"/>
        <d v="2024-06-11T00:00:00Z"/>
        <d v="2022-11-27T00:00:00Z"/>
        <d v="2023-06-18T00:00:00Z"/>
        <d v="2022-12-12T00:00:00Z"/>
        <d v="2023-08-20T00:00:00Z"/>
        <d v="2025-10-01T00:00:00Z"/>
        <d v="2024-12-15T00:00:00Z"/>
        <d v="2024-10-01T00:00:00Z"/>
        <d v="2022-06-27T00:00:00Z"/>
        <d v="2024-01-30T00:00:00Z"/>
        <d v="2022-12-26T00:00:00Z"/>
        <d v="2025-06-20T00:00:00Z"/>
        <d v="2025-07-27T00:00:00Z"/>
        <d v="2024-06-28T00:00:00Z"/>
        <d v="2024-04-16T00:00:00Z"/>
        <d v="2023-02-10T00:00:00Z"/>
        <d v="2022-04-19T00:00:00Z"/>
        <d v="2022-10-28T00:00:00Z"/>
        <d v="2024-07-05T00:00:00Z"/>
        <d v="2024-12-01T00:00:00Z"/>
        <d v="2022-09-25T00:00:00Z"/>
        <d v="2022-05-25T00:00:00Z"/>
        <d v="2022-01-08T00:00:00Z"/>
        <d v="2025-10-16T00:00:00Z"/>
        <d v="2023-01-21T00:00:00Z"/>
        <d v="2024-07-15T00:00:00Z"/>
        <d v="2022-12-20T00:00:00Z"/>
        <d v="2025-01-30T00:00:00Z"/>
        <d v="2024-09-03T00:00:00Z"/>
        <d v="2022-09-23T00:00:00Z"/>
        <d v="2023-04-24T00:00:00Z"/>
        <d v="2023-01-31T00:00:00Z"/>
        <d v="2024-09-19T00:00:00Z"/>
        <d v="2024-09-04T00:00:00Z"/>
        <d v="2025-03-10T00:00:00Z"/>
        <d v="2024-11-12T00:00:00Z"/>
        <d v="2025-08-27T00:00:00Z"/>
        <d v="2024-03-06T00:00:00Z"/>
        <d v="2022-04-13T00:00:00Z"/>
        <d v="2022-06-05T00:00:00Z"/>
        <d v="2024-02-12T00:00:00Z"/>
        <d v="2024-01-23T00:00:00Z"/>
        <d v="2023-08-22T00:00:00Z"/>
        <d v="2025-10-25T00:00:00Z"/>
        <d v="2022-06-17T00:00:00Z"/>
        <d v="2024-02-04T00:00:00Z"/>
        <d v="2023-08-29T00:00:00Z"/>
        <d v="2023-09-15T00:00:00Z"/>
        <d v="2025-07-16T00:00:00Z"/>
        <d v="2025-04-30T00:00:00Z"/>
        <d v="2024-11-24T00:00:00Z"/>
        <d v="2023-05-26T00:00:00Z"/>
        <d v="2023-07-26T00:00:00Z"/>
        <d v="2023-01-18T00:00:00Z"/>
        <d v="2023-09-08T00:00:00Z"/>
        <d v="2024-11-10T00:00:00Z"/>
        <d v="2022-03-29T00:00:00Z"/>
        <d v="2023-09-20T00:00:00Z"/>
        <d v="2025-01-16T00:00:00Z"/>
        <d v="2024-10-14T00:00:00Z"/>
        <d v="2022-01-07T00:00:00Z"/>
        <d v="2025-05-04T00:00:00Z"/>
        <d v="2025-03-14T00:00:00Z"/>
        <d v="2023-02-25T00:00:00Z"/>
        <d v="2024-09-07T00:00:00Z"/>
        <d v="2022-07-09T00:00:00Z"/>
        <d v="2023-07-12T00:00:00Z"/>
        <d v="2023-09-04T00:00:00Z"/>
        <d v="2024-09-08T00:00:00Z"/>
        <d v="2024-12-03T00:00:00Z"/>
        <d v="2023-06-07T00:00:00Z"/>
        <d v="2023-12-03T00:00:00Z"/>
        <d v="2024-08-08T00:00:00Z"/>
        <d v="2022-05-16T00:00:00Z"/>
        <d v="2024-03-22T00:00:00Z"/>
        <d v="2022-01-18T00:00:00Z"/>
        <d v="2022-05-27T00:00:00Z"/>
        <d v="2024-08-26T00:00:00Z"/>
        <d v="2022-03-17T00:00:00Z"/>
        <d v="2024-04-19T00:00:00Z"/>
        <d v="2022-03-06T00:00:00Z"/>
        <d v="2025-07-17T00:00:00Z"/>
        <d v="2025-04-24T00:00:00Z"/>
        <d v="2025-04-01T00:00:00Z"/>
        <d v="2025-02-22T00:00:00Z"/>
        <d v="2025-01-28T00:00:00Z"/>
        <d v="2023-02-12T00:00:00Z"/>
        <d v="2025-05-02T00:00:00Z"/>
        <d v="2022-08-07T00:00:00Z"/>
        <d v="2023-09-07T00:00:00Z"/>
        <d v="2023-11-15T00:00:00Z"/>
        <d v="2022-03-25T00:00:00Z"/>
        <d v="2024-04-11T00:00:00Z"/>
        <d v="2024-10-16T00:00:00Z"/>
        <d v="2023-04-26T00:00:00Z"/>
        <d v="2023-09-28T00:00:00Z"/>
        <d v="2022-11-02T00:00:00Z"/>
        <d v="2022-05-29T00:00:00Z"/>
        <d v="2025-08-09T00:00:00Z"/>
        <d v="2023-03-05T00:00:00Z"/>
        <d v="2025-12-03T00:00:00Z"/>
        <d v="2024-06-30T00:00:00Z"/>
        <d v="2023-11-26T00:00:00Z"/>
        <d v="2024-05-14T00:00:00Z"/>
        <d v="2025-05-23T00:00:00Z"/>
        <d v="2022-04-07T00:00:00Z"/>
        <d v="2023-11-28T00:00:00Z"/>
        <d v="2023-05-10T00:00:00Z"/>
        <d v="2025-08-11T00:00:00Z"/>
        <d v="2023-09-30T00:00:00Z"/>
        <d v="2022-10-13T00:00:00Z"/>
        <d v="2022-03-16T00:00:00Z"/>
        <d v="2022-04-05T00:00:00Z"/>
        <d v="2022-02-25T00:00:00Z"/>
        <d v="2024-01-29T00:00:00Z"/>
        <d v="2024-07-16T00:00:00Z"/>
        <d v="2024-07-25T00:00:00Z"/>
        <d v="2022-10-29T00:00:00Z"/>
        <d v="2025-06-07T00:00:00Z"/>
        <d v="2024-01-25T00:00:00Z"/>
        <d v="2022-02-16T00:00:00Z"/>
        <d v="2022-08-11T00:00:00Z"/>
        <d v="2025-01-03T00:00:00Z"/>
        <d v="2025-01-09T00:00:00Z"/>
        <d v="2024-01-18T00:00:00Z"/>
        <d v="2025-02-15T00:00:00Z"/>
        <d v="2025-07-06T00:00:00Z"/>
        <d v="2025-09-06T00:00:00Z"/>
        <d v="2025-07-01T00:00:00Z"/>
        <d v="2022-12-10T00:00:00Z"/>
        <d v="2025-06-06T00:00:00Z"/>
        <d v="2023-12-05T00:00:00Z"/>
        <d v="2025-04-10T00:00:00Z"/>
        <d v="2025-04-19T00:00:00Z"/>
        <d v="2024-08-23T00:00:00Z"/>
        <d v="2025-08-14T00:00:00Z"/>
        <d v="2025-08-30T00:00:00Z"/>
        <d v="2023-03-25T00:00:00Z"/>
        <d v="2023-11-01T00:00:00Z"/>
        <d v="2023-06-28T00:00:00Z"/>
        <d v="2024-03-18T00:00:00Z"/>
        <d v="2022-11-30T00:00:00Z"/>
        <d v="2023-07-22T00:00:00Z"/>
        <d v="2023-08-06T00:00:00Z"/>
        <d v="2024-10-13T00:00:00Z"/>
        <d v="2023-03-11T00:00:00Z"/>
        <d v="2025-08-03T00:00:00Z"/>
        <d v="2023-05-30T00:00:00Z"/>
        <d v="2024-12-17T00:00:00Z"/>
        <d v="2023-02-15T00:00:00Z"/>
        <d v="2025-12-20T00:00:00Z"/>
        <d v="2022-11-21T00:00:00Z"/>
        <d v="2023-12-31T00:00:00Z"/>
        <d v="2025-10-05T00:00:00Z"/>
        <d v="2022-07-01T00:00:00Z"/>
        <d v="2023-06-27T00:00:00Z"/>
        <d v="2025-04-02T00:00:00Z"/>
        <d v="2023-06-06T00:00:00Z"/>
        <d v="2025-01-07T00:00:00Z"/>
        <d v="2024-06-20T00:00:00Z"/>
        <d v="2024-09-05T00:00:00Z"/>
        <d v="2023-01-29T00:00:00Z"/>
        <d v="2022-09-19T00:00:00Z"/>
        <d v="2023-07-04T00:00:00Z"/>
        <d v="2023-01-28T00:00:00Z"/>
        <d v="2022-03-27T00:00:00Z"/>
        <d v="2022-12-19T00:00:00Z"/>
        <d v="2024-03-01T00:00:00Z"/>
        <d v="2024-07-09T00:00:00Z"/>
        <d v="2023-08-15T00:00:00Z"/>
        <d v="2022-06-08T00:00:00Z"/>
        <d v="2023-07-25T00:00:00Z"/>
        <d v="2024-06-21T00:00:00Z"/>
        <d v="2024-01-08T00:00:00Z"/>
        <d v="2025-06-25T00:00:00Z"/>
        <d v="2022-01-22T00:00:00Z"/>
        <d v="2025-09-26T00:00:00Z"/>
        <d v="2025-03-12T00:00:00Z"/>
        <d v="2024-10-02T00:00:00Z"/>
        <d v="2023-11-09T00:00:00Z"/>
        <d v="2023-01-17T00:00:00Z"/>
        <d v="2022-01-09T00:00:00Z"/>
        <d v="2025-05-31T00:00:00Z"/>
        <d v="2022-11-29T00:00:00Z"/>
        <d v="2025-07-08T00:00:00Z"/>
        <d v="2024-10-23T00:00:00Z"/>
        <d v="2024-05-03T00:00:00Z"/>
        <d v="2023-06-08T00:00:00Z"/>
        <d v="2023-02-05T00:00:00Z"/>
        <d v="2022-12-13T00:00:00Z"/>
        <d v="2024-10-06T00:00:00Z"/>
        <d v="2024-03-23T00:00:00Z"/>
        <d v="2022-02-04T00:00:00Z"/>
        <d v="2024-09-17T00:00:00Z"/>
        <d v="2025-10-08T00:00:00Z"/>
        <d v="2022-08-14T00:00:00Z"/>
        <d v="2024-04-27T00:00:00Z"/>
        <d v="2025-04-21T00:00:00Z"/>
        <d v="2025-09-08T00:00:00Z"/>
        <d v="2022-08-01T00:00:00Z"/>
        <d v="2024-04-25T00:00:00Z"/>
        <d v="2022-10-31T00:00:00Z"/>
        <d v="2025-02-05T00:00:00Z"/>
        <d v="2023-06-04T00:00:00Z"/>
        <d v="2023-08-23T00:00:00Z"/>
        <d v="2025-05-15T00:00:00Z"/>
        <d v="2025-10-22T00:00:00Z"/>
        <d v="2022-02-07T00:00:00Z"/>
        <d v="2023-08-31T00:00:00Z"/>
        <d v="2023-04-02T00:00:00Z"/>
        <d v="2025-04-08T00:00:00Z"/>
        <d v="2025-05-05T00:00:00Z"/>
        <d v="2022-12-17T00:00:00Z"/>
        <d v="2023-05-23T00:00:00Z"/>
        <d v="2024-11-06T00:00:00Z"/>
        <d v="2022-03-30T00:00:00Z"/>
        <d v="2022-08-28T00:00:00Z"/>
        <d v="2025-02-06T00:00:00Z"/>
        <d v="2023-06-19T00:00:00Z"/>
        <d v="2024-04-28T00:00:00Z"/>
        <d v="2024-03-16T00:00:00Z"/>
        <d v="2025-12-09T00:00:00Z"/>
        <d v="2024-09-09T00:00:00Z"/>
        <d v="2023-06-11T00:00:00Z"/>
        <d v="2023-01-20T00:00:00Z"/>
        <d v="2022-02-10T00:00:00Z"/>
        <d v="2024-03-31T00:00:00Z"/>
        <d v="2025-06-21T00:00:00Z"/>
        <d v="2023-06-10T00:00:00Z"/>
        <d v="2023-06-17T00:00:00Z"/>
        <d v="2022-09-03T00:00:00Z"/>
        <d v="2025-08-28T00:00:00Z"/>
        <d v="2022-12-15T00:00:00Z"/>
        <d v="2022-10-23T00:00:00Z"/>
        <d v="2024-10-12T00:00:00Z"/>
        <d v="2024-06-02T00:00:00Z"/>
        <d v="2024-05-11T00:00:00Z"/>
        <d v="2025-11-18T00:00:00Z"/>
        <d v="2024-04-08T00:00:00Z"/>
        <d v="2023-02-13T00:00:00Z"/>
        <d v="2024-04-05T00:00:00Z"/>
        <d v="2023-05-16T00:00:00Z"/>
        <d v="2024-02-08T00:00:00Z"/>
        <d v="2022-02-02T00:00:00Z"/>
        <d v="2022-12-28T00:00:00Z"/>
        <d v="2022-09-14T00:00:00Z"/>
        <d v="2022-07-27T00:00:00Z"/>
        <d v="2024-03-30T00:00:00Z"/>
        <d v="2022-03-08T00:00:00Z"/>
        <d v="2022-09-04T00:00:00Z"/>
        <d v="2024-08-16T00:00:00Z"/>
        <d v="2025-10-18T00:00:00Z"/>
        <d v="2022-08-06T00:00:00Z"/>
        <d v="2022-10-04T00:00:00Z"/>
        <d v="2022-08-25T00:00:00Z"/>
        <d v="2023-05-17T00:00:00Z"/>
        <d v="2024-04-01T00:00:00Z"/>
        <d v="2024-05-06T00:00:00Z"/>
        <d v="2024-08-28T00:00:00Z"/>
        <d v="2022-06-03T00:00:00Z"/>
        <d v="2024-04-26T00:00:00Z"/>
        <d v="2022-02-09T00:00:00Z"/>
        <d v="2024-07-28T00:00:00Z"/>
        <d v="2024-10-07T00:00:00Z"/>
        <d v="2024-05-09T00:00:00Z"/>
        <d v="2023-12-02T00:00:00Z"/>
        <d v="2023-07-16T00:00:00Z"/>
        <d v="2023-04-14T00:00:00Z"/>
        <d v="2023-11-11T00:00:00Z"/>
        <d v="2022-08-13T00:00:00Z"/>
        <d v="2022-02-06T00:00:00Z"/>
        <d v="2023-01-22T00:00:00Z"/>
        <d v="2024-05-10T00:00:00Z"/>
        <d v="2022-02-03T00:00:00Z"/>
        <d v="2025-11-23T00:00:00Z"/>
        <d v="2022-05-23T00:00:00Z"/>
        <d v="2023-08-21T00:00:00Z"/>
        <d v="2025-03-04T00:00:00Z"/>
        <d v="2025-08-06T00:00:00Z"/>
        <d v="2022-09-18T00:00:00Z"/>
        <d v="2023-09-01T00:00:00Z"/>
        <d v="2022-06-24T00:00:00Z"/>
        <d v="2025-02-17T00:00:00Z"/>
        <d v="2024-03-26T00:00:00Z"/>
        <d v="2025-01-19T00:00:00Z"/>
        <d v="2023-08-02T00:00:00Z"/>
        <d v="2022-08-29T00:00:00Z"/>
        <d v="2025-11-01T00:00:00Z"/>
        <d v="2024-02-27T00:00:00Z"/>
        <d v="2025-05-30T00:00:00Z"/>
        <d v="2024-12-28T00:00:00Z"/>
        <d v="2023-03-09T00:00:00Z"/>
        <d v="2024-04-14T00:00:00Z"/>
        <d v="2025-02-08T00:00:00Z"/>
        <d v="2022-12-02T00:00:00Z"/>
        <d v="2024-11-02T00:00:00Z"/>
        <d v="2025-06-12T00:00:00Z"/>
        <d v="2022-03-23T00:00:00Z"/>
        <d v="2023-10-08T00:00:00Z"/>
        <d v="2024-02-20T00:00:00Z"/>
        <d v="2025-04-12T00:00:00Z"/>
        <d v="2023-08-18T00:00:00Z"/>
        <d v="2023-04-23T00:00:00Z"/>
        <d v="2024-12-14T00:00:00Z"/>
        <d v="2022-11-03T00:00:00Z"/>
        <d v="2023-02-19T00:00:00Z"/>
        <d v="2024-11-13T00:00:00Z"/>
        <d v="2023-10-23T00:00:00Z"/>
        <d v="2022-11-25T00:00:00Z"/>
        <d v="2024-09-24T00:00:00Z"/>
        <d v="2022-02-22T00:00:00Z"/>
        <d v="2024-02-13T00:00:00Z"/>
        <d v="2024-03-20T00:00:00Z"/>
        <d v="2025-11-25T00:00:00Z"/>
        <d v="2025-11-10T00:00:00Z"/>
        <d v="2022-10-10T00:00:00Z"/>
        <d v="2025-03-05T00:00:00Z"/>
        <d v="2025-04-03T00:00:00Z"/>
        <d v="2024-10-15T00:00:00Z"/>
        <d v="2025-04-20T00:00:00Z"/>
        <d v="2023-03-18T00:00:00Z"/>
        <d v="2024-06-08T00:00:00Z"/>
        <d v="2022-07-16T00:00:00Z"/>
        <d v="2025-04-25T00:00:00Z"/>
        <d v="2024-07-22T00:00:00Z"/>
        <d v="2024-07-19T00:00:00Z"/>
        <d v="2024-02-23T00:00:00Z"/>
        <d v="2023-07-30T00:00:00Z"/>
        <d v="2023-12-06T00:00:00Z"/>
        <d v="2024-05-26T00:00:00Z"/>
        <d v="2023-09-21T00:00:00Z"/>
        <d v="2022-04-22T00:00:00Z"/>
        <d v="2022-11-16T00:00:00Z"/>
        <d v="2022-05-06T00:00:00Z"/>
        <d v="2023-03-03T00:00:00Z"/>
        <d v="2023-12-18T00:00:00Z"/>
        <d v="2025-02-21T00:00:00Z"/>
        <d v="2022-08-22T00:00:00Z"/>
        <d v="2022-06-30T00:00:00Z"/>
        <d v="2023-08-19T00:00:00Z"/>
        <d v="2024-12-27T00:00:00Z"/>
        <d v="2023-06-20T00:00:00Z"/>
        <d v="2022-07-08T00:00:00Z"/>
        <d v="2025-09-19T00:00:00Z"/>
        <d v="2022-09-29T00:00:00Z"/>
        <d v="2022-03-01T00:00:00Z"/>
        <d v="2022-10-05T00:00:00Z"/>
        <d v="2023-08-08T00:00:00Z"/>
        <d v="2022-11-17T00:00:00Z"/>
        <d v="2024-02-19T00:00:00Z"/>
        <d v="2024-05-21T00:00:00Z"/>
        <d v="2022-07-14T00:00:00Z"/>
        <d v="2024-10-08T00:00:00Z"/>
        <d v="2025-12-11T00:00:00Z"/>
        <d v="2025-02-10T00:00:00Z"/>
        <d v="2024-12-11T00:00:00Z"/>
        <d v="2022-08-30T00:00:00Z"/>
        <d v="2025-06-23T00:00:00Z"/>
        <d v="2024-06-09T00:00:00Z"/>
        <d v="2024-05-15T00:00:00Z"/>
        <d v="2025-01-04T00:00:00Z"/>
        <d v="2024-02-10T00:00:00Z"/>
        <d v="2025-10-12T00:00:00Z"/>
        <d v="2022-02-26T00:00:00Z"/>
      </sharedItems>
    </cacheField>
    <cacheField name="Tenure_Months" numFmtId="3">
      <sharedItems containsSemiMixedTypes="0" containsString="0" containsNumber="1" containsInteger="1">
        <n v="9.0"/>
        <n v="27.0"/>
        <n v="23.0"/>
        <n v="6.0"/>
        <n v="30.0"/>
        <n v="14.0"/>
        <n v="32.0"/>
        <n v="44.0"/>
        <n v="20.0"/>
        <n v="13.0"/>
        <n v="46.0"/>
        <n v="11.0"/>
        <n v="43.0"/>
        <n v="12.0"/>
        <n v="21.0"/>
        <n v="7.0"/>
        <n v="33.0"/>
        <n v="45.0"/>
        <n v="18.0"/>
        <n v="47.0"/>
        <n v="40.0"/>
        <n v="34.0"/>
        <n v="28.0"/>
        <n v="16.0"/>
        <n v="4.0"/>
        <n v="39.0"/>
        <n v="2.0"/>
        <n v="42.0"/>
        <n v="22.0"/>
        <n v="36.0"/>
        <n v="31.0"/>
        <n v="19.0"/>
        <n v="48.0"/>
        <n v="26.0"/>
        <n v="1.0"/>
        <n v="38.0"/>
        <n v="3.0"/>
        <n v="35.0"/>
        <n v="120.0"/>
        <n v="8.0"/>
        <n v="24.0"/>
        <n v="15.0"/>
        <n v="10.0"/>
        <n v="41.0"/>
        <n v="25.0"/>
        <n v="5.0"/>
        <n v="29.0"/>
        <n v="37.0"/>
        <n v="17.0"/>
        <n v="0.0"/>
        <n v="-3.0"/>
      </sharedItems>
    </cacheField>
    <cacheField name="Contract_Type" numFmtId="0">
      <sharedItems>
        <s v="Monthly"/>
        <s v="Quarterly"/>
        <s v="Annual"/>
      </sharedItems>
    </cacheField>
    <cacheField name="Payment_Method" numFmtId="0">
      <sharedItems>
        <s v="Upi"/>
        <s v="Credit Card"/>
        <s v="Debit Card"/>
      </sharedItems>
    </cacheField>
    <cacheField name="Monthly_Fee">
      <sharedItems containsMixedTypes="1" containsNumber="1" containsInteger="1">
        <n v="1757.0"/>
        <n v="1283.0"/>
        <n v="521.0"/>
        <n v="550.0"/>
        <n v="1703.0"/>
        <n v="2938.0"/>
        <n v="523.0"/>
        <n v="3536.0"/>
        <n v="1622.0"/>
        <n v="747.0"/>
        <n v="3329.0"/>
        <n v="1068.0"/>
        <n v="836.0"/>
        <n v="1142.0"/>
        <n v="3769.0"/>
        <n v="1193.0"/>
        <n v="533.0"/>
        <n v="1684.0"/>
        <n v="608.0"/>
        <n v="1269.0"/>
        <n v="1093.0"/>
        <n v="1035.0"/>
        <n v="785.0"/>
        <n v="1109.0"/>
        <n v="1284.0"/>
        <n v="722.0"/>
        <n v="562.0"/>
        <n v="588.0"/>
        <n v="875.0"/>
        <n v="536.0"/>
        <n v="784.0"/>
        <n v="1455.0"/>
        <n v="662.0"/>
        <n v="714.0"/>
        <n v="1223.0"/>
        <n v="3356.0"/>
        <n v="1257.0"/>
        <n v="3370.0"/>
        <n v="3858.0"/>
        <n v="1378.0"/>
        <n v="774.0"/>
        <n v="1185.0"/>
        <n v="622.0"/>
        <n v="1762.0"/>
        <n v="877.0"/>
        <n v="526.0"/>
        <n v="532.0"/>
        <n v="1793.0"/>
        <n v="2490.0"/>
        <n v="731.0"/>
        <n v="1765.0"/>
        <n v="627.0"/>
        <n v="1649.0"/>
        <n v="1036.0"/>
        <n v="819.0"/>
        <n v="1229.0"/>
        <n v="1194.0"/>
        <n v="749.0"/>
        <n v="1721.0"/>
        <n v="2294.0"/>
        <n v="3470.0"/>
        <n v="3420.0"/>
        <n v="1623.0"/>
        <n v="579.0"/>
        <n v="3176.0"/>
        <n v="1650.0"/>
        <n v="3086.0"/>
        <n v="702.0"/>
        <n v="1633.0"/>
        <n v="558.0"/>
        <n v="1032.0"/>
        <n v="1335.0"/>
        <n v="1601.0"/>
        <n v="1514.0"/>
        <n v="3862.0"/>
        <n v="808.0"/>
        <n v="629.0"/>
        <n v="1419.0"/>
        <n v="1116.0"/>
        <n v="591.0"/>
        <n v="665.0"/>
        <n v="638.0"/>
        <n v="607.0"/>
        <n v="1072.0"/>
        <n v="815.0"/>
        <n v="3044.0"/>
        <n v="834.0"/>
        <n v="639.0"/>
        <s v=""/>
        <n v="3322.0"/>
        <n v="3324.0"/>
        <n v="657.0"/>
        <n v="1348.0"/>
        <n v="3701.0"/>
        <n v="598.0"/>
        <n v="1566.0"/>
        <n v="711.0"/>
        <n v="1711.0"/>
        <n v="1653.0"/>
        <n v="712.0"/>
        <n v="2032.0"/>
        <n v="897.0"/>
        <n v="1483.0"/>
        <n v="594.0"/>
        <n v="727.0"/>
        <n v="1371.0"/>
        <n v="1618.0"/>
        <n v="864.0"/>
        <n v="1228.0"/>
        <n v="1735.0"/>
        <n v="1563.0"/>
        <n v="2401.0"/>
        <n v="1041.0"/>
        <n v="3647.0"/>
        <n v="695.0"/>
        <n v="3034.0"/>
        <n v="634.0"/>
        <n v="1285.0"/>
        <n v="518.0"/>
        <n v="759.0"/>
        <n v="1051.0"/>
        <n v="603.0"/>
        <n v="680.0"/>
        <n v="1490.0"/>
        <n v="2708.0"/>
        <n v="841.0"/>
        <n v="3331.0"/>
        <n v="2957.0"/>
        <n v="1178.0"/>
        <n v="859.0"/>
        <n v="1774.0"/>
        <n v="3098.0"/>
        <n v="1058.0"/>
        <n v="534.0"/>
        <n v="2271.0"/>
        <n v="1543.0"/>
        <n v="1102.0"/>
        <n v="1238.0"/>
        <n v="614.0"/>
        <n v="729.0"/>
        <n v="610.0"/>
        <n v="1328.0"/>
        <n v="1319.0"/>
        <n v="624.0"/>
        <n v="776.0"/>
        <n v="690.0"/>
        <n v="507.0"/>
        <n v="734.0"/>
        <n v="1510.0"/>
        <n v="787.0"/>
        <n v="1392.0"/>
        <n v="2466.0"/>
        <n v="1156.0"/>
        <n v="719.0"/>
        <n v="538.0"/>
        <n v="1607.0"/>
        <n v="2232.0"/>
        <n v="1688.0"/>
        <n v="3112.0"/>
        <n v="652.0"/>
        <n v="1413.0"/>
        <n v="531.0"/>
        <n v="1467.0"/>
        <n v="804.0"/>
        <n v="682.0"/>
        <n v="1778.0"/>
        <n v="1374.0"/>
        <n v="3771.0"/>
        <n v="1358.0"/>
        <n v="882.0"/>
        <n v="3012.0"/>
        <n v="2253.0"/>
        <n v="3359.0"/>
        <n v="764.0"/>
        <n v="709.0"/>
        <n v="3132.0"/>
        <n v="1013.0"/>
        <n v="1117.0"/>
        <n v="1264.0"/>
        <n v="1367.0"/>
        <n v="791.0"/>
        <n v="648.0"/>
        <n v="824.0"/>
        <n v="565.0"/>
        <n v="553.0"/>
        <n v="654.0"/>
        <n v="1568.0"/>
        <n v="829.0"/>
        <n v="720.0"/>
        <n v="3020.0"/>
        <n v="1018.0"/>
        <n v="697.0"/>
        <n v="2631.0"/>
        <n v="589.0"/>
        <n v="1748.0"/>
        <n v="872.0"/>
        <n v="874.0"/>
        <n v="632.0"/>
        <n v="1159.0"/>
        <n v="750.0"/>
        <n v="741.0"/>
        <n v="633.0"/>
        <n v="2856.0"/>
        <n v="584.0"/>
        <n v="854.0"/>
        <n v="1700.0"/>
        <n v="763.0"/>
        <n v="732.0"/>
        <n v="830.0"/>
        <n v="828.0"/>
        <n v="810.0"/>
        <n v="806.0"/>
        <n v="1742.0"/>
        <n v="1186.0"/>
        <n v="823.0"/>
        <n v="674.0"/>
        <n v="1171.0"/>
        <n v="506.0"/>
        <n v="871.0"/>
        <n v="1048.0"/>
        <n v="1677.0"/>
        <n v="1534.0"/>
        <n v="555.0"/>
        <n v="3744.0"/>
        <n v="2548.0"/>
        <n v="1114.0"/>
        <n v="1493.0"/>
        <n v="1743.0"/>
        <n v="2676.0"/>
        <n v="1210.0"/>
        <n v="1362.0"/>
        <n v="700.0"/>
        <n v="1646.0"/>
        <n v="1682.0"/>
        <n v="581.0"/>
        <n v="1293.0"/>
        <n v="1720.0"/>
        <n v="718.0"/>
        <n v="1356.0"/>
        <n v="813.0"/>
        <n v="2088.0"/>
        <n v="552.0"/>
        <n v="615.0"/>
        <n v="1073.0"/>
        <n v="611.0"/>
        <n v="542.0"/>
        <n v="1054.0"/>
        <n v="681.0"/>
        <n v="1372.0"/>
        <n v="1472.0"/>
        <n v="2153.0"/>
        <n v="1602.0"/>
        <n v="604.0"/>
        <n v="1591.0"/>
        <n v="1005.0"/>
        <n v="668.0"/>
        <n v="519.0"/>
        <n v="2448.0"/>
        <n v="1015.0"/>
        <n v="499.0"/>
        <n v="1712.0"/>
        <n v="765.0"/>
        <n v="3545.0"/>
        <n v="1120.0"/>
        <n v="740.0"/>
        <n v="1791.0"/>
        <n v="1689.0"/>
        <n v="1561.0"/>
        <n v="1696.0"/>
        <n v="3508.0"/>
        <n v="1627.0"/>
        <n v="2109.0"/>
        <n v="3379.0"/>
        <n v="716.0"/>
        <n v="1199.0"/>
        <n v="852.0"/>
        <n v="539.0"/>
        <n v="837.0"/>
        <n v="1085.0"/>
        <n v="1486.0"/>
        <n v="1551.0"/>
        <n v="865.0"/>
        <n v="551.0"/>
        <n v="515.0"/>
        <n v="2508.0"/>
        <n v="1042.0"/>
        <n v="2341.0"/>
        <n v="850.0"/>
        <n v="723.0"/>
        <n v="738.0"/>
        <n v="835.0"/>
        <n v="3141.0"/>
        <n v="617.0"/>
        <n v="1436.0"/>
        <n v="3295.0"/>
        <n v="686.0"/>
        <n v="1608.0"/>
        <n v="3293.0"/>
        <n v="793.0"/>
        <n v="724.0"/>
        <n v="2920.0"/>
        <n v="1595.0"/>
        <n v="1674.0"/>
        <n v="619.0"/>
        <n v="1639.0"/>
        <n v="1315.0"/>
        <n v="710.0"/>
        <n v="1797.0"/>
        <n v="3687.0"/>
        <n v="1751.0"/>
        <n v="571.0"/>
        <n v="863.0"/>
        <n v="861.0"/>
        <n v="1786.0"/>
        <n v="754.0"/>
        <n v="641.0"/>
        <n v="1049.0"/>
        <n v="1376.0"/>
        <n v="1110.0"/>
        <n v="1361.0"/>
        <n v="1119.0"/>
        <n v="1306.0"/>
        <n v="1547.0"/>
        <n v="1382.0"/>
        <n v="572.0"/>
        <n v="669.0"/>
        <n v="535.0"/>
        <n v="514.0"/>
        <n v="721.0"/>
        <n v="1179.0"/>
        <n v="886.0"/>
        <n v="3762.0"/>
        <n v="742.0"/>
        <n v="873.0"/>
        <n v="1479.0"/>
        <n v="556.0"/>
        <n v="577.0"/>
        <n v="1390.0"/>
        <n v="699.0"/>
        <n v="1787.0"/>
        <n v="2803.0"/>
        <n v="1255.0"/>
        <n v="704.0"/>
        <n v="855.0"/>
        <n v="775.0"/>
        <n v="846.0"/>
        <n v="2351.0"/>
        <n v="602.0"/>
        <n v="1143.0"/>
        <n v="1420.0"/>
        <n v="770.0"/>
        <n v="580.0"/>
        <n v="513.0"/>
        <n v="1241.0"/>
        <n v="568.0"/>
        <n v="888.0"/>
        <n v="735.0"/>
        <n v="757.0"/>
        <n v="2981.0"/>
        <n v="2001.0"/>
        <n v="1081.0"/>
        <n v="862.0"/>
        <n v="1191.0"/>
        <n v="1022.0"/>
        <n v="644.0"/>
        <n v="1147.0"/>
        <n v="3856.0"/>
        <n v="666.0"/>
        <n v="3931.0"/>
        <n v="543.0"/>
        <n v="1536.0"/>
        <n v="1295.0"/>
        <n v="826.0"/>
        <n v="1578.0"/>
        <n v="1364.0"/>
        <n v="1329.0"/>
        <n v="1103.0"/>
        <n v="1355.0"/>
        <n v="563.0"/>
        <n v="559.0"/>
        <n v="1592.0"/>
        <n v="1100.0"/>
        <n v="1289.0"/>
        <n v="3005.0"/>
        <n v="585.0"/>
        <n v="760.0"/>
        <n v="590.0"/>
        <n v="1266.0"/>
        <n v="3761.0"/>
        <n v="1130.0"/>
        <n v="3326.0"/>
        <n v="1526.0"/>
        <n v="1343.0"/>
        <n v="1586.0"/>
        <n v="1666.0"/>
        <n v="1115.0"/>
        <n v="3930.0"/>
        <n v="3703.0"/>
        <n v="1034.0"/>
        <n v="2183.0"/>
        <n v="1453.0"/>
        <n v="687.0"/>
        <n v="694.0"/>
        <n v="1339.0"/>
        <n v="1129.0"/>
        <n v="3633.0"/>
        <n v="752.0"/>
        <n v="1123.0"/>
        <n v="1670.0"/>
        <n v="1244.0"/>
        <n v="1189.0"/>
        <n v="1080.0"/>
        <n v="1434.0"/>
        <n v="1084.0"/>
        <n v="1598.0"/>
        <n v="1505.0"/>
        <n v="807.0"/>
        <n v="1766.0"/>
        <n v="1046.0"/>
        <n v="1170.0"/>
        <n v="868.0"/>
        <n v="2074.0"/>
        <n v="1605.0"/>
        <n v="792.0"/>
        <n v="692.0"/>
        <n v="1132.0"/>
        <n v="1615.0"/>
        <n v="788.0"/>
        <n v="1637.0"/>
        <n v="1183.0"/>
        <n v="1023.0"/>
        <n v="707.0"/>
        <n v="847.0"/>
        <n v="642.0"/>
        <n v="567.0"/>
        <n v="1686.0"/>
        <n v="1775.0"/>
        <n v="502.0"/>
        <n v="790.0"/>
        <n v="525.0"/>
        <n v="1448.0"/>
        <n v="3627.0"/>
        <n v="3037.0"/>
        <n v="737.0"/>
        <n v="647.0"/>
        <n v="768.0"/>
        <n v="889.0"/>
        <n v="3258.0"/>
        <n v="1375.0"/>
        <n v="892.0"/>
        <n v="1438.0"/>
        <n v="3774.0"/>
        <n v="1690.0"/>
        <n v="1441.0"/>
        <n v="2672.0"/>
        <n v="1424.0"/>
        <n v="1549.0"/>
        <n v="736.0"/>
        <n v="1758.0"/>
        <n v="1203.0"/>
        <n v="505.0"/>
        <n v="3097.0"/>
        <n v="840.0"/>
        <n v="1136.0"/>
        <n v="2354.0"/>
        <n v="794.0"/>
        <n v="578.0"/>
        <n v="809.0"/>
        <n v="2753.0"/>
        <n v="1529.0"/>
        <n v="1351.0"/>
        <n v="1204.0"/>
        <n v="1363.0"/>
        <n v="3780.0"/>
        <n v="2818.0"/>
        <n v="1515.0"/>
        <n v="1715.0"/>
        <n v="3484.0"/>
        <n v="3654.0"/>
        <n v="1388.0"/>
        <n v="1226.0"/>
        <n v="3433.0"/>
        <n v="769.0"/>
        <n v="3994.0"/>
        <n v="851.0"/>
        <n v="1126.0"/>
        <n v="3348.0"/>
        <n v="1305.0"/>
        <n v="1664.0"/>
        <n v="597.0"/>
        <n v="3981.0"/>
        <n v="616.0"/>
        <n v="751.0"/>
        <n v="772.0"/>
        <n v="715.0"/>
        <n v="3637.0"/>
        <n v="1699.0"/>
        <n v="1522.0"/>
        <n v="1643.0"/>
        <n v="767.0"/>
        <n v="625.0"/>
        <n v="1075.0"/>
        <n v="887.0"/>
        <n v="1131.0"/>
        <n v="2236.0"/>
        <n v="2663.0"/>
        <n v="853.0"/>
        <n v="574.0"/>
        <n v="645.0"/>
        <n v="743.0"/>
        <n v="2602.0"/>
        <n v="2760.0"/>
        <n v="587.0"/>
        <n v="895.0"/>
        <n v="3573.0"/>
        <n v="2152.0"/>
        <n v="1292.0"/>
        <n v="1439.0"/>
        <n v="2972.0"/>
        <n v="1759.0"/>
        <n v="688.0"/>
        <n v="670.0"/>
        <n v="1594.0"/>
        <n v="3605.0"/>
        <n v="1779.0"/>
        <n v="1079.0"/>
        <n v="2157.0"/>
        <n v="3859.0"/>
        <n v="3067.0"/>
        <n v="3489.0"/>
        <n v="1359.0"/>
        <n v="1621.0"/>
        <n v="1462.0"/>
        <n v="586.0"/>
        <n v="693.0"/>
        <n v="1500.0"/>
        <n v="1710.0"/>
        <n v="1095.0"/>
        <n v="2542.0"/>
        <n v="1294.0"/>
        <n v="1288.0"/>
        <n v="825.0"/>
        <n v="1709.0"/>
        <n v="3610.0"/>
        <n v="1575.0"/>
        <n v="1037.0"/>
        <n v="628.0"/>
        <n v="1004.0"/>
        <n v="1140.0"/>
        <n v="3427.0"/>
        <n v="1276.0"/>
        <n v="2577.0"/>
        <n v="1209.0"/>
        <n v="856.0"/>
        <n v="1506.0"/>
        <n v="1771.0"/>
        <n v="1546.0"/>
        <n v="1344.0"/>
        <n v="726.0"/>
        <n v="1450.0"/>
        <n v="1519.0"/>
        <n v="3502.0"/>
        <n v="667.0"/>
        <n v="833.0"/>
        <n v="1417.0"/>
        <n v="879.0"/>
        <n v="894.0"/>
        <n v="3378.0"/>
        <n v="1443.0"/>
        <n v="1028.0"/>
        <n v="1624.0"/>
        <n v="1369.0"/>
        <n v="509.0"/>
        <n v="1385.0"/>
        <n v="547.0"/>
        <n v="3757.0"/>
        <n v="1038.0"/>
        <n v="845.0"/>
        <n v="1763.0"/>
        <n v="601.0"/>
        <n v="1572.0"/>
        <n v="2903.0"/>
        <n v="3145.0"/>
        <n v="1012.0"/>
        <n v="3534.0"/>
        <n v="2851.0"/>
        <n v="661.0"/>
        <n v="1316.0"/>
        <n v="3002.0"/>
        <n v="2887.0"/>
        <n v="503.0"/>
        <n v="891.0"/>
        <n v="869.0"/>
        <n v="1247.0"/>
        <n v="1026.0"/>
        <n v="1444.0"/>
        <n v="1431.0"/>
        <n v="1433.0"/>
        <n v="651.0"/>
        <n v="1629.0"/>
        <n v="1353.0"/>
        <n v="822.0"/>
        <n v="1513.0"/>
        <n v="848.0"/>
        <n v="2966.0"/>
        <n v="3099.0"/>
        <n v="3419.0"/>
        <n v="3377.0"/>
        <n v="3475.0"/>
        <n v="1492.0"/>
        <n v="1564.0"/>
        <n v="1200.0"/>
        <n v="1795.0"/>
        <n v="3014.0"/>
        <n v="1236.0"/>
        <n v="1174.0"/>
        <n v="2723.0"/>
        <n v="2038.0"/>
        <n v="2501.0"/>
        <n v="2958.0"/>
        <n v="1798.0"/>
        <n v="664.0"/>
        <n v="512.0"/>
        <n v="2468.0"/>
        <n v="1416.0"/>
        <n v="2274.0"/>
        <n v="3271.0"/>
        <n v="548.0"/>
        <n v="650.0"/>
        <n v="880.0"/>
        <n v="1679.0"/>
        <n v="1496.0"/>
        <n v="1603.0"/>
        <n v="1662.0"/>
        <n v="1508.0"/>
        <n v="1326.0"/>
        <n v="3652.0"/>
        <n v="1445.0"/>
        <n v="1027.0"/>
        <n v="3425.0"/>
        <n v="1661.0"/>
        <n v="1011.0"/>
        <n v="1373.0"/>
        <n v="1533.0"/>
        <n v="663.0"/>
        <n v="3311.0"/>
        <n v="1044.0"/>
        <n v="3368.0"/>
        <n v="1258.0"/>
        <n v="725.0"/>
        <n v="3327.0"/>
        <n v="1464.0"/>
        <n v="1332.0"/>
        <n v="2288.0"/>
        <n v="1250.0"/>
        <n v="659.0"/>
        <n v="1154.0"/>
        <n v="3801.0"/>
        <n v="1579.0"/>
        <n v="566.0"/>
        <n v="2151.0"/>
        <n v="3787.0"/>
        <n v="618.0"/>
        <n v="1452.0"/>
        <n v="1232.0"/>
        <n v="1256.0"/>
        <n v="1089.0"/>
        <n v="1393.0"/>
        <n v="1221.0"/>
        <n v="748.0"/>
        <n v="1381.0"/>
        <n v="3135.0"/>
        <n v="685.0"/>
        <n v="1146.0"/>
        <n v="1281.0"/>
        <n v="3125.0"/>
        <n v="527.0"/>
        <n v="1231.0"/>
        <n v="706.0"/>
        <n v="2469.0"/>
        <n v="2910.0"/>
        <n v="1303.0"/>
        <n v="1239.0"/>
        <n v="777.0"/>
        <n v="883.0"/>
        <n v="1517.0"/>
        <n v="1556.0"/>
        <n v="1671.0"/>
        <n v="896.0"/>
        <n v="3802.0"/>
        <n v="758.0"/>
        <n v="1299.0"/>
        <n v="1134.0"/>
        <n v="3358.0"/>
        <n v="1488.0"/>
        <n v="814.0"/>
        <n v="1691.0"/>
        <n v="2553.0"/>
        <n v="1415.0"/>
        <n v="1349.0"/>
        <n v="1389.0"/>
        <n v="798.0"/>
        <n v="546.0"/>
        <n v="1182.0"/>
        <n v="755.0"/>
        <n v="1164.0"/>
        <n v="1531.0"/>
        <n v="701.0"/>
        <n v="1341.0"/>
        <n v="1745.0"/>
        <n v="689.0"/>
        <n v="2830.0"/>
        <n v="2585.0"/>
        <n v="1101.0"/>
        <n v="1312.0"/>
        <n v="753.0"/>
        <n v="1473.0"/>
        <n v="1542.0"/>
        <n v="1784.0"/>
        <n v="2409.0"/>
        <n v="2850.0"/>
        <n v="3746.0"/>
        <n v="745.0"/>
        <n v="3068.0"/>
        <n v="816.0"/>
        <n v="595.0"/>
        <n v="839.0"/>
        <n v="1334.0"/>
        <n v="2433.0"/>
        <n v="1604.0"/>
        <n v="1520.0"/>
        <n v="3975.0"/>
        <n v="1658.0"/>
        <n v="3042.0"/>
        <n v="3959.0"/>
        <n v="3133.0"/>
        <n v="779.0"/>
        <n v="606.0"/>
        <n v="1220.0"/>
        <n v="583.0"/>
        <n v="1061.0"/>
        <n v="2980.0"/>
        <n v="1754.0"/>
        <n v="1167.0"/>
        <n v="679.0"/>
        <n v="1352.0"/>
        <n v="1313.0"/>
        <n v="1195.0"/>
        <n v="1181.0"/>
        <n v="609.0"/>
        <n v="1476.0"/>
        <n v="3308.0"/>
        <n v="1160.0"/>
        <n v="2655.0"/>
        <n v="1495.0"/>
        <n v="2485.0"/>
        <n v="508.0"/>
        <n v="3547.0"/>
        <n v="3303.0"/>
        <n v="3983.0"/>
        <n v="1099.0"/>
        <n v="1640.0"/>
        <n v="3030.0"/>
        <n v="649.0"/>
        <n v="1016.0"/>
        <n v="1545.0"/>
        <n v="1144.0"/>
        <n v="3062.0"/>
        <n v="1273.0"/>
        <n v="3224.0"/>
        <n v="1274.0"/>
        <n v="2208.0"/>
        <n v="1773.0"/>
        <n v="2682.0"/>
        <n v="635.0"/>
        <n v="885.0"/>
        <n v="1728.0"/>
        <n v="656.0"/>
        <n v="3111.0"/>
        <n v="1680.0"/>
        <n v="1702.0"/>
        <n v="3751.0"/>
        <n v="1252.0"/>
        <n v="2900.0"/>
        <n v="1094.0"/>
        <n v="520.0"/>
        <n v="605.0"/>
        <n v="1463.0"/>
        <n v="2131.0"/>
        <n v="3040.0"/>
        <n v="640.0"/>
        <n v="717.0"/>
        <n v="3715.0"/>
        <n v="1411.0"/>
        <n v="626.0"/>
        <n v="3808.0"/>
        <n v="3280.0"/>
        <n v="1583.0"/>
        <n v="1192.0"/>
        <n v="1153.0"/>
        <n v="1685.0"/>
        <n v="870.0"/>
        <n v="2679.0"/>
        <n v="817.0"/>
        <n v="1317.0"/>
        <n v="756.0"/>
        <n v="1590.0"/>
        <n v="1525.0"/>
        <n v="3507.0"/>
        <n v="1172.0"/>
        <n v="2066.0"/>
        <n v="857.0"/>
        <n v="1014.0"/>
        <n v="3079.0"/>
        <n v="691.0"/>
        <n v="1118.0"/>
        <n v="3848.0"/>
        <n v="3440.0"/>
        <n v="1302.0"/>
        <n v="1165.0"/>
        <n v="3705.0"/>
        <n v="1750.0"/>
        <n v="3149.0"/>
        <n v="3567.0"/>
        <n v="1263.0"/>
        <n v="2689.0"/>
        <n v="1783.0"/>
        <n v="3881.0"/>
        <n v="1503.0"/>
        <n v="2497.0"/>
        <n v="1127.0"/>
        <n v="1031.0"/>
        <n v="3578.0"/>
        <n v="2522.0"/>
        <n v="1217.0"/>
        <n v="1648.0"/>
        <n v="1794.0"/>
        <n v="803.0"/>
        <n v="1090.0"/>
        <n v="3680.0"/>
        <n v="2301.0"/>
        <n v="1470.0"/>
        <n v="1683.0"/>
        <n v="1188.0"/>
        <n v="1017.0"/>
        <n v="1213.0"/>
        <n v="1494.0"/>
        <n v="1737.0"/>
        <n v="2463.0"/>
        <n v="678.0"/>
        <n v="1106.0"/>
        <n v="545.0"/>
        <n v="1161.0"/>
        <n v="2946.0"/>
        <n v="849.0"/>
        <n v="1457.0"/>
        <n v="2450.0"/>
        <n v="2732.0"/>
        <n v="789.0"/>
        <n v="842.0"/>
        <n v="582.0"/>
        <n v="1656.0"/>
        <n v="524.0"/>
        <n v="733.0"/>
        <n v="3885.0"/>
        <n v="3866.0"/>
        <n v="1249.0"/>
        <n v="812.0"/>
        <n v="1333.0"/>
        <n v="1625.0"/>
        <n v="3667.0"/>
        <n v="1190.0"/>
        <n v="1112.0"/>
        <n v="2291.0"/>
        <n v="821.0"/>
        <n v="762.0"/>
        <n v="1331.0"/>
        <n v="744.0"/>
        <n v="1267.0"/>
        <n v="730.0"/>
        <n v="1083.0"/>
        <n v="1589.0"/>
        <n v="612.0"/>
        <n v="561.0"/>
        <n v="1580.0"/>
        <n v="631.0"/>
        <n v="1196.0"/>
        <n v="811.0"/>
        <n v="593.0"/>
        <n v="1138.0"/>
        <n v="573.0"/>
        <n v="660.0"/>
        <n v="658.0"/>
        <n v="1043.0"/>
        <n v="570.0"/>
        <n v="2325.0"/>
        <n v="2035.0"/>
        <n v="623.0"/>
        <n v="3950.0"/>
        <n v="3957.0"/>
        <n v="1175.0"/>
        <n v="1206.0"/>
        <n v="3463.0"/>
        <n v="2456.0"/>
        <n v="800.0"/>
        <n v="2029.0"/>
        <n v="537.0"/>
        <n v="1336.0"/>
        <n v="2464.0"/>
        <n v="1391.0"/>
        <n v="569.0"/>
        <n v="1609.0"/>
        <n v="1214.0"/>
        <n v="832.0"/>
        <n v="3822.0"/>
        <n v="1408.0"/>
        <n v="1265.0"/>
        <n v="1162.0"/>
        <n v="1427.0"/>
        <n v="3750.0"/>
        <n v="2269.0"/>
        <n v="795.0"/>
        <n v="1599.0"/>
        <n v="802.0"/>
        <n v="2765.0"/>
        <n v="1308.0"/>
        <n v="2724.0"/>
        <n v="1357.0"/>
        <n v="1212.0"/>
        <n v="2477.0"/>
        <n v="3725.0"/>
        <n v="1518.0"/>
        <n v="866.0"/>
        <n v="2568.0"/>
        <n v="1562.0"/>
        <n v="1672.0"/>
        <n v="2299.0"/>
        <n v="2379.0"/>
        <n v="1096.0"/>
        <n v="1713.0"/>
        <n v="1636.0"/>
        <n v="1642.0"/>
        <n v="893.0"/>
        <n v="1588.0"/>
        <n v="1243.0"/>
        <n v="1001.0"/>
        <n v="2305.0"/>
        <n v="1790.0"/>
        <n v="1395.0"/>
        <n v="2264.0"/>
        <n v="504.0"/>
        <n v="708.0"/>
        <n v="3636.0"/>
        <n v="1714.0"/>
        <n v="698.0"/>
        <n v="1310.0"/>
        <n v="3599.0"/>
        <n v="766.0"/>
        <n v="1610.0"/>
        <n v="3121.0"/>
        <n v="529.0"/>
        <n v="3021.0"/>
        <n v="1456.0"/>
        <n v="630.0"/>
        <n v="1552.0"/>
        <n v="703.0"/>
        <n v="3199.0"/>
        <n v="1345.0"/>
        <n v="2545.0"/>
        <n v="3898.0"/>
        <n v="797.0"/>
        <n v="1739.0"/>
        <n v="3291.0"/>
        <n v="2107.0"/>
        <n v="1097.0"/>
        <n v="1482.0"/>
        <n v="2503.0"/>
        <n v="1025.0"/>
        <n v="2231.0"/>
        <n v="713.0"/>
        <n v="1074.0"/>
        <n v="3879.0"/>
        <n v="1726.0"/>
        <n v="3065.0"/>
        <n v="673.0"/>
        <n v="1777.0"/>
        <n v="2495.0"/>
        <n v="1675.0"/>
        <n v="1404.0"/>
        <n v="1660.0"/>
        <n v="1756.0"/>
        <n v="1638.0"/>
        <n v="761.0"/>
        <n v="3493.0"/>
        <n v="884.0"/>
        <n v="1342.0"/>
        <n v="1516.0"/>
        <n v="1422.0"/>
        <n v="1652.0"/>
        <n v="3875.0"/>
        <n v="1122.0"/>
        <n v="541.0"/>
        <n v="739.0"/>
        <n v="643.0"/>
        <n v="1719.0"/>
        <n v="564.0"/>
        <n v="3458.0"/>
        <n v="3938.0"/>
        <n v="2285.0"/>
        <n v="576.0"/>
        <n v="554.0"/>
        <n v="1314.0"/>
        <n v="3297.0"/>
        <n v="2866.0"/>
        <n v="3936.0"/>
        <n v="1676.0"/>
        <n v="773.0"/>
        <n v="1681.0"/>
        <n v="501.0"/>
        <n v="1409.0"/>
        <n v="2932.0"/>
        <n v="1440.0"/>
        <n v="1108.0"/>
        <n v="2227.0"/>
        <n v="1405.0"/>
        <n v="1498.0"/>
        <n v="1747.0"/>
        <n v="3212.0"/>
        <n v="890.0"/>
        <n v="557.0"/>
        <n v="746.0"/>
        <n v="2329.0"/>
        <n v="838.0"/>
        <n v="2917.0"/>
        <n v="3745.0"/>
        <n v="1045.0"/>
        <n v="3706.0"/>
        <n v="2247.0"/>
        <n v="1320.0"/>
        <n v="1550.0"/>
        <n v="1230.0"/>
        <n v="530.0"/>
        <n v="637.0"/>
        <n v="2653.0"/>
        <n v="1645.0"/>
        <n v="1290.0"/>
        <n v="1021.0"/>
        <n v="2209.0"/>
        <n v="1502.0"/>
        <n v="899.0"/>
        <n v="3140.0"/>
        <n v="544.0"/>
      </sharedItems>
    </cacheField>
    <cacheField name="Support_Tickets" numFmtId="4">
      <sharedItems>
        <s v="2"/>
        <s v="0"/>
        <s v="1"/>
        <s v="3"/>
        <s v="5"/>
        <s v="4"/>
        <s v=""/>
        <s v="6"/>
        <s v="7"/>
        <s v="8"/>
      </sharedItems>
    </cacheField>
    <cacheField name="Complaints">
      <sharedItems containsMixedTypes="1" containsNumber="1" containsInteger="1">
        <n v="0.0"/>
        <n v="2.0"/>
        <n v="1.0"/>
        <n v="3.0"/>
        <n v="4.0"/>
        <n v="6.0"/>
        <n v="5.0"/>
        <s v=""/>
      </sharedItems>
    </cacheField>
    <cacheField name="Monthly_Usage_Hours" numFmtId="4">
      <sharedItems containsSemiMixedTypes="0" containsString="0" containsNumber="1">
        <n v="32.0"/>
        <n v="40.6"/>
        <n v="14.3"/>
        <n v="9.9"/>
        <n v="28.5"/>
        <n v="33.2"/>
        <n v="16.2"/>
        <n v="43.9"/>
        <n v="27.1"/>
        <n v="20.7"/>
        <n v="42.7"/>
        <n v="15.9"/>
        <n v="27.4"/>
        <n v="27.7"/>
        <n v="38.7"/>
        <n v="21.5"/>
        <n v="12.4"/>
        <n v="6.8"/>
        <n v="16.7"/>
        <n v="12.6"/>
        <n v="26.5"/>
        <n v="37.1"/>
        <n v="10.1"/>
        <n v="15.6"/>
        <n v="21.7"/>
        <n v="15.4"/>
        <n v="19.8"/>
        <n v="19.4"/>
        <n v="27.3"/>
        <n v="10.9"/>
        <n v="23.0"/>
        <n v="26.2"/>
        <n v="11.2"/>
        <n v="36.7"/>
        <n v="49.5"/>
        <n v="24.1"/>
        <n v="30.9"/>
        <n v="38.4"/>
        <n v="22.7"/>
        <n v="11.8"/>
        <n v="42.1"/>
        <n v="5.8"/>
        <n v="31.6"/>
        <n v="16.0"/>
        <n v="16.4"/>
        <n v="33.5"/>
        <n v="40.2"/>
        <n v="13.3"/>
        <n v="28.2"/>
        <n v="28.1"/>
        <n v="30.6"/>
        <n v="11.3"/>
        <n v="32.9"/>
        <n v="14.5"/>
        <n v="37.2"/>
        <n v="35.6"/>
        <n v="38.6"/>
        <n v="39.6"/>
        <n v="35.5"/>
        <n v="31.9"/>
        <n v="17.4"/>
        <n v="47.4"/>
        <n v="17.1"/>
        <n v="30.1"/>
        <n v="19.0"/>
        <n v="30.7"/>
        <n v="23.2"/>
        <n v="36.5"/>
        <n v="35.9"/>
        <n v="31.1"/>
        <n v="40.9"/>
        <n v="14.4"/>
        <n v="11.5"/>
        <n v="16.5"/>
        <n v="32.1"/>
        <n v="24.8"/>
        <n v="5.9"/>
        <n v="22.6"/>
        <n v="22.8"/>
        <n v="17.9"/>
        <n v="34.5"/>
        <n v="29.2"/>
        <n v="12.8"/>
        <n v="1.0"/>
        <n v="33.4"/>
        <n v="45.5"/>
        <n v="50.3"/>
        <n v="22.3"/>
        <n v="26.1"/>
        <n v="44.6"/>
        <n v="28.3"/>
        <n v="31.3"/>
        <n v="40.7"/>
        <n v="48.3"/>
        <n v="21.6"/>
        <n v="49.1"/>
        <n v="30.3"/>
        <n v="23.8"/>
        <n v="13.8"/>
        <n v="43.7"/>
        <n v="4.6"/>
        <n v="34.1"/>
        <n v="25.8"/>
        <n v="35.2"/>
        <n v="15.0"/>
        <n v="20.0"/>
        <n v="13.0"/>
        <n v="30.2"/>
        <n v="13.4"/>
        <n v="39.4"/>
        <n v="3.9"/>
        <n v="37.4"/>
        <n v="34.7"/>
        <n v="24.5"/>
        <n v="17.7"/>
        <n v="19.7"/>
        <n v="49.6"/>
        <n v="33.7"/>
        <n v="27.2"/>
        <n v="12.5"/>
        <n v="29.3"/>
        <n v="29.4"/>
        <n v="19.6"/>
        <n v="35.1"/>
        <n v="23.9"/>
        <n v="23.5"/>
        <n v="19.5"/>
        <n v="36.6"/>
        <n v="14.2"/>
        <n v="40.5"/>
        <n v="41.5"/>
        <n v="17.6"/>
        <n v="8.0"/>
        <n v="10.4"/>
        <n v="25.3"/>
        <n v="26.6"/>
        <n v="42.2"/>
        <n v="31.0"/>
        <n v="10.0"/>
        <n v="32.5"/>
        <n v="31.2"/>
        <n v="22.9"/>
        <n v="24.0"/>
        <n v="25.5"/>
        <n v="34.4"/>
        <n v="22.0"/>
        <n v="17.8"/>
        <n v="28.8"/>
        <n v="34.3"/>
        <n v="30.0"/>
        <n v="20.5"/>
        <n v="29.6"/>
        <n v="30.4"/>
        <n v="38.3"/>
        <n v="9.2"/>
        <n v="7.7"/>
        <n v="6.9"/>
        <n v="32.4"/>
        <n v="5.3"/>
        <n v="18.4"/>
        <n v="28.0"/>
        <n v="21.3"/>
        <n v="27.8"/>
        <n v="45.8"/>
        <n v="19.2"/>
        <n v="23.6"/>
        <n v="37.7"/>
        <n v="11.7"/>
        <n v="9.7"/>
        <n v="22.1"/>
        <n v="20.3"/>
        <n v="22.5"/>
        <n v="13.1"/>
        <n v="25.6"/>
        <n v="8.6"/>
        <n v="13.6"/>
        <n v="28.7"/>
        <n v="15.1"/>
        <n v="7.2"/>
        <n v="28.6"/>
        <n v="18.5"/>
        <n v="29.7"/>
        <n v="26.0"/>
        <n v="17.2"/>
        <n v="56.4"/>
        <n v="36.9"/>
        <n v="26.3"/>
        <n v="37.6"/>
        <n v="43.8"/>
        <n v="31.4"/>
        <n v="44.5"/>
        <n v="16.6"/>
        <n v="10.2"/>
        <n v="18.8"/>
        <n v="40.0"/>
        <n v="24.4"/>
        <n v="21.0"/>
        <n v="39.2"/>
        <n v="12.3"/>
        <n v="25.1"/>
        <n v="38.9"/>
        <n v="20.2"/>
        <n v="17.3"/>
        <n v="39.0"/>
        <n v="23.7"/>
        <n v="12.9"/>
        <n v="35.8"/>
        <n v="39.8"/>
        <n v="10.3"/>
        <n v="33.0"/>
        <n v="24.6"/>
        <n v="14.1"/>
        <n v="8.9"/>
        <n v="49.4"/>
        <n v="36.0"/>
        <n v="3.3"/>
        <n v="38.5"/>
        <n v="25.7"/>
        <n v="39.9"/>
        <n v="8.4"/>
        <n v="2.2"/>
        <n v="7.8"/>
        <n v="49.2"/>
        <n v="13.2"/>
        <n v="45.6"/>
        <n v="44.4"/>
        <n v="4.9"/>
        <n v="18.9"/>
        <n v="18.0"/>
        <n v="5.1"/>
        <n v="21.2"/>
        <n v="11.4"/>
        <n v="34.6"/>
        <n v="27.5"/>
        <n v="41.3"/>
        <n v="16.8"/>
        <n v="20.6"/>
        <n v="8.5"/>
        <n v="16.3"/>
        <n v="32.3"/>
        <n v="15.2"/>
        <n v="7.9"/>
        <n v="19.3"/>
        <n v="5.2"/>
        <n v="21.4"/>
        <n v="21.8"/>
        <n v="34.8"/>
        <n v="8.3"/>
        <n v="3.8"/>
        <n v="24.9"/>
        <n v="15.3"/>
        <n v="38.0"/>
        <n v="52.6"/>
        <n v="24.2"/>
        <n v="18.6"/>
        <n v="29.1"/>
        <n v="14.0"/>
        <n v="37.5"/>
        <n v="22.4"/>
        <n v="21.1"/>
        <n v="18.1"/>
        <n v="20.4"/>
        <n v="41.9"/>
        <n v="46.6"/>
        <n v="9.3"/>
        <n v="21.9"/>
        <n v="36.2"/>
        <n v="10.8"/>
        <n v="6.5"/>
        <n v="49.0"/>
        <n v="27.6"/>
        <n v="11.9"/>
        <n v="10.7"/>
        <n v="29.9"/>
        <n v="30.8"/>
        <n v="43.4"/>
        <n v="37.3"/>
        <n v="35.7"/>
        <n v="23.3"/>
        <n v="35.3"/>
        <n v="4.8"/>
        <n v="41.4"/>
        <n v="12.7"/>
        <n v="29.0"/>
        <n v="20.8"/>
        <n v="42.3"/>
        <n v="43.2"/>
        <n v="20.9"/>
        <n v="23.1"/>
        <n v="19.1"/>
        <n v="1.3"/>
        <n v="14.9"/>
        <n v="47.8"/>
        <n v="14.7"/>
        <n v="15.8"/>
        <n v="15.7"/>
        <n v="13.5"/>
        <n v="30.5"/>
        <n v="9.4"/>
        <n v="29.8"/>
        <n v="11.0"/>
        <n v="33.3"/>
        <n v="44.7"/>
        <n v="48.4"/>
        <n v="53.8"/>
        <n v="11.6"/>
        <n v="9.1"/>
        <n v="31.8"/>
        <n v="31.5"/>
        <n v="22.2"/>
        <n v="40.3"/>
        <n v="44.8"/>
        <n v="47.2"/>
        <n v="19.9"/>
        <n v="25.9"/>
        <n v="43.1"/>
        <n v="46.5"/>
        <n v="55.8"/>
        <n v="18.7"/>
        <n v="7.1"/>
        <n v="24.3"/>
        <n v="26.7"/>
        <n v="14.8"/>
        <n v="39.1"/>
        <n v="16.1"/>
        <n v="37.0"/>
        <n v="3.1"/>
        <n v="39.7"/>
        <n v="53.2"/>
        <n v="17.0"/>
        <n v="51.1"/>
        <n v="20.1"/>
        <n v="45.4"/>
        <n v="41.0"/>
        <n v="35.0"/>
        <n v="24.7"/>
        <n v="6.0"/>
        <n v="26.4"/>
        <n v="12.1"/>
        <n v="41.2"/>
        <n v="23.4"/>
        <n v="28.4"/>
        <n v="18.2"/>
        <n v="25.0"/>
        <n v="43.6"/>
        <n v="5.4"/>
        <n v="26.9"/>
        <n v="12.0"/>
        <n v="4.2"/>
        <n v="4.1"/>
        <n v="51.3"/>
        <n v="6.4"/>
        <n v="42.0"/>
        <n v="10.6"/>
        <n v="33.8"/>
        <n v="9.6"/>
        <n v="34.0"/>
        <n v="4.5"/>
        <n v="25.2"/>
        <n v="37.8"/>
        <n v="48.8"/>
        <n v="40.4"/>
        <n v="32.7"/>
        <n v="14.6"/>
        <n v="40.1"/>
        <n v="28.9"/>
        <n v="46.8"/>
        <n v="16.9"/>
        <n v="10.5"/>
        <n v="6.2"/>
        <n v="27.0"/>
        <n v="18.3"/>
        <n v="33.1"/>
        <n v="42.4"/>
        <n v="25.4"/>
        <n v="48.6"/>
        <n v="34.9"/>
        <n v="38.8"/>
        <n v="2.9"/>
        <n v="32.2"/>
        <n v="8.1"/>
        <n v="41.6"/>
        <n v="47.3"/>
        <n v="31.7"/>
        <n v="50.8"/>
        <n v="43.0"/>
        <n v="38.2"/>
        <n v="27.9"/>
        <n v="15.5"/>
        <n v="17.5"/>
        <n v="8.2"/>
        <n v="5.0"/>
        <n v="43.3"/>
        <n v="50.4"/>
        <n v="37.9"/>
        <n v="6.1"/>
        <n v="7.5"/>
        <n v="36.3"/>
        <n v="45.3"/>
        <n v="43.5"/>
        <n v="50.2"/>
        <n v="51.6"/>
        <n v="42.6"/>
        <n v="36.8"/>
        <n v="42.9"/>
        <n v="1.5"/>
        <n v="32.6"/>
        <n v="33.6"/>
        <n v="41.8"/>
        <n v="51.5"/>
        <n v="46.9"/>
        <n v="34.2"/>
        <n v="48.7"/>
        <n v="12.2"/>
        <n v="2.7"/>
        <n v="53.9"/>
        <n v="48.0"/>
        <n v="26.8"/>
        <n v="54.2"/>
        <n v="3.6"/>
        <n v="29.5"/>
        <n v="13.7"/>
        <n v="35.4"/>
        <n v="39.5"/>
        <n v="36.1"/>
        <n v="47.7"/>
        <n v="7.3"/>
        <n v="32.8"/>
        <n v="50.9"/>
        <n v="7.4"/>
        <n v="2.8"/>
        <n v="55.0"/>
        <n v="1.4"/>
        <n v="3.5"/>
        <n v="38.1"/>
        <n v="44.3"/>
        <n v="41.7"/>
        <n v="36.4"/>
        <n v="45.0"/>
        <n v="39.3"/>
        <n v="44.1"/>
        <n v="4.4"/>
        <n v="4.3"/>
        <n v="53.6"/>
        <n v="4.7"/>
        <n v="46.2"/>
        <n v="48.9"/>
        <n v="13.9"/>
        <n v="48.2"/>
        <n v="40.8"/>
        <n v="11.1"/>
      </sharedItems>
    </cacheField>
    <cacheField name="Satisfaction_Score">
      <sharedItems containsMixedTypes="1" containsNumber="1">
        <n v="3.6"/>
        <n v="4.4"/>
        <n v="3.3"/>
        <n v="4.0"/>
        <n v="2.4"/>
        <n v="3.4"/>
        <n v="4.1"/>
        <n v="3.9"/>
        <n v="2.1"/>
        <n v="4.5"/>
        <n v="4.7"/>
        <s v=""/>
        <n v="5.0"/>
        <n v="3.2"/>
        <n v="3.7"/>
        <n v="3.8"/>
        <n v="3.5"/>
        <n v="2.6"/>
        <n v="3.0"/>
        <n v="2.9"/>
        <n v="4.3"/>
        <n v="2.3"/>
        <n v="4.6"/>
        <n v="3.1"/>
        <n v="4.9"/>
        <n v="4.8"/>
        <n v="4.2"/>
        <n v="2.7"/>
        <n v="2.5"/>
        <n v="1.7"/>
        <n v="2.2"/>
        <n v="2.8"/>
        <n v="9.0"/>
        <n v="1.8"/>
        <n v="1.9"/>
        <n v="2.0"/>
        <n v="1.3"/>
        <n v="1.4"/>
        <n v="0.0"/>
        <n v="1.2"/>
        <n v="1.5"/>
        <n v="6.0"/>
        <n v="1.0"/>
        <n v="1.6"/>
      </sharedItems>
    </cacheField>
    <cacheField name="Last_Login">
      <sharedItems containsDate="1" containsMixedTypes="1">
        <d v="2024-01-17T00:00:00Z"/>
        <d v="2025-02-06T00:00:00Z"/>
        <d v="2025-07-18T00:00:00Z"/>
        <d v="2023-12-20T00:00:00Z"/>
        <d v="2023-07-23T00:00:00Z"/>
        <d v="2023-12-29T00:00:00Z"/>
        <d v="2026-08-23T00:00:00Z"/>
        <d v="2023-08-03T00:00:00Z"/>
        <d v="2025-12-17T00:00:00Z"/>
        <d v="2025-07-31T00:00:00Z"/>
        <d v="2026-06-02T00:00:00Z"/>
        <d v="2022-08-08T00:00:00Z"/>
        <d v="2024-11-25T00:00:00Z"/>
        <d v="2023-09-05T00:00:00Z"/>
        <d v="2023-12-01T00:00:00Z"/>
        <d v="2026-05-13T00:00:00Z"/>
        <d v="2022-10-22T00:00:00Z"/>
        <d v="2025-11-02T00:00:00Z"/>
        <d v="2025-04-11T00:00:00Z"/>
        <d v="2024-04-22T00:00:00Z"/>
        <d v="2024-09-10T00:00:00Z"/>
        <d v="2024-07-09T00:00:00Z"/>
        <d v="2026-03-14T00:00:00Z"/>
        <d v="2023-07-12T00:00:00Z"/>
        <d v="2025-04-18T00:00:00Z"/>
        <d v="2024-08-11T00:00:00Z"/>
        <d v="2025-07-25T00:00:00Z"/>
        <d v="2025-11-03T00:00:00Z"/>
        <d v="2023-06-18T00:00:00Z"/>
        <d v="2027-12-02T00:00:00Z"/>
        <d v="2026-08-11T00:00:00Z"/>
        <d v="2025-04-20T00:00:00Z"/>
        <d v="2023-10-28T00:00:00Z"/>
        <d v="2024-05-16T00:00:00Z"/>
        <d v="2027-07-14T00:00:00Z"/>
        <d v="2025-01-11T00:00:00Z"/>
        <d v="2024-05-19T00:00:00Z"/>
        <d v="2022-10-13T00:00:00Z"/>
        <d v="2025-05-28T00:00:00Z"/>
        <d v="2027-07-24T00:00:00Z"/>
        <d v="2024-09-30T00:00:00Z"/>
        <d v="2026-02-12T00:00:00Z"/>
        <d v="2026-07-15T00:00:00Z"/>
        <d v="2026-11-29T00:00:00Z"/>
        <d v="2023-02-03T00:00:00Z"/>
        <d v="2023-08-26T00:00:00Z"/>
        <d v="2025-10-11T00:00:00Z"/>
        <d v="2026-08-24T00:00:00Z"/>
        <d v="2023-02-28T00:00:00Z"/>
        <d v="2025-09-24T00:00:00Z"/>
        <d v="2024-04-10T00:00:00Z"/>
        <d v="2025-12-27T00:00:00Z"/>
        <d v="2024-05-05T00:00:00Z"/>
        <d v="2025-02-19T00:00:00Z"/>
        <d v="2025-01-27T00:00:00Z"/>
        <d v="2028-05-04T00:00:00Z"/>
        <d v="2024-06-18T00:00:00Z"/>
        <d v="2024-11-19T00:00:00Z"/>
        <d v="2028-07-18T00:00:00Z"/>
        <d v="2027-04-05T00:00:00Z"/>
        <d v="2026-05-21T00:00:00Z"/>
        <d v="2025-08-08T00:00:00Z"/>
        <d v="2024-12-10T00:00:00Z"/>
        <d v="2024-09-21T00:00:00Z"/>
        <d v="2025-01-21T00:00:00Z"/>
        <d v="2026-04-29T00:00:00Z"/>
        <d v="2025-10-12T00:00:00Z"/>
        <d v="2023-09-29T00:00:00Z"/>
        <d v="2026-11-06T00:00:00Z"/>
        <d v="2023-03-29T00:00:00Z"/>
        <d v="2024-01-07T00:00:00Z"/>
        <d v="2022-10-08T00:00:00Z"/>
        <d v="2026-09-16T00:00:00Z"/>
        <d v="2025-07-10T00:00:00Z"/>
        <d v="2025-04-28T00:00:00Z"/>
        <d v="2024-03-17T00:00:00Z"/>
        <d v="2027-07-20T00:00:00Z"/>
        <d v="2023-06-01T00:00:00Z"/>
        <d v="2024-11-18T00:00:00Z"/>
        <d v="2024-07-02T00:00:00Z"/>
        <d v="2027-08-16T00:00:00Z"/>
        <d v="2022-05-19T00:00:00Z"/>
        <d v="2025-01-25T00:00:00Z"/>
        <d v="2023-02-27T00:00:00Z"/>
        <d v="2024-10-26T00:00:00Z"/>
        <d v="2026-02-04T00:00:00Z"/>
        <d v="2026-06-24T00:00:00Z"/>
        <d v="2025-08-22T00:00:00Z"/>
        <d v="2023-02-02T00:00:00Z"/>
        <d v="2025-04-04T00:00:00Z"/>
        <d v="2026-04-19T00:00:00Z"/>
        <d v="2025-06-03T00:00:00Z"/>
        <d v="2023-09-10T00:00:00Z"/>
        <d v="2025-05-12T00:00:00Z"/>
        <d v="2023-07-03T00:00:00Z"/>
        <d v="2025-12-18T00:00:00Z"/>
        <d v="2022-08-19T00:00:00Z"/>
        <d v="2024-02-25T00:00:00Z"/>
        <d v="2027-05-08T00:00:00Z"/>
        <d v="2026-08-04T00:00:00Z"/>
        <d v="2023-11-25T00:00:00Z"/>
        <d v="2025-11-20T00:00:00Z"/>
        <d v="2026-04-03T00:00:00Z"/>
        <d v="2022-06-17T00:00:00Z"/>
        <d v="2023-09-13T00:00:00Z"/>
        <d v="2024-09-17T00:00:00Z"/>
        <d v="2025-11-19T00:00:00Z"/>
        <d v="2023-11-14T00:00:00Z"/>
        <d v="2024-03-19T00:00:00Z"/>
        <d v="2025-07-04T00:00:00Z"/>
        <d v="2025-07-02T00:00:00Z"/>
        <d v="2025-12-05T00:00:00Z"/>
        <d v="2023-10-20T00:00:00Z"/>
        <d v="2022-12-28T00:00:00Z"/>
        <d v="2026-02-08T00:00:00Z"/>
        <d v="2024-10-09T00:00:00Z"/>
        <d v="2025-12-10T00:00:00Z"/>
        <d v="2025-03-19T00:00:00Z"/>
        <d v="2025-05-20T00:00:00Z"/>
        <d v="2028-05-24T00:00:00Z"/>
        <d v="2025-01-13T00:00:00Z"/>
        <d v="2026-02-01T00:00:00Z"/>
        <d v="2026-05-01T00:00:00Z"/>
        <d v="2024-02-01T00:00:00Z"/>
        <d v="2026-03-18T00:00:00Z"/>
        <d v="2025-06-05T00:00:00Z"/>
        <d v="2023-04-11T00:00:00Z"/>
        <d v="2025-12-15T00:00:00Z"/>
        <d v="2022-12-27T00:00:00Z"/>
        <d v="2027-10-23T00:00:00Z"/>
        <d v="2025-12-26T00:00:00Z"/>
        <d v="2023-03-19T00:00:00Z"/>
        <d v="2024-01-24T00:00:00Z"/>
        <d v="2024-08-04T00:00:00Z"/>
        <d v="2025-11-29T00:00:00Z"/>
        <d v="2025-06-27T00:00:00Z"/>
        <d v="2022-10-16T00:00:00Z"/>
        <d v="2028-06-17T00:00:00Z"/>
        <d v="2023-11-13T00:00:00Z"/>
        <d v="2026-11-18T00:00:00Z"/>
        <d v="2027-03-10T00:00:00Z"/>
        <d v="2023-12-19T00:00:00Z"/>
        <d v="2024-10-14T00:00:00Z"/>
        <d v="2025-02-25T00:00:00Z"/>
        <d v="2022-12-21T00:00:00Z"/>
        <d v="2025-12-24T00:00:00Z"/>
        <d v="2024-06-03T00:00:00Z"/>
        <d v="2025-09-03T00:00:00Z"/>
        <d v="2026-05-14T00:00:00Z"/>
        <d v="2024-12-28T00:00:00Z"/>
        <d v="2024-03-09T00:00:00Z"/>
        <d v="2026-12-18T00:00:00Z"/>
        <d v="2023-04-27T00:00:00Z"/>
        <d v="2024-07-26T00:00:00Z"/>
        <d v="2025-01-29T00:00:00Z"/>
        <d v="2024-09-18T00:00:00Z"/>
        <d v="2024-12-19T00:00:00Z"/>
        <d v="2026-01-03T00:00:00Z"/>
        <s v=""/>
        <d v="2024-12-18T00:00:00Z"/>
        <d v="2023-01-05T00:00:00Z"/>
        <d v="2027-12-04T00:00:00Z"/>
        <d v="2025-09-06T00:00:00Z"/>
        <d v="2024-09-07T00:00:00Z"/>
        <d v="2025-12-03T00:00:00Z"/>
        <d v="2023-11-23T00:00:00Z"/>
        <d v="2024-03-04T00:00:00Z"/>
        <d v="2025-03-05T00:00:00Z"/>
        <d v="2025-10-24T00:00:00Z"/>
        <d v="2024-11-17T00:00:00Z"/>
        <d v="2023-07-31T00:00:00Z"/>
        <d v="2024-06-04T00:00:00Z"/>
        <d v="2025-10-10T00:00:00Z"/>
        <d v="2022-05-10T00:00:00Z"/>
        <d v="2023-06-24T00:00:00Z"/>
        <d v="2022-06-23T00:00:00Z"/>
        <d v="2023-02-22T00:00:00Z"/>
        <d v="2028-01-12T00:00:00Z"/>
        <d v="2023-08-27T00:00:00Z"/>
        <d v="2027-05-10T00:00:00Z"/>
        <d v="2023-05-28T00:00:00Z"/>
        <d v="2027-01-17T00:00:00Z"/>
        <d v="2025-11-23T00:00:00Z"/>
        <d v="2022-04-20T00:00:00Z"/>
        <d v="2025-03-25T00:00:00Z"/>
        <d v="2024-08-22T00:00:00Z"/>
        <d v="2022-03-04T00:00:00Z"/>
        <d v="2025-09-27T00:00:00Z"/>
        <d v="2023-02-09T00:00:00Z"/>
        <d v="2025-05-27T00:00:00Z"/>
        <d v="2023-05-19T00:00:00Z"/>
        <d v="2023-03-13T00:00:00Z"/>
        <d v="2027-05-27T00:00:00Z"/>
        <d v="2023-01-03T00:00:00Z"/>
        <d v="2026-01-26T00:00:00Z"/>
        <d v="2026-06-18T00:00:00Z"/>
        <d v="2023-07-08T00:00:00Z"/>
        <d v="2023-10-23T00:00:00Z"/>
        <d v="2023-03-10T00:00:00Z"/>
        <d v="2024-12-11T00:00:00Z"/>
        <d v="2026-12-26T00:00:00Z"/>
        <d v="2023-09-15T00:00:00Z"/>
        <d v="2022-02-24T00:00:00Z"/>
        <d v="2023-03-05T00:00:00Z"/>
        <d v="2025-10-31T00:00:00Z"/>
        <d v="2023-04-26T00:00:00Z"/>
        <d v="2026-09-21T00:00:00Z"/>
        <d v="2023-01-12T00:00:00Z"/>
        <d v="2024-10-24T00:00:00Z"/>
        <d v="2022-08-06T00:00:00Z"/>
        <d v="2025-10-08T00:00:00Z"/>
        <d v="2025-01-19T00:00:00Z"/>
        <d v="2024-05-29T00:00:00Z"/>
        <d v="2024-08-16T00:00:00Z"/>
        <d v="2023-05-29T00:00:00Z"/>
        <d v="2026-05-04T00:00:00Z"/>
        <d v="2025-11-07T00:00:00Z"/>
        <d v="2024-09-24T00:00:00Z"/>
        <d v="2023-08-07T00:00:00Z"/>
        <d v="2027-03-31T00:00:00Z"/>
        <d v="2027-04-16T00:00:00Z"/>
        <d v="2025-04-15T00:00:00Z"/>
        <d v="2023-07-07T00:00:00Z"/>
        <d v="2025-01-02T00:00:00Z"/>
        <d v="2025-10-06T00:00:00Z"/>
        <d v="2024-04-18T00:00:00Z"/>
        <d v="2025-10-26T00:00:00Z"/>
        <d v="2022-11-02T00:00:00Z"/>
        <d v="2024-04-09T00:00:00Z"/>
        <d v="2024-11-13T00:00:00Z"/>
        <d v="2024-04-27T00:00:00Z"/>
        <d v="2025-10-14T00:00:00Z"/>
        <d v="2024-09-20T00:00:00Z"/>
        <d v="2028-08-07T00:00:00Z"/>
        <d v="2028-08-27T00:00:00Z"/>
        <d v="2023-02-24T00:00:00Z"/>
        <d v="2024-11-20T00:00:00Z"/>
        <d v="2026-02-15T00:00:00Z"/>
        <d v="2024-03-22T00:00:00Z"/>
        <d v="2026-02-14T00:00:00Z"/>
        <d v="2024-11-29T00:00:00Z"/>
        <d v="2026-05-05T00:00:00Z"/>
        <d v="2023-11-07T00:00:00Z"/>
        <d v="2025-02-20T00:00:00Z"/>
        <d v="2027-04-28T00:00:00Z"/>
        <d v="2025-02-03T00:00:00Z"/>
        <d v="2025-08-02T00:00:00Z"/>
        <d v="2025-07-21T00:00:00Z"/>
        <d v="2025-11-13T00:00:00Z"/>
        <d v="2024-12-16T00:00:00Z"/>
        <d v="2025-08-30T00:00:00Z"/>
        <d v="2025-08-12T00:00:00Z"/>
        <d v="2025-03-14T00:00:00Z"/>
        <d v="2023-04-19T00:00:00Z"/>
        <d v="2027-06-21T00:00:00Z"/>
        <d v="2023-08-23T00:00:00Z"/>
        <d v="2027-02-14T00:00:00Z"/>
        <d v="2027-09-09T00:00:00Z"/>
        <d v="2027-11-06T00:00:00Z"/>
        <d v="2023-08-11T00:00:00Z"/>
        <d v="2024-11-22T00:00:00Z"/>
        <d v="2025-03-17T00:00:00Z"/>
        <d v="2026-01-25T00:00:00Z"/>
        <d v="2026-06-08T00:00:00Z"/>
        <d v="2025-05-23T00:00:00Z"/>
        <d v="2024-10-12T00:00:00Z"/>
        <d v="2024-07-16T00:00:00Z"/>
        <d v="2023-03-21T00:00:00Z"/>
        <d v="2026-08-17T00:00:00Z"/>
        <d v="2022-02-12T00:00:00Z"/>
        <d v="2024-08-12T00:00:00Z"/>
        <d v="2026-12-08T00:00:00Z"/>
        <d v="2025-04-01T00:00:00Z"/>
        <d v="2023-11-01T00:00:00Z"/>
        <d v="2025-06-11T00:00:00Z"/>
        <d v="2024-03-03T00:00:00Z"/>
        <d v="2025-01-26T00:00:00Z"/>
        <d v="2025-11-30T00:00:00Z"/>
        <d v="2024-08-29T00:00:00Z"/>
        <d v="2025-05-17T00:00:00Z"/>
        <d v="2025-01-01T00:00:00Z"/>
        <d v="2022-10-07T00:00:00Z"/>
        <d v="2022-05-18T00:00:00Z"/>
        <d v="2025-04-09T00:00:00Z"/>
        <d v="2025-07-28T00:00:00Z"/>
        <d v="2024-05-06T00:00:00Z"/>
        <d v="2024-03-26T00:00:00Z"/>
        <d v="2025-04-26T00:00:00Z"/>
        <d v="2023-10-10T00:00:00Z"/>
        <d v="2024-04-19T00:00:00Z"/>
        <d v="2025-09-13T00:00:00Z"/>
        <d v="2026-10-03T00:00:00Z"/>
        <d v="2028-01-03T00:00:00Z"/>
        <d v="2025-09-25T00:00:00Z"/>
        <d v="2028-07-15T00:00:00Z"/>
        <d v="2024-07-23T00:00:00Z"/>
        <d v="2024-08-14T00:00:00Z"/>
        <d v="2026-04-26T00:00:00Z"/>
        <d v="2024-05-07T00:00:00Z"/>
        <d v="2026-06-13T00:00:00Z"/>
        <d v="2027-10-31T00:00:00Z"/>
        <d v="2024-11-07T00:00:00Z"/>
        <d v="2026-03-10T00:00:00Z"/>
        <d v="2025-08-06T00:00:00Z"/>
        <d v="2027-10-11T00:00:00Z"/>
        <d v="2023-09-22T00:00:00Z"/>
        <d v="2029-08-23T00:00:00Z"/>
        <d v="2022-09-14T00:00:00Z"/>
        <d v="2027-12-31T00:00:00Z"/>
        <d v="2023-06-08T00:00:00Z"/>
        <d v="2023-06-10T00:00:00Z"/>
        <d v="2025-06-28T00:00:00Z"/>
        <d v="2023-01-17T00:00:00Z"/>
        <d v="2024-04-21T00:00:00Z"/>
        <d v="2027-01-06T00:00:00Z"/>
        <d v="2022-12-10T00:00:00Z"/>
        <d v="2023-06-13T00:00:00Z"/>
        <d v="2022-11-05T00:00:00Z"/>
        <d v="2026-07-30T00:00:00Z"/>
        <d v="2022-06-30T00:00:00Z"/>
        <d v="2026-09-24T00:00:00Z"/>
        <d v="2024-07-06T00:00:00Z"/>
        <d v="2025-03-28T00:00:00Z"/>
        <d v="2026-02-20T00:00:00Z"/>
        <d v="2024-08-01T00:00:00Z"/>
        <d v="2025-07-07T00:00:00Z"/>
        <d v="2026-05-09T00:00:00Z"/>
        <d v="2027-12-08T00:00:00Z"/>
        <d v="2024-03-12T00:00:00Z"/>
        <d v="2023-12-03T00:00:00Z"/>
        <d v="2027-11-02T00:00:00Z"/>
        <d v="2026-02-16T00:00:00Z"/>
        <d v="2026-02-13T00:00:00Z"/>
        <d v="2026-10-20T00:00:00Z"/>
        <d v="2023-08-12T00:00:00Z"/>
        <d v="2025-11-11T00:00:00Z"/>
        <d v="2027-02-01T00:00:00Z"/>
        <d v="2027-03-22T00:00:00Z"/>
        <d v="2025-01-31T00:00:00Z"/>
        <d v="2026-02-22T00:00:00Z"/>
        <d v="2025-02-26T00:00:00Z"/>
        <d v="2023-01-04T00:00:00Z"/>
        <d v="2022-12-24T00:00:00Z"/>
        <d v="2023-04-04T00:00:00Z"/>
        <d v="2024-06-27T00:00:00Z"/>
        <d v="2024-10-25T00:00:00Z"/>
        <d v="2025-11-12T00:00:00Z"/>
        <d v="2023-07-11T00:00:00Z"/>
        <d v="2022-07-15T00:00:00Z"/>
        <d v="2026-11-26T00:00:00Z"/>
        <d v="2025-11-08T00:00:00Z"/>
        <d v="2024-10-11T00:00:00Z"/>
        <d v="2024-10-06T00:00:00Z"/>
        <d v="2028-12-10T00:00:00Z"/>
        <d v="2023-03-03T00:00:00Z"/>
        <d v="2026-08-13T00:00:00Z"/>
        <d v="2024-03-01T00:00:00Z"/>
        <d v="2028-04-20T00:00:00Z"/>
        <d v="2025-12-28T00:00:00Z"/>
        <d v="2025-03-15T00:00:00Z"/>
        <d v="2023-08-10T00:00:00Z"/>
        <d v="2024-11-06T00:00:00Z"/>
        <d v="2025-10-16T00:00:00Z"/>
        <d v="2023-09-28T00:00:00Z"/>
        <d v="2024-10-27T00:00:00Z"/>
        <d v="2026-12-13T00:00:00Z"/>
        <d v="2025-12-08T00:00:00Z"/>
        <d v="2026-10-15T00:00:00Z"/>
        <d v="2028-05-14T00:00:00Z"/>
        <d v="2023-06-16T00:00:00Z"/>
        <d v="2025-02-27T00:00:00Z"/>
        <d v="2023-10-05T00:00:00Z"/>
        <d v="2024-12-14T00:00:00Z"/>
        <d v="2023-06-15T00:00:00Z"/>
        <d v="2027-09-21T00:00:00Z"/>
        <d v="2025-01-22T00:00:00Z"/>
        <d v="2024-12-30T00:00:00Z"/>
        <d v="2023-06-26T00:00:00Z"/>
        <d v="2026-10-31T00:00:00Z"/>
        <d v="2024-04-30T00:00:00Z"/>
        <d v="2025-03-07T00:00:00Z"/>
        <d v="2023-04-07T00:00:00Z"/>
        <d v="2023-01-11T00:00:00Z"/>
        <d v="2024-03-10T00:00:00Z"/>
        <d v="2024-11-04T00:00:00Z"/>
        <d v="2025-04-14T00:00:00Z"/>
        <d v="2023-09-18T00:00:00Z"/>
        <d v="2027-07-25T00:00:00Z"/>
        <d v="2024-04-24T00:00:00Z"/>
        <d v="2025-08-07T00:00:00Z"/>
        <d v="2024-11-16T00:00:00Z"/>
        <d v="2027-02-17T00:00:00Z"/>
        <d v="2024-01-30T00:00:00Z"/>
        <d v="2026-12-21T00:00:00Z"/>
        <d v="2025-02-12T00:00:00Z"/>
        <d v="2023-11-11T00:00:00Z"/>
        <d v="2025-07-16T00:00:00Z"/>
        <d v="2027-06-19T00:00:00Z"/>
        <d v="2025-01-15T00:00:00Z"/>
        <d v="2026-12-15T00:00:00Z"/>
        <d v="2022-11-08T00:00:00Z"/>
        <d v="2025-10-19T00:00:00Z"/>
        <d v="2025-05-30T00:00:00Z"/>
        <d v="2024-03-11T00:00:00Z"/>
        <d v="2027-03-29T00:00:00Z"/>
        <d v="2023-01-30T00:00:00Z"/>
        <d v="2026-02-11T00:00:00Z"/>
        <d v="2023-02-10T00:00:00Z"/>
        <d v="2025-09-21T00:00:00Z"/>
        <d v="2024-02-06T00:00:00Z"/>
        <d v="2026-04-17T00:00:00Z"/>
        <d v="2025-05-26T00:00:00Z"/>
        <d v="2023-03-22T00:00:00Z"/>
        <d v="2027-11-24T00:00:00Z"/>
        <d v="2024-06-12T00:00:00Z"/>
        <d v="2025-03-09T00:00:00Z"/>
        <d v="2025-04-21T00:00:00Z"/>
        <d v="2022-06-28T00:00:00Z"/>
        <d v="2024-01-08T00:00:00Z"/>
        <d v="2025-06-19T00:00:00Z"/>
        <d v="2026-05-02T00:00:00Z"/>
        <d v="2023-04-29T00:00:00Z"/>
        <d v="2025-04-24T00:00:00Z"/>
        <d v="2027-07-07T00:00:00Z"/>
        <d v="2027-06-22T00:00:00Z"/>
        <d v="2027-12-13T00:00:00Z"/>
        <d v="2025-04-05T00:00:00Z"/>
        <d v="2023-04-05T00:00:00Z"/>
        <d v="2024-06-26T00:00:00Z"/>
        <d v="2023-11-06T00:00:00Z"/>
        <d v="2027-11-20T00:00:00Z"/>
        <d v="2027-03-04T00:00:00Z"/>
        <d v="2022-03-29T00:00:00Z"/>
        <d v="2025-12-30T00:00:00Z"/>
        <d v="2026-08-18T00:00:00Z"/>
        <d v="2025-07-27T00:00:00Z"/>
        <d v="2025-03-13T00:00:00Z"/>
        <d v="2024-11-28T00:00:00Z"/>
        <d v="2025-04-25T00:00:00Z"/>
        <d v="2024-02-15T00:00:00Z"/>
        <d v="2022-11-10T00:00:00Z"/>
        <d v="2022-02-22T00:00:00Z"/>
        <d v="2023-08-21T00:00:00Z"/>
        <d v="2022-08-12T00:00:00Z"/>
        <d v="2024-07-07T00:00:00Z"/>
        <d v="2024-10-01T00:00:00Z"/>
        <d v="2023-06-04T00:00:00Z"/>
        <d v="2026-05-11T00:00:00Z"/>
        <d v="2024-07-31T00:00:00Z"/>
        <d v="2029-07-21T00:00:00Z"/>
        <d v="2023-02-15T00:00:00Z"/>
        <d v="2027-11-26T00:00:00Z"/>
        <d v="2025-03-29T00:00:00Z"/>
        <d v="2022-07-07T00:00:00Z"/>
        <d v="2023-06-03T00:00:00Z"/>
        <d v="2024-07-30T00:00:00Z"/>
        <d v="2028-02-16T00:00:00Z"/>
        <d v="2028-12-08T00:00:00Z"/>
        <d v="2022-11-13T00:00:00Z"/>
        <d v="2028-06-14T00:00:00Z"/>
        <d v="2026-11-05T00:00:00Z"/>
        <d v="2025-12-11T00:00:00Z"/>
        <d v="2023-07-19T00:00:00Z"/>
        <d v="2026-07-19T00:00:00Z"/>
        <d v="2025-11-09T00:00:00Z"/>
        <d v="2024-11-10T00:00:00Z"/>
        <d v="2028-03-26T00:00:00Z"/>
        <d v="2025-05-08T00:00:00Z"/>
        <d v="2025-10-23T00:00:00Z"/>
        <d v="2024-06-15T00:00:00Z"/>
        <d v="2024-03-14T00:00:00Z"/>
        <d v="2025-08-13T00:00:00Z"/>
        <d v="2027-05-28T00:00:00Z"/>
        <d v="2023-12-25T00:00:00Z"/>
        <d v="2024-03-13T00:00:00Z"/>
        <d v="2023-06-19T00:00:00Z"/>
        <d v="2024-05-04T00:00:00Z"/>
        <d v="2022-12-25T00:00:00Z"/>
        <d v="2022-10-29T00:00:00Z"/>
        <d v="2025-09-29T00:00:00Z"/>
        <d v="2023-03-08T00:00:00Z"/>
        <d v="2023-05-25T00:00:00Z"/>
        <d v="2026-11-28T00:00:00Z"/>
        <d v="2026-10-28T00:00:00Z"/>
        <d v="2022-12-12T00:00:00Z"/>
        <d v="2026-04-09T00:00:00Z"/>
        <d v="2023-07-30T00:00:00Z"/>
        <d v="2026-06-01T00:00:00Z"/>
        <d v="2026-04-25T00:00:00Z"/>
        <d v="2027-08-02T00:00:00Z"/>
        <d v="2027-07-16T00:00:00Z"/>
        <d v="2025-12-07T00:00:00Z"/>
        <d v="2024-09-26T00:00:00Z"/>
        <d v="2022-08-17T00:00:00Z"/>
        <d v="2027-02-21T00:00:00Z"/>
        <d v="2025-07-30T00:00:00Z"/>
        <d v="2024-01-25T00:00:00Z"/>
        <d v="2023-06-06T00:00:00Z"/>
        <d v="2026-09-07T00:00:00Z"/>
        <d v="2024-10-02T00:00:00Z"/>
        <d v="2027-04-15T00:00:00Z"/>
        <d v="2023-07-17T00:00:00Z"/>
        <d v="2025-06-23T00:00:00Z"/>
        <d v="2025-06-22T00:00:00Z"/>
        <d v="2025-03-30T00:00:00Z"/>
        <d v="2024-12-13T00:00:00Z"/>
        <d v="2023-03-06T00:00:00Z"/>
        <d v="2023-05-30T00:00:00Z"/>
        <d v="2026-07-02T00:00:00Z"/>
        <d v="2022-07-04T00:00:00Z"/>
        <d v="2026-02-23T00:00:00Z"/>
        <d v="2026-04-22T00:00:00Z"/>
        <d v="2022-10-11T00:00:00Z"/>
        <d v="2023-06-12T00:00:00Z"/>
        <d v="2023-05-12T00:00:00Z"/>
        <d v="2026-09-12T00:00:00Z"/>
        <d v="2025-06-15T00:00:00Z"/>
        <d v="2025-06-08T00:00:00Z"/>
        <d v="2023-06-09T00:00:00Z"/>
        <d v="2025-05-21T00:00:00Z"/>
        <d v="2023-10-01T00:00:00Z"/>
        <d v="2022-09-09T00:00:00Z"/>
        <d v="2022-08-15T00:00:00Z"/>
        <d v="2024-06-29T00:00:00Z"/>
        <d v="2023-12-30T00:00:00Z"/>
        <d v="2022-09-13T00:00:00Z"/>
        <d v="2023-09-25T00:00:00Z"/>
        <d v="2025-05-22T00:00:00Z"/>
        <d v="2027-01-23T00:00:00Z"/>
        <d v="2022-03-19T00:00:00Z"/>
        <d v="2025-05-04T00:00:00Z"/>
        <d v="2023-12-11T00:00:00Z"/>
        <d v="2025-08-18T00:00:00Z"/>
        <d v="2024-01-16T00:00:00Z"/>
        <d v="2026-12-03T00:00:00Z"/>
        <d v="2025-04-16T00:00:00Z"/>
        <d v="2022-07-25T00:00:00Z"/>
        <d v="2024-02-02T00:00:00Z"/>
        <d v="2026-03-04T00:00:00Z"/>
        <d v="2027-10-09T00:00:00Z"/>
        <d v="2023-02-13T00:00:00Z"/>
        <d v="2025-08-19T00:00:00Z"/>
        <d v="2023-10-31T00:00:00Z"/>
        <d v="2026-09-01T00:00:00Z"/>
        <d v="2025-04-13T00:00:00Z"/>
        <d v="2023-08-31T00:00:00Z"/>
        <d v="2025-04-06T00:00:00Z"/>
        <d v="2024-05-01T00:00:00Z"/>
        <d v="2026-04-14T00:00:00Z"/>
        <d v="2025-01-05T00:00:00Z"/>
        <d v="2024-09-16T00:00:00Z"/>
        <d v="2027-08-14T00:00:00Z"/>
        <d v="2024-08-08T00:00:00Z"/>
        <d v="2027-07-13T00:00:00Z"/>
        <d v="2026-06-12T00:00:00Z"/>
        <d v="2025-02-07T00:00:00Z"/>
        <d v="2024-07-01T00:00:00Z"/>
        <d v="2023-10-30T00:00:00Z"/>
        <d v="2025-06-30T00:00:00Z"/>
        <d v="2023-01-07T00:00:00Z"/>
        <d v="2027-02-06T00:00:00Z"/>
        <d v="2023-04-28T00:00:00Z"/>
        <d v="2026-03-03T00:00:00Z"/>
        <d v="2023-04-16T00:00:00Z"/>
        <d v="2025-01-10T00:00:00Z"/>
        <d v="2026-07-20T00:00:00Z"/>
        <d v="2023-10-24T00:00:00Z"/>
        <d v="2023-03-16T00:00:00Z"/>
        <d v="2024-07-05T00:00:00Z"/>
        <d v="2027-12-14T00:00:00Z"/>
        <d v="2026-11-02T00:00:00Z"/>
        <d v="2025-05-18T00:00:00Z"/>
        <d v="2023-10-22T00:00:00Z"/>
        <d v="2024-08-09T00:00:00Z"/>
        <d v="2026-11-27T00:00:00Z"/>
        <d v="2024-05-31T00:00:00Z"/>
        <d v="2026-05-26T00:00:00Z"/>
        <d v="2023-10-03T00:00:00Z"/>
        <d v="2025-04-10T00:00:00Z"/>
        <d v="2025-09-04T00:00:00Z"/>
        <d v="2024-06-24T00:00:00Z"/>
        <d v="2023-10-13T00:00:00Z"/>
        <d v="2026-04-16T00:00:00Z"/>
        <d v="2024-07-29T00:00:00Z"/>
        <d v="2026-04-13T00:00:00Z"/>
        <d v="2024-10-29T00:00:00Z"/>
        <d v="2022-11-14T00:00:00Z"/>
        <d v="2022-01-24T00:00:00Z"/>
        <d v="2026-09-29T00:00:00Z"/>
        <d v="2025-05-31T00:00:00Z"/>
        <d v="2028-04-12T00:00:00Z"/>
        <d v="2026-05-08T00:00:00Z"/>
        <d v="2026-06-17T00:00:00Z"/>
        <d v="2022-06-09T00:00:00Z"/>
        <d v="2025-01-08T00:00:00Z"/>
        <d v="2025-02-21T00:00:00Z"/>
        <d v="2022-06-12T00:00:00Z"/>
        <d v="2022-09-18T00:00:00Z"/>
        <d v="2022-05-31T00:00:00Z"/>
        <d v="2022-09-16T00:00:00Z"/>
        <d v="2026-07-31T00:00:00Z"/>
        <d v="2023-01-23T00:00:00Z"/>
        <d v="2025-01-09T00:00:00Z"/>
        <d v="2023-04-18T00:00:00Z"/>
        <d v="2022-10-21T00:00:00Z"/>
        <d v="2026-10-01T00:00:00Z"/>
        <d v="2026-05-15T00:00:00Z"/>
        <d v="2026-04-08T00:00:00Z"/>
        <d v="2025-04-29T00:00:00Z"/>
        <d v="2025-10-18T00:00:00Z"/>
        <d v="2026-07-18T00:00:00Z"/>
        <d v="2023-08-19T00:00:00Z"/>
        <d v="2025-06-25T00:00:00Z"/>
        <d v="2026-01-18T00:00:00Z"/>
        <d v="2024-02-11T00:00:00Z"/>
        <d v="2027-09-03T00:00:00Z"/>
        <d v="2026-06-14T00:00:00Z"/>
        <d v="2025-08-16T00:00:00Z"/>
        <d v="2023-06-30T00:00:00Z"/>
        <d v="2023-07-22T00:00:00Z"/>
        <d v="2026-12-14T00:00:00Z"/>
        <d v="2024-11-11T00:00:00Z"/>
        <d v="2025-11-26T00:00:00Z"/>
        <d v="2025-12-02T00:00:00Z"/>
        <d v="2025-11-27T00:00:00Z"/>
        <d v="2025-05-16T00:00:00Z"/>
        <d v="2023-07-26T00:00:00Z"/>
        <d v="2024-09-14T00:00:00Z"/>
        <d v="2026-04-27T00:00:00Z"/>
        <d v="2028-06-29T00:00:00Z"/>
        <d v="2022-10-06T00:00:00Z"/>
        <d v="2023-03-01T00:00:00Z"/>
        <d v="2025-03-23T00:00:00Z"/>
        <d v="2024-09-04T00:00:00Z"/>
        <d v="2024-09-03T00:00:00Z"/>
        <d v="2024-05-25T00:00:00Z"/>
        <d v="2026-11-21T00:00:00Z"/>
        <d v="2022-07-28T00:00:00Z"/>
        <d v="2024-04-23T00:00:00Z"/>
        <d v="2026-01-16T00:00:00Z"/>
        <d v="2028-03-06T00:00:00Z"/>
        <d v="2026-02-06T00:00:00Z"/>
        <d v="2023-08-16T00:00:00Z"/>
        <d v="2024-05-28T00:00:00Z"/>
        <d v="2026-11-11T00:00:00Z"/>
        <d v="2026-07-01T00:00:00Z"/>
        <d v="2025-03-26T00:00:00Z"/>
        <d v="2027-09-02T00:00:00Z"/>
        <d v="2024-11-23T00:00:00Z"/>
        <d v="2028-11-11T00:00:00Z"/>
        <d v="2025-07-12T00:00:00Z"/>
        <d v="2023-11-17T00:00:00Z"/>
        <d v="2024-09-01T00:00:00Z"/>
        <d v="2027-01-10T00:00:00Z"/>
        <d v="2024-11-01T00:00:00Z"/>
        <d v="2024-06-09T00:00:00Z"/>
        <d v="2027-06-18T00:00:00Z"/>
        <d v="2023-01-20T00:00:00Z"/>
        <d v="2022-08-22T00:00:00Z"/>
        <d v="2024-07-28T00:00:00Z"/>
        <d v="2026-05-27T00:00:00Z"/>
        <d v="2024-10-15T00:00:00Z"/>
        <d v="2025-12-06T00:00:00Z"/>
        <d v="2025-04-19T00:00:00Z"/>
        <d v="2026-05-30T00:00:00Z"/>
        <d v="2025-07-17T00:00:00Z"/>
        <d v="2025-10-21T00:00:00Z"/>
        <d v="2025-11-10T00:00:00Z"/>
        <d v="2025-06-07T00:00:00Z"/>
        <d v="2028-03-10T00:00:00Z"/>
        <d v="2023-08-02T00:00:00Z"/>
        <d v="2023-09-03T00:00:00Z"/>
        <d v="2025-08-03T00:00:00Z"/>
        <d v="2024-05-11T00:00:00Z"/>
        <d v="2022-12-18T00:00:00Z"/>
        <d v="2025-02-02T00:00:00Z"/>
        <d v="2027-02-05T00:00:00Z"/>
        <d v="2025-06-06T00:00:00Z"/>
        <d v="2027-03-08T00:00:00Z"/>
        <d v="2026-09-06T00:00:00Z"/>
        <d v="2022-11-22T00:00:00Z"/>
        <d v="2024-03-08T00:00:00Z"/>
        <d v="2026-08-19T00:00:00Z"/>
        <d v="2024-08-28T00:00:00Z"/>
        <d v="2027-11-01T00:00:00Z"/>
        <d v="2024-06-08T00:00:00Z"/>
        <d v="2027-07-29T00:00:00Z"/>
        <d v="2026-01-06T00:00:00Z"/>
        <d v="2025-06-13T00:00:00Z"/>
        <d v="2024-01-06T00:00:00Z"/>
        <d v="2024-07-08T00:00:00Z"/>
        <d v="2024-07-03T00:00:00Z"/>
        <d v="2028-04-05T00:00:00Z"/>
        <d v="2025-07-26T00:00:00Z"/>
        <d v="2026-04-30T00:00:00Z"/>
        <d v="2025-10-04T00:00:00Z"/>
        <d v="2023-12-09T00:00:00Z"/>
        <d v="2028-08-13T00:00:00Z"/>
        <d v="2023-09-19T00:00:00Z"/>
        <d v="2024-05-13T00:00:00Z"/>
        <d v="2023-10-11T00:00:00Z"/>
        <d v="2027-02-13T00:00:00Z"/>
        <d v="2028-01-17T00:00:00Z"/>
        <d v="2027-01-30T00:00:00Z"/>
        <d v="2023-08-18T00:00:00Z"/>
        <d v="2025-06-26T00:00:00Z"/>
        <d v="2023-08-08T00:00:00Z"/>
        <d v="2024-01-29T00:00:00Z"/>
        <d v="2022-12-22T00:00:00Z"/>
        <d v="2025-09-18T00:00:00Z"/>
        <d v="2028-01-23T00:00:00Z"/>
        <d v="2025-12-19T00:00:00Z"/>
        <d v="2025-08-20T00:00:00Z"/>
        <d v="2026-12-19T00:00:00Z"/>
        <d v="2022-09-30T00:00:00Z"/>
        <d v="2023-12-02T00:00:00Z"/>
        <d v="2024-08-27T00:00:00Z"/>
        <d v="2025-11-22T00:00:00Z"/>
        <d v="2022-05-28T00:00:00Z"/>
        <d v="2022-11-20T00:00:00Z"/>
        <d v="2024-01-22T00:00:00Z"/>
        <d v="2024-04-13T00:00:00Z"/>
        <d v="2024-08-18T00:00:00Z"/>
        <d v="2024-08-06T00:00:00Z"/>
        <d v="2026-07-05T00:00:00Z"/>
        <d v="2023-06-22T00:00:00Z"/>
        <d v="2024-04-16T00:00:00Z"/>
        <d v="2025-12-16T00:00:00Z"/>
        <d v="2024-10-10T00:00:00Z"/>
        <d v="2022-12-16T00:00:00Z"/>
        <d v="2023-04-24T00:00:00Z"/>
        <d v="2025-08-11T00:00:00Z"/>
        <d v="2026-04-24T00:00:00Z"/>
        <d v="2025-02-17T00:00:00Z"/>
        <d v="2022-05-17T00:00:00Z"/>
        <d v="2022-07-20T00:00:00Z"/>
        <d v="2024-03-15T00:00:00Z"/>
        <d v="2026-09-20T00:00:00Z"/>
        <d v="2026-04-28T00:00:00Z"/>
        <d v="2023-11-22T00:00:00Z"/>
        <d v="2025-05-24T00:00:00Z"/>
        <d v="2025-04-17T00:00:00Z"/>
        <d v="2028-03-03T00:00:00Z"/>
        <d v="2025-05-19T00:00:00Z"/>
        <d v="2023-11-02T00:00:00Z"/>
        <d v="2023-10-18T00:00:00Z"/>
        <d v="2024-12-27T00:00:00Z"/>
        <d v="2023-04-25T00:00:00Z"/>
        <d v="2024-10-23T00:00:00Z"/>
        <d v="2024-10-21T00:00:00Z"/>
        <d v="2024-02-19T00:00:00Z"/>
        <d v="2026-05-28T00:00:00Z"/>
        <d v="2022-06-06T00:00:00Z"/>
        <d v="2025-06-18T00:00:00Z"/>
        <d v="2024-03-20T00:00:00Z"/>
        <d v="2025-08-14T00:00:00Z"/>
        <d v="2025-07-20T00:00:00Z"/>
        <d v="2025-05-07T00:00:00Z"/>
        <d v="2026-05-29T00:00:00Z"/>
        <d v="2026-07-25T00:00:00Z"/>
        <d v="2023-11-29T00:00:00Z"/>
        <d v="2022-11-26T00:00:00Z"/>
        <d v="2025-02-08T00:00:00Z"/>
        <d v="2022-10-18T00:00:00Z"/>
        <d v="2023-07-06T00:00:00Z"/>
        <d v="2026-06-28T00:00:00Z"/>
        <d v="2022-04-15T00:00:00Z"/>
        <d v="2023-01-26T00:00:00Z"/>
        <d v="2023-11-20T00:00:00Z"/>
        <d v="2026-07-06T00:00:00Z"/>
        <d v="2022-07-19T00:00:00Z"/>
        <d v="2023-01-25T00:00:00Z"/>
        <d v="2025-07-29T00:00:00Z"/>
        <d v="2025-07-23T00:00:00Z"/>
        <d v="2024-11-09T00:00:00Z"/>
        <d v="2024-06-21T00:00:00Z"/>
        <d v="2025-04-02T00:00:00Z"/>
        <d v="2025-02-13T00:00:00Z"/>
        <d v="2025-10-20T00:00:00Z"/>
        <d v="2022-11-19T00:00:00Z"/>
        <d v="2025-05-15T00:00:00Z"/>
        <d v="2023-04-08T00:00:00Z"/>
        <d v="2028-01-06T00:00:00Z"/>
        <d v="2025-09-14T00:00:00Z"/>
        <d v="2025-07-13T00:00:00Z"/>
        <d v="2023-03-11T00:00:00Z"/>
        <d v="2025-09-10T00:00:00Z"/>
        <d v="2026-07-27T00:00:00Z"/>
        <d v="2023-07-13T00:00:00Z"/>
        <d v="2024-02-26T00:00:00Z"/>
        <d v="2024-05-14T00:00:00Z"/>
        <d v="2023-06-21T00:00:00Z"/>
        <d v="2022-07-12T00:00:00Z"/>
        <d v="2026-12-16T00:00:00Z"/>
        <d v="2028-03-28T00:00:00Z"/>
        <d v="2024-05-30T00:00:00Z"/>
        <d v="2026-09-10T00:00:00Z"/>
        <d v="2028-03-02T00:00:00Z"/>
        <d v="2024-09-09T00:00:00Z"/>
        <d v="2025-06-16T00:00:00Z"/>
        <d v="2026-09-11T00:00:00Z"/>
        <d v="2023-09-04T00:00:00Z"/>
        <d v="2022-11-30T00:00:00Z"/>
        <d v="2025-10-29T00:00:00Z"/>
        <d v="2026-11-25T00:00:00Z"/>
        <d v="2023-11-18T00:00:00Z"/>
        <d v="2024-12-04T00:00:00Z"/>
        <d v="2023-05-06T00:00:00Z"/>
        <d v="2023-04-02T00:00:00Z"/>
        <d v="2028-01-01T00:00:00Z"/>
        <d v="2026-12-30T00:00:00Z"/>
        <d v="2023-05-31T00:00:00Z"/>
        <d v="2025-02-22T00:00:00Z"/>
        <d v="2022-10-10T00:00:00Z"/>
        <d v="2024-03-27T00:00:00Z"/>
        <d v="2023-09-01T00:00:00Z"/>
        <d v="2027-03-15T00:00:00Z"/>
        <d v="2022-07-09T00:00:00Z"/>
        <d v="2027-06-14T00:00:00Z"/>
        <d v="2022-05-05T00:00:00Z"/>
        <d v="2023-03-18T00:00:00Z"/>
        <d v="2028-02-14T00:00:00Z"/>
        <d v="2025-11-01T00:00:00Z"/>
        <d v="2023-11-24T00:00:00Z"/>
        <d v="2025-08-15T00:00:00Z"/>
        <d v="2026-01-02T00:00:00Z"/>
        <d v="2025-09-30T00:00:00Z"/>
        <d v="2024-02-07T00:00:00Z"/>
        <d v="2026-08-25T00:00:00Z"/>
        <d v="2028-01-05T00:00:00Z"/>
        <d v="2026-03-29T00:00:00Z"/>
        <d v="2026-05-22T00:00:00Z"/>
        <d v="2023-12-05T00:00:00Z"/>
        <d v="2025-10-30T00:00:00Z"/>
        <d v="2025-03-16T00:00:00Z"/>
        <d v="2025-07-22T00:00:00Z"/>
        <d v="2023-02-12T00:00:00Z"/>
        <d v="2022-04-27T00:00:00Z"/>
        <d v="2026-07-16T00:00:00Z"/>
        <d v="2022-02-21T00:00:00Z"/>
        <d v="2025-02-15T00:00:00Z"/>
        <d v="2026-06-21T00:00:00Z"/>
        <d v="2025-03-02T00:00:00Z"/>
        <d v="2023-05-26T00:00:00Z"/>
        <d v="2026-03-15T00:00:00Z"/>
        <d v="2027-03-16T00:00:00Z"/>
        <d v="2023-04-14T00:00:00Z"/>
        <d v="2024-05-18T00:00:00Z"/>
        <d v="2024-01-12T00:00:00Z"/>
        <d v="2027-01-05T00:00:00Z"/>
        <d v="2022-08-29T00:00:00Z"/>
        <d v="2025-11-16T00:00:00Z"/>
        <d v="2023-04-09T00:00:00Z"/>
        <d v="2023-08-24T00:00:00Z"/>
        <d v="2026-08-27T00:00:00Z"/>
        <d v="2022-07-27T00:00:00Z"/>
        <d v="2028-04-30T00:00:00Z"/>
        <d v="2022-04-13T00:00:00Z"/>
        <d v="2026-03-22T00:00:00Z"/>
        <d v="2026-06-04T00:00:00Z"/>
        <d v="2025-03-27T00:00:00Z"/>
        <d v="2024-08-15T00:00:00Z"/>
        <d v="2026-02-28T00:00:00Z"/>
        <d v="2027-10-28T00:00:00Z"/>
        <d v="2025-03-01T00:00:00Z"/>
        <d v="2022-12-31T00:00:00Z"/>
        <d v="2028-01-30T00:00:00Z"/>
        <d v="2023-03-02T00:00:00Z"/>
        <d v="2025-09-09T00:00:00Z"/>
        <d v="2025-10-15T00:00:00Z"/>
        <d v="2026-12-11T00:00:00Z"/>
        <d v="2025-01-17T00:00:00Z"/>
        <d v="2023-10-14T00:00:00Z"/>
        <d v="2023-04-12T00:00:00Z"/>
        <d v="2025-11-21T00:00:00Z"/>
        <d v="2022-12-13T00:00:00Z"/>
        <d v="2023-03-31T00:00:00Z"/>
        <d v="2026-01-09T00:00:00Z"/>
        <d v="2023-10-16T00:00:00Z"/>
        <d v="2023-10-04T00:00:00Z"/>
        <d v="2023-09-23T00:00:00Z"/>
        <d v="2028-03-15T00:00:00Z"/>
        <d v="2027-01-28T00:00:00Z"/>
        <d v="2025-01-18T00:00:00Z"/>
        <d v="2023-06-23T00:00:00Z"/>
        <d v="2024-05-03T00:00:00Z"/>
        <d v="2026-01-31T00:00:00Z"/>
        <d v="2023-04-15T00:00:00Z"/>
        <d v="2023-10-15T00:00:00Z"/>
        <d v="2025-11-28T00:00:00Z"/>
        <d v="2024-10-28T00:00:00Z"/>
        <d v="2022-07-08T00:00:00Z"/>
        <d v="2026-03-11T00:00:00Z"/>
        <d v="2024-02-14T00:00:00Z"/>
        <d v="2025-07-14T00:00:00Z"/>
        <d v="2025-09-28T00:00:00Z"/>
        <d v="2022-02-26T00:00:00Z"/>
        <d v="2025-02-05T00:00:00Z"/>
        <d v="2027-03-17T00:00:00Z"/>
        <d v="2024-10-20T00:00:00Z"/>
        <d v="2023-05-15T00:00:00Z"/>
        <d v="2023-03-14T00:00:00Z"/>
        <d v="2022-09-05T00:00:00Z"/>
        <d v="2027-06-16T00:00:00Z"/>
        <d v="2026-07-13T00:00:00Z"/>
        <d v="2023-08-01T00:00:00Z"/>
        <d v="2025-02-16T00:00:00Z"/>
        <d v="2024-12-12T00:00:00Z"/>
        <d v="2024-10-31T00:00:00Z"/>
        <d v="2027-03-24T00:00:00Z"/>
        <d v="2022-10-23T00:00:00Z"/>
        <d v="2026-09-25T00:00:00Z"/>
        <d v="2027-11-25T00:00:00Z"/>
        <d v="2026-08-12T00:00:00Z"/>
        <d v="2026-05-16T00:00:00Z"/>
        <d v="2022-07-10T00:00:00Z"/>
        <d v="2023-12-08T00:00:00Z"/>
        <d v="2023-03-30T00:00:00Z"/>
        <d v="2025-07-06T00:00:00Z"/>
        <d v="2024-12-31T00:00:00Z"/>
        <d v="2026-04-05T00:00:00Z"/>
        <d v="2022-07-05T00:00:00Z"/>
        <d v="2024-03-24T00:00:00Z"/>
        <d v="2022-10-19T00:00:00Z"/>
        <d v="2026-05-17T00:00:00Z"/>
        <d v="2024-12-03T00:00:00Z"/>
        <d v="2027-02-07T00:00:00Z"/>
        <d v="2023-07-29T00:00:00Z"/>
        <d v="2025-09-23T00:00:00Z"/>
        <d v="2022-07-26T00:00:00Z"/>
        <d v="2022-12-07T00:00:00Z"/>
        <d v="2025-10-25T00:00:00Z"/>
        <d v="2026-07-14T00:00:00Z"/>
        <d v="2029-01-15T00:00:00Z"/>
        <d v="2026-03-19T00:00:00Z"/>
        <d v="2026-08-08T00:00:00Z"/>
        <d v="2023-10-17T00:00:00Z"/>
        <d v="2024-01-27T00:00:00Z"/>
        <d v="2023-12-16T00:00:00Z"/>
        <d v="2025-03-31T00:00:00Z"/>
        <d v="2022-09-04T00:00:00Z"/>
        <d v="2023-06-11T00:00:00Z"/>
        <d v="2026-01-20T00:00:00Z"/>
        <d v="2026-06-30T00:00:00Z"/>
        <d v="2022-10-09T00:00:00Z"/>
        <d v="2025-05-02T00:00:00Z"/>
        <d v="2025-09-12T00:00:00Z"/>
        <d v="2025-11-15T00:00:00Z"/>
        <d v="2025-05-13T00:00:00Z"/>
        <d v="2022-08-07T00:00:00Z"/>
        <d v="2023-08-17T00:00:00Z"/>
        <d v="2024-06-05T00:00:00Z"/>
        <d v="2025-02-09T00:00:00Z"/>
        <d v="2026-12-07T00:00:00Z"/>
        <d v="2028-06-03T00:00:00Z"/>
        <d v="2022-05-11T00:00:00Z"/>
        <d v="2025-06-29T00:00:00Z"/>
        <d v="2026-10-06T00:00:00Z"/>
        <d v="2027-11-03T00:00:00Z"/>
        <d v="2026-08-03T00:00:00Z"/>
        <d v="2024-11-24T00:00:00Z"/>
        <d v="2024-11-03T00:00:00Z"/>
        <d v="2024-07-15T00:00:00Z"/>
        <d v="2027-02-08T00:00:00Z"/>
        <d v="2024-07-22T00:00:00Z"/>
        <d v="2027-02-26T00:00:00Z"/>
        <d v="2026-11-14T00:00:00Z"/>
        <d v="2025-03-24T00:00:00Z"/>
        <d v="2026-03-17T00:00:00Z"/>
        <d v="2024-04-08T00:00:00Z"/>
        <d v="2025-06-01T00:00:00Z"/>
        <d v="2024-06-01T00:00:00Z"/>
        <d v="2025-03-11T00:00:00Z"/>
        <d v="2026-05-03T00:00:00Z"/>
        <d v="2023-06-28T00:00:00Z"/>
        <d v="2023-07-04T00:00:00Z"/>
        <d v="2024-05-15T00:00:00Z"/>
        <d v="2023-03-28T00:00:00Z"/>
        <d v="2023-08-29T00:00:00Z"/>
        <d v="2023-07-20T00:00:00Z"/>
        <d v="2022-03-16T00:00:00Z"/>
        <d v="2023-09-06T00:00:00Z"/>
        <d v="2023-07-21T00:00:00Z"/>
        <d v="2026-01-04T00:00:00Z"/>
        <d v="2022-02-23T00:00:00Z"/>
        <d v="2025-10-09T00:00:00Z"/>
        <d v="2025-03-20T00:00:00Z"/>
        <d v="2023-03-24T00:00:00Z"/>
        <d v="2022-09-19T00:00:00Z"/>
        <d v="2025-12-21T00:00:00Z"/>
        <d v="2022-11-28T00:00:00Z"/>
        <d v="2025-09-11T00:00:00Z"/>
        <d v="2022-08-26T00:00:00Z"/>
        <d v="2024-11-21T00:00:00Z"/>
        <d v="2024-04-06T00:00:00Z"/>
        <d v="2025-05-01T00:00:00Z"/>
        <d v="2027-06-27T00:00:00Z"/>
        <d v="2022-03-24T00:00:00Z"/>
        <d v="2022-12-09T00:00:00Z"/>
        <d v="2025-04-12T00:00:00Z"/>
        <d v="2022-09-20T00:00:00Z"/>
        <d v="2023-12-10T00:00:00Z"/>
        <d v="2024-10-18T00:00:00Z"/>
        <d v="2022-09-08T00:00:00Z"/>
        <d v="2027-03-19T00:00:00Z"/>
        <d v="2026-03-16T00:00:00Z"/>
        <d v="2024-06-07T00:00:00Z"/>
        <d v="2024-09-05T00:00:00Z"/>
        <d v="2024-08-17T00:00:00Z"/>
        <d v="2026-11-22T00:00:00Z"/>
        <d v="2024-01-18T00:00:00Z"/>
        <d v="2024-02-24T00:00:00Z"/>
        <d v="2022-05-29T00:00:00Z"/>
        <d v="2023-02-01T00:00:00Z"/>
        <d v="2027-08-22T00:00:00Z"/>
        <d v="2023-07-05T00:00:00Z"/>
        <d v="2024-10-19T00:00:00Z"/>
        <d v="2026-02-19T00:00:00Z"/>
        <d v="2023-07-01T00:00:00Z"/>
        <d v="2024-04-11T00:00:00Z"/>
        <d v="2025-09-07T00:00:00Z"/>
        <d v="2026-11-15T00:00:00Z"/>
        <d v="2023-07-27T00:00:00Z"/>
        <d v="2023-08-05T00:00:00Z"/>
        <d v="2023-07-24T00:00:00Z"/>
        <d v="2024-03-23T00:00:00Z"/>
        <d v="2026-12-09T00:00:00Z"/>
        <d v="2025-01-23T00:00:00Z"/>
        <d v="2024-11-15T00:00:00Z"/>
        <d v="2024-03-02T00:00:00Z"/>
        <d v="2025-03-03T00:00:00Z"/>
        <d v="2023-01-15T00:00:00Z"/>
        <d v="2028-01-25T00:00:00Z"/>
        <d v="2024-09-08T00:00:00Z"/>
        <d v="2024-07-12T00:00:00Z"/>
        <d v="2027-12-22T00:00:00Z"/>
        <d v="2024-02-12T00:00:00Z"/>
        <d v="2023-05-20T00:00:00Z"/>
        <d v="2024-12-08T00:00:00Z"/>
        <d v="2023-05-23T00:00:00Z"/>
        <d v="2022-12-06T00:00:00Z"/>
        <d v="2025-07-09T00:00:00Z"/>
        <d v="2024-10-08T00:00:00Z"/>
        <d v="2022-05-02T00:00:00Z"/>
        <d v="2024-02-09T00:00:00Z"/>
        <d v="2025-02-24T00:00:00Z"/>
        <d v="2022-07-06T00:00:00Z"/>
        <d v="2025-09-19T00:00:00Z"/>
        <d v="2026-04-11T00:00:00Z"/>
        <d v="2023-04-22T00:00:00Z"/>
        <d v="2024-06-16T00:00:00Z"/>
        <d v="2024-06-02T00:00:00Z"/>
        <d v="2024-04-07T00:00:00Z"/>
        <d v="2027-02-16T00:00:00Z"/>
        <d v="2023-12-04T00:00:00Z"/>
        <d v="2024-06-11T00:00:00Z"/>
        <d v="2026-09-23T00:00:00Z"/>
        <d v="2027-04-21T00:00:00Z"/>
        <d v="2024-04-29T00:00:00Z"/>
        <d v="2026-05-23T00:00:00Z"/>
        <d v="2025-08-29T00:00:00Z"/>
        <d v="2026-08-30T00:00:00Z"/>
        <d v="2023-05-22T00:00:00Z"/>
        <d v="2024-08-10T00:00:00Z"/>
        <d v="2027-02-20T00:00:00Z"/>
        <d v="2026-04-12T00:00:00Z"/>
        <d v="2022-10-01T00:00:00Z"/>
        <d v="2028-05-13T00:00:00Z"/>
        <d v="2024-05-17T00:00:00Z"/>
        <d v="2026-01-24T00:00:00Z"/>
        <d v="2023-09-16T00:00:00Z"/>
        <d v="2027-06-24T00:00:00Z"/>
        <d v="2022-09-21T00:00:00Z"/>
        <d v="2022-06-08T00:00:00Z"/>
        <d v="2022-04-05T00:00:00Z"/>
        <d v="2024-02-29T00:00:00Z"/>
        <d v="2023-10-27T00:00:00Z"/>
        <d v="2028-02-29T00:00:00Z"/>
        <d v="2023-05-21T00:00:00Z"/>
        <d v="2027-05-06T00:00:00Z"/>
        <d v="2025-06-21T00:00:00Z"/>
        <d v="2028-10-22T00:00:00Z"/>
        <d v="2024-02-13T00:00:00Z"/>
        <d v="2022-11-15T00:00:00Z"/>
        <d v="2027-05-25T00:00:00Z"/>
        <d v="2025-10-03T00:00:00Z"/>
        <d v="2027-01-09T00:00:00Z"/>
        <d v="2024-09-28T00:00:00Z"/>
        <d v="2024-07-19T00:00:00Z"/>
        <d v="2023-01-06T00:00:00Z"/>
        <d v="2022-12-15T00:00:00Z"/>
        <d v="2026-06-26T00:00:00Z"/>
        <d v="2028-11-01T00:00:00Z"/>
        <d v="2024-06-23T00:00:00Z"/>
        <d v="2026-05-07T00:00:00Z"/>
        <d v="2025-10-13T00:00:00Z"/>
        <d v="2026-10-10T00:00:00Z"/>
        <d v="2027-06-02T00:00:00Z"/>
        <d v="2025-06-24T00:00:00Z"/>
        <d v="2027-01-04T00:00:00Z"/>
        <d v="2026-06-29T00:00:00Z"/>
        <d v="2023-11-19T00:00:00Z"/>
        <d v="2026-03-12T00:00:00Z"/>
        <d v="2024-03-18T00:00:00Z"/>
        <d v="2027-04-25T00:00:00Z"/>
        <d v="2027-04-17T00:00:00Z"/>
        <d v="2026-06-19T00:00:00Z"/>
        <d v="2024-07-25T00:00:00Z"/>
        <d v="2024-08-30T00:00:00Z"/>
        <d v="2024-02-20T00:00:00Z"/>
        <d v="2023-07-14T00:00:00Z"/>
        <d v="2025-04-08T00:00:00Z"/>
        <d v="2026-03-30T00:00:00Z"/>
        <d v="2025-03-08T00:00:00Z"/>
        <d v="2025-07-05T00:00:00Z"/>
        <d v="2026-08-31T00:00:00Z"/>
        <d v="2024-11-27T00:00:00Z"/>
        <d v="2024-08-24T00:00:00Z"/>
        <d v="2025-12-23T00:00:00Z"/>
        <d v="2022-07-30T00:00:00Z"/>
        <d v="2025-04-03T00:00:00Z"/>
        <d v="2026-10-17T00:00:00Z"/>
        <d v="2026-08-29T00:00:00Z"/>
        <d v="2027-05-24T00:00:00Z"/>
        <d v="2028-03-17T00:00:00Z"/>
        <d v="2023-09-27T00:00:00Z"/>
        <d v="2026-02-26T00:00:00Z"/>
        <d v="2027-10-18T00:00:00Z"/>
        <d v="2023-03-07T00:00:00Z"/>
        <d v="2022-12-01T00:00:00Z"/>
        <d v="2029-01-06T00:00:00Z"/>
        <d v="2027-07-10T00:00:00Z"/>
        <d v="2024-01-19T00:00:00Z"/>
        <d v="2023-11-21T00:00:00Z"/>
        <d v="2026-03-20T00:00:00Z"/>
        <d v="2026-04-18T00:00:00Z"/>
        <d v="2023-09-09T00:00:00Z"/>
        <d v="2025-09-02T00:00:00Z"/>
        <d v="2027-03-03T00:00:00Z"/>
        <d v="2022-03-18T00:00:00Z"/>
        <d v="2023-10-21T00:00:00Z"/>
        <d v="2022-11-25T00:00:00Z"/>
        <d v="2025-11-14T00:00:00Z"/>
        <d v="2023-05-07T00:00:00Z"/>
        <d v="2027-10-29T00:00:00Z"/>
        <d v="2023-02-23T00:00:00Z"/>
        <d v="2024-10-13T00:00:00Z"/>
        <d v="2022-06-20T00:00:00Z"/>
        <d v="2025-11-17T00:00:00Z"/>
        <d v="2025-06-14T00:00:00Z"/>
        <d v="2024-10-30T00:00:00Z"/>
        <d v="2024-04-14T00:00:00Z"/>
        <d v="2025-12-31T00:00:00Z"/>
        <d v="2023-04-01T00:00:00Z"/>
        <d v="2026-12-12T00:00:00Z"/>
        <d v="2026-09-08T00:00:00Z"/>
        <d v="2024-03-16T00:00:00Z"/>
        <d v="2023-11-12T00:00:00Z"/>
        <d v="2027-04-19T00:00:00Z"/>
        <d v="2025-09-17T00:00:00Z"/>
        <d v="2025-01-16T00:00:00Z"/>
        <d v="2026-01-15T00:00:00Z"/>
        <d v="2025-01-30T00:00:00Z"/>
        <d v="2026-12-04T00:00:00Z"/>
        <d v="2026-07-22T00:00:00Z"/>
        <d v="2024-02-08T00:00:00Z"/>
        <d v="2026-12-02T00:00:00Z"/>
        <d v="2026-05-25T00:00:00Z"/>
        <d v="2025-03-10T00:00:00Z"/>
        <d v="2022-11-06T00:00:00Z"/>
        <d v="2025-11-04T00:00:00Z"/>
      </sharedItems>
    </cacheField>
    <cacheField name="Churn_Date">
      <sharedItems containsDate="1" containsMixedTypes="1">
        <s v="16/06/2023"/>
        <s v=""/>
        <s v="24/02/2024"/>
        <s v="27/09/2025"/>
        <s v="20/08/2026"/>
        <d v="2025-06-09T00:00:00Z"/>
        <d v="2025-08-10T00:00:00Z"/>
        <s v="16/01/2025"/>
        <d v="2026-06-03T00:00:00Z"/>
        <s v="26/06/2026"/>
        <d v="2025-02-11T00:00:00Z"/>
        <s v="30/12/2026"/>
        <s v="13/11/2027"/>
        <d v="2025-02-02T00:00:00Z"/>
        <d v="2025-11-07T00:00:00Z"/>
        <s v="25/05/2025"/>
        <d v="2028-03-01T00:00:00Z"/>
        <s v="27/10/2022"/>
        <d v="2023-08-10T00:00:00Z"/>
        <d v="2026-05-09T00:00:00Z"/>
        <d v="2025-01-04T00:00:00Z"/>
        <d v="2028-02-02T00:00:00Z"/>
        <s v="30/01/2025"/>
        <s v="18/10/2025"/>
        <s v="21/02/2024"/>
        <d v="2022-02-09T00:00:00Z"/>
        <d v="2023-06-08T00:00:00Z"/>
        <s v="18/04/2024"/>
        <d v="2027-02-05T00:00:00Z"/>
        <d v="2026-09-02T00:00:00Z"/>
        <d v="2022-09-10T00:00:00Z"/>
        <s v="26/12/2025"/>
        <s v="19/01/2025"/>
        <s v="28/08/2025"/>
        <d v="2023-12-08T00:00:00Z"/>
        <d v="2025-01-11T00:00:00Z"/>
        <s v="16/05/2025"/>
        <d v="2025-08-11T00:00:00Z"/>
        <d v="2024-12-03T00:00:00Z"/>
        <s v="16/05/2024"/>
        <s v="14/09/2025"/>
        <s v="17/05/2025"/>
        <d v="2024-03-01T00:00:00Z"/>
        <s v="22/12/2025"/>
        <d v="2023-04-03T00:00:00Z"/>
        <s v="24/07/2025"/>
        <d v="2026-05-04T00:00:00Z"/>
        <d v="2023-08-05T00:00:00Z"/>
        <s v="24/09/2024"/>
        <d v="2028-06-03T00:00:00Z"/>
        <s v="17/04/2024"/>
        <s v="17/04/2026"/>
        <s v="17/08/2024"/>
        <s v="27/02/2023"/>
        <s v="20/10/2026"/>
        <s v="13/09/2024"/>
        <s v="17/05/2024"/>
        <s v="28/09/2025"/>
        <d v="2023-05-10T00:00:00Z"/>
        <s v="29/01/2024"/>
        <s v="22/06/2024"/>
        <s v="15/05/2025"/>
        <d v="2024-09-01T00:00:00Z"/>
        <s v="24/08/2022"/>
        <d v="2023-06-02T00:00:00Z"/>
        <s v="29/05/2022"/>
        <s v="18/08/2025"/>
        <s v="25/12/2026"/>
        <d v="2024-10-10T00:00:00Z"/>
        <s v="14/03/2024"/>
        <s v="31/08/2025"/>
        <d v="2025-01-10T00:00:00Z"/>
        <d v="2023-02-09T00:00:00Z"/>
        <s v="18/01/2029"/>
        <s v="31/05/2025"/>
        <s v="16/02/2023"/>
        <d v="2025-05-05T00:00:00Z"/>
        <d v="2025-04-05T00:00:00Z"/>
        <s v="21/07/2026"/>
        <s v="16/01/2023"/>
        <d v="2026-12-08T00:00:00Z"/>
        <d v="2025-06-01T00:00:00Z"/>
        <d v="2026-04-08T00:00:00Z"/>
        <d v="2025-07-08T00:00:00Z"/>
        <s v="20/08/2024"/>
        <s v="13/09/2026"/>
        <s v="30/12/2025"/>
        <s v="27/05/2026"/>
        <d v="2026-09-09T00:00:00Z"/>
        <s v="28/05/2024"/>
        <s v="26/05/2025"/>
        <d v="2026-07-06T00:00:00Z"/>
        <s v="16/04/2027"/>
        <s v="26/02/2022"/>
        <d v="2027-12-04T00:00:00Z"/>
        <d v="2023-11-07T00:00:00Z"/>
        <d v="2022-04-10T00:00:00Z"/>
        <d v="2022-04-07T00:00:00Z"/>
        <s v="25/04/2026"/>
        <d v="2026-03-10T00:00:00Z"/>
        <s v="20/09/2026"/>
        <d v="2023-11-09T00:00:00Z"/>
        <s v="27/01/2026"/>
        <s v="27/04/2024"/>
        <s v="16/01/2026"/>
        <s v="30/06/2025"/>
        <s v="18/06/2026"/>
        <s v="24/05/2025"/>
        <s v="15/11/2025"/>
        <d v="2023-06-01T00:00:00Z"/>
        <d v="2026-01-07T00:00:00Z"/>
        <d v="2023-06-07T00:00:00Z"/>
        <d v="2023-08-04T00:00:00Z"/>
        <d v="2022-01-05T00:00:00Z"/>
        <s v="25/09/2024"/>
        <s v="19/06/2026"/>
        <d v="2026-07-07T00:00:00Z"/>
        <s v="17/11/2027"/>
        <s v="21/02/2026"/>
        <s v="20/08/2023"/>
        <d v="2026-12-06T00:00:00Z"/>
        <s v="20/05/2025"/>
        <s v="31/05/2023"/>
        <d v="2025-06-06T00:00:00Z"/>
        <d v="2026-06-05T00:00:00Z"/>
        <s v="13/02/2023"/>
        <s v="20/11/2025"/>
        <s v="21/08/2024"/>
        <s v="19/04/2024"/>
        <d v="2022-06-12T00:00:00Z"/>
        <s v="25/10/2022"/>
        <s v="20/07/2024"/>
        <s v="27/09/2026"/>
        <s v="28/02/2026"/>
        <d v="2025-02-09T00:00:00Z"/>
        <s v="17/12/2025"/>
        <s v="15/10/2022"/>
        <s v="19/02/2027"/>
        <d v="2026-10-05T00:00:00Z"/>
        <s v="31/08/2024"/>
        <d v="2024-06-03T00:00:00Z"/>
        <d v="2025-09-01T00:00:00Z"/>
        <s v="30/11/2023"/>
        <d v="2026-09-07T00:00:00Z"/>
        <s v="13/10/2023"/>
        <d v="2023-04-07T00:00:00Z"/>
        <s v="23/06/2025"/>
        <s v="20/01/2028"/>
        <d v="2025-07-04T00:00:00Z"/>
        <d v="2024-11-04T00:00:00Z"/>
        <s v="22/05/2024"/>
        <s v="21/01/2026"/>
        <s v="28/08/2026"/>
        <d v="2022-11-05T00:00:00Z"/>
        <s v="26/01/2024"/>
        <s v="25/12/2025"/>
        <s v="20/03/2023"/>
        <d v="2024-11-01T00:00:00Z"/>
        <s v="19/03/2027"/>
        <s v="21/09/2023"/>
        <d v="2026-05-11T00:00:00Z"/>
        <s v="21/01/2025"/>
        <s v="22/06/2025"/>
        <d v="2024-08-01T00:00:00Z"/>
        <d v="2026-07-03T00:00:00Z"/>
        <s v="30/04/2023"/>
        <s v="28/05/2027"/>
        <s v="18/06/2023"/>
        <s v="27/12/2025"/>
        <s v="29/03/2027"/>
        <s v="17/10/2025"/>
        <s v="30/05/2026"/>
        <d v="2024-12-04T00:00:00Z"/>
        <s v="17/10/2028"/>
        <d v="2024-02-06T00:00:00Z"/>
        <s v="26/10/2023"/>
        <s v="18/09/2026"/>
        <d v="2026-04-01T00:00:00Z"/>
        <d v="2027-03-10T00:00:00Z"/>
        <d v="2026-05-08T00:00:00Z"/>
        <s v="28/11/2024"/>
        <d v="2023-04-11T00:00:00Z"/>
        <s v="25/09/2023"/>
        <d v="2028-12-06T00:00:00Z"/>
        <d v="2024-11-06T00:00:00Z"/>
        <d v="2024-07-11T00:00:00Z"/>
        <s v="14/10/2024"/>
        <s v="30/06/2027"/>
        <d v="2023-10-08T00:00:00Z"/>
        <s v="23/08/2025"/>
        <d v="2024-07-03T00:00:00Z"/>
        <s v="25/03/2024"/>
        <d v="2027-12-08T00:00:00Z"/>
        <d v="2025-03-10T00:00:00Z"/>
        <s v="30/09/2023"/>
        <s v="15/06/2026"/>
        <d v="2026-12-11T00:00:00Z"/>
        <d v="2024-06-05T00:00:00Z"/>
        <s v="17/09/2026"/>
        <d v="2024-10-04T00:00:00Z"/>
        <s v="25/06/2027"/>
        <d v="2026-11-02T00:00:00Z"/>
        <d v="2025-03-05T00:00:00Z"/>
        <d v="2024-06-11T00:00:00Z"/>
        <d v="2022-09-05T00:00:00Z"/>
        <s v="17/06/2022"/>
        <s v="23/07/2024"/>
        <s v="14/01/2023"/>
        <s v="30/06/2023"/>
        <s v="20/06/2027"/>
        <s v="13/08/2022"/>
        <s v="23/11/2023"/>
        <d v="2026-05-10T00:00:00Z"/>
        <s v="15/12/2025"/>
        <s v="25/03/2025"/>
        <d v="2027-11-08T00:00:00Z"/>
        <d v="2027-07-03T00:00:00Z"/>
        <d v="2028-08-02T00:00:00Z"/>
        <s v="17/03/2026"/>
        <s v="28/11/2025"/>
        <s v="13/07/2025"/>
        <d v="2025-12-12T00:00:00Z"/>
        <s v="29/11/2026"/>
        <s v="14/09/2022"/>
        <d v="2024-05-10T00:00:00Z"/>
        <s v="20/07/2026"/>
        <s v="30/11/2026"/>
        <s v="26/10/2025"/>
        <d v="2026-04-07T00:00:00Z"/>
        <d v="2026-03-04T00:00:00Z"/>
        <s v="18/02/2028"/>
        <s v="17/03/2025"/>
        <d v="2025-11-09T00:00:00Z"/>
        <s v="13/08/2024"/>
        <d v="2027-09-09T00:00:00Z"/>
        <s v="22/02/2023"/>
        <s v="30/08/2025"/>
        <s v="23/10/2023"/>
        <s v="29/12/2025"/>
        <s v="25/10/2025"/>
        <d v="2027-02-03T00:00:00Z"/>
        <s v="18/10/2023"/>
        <d v="2022-07-09T00:00:00Z"/>
        <s v="21/03/2025"/>
        <d v="2026-10-06T00:00:00Z"/>
        <s v="28/04/2024"/>
        <s v="24/04/2024"/>
        <s v="30/10/2027"/>
        <s v="28/03/2024"/>
        <s v="23/01/2023"/>
        <s v="22/02/2024"/>
        <s v="24/08/2025"/>
        <d v="2024-08-07T00:00:00Z"/>
        <s v="13/03/2025"/>
        <d v="2026-07-01T00:00:00Z"/>
        <d v="2025-05-11T00:00:00Z"/>
        <s v="23/12/2022"/>
        <s v="13/11/2023"/>
        <d v="2024-09-08T00:00:00Z"/>
        <s v="30/04/2026"/>
        <s v="26/09/2022"/>
        <s v="29/04/2022"/>
        <s v="27/11/2025"/>
        <s v="25/08/2024"/>
        <d v="2024-08-04T00:00:00Z"/>
        <s v="25/04/2025"/>
        <d v="2023-05-06T00:00:00Z"/>
        <d v="2022-05-06T00:00:00Z"/>
        <d v="2025-06-11T00:00:00Z"/>
        <d v="2025-08-03T00:00:00Z"/>
        <s v="16/04/2024"/>
        <d v="2026-06-02T00:00:00Z"/>
        <s v="31/10/2022"/>
        <s v="27/05/2025"/>
        <d v="2026-05-06T00:00:00Z"/>
        <s v="25/06/2024"/>
        <s v="17/07/2024"/>
        <s v="25/09/2025"/>
        <d v="2023-02-06T00:00:00Z"/>
        <s v="18/11/2023"/>
        <d v="2024-03-03T00:00:00Z"/>
        <d v="2026-03-03T00:00:00Z"/>
        <s v="17/09/2024"/>
        <s v="13/12/2023"/>
        <s v="28/03/2027"/>
        <d v="2025-06-04T00:00:00Z"/>
        <s v="19/11/2022"/>
        <d v="2022-04-06T00:00:00Z"/>
        <s v="16/10/2024"/>
        <d v="2027-11-12T00:00:00Z"/>
        <s v="19/12/2022"/>
        <d v="2024-04-03T00:00:00Z"/>
        <s v="24/01/2023"/>
        <d v="2024-07-12T00:00:00Z"/>
        <d v="2026-09-05T00:00:00Z"/>
        <d v="2026-07-10T00:00:00Z"/>
        <d v="2025-01-12T00:00:00Z"/>
        <s v="22/05/2023"/>
        <s v="16/04/2025"/>
        <s v="20/09/2023"/>
        <s v="30/09/2026"/>
        <s v="17/06/2025"/>
        <d v="2022-03-10T00:00:00Z"/>
        <s v="21/07/2025"/>
        <s v="20/03/2026"/>
        <s v="22/04/2026"/>
        <s v="27/01/2024"/>
        <s v="17/09/2023"/>
        <s v="22/05/2022"/>
        <d v="2026-09-03T00:00:00Z"/>
        <s v="24/10/2025"/>
        <d v="2024-10-02T00:00:00Z"/>
        <s v="16/03/2023"/>
        <s v="26/09/2024"/>
        <d v="2026-11-04T00:00:00Z"/>
        <s v="18/04/2023"/>
        <s v="13/09/2023"/>
        <s v="29/11/2024"/>
        <s v="26/10/2024"/>
        <s v="17/11/2025"/>
        <d v="2025-05-07T00:00:00Z"/>
        <d v="2023-11-11T00:00:00Z"/>
        <d v="2025-11-02T00:00:00Z"/>
        <s v="19/07/2023"/>
        <s v="20/06/2025"/>
        <s v="27/06/2025"/>
        <d v="2023-03-06T00:00:00Z"/>
        <s v="29/10/2024"/>
        <d v="2028-12-05T00:00:00Z"/>
        <d v="2023-06-12T00:00:00Z"/>
        <d v="2024-03-05T00:00:00Z"/>
        <s v="13/12/2024"/>
        <s v="14/09/2023"/>
        <d v="2025-08-04T00:00:00Z"/>
        <s v="16/08/2023"/>
        <d v="2025-10-05T00:00:00Z"/>
        <s v="18/09/2024"/>
        <s v="20/02/2024"/>
        <s v="18/05/2026"/>
        <d v="2022-12-09T00:00:00Z"/>
        <s v="23/06/2027"/>
        <d v="2022-02-04T00:00:00Z"/>
        <s v="27/08/2023"/>
        <d v="2023-09-12T00:00:00Z"/>
        <d v="2023-08-08T00:00:00Z"/>
        <s v="20/10/2023"/>
        <d v="2026-06-04T00:00:00Z"/>
        <d v="2024-02-11T00:00:00Z"/>
        <d v="2024-08-12T00:00:00Z"/>
        <d v="2027-03-11T00:00:00Z"/>
        <d v="2024-04-05T00:00:00Z"/>
        <s v="13/03/2023"/>
        <s v="13/05/2023"/>
        <s v="17/08/2026"/>
        <d v="2022-03-12T00:00:00Z"/>
        <s v="30/09/2025"/>
        <d v="2022-01-09T00:00:00Z"/>
        <s v="19/10/2026"/>
        <s v="17/01/2024"/>
        <s v="18/03/2026"/>
        <s v="21/11/2023"/>
        <d v="2024-10-06T00:00:00Z"/>
        <s v="22/07/2023"/>
        <s v="26/09/2025"/>
        <s v="22/12/2024"/>
        <s v="27/07/2025"/>
        <s v="14/04/2025"/>
        <s v="17/10/2022"/>
        <s v="22/11/2024"/>
        <d v="2026-01-12T00:00:00Z"/>
        <d v="2025-12-03T00:00:00Z"/>
        <s v="16/08/2025"/>
        <s v="22/08/2022"/>
        <d v="2024-05-08T00:00:00Z"/>
        <d v="2023-05-08T00:00:00Z"/>
        <s v="25/09/2026"/>
        <s v="28/07/2024"/>
        <d v="2022-11-10T00:00:00Z"/>
        <s v="13/04/2022"/>
        <s v="15/07/2023"/>
        <d v="2026-04-11T00:00:00Z"/>
        <d v="2023-03-09T00:00:00Z"/>
        <s v="18/06/2025"/>
        <d v="2025-03-01T00:00:00Z"/>
        <s v="19/06/2024"/>
        <s v="19/03/2025"/>
        <s v="29/03/2026"/>
        <s v="20/04/2025"/>
        <s v="14/12/2025"/>
        <s v="24/11/2024"/>
        <s v="24/09/2023"/>
        <s v="19/12/2024"/>
        <s v="13/01/2027"/>
        <s v="29/07/2028"/>
        <d v="2023-04-01T00:00:00Z"/>
        <s v="28/01/2024"/>
        <s v="22/09/2024"/>
        <d v="2022-11-06T00:00:00Z"/>
        <d v="2022-03-11T00:00:00Z"/>
        <d v="2025-07-06T00:00:00Z"/>
        <s v="24/02/2023"/>
        <s v="20/12/2024"/>
        <s v="21/03/2026"/>
        <d v="2024-03-02T00:00:00Z"/>
        <d v="2023-07-06T00:00:00Z"/>
        <d v="2024-03-06T00:00:00Z"/>
        <s v="26/08/2024"/>
        <d v="2024-04-10T00:00:00Z"/>
        <d v="2025-11-08T00:00:00Z"/>
        <d v="2023-09-09T00:00:00Z"/>
        <d v="2024-04-07T00:00:00Z"/>
        <d v="2023-07-01T00:00:00Z"/>
        <d v="2025-10-11T00:00:00Z"/>
        <d v="2023-06-10T00:00:00Z"/>
        <d v="2026-04-05T00:00:00Z"/>
        <d v="2023-07-12T00:00:00Z"/>
        <s v="30/05/2023"/>
        <s v="14/04/2029"/>
        <d v="2024-01-10T00:00:00Z"/>
        <s v="30/07/2024"/>
        <s v="27/05/2024"/>
        <d v="2025-02-10T00:00:00Z"/>
        <s v="29/08/2026"/>
        <s v="30/10/2024"/>
        <d v="2025-01-07T00:00:00Z"/>
        <d v="2027-08-08T00:00:00Z"/>
        <s v="24/11/2022"/>
        <d v="2023-12-06T00:00:00Z"/>
        <s v="31/12/2025"/>
        <d v="2022-11-07T00:00:00Z"/>
        <s v="27/10/2023"/>
        <d v="2023-12-07T00:00:00Z"/>
        <d v="2025-02-07T00:00:00Z"/>
        <d v="2027-01-07T00:00:00Z"/>
        <s v="29/06/2027"/>
        <d v="2025-10-10T00:00:00Z"/>
        <s v="30/05/2024"/>
        <s v="19/01/2026"/>
        <s v="21/06/2026"/>
        <s v="13/04/2027"/>
        <d v="2026-08-11T00:00:00Z"/>
        <s v="22/09/2023"/>
        <s v="13/02/2025"/>
        <d v="2026-12-12T00:00:00Z"/>
        <s v="17/11/2024"/>
        <s v="17/12/2024"/>
        <s v="19/05/2024"/>
        <d v="2026-10-10T00:00:00Z"/>
        <s v="28/11/2022"/>
        <s v="30/11/2024"/>
        <s v="27/04/2023"/>
        <s v="16/06/2026"/>
        <d v="2026-12-04T00:00:00Z"/>
        <d v="2024-06-07T00:00:00Z"/>
        <s v="24/10/2022"/>
        <d v="2024-11-05T00:00:00Z"/>
        <s v="19/01/2024"/>
        <s v="29/11/2023"/>
        <s v="28/08/2024"/>
        <s v="24/02/2026"/>
        <d v="2022-07-06T00:00:00Z"/>
        <d v="2025-11-03T00:00:00Z"/>
        <s v="22/09/2022"/>
        <s v="29/06/2022"/>
        <s v="29/01/2025"/>
        <d v="2025-05-01T00:00:00Z"/>
        <s v="26/07/2025"/>
        <d v="2026-01-09T00:00:00Z"/>
      </sharedItems>
    </cacheField>
    <cacheField name="Churn_Status" numFmtId="0">
      <sharedItems>
        <s v="Churned"/>
        <s v="Active"/>
        <s v="Yes"/>
        <s v="No"/>
      </sharedItems>
    </cacheField>
    <cacheField name="Primary_Product" numFmtId="0">
      <sharedItems>
        <s v="Cloud Storage"/>
        <s v="Automation"/>
        <s v="Collaboration"/>
        <s v="Security"/>
        <s v="Analytics"/>
        <s v=""/>
      </sharedItems>
    </cacheField>
    <cacheField name="Satisfaction_Group" numFmtId="0">
      <sharedItems>
        <s v="Moderate"/>
        <s v="Low"/>
        <s v=""/>
        <s v="High"/>
        <s v="Very High"/>
      </sharedItems>
    </cacheField>
    <cacheField name="Usage_Group" numFmtId="0">
      <sharedItems>
        <s v="Median or Above"/>
        <s v="Below Median"/>
      </sharedItems>
    </cacheField>
    <cacheField name="Tenure_Group" numFmtId="0">
      <sharedItems>
        <s v="0–12 Months"/>
        <s v="25–48 Months"/>
        <s v="13–24 Months"/>
        <s v="49+ Months"/>
        <s v="Invalid Tenur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Churn_Analysis" cacheId="0" dataCaption="" rowGrandTotals="0" colGrandTotals="0" compact="0" compactData="0">
  <location ref="A5:C9"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axis="axisRow" compact="0" outline="0" multipleItemSelectionAllowed="1" showAll="0" sortType="ascending">
      <items>
        <item x="2"/>
        <item x="0"/>
        <item x="1"/>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compact="0" outline="0" multipleItemSelectionAllowed="1" showAll="0">
      <items>
        <item x="0"/>
        <item x="1"/>
        <item x="2"/>
        <item x="3"/>
        <item x="4"/>
        <item x="5"/>
        <item x="6"/>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s>
  <rowFields>
    <field x="9"/>
  </rowFields>
  <colFields>
    <field x="18"/>
  </colFields>
  <dataFields>
    <dataField name="COUNTA of Customer_ID" fld="0" subtotal="count" baseField="0"/>
  </dataFields>
</pivotTableDefinition>
</file>

<file path=xl/pivotTables/pivotTable2.xml><?xml version="1.0" encoding="utf-8"?>
<pivotTableDefinition xmlns="http://schemas.openxmlformats.org/spreadsheetml/2006/main" name="Churn_Analysis 2" cacheId="0" dataCaption="" rowGrandTotals="0" colGrandTotals="0" compact="0" compactData="0">
  <location ref="A22:C26"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axis="axisRow" compact="0" outline="0" multipleItemSelectionAllowed="1" showAll="0" sortType="ascending">
      <items>
        <item x="1"/>
        <item x="2"/>
        <item x="0"/>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compact="0" outline="0" multipleItemSelectionAllowed="1" showAll="0">
      <items>
        <item x="0"/>
        <item x="1"/>
        <item x="2"/>
        <item x="3"/>
        <item x="4"/>
        <item x="5"/>
        <item x="6"/>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s>
  <rowFields>
    <field x="5"/>
  </rowFields>
  <colFields>
    <field x="18"/>
  </colFields>
  <dataFields>
    <dataField name="COUNTA of Customer_ID" fld="0" subtotal="count" baseField="0"/>
  </dataFields>
</pivotTableDefinition>
</file>

<file path=xl/pivotTables/pivotTable3.xml><?xml version="1.0" encoding="utf-8"?>
<pivotTableDefinition xmlns="http://schemas.openxmlformats.org/spreadsheetml/2006/main" name="Churn_Analysis 3" cacheId="1" dataCaption="" rowGrandTotals="0" colGrandTotals="0" compact="0" compactData="0">
  <location ref="A34:C40"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compact="0" outline="0" multipleItemSelectionAllowed="1" showAll="0">
      <items>
        <item x="0"/>
        <item x="1"/>
        <item x="2"/>
        <item x="3"/>
        <item x="4"/>
        <item x="5"/>
        <item x="6"/>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axis="axisRow" compact="0" outline="0" multipleItemSelectionAllowed="1" showAll="0" sortType="ascending">
      <items>
        <item x="2"/>
        <item x="3"/>
        <item x="1"/>
        <item x="0"/>
        <item x="4"/>
        <item t="default"/>
      </items>
    </pivotField>
  </pivotFields>
  <rowFields>
    <field x="20"/>
  </rowFields>
  <colFields>
    <field x="18"/>
  </colFields>
  <dataFields>
    <dataField name="COUNTA of Customer_ID" fld="0" subtotal="count" baseField="0"/>
  </dataFields>
</pivotTableDefinition>
</file>

<file path=xl/pivotTables/pivotTable4.xml><?xml version="1.0" encoding="utf-8"?>
<pivotTableDefinition xmlns="http://schemas.openxmlformats.org/spreadsheetml/2006/main" name="Churn_Analysis 4" cacheId="1" dataCaption="" rowGrandTotals="0" colGrandTotals="0" compact="0" compactData="0">
  <location ref="A62:C71"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axis="axisRow" compact="0" outline="0" multipleItemSelectionAllowed="1" showAll="0" sortType="ascending">
      <items>
        <item x="0"/>
        <item x="2"/>
        <item x="1"/>
        <item x="3"/>
        <item x="4"/>
        <item x="6"/>
        <item x="5"/>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compact="0" outline="0" multipleItemSelectionAllowed="1" showAll="0">
      <items>
        <item x="0"/>
        <item x="1"/>
        <item x="2"/>
        <item x="3"/>
        <item x="4"/>
        <item t="default"/>
      </items>
    </pivotField>
  </pivotFields>
  <rowFields>
    <field x="13"/>
  </rowFields>
  <colFields>
    <field x="18"/>
  </colFields>
  <dataFields>
    <dataField name="COUNTA of Customer_ID" fld="0" subtotal="count" baseField="0"/>
  </dataFields>
</pivotTableDefinition>
</file>

<file path=xl/pivotTables/pivotTable5.xml><?xml version="1.0" encoding="utf-8"?>
<pivotTableDefinition xmlns="http://schemas.openxmlformats.org/spreadsheetml/2006/main" name="Churn_Analysis 5" cacheId="1" dataCaption="" rowGrandTotals="0" colGrandTotals="0" compact="0" compactData="0">
  <location ref="A82:F91" firstHeaderRow="0" firstDataRow="1" firstDataCol="1" rowPageCount="1" colPageCount="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axis="axisRow" compact="0" outline="0" multipleItemSelectionAllowed="1" showAll="0" sortType="ascending">
      <items>
        <item x="0"/>
        <item x="2"/>
        <item x="1"/>
        <item x="3"/>
        <item x="4"/>
        <item x="6"/>
        <item x="5"/>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Page" compact="0" outline="0" multipleItemSelectionAllowed="1" showAll="0">
      <items>
        <item x="0"/>
        <item x="1"/>
        <item h="1" x="2"/>
        <item h="1" x="3"/>
        <item t="default"/>
      </items>
    </pivotField>
    <pivotField name="Primary_Product" compact="0" outline="0" multipleItemSelectionAllowed="1" showAll="0">
      <items>
        <item x="0"/>
        <item x="1"/>
        <item x="2"/>
        <item x="3"/>
        <item x="4"/>
        <item x="5"/>
        <item t="default"/>
      </items>
    </pivotField>
    <pivotField name="Satisfaction_Group" axis="axisCol" compact="0" outline="0" multipleItemSelectionAllowed="1" showAll="0" sortType="ascending">
      <items>
        <item x="2"/>
        <item x="3"/>
        <item x="1"/>
        <item x="0"/>
        <item x="4"/>
        <item t="default"/>
      </items>
    </pivotField>
  </pivotFields>
  <rowFields>
    <field x="13"/>
  </rowFields>
  <colFields>
    <field x="20"/>
  </colFields>
  <pageFields>
    <pageField fld="18"/>
  </pageFields>
  <dataFields>
    <dataField name="COUNTA of Customer_ID" fld="0" subtotal="count" baseField="0"/>
  </dataFields>
</pivotTableDefinition>
</file>

<file path=xl/pivotTables/pivotTable6.xml><?xml version="1.0" encoding="utf-8"?>
<pivotTableDefinition xmlns="http://schemas.openxmlformats.org/spreadsheetml/2006/main" name="Churn_Analysis 6" cacheId="1" dataCaption="" rowGrandTotals="0" colGrandTotals="0" compact="0" compactData="0">
  <location ref="A115:C121" firstHeaderRow="0" firstDataRow="1" firstDataCol="1" rowPageCount="1" colPageCount="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axis="axisPage" compact="0" outline="0" multipleItemSelectionAllowed="1" showAll="0">
      <items>
        <item x="0"/>
        <item h="1" x="1"/>
        <item x="2"/>
        <item x="3"/>
        <item x="4"/>
        <item x="5"/>
        <item x="6"/>
        <item h="1"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axis="axisRow" compact="0" outline="0" multipleItemSelectionAllowed="1" showAll="0" sortType="ascending">
      <items>
        <item x="2"/>
        <item x="3"/>
        <item x="1"/>
        <item x="0"/>
        <item x="4"/>
        <item t="default"/>
      </items>
    </pivotField>
  </pivotFields>
  <rowFields>
    <field x="20"/>
  </rowFields>
  <colFields>
    <field x="18"/>
  </colFields>
  <pageFields>
    <pageField fld="13"/>
  </pageFields>
  <dataFields>
    <dataField name="COUNTA of Customer_ID" fld="0" subtotal="count" baseField="0"/>
  </dataFields>
</pivotTableDefinition>
</file>

<file path=xl/pivotTables/pivotTable7.xml><?xml version="1.0" encoding="utf-8"?>
<pivotTableDefinition xmlns="http://schemas.openxmlformats.org/spreadsheetml/2006/main" name="Churn_Analysis 7" cacheId="1" dataCaption="" rowGrandTotals="0" colGrandTotals="0" compact="0" compactData="0">
  <location ref="A133:C139" firstHeaderRow="0" firstDataRow="1" firstDataCol="1" rowPageCount="1" colPageCount="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axis="axisPage" compact="0" outline="0" multipleItemSelectionAllowed="1" showAll="0">
      <items>
        <item x="0"/>
        <item h="1" x="1"/>
        <item h="1" x="2"/>
        <item x="3"/>
        <item x="4"/>
        <item x="5"/>
        <item x="6"/>
        <item h="1"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axis="axisRow" compact="0" outline="0" multipleItemSelectionAllowed="1" showAll="0" sortType="ascending">
      <items>
        <item x="2"/>
        <item x="3"/>
        <item x="1"/>
        <item x="0"/>
        <item x="4"/>
        <item t="default"/>
      </items>
    </pivotField>
  </pivotFields>
  <rowFields>
    <field x="20"/>
  </rowFields>
  <colFields>
    <field x="18"/>
  </colFields>
  <pageFields>
    <pageField fld="13"/>
  </pageFields>
  <dataFields>
    <dataField name="COUNTA of Customer_ID" fld="0" subtotal="count" baseField="0"/>
  </dataFields>
</pivotTableDefinition>
</file>

<file path=xl/pivotTables/pivotTable8.xml><?xml version="1.0" encoding="utf-8"?>
<pivotTableDefinition xmlns="http://schemas.openxmlformats.org/spreadsheetml/2006/main" name="Churn_Analysis 8" cacheId="1" dataCaption="" rowGrandTotals="0" colGrandTotals="0" compact="0" compactData="0">
  <location ref="A142:C148" firstHeaderRow="0" firstDataRow="1" firstDataCol="1" rowPageCount="1" colPageCount="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axis="axisPage" compact="0" outline="0" multipleItemSelectionAllowed="1" showAll="0">
      <items>
        <item h="1" x="0"/>
        <item h="1" x="1"/>
        <item x="2"/>
        <item x="3"/>
        <item x="4"/>
        <item x="5"/>
        <item x="6"/>
        <item h="1"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axis="axisRow" compact="0" outline="0" multipleItemSelectionAllowed="1" showAll="0" sortType="ascending">
      <items>
        <item x="2"/>
        <item x="3"/>
        <item x="1"/>
        <item x="0"/>
        <item x="4"/>
        <item t="default"/>
      </items>
    </pivotField>
  </pivotFields>
  <rowFields>
    <field x="20"/>
  </rowFields>
  <colFields>
    <field x="18"/>
  </colFields>
  <pageFields>
    <pageField fld="13"/>
  </pageFields>
  <dataFields>
    <dataField name="COUNTA of Customer_ID" fld="0" subtotal="count" baseField="0"/>
  </dataFields>
</pivotTableDefinition>
</file>

<file path=xl/pivotTables/pivotTable9.xml><?xml version="1.0" encoding="utf-8"?>
<pivotTableDefinition xmlns="http://schemas.openxmlformats.org/spreadsheetml/2006/main" name="Churn_Analysis 9" cacheId="1" dataCaption="" rowGrandTotals="0" colGrandTotals="0" compact="0" compactData="0">
  <location ref="A170:C181"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axis="axisRow" compact="0" numFmtId="4" outline="0" multipleItemSelectionAllowed="1" showAll="0" sortType="ascending">
      <items>
        <item x="6"/>
        <item x="1"/>
        <item x="2"/>
        <item x="0"/>
        <item x="3"/>
        <item x="5"/>
        <item x="4"/>
        <item x="7"/>
        <item x="8"/>
        <item x="9"/>
        <item t="default"/>
      </items>
    </pivotField>
    <pivotField name="Complaints" compact="0" outline="0" multipleItemSelectionAllowed="1" showAll="0">
      <items>
        <item x="0"/>
        <item x="1"/>
        <item x="2"/>
        <item x="3"/>
        <item x="4"/>
        <item x="5"/>
        <item x="6"/>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compact="0" outline="0" multipleItemSelectionAllowed="1" showAll="0">
      <items>
        <item x="0"/>
        <item x="1"/>
        <item x="2"/>
        <item x="3"/>
        <item x="4"/>
        <item t="default"/>
      </items>
    </pivotField>
  </pivotFields>
  <rowFields>
    <field x="12"/>
  </rowFields>
  <colFields>
    <field x="18"/>
  </colFields>
  <dataFields>
    <dataField name="COUNTA of Customer_ID" fld="0" subtotal="count" baseField="0"/>
  </dataFields>
</pivotTableDefinition>
</file>

<file path=xl/pivotTables/pivotTable10.xml><?xml version="1.0" encoding="utf-8"?>
<pivotTableDefinition xmlns="http://schemas.openxmlformats.org/spreadsheetml/2006/main" name="Churn_Analysis 10" cacheId="2" dataCaption="" rowGrandTotals="0" colGrandTotals="0" compact="0" compactData="0">
  <location ref="A200:C203"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compact="0" outline="0" multipleItemSelectionAllowed="1" showAll="0">
      <items>
        <item x="0"/>
        <item x="1"/>
        <item x="2"/>
        <item x="3"/>
        <item x="4"/>
        <item x="5"/>
        <item x="6"/>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compact="0" outline="0" multipleItemSelectionAllowed="1" showAll="0">
      <items>
        <item x="0"/>
        <item x="1"/>
        <item x="2"/>
        <item x="3"/>
        <item x="4"/>
        <item t="default"/>
      </items>
    </pivotField>
    <pivotField name="Usage_Group" axis="axisRow" compact="0" outline="0" multipleItemSelectionAllowed="1" showAll="0" sortType="ascending">
      <items>
        <item x="1"/>
        <item x="0"/>
        <item t="default"/>
      </items>
    </pivotField>
  </pivotFields>
  <rowFields>
    <field x="21"/>
  </rowFields>
  <colFields>
    <field x="18"/>
  </colFields>
  <dataFields>
    <dataField name="COUNTA of Customer_ID" fld="0" subtotal="count" baseField="0"/>
  </dataFields>
</pivotTableDefinition>
</file>

<file path=xl/pivotTables/pivotTable11.xml><?xml version="1.0" encoding="utf-8"?>
<pivotTableDefinition xmlns="http://schemas.openxmlformats.org/spreadsheetml/2006/main" name="Churn_Analysis 11" cacheId="3" dataCaption="" rowGrandTotals="0" colGrandTotals="0" compact="0" compactData="0">
  <location ref="A208:C214"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Plan" compact="0" outline="0" multipleItemSelectionAllowed="1" showAll="0">
      <items>
        <item x="0"/>
        <item x="1"/>
        <item x="2"/>
        <item t="default"/>
      </items>
    </pivotField>
    <pivotField name="Acquisition_Channel" compact="0" outline="0" multipleItemSelectionAllowed="1" showAll="0">
      <items>
        <item x="0"/>
        <item x="1"/>
        <item x="2"/>
        <item x="3"/>
        <item x="4"/>
        <item x="5"/>
        <item x="6"/>
        <item t="default"/>
      </items>
    </pivotField>
    <pivotField name="Signup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t="default"/>
      </items>
    </pivotField>
    <pivotField name="Tenure_Month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ntract_Type" compact="0" outline="0" multipleItemSelectionAllowed="1" showAll="0">
      <items>
        <item x="0"/>
        <item x="1"/>
        <item x="2"/>
        <item t="default"/>
      </items>
    </pivotField>
    <pivotField name="Payment_Method" compact="0" outline="0" multipleItemSelectionAllowed="1" showAll="0">
      <items>
        <item x="0"/>
        <item x="1"/>
        <item x="2"/>
        <item t="default"/>
      </items>
    </pivotField>
    <pivotField name="Monthly_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Support_Tickets" compact="0" numFmtId="4" outline="0" multipleItemSelectionAllowed="1" showAll="0">
      <items>
        <item x="0"/>
        <item x="1"/>
        <item x="2"/>
        <item x="3"/>
        <item x="4"/>
        <item x="5"/>
        <item x="6"/>
        <item x="7"/>
        <item x="8"/>
        <item x="9"/>
        <item t="default"/>
      </items>
    </pivotField>
    <pivotField name="Complaints" compact="0" outline="0" multipleItemSelectionAllowed="1" showAll="0">
      <items>
        <item x="0"/>
        <item x="1"/>
        <item x="2"/>
        <item x="3"/>
        <item x="4"/>
        <item x="5"/>
        <item x="6"/>
        <item x="7"/>
        <item t="default"/>
      </items>
    </pivotField>
    <pivotField name="Monthly_Usage_Hour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Satisfa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Last_Lo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t="default"/>
      </items>
    </pivotField>
    <pivotField name="Chur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Churn_Status" axis="axisCol" compact="0" outline="0" multipleItemSelectionAllowed="1" showAll="0" sortType="ascending">
      <items>
        <item x="1"/>
        <item x="0"/>
        <item h="1" x="3"/>
        <item h="1" x="2"/>
        <item t="default"/>
      </items>
    </pivotField>
    <pivotField name="Primary_Product" compact="0" outline="0" multipleItemSelectionAllowed="1" showAll="0">
      <items>
        <item x="0"/>
        <item x="1"/>
        <item x="2"/>
        <item x="3"/>
        <item x="4"/>
        <item x="5"/>
        <item t="default"/>
      </items>
    </pivotField>
    <pivotField name="Satisfaction_Group" compact="0" outline="0" multipleItemSelectionAllowed="1" showAll="0">
      <items>
        <item x="0"/>
        <item x="1"/>
        <item x="2"/>
        <item x="3"/>
        <item x="4"/>
        <item t="default"/>
      </items>
    </pivotField>
    <pivotField name="Usage_Group" compact="0" outline="0" multipleItemSelectionAllowed="1" showAll="0">
      <items>
        <item x="0"/>
        <item x="1"/>
        <item t="default"/>
      </items>
    </pivotField>
    <pivotField name="Tenure_Group" axis="axisRow" compact="0" outline="0" multipleItemSelectionAllowed="1" showAll="0" sortType="ascending">
      <items>
        <item x="0"/>
        <item x="2"/>
        <item x="1"/>
        <item x="3"/>
        <item x="4"/>
        <item t="default"/>
      </items>
    </pivotField>
  </pivotFields>
  <rowFields>
    <field x="22"/>
  </rowFields>
  <colFields>
    <field x="18"/>
  </colFields>
  <dataFields>
    <dataField name="COUNTA of Customer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6.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3.75"/>
    <col customWidth="1" min="3" max="3" width="3.88"/>
    <col customWidth="1" min="4" max="4" width="6.88"/>
    <col customWidth="1" min="5" max="5" width="11.13"/>
    <col customWidth="1" min="6" max="6" width="9.13"/>
    <col customWidth="1" min="7" max="7" width="16.63"/>
    <col customWidth="1" min="8" max="8" width="16.5"/>
    <col customWidth="1" min="9" max="9" width="13.0"/>
    <col customWidth="1" min="10" max="10" width="12.0"/>
    <col customWidth="1" min="11" max="11" width="14.75"/>
    <col customWidth="1" min="12" max="12" width="11.0"/>
    <col customWidth="1" min="13" max="13" width="13.25"/>
    <col customWidth="1" min="14" max="14" width="9.63"/>
    <col customWidth="1" min="15" max="15" width="18.38"/>
    <col customWidth="1" min="16" max="16" width="14.88"/>
    <col customWidth="1" min="17" max="17" width="16.5"/>
    <col customWidth="1" min="18" max="18" width="10.0"/>
    <col customWidth="1" min="19" max="19" width="11.25"/>
    <col customWidth="1" min="20" max="20" width="13.88"/>
    <col customWidth="1" min="21" max="21" width="23.75"/>
  </cols>
  <sheetData>
    <row r="1">
      <c r="A1" s="1" t="s">
        <v>0</v>
      </c>
      <c r="B1" s="1" t="s">
        <v>2</v>
      </c>
      <c r="C1" s="1" t="s">
        <v>4</v>
      </c>
      <c r="D1" s="1" t="s">
        <v>6</v>
      </c>
      <c r="E1" s="1" t="s">
        <v>7</v>
      </c>
      <c r="F1" s="1" t="s">
        <v>8</v>
      </c>
      <c r="G1" s="1" t="s">
        <v>10</v>
      </c>
      <c r="H1" s="1" t="s">
        <v>12</v>
      </c>
      <c r="I1" s="1" t="s">
        <v>14</v>
      </c>
      <c r="J1" s="1" t="s">
        <v>17</v>
      </c>
      <c r="K1" s="1" t="s">
        <v>18</v>
      </c>
      <c r="L1" s="1" t="s">
        <v>19</v>
      </c>
      <c r="M1" s="1" t="s">
        <v>20</v>
      </c>
      <c r="N1" s="1" t="s">
        <v>21</v>
      </c>
      <c r="O1" s="1" t="s">
        <v>22</v>
      </c>
      <c r="P1" s="1" t="s">
        <v>23</v>
      </c>
      <c r="Q1" s="1" t="s">
        <v>24</v>
      </c>
      <c r="R1" s="1" t="s">
        <v>25</v>
      </c>
      <c r="S1" s="1" t="s">
        <v>26</v>
      </c>
      <c r="T1" s="1" t="s">
        <v>27</v>
      </c>
      <c r="U1" s="10" t="s">
        <v>28</v>
      </c>
    </row>
    <row r="2">
      <c r="A2" s="12" t="s">
        <v>30</v>
      </c>
      <c r="B2" s="12" t="s">
        <v>34</v>
      </c>
      <c r="C2" s="12"/>
      <c r="D2" s="12" t="s">
        <v>35</v>
      </c>
      <c r="E2" s="12" t="s">
        <v>36</v>
      </c>
      <c r="F2" s="12" t="s">
        <v>37</v>
      </c>
      <c r="G2" s="12" t="s">
        <v>39</v>
      </c>
      <c r="H2" s="15">
        <v>45019.0</v>
      </c>
      <c r="I2" s="17">
        <v>9.0</v>
      </c>
      <c r="J2" s="12" t="s">
        <v>40</v>
      </c>
      <c r="K2" s="12" t="s">
        <v>42</v>
      </c>
      <c r="L2" s="17">
        <v>1757.0</v>
      </c>
      <c r="M2" s="17">
        <v>2.0</v>
      </c>
      <c r="N2" s="17">
        <v>0.0</v>
      </c>
      <c r="O2" s="17">
        <v>32.0</v>
      </c>
      <c r="P2" s="17">
        <v>3.6</v>
      </c>
      <c r="Q2" s="15">
        <v>45308.0</v>
      </c>
      <c r="R2" s="12" t="s">
        <v>44</v>
      </c>
      <c r="S2" s="12" t="s">
        <v>45</v>
      </c>
      <c r="T2" s="12" t="s">
        <v>47</v>
      </c>
      <c r="U2" s="17">
        <f t="shared" ref="U2:U1826" si="1">COUNTIF($A$2:$A$1826, A2)</f>
        <v>1</v>
      </c>
    </row>
    <row r="3">
      <c r="A3" s="12" t="s">
        <v>49</v>
      </c>
      <c r="B3" s="12" t="s">
        <v>50</v>
      </c>
      <c r="C3" s="17">
        <v>40.0</v>
      </c>
      <c r="D3" s="12" t="s">
        <v>35</v>
      </c>
      <c r="E3" s="12" t="s">
        <v>51</v>
      </c>
      <c r="F3" s="12" t="s">
        <v>37</v>
      </c>
      <c r="G3" s="12" t="s">
        <v>52</v>
      </c>
      <c r="H3" s="15">
        <v>45678.0</v>
      </c>
      <c r="I3" s="17">
        <v>27.0</v>
      </c>
      <c r="J3" s="12" t="s">
        <v>53</v>
      </c>
      <c r="K3" s="12" t="s">
        <v>42</v>
      </c>
      <c r="L3" s="17">
        <v>1283.0</v>
      </c>
      <c r="M3" s="17">
        <v>0.0</v>
      </c>
      <c r="N3" s="17">
        <v>2.0</v>
      </c>
      <c r="O3" s="17">
        <v>40.6</v>
      </c>
      <c r="P3" s="17">
        <v>4.4</v>
      </c>
      <c r="Q3" s="15">
        <v>45694.0</v>
      </c>
      <c r="R3" s="12"/>
      <c r="S3" s="12" t="s">
        <v>55</v>
      </c>
      <c r="T3" s="12" t="s">
        <v>47</v>
      </c>
      <c r="U3" s="17">
        <f t="shared" si="1"/>
        <v>1</v>
      </c>
    </row>
    <row r="4">
      <c r="A4" s="12" t="s">
        <v>58</v>
      </c>
      <c r="B4" s="12" t="s">
        <v>59</v>
      </c>
      <c r="C4" s="17">
        <v>24.0</v>
      </c>
      <c r="D4" s="12" t="s">
        <v>60</v>
      </c>
      <c r="E4" s="12" t="s">
        <v>61</v>
      </c>
      <c r="F4" s="12" t="s">
        <v>62</v>
      </c>
      <c r="G4" s="12" t="s">
        <v>63</v>
      </c>
      <c r="H4" s="15">
        <v>45297.0</v>
      </c>
      <c r="I4" s="17">
        <v>23.0</v>
      </c>
      <c r="J4" s="12" t="s">
        <v>64</v>
      </c>
      <c r="K4" s="12" t="s">
        <v>65</v>
      </c>
      <c r="L4" s="17">
        <v>521.0</v>
      </c>
      <c r="M4" s="17">
        <v>2.0</v>
      </c>
      <c r="N4" s="17">
        <v>0.0</v>
      </c>
      <c r="O4" s="17">
        <v>14.3</v>
      </c>
      <c r="P4" s="17">
        <v>3.3</v>
      </c>
      <c r="Q4" s="15">
        <v>45856.0</v>
      </c>
      <c r="R4" s="12"/>
      <c r="S4" s="12" t="s">
        <v>55</v>
      </c>
      <c r="T4" s="12" t="s">
        <v>66</v>
      </c>
      <c r="U4" s="17">
        <f t="shared" si="1"/>
        <v>1</v>
      </c>
    </row>
    <row r="5">
      <c r="A5" s="12" t="s">
        <v>67</v>
      </c>
      <c r="B5" s="12" t="s">
        <v>68</v>
      </c>
      <c r="C5" s="17">
        <v>42.0</v>
      </c>
      <c r="D5" s="12" t="s">
        <v>69</v>
      </c>
      <c r="E5" s="12" t="s">
        <v>70</v>
      </c>
      <c r="F5" s="12" t="s">
        <v>62</v>
      </c>
      <c r="G5" s="12" t="s">
        <v>39</v>
      </c>
      <c r="H5" s="15">
        <v>45154.0</v>
      </c>
      <c r="I5" s="17">
        <v>6.0</v>
      </c>
      <c r="J5" s="12" t="s">
        <v>53</v>
      </c>
      <c r="K5" s="12" t="s">
        <v>42</v>
      </c>
      <c r="L5" s="17">
        <v>550.0</v>
      </c>
      <c r="M5" s="17">
        <v>1.0</v>
      </c>
      <c r="N5" s="17">
        <v>1.0</v>
      </c>
      <c r="O5" s="17">
        <v>9.9</v>
      </c>
      <c r="P5" s="17">
        <v>4.0</v>
      </c>
      <c r="Q5" s="15">
        <v>45280.0</v>
      </c>
      <c r="R5" s="12" t="s">
        <v>71</v>
      </c>
      <c r="S5" s="12" t="s">
        <v>45</v>
      </c>
      <c r="T5" s="12" t="s">
        <v>72</v>
      </c>
      <c r="U5" s="17">
        <f t="shared" si="1"/>
        <v>1</v>
      </c>
    </row>
    <row r="6">
      <c r="A6" s="12" t="s">
        <v>73</v>
      </c>
      <c r="B6" s="12" t="s">
        <v>74</v>
      </c>
      <c r="C6" s="17">
        <v>33.0</v>
      </c>
      <c r="D6" s="12" t="s">
        <v>35</v>
      </c>
      <c r="E6" s="12" t="s">
        <v>51</v>
      </c>
      <c r="F6" s="12" t="s">
        <v>37</v>
      </c>
      <c r="G6" s="12" t="s">
        <v>39</v>
      </c>
      <c r="H6" s="15">
        <v>44896.0</v>
      </c>
      <c r="I6" s="17">
        <v>30.0</v>
      </c>
      <c r="J6" s="12" t="s">
        <v>40</v>
      </c>
      <c r="K6" s="12" t="s">
        <v>65</v>
      </c>
      <c r="L6" s="17">
        <v>1703.0</v>
      </c>
      <c r="M6" s="17">
        <v>1.0</v>
      </c>
      <c r="N6" s="17">
        <v>1.0</v>
      </c>
      <c r="O6" s="17">
        <v>28.5</v>
      </c>
      <c r="P6" s="17">
        <v>2.4</v>
      </c>
      <c r="Q6" s="15">
        <v>45130.0</v>
      </c>
      <c r="R6" s="12"/>
      <c r="S6" s="12" t="s">
        <v>55</v>
      </c>
      <c r="T6" s="12" t="s">
        <v>75</v>
      </c>
      <c r="U6" s="17">
        <f t="shared" si="1"/>
        <v>3</v>
      </c>
    </row>
    <row r="7">
      <c r="A7" s="12" t="s">
        <v>77</v>
      </c>
      <c r="B7" s="12" t="s">
        <v>78</v>
      </c>
      <c r="C7" s="17">
        <v>34.0</v>
      </c>
      <c r="D7" s="12" t="s">
        <v>35</v>
      </c>
      <c r="E7" s="12" t="s">
        <v>51</v>
      </c>
      <c r="F7" s="12" t="s">
        <v>79</v>
      </c>
      <c r="G7" s="12" t="s">
        <v>80</v>
      </c>
      <c r="H7" s="15">
        <v>45206.0</v>
      </c>
      <c r="I7" s="17">
        <v>14.0</v>
      </c>
      <c r="J7" s="12" t="s">
        <v>64</v>
      </c>
      <c r="K7" s="12" t="s">
        <v>81</v>
      </c>
      <c r="L7" s="17">
        <v>2938.0</v>
      </c>
      <c r="M7" s="17">
        <v>2.0</v>
      </c>
      <c r="N7" s="17">
        <v>1.0</v>
      </c>
      <c r="O7" s="17">
        <v>33.2</v>
      </c>
      <c r="P7" s="17">
        <v>3.4</v>
      </c>
      <c r="Q7" s="15">
        <v>45289.0</v>
      </c>
      <c r="R7" s="12"/>
      <c r="S7" s="12" t="s">
        <v>55</v>
      </c>
      <c r="T7" s="12" t="s">
        <v>66</v>
      </c>
      <c r="U7" s="17">
        <f t="shared" si="1"/>
        <v>6</v>
      </c>
    </row>
    <row r="8">
      <c r="A8" s="12" t="s">
        <v>82</v>
      </c>
      <c r="B8" s="12" t="s">
        <v>50</v>
      </c>
      <c r="C8" s="17">
        <v>57.0</v>
      </c>
      <c r="D8" s="12" t="s">
        <v>85</v>
      </c>
      <c r="E8" s="12" t="s">
        <v>87</v>
      </c>
      <c r="F8" s="12" t="s">
        <v>62</v>
      </c>
      <c r="G8" s="12" t="s">
        <v>39</v>
      </c>
      <c r="H8" s="15">
        <v>45605.0</v>
      </c>
      <c r="I8" s="17">
        <v>32.0</v>
      </c>
      <c r="J8" s="12" t="s">
        <v>40</v>
      </c>
      <c r="K8" s="12" t="s">
        <v>65</v>
      </c>
      <c r="L8" s="12" t="s">
        <v>88</v>
      </c>
      <c r="M8" s="17">
        <v>2.0</v>
      </c>
      <c r="N8" s="17">
        <v>1.0</v>
      </c>
      <c r="O8" s="17">
        <v>16.2</v>
      </c>
      <c r="P8" s="17">
        <v>4.1</v>
      </c>
      <c r="Q8" s="15">
        <v>46257.0</v>
      </c>
      <c r="R8" s="12"/>
      <c r="S8" s="12" t="s">
        <v>55</v>
      </c>
      <c r="T8" s="12" t="s">
        <v>75</v>
      </c>
      <c r="U8" s="17">
        <f t="shared" si="1"/>
        <v>2</v>
      </c>
    </row>
    <row r="9">
      <c r="A9" s="12" t="s">
        <v>90</v>
      </c>
      <c r="B9" s="12" t="s">
        <v>91</v>
      </c>
      <c r="C9" s="17">
        <v>37.0</v>
      </c>
      <c r="D9" s="12" t="s">
        <v>85</v>
      </c>
      <c r="E9" s="12" t="s">
        <v>92</v>
      </c>
      <c r="F9" s="12" t="s">
        <v>79</v>
      </c>
      <c r="G9" s="12" t="s">
        <v>93</v>
      </c>
      <c r="H9" s="15">
        <v>44585.0</v>
      </c>
      <c r="I9" s="17">
        <v>44.0</v>
      </c>
      <c r="J9" s="12" t="s">
        <v>53</v>
      </c>
      <c r="K9" s="12" t="s">
        <v>42</v>
      </c>
      <c r="L9" s="17">
        <v>3536.0</v>
      </c>
      <c r="M9" s="17">
        <v>0.0</v>
      </c>
      <c r="N9" s="17">
        <v>0.0</v>
      </c>
      <c r="O9" s="17">
        <v>43.9</v>
      </c>
      <c r="P9" s="17">
        <v>3.9</v>
      </c>
      <c r="Q9" s="15">
        <v>45141.0</v>
      </c>
      <c r="R9" s="12" t="s">
        <v>94</v>
      </c>
      <c r="S9" s="12" t="s">
        <v>45</v>
      </c>
      <c r="T9" s="12" t="s">
        <v>75</v>
      </c>
      <c r="U9" s="17">
        <f t="shared" si="1"/>
        <v>2</v>
      </c>
    </row>
    <row r="10">
      <c r="A10" s="12" t="s">
        <v>95</v>
      </c>
      <c r="B10" s="12" t="s">
        <v>96</v>
      </c>
      <c r="C10" s="17">
        <v>57.0</v>
      </c>
      <c r="D10" s="12" t="s">
        <v>60</v>
      </c>
      <c r="E10" s="12" t="s">
        <v>97</v>
      </c>
      <c r="F10" s="12" t="s">
        <v>37</v>
      </c>
      <c r="G10" s="12" t="s">
        <v>63</v>
      </c>
      <c r="H10" s="15">
        <v>45842.0</v>
      </c>
      <c r="I10" s="17">
        <v>20.0</v>
      </c>
      <c r="J10" s="12" t="s">
        <v>53</v>
      </c>
      <c r="K10" s="12" t="s">
        <v>65</v>
      </c>
      <c r="L10" s="17">
        <v>1622.0</v>
      </c>
      <c r="M10" s="17">
        <v>1.0</v>
      </c>
      <c r="N10" s="17">
        <v>1.0</v>
      </c>
      <c r="O10" s="17">
        <v>27.1</v>
      </c>
      <c r="P10" s="17">
        <v>3.4</v>
      </c>
      <c r="Q10" s="15">
        <v>46008.0</v>
      </c>
      <c r="R10" s="12" t="s">
        <v>101</v>
      </c>
      <c r="S10" s="12" t="s">
        <v>45</v>
      </c>
      <c r="T10" s="12" t="s">
        <v>104</v>
      </c>
      <c r="U10" s="17">
        <f t="shared" si="1"/>
        <v>4</v>
      </c>
    </row>
    <row r="11">
      <c r="A11" s="12" t="s">
        <v>105</v>
      </c>
      <c r="B11" s="12" t="s">
        <v>106</v>
      </c>
      <c r="C11" s="17">
        <v>61.0</v>
      </c>
      <c r="D11" s="12" t="s">
        <v>60</v>
      </c>
      <c r="E11" s="12" t="s">
        <v>107</v>
      </c>
      <c r="F11" s="12" t="s">
        <v>62</v>
      </c>
      <c r="G11" s="12" t="s">
        <v>39</v>
      </c>
      <c r="H11" s="15">
        <v>45723.0</v>
      </c>
      <c r="I11" s="17">
        <v>6.0</v>
      </c>
      <c r="J11" s="12" t="s">
        <v>53</v>
      </c>
      <c r="K11" s="12" t="s">
        <v>81</v>
      </c>
      <c r="L11" s="17">
        <v>747.0</v>
      </c>
      <c r="M11" s="17">
        <v>1.0</v>
      </c>
      <c r="N11" s="17">
        <v>0.0</v>
      </c>
      <c r="O11" s="17">
        <v>20.7</v>
      </c>
      <c r="P11" s="17">
        <v>2.1</v>
      </c>
      <c r="Q11" s="15">
        <v>45869.0</v>
      </c>
      <c r="R11" s="12"/>
      <c r="S11" s="12" t="s">
        <v>55</v>
      </c>
      <c r="T11" s="12" t="s">
        <v>47</v>
      </c>
      <c r="U11" s="17">
        <f t="shared" si="1"/>
        <v>3</v>
      </c>
    </row>
    <row r="12">
      <c r="A12" s="12" t="s">
        <v>109</v>
      </c>
      <c r="B12" s="12" t="s">
        <v>110</v>
      </c>
      <c r="C12" s="17">
        <v>26.0</v>
      </c>
      <c r="D12" s="12" t="s">
        <v>85</v>
      </c>
      <c r="E12" s="12" t="s">
        <v>111</v>
      </c>
      <c r="F12" s="12" t="s">
        <v>79</v>
      </c>
      <c r="G12" s="12" t="s">
        <v>93</v>
      </c>
      <c r="H12" s="15">
        <v>45974.0</v>
      </c>
      <c r="I12" s="17">
        <v>13.0</v>
      </c>
      <c r="J12" s="12" t="s">
        <v>40</v>
      </c>
      <c r="K12" s="12" t="s">
        <v>42</v>
      </c>
      <c r="L12" s="17">
        <v>3329.0</v>
      </c>
      <c r="M12" s="17">
        <v>2.0</v>
      </c>
      <c r="N12" s="17">
        <v>0.0</v>
      </c>
      <c r="O12" s="17">
        <v>42.7</v>
      </c>
      <c r="P12" s="17">
        <v>4.5</v>
      </c>
      <c r="Q12" s="15">
        <v>46175.0</v>
      </c>
      <c r="R12" s="12"/>
      <c r="S12" s="12" t="s">
        <v>55</v>
      </c>
      <c r="T12" s="12" t="s">
        <v>104</v>
      </c>
      <c r="U12" s="17">
        <f t="shared" si="1"/>
        <v>5</v>
      </c>
    </row>
    <row r="13">
      <c r="A13" s="12" t="s">
        <v>113</v>
      </c>
      <c r="B13" s="12" t="s">
        <v>91</v>
      </c>
      <c r="C13" s="17">
        <v>51.0</v>
      </c>
      <c r="D13" s="12" t="s">
        <v>35</v>
      </c>
      <c r="E13" s="12" t="s">
        <v>51</v>
      </c>
      <c r="F13" s="12" t="s">
        <v>37</v>
      </c>
      <c r="G13" s="12" t="s">
        <v>63</v>
      </c>
      <c r="H13" s="15">
        <v>44707.0</v>
      </c>
      <c r="I13" s="17">
        <v>46.0</v>
      </c>
      <c r="J13" s="12" t="s">
        <v>40</v>
      </c>
      <c r="K13" s="12" t="s">
        <v>65</v>
      </c>
      <c r="L13" s="17">
        <v>1068.0</v>
      </c>
      <c r="M13" s="17">
        <v>0.0</v>
      </c>
      <c r="N13" s="17">
        <v>0.0</v>
      </c>
      <c r="O13" s="17">
        <v>15.9</v>
      </c>
      <c r="P13" s="17">
        <v>4.7</v>
      </c>
      <c r="Q13" s="15">
        <v>44781.0</v>
      </c>
      <c r="R13" s="12"/>
      <c r="S13" s="12" t="s">
        <v>55</v>
      </c>
      <c r="T13" s="12" t="s">
        <v>75</v>
      </c>
      <c r="U13" s="17">
        <f t="shared" si="1"/>
        <v>3</v>
      </c>
    </row>
    <row r="14">
      <c r="A14" s="12" t="s">
        <v>117</v>
      </c>
      <c r="B14" s="12" t="s">
        <v>118</v>
      </c>
      <c r="C14" s="17">
        <v>65.0</v>
      </c>
      <c r="D14" s="12" t="s">
        <v>69</v>
      </c>
      <c r="E14" s="12" t="s">
        <v>119</v>
      </c>
      <c r="F14" s="12" t="s">
        <v>62</v>
      </c>
      <c r="G14" s="12" t="s">
        <v>120</v>
      </c>
      <c r="H14" s="15">
        <v>45395.0</v>
      </c>
      <c r="I14" s="17">
        <v>13.0</v>
      </c>
      <c r="J14" s="12" t="s">
        <v>40</v>
      </c>
      <c r="K14" s="12" t="s">
        <v>81</v>
      </c>
      <c r="L14" s="17">
        <v>836.0</v>
      </c>
      <c r="M14" s="17">
        <v>3.0</v>
      </c>
      <c r="N14" s="17">
        <v>2.0</v>
      </c>
      <c r="O14" s="17">
        <v>27.4</v>
      </c>
      <c r="P14" s="12"/>
      <c r="Q14" s="15">
        <v>45621.0</v>
      </c>
      <c r="R14" s="12"/>
      <c r="S14" s="12" t="s">
        <v>55</v>
      </c>
      <c r="T14" s="12" t="s">
        <v>104</v>
      </c>
      <c r="U14" s="17">
        <f t="shared" si="1"/>
        <v>1</v>
      </c>
    </row>
    <row r="15">
      <c r="A15" s="12" t="s">
        <v>121</v>
      </c>
      <c r="B15" s="12" t="s">
        <v>122</v>
      </c>
      <c r="C15" s="17">
        <v>34.0</v>
      </c>
      <c r="D15" s="12" t="s">
        <v>85</v>
      </c>
      <c r="E15" s="12" t="s">
        <v>92</v>
      </c>
      <c r="F15" s="12" t="s">
        <v>37</v>
      </c>
      <c r="G15" s="12" t="s">
        <v>63</v>
      </c>
      <c r="H15" s="15">
        <v>45071.0</v>
      </c>
      <c r="I15" s="17">
        <v>13.0</v>
      </c>
      <c r="J15" s="12" t="s">
        <v>40</v>
      </c>
      <c r="K15" s="12" t="s">
        <v>65</v>
      </c>
      <c r="L15" s="12" t="s">
        <v>124</v>
      </c>
      <c r="M15" s="17">
        <v>2.0</v>
      </c>
      <c r="N15" s="17">
        <v>0.0</v>
      </c>
      <c r="O15" s="17">
        <v>27.7</v>
      </c>
      <c r="P15" s="17">
        <v>5.0</v>
      </c>
      <c r="Q15" s="15">
        <v>45174.0</v>
      </c>
      <c r="R15" s="12"/>
      <c r="S15" s="12" t="s">
        <v>55</v>
      </c>
      <c r="T15" s="12" t="s">
        <v>66</v>
      </c>
      <c r="U15" s="17">
        <f t="shared" si="1"/>
        <v>2</v>
      </c>
    </row>
    <row r="16">
      <c r="A16" s="12" t="s">
        <v>125</v>
      </c>
      <c r="B16" s="12" t="s">
        <v>126</v>
      </c>
      <c r="C16" s="17">
        <v>43.0</v>
      </c>
      <c r="D16" s="12" t="s">
        <v>35</v>
      </c>
      <c r="E16" s="12" t="s">
        <v>36</v>
      </c>
      <c r="F16" s="12" t="s">
        <v>79</v>
      </c>
      <c r="G16" s="12" t="s">
        <v>93</v>
      </c>
      <c r="H16" s="15">
        <v>45046.0</v>
      </c>
      <c r="I16" s="17">
        <v>11.0</v>
      </c>
      <c r="J16" s="12" t="s">
        <v>40</v>
      </c>
      <c r="K16" s="12" t="s">
        <v>65</v>
      </c>
      <c r="L16" s="17">
        <v>3769.0</v>
      </c>
      <c r="M16" s="17">
        <v>3.0</v>
      </c>
      <c r="N16" s="17">
        <v>1.0</v>
      </c>
      <c r="O16" s="17">
        <v>38.7</v>
      </c>
      <c r="P16" s="17">
        <v>3.4</v>
      </c>
      <c r="Q16" s="15">
        <v>45261.0</v>
      </c>
      <c r="R16" s="12"/>
      <c r="S16" s="12" t="s">
        <v>55</v>
      </c>
      <c r="T16" s="12" t="s">
        <v>72</v>
      </c>
      <c r="U16" s="17">
        <f t="shared" si="1"/>
        <v>1</v>
      </c>
    </row>
    <row r="17">
      <c r="A17" s="12" t="s">
        <v>131</v>
      </c>
      <c r="B17" s="12" t="s">
        <v>132</v>
      </c>
      <c r="C17" s="17">
        <v>66.0</v>
      </c>
      <c r="D17" s="12" t="s">
        <v>60</v>
      </c>
      <c r="E17" s="12" t="s">
        <v>133</v>
      </c>
      <c r="F17" s="12" t="s">
        <v>37</v>
      </c>
      <c r="G17" s="12" t="s">
        <v>52</v>
      </c>
      <c r="H17" s="15">
        <v>45700.0</v>
      </c>
      <c r="I17" s="17">
        <v>43.0</v>
      </c>
      <c r="J17" s="12" t="s">
        <v>53</v>
      </c>
      <c r="K17" s="12" t="s">
        <v>42</v>
      </c>
      <c r="L17" s="17">
        <v>1193.0</v>
      </c>
      <c r="M17" s="17">
        <v>5.0</v>
      </c>
      <c r="N17" s="17">
        <v>3.0</v>
      </c>
      <c r="O17" s="17">
        <v>21.5</v>
      </c>
      <c r="P17" s="17">
        <v>3.2</v>
      </c>
      <c r="Q17" s="15">
        <v>46155.0</v>
      </c>
      <c r="R17" s="12"/>
      <c r="S17" s="12" t="s">
        <v>55</v>
      </c>
      <c r="T17" s="12" t="s">
        <v>104</v>
      </c>
      <c r="U17" s="17">
        <f t="shared" si="1"/>
        <v>2</v>
      </c>
    </row>
    <row r="18">
      <c r="A18" s="12" t="s">
        <v>134</v>
      </c>
      <c r="B18" s="12" t="s">
        <v>135</v>
      </c>
      <c r="C18" s="17">
        <v>55.0</v>
      </c>
      <c r="D18" s="12" t="s">
        <v>85</v>
      </c>
      <c r="E18" s="12" t="s">
        <v>111</v>
      </c>
      <c r="F18" s="12" t="s">
        <v>62</v>
      </c>
      <c r="G18" s="12" t="s">
        <v>80</v>
      </c>
      <c r="H18" s="15">
        <v>44726.0</v>
      </c>
      <c r="I18" s="17">
        <v>12.0</v>
      </c>
      <c r="J18" s="12" t="s">
        <v>40</v>
      </c>
      <c r="K18" s="12" t="s">
        <v>81</v>
      </c>
      <c r="L18" s="17">
        <v>533.0</v>
      </c>
      <c r="M18" s="17">
        <v>1.0</v>
      </c>
      <c r="N18" s="17">
        <v>2.0</v>
      </c>
      <c r="O18" s="17">
        <v>12.4</v>
      </c>
      <c r="P18" s="17">
        <v>3.4</v>
      </c>
      <c r="Q18" s="15">
        <v>44856.0</v>
      </c>
      <c r="R18" s="12"/>
      <c r="S18" s="12" t="s">
        <v>55</v>
      </c>
      <c r="T18" s="12" t="s">
        <v>66</v>
      </c>
      <c r="U18" s="17">
        <f t="shared" si="1"/>
        <v>1</v>
      </c>
    </row>
    <row r="19">
      <c r="A19" s="12" t="s">
        <v>138</v>
      </c>
      <c r="B19" s="12" t="s">
        <v>139</v>
      </c>
      <c r="C19" s="17">
        <v>27.0</v>
      </c>
      <c r="D19" s="12" t="s">
        <v>35</v>
      </c>
      <c r="E19" s="12" t="s">
        <v>140</v>
      </c>
      <c r="F19" s="12" t="s">
        <v>37</v>
      </c>
      <c r="G19" s="12" t="s">
        <v>80</v>
      </c>
      <c r="H19" s="15">
        <v>45632.0</v>
      </c>
      <c r="I19" s="17">
        <v>21.0</v>
      </c>
      <c r="J19" s="12" t="s">
        <v>64</v>
      </c>
      <c r="K19" s="12" t="s">
        <v>81</v>
      </c>
      <c r="L19" s="17">
        <v>1684.0</v>
      </c>
      <c r="M19" s="17">
        <v>1.0</v>
      </c>
      <c r="N19" s="17">
        <v>0.0</v>
      </c>
      <c r="O19" s="17">
        <v>6.8</v>
      </c>
      <c r="P19" s="17">
        <v>4.0</v>
      </c>
      <c r="Q19" s="15">
        <v>45963.0</v>
      </c>
      <c r="R19" s="12" t="s">
        <v>141</v>
      </c>
      <c r="S19" s="12" t="s">
        <v>45</v>
      </c>
      <c r="T19" s="12" t="s">
        <v>72</v>
      </c>
      <c r="U19" s="17">
        <f t="shared" si="1"/>
        <v>2</v>
      </c>
    </row>
    <row r="20">
      <c r="A20" s="12" t="s">
        <v>142</v>
      </c>
      <c r="B20" s="12" t="s">
        <v>91</v>
      </c>
      <c r="C20" s="17">
        <v>34.0</v>
      </c>
      <c r="D20" s="12" t="s">
        <v>60</v>
      </c>
      <c r="E20" s="12" t="s">
        <v>61</v>
      </c>
      <c r="F20" s="12" t="s">
        <v>62</v>
      </c>
      <c r="G20" s="12" t="s">
        <v>80</v>
      </c>
      <c r="H20" s="15">
        <v>45715.0</v>
      </c>
      <c r="I20" s="17">
        <v>7.0</v>
      </c>
      <c r="J20" s="12" t="s">
        <v>53</v>
      </c>
      <c r="K20" s="12" t="s">
        <v>65</v>
      </c>
      <c r="L20" s="17">
        <v>608.0</v>
      </c>
      <c r="M20" s="17">
        <v>2.0</v>
      </c>
      <c r="N20" s="17">
        <v>2.0</v>
      </c>
      <c r="O20" s="17">
        <v>16.7</v>
      </c>
      <c r="P20" s="17">
        <v>4.1</v>
      </c>
      <c r="Q20" s="15">
        <v>45758.0</v>
      </c>
      <c r="R20" s="12"/>
      <c r="S20" s="12" t="s">
        <v>55</v>
      </c>
      <c r="T20" s="12" t="s">
        <v>47</v>
      </c>
      <c r="U20" s="17">
        <f t="shared" si="1"/>
        <v>1</v>
      </c>
    </row>
    <row r="21">
      <c r="A21" s="12" t="s">
        <v>144</v>
      </c>
      <c r="B21" s="12" t="s">
        <v>145</v>
      </c>
      <c r="C21" s="17">
        <v>36.0</v>
      </c>
      <c r="D21" s="12" t="s">
        <v>60</v>
      </c>
      <c r="E21" s="12" t="s">
        <v>61</v>
      </c>
      <c r="F21" s="12" t="s">
        <v>37</v>
      </c>
      <c r="G21" s="12" t="s">
        <v>80</v>
      </c>
      <c r="H21" s="15">
        <v>45175.0</v>
      </c>
      <c r="I21" s="17">
        <v>43.0</v>
      </c>
      <c r="J21" s="12" t="s">
        <v>146</v>
      </c>
      <c r="K21" s="12" t="s">
        <v>81</v>
      </c>
      <c r="L21" s="12" t="s">
        <v>148</v>
      </c>
      <c r="M21" s="17">
        <v>1.0</v>
      </c>
      <c r="N21" s="17">
        <v>1.0</v>
      </c>
      <c r="O21" s="17">
        <v>12.6</v>
      </c>
      <c r="P21" s="17">
        <v>3.7</v>
      </c>
      <c r="Q21" s="15">
        <v>45404.0</v>
      </c>
      <c r="R21" s="12"/>
      <c r="S21" s="12" t="s">
        <v>55</v>
      </c>
      <c r="T21" s="12" t="s">
        <v>47</v>
      </c>
      <c r="U21" s="17">
        <f t="shared" si="1"/>
        <v>1</v>
      </c>
    </row>
    <row r="22">
      <c r="A22" s="12" t="s">
        <v>151</v>
      </c>
      <c r="B22" s="12" t="s">
        <v>152</v>
      </c>
      <c r="C22" s="17">
        <v>19.0</v>
      </c>
      <c r="D22" s="12" t="s">
        <v>60</v>
      </c>
      <c r="E22" s="12" t="s">
        <v>97</v>
      </c>
      <c r="F22" s="12" t="s">
        <v>37</v>
      </c>
      <c r="G22" s="12" t="s">
        <v>93</v>
      </c>
      <c r="H22" s="15">
        <v>45102.0</v>
      </c>
      <c r="I22" s="17">
        <v>33.0</v>
      </c>
      <c r="J22" s="12" t="s">
        <v>53</v>
      </c>
      <c r="K22" s="12" t="s">
        <v>42</v>
      </c>
      <c r="L22" s="17">
        <v>1093.0</v>
      </c>
      <c r="M22" s="17">
        <v>1.0</v>
      </c>
      <c r="N22" s="17">
        <v>1.0</v>
      </c>
      <c r="O22" s="17">
        <v>26.5</v>
      </c>
      <c r="P22" s="17">
        <v>4.0</v>
      </c>
      <c r="Q22" s="15">
        <v>45545.0</v>
      </c>
      <c r="R22" s="12"/>
      <c r="S22" s="12" t="s">
        <v>55</v>
      </c>
      <c r="T22" s="12" t="s">
        <v>72</v>
      </c>
      <c r="U22" s="17">
        <f t="shared" si="1"/>
        <v>1</v>
      </c>
    </row>
    <row r="23">
      <c r="A23" s="12" t="s">
        <v>153</v>
      </c>
      <c r="B23" s="12" t="s">
        <v>145</v>
      </c>
      <c r="C23" s="17">
        <v>46.0</v>
      </c>
      <c r="D23" s="12" t="s">
        <v>85</v>
      </c>
      <c r="E23" s="12" t="s">
        <v>87</v>
      </c>
      <c r="F23" s="12" t="s">
        <v>37</v>
      </c>
      <c r="G23" s="12" t="s">
        <v>63</v>
      </c>
      <c r="H23" s="15">
        <v>44716.0</v>
      </c>
      <c r="I23" s="17">
        <v>45.0</v>
      </c>
      <c r="J23" s="12" t="s">
        <v>40</v>
      </c>
      <c r="K23" s="12" t="s">
        <v>42</v>
      </c>
      <c r="L23" s="17">
        <v>1035.0</v>
      </c>
      <c r="M23" s="17">
        <v>2.0</v>
      </c>
      <c r="N23" s="17">
        <v>2.0</v>
      </c>
      <c r="O23" s="17">
        <v>37.1</v>
      </c>
      <c r="P23" s="17">
        <v>4.4</v>
      </c>
      <c r="Q23" s="15">
        <v>45482.0</v>
      </c>
      <c r="R23" s="12" t="s">
        <v>156</v>
      </c>
      <c r="S23" s="12" t="s">
        <v>45</v>
      </c>
      <c r="T23" s="12" t="s">
        <v>72</v>
      </c>
      <c r="U23" s="17">
        <f t="shared" si="1"/>
        <v>1</v>
      </c>
    </row>
    <row r="24">
      <c r="A24" s="12" t="s">
        <v>159</v>
      </c>
      <c r="B24" s="12" t="s">
        <v>160</v>
      </c>
      <c r="C24" s="17">
        <v>29.0</v>
      </c>
      <c r="D24" s="12" t="s">
        <v>35</v>
      </c>
      <c r="E24" s="12" t="s">
        <v>161</v>
      </c>
      <c r="F24" s="12" t="s">
        <v>62</v>
      </c>
      <c r="G24" s="12" t="s">
        <v>39</v>
      </c>
      <c r="H24" s="15">
        <v>45927.0</v>
      </c>
      <c r="I24" s="17">
        <v>7.0</v>
      </c>
      <c r="J24" s="12" t="s">
        <v>40</v>
      </c>
      <c r="K24" s="12" t="s">
        <v>65</v>
      </c>
      <c r="L24" s="17">
        <v>785.0</v>
      </c>
      <c r="M24" s="17">
        <v>0.0</v>
      </c>
      <c r="N24" s="17">
        <v>2.0</v>
      </c>
      <c r="O24" s="17">
        <v>10.1</v>
      </c>
      <c r="P24" s="17">
        <v>3.2</v>
      </c>
      <c r="Q24" s="15">
        <v>46095.0</v>
      </c>
      <c r="R24" s="12"/>
      <c r="S24" s="12" t="s">
        <v>55</v>
      </c>
      <c r="T24" s="12" t="s">
        <v>104</v>
      </c>
      <c r="U24" s="17">
        <f t="shared" si="1"/>
        <v>1</v>
      </c>
    </row>
    <row r="25">
      <c r="A25" s="12" t="s">
        <v>162</v>
      </c>
      <c r="B25" s="12" t="s">
        <v>163</v>
      </c>
      <c r="C25" s="17">
        <v>31.0</v>
      </c>
      <c r="D25" s="12" t="s">
        <v>60</v>
      </c>
      <c r="E25" s="12" t="s">
        <v>133</v>
      </c>
      <c r="F25" s="12" t="s">
        <v>37</v>
      </c>
      <c r="G25" s="12" t="s">
        <v>93</v>
      </c>
      <c r="H25" s="15">
        <v>45070.0</v>
      </c>
      <c r="I25" s="17">
        <v>18.0</v>
      </c>
      <c r="J25" s="12" t="s">
        <v>53</v>
      </c>
      <c r="K25" s="12" t="s">
        <v>65</v>
      </c>
      <c r="L25" s="17">
        <v>1109.0</v>
      </c>
      <c r="M25" s="17">
        <v>1.0</v>
      </c>
      <c r="N25" s="17">
        <v>1.0</v>
      </c>
      <c r="O25" s="17">
        <v>15.6</v>
      </c>
      <c r="P25" s="17">
        <v>3.8</v>
      </c>
      <c r="Q25" s="15">
        <v>45119.0</v>
      </c>
      <c r="R25" s="12"/>
      <c r="S25" s="12" t="s">
        <v>55</v>
      </c>
      <c r="T25" s="12" t="s">
        <v>72</v>
      </c>
      <c r="U25" s="17">
        <f t="shared" si="1"/>
        <v>2</v>
      </c>
    </row>
    <row r="26">
      <c r="A26" s="12" t="s">
        <v>165</v>
      </c>
      <c r="B26" s="12" t="s">
        <v>167</v>
      </c>
      <c r="C26" s="17">
        <v>20.0</v>
      </c>
      <c r="D26" s="12" t="s">
        <v>69</v>
      </c>
      <c r="E26" s="12" t="s">
        <v>70</v>
      </c>
      <c r="F26" s="12" t="s">
        <v>37</v>
      </c>
      <c r="G26" s="12" t="s">
        <v>120</v>
      </c>
      <c r="H26" s="15">
        <v>45234.0</v>
      </c>
      <c r="I26" s="17">
        <v>18.0</v>
      </c>
      <c r="J26" s="12" t="s">
        <v>40</v>
      </c>
      <c r="K26" s="12" t="s">
        <v>65</v>
      </c>
      <c r="L26" s="17">
        <v>1284.0</v>
      </c>
      <c r="M26" s="17">
        <v>4.0</v>
      </c>
      <c r="N26" s="17">
        <v>1.0</v>
      </c>
      <c r="O26" s="17">
        <v>21.7</v>
      </c>
      <c r="P26" s="17">
        <v>3.4</v>
      </c>
      <c r="Q26" s="15">
        <v>45765.0</v>
      </c>
      <c r="R26" s="12" t="s">
        <v>170</v>
      </c>
      <c r="S26" s="12" t="s">
        <v>45</v>
      </c>
      <c r="T26" s="12" t="s">
        <v>47</v>
      </c>
      <c r="U26" s="17">
        <f t="shared" si="1"/>
        <v>2</v>
      </c>
    </row>
    <row r="27">
      <c r="A27" s="12" t="s">
        <v>171</v>
      </c>
      <c r="B27" s="12" t="s">
        <v>172</v>
      </c>
      <c r="C27" s="17">
        <v>35.0</v>
      </c>
      <c r="D27" s="12" t="s">
        <v>60</v>
      </c>
      <c r="E27" s="12" t="s">
        <v>61</v>
      </c>
      <c r="F27" s="12" t="s">
        <v>62</v>
      </c>
      <c r="G27" s="12" t="s">
        <v>120</v>
      </c>
      <c r="H27" s="15">
        <v>45269.0</v>
      </c>
      <c r="I27" s="17">
        <v>47.0</v>
      </c>
      <c r="J27" s="12" t="s">
        <v>40</v>
      </c>
      <c r="K27" s="12" t="s">
        <v>81</v>
      </c>
      <c r="L27" s="17">
        <v>722.0</v>
      </c>
      <c r="M27" s="12"/>
      <c r="N27" s="17">
        <v>4.0</v>
      </c>
      <c r="O27" s="17">
        <v>15.4</v>
      </c>
      <c r="P27" s="17">
        <v>3.5</v>
      </c>
      <c r="Q27" s="15">
        <v>45515.0</v>
      </c>
      <c r="R27" s="12" t="s">
        <v>174</v>
      </c>
      <c r="S27" s="12" t="s">
        <v>45</v>
      </c>
      <c r="T27" s="12" t="s">
        <v>75</v>
      </c>
      <c r="U27" s="17">
        <f t="shared" si="1"/>
        <v>3</v>
      </c>
    </row>
    <row r="28">
      <c r="A28" s="12" t="s">
        <v>175</v>
      </c>
      <c r="B28" s="12" t="s">
        <v>176</v>
      </c>
      <c r="C28" s="17">
        <v>61.0</v>
      </c>
      <c r="D28" s="12" t="s">
        <v>69</v>
      </c>
      <c r="E28" s="12" t="s">
        <v>177</v>
      </c>
      <c r="F28" s="12" t="s">
        <v>62</v>
      </c>
      <c r="G28" s="12" t="s">
        <v>52</v>
      </c>
      <c r="H28" s="15">
        <v>45238.0</v>
      </c>
      <c r="I28" s="17">
        <v>40.0</v>
      </c>
      <c r="J28" s="12" t="s">
        <v>53</v>
      </c>
      <c r="K28" s="12" t="s">
        <v>65</v>
      </c>
      <c r="L28" s="17">
        <v>562.0</v>
      </c>
      <c r="M28" s="17">
        <v>0.0</v>
      </c>
      <c r="N28" s="17">
        <v>0.0</v>
      </c>
      <c r="O28" s="17">
        <v>19.8</v>
      </c>
      <c r="P28" s="17">
        <v>4.5</v>
      </c>
      <c r="Q28" s="15">
        <v>45863.0</v>
      </c>
      <c r="R28" s="12"/>
      <c r="S28" s="12" t="s">
        <v>55</v>
      </c>
      <c r="T28" s="12" t="s">
        <v>75</v>
      </c>
      <c r="U28" s="17">
        <f t="shared" si="1"/>
        <v>1</v>
      </c>
    </row>
    <row r="29">
      <c r="A29" s="12" t="s">
        <v>178</v>
      </c>
      <c r="B29" s="12" t="s">
        <v>179</v>
      </c>
      <c r="C29" s="17">
        <v>38.0</v>
      </c>
      <c r="D29" s="12" t="s">
        <v>60</v>
      </c>
      <c r="E29" s="12" t="s">
        <v>97</v>
      </c>
      <c r="F29" s="12" t="s">
        <v>62</v>
      </c>
      <c r="G29" s="12" t="s">
        <v>52</v>
      </c>
      <c r="H29" s="15">
        <v>45338.0</v>
      </c>
      <c r="I29" s="17">
        <v>44.0</v>
      </c>
      <c r="J29" s="12" t="s">
        <v>53</v>
      </c>
      <c r="K29" s="12" t="s">
        <v>42</v>
      </c>
      <c r="L29" s="17">
        <v>588.0</v>
      </c>
      <c r="M29" s="17">
        <v>2.0</v>
      </c>
      <c r="N29" s="17">
        <v>1.0</v>
      </c>
      <c r="O29" s="17">
        <v>19.4</v>
      </c>
      <c r="P29" s="17">
        <v>2.6</v>
      </c>
      <c r="Q29" s="15">
        <v>45964.0</v>
      </c>
      <c r="R29" s="12" t="s">
        <v>182</v>
      </c>
      <c r="S29" s="12" t="s">
        <v>45</v>
      </c>
      <c r="T29" s="12" t="s">
        <v>75</v>
      </c>
      <c r="U29" s="17">
        <f t="shared" si="1"/>
        <v>2</v>
      </c>
    </row>
    <row r="30">
      <c r="A30" s="12" t="s">
        <v>183</v>
      </c>
      <c r="B30" s="12" t="s">
        <v>184</v>
      </c>
      <c r="C30" s="17">
        <v>24.0</v>
      </c>
      <c r="D30" s="12" t="s">
        <v>60</v>
      </c>
      <c r="E30" s="12" t="s">
        <v>133</v>
      </c>
      <c r="F30" s="12" t="s">
        <v>62</v>
      </c>
      <c r="G30" s="12" t="s">
        <v>52</v>
      </c>
      <c r="H30" s="15">
        <v>44999.0</v>
      </c>
      <c r="I30" s="17">
        <v>33.0</v>
      </c>
      <c r="J30" s="12" t="s">
        <v>53</v>
      </c>
      <c r="K30" s="12" t="s">
        <v>81</v>
      </c>
      <c r="L30" s="17">
        <v>875.0</v>
      </c>
      <c r="M30" s="17">
        <v>4.0</v>
      </c>
      <c r="N30" s="17">
        <v>0.0</v>
      </c>
      <c r="O30" s="17">
        <v>27.3</v>
      </c>
      <c r="P30" s="17">
        <v>3.0</v>
      </c>
      <c r="Q30" s="15">
        <v>45095.0</v>
      </c>
      <c r="R30" s="12"/>
      <c r="S30" s="12" t="s">
        <v>55</v>
      </c>
      <c r="T30" s="12" t="s">
        <v>72</v>
      </c>
      <c r="U30" s="17">
        <f t="shared" si="1"/>
        <v>2</v>
      </c>
    </row>
    <row r="31">
      <c r="A31" s="12" t="s">
        <v>186</v>
      </c>
      <c r="B31" s="12" t="s">
        <v>118</v>
      </c>
      <c r="C31" s="17">
        <v>44.0</v>
      </c>
      <c r="D31" s="12" t="s">
        <v>69</v>
      </c>
      <c r="E31" s="12" t="s">
        <v>187</v>
      </c>
      <c r="F31" s="12" t="s">
        <v>62</v>
      </c>
      <c r="G31" s="12" t="s">
        <v>39</v>
      </c>
      <c r="H31" s="15">
        <v>45535.0</v>
      </c>
      <c r="I31" s="17">
        <v>40.0</v>
      </c>
      <c r="J31" s="12" t="s">
        <v>40</v>
      </c>
      <c r="K31" s="12" t="s">
        <v>42</v>
      </c>
      <c r="L31" s="17">
        <v>536.0</v>
      </c>
      <c r="M31" s="17">
        <v>5.0</v>
      </c>
      <c r="N31" s="17">
        <v>1.0</v>
      </c>
      <c r="O31" s="17">
        <v>10.9</v>
      </c>
      <c r="P31" s="17">
        <v>3.0</v>
      </c>
      <c r="Q31" s="15">
        <v>46723.0</v>
      </c>
      <c r="R31" s="12" t="s">
        <v>188</v>
      </c>
      <c r="S31" s="12" t="s">
        <v>45</v>
      </c>
      <c r="T31" s="12" t="s">
        <v>104</v>
      </c>
      <c r="U31" s="17">
        <f t="shared" si="1"/>
        <v>2</v>
      </c>
    </row>
    <row r="32">
      <c r="A32" s="12" t="s">
        <v>189</v>
      </c>
      <c r="B32" s="12" t="s">
        <v>190</v>
      </c>
      <c r="C32" s="17">
        <v>48.0</v>
      </c>
      <c r="D32" s="12" t="s">
        <v>35</v>
      </c>
      <c r="E32" s="12" t="s">
        <v>140</v>
      </c>
      <c r="F32" s="12" t="s">
        <v>62</v>
      </c>
      <c r="G32" s="12" t="s">
        <v>93</v>
      </c>
      <c r="H32" s="15">
        <v>45987.0</v>
      </c>
      <c r="I32" s="17">
        <v>34.0</v>
      </c>
      <c r="J32" s="12" t="s">
        <v>64</v>
      </c>
      <c r="K32" s="12" t="s">
        <v>81</v>
      </c>
      <c r="L32" s="17">
        <v>784.0</v>
      </c>
      <c r="M32" s="17">
        <v>1.0</v>
      </c>
      <c r="N32" s="17">
        <v>1.0</v>
      </c>
      <c r="O32" s="17">
        <v>23.0</v>
      </c>
      <c r="P32" s="17">
        <v>2.9</v>
      </c>
      <c r="Q32" s="15">
        <v>46245.0</v>
      </c>
      <c r="R32" s="12"/>
      <c r="S32" s="12" t="s">
        <v>55</v>
      </c>
      <c r="T32" s="12" t="s">
        <v>66</v>
      </c>
      <c r="U32" s="17">
        <f t="shared" si="1"/>
        <v>1</v>
      </c>
    </row>
    <row r="33">
      <c r="A33" s="12" t="s">
        <v>191</v>
      </c>
      <c r="B33" s="12" t="s">
        <v>110</v>
      </c>
      <c r="C33" s="17">
        <v>35.0</v>
      </c>
      <c r="D33" s="12" t="s">
        <v>60</v>
      </c>
      <c r="E33" s="12" t="s">
        <v>133</v>
      </c>
      <c r="F33" s="12" t="s">
        <v>192</v>
      </c>
      <c r="G33" s="12" t="s">
        <v>52</v>
      </c>
      <c r="H33" s="15">
        <v>45595.0</v>
      </c>
      <c r="I33" s="17">
        <v>28.0</v>
      </c>
      <c r="J33" s="12" t="s">
        <v>40</v>
      </c>
      <c r="K33" s="12" t="s">
        <v>81</v>
      </c>
      <c r="L33" s="17">
        <v>1455.0</v>
      </c>
      <c r="M33" s="17">
        <v>0.0</v>
      </c>
      <c r="N33" s="17">
        <v>4.0</v>
      </c>
      <c r="O33" s="17">
        <v>26.2</v>
      </c>
      <c r="P33" s="17">
        <v>4.3</v>
      </c>
      <c r="Q33" s="15">
        <v>45767.0</v>
      </c>
      <c r="R33" s="12" t="s">
        <v>195</v>
      </c>
      <c r="S33" s="12" t="s">
        <v>45</v>
      </c>
      <c r="T33" s="12" t="s">
        <v>72</v>
      </c>
      <c r="U33" s="17">
        <f t="shared" si="1"/>
        <v>3</v>
      </c>
    </row>
    <row r="34">
      <c r="A34" s="12" t="s">
        <v>196</v>
      </c>
      <c r="B34" s="12" t="s">
        <v>160</v>
      </c>
      <c r="C34" s="17">
        <v>43.0</v>
      </c>
      <c r="D34" s="12" t="s">
        <v>85</v>
      </c>
      <c r="E34" s="12" t="s">
        <v>111</v>
      </c>
      <c r="F34" s="12" t="s">
        <v>62</v>
      </c>
      <c r="G34" s="12" t="s">
        <v>63</v>
      </c>
      <c r="H34" s="15">
        <v>45147.0</v>
      </c>
      <c r="I34" s="17">
        <v>16.0</v>
      </c>
      <c r="J34" s="12" t="s">
        <v>64</v>
      </c>
      <c r="K34" s="12" t="s">
        <v>42</v>
      </c>
      <c r="L34" s="17">
        <v>662.0</v>
      </c>
      <c r="M34" s="17">
        <v>2.0</v>
      </c>
      <c r="N34" s="17">
        <v>2.0</v>
      </c>
      <c r="O34" s="17">
        <v>11.2</v>
      </c>
      <c r="P34" s="17">
        <v>2.3</v>
      </c>
      <c r="Q34" s="15">
        <v>45227.0</v>
      </c>
      <c r="R34" s="12"/>
      <c r="S34" s="12" t="s">
        <v>55</v>
      </c>
      <c r="T34" s="12" t="s">
        <v>47</v>
      </c>
      <c r="U34" s="17">
        <f t="shared" si="1"/>
        <v>4</v>
      </c>
    </row>
    <row r="35">
      <c r="A35" s="12" t="s">
        <v>197</v>
      </c>
      <c r="B35" s="12" t="s">
        <v>34</v>
      </c>
      <c r="C35" s="17">
        <v>49.0</v>
      </c>
      <c r="D35" s="12" t="s">
        <v>85</v>
      </c>
      <c r="E35" s="12" t="s">
        <v>87</v>
      </c>
      <c r="F35" s="12" t="s">
        <v>62</v>
      </c>
      <c r="G35" s="12" t="s">
        <v>120</v>
      </c>
      <c r="H35" s="15">
        <v>45413.0</v>
      </c>
      <c r="I35" s="17">
        <v>4.0</v>
      </c>
      <c r="J35" s="12" t="s">
        <v>40</v>
      </c>
      <c r="K35" s="12" t="s">
        <v>65</v>
      </c>
      <c r="L35" s="17">
        <v>714.0</v>
      </c>
      <c r="M35" s="17">
        <v>2.0</v>
      </c>
      <c r="N35" s="17">
        <v>2.0</v>
      </c>
      <c r="O35" s="17">
        <v>10.9</v>
      </c>
      <c r="P35" s="17">
        <v>3.8</v>
      </c>
      <c r="Q35" s="15">
        <v>45428.0</v>
      </c>
      <c r="R35" s="12"/>
      <c r="S35" s="12" t="s">
        <v>55</v>
      </c>
      <c r="T35" s="12" t="s">
        <v>72</v>
      </c>
      <c r="U35" s="17">
        <f t="shared" si="1"/>
        <v>2</v>
      </c>
    </row>
    <row r="36">
      <c r="A36" s="12" t="s">
        <v>201</v>
      </c>
      <c r="B36" s="12" t="s">
        <v>202</v>
      </c>
      <c r="C36" s="17">
        <v>40.0</v>
      </c>
      <c r="D36" s="12" t="s">
        <v>85</v>
      </c>
      <c r="E36" s="12" t="s">
        <v>87</v>
      </c>
      <c r="F36" s="12" t="s">
        <v>37</v>
      </c>
      <c r="G36" s="12" t="s">
        <v>52</v>
      </c>
      <c r="H36" s="15">
        <v>45680.0</v>
      </c>
      <c r="I36" s="17">
        <v>39.0</v>
      </c>
      <c r="J36" s="12" t="s">
        <v>64</v>
      </c>
      <c r="K36" s="12" t="s">
        <v>81</v>
      </c>
      <c r="L36" s="17">
        <v>1223.0</v>
      </c>
      <c r="M36" s="17">
        <v>1.0</v>
      </c>
      <c r="N36" s="17">
        <v>4.0</v>
      </c>
      <c r="O36" s="17">
        <v>36.7</v>
      </c>
      <c r="P36" s="17">
        <v>4.6</v>
      </c>
      <c r="Q36" s="15">
        <v>46582.0</v>
      </c>
      <c r="R36" s="12" t="s">
        <v>204</v>
      </c>
      <c r="S36" s="12" t="s">
        <v>45</v>
      </c>
      <c r="T36" s="12" t="s">
        <v>75</v>
      </c>
      <c r="U36" s="17">
        <f t="shared" si="1"/>
        <v>2</v>
      </c>
    </row>
    <row r="37">
      <c r="A37" s="12" t="s">
        <v>205</v>
      </c>
      <c r="B37" s="12" t="s">
        <v>206</v>
      </c>
      <c r="C37" s="17">
        <v>48.0</v>
      </c>
      <c r="D37" s="12" t="s">
        <v>69</v>
      </c>
      <c r="E37" s="12" t="s">
        <v>119</v>
      </c>
      <c r="F37" s="12" t="s">
        <v>79</v>
      </c>
      <c r="G37" s="12" t="s">
        <v>80</v>
      </c>
      <c r="H37" s="15">
        <v>45655.0</v>
      </c>
      <c r="I37" s="17">
        <v>2.0</v>
      </c>
      <c r="J37" s="12" t="s">
        <v>40</v>
      </c>
      <c r="K37" s="12" t="s">
        <v>42</v>
      </c>
      <c r="L37" s="17">
        <v>3356.0</v>
      </c>
      <c r="M37" s="17">
        <v>4.0</v>
      </c>
      <c r="N37" s="17">
        <v>1.0</v>
      </c>
      <c r="O37" s="17">
        <v>49.5</v>
      </c>
      <c r="P37" s="17">
        <v>3.7</v>
      </c>
      <c r="Q37" s="15">
        <v>45668.0</v>
      </c>
      <c r="R37" s="12" t="s">
        <v>208</v>
      </c>
      <c r="S37" s="12" t="s">
        <v>45</v>
      </c>
      <c r="T37" s="12" t="s">
        <v>72</v>
      </c>
      <c r="U37" s="17">
        <f t="shared" si="1"/>
        <v>2</v>
      </c>
    </row>
    <row r="38">
      <c r="A38" s="12" t="s">
        <v>209</v>
      </c>
      <c r="B38" s="12" t="s">
        <v>132</v>
      </c>
      <c r="C38" s="17">
        <v>41.0</v>
      </c>
      <c r="D38" s="12" t="s">
        <v>60</v>
      </c>
      <c r="E38" s="12" t="s">
        <v>97</v>
      </c>
      <c r="F38" s="12" t="s">
        <v>37</v>
      </c>
      <c r="G38" s="12" t="s">
        <v>210</v>
      </c>
      <c r="H38" s="15">
        <v>45338.0</v>
      </c>
      <c r="I38" s="17">
        <v>18.0</v>
      </c>
      <c r="J38" s="12" t="s">
        <v>40</v>
      </c>
      <c r="K38" s="12" t="s">
        <v>81</v>
      </c>
      <c r="L38" s="17">
        <v>1257.0</v>
      </c>
      <c r="M38" s="17">
        <v>2.0</v>
      </c>
      <c r="N38" s="17">
        <v>1.0</v>
      </c>
      <c r="O38" s="17">
        <v>24.1</v>
      </c>
      <c r="P38" s="17">
        <v>3.8</v>
      </c>
      <c r="Q38" s="15">
        <v>45431.0</v>
      </c>
      <c r="R38" s="12" t="s">
        <v>211</v>
      </c>
      <c r="S38" s="12" t="s">
        <v>45</v>
      </c>
      <c r="T38" s="12" t="s">
        <v>104</v>
      </c>
      <c r="U38" s="17">
        <f t="shared" si="1"/>
        <v>2</v>
      </c>
    </row>
    <row r="39">
      <c r="A39" s="12" t="s">
        <v>212</v>
      </c>
      <c r="B39" s="12" t="s">
        <v>172</v>
      </c>
      <c r="C39" s="17">
        <v>48.0</v>
      </c>
      <c r="D39" s="12" t="s">
        <v>35</v>
      </c>
      <c r="E39" s="12" t="s">
        <v>36</v>
      </c>
      <c r="F39" s="12" t="s">
        <v>79</v>
      </c>
      <c r="G39" s="12" t="s">
        <v>39</v>
      </c>
      <c r="H39" s="15">
        <v>44603.0</v>
      </c>
      <c r="I39" s="17">
        <v>40.0</v>
      </c>
      <c r="J39" s="12" t="s">
        <v>64</v>
      </c>
      <c r="K39" s="12" t="s">
        <v>65</v>
      </c>
      <c r="L39" s="17">
        <v>3370.0</v>
      </c>
      <c r="M39" s="17">
        <v>2.0</v>
      </c>
      <c r="N39" s="17">
        <v>1.0</v>
      </c>
      <c r="O39" s="17">
        <v>30.9</v>
      </c>
      <c r="P39" s="17">
        <v>3.4</v>
      </c>
      <c r="Q39" s="15">
        <v>44847.0</v>
      </c>
      <c r="R39" s="12"/>
      <c r="S39" s="12" t="s">
        <v>55</v>
      </c>
      <c r="T39" s="12" t="s">
        <v>72</v>
      </c>
      <c r="U39" s="17">
        <f t="shared" si="1"/>
        <v>1</v>
      </c>
    </row>
    <row r="40">
      <c r="A40" s="12" t="s">
        <v>214</v>
      </c>
      <c r="B40" s="12" t="s">
        <v>215</v>
      </c>
      <c r="C40" s="17">
        <v>56.0</v>
      </c>
      <c r="D40" s="12" t="s">
        <v>35</v>
      </c>
      <c r="E40" s="12" t="s">
        <v>51</v>
      </c>
      <c r="F40" s="12" t="s">
        <v>79</v>
      </c>
      <c r="G40" s="12" t="s">
        <v>63</v>
      </c>
      <c r="H40" s="15">
        <v>45747.0</v>
      </c>
      <c r="I40" s="17">
        <v>2.0</v>
      </c>
      <c r="J40" s="12" t="s">
        <v>64</v>
      </c>
      <c r="K40" s="12" t="s">
        <v>81</v>
      </c>
      <c r="L40" s="17">
        <v>3858.0</v>
      </c>
      <c r="M40" s="17">
        <v>4.0</v>
      </c>
      <c r="N40" s="17">
        <v>0.0</v>
      </c>
      <c r="O40" s="17">
        <v>38.4</v>
      </c>
      <c r="P40" s="17">
        <v>3.1</v>
      </c>
      <c r="Q40" s="15">
        <v>45805.0</v>
      </c>
      <c r="R40" s="12" t="s">
        <v>216</v>
      </c>
      <c r="S40" s="12" t="s">
        <v>217</v>
      </c>
      <c r="T40" s="12" t="s">
        <v>47</v>
      </c>
      <c r="U40" s="17">
        <f t="shared" si="1"/>
        <v>2</v>
      </c>
    </row>
    <row r="41">
      <c r="A41" s="12" t="s">
        <v>218</v>
      </c>
      <c r="B41" s="12" t="s">
        <v>74</v>
      </c>
      <c r="C41" s="17">
        <v>45.0</v>
      </c>
      <c r="D41" s="12" t="s">
        <v>60</v>
      </c>
      <c r="E41" s="12" t="s">
        <v>61</v>
      </c>
      <c r="F41" s="12" t="s">
        <v>37</v>
      </c>
      <c r="G41" s="12" t="s">
        <v>80</v>
      </c>
      <c r="H41" s="15">
        <v>44646.0</v>
      </c>
      <c r="I41" s="17">
        <v>23.0</v>
      </c>
      <c r="J41" s="12" t="s">
        <v>53</v>
      </c>
      <c r="K41" s="12" t="s">
        <v>42</v>
      </c>
      <c r="L41" s="17">
        <v>1378.0</v>
      </c>
      <c r="M41" s="17">
        <v>1.0</v>
      </c>
      <c r="N41" s="17">
        <v>0.0</v>
      </c>
      <c r="O41" s="17">
        <v>22.7</v>
      </c>
      <c r="P41" s="17">
        <v>4.5</v>
      </c>
      <c r="Q41" s="15">
        <v>45174.0</v>
      </c>
      <c r="R41" s="12"/>
      <c r="S41" s="12" t="s">
        <v>55</v>
      </c>
      <c r="T41" s="12" t="s">
        <v>75</v>
      </c>
      <c r="U41" s="17">
        <f t="shared" si="1"/>
        <v>2</v>
      </c>
    </row>
    <row r="42">
      <c r="A42" s="12" t="s">
        <v>220</v>
      </c>
      <c r="B42" s="12" t="s">
        <v>222</v>
      </c>
      <c r="C42" s="17">
        <v>39.0</v>
      </c>
      <c r="D42" s="12" t="s">
        <v>85</v>
      </c>
      <c r="E42" s="12" t="s">
        <v>111</v>
      </c>
      <c r="F42" s="12" t="s">
        <v>62</v>
      </c>
      <c r="G42" s="12" t="s">
        <v>52</v>
      </c>
      <c r="H42" s="15">
        <v>45630.0</v>
      </c>
      <c r="I42" s="17">
        <v>42.0</v>
      </c>
      <c r="J42" s="12" t="s">
        <v>40</v>
      </c>
      <c r="K42" s="12" t="s">
        <v>42</v>
      </c>
      <c r="L42" s="17">
        <v>774.0</v>
      </c>
      <c r="M42" s="17">
        <v>1.0</v>
      </c>
      <c r="N42" s="17">
        <v>0.0</v>
      </c>
      <c r="O42" s="17">
        <v>11.8</v>
      </c>
      <c r="P42" s="17">
        <v>5.0</v>
      </c>
      <c r="Q42" s="15">
        <v>46592.0</v>
      </c>
      <c r="R42" s="12"/>
      <c r="S42" s="12" t="s">
        <v>55</v>
      </c>
      <c r="T42" s="12" t="s">
        <v>72</v>
      </c>
      <c r="U42" s="17">
        <f t="shared" si="1"/>
        <v>2</v>
      </c>
    </row>
    <row r="43">
      <c r="A43" s="12" t="s">
        <v>223</v>
      </c>
      <c r="B43" s="12" t="s">
        <v>224</v>
      </c>
      <c r="C43" s="17">
        <v>40.0</v>
      </c>
      <c r="D43" s="12" t="s">
        <v>69</v>
      </c>
      <c r="E43" s="12" t="s">
        <v>119</v>
      </c>
      <c r="F43" s="12" t="s">
        <v>37</v>
      </c>
      <c r="G43" s="12" t="s">
        <v>52</v>
      </c>
      <c r="H43" s="15">
        <v>45338.0</v>
      </c>
      <c r="I43" s="17">
        <v>22.0</v>
      </c>
      <c r="J43" s="12" t="s">
        <v>53</v>
      </c>
      <c r="K43" s="12" t="s">
        <v>81</v>
      </c>
      <c r="L43" s="17">
        <v>1185.0</v>
      </c>
      <c r="M43" s="17">
        <v>3.0</v>
      </c>
      <c r="N43" s="17">
        <v>1.0</v>
      </c>
      <c r="O43" s="17">
        <v>42.1</v>
      </c>
      <c r="P43" s="17">
        <v>4.1</v>
      </c>
      <c r="Q43" s="15">
        <v>45565.0</v>
      </c>
      <c r="R43" s="12"/>
      <c r="S43" s="12" t="s">
        <v>55</v>
      </c>
      <c r="T43" s="12" t="s">
        <v>72</v>
      </c>
      <c r="U43" s="17">
        <f t="shared" si="1"/>
        <v>2</v>
      </c>
    </row>
    <row r="44">
      <c r="A44" s="12" t="s">
        <v>226</v>
      </c>
      <c r="B44" s="12" t="s">
        <v>110</v>
      </c>
      <c r="C44" s="17">
        <v>20.0</v>
      </c>
      <c r="D44" s="12" t="s">
        <v>35</v>
      </c>
      <c r="E44" s="12" t="s">
        <v>51</v>
      </c>
      <c r="F44" s="12" t="s">
        <v>62</v>
      </c>
      <c r="G44" s="12" t="s">
        <v>52</v>
      </c>
      <c r="H44" s="15">
        <v>45394.0</v>
      </c>
      <c r="I44" s="17">
        <v>32.0</v>
      </c>
      <c r="J44" s="12" t="s">
        <v>40</v>
      </c>
      <c r="K44" s="12" t="s">
        <v>65</v>
      </c>
      <c r="L44" s="17">
        <v>622.0</v>
      </c>
      <c r="M44" s="17">
        <v>2.0</v>
      </c>
      <c r="N44" s="17">
        <v>0.0</v>
      </c>
      <c r="O44" s="17">
        <v>5.8</v>
      </c>
      <c r="P44" s="17">
        <v>3.3</v>
      </c>
      <c r="Q44" s="15">
        <v>46065.0</v>
      </c>
      <c r="R44" s="12"/>
      <c r="S44" s="12" t="s">
        <v>55</v>
      </c>
      <c r="T44" s="12" t="s">
        <v>47</v>
      </c>
      <c r="U44" s="17">
        <f t="shared" si="1"/>
        <v>5</v>
      </c>
    </row>
    <row r="45">
      <c r="A45" s="12" t="s">
        <v>228</v>
      </c>
      <c r="B45" s="12" t="s">
        <v>229</v>
      </c>
      <c r="C45" s="17">
        <v>36.0</v>
      </c>
      <c r="D45" s="12" t="s">
        <v>69</v>
      </c>
      <c r="E45" s="12" t="s">
        <v>177</v>
      </c>
      <c r="F45" s="12" t="s">
        <v>37</v>
      </c>
      <c r="G45" s="12" t="s">
        <v>210</v>
      </c>
      <c r="H45" s="15">
        <v>45531.0</v>
      </c>
      <c r="I45" s="17">
        <v>36.0</v>
      </c>
      <c r="J45" s="12" t="s">
        <v>53</v>
      </c>
      <c r="K45" s="12" t="s">
        <v>65</v>
      </c>
      <c r="L45" s="17">
        <v>1762.0</v>
      </c>
      <c r="M45" s="17">
        <v>1.0</v>
      </c>
      <c r="N45" s="17">
        <v>1.0</v>
      </c>
      <c r="O45" s="17">
        <v>31.6</v>
      </c>
      <c r="P45" s="17">
        <v>4.4</v>
      </c>
      <c r="Q45" s="15">
        <v>46218.0</v>
      </c>
      <c r="R45" s="12"/>
      <c r="S45" s="12" t="s">
        <v>230</v>
      </c>
      <c r="T45" s="12" t="s">
        <v>47</v>
      </c>
      <c r="U45" s="17">
        <f t="shared" si="1"/>
        <v>1</v>
      </c>
    </row>
    <row r="46">
      <c r="A46" s="12" t="s">
        <v>231</v>
      </c>
      <c r="B46" s="12" t="s">
        <v>232</v>
      </c>
      <c r="C46" s="17">
        <v>25.0</v>
      </c>
      <c r="D46" s="12" t="s">
        <v>69</v>
      </c>
      <c r="E46" s="12" t="s">
        <v>177</v>
      </c>
      <c r="F46" s="12" t="s">
        <v>62</v>
      </c>
      <c r="G46" s="12" t="s">
        <v>80</v>
      </c>
      <c r="H46" s="15">
        <v>45975.0</v>
      </c>
      <c r="I46" s="17">
        <v>12.0</v>
      </c>
      <c r="J46" s="12" t="s">
        <v>40</v>
      </c>
      <c r="K46" s="12" t="s">
        <v>81</v>
      </c>
      <c r="L46" s="17">
        <v>877.0</v>
      </c>
      <c r="M46" s="17">
        <v>3.0</v>
      </c>
      <c r="N46" s="17">
        <v>1.0</v>
      </c>
      <c r="O46" s="17">
        <v>16.0</v>
      </c>
      <c r="P46" s="17">
        <v>2.6</v>
      </c>
      <c r="Q46" s="15">
        <v>46355.0</v>
      </c>
      <c r="R46" s="12"/>
      <c r="S46" s="12" t="s">
        <v>55</v>
      </c>
      <c r="T46" s="12" t="s">
        <v>47</v>
      </c>
      <c r="U46" s="17">
        <f t="shared" si="1"/>
        <v>3</v>
      </c>
    </row>
    <row r="47">
      <c r="A47" s="12" t="s">
        <v>234</v>
      </c>
      <c r="B47" s="12" t="s">
        <v>235</v>
      </c>
      <c r="C47" s="17">
        <v>19.0</v>
      </c>
      <c r="D47" s="12" t="s">
        <v>69</v>
      </c>
      <c r="E47" s="12" t="s">
        <v>177</v>
      </c>
      <c r="F47" s="12" t="s">
        <v>62</v>
      </c>
      <c r="G47" s="12" t="s">
        <v>80</v>
      </c>
      <c r="H47" s="15">
        <v>44821.0</v>
      </c>
      <c r="I47" s="17">
        <v>18.0</v>
      </c>
      <c r="J47" s="12" t="s">
        <v>64</v>
      </c>
      <c r="K47" s="12" t="s">
        <v>65</v>
      </c>
      <c r="L47" s="17">
        <v>526.0</v>
      </c>
      <c r="M47" s="17">
        <v>1.0</v>
      </c>
      <c r="N47" s="17">
        <v>0.0</v>
      </c>
      <c r="O47" s="17">
        <v>27.3</v>
      </c>
      <c r="P47" s="17">
        <v>3.7</v>
      </c>
      <c r="Q47" s="15">
        <v>44960.0</v>
      </c>
      <c r="R47" s="12"/>
      <c r="S47" s="12" t="s">
        <v>55</v>
      </c>
      <c r="T47" s="12" t="s">
        <v>75</v>
      </c>
      <c r="U47" s="17">
        <f t="shared" si="1"/>
        <v>3</v>
      </c>
    </row>
    <row r="48">
      <c r="A48" s="12" t="s">
        <v>238</v>
      </c>
      <c r="B48" s="12" t="s">
        <v>239</v>
      </c>
      <c r="C48" s="17">
        <v>28.0</v>
      </c>
      <c r="D48" s="12" t="s">
        <v>85</v>
      </c>
      <c r="E48" s="12" t="s">
        <v>92</v>
      </c>
      <c r="F48" s="12" t="s">
        <v>62</v>
      </c>
      <c r="G48" s="12" t="s">
        <v>63</v>
      </c>
      <c r="H48" s="15">
        <v>45079.0</v>
      </c>
      <c r="I48" s="17">
        <v>31.0</v>
      </c>
      <c r="J48" s="12" t="s">
        <v>40</v>
      </c>
      <c r="K48" s="12" t="s">
        <v>81</v>
      </c>
      <c r="L48" s="17">
        <v>532.0</v>
      </c>
      <c r="M48" s="17">
        <v>3.0</v>
      </c>
      <c r="N48" s="17">
        <v>1.0</v>
      </c>
      <c r="O48" s="17">
        <v>16.4</v>
      </c>
      <c r="P48" s="17">
        <v>3.8</v>
      </c>
      <c r="Q48" s="15">
        <v>45164.0</v>
      </c>
      <c r="R48" s="12"/>
      <c r="S48" s="12" t="s">
        <v>55</v>
      </c>
      <c r="T48" s="12" t="s">
        <v>72</v>
      </c>
      <c r="U48" s="17">
        <f t="shared" si="1"/>
        <v>1</v>
      </c>
    </row>
    <row r="49">
      <c r="A49" s="12" t="s">
        <v>240</v>
      </c>
      <c r="B49" s="12" t="s">
        <v>241</v>
      </c>
      <c r="C49" s="17">
        <v>56.0</v>
      </c>
      <c r="D49" s="12" t="s">
        <v>69</v>
      </c>
      <c r="E49" s="12" t="s">
        <v>70</v>
      </c>
      <c r="F49" s="12" t="s">
        <v>37</v>
      </c>
      <c r="G49" s="12" t="s">
        <v>120</v>
      </c>
      <c r="H49" s="15">
        <v>45803.0</v>
      </c>
      <c r="I49" s="17">
        <v>39.0</v>
      </c>
      <c r="J49" s="12" t="s">
        <v>53</v>
      </c>
      <c r="K49" s="12" t="s">
        <v>65</v>
      </c>
      <c r="L49" s="17">
        <v>1793.0</v>
      </c>
      <c r="M49" s="17">
        <v>3.0</v>
      </c>
      <c r="N49" s="17">
        <v>0.0</v>
      </c>
      <c r="O49" s="17">
        <v>33.5</v>
      </c>
      <c r="P49" s="17">
        <v>3.8</v>
      </c>
      <c r="Q49" s="15">
        <v>46592.0</v>
      </c>
      <c r="R49" s="12" t="s">
        <v>242</v>
      </c>
      <c r="S49" s="12" t="s">
        <v>45</v>
      </c>
      <c r="T49" s="12" t="s">
        <v>66</v>
      </c>
      <c r="U49" s="17">
        <f t="shared" si="1"/>
        <v>3</v>
      </c>
    </row>
    <row r="50">
      <c r="A50" s="12" t="s">
        <v>245</v>
      </c>
      <c r="B50" s="12" t="s">
        <v>247</v>
      </c>
      <c r="C50" s="17">
        <v>29.0</v>
      </c>
      <c r="D50" s="12" t="s">
        <v>35</v>
      </c>
      <c r="E50" s="12" t="s">
        <v>36</v>
      </c>
      <c r="F50" s="12" t="s">
        <v>79</v>
      </c>
      <c r="G50" s="12" t="s">
        <v>39</v>
      </c>
      <c r="H50" s="15">
        <v>45843.0</v>
      </c>
      <c r="I50" s="17">
        <v>14.0</v>
      </c>
      <c r="J50" s="12" t="s">
        <v>40</v>
      </c>
      <c r="K50" s="12" t="s">
        <v>65</v>
      </c>
      <c r="L50" s="17">
        <v>2490.0</v>
      </c>
      <c r="M50" s="17">
        <v>0.0</v>
      </c>
      <c r="N50" s="17">
        <v>0.0</v>
      </c>
      <c r="O50" s="17">
        <v>40.2</v>
      </c>
      <c r="P50" s="17">
        <v>3.1</v>
      </c>
      <c r="Q50" s="15">
        <v>45941.0</v>
      </c>
      <c r="R50" s="12"/>
      <c r="S50" s="12" t="s">
        <v>55</v>
      </c>
      <c r="T50" s="12" t="s">
        <v>75</v>
      </c>
      <c r="U50" s="17">
        <f t="shared" si="1"/>
        <v>4</v>
      </c>
    </row>
    <row r="51">
      <c r="A51" s="12" t="s">
        <v>249</v>
      </c>
      <c r="B51" s="12" t="s">
        <v>250</v>
      </c>
      <c r="C51" s="17">
        <v>46.0</v>
      </c>
      <c r="D51" s="12" t="s">
        <v>85</v>
      </c>
      <c r="E51" s="12" t="s">
        <v>92</v>
      </c>
      <c r="F51" s="12" t="s">
        <v>62</v>
      </c>
      <c r="G51" s="12" t="s">
        <v>210</v>
      </c>
      <c r="H51" s="15">
        <v>46009.0</v>
      </c>
      <c r="I51" s="17">
        <v>19.0</v>
      </c>
      <c r="J51" s="12" t="s">
        <v>40</v>
      </c>
      <c r="K51" s="12" t="s">
        <v>81</v>
      </c>
      <c r="L51" s="17">
        <v>731.0</v>
      </c>
      <c r="M51" s="17">
        <v>0.0</v>
      </c>
      <c r="N51" s="17">
        <v>3.0</v>
      </c>
      <c r="O51" s="17">
        <v>13.3</v>
      </c>
      <c r="P51" s="17">
        <v>4.5</v>
      </c>
      <c r="Q51" s="15">
        <v>46258.0</v>
      </c>
      <c r="R51" s="12"/>
      <c r="S51" s="12" t="s">
        <v>55</v>
      </c>
      <c r="T51" s="12" t="s">
        <v>47</v>
      </c>
      <c r="U51" s="17">
        <f t="shared" si="1"/>
        <v>1</v>
      </c>
    </row>
    <row r="52">
      <c r="A52" s="12" t="s">
        <v>251</v>
      </c>
      <c r="B52" s="12" t="s">
        <v>235</v>
      </c>
      <c r="C52" s="17">
        <v>48.0</v>
      </c>
      <c r="D52" s="12" t="s">
        <v>69</v>
      </c>
      <c r="E52" s="12" t="s">
        <v>177</v>
      </c>
      <c r="F52" s="12" t="s">
        <v>37</v>
      </c>
      <c r="G52" s="12" t="s">
        <v>63</v>
      </c>
      <c r="H52" s="15">
        <v>44684.0</v>
      </c>
      <c r="I52" s="17">
        <v>11.0</v>
      </c>
      <c r="J52" s="12" t="s">
        <v>64</v>
      </c>
      <c r="K52" s="12" t="s">
        <v>65</v>
      </c>
      <c r="L52" s="17">
        <v>1765.0</v>
      </c>
      <c r="M52" s="17">
        <v>1.0</v>
      </c>
      <c r="N52" s="17">
        <v>2.0</v>
      </c>
      <c r="O52" s="17">
        <v>23.0</v>
      </c>
      <c r="P52" s="17">
        <v>4.5</v>
      </c>
      <c r="Q52" s="15">
        <v>44985.0</v>
      </c>
      <c r="R52" s="12" t="s">
        <v>252</v>
      </c>
      <c r="S52" s="12" t="s">
        <v>45</v>
      </c>
      <c r="T52" s="12" t="s">
        <v>75</v>
      </c>
      <c r="U52" s="17">
        <f t="shared" si="1"/>
        <v>2</v>
      </c>
    </row>
    <row r="53">
      <c r="A53" s="12" t="s">
        <v>253</v>
      </c>
      <c r="B53" s="12" t="s">
        <v>239</v>
      </c>
      <c r="C53" s="17">
        <v>67.0</v>
      </c>
      <c r="D53" s="12" t="s">
        <v>85</v>
      </c>
      <c r="E53" s="12" t="s">
        <v>87</v>
      </c>
      <c r="F53" s="12" t="s">
        <v>62</v>
      </c>
      <c r="G53" s="12" t="s">
        <v>63</v>
      </c>
      <c r="H53" s="15">
        <v>45446.0</v>
      </c>
      <c r="I53" s="17">
        <v>48.0</v>
      </c>
      <c r="J53" s="12" t="s">
        <v>64</v>
      </c>
      <c r="K53" s="12" t="s">
        <v>65</v>
      </c>
      <c r="L53" s="17">
        <v>627.0</v>
      </c>
      <c r="M53" s="17">
        <v>3.0</v>
      </c>
      <c r="N53" s="17">
        <v>2.0</v>
      </c>
      <c r="O53" s="17">
        <v>28.2</v>
      </c>
      <c r="P53" s="17">
        <v>3.2</v>
      </c>
      <c r="Q53" s="15">
        <v>45924.0</v>
      </c>
      <c r="R53" s="12"/>
      <c r="S53" s="12" t="s">
        <v>55</v>
      </c>
      <c r="T53" s="12"/>
      <c r="U53" s="17">
        <f t="shared" si="1"/>
        <v>2</v>
      </c>
    </row>
    <row r="54">
      <c r="A54" s="12" t="s">
        <v>256</v>
      </c>
      <c r="B54" s="12" t="s">
        <v>257</v>
      </c>
      <c r="C54" s="17">
        <v>45.0</v>
      </c>
      <c r="D54" s="12" t="s">
        <v>69</v>
      </c>
      <c r="E54" s="12" t="s">
        <v>119</v>
      </c>
      <c r="F54" s="12" t="s">
        <v>37</v>
      </c>
      <c r="G54" s="12" t="s">
        <v>120</v>
      </c>
      <c r="H54" s="15">
        <v>45131.0</v>
      </c>
      <c r="I54" s="17">
        <v>12.0</v>
      </c>
      <c r="J54" s="12" t="s">
        <v>53</v>
      </c>
      <c r="K54" s="12" t="s">
        <v>65</v>
      </c>
      <c r="L54" s="17">
        <v>1649.0</v>
      </c>
      <c r="M54" s="17">
        <v>3.0</v>
      </c>
      <c r="N54" s="17">
        <v>0.0</v>
      </c>
      <c r="O54" s="17">
        <v>28.1</v>
      </c>
      <c r="P54" s="17">
        <v>4.5</v>
      </c>
      <c r="Q54" s="15">
        <v>45392.0</v>
      </c>
      <c r="R54" s="12" t="s">
        <v>258</v>
      </c>
      <c r="S54" s="12" t="s">
        <v>45</v>
      </c>
      <c r="T54" s="12" t="s">
        <v>104</v>
      </c>
      <c r="U54" s="17">
        <f t="shared" si="1"/>
        <v>2</v>
      </c>
    </row>
    <row r="55">
      <c r="A55" s="12" t="s">
        <v>259</v>
      </c>
      <c r="B55" s="12" t="s">
        <v>184</v>
      </c>
      <c r="C55" s="17">
        <v>26.0</v>
      </c>
      <c r="D55" s="12" t="s">
        <v>60</v>
      </c>
      <c r="E55" s="12" t="s">
        <v>133</v>
      </c>
      <c r="F55" s="12" t="s">
        <v>37</v>
      </c>
      <c r="G55" s="12" t="s">
        <v>210</v>
      </c>
      <c r="H55" s="15">
        <v>45918.0</v>
      </c>
      <c r="I55" s="17">
        <v>26.0</v>
      </c>
      <c r="J55" s="12" t="s">
        <v>53</v>
      </c>
      <c r="K55" s="12" t="s">
        <v>81</v>
      </c>
      <c r="L55" s="17">
        <v>1036.0</v>
      </c>
      <c r="M55" s="17">
        <v>4.0</v>
      </c>
      <c r="N55" s="17">
        <v>0.0</v>
      </c>
      <c r="O55" s="17">
        <v>30.6</v>
      </c>
      <c r="P55" s="17">
        <v>3.6</v>
      </c>
      <c r="Q55" s="15">
        <v>46018.0</v>
      </c>
      <c r="R55" s="12" t="s">
        <v>260</v>
      </c>
      <c r="S55" s="12" t="s">
        <v>45</v>
      </c>
      <c r="T55" s="12" t="s">
        <v>104</v>
      </c>
      <c r="U55" s="17">
        <f t="shared" si="1"/>
        <v>2</v>
      </c>
    </row>
    <row r="56">
      <c r="A56" s="12" t="s">
        <v>262</v>
      </c>
      <c r="B56" s="12" t="s">
        <v>78</v>
      </c>
      <c r="C56" s="17">
        <v>37.0</v>
      </c>
      <c r="D56" s="12" t="s">
        <v>85</v>
      </c>
      <c r="E56" s="12" t="s">
        <v>87</v>
      </c>
      <c r="F56" s="12" t="s">
        <v>62</v>
      </c>
      <c r="G56" s="12" t="s">
        <v>80</v>
      </c>
      <c r="H56" s="15">
        <v>45302.0</v>
      </c>
      <c r="I56" s="17">
        <v>40.0</v>
      </c>
      <c r="J56" s="12" t="s">
        <v>53</v>
      </c>
      <c r="K56" s="12" t="s">
        <v>81</v>
      </c>
      <c r="L56" s="17">
        <v>819.0</v>
      </c>
      <c r="M56" s="17">
        <v>2.0</v>
      </c>
      <c r="N56" s="17">
        <v>1.0</v>
      </c>
      <c r="O56" s="17">
        <v>27.3</v>
      </c>
      <c r="P56" s="17">
        <v>4.4</v>
      </c>
      <c r="Q56" s="15">
        <v>45417.0</v>
      </c>
      <c r="R56" s="12" t="s">
        <v>264</v>
      </c>
      <c r="S56" s="12" t="s">
        <v>45</v>
      </c>
      <c r="T56" s="12" t="s">
        <v>75</v>
      </c>
      <c r="U56" s="17">
        <f t="shared" si="1"/>
        <v>1</v>
      </c>
    </row>
    <row r="57">
      <c r="A57" s="12" t="s">
        <v>265</v>
      </c>
      <c r="B57" s="12" t="s">
        <v>235</v>
      </c>
      <c r="C57" s="17">
        <v>60.0</v>
      </c>
      <c r="D57" s="12" t="s">
        <v>267</v>
      </c>
      <c r="E57" s="12" t="s">
        <v>51</v>
      </c>
      <c r="F57" s="12" t="s">
        <v>37</v>
      </c>
      <c r="G57" s="12" t="s">
        <v>210</v>
      </c>
      <c r="H57" s="15">
        <v>45690.0</v>
      </c>
      <c r="I57" s="17">
        <v>1.0</v>
      </c>
      <c r="J57" s="12" t="s">
        <v>40</v>
      </c>
      <c r="K57" s="12" t="s">
        <v>81</v>
      </c>
      <c r="L57" s="17">
        <v>1229.0</v>
      </c>
      <c r="M57" s="17">
        <v>2.0</v>
      </c>
      <c r="N57" s="17">
        <v>0.0</v>
      </c>
      <c r="O57" s="17">
        <v>11.3</v>
      </c>
      <c r="P57" s="17">
        <v>5.0</v>
      </c>
      <c r="Q57" s="15">
        <v>45707.0</v>
      </c>
      <c r="R57" s="12"/>
      <c r="S57" s="12" t="s">
        <v>55</v>
      </c>
      <c r="T57" s="12" t="s">
        <v>72</v>
      </c>
      <c r="U57" s="17">
        <f t="shared" si="1"/>
        <v>2</v>
      </c>
    </row>
    <row r="58">
      <c r="A58" s="12" t="s">
        <v>272</v>
      </c>
      <c r="B58" s="12" t="s">
        <v>145</v>
      </c>
      <c r="C58" s="17">
        <v>23.0</v>
      </c>
      <c r="D58" s="12" t="s">
        <v>60</v>
      </c>
      <c r="E58" s="12"/>
      <c r="F58" s="12" t="s">
        <v>37</v>
      </c>
      <c r="G58" s="12" t="s">
        <v>120</v>
      </c>
      <c r="H58" s="15">
        <v>45061.0</v>
      </c>
      <c r="I58" s="17">
        <v>30.0</v>
      </c>
      <c r="J58" s="12" t="s">
        <v>53</v>
      </c>
      <c r="K58" s="12" t="s">
        <v>65</v>
      </c>
      <c r="L58" s="17">
        <v>1194.0</v>
      </c>
      <c r="M58" s="17">
        <v>0.0</v>
      </c>
      <c r="N58" s="17">
        <v>0.0</v>
      </c>
      <c r="O58" s="17">
        <v>32.9</v>
      </c>
      <c r="P58" s="17">
        <v>4.9</v>
      </c>
      <c r="Q58" s="15">
        <v>45684.0</v>
      </c>
      <c r="R58" s="12"/>
      <c r="S58" s="12" t="s">
        <v>55</v>
      </c>
      <c r="T58" s="12" t="s">
        <v>72</v>
      </c>
      <c r="U58" s="17">
        <f t="shared" si="1"/>
        <v>2</v>
      </c>
    </row>
    <row r="59">
      <c r="A59" s="12" t="s">
        <v>279</v>
      </c>
      <c r="B59" s="12" t="s">
        <v>281</v>
      </c>
      <c r="C59" s="17">
        <v>54.0</v>
      </c>
      <c r="D59" s="12" t="s">
        <v>60</v>
      </c>
      <c r="E59" s="12" t="s">
        <v>61</v>
      </c>
      <c r="F59" s="12" t="s">
        <v>62</v>
      </c>
      <c r="G59" s="12" t="s">
        <v>210</v>
      </c>
      <c r="H59" s="15">
        <v>45764.0</v>
      </c>
      <c r="I59" s="17">
        <v>38.0</v>
      </c>
      <c r="J59" s="12" t="s">
        <v>64</v>
      </c>
      <c r="K59" s="12" t="s">
        <v>65</v>
      </c>
      <c r="L59" s="17">
        <v>749.0</v>
      </c>
      <c r="M59" s="17">
        <v>2.0</v>
      </c>
      <c r="N59" s="17">
        <v>0.0</v>
      </c>
      <c r="O59" s="17">
        <v>14.5</v>
      </c>
      <c r="P59" s="17">
        <v>3.9</v>
      </c>
      <c r="Q59" s="15">
        <v>46877.0</v>
      </c>
      <c r="R59" s="12" t="s">
        <v>284</v>
      </c>
      <c r="S59" s="12" t="s">
        <v>45</v>
      </c>
      <c r="T59" s="12" t="s">
        <v>75</v>
      </c>
      <c r="U59" s="17">
        <f t="shared" si="1"/>
        <v>2</v>
      </c>
    </row>
    <row r="60">
      <c r="A60" s="12" t="s">
        <v>286</v>
      </c>
      <c r="B60" s="12" t="s">
        <v>206</v>
      </c>
      <c r="C60" s="17">
        <v>50.0</v>
      </c>
      <c r="D60" s="12" t="s">
        <v>69</v>
      </c>
      <c r="E60" s="12" t="s">
        <v>187</v>
      </c>
      <c r="F60" s="12" t="s">
        <v>37</v>
      </c>
      <c r="G60" s="12" t="s">
        <v>39</v>
      </c>
      <c r="H60" s="15">
        <v>45403.0</v>
      </c>
      <c r="I60" s="17">
        <v>3.0</v>
      </c>
      <c r="J60" s="12" t="s">
        <v>40</v>
      </c>
      <c r="K60" s="12" t="s">
        <v>42</v>
      </c>
      <c r="L60" s="17">
        <v>1721.0</v>
      </c>
      <c r="M60" s="17">
        <v>4.0</v>
      </c>
      <c r="N60" s="17">
        <v>2.0</v>
      </c>
      <c r="O60" s="17">
        <v>37.2</v>
      </c>
      <c r="P60" s="17">
        <v>3.3</v>
      </c>
      <c r="Q60" s="15">
        <v>45461.0</v>
      </c>
      <c r="R60" s="12"/>
      <c r="S60" s="12" t="s">
        <v>55</v>
      </c>
      <c r="T60" s="12" t="s">
        <v>66</v>
      </c>
      <c r="U60" s="17">
        <f t="shared" si="1"/>
        <v>2</v>
      </c>
    </row>
    <row r="61">
      <c r="A61" s="12" t="s">
        <v>287</v>
      </c>
      <c r="B61" s="12" t="s">
        <v>288</v>
      </c>
      <c r="C61" s="17">
        <v>49.0</v>
      </c>
      <c r="D61" s="12" t="s">
        <v>60</v>
      </c>
      <c r="E61" s="12" t="s">
        <v>61</v>
      </c>
      <c r="F61" s="12" t="s">
        <v>79</v>
      </c>
      <c r="G61" s="12" t="s">
        <v>120</v>
      </c>
      <c r="H61" s="15">
        <v>44766.0</v>
      </c>
      <c r="I61" s="17">
        <v>34.0</v>
      </c>
      <c r="J61" s="12" t="s">
        <v>53</v>
      </c>
      <c r="K61" s="12" t="s">
        <v>65</v>
      </c>
      <c r="L61" s="12" t="s">
        <v>289</v>
      </c>
      <c r="M61" s="17">
        <v>1.0</v>
      </c>
      <c r="N61" s="17">
        <v>0.0</v>
      </c>
      <c r="O61" s="17">
        <v>35.6</v>
      </c>
      <c r="P61" s="17">
        <v>3.7</v>
      </c>
      <c r="Q61" s="15">
        <v>45615.0</v>
      </c>
      <c r="R61" s="12" t="s">
        <v>290</v>
      </c>
      <c r="S61" s="12" t="s">
        <v>45</v>
      </c>
      <c r="T61" s="12" t="s">
        <v>66</v>
      </c>
      <c r="U61" s="17">
        <f t="shared" si="1"/>
        <v>1</v>
      </c>
    </row>
    <row r="62">
      <c r="A62" s="12" t="s">
        <v>291</v>
      </c>
      <c r="B62" s="12" t="s">
        <v>179</v>
      </c>
      <c r="C62" s="17">
        <v>58.0</v>
      </c>
      <c r="D62" s="12" t="s">
        <v>85</v>
      </c>
      <c r="E62" s="12" t="s">
        <v>292</v>
      </c>
      <c r="F62" s="12" t="s">
        <v>79</v>
      </c>
      <c r="G62" s="12" t="s">
        <v>93</v>
      </c>
      <c r="H62" s="15">
        <v>45943.0</v>
      </c>
      <c r="I62" s="17">
        <v>35.0</v>
      </c>
      <c r="J62" s="12" t="s">
        <v>40</v>
      </c>
      <c r="K62" s="12" t="s">
        <v>42</v>
      </c>
      <c r="L62" s="17">
        <v>3470.0</v>
      </c>
      <c r="M62" s="17">
        <v>4.0</v>
      </c>
      <c r="N62" s="17">
        <v>1.0</v>
      </c>
      <c r="O62" s="17">
        <v>40.6</v>
      </c>
      <c r="P62" s="17">
        <v>3.0</v>
      </c>
      <c r="Q62" s="15">
        <v>46952.0</v>
      </c>
      <c r="R62" s="12"/>
      <c r="S62" s="12" t="s">
        <v>55</v>
      </c>
      <c r="T62" s="12" t="s">
        <v>72</v>
      </c>
      <c r="U62" s="17">
        <f t="shared" si="1"/>
        <v>1</v>
      </c>
    </row>
    <row r="63">
      <c r="A63" s="12" t="s">
        <v>294</v>
      </c>
      <c r="B63" s="12" t="s">
        <v>295</v>
      </c>
      <c r="C63" s="17">
        <v>22.0</v>
      </c>
      <c r="D63" s="12" t="s">
        <v>35</v>
      </c>
      <c r="E63" s="12" t="s">
        <v>140</v>
      </c>
      <c r="F63" s="12" t="s">
        <v>79</v>
      </c>
      <c r="G63" s="12" t="s">
        <v>93</v>
      </c>
      <c r="H63" s="15">
        <v>45859.0</v>
      </c>
      <c r="I63" s="17">
        <v>46.0</v>
      </c>
      <c r="J63" s="12" t="s">
        <v>53</v>
      </c>
      <c r="K63" s="12" t="s">
        <v>65</v>
      </c>
      <c r="L63" s="17">
        <v>3420.0</v>
      </c>
      <c r="M63" s="17">
        <v>1.0</v>
      </c>
      <c r="N63" s="17">
        <v>2.0</v>
      </c>
      <c r="O63" s="17">
        <v>38.6</v>
      </c>
      <c r="P63" s="17">
        <v>4.6</v>
      </c>
      <c r="Q63" s="15">
        <v>46482.0</v>
      </c>
      <c r="R63" s="12" t="s">
        <v>297</v>
      </c>
      <c r="S63" s="12" t="s">
        <v>45</v>
      </c>
      <c r="T63" s="12" t="s">
        <v>72</v>
      </c>
      <c r="U63" s="17">
        <f t="shared" si="1"/>
        <v>3</v>
      </c>
    </row>
    <row r="64">
      <c r="A64" s="12" t="s">
        <v>298</v>
      </c>
      <c r="B64" s="12" t="s">
        <v>172</v>
      </c>
      <c r="C64" s="17">
        <v>50.0</v>
      </c>
      <c r="D64" s="12" t="s">
        <v>69</v>
      </c>
      <c r="E64" s="12" t="s">
        <v>187</v>
      </c>
      <c r="F64" s="12" t="s">
        <v>37</v>
      </c>
      <c r="G64" s="12" t="s">
        <v>80</v>
      </c>
      <c r="H64" s="15">
        <v>45958.0</v>
      </c>
      <c r="I64" s="17">
        <v>12.0</v>
      </c>
      <c r="J64" s="12" t="s">
        <v>64</v>
      </c>
      <c r="K64" s="12" t="s">
        <v>42</v>
      </c>
      <c r="L64" s="17">
        <v>1623.0</v>
      </c>
      <c r="M64" s="17">
        <v>4.0</v>
      </c>
      <c r="N64" s="17">
        <v>0.0</v>
      </c>
      <c r="O64" s="17">
        <v>39.6</v>
      </c>
      <c r="P64" s="17">
        <v>4.6</v>
      </c>
      <c r="Q64" s="15">
        <v>46163.0</v>
      </c>
      <c r="R64" s="12"/>
      <c r="S64" s="12" t="s">
        <v>55</v>
      </c>
      <c r="T64" s="12" t="s">
        <v>47</v>
      </c>
      <c r="U64" s="17">
        <f t="shared" si="1"/>
        <v>1</v>
      </c>
    </row>
    <row r="65">
      <c r="A65" s="12" t="s">
        <v>299</v>
      </c>
      <c r="B65" s="12" t="s">
        <v>232</v>
      </c>
      <c r="C65" s="17">
        <v>59.0</v>
      </c>
      <c r="D65" s="12" t="s">
        <v>300</v>
      </c>
      <c r="E65" s="12" t="s">
        <v>133</v>
      </c>
      <c r="F65" s="12" t="s">
        <v>62</v>
      </c>
      <c r="G65" s="12" t="s">
        <v>63</v>
      </c>
      <c r="H65" s="15">
        <v>45514.0</v>
      </c>
      <c r="I65" s="17">
        <v>19.0</v>
      </c>
      <c r="J65" s="12" t="s">
        <v>53</v>
      </c>
      <c r="K65" s="12" t="s">
        <v>81</v>
      </c>
      <c r="L65" s="17">
        <v>579.0</v>
      </c>
      <c r="M65" s="17">
        <v>1.0</v>
      </c>
      <c r="N65" s="17">
        <v>1.0</v>
      </c>
      <c r="O65" s="17">
        <v>35.5</v>
      </c>
      <c r="P65" s="17">
        <v>3.0</v>
      </c>
      <c r="Q65" s="15">
        <v>45877.0</v>
      </c>
      <c r="R65" s="12"/>
      <c r="S65" s="12" t="s">
        <v>55</v>
      </c>
      <c r="T65" s="12" t="s">
        <v>72</v>
      </c>
      <c r="U65" s="17">
        <f t="shared" si="1"/>
        <v>1</v>
      </c>
    </row>
    <row r="66">
      <c r="A66" s="12" t="s">
        <v>301</v>
      </c>
      <c r="B66" s="12" t="s">
        <v>152</v>
      </c>
      <c r="C66" s="17">
        <v>61.0</v>
      </c>
      <c r="D66" s="12" t="s">
        <v>60</v>
      </c>
      <c r="E66" s="12" t="s">
        <v>97</v>
      </c>
      <c r="F66" s="12" t="s">
        <v>79</v>
      </c>
      <c r="G66" s="12" t="s">
        <v>93</v>
      </c>
      <c r="H66" s="15">
        <v>45551.0</v>
      </c>
      <c r="I66" s="17">
        <v>7.0</v>
      </c>
      <c r="J66" s="12" t="s">
        <v>53</v>
      </c>
      <c r="K66" s="12" t="s">
        <v>65</v>
      </c>
      <c r="L66" s="17">
        <v>3176.0</v>
      </c>
      <c r="M66" s="17">
        <v>4.0</v>
      </c>
      <c r="N66" s="17">
        <v>2.0</v>
      </c>
      <c r="O66" s="17">
        <v>31.9</v>
      </c>
      <c r="P66" s="17">
        <v>3.8</v>
      </c>
      <c r="Q66" s="15">
        <v>45636.0</v>
      </c>
      <c r="R66" s="12"/>
      <c r="S66" s="12" t="s">
        <v>55</v>
      </c>
      <c r="T66" s="12" t="s">
        <v>104</v>
      </c>
      <c r="U66" s="17">
        <f t="shared" si="1"/>
        <v>1</v>
      </c>
    </row>
    <row r="67">
      <c r="A67" s="12" t="s">
        <v>302</v>
      </c>
      <c r="B67" s="12" t="s">
        <v>303</v>
      </c>
      <c r="C67" s="17">
        <v>38.0</v>
      </c>
      <c r="D67" s="12" t="s">
        <v>35</v>
      </c>
      <c r="E67" s="12" t="s">
        <v>140</v>
      </c>
      <c r="F67" s="12" t="s">
        <v>37</v>
      </c>
      <c r="G67" s="12" t="s">
        <v>210</v>
      </c>
      <c r="H67" s="15">
        <v>45033.0</v>
      </c>
      <c r="I67" s="17">
        <v>120.0</v>
      </c>
      <c r="J67" s="12" t="s">
        <v>53</v>
      </c>
      <c r="K67" s="12" t="s">
        <v>42</v>
      </c>
      <c r="L67" s="17">
        <v>1650.0</v>
      </c>
      <c r="M67" s="17">
        <v>2.0</v>
      </c>
      <c r="N67" s="17">
        <v>0.0</v>
      </c>
      <c r="O67" s="17">
        <v>17.4</v>
      </c>
      <c r="P67" s="17">
        <v>5.0</v>
      </c>
      <c r="Q67" s="15">
        <v>45556.0</v>
      </c>
      <c r="R67" s="12" t="s">
        <v>304</v>
      </c>
      <c r="S67" s="12" t="s">
        <v>45</v>
      </c>
      <c r="T67" s="12" t="s">
        <v>66</v>
      </c>
      <c r="U67" s="17">
        <f t="shared" si="1"/>
        <v>2</v>
      </c>
    </row>
    <row r="68">
      <c r="A68" s="12" t="s">
        <v>305</v>
      </c>
      <c r="B68" s="12" t="s">
        <v>78</v>
      </c>
      <c r="C68" s="17">
        <v>35.0</v>
      </c>
      <c r="D68" s="12" t="s">
        <v>306</v>
      </c>
      <c r="E68" s="12" t="s">
        <v>70</v>
      </c>
      <c r="F68" s="12" t="s">
        <v>79</v>
      </c>
      <c r="G68" s="12" t="s">
        <v>210</v>
      </c>
      <c r="H68" s="15">
        <v>45412.0</v>
      </c>
      <c r="I68" s="17">
        <v>12.0</v>
      </c>
      <c r="J68" s="12" t="s">
        <v>53</v>
      </c>
      <c r="K68" s="12" t="s">
        <v>65</v>
      </c>
      <c r="L68" s="17">
        <v>3086.0</v>
      </c>
      <c r="M68" s="17">
        <v>2.0</v>
      </c>
      <c r="N68" s="17">
        <v>2.0</v>
      </c>
      <c r="O68" s="17">
        <v>47.4</v>
      </c>
      <c r="P68" s="17">
        <v>3.3</v>
      </c>
      <c r="Q68" s="15">
        <v>45678.0</v>
      </c>
      <c r="R68" s="12"/>
      <c r="S68" s="12" t="s">
        <v>55</v>
      </c>
      <c r="T68" s="12" t="s">
        <v>72</v>
      </c>
      <c r="U68" s="17">
        <f t="shared" si="1"/>
        <v>1</v>
      </c>
    </row>
    <row r="69">
      <c r="A69" s="12" t="s">
        <v>307</v>
      </c>
      <c r="B69" s="12" t="s">
        <v>308</v>
      </c>
      <c r="C69" s="17">
        <v>35.0</v>
      </c>
      <c r="D69" s="12" t="s">
        <v>309</v>
      </c>
      <c r="E69" s="12" t="s">
        <v>292</v>
      </c>
      <c r="F69" s="12" t="s">
        <v>62</v>
      </c>
      <c r="G69" s="12" t="s">
        <v>39</v>
      </c>
      <c r="H69" s="15">
        <v>45947.0</v>
      </c>
      <c r="I69" s="17">
        <v>47.0</v>
      </c>
      <c r="J69" s="12" t="s">
        <v>64</v>
      </c>
      <c r="K69" s="12" t="s">
        <v>42</v>
      </c>
      <c r="L69" s="17">
        <v>702.0</v>
      </c>
      <c r="M69" s="17">
        <v>1.0</v>
      </c>
      <c r="N69" s="17">
        <v>0.0</v>
      </c>
      <c r="O69" s="17">
        <v>17.1</v>
      </c>
      <c r="P69" s="17">
        <v>4.8</v>
      </c>
      <c r="Q69" s="15">
        <v>46141.0</v>
      </c>
      <c r="R69" s="12"/>
      <c r="S69" s="12" t="s">
        <v>55</v>
      </c>
      <c r="T69" s="12" t="s">
        <v>75</v>
      </c>
      <c r="U69" s="17">
        <f t="shared" si="1"/>
        <v>3</v>
      </c>
    </row>
    <row r="70">
      <c r="A70" s="12" t="s">
        <v>311</v>
      </c>
      <c r="B70" s="12" t="s">
        <v>312</v>
      </c>
      <c r="C70" s="17">
        <v>60.0</v>
      </c>
      <c r="D70" s="12" t="s">
        <v>60</v>
      </c>
      <c r="E70" s="12" t="s">
        <v>133</v>
      </c>
      <c r="F70" s="12" t="s">
        <v>37</v>
      </c>
      <c r="G70" s="12" t="s">
        <v>210</v>
      </c>
      <c r="H70" s="15">
        <v>44783.0</v>
      </c>
      <c r="I70" s="17">
        <v>44.0</v>
      </c>
      <c r="J70" s="12" t="s">
        <v>40</v>
      </c>
      <c r="K70" s="12" t="s">
        <v>81</v>
      </c>
      <c r="L70" s="17">
        <v>1633.0</v>
      </c>
      <c r="M70" s="17">
        <v>6.0</v>
      </c>
      <c r="N70" s="17">
        <v>1.0</v>
      </c>
      <c r="O70" s="17">
        <v>30.1</v>
      </c>
      <c r="P70" s="17">
        <v>4.0</v>
      </c>
      <c r="Q70" s="15">
        <v>45942.0</v>
      </c>
      <c r="R70" s="12"/>
      <c r="S70" s="12" t="s">
        <v>55</v>
      </c>
      <c r="T70" s="12" t="s">
        <v>75</v>
      </c>
      <c r="U70" s="17">
        <f t="shared" si="1"/>
        <v>3</v>
      </c>
    </row>
    <row r="71">
      <c r="A71" s="12" t="s">
        <v>313</v>
      </c>
      <c r="B71" s="12" t="s">
        <v>118</v>
      </c>
      <c r="C71" s="17">
        <v>42.0</v>
      </c>
      <c r="D71" s="12" t="s">
        <v>60</v>
      </c>
      <c r="E71" s="12" t="s">
        <v>133</v>
      </c>
      <c r="F71" s="12" t="s">
        <v>62</v>
      </c>
      <c r="G71" s="12" t="s">
        <v>63</v>
      </c>
      <c r="H71" s="15">
        <v>44638.0</v>
      </c>
      <c r="I71" s="17">
        <v>20.0</v>
      </c>
      <c r="J71" s="12" t="s">
        <v>64</v>
      </c>
      <c r="K71" s="12" t="s">
        <v>81</v>
      </c>
      <c r="L71" s="17">
        <v>558.0</v>
      </c>
      <c r="M71" s="17">
        <v>2.0</v>
      </c>
      <c r="N71" s="17">
        <v>0.0</v>
      </c>
      <c r="O71" s="17">
        <v>19.0</v>
      </c>
      <c r="P71" s="17">
        <v>4.2</v>
      </c>
      <c r="Q71" s="15">
        <v>45198.0</v>
      </c>
      <c r="R71" s="12" t="s">
        <v>314</v>
      </c>
      <c r="S71" s="12" t="s">
        <v>45</v>
      </c>
      <c r="T71" s="12" t="s">
        <v>66</v>
      </c>
      <c r="U71" s="17">
        <f t="shared" si="1"/>
        <v>2</v>
      </c>
    </row>
    <row r="72">
      <c r="A72" s="12" t="s">
        <v>315</v>
      </c>
      <c r="B72" s="12" t="s">
        <v>316</v>
      </c>
      <c r="C72" s="17">
        <v>47.0</v>
      </c>
      <c r="D72" s="12" t="s">
        <v>69</v>
      </c>
      <c r="E72" s="12" t="s">
        <v>119</v>
      </c>
      <c r="F72" s="12" t="s">
        <v>37</v>
      </c>
      <c r="G72" s="12" t="s">
        <v>93</v>
      </c>
      <c r="H72" s="15">
        <v>45564.0</v>
      </c>
      <c r="I72" s="17">
        <v>40.0</v>
      </c>
      <c r="J72" s="12" t="s">
        <v>40</v>
      </c>
      <c r="K72" s="12" t="s">
        <v>65</v>
      </c>
      <c r="L72" s="17">
        <v>1032.0</v>
      </c>
      <c r="M72" s="17">
        <v>4.0</v>
      </c>
      <c r="N72" s="17">
        <v>2.0</v>
      </c>
      <c r="O72" s="17">
        <v>30.7</v>
      </c>
      <c r="P72" s="17">
        <v>3.0</v>
      </c>
      <c r="Q72" s="15">
        <v>46332.0</v>
      </c>
      <c r="R72" s="12"/>
      <c r="S72" s="12" t="s">
        <v>55</v>
      </c>
      <c r="T72" s="12" t="s">
        <v>104</v>
      </c>
      <c r="U72" s="17">
        <f t="shared" si="1"/>
        <v>2</v>
      </c>
    </row>
    <row r="73">
      <c r="A73" s="12" t="s">
        <v>317</v>
      </c>
      <c r="B73" s="12" t="s">
        <v>239</v>
      </c>
      <c r="C73" s="17">
        <v>22.0</v>
      </c>
      <c r="D73" s="12" t="s">
        <v>60</v>
      </c>
      <c r="E73" s="12" t="s">
        <v>107</v>
      </c>
      <c r="F73" s="12" t="s">
        <v>62</v>
      </c>
      <c r="G73" s="12" t="s">
        <v>210</v>
      </c>
      <c r="H73" s="15">
        <v>44950.0</v>
      </c>
      <c r="I73" s="17">
        <v>8.0</v>
      </c>
      <c r="J73" s="12" t="s">
        <v>53</v>
      </c>
      <c r="K73" s="12" t="s">
        <v>42</v>
      </c>
      <c r="L73" s="17">
        <v>731.0</v>
      </c>
      <c r="M73" s="17">
        <v>2.0</v>
      </c>
      <c r="N73" s="17">
        <v>0.0</v>
      </c>
      <c r="O73" s="17">
        <v>23.2</v>
      </c>
      <c r="P73" s="17">
        <v>4.9</v>
      </c>
      <c r="Q73" s="15">
        <v>45014.0</v>
      </c>
      <c r="R73" s="12" t="s">
        <v>319</v>
      </c>
      <c r="S73" s="12" t="s">
        <v>45</v>
      </c>
      <c r="T73" s="12" t="s">
        <v>47</v>
      </c>
      <c r="U73" s="17">
        <f t="shared" si="1"/>
        <v>2</v>
      </c>
    </row>
    <row r="74">
      <c r="A74" s="12" t="s">
        <v>320</v>
      </c>
      <c r="B74" s="12" t="s">
        <v>239</v>
      </c>
      <c r="C74" s="17">
        <v>36.0</v>
      </c>
      <c r="D74" s="12" t="s">
        <v>69</v>
      </c>
      <c r="E74" s="12" t="s">
        <v>70</v>
      </c>
      <c r="F74" s="12" t="s">
        <v>37</v>
      </c>
      <c r="G74" s="12" t="s">
        <v>80</v>
      </c>
      <c r="H74" s="15">
        <v>44986.0</v>
      </c>
      <c r="I74" s="17">
        <v>38.0</v>
      </c>
      <c r="J74" s="12" t="s">
        <v>40</v>
      </c>
      <c r="K74" s="12" t="s">
        <v>42</v>
      </c>
      <c r="L74" s="17">
        <v>1335.0</v>
      </c>
      <c r="M74" s="17">
        <v>3.0</v>
      </c>
      <c r="N74" s="17">
        <v>2.0</v>
      </c>
      <c r="O74" s="17">
        <v>36.5</v>
      </c>
      <c r="P74" s="17">
        <v>2.1</v>
      </c>
      <c r="Q74" s="15">
        <v>45298.0</v>
      </c>
      <c r="R74" s="12"/>
      <c r="S74" s="12" t="s">
        <v>55</v>
      </c>
      <c r="T74" s="12" t="s">
        <v>66</v>
      </c>
      <c r="U74" s="17">
        <f t="shared" si="1"/>
        <v>2</v>
      </c>
    </row>
    <row r="75">
      <c r="A75" s="12" t="s">
        <v>321</v>
      </c>
      <c r="B75" s="12" t="s">
        <v>322</v>
      </c>
      <c r="C75" s="17">
        <v>22.0</v>
      </c>
      <c r="D75" s="12" t="s">
        <v>69</v>
      </c>
      <c r="E75" s="12" t="s">
        <v>70</v>
      </c>
      <c r="F75" s="12" t="s">
        <v>37</v>
      </c>
      <c r="G75" s="12" t="s">
        <v>63</v>
      </c>
      <c r="H75" s="15">
        <v>44831.0</v>
      </c>
      <c r="I75" s="17">
        <v>1.0</v>
      </c>
      <c r="J75" s="12" t="s">
        <v>40</v>
      </c>
      <c r="K75" s="12" t="s">
        <v>81</v>
      </c>
      <c r="L75" s="17">
        <v>1601.0</v>
      </c>
      <c r="M75" s="17">
        <v>2.0</v>
      </c>
      <c r="N75" s="17">
        <v>1.0</v>
      </c>
      <c r="O75" s="17">
        <v>35.9</v>
      </c>
      <c r="P75" s="17">
        <v>4.0</v>
      </c>
      <c r="Q75" s="15">
        <v>44842.0</v>
      </c>
      <c r="R75" s="12"/>
      <c r="S75" s="12" t="s">
        <v>55</v>
      </c>
      <c r="T75" s="12" t="s">
        <v>75</v>
      </c>
      <c r="U75" s="17">
        <f t="shared" si="1"/>
        <v>2</v>
      </c>
    </row>
    <row r="76">
      <c r="A76" s="12" t="s">
        <v>323</v>
      </c>
      <c r="B76" s="12" t="s">
        <v>239</v>
      </c>
      <c r="C76" s="17">
        <v>65.0</v>
      </c>
      <c r="D76" s="12" t="s">
        <v>35</v>
      </c>
      <c r="E76" s="12" t="s">
        <v>36</v>
      </c>
      <c r="F76" s="12" t="s">
        <v>37</v>
      </c>
      <c r="G76" s="12" t="s">
        <v>93</v>
      </c>
      <c r="H76" s="15">
        <v>45303.0</v>
      </c>
      <c r="I76" s="17">
        <v>33.0</v>
      </c>
      <c r="J76" s="12" t="s">
        <v>64</v>
      </c>
      <c r="K76" s="12" t="s">
        <v>81</v>
      </c>
      <c r="L76" s="17">
        <v>1514.0</v>
      </c>
      <c r="M76" s="17">
        <v>2.0</v>
      </c>
      <c r="N76" s="17">
        <v>0.0</v>
      </c>
      <c r="O76" s="17">
        <v>31.1</v>
      </c>
      <c r="P76" s="17">
        <v>3.7</v>
      </c>
      <c r="Q76" s="15">
        <v>46281.0</v>
      </c>
      <c r="R76" s="12"/>
      <c r="S76" s="12" t="s">
        <v>55</v>
      </c>
      <c r="T76" s="12" t="s">
        <v>72</v>
      </c>
      <c r="U76" s="17">
        <f t="shared" si="1"/>
        <v>2</v>
      </c>
    </row>
    <row r="77">
      <c r="A77" s="12" t="s">
        <v>324</v>
      </c>
      <c r="B77" s="12" t="s">
        <v>325</v>
      </c>
      <c r="C77" s="17">
        <v>39.0</v>
      </c>
      <c r="D77" s="12" t="s">
        <v>35</v>
      </c>
      <c r="E77" s="12" t="s">
        <v>36</v>
      </c>
      <c r="F77" s="12" t="s">
        <v>79</v>
      </c>
      <c r="G77" s="12" t="s">
        <v>93</v>
      </c>
      <c r="H77" s="15">
        <v>45384.0</v>
      </c>
      <c r="I77" s="17">
        <v>28.0</v>
      </c>
      <c r="J77" s="12" t="s">
        <v>64</v>
      </c>
      <c r="K77" s="12" t="s">
        <v>326</v>
      </c>
      <c r="L77" s="17">
        <v>3862.0</v>
      </c>
      <c r="M77" s="17">
        <v>1.0</v>
      </c>
      <c r="N77" s="17">
        <v>2.0</v>
      </c>
      <c r="O77" s="17">
        <v>40.9</v>
      </c>
      <c r="P77" s="17">
        <v>2.9</v>
      </c>
      <c r="Q77" s="15">
        <v>45848.0</v>
      </c>
      <c r="R77" s="12"/>
      <c r="S77" s="12" t="s">
        <v>55</v>
      </c>
      <c r="T77" s="12" t="s">
        <v>104</v>
      </c>
      <c r="U77" s="17">
        <f t="shared" si="1"/>
        <v>1</v>
      </c>
    </row>
    <row r="78">
      <c r="A78" s="12" t="s">
        <v>327</v>
      </c>
      <c r="B78" s="12" t="s">
        <v>328</v>
      </c>
      <c r="C78" s="17">
        <v>46.0</v>
      </c>
      <c r="D78" s="12" t="s">
        <v>60</v>
      </c>
      <c r="E78" s="12" t="s">
        <v>107</v>
      </c>
      <c r="F78" s="12" t="s">
        <v>62</v>
      </c>
      <c r="G78" s="12" t="s">
        <v>80</v>
      </c>
      <c r="H78" s="15">
        <v>45648.0</v>
      </c>
      <c r="I78" s="17">
        <v>19.0</v>
      </c>
      <c r="J78" s="12" t="s">
        <v>53</v>
      </c>
      <c r="K78" s="12" t="s">
        <v>42</v>
      </c>
      <c r="L78" s="17">
        <v>808.0</v>
      </c>
      <c r="M78" s="17">
        <v>0.0</v>
      </c>
      <c r="N78" s="17">
        <v>0.0</v>
      </c>
      <c r="O78" s="17">
        <v>14.4</v>
      </c>
      <c r="P78" s="17">
        <v>3.3</v>
      </c>
      <c r="Q78" s="15">
        <v>45775.0</v>
      </c>
      <c r="R78" s="12"/>
      <c r="S78" s="12" t="s">
        <v>55</v>
      </c>
      <c r="T78" s="12" t="s">
        <v>75</v>
      </c>
      <c r="U78" s="17">
        <f t="shared" si="1"/>
        <v>3</v>
      </c>
    </row>
    <row r="79">
      <c r="A79" s="12" t="s">
        <v>329</v>
      </c>
      <c r="B79" s="12" t="s">
        <v>235</v>
      </c>
      <c r="C79" s="17">
        <v>24.0</v>
      </c>
      <c r="D79" s="12" t="s">
        <v>85</v>
      </c>
      <c r="E79" s="12" t="s">
        <v>87</v>
      </c>
      <c r="F79" s="12" t="s">
        <v>62</v>
      </c>
      <c r="G79" s="12" t="s">
        <v>63</v>
      </c>
      <c r="H79" s="15">
        <v>45202.0</v>
      </c>
      <c r="I79" s="17">
        <v>28.0</v>
      </c>
      <c r="J79" s="12" t="s">
        <v>40</v>
      </c>
      <c r="K79" s="12" t="s">
        <v>42</v>
      </c>
      <c r="L79" s="17">
        <v>629.0</v>
      </c>
      <c r="M79" s="17">
        <v>0.0</v>
      </c>
      <c r="N79" s="17">
        <v>0.0</v>
      </c>
      <c r="O79" s="17">
        <v>11.5</v>
      </c>
      <c r="P79" s="17">
        <v>3.2</v>
      </c>
      <c r="Q79" s="15">
        <v>45368.0</v>
      </c>
      <c r="R79" s="12"/>
      <c r="S79" s="12" t="s">
        <v>55</v>
      </c>
      <c r="T79" s="12" t="s">
        <v>75</v>
      </c>
      <c r="U79" s="17">
        <f t="shared" si="1"/>
        <v>2</v>
      </c>
    </row>
    <row r="80">
      <c r="A80" s="12" t="s">
        <v>330</v>
      </c>
      <c r="B80" s="12" t="s">
        <v>331</v>
      </c>
      <c r="C80" s="17">
        <v>57.0</v>
      </c>
      <c r="D80" s="12" t="s">
        <v>60</v>
      </c>
      <c r="E80" s="12" t="s">
        <v>97</v>
      </c>
      <c r="F80" s="12" t="s">
        <v>37</v>
      </c>
      <c r="G80" s="12" t="s">
        <v>80</v>
      </c>
      <c r="H80" s="15">
        <v>45712.0</v>
      </c>
      <c r="I80" s="17">
        <v>36.0</v>
      </c>
      <c r="J80" s="12" t="s">
        <v>53</v>
      </c>
      <c r="K80" s="12" t="s">
        <v>65</v>
      </c>
      <c r="L80" s="17">
        <v>1419.0</v>
      </c>
      <c r="M80" s="17">
        <v>2.0</v>
      </c>
      <c r="N80" s="17">
        <v>0.0</v>
      </c>
      <c r="O80" s="17">
        <v>16.5</v>
      </c>
      <c r="P80" s="17">
        <v>3.5</v>
      </c>
      <c r="Q80" s="15">
        <v>46588.0</v>
      </c>
      <c r="R80" s="12"/>
      <c r="S80" s="12" t="s">
        <v>55</v>
      </c>
      <c r="T80" s="12" t="s">
        <v>104</v>
      </c>
      <c r="U80" s="17">
        <f t="shared" si="1"/>
        <v>1</v>
      </c>
    </row>
    <row r="81">
      <c r="A81" s="12" t="s">
        <v>332</v>
      </c>
      <c r="B81" s="12" t="s">
        <v>333</v>
      </c>
      <c r="C81" s="17">
        <v>54.0</v>
      </c>
      <c r="D81" s="12" t="s">
        <v>69</v>
      </c>
      <c r="E81" s="12" t="s">
        <v>187</v>
      </c>
      <c r="F81" s="12" t="s">
        <v>37</v>
      </c>
      <c r="G81" s="12" t="s">
        <v>39</v>
      </c>
      <c r="H81" s="15">
        <v>44783.0</v>
      </c>
      <c r="I81" s="17">
        <v>23.0</v>
      </c>
      <c r="J81" s="12" t="s">
        <v>64</v>
      </c>
      <c r="K81" s="12" t="s">
        <v>81</v>
      </c>
      <c r="L81" s="17">
        <v>1116.0</v>
      </c>
      <c r="M81" s="17">
        <v>0.0</v>
      </c>
      <c r="N81" s="17">
        <v>2.0</v>
      </c>
      <c r="O81" s="17">
        <v>32.1</v>
      </c>
      <c r="P81" s="17">
        <v>4.8</v>
      </c>
      <c r="Q81" s="15">
        <v>45078.0</v>
      </c>
      <c r="R81" s="12" t="s">
        <v>334</v>
      </c>
      <c r="S81" s="12" t="s">
        <v>45</v>
      </c>
      <c r="T81" s="12" t="s">
        <v>66</v>
      </c>
      <c r="U81" s="17">
        <f t="shared" si="1"/>
        <v>4</v>
      </c>
    </row>
    <row r="82">
      <c r="A82" s="12" t="s">
        <v>335</v>
      </c>
      <c r="B82" s="12" t="s">
        <v>336</v>
      </c>
      <c r="C82" s="17">
        <v>66.0</v>
      </c>
      <c r="D82" s="12" t="s">
        <v>60</v>
      </c>
      <c r="E82" s="12" t="s">
        <v>61</v>
      </c>
      <c r="F82" s="12" t="s">
        <v>62</v>
      </c>
      <c r="G82" s="12" t="s">
        <v>52</v>
      </c>
      <c r="H82" s="15">
        <v>45194.0</v>
      </c>
      <c r="I82" s="17">
        <v>22.0</v>
      </c>
      <c r="J82" s="12" t="s">
        <v>64</v>
      </c>
      <c r="K82" s="12" t="s">
        <v>337</v>
      </c>
      <c r="L82" s="12" t="s">
        <v>338</v>
      </c>
      <c r="M82" s="17">
        <v>2.0</v>
      </c>
      <c r="N82" s="17">
        <v>1.0</v>
      </c>
      <c r="O82" s="17">
        <v>24.8</v>
      </c>
      <c r="P82" s="17">
        <v>3.1</v>
      </c>
      <c r="Q82" s="15">
        <v>45614.0</v>
      </c>
      <c r="R82" s="12"/>
      <c r="S82" s="12" t="s">
        <v>55</v>
      </c>
      <c r="T82" s="12" t="s">
        <v>104</v>
      </c>
      <c r="U82" s="17">
        <f t="shared" si="1"/>
        <v>1</v>
      </c>
    </row>
    <row r="83">
      <c r="A83" s="12" t="s">
        <v>339</v>
      </c>
      <c r="B83" s="12" t="s">
        <v>340</v>
      </c>
      <c r="C83" s="17">
        <v>22.0</v>
      </c>
      <c r="D83" s="12" t="s">
        <v>69</v>
      </c>
      <c r="E83" s="12" t="s">
        <v>119</v>
      </c>
      <c r="F83" s="12" t="s">
        <v>62</v>
      </c>
      <c r="G83" s="12" t="s">
        <v>210</v>
      </c>
      <c r="H83" s="15">
        <v>44884.0</v>
      </c>
      <c r="I83" s="17">
        <v>24.0</v>
      </c>
      <c r="J83" s="12" t="s">
        <v>40</v>
      </c>
      <c r="K83" s="12" t="s">
        <v>42</v>
      </c>
      <c r="L83" s="17">
        <v>665.0</v>
      </c>
      <c r="M83" s="17">
        <v>2.0</v>
      </c>
      <c r="N83" s="17">
        <v>0.0</v>
      </c>
      <c r="O83" s="17">
        <v>5.9</v>
      </c>
      <c r="P83" s="17">
        <v>4.9</v>
      </c>
      <c r="Q83" s="15">
        <v>45475.0</v>
      </c>
      <c r="R83" s="12"/>
      <c r="S83" s="12" t="s">
        <v>55</v>
      </c>
      <c r="T83" s="12" t="s">
        <v>66</v>
      </c>
      <c r="U83" s="17">
        <f t="shared" si="1"/>
        <v>1</v>
      </c>
    </row>
    <row r="84">
      <c r="A84" s="12" t="s">
        <v>341</v>
      </c>
      <c r="B84" s="12" t="s">
        <v>342</v>
      </c>
      <c r="C84" s="17">
        <v>46.0</v>
      </c>
      <c r="D84" s="12" t="s">
        <v>35</v>
      </c>
      <c r="E84" s="12" t="s">
        <v>161</v>
      </c>
      <c r="F84" s="12" t="s">
        <v>62</v>
      </c>
      <c r="G84" s="12" t="s">
        <v>120</v>
      </c>
      <c r="H84" s="15">
        <v>45556.0</v>
      </c>
      <c r="I84" s="17">
        <v>120.0</v>
      </c>
      <c r="J84" s="12" t="s">
        <v>40</v>
      </c>
      <c r="K84" s="12" t="s">
        <v>65</v>
      </c>
      <c r="L84" s="17">
        <v>638.0</v>
      </c>
      <c r="M84" s="17">
        <v>2.0</v>
      </c>
      <c r="N84" s="17">
        <v>1.0</v>
      </c>
      <c r="O84" s="17">
        <v>22.6</v>
      </c>
      <c r="P84" s="17">
        <v>4.0</v>
      </c>
      <c r="Q84" s="15">
        <v>46615.0</v>
      </c>
      <c r="R84" s="12"/>
      <c r="S84" s="12" t="s">
        <v>55</v>
      </c>
      <c r="T84" s="12" t="s">
        <v>66</v>
      </c>
      <c r="U84" s="17">
        <f t="shared" si="1"/>
        <v>2</v>
      </c>
    </row>
    <row r="85">
      <c r="A85" s="12" t="s">
        <v>343</v>
      </c>
      <c r="B85" s="12" t="s">
        <v>184</v>
      </c>
      <c r="C85" s="17">
        <v>26.0</v>
      </c>
      <c r="D85" s="12" t="s">
        <v>60</v>
      </c>
      <c r="E85" s="12" t="s">
        <v>61</v>
      </c>
      <c r="F85" s="12" t="s">
        <v>62</v>
      </c>
      <c r="G85" s="12" t="s">
        <v>80</v>
      </c>
      <c r="H85" s="15">
        <v>44674.0</v>
      </c>
      <c r="I85" s="17">
        <v>1.0</v>
      </c>
      <c r="J85" s="12" t="s">
        <v>40</v>
      </c>
      <c r="K85" s="12" t="s">
        <v>65</v>
      </c>
      <c r="L85" s="17">
        <v>607.0</v>
      </c>
      <c r="M85" s="17">
        <v>1.0</v>
      </c>
      <c r="N85" s="17">
        <v>0.0</v>
      </c>
      <c r="O85" s="17">
        <v>11.5</v>
      </c>
      <c r="P85" s="17">
        <v>2.9</v>
      </c>
      <c r="Q85" s="15">
        <v>44700.0</v>
      </c>
      <c r="R85" s="12"/>
      <c r="S85" s="12" t="s">
        <v>55</v>
      </c>
      <c r="T85" s="12" t="s">
        <v>75</v>
      </c>
      <c r="U85" s="17">
        <f t="shared" si="1"/>
        <v>2</v>
      </c>
    </row>
    <row r="86">
      <c r="A86" s="12" t="s">
        <v>344</v>
      </c>
      <c r="B86" s="12" t="s">
        <v>345</v>
      </c>
      <c r="C86" s="17">
        <v>23.0</v>
      </c>
      <c r="D86" s="12" t="s">
        <v>69</v>
      </c>
      <c r="E86" s="12" t="s">
        <v>119</v>
      </c>
      <c r="F86" s="12" t="s">
        <v>37</v>
      </c>
      <c r="G86" s="12" t="s">
        <v>39</v>
      </c>
      <c r="H86" s="15">
        <v>45586.0</v>
      </c>
      <c r="I86" s="17">
        <v>36.0</v>
      </c>
      <c r="J86" s="12" t="s">
        <v>53</v>
      </c>
      <c r="K86" s="12" t="s">
        <v>81</v>
      </c>
      <c r="L86" s="17">
        <v>1072.0</v>
      </c>
      <c r="M86" s="17">
        <v>0.0</v>
      </c>
      <c r="N86" s="17">
        <v>2.0</v>
      </c>
      <c r="O86" s="17">
        <v>22.8</v>
      </c>
      <c r="P86" s="17">
        <v>2.7</v>
      </c>
      <c r="Q86" s="15">
        <v>45682.0</v>
      </c>
      <c r="R86" s="12" t="s">
        <v>346</v>
      </c>
      <c r="S86" s="12" t="s">
        <v>45</v>
      </c>
      <c r="T86" s="12" t="s">
        <v>75</v>
      </c>
      <c r="U86" s="17">
        <f t="shared" si="1"/>
        <v>3</v>
      </c>
    </row>
    <row r="87">
      <c r="A87" s="12" t="s">
        <v>347</v>
      </c>
      <c r="B87" s="12" t="s">
        <v>59</v>
      </c>
      <c r="C87" s="17">
        <v>25.0</v>
      </c>
      <c r="D87" s="12" t="s">
        <v>85</v>
      </c>
      <c r="E87" s="12" t="s">
        <v>87</v>
      </c>
      <c r="F87" s="12" t="s">
        <v>62</v>
      </c>
      <c r="G87" s="12" t="s">
        <v>120</v>
      </c>
      <c r="H87" s="15">
        <v>44604.0</v>
      </c>
      <c r="I87" s="17">
        <v>21.0</v>
      </c>
      <c r="J87" s="12" t="s">
        <v>40</v>
      </c>
      <c r="K87" s="12" t="s">
        <v>65</v>
      </c>
      <c r="L87" s="17">
        <v>815.0</v>
      </c>
      <c r="M87" s="17">
        <v>0.0</v>
      </c>
      <c r="N87" s="17">
        <v>1.0</v>
      </c>
      <c r="O87" s="17">
        <v>17.9</v>
      </c>
      <c r="P87" s="17">
        <v>5.0</v>
      </c>
      <c r="Q87" s="15">
        <v>44984.0</v>
      </c>
      <c r="R87" s="12"/>
      <c r="S87" s="12" t="s">
        <v>55</v>
      </c>
      <c r="T87" s="12" t="s">
        <v>66</v>
      </c>
      <c r="U87" s="17">
        <f t="shared" si="1"/>
        <v>5</v>
      </c>
    </row>
    <row r="88">
      <c r="A88" s="12" t="s">
        <v>348</v>
      </c>
      <c r="B88" s="12" t="s">
        <v>349</v>
      </c>
      <c r="C88" s="17">
        <v>68.0</v>
      </c>
      <c r="D88" s="12" t="s">
        <v>35</v>
      </c>
      <c r="E88" s="12" t="s">
        <v>140</v>
      </c>
      <c r="F88" s="12" t="s">
        <v>79</v>
      </c>
      <c r="G88" s="12" t="s">
        <v>52</v>
      </c>
      <c r="H88" s="15">
        <v>45257.0</v>
      </c>
      <c r="I88" s="17">
        <v>15.0</v>
      </c>
      <c r="J88" s="12" t="s">
        <v>53</v>
      </c>
      <c r="K88" s="12" t="s">
        <v>65</v>
      </c>
      <c r="L88" s="17">
        <v>3044.0</v>
      </c>
      <c r="M88" s="17">
        <v>0.0</v>
      </c>
      <c r="N88" s="17">
        <v>0.0</v>
      </c>
      <c r="O88" s="17">
        <v>34.5</v>
      </c>
      <c r="P88" s="17">
        <v>5.0</v>
      </c>
      <c r="Q88" s="15">
        <v>45591.0</v>
      </c>
      <c r="R88" s="12"/>
      <c r="S88" s="12" t="s">
        <v>55</v>
      </c>
      <c r="T88" s="12" t="s">
        <v>47</v>
      </c>
      <c r="U88" s="17">
        <f t="shared" si="1"/>
        <v>1</v>
      </c>
    </row>
    <row r="89">
      <c r="A89" s="12" t="s">
        <v>350</v>
      </c>
      <c r="B89" s="12" t="s">
        <v>351</v>
      </c>
      <c r="C89" s="17">
        <v>62.0</v>
      </c>
      <c r="D89" s="12" t="s">
        <v>35</v>
      </c>
      <c r="E89" s="12" t="s">
        <v>51</v>
      </c>
      <c r="F89" s="12" t="s">
        <v>62</v>
      </c>
      <c r="G89" s="12" t="s">
        <v>39</v>
      </c>
      <c r="H89" s="15">
        <v>45795.0</v>
      </c>
      <c r="I89" s="17">
        <v>10.0</v>
      </c>
      <c r="J89" s="12" t="s">
        <v>64</v>
      </c>
      <c r="K89" s="12" t="s">
        <v>81</v>
      </c>
      <c r="L89" s="17">
        <v>834.0</v>
      </c>
      <c r="M89" s="17">
        <v>3.0</v>
      </c>
      <c r="N89" s="17">
        <v>0.0</v>
      </c>
      <c r="O89" s="17">
        <v>29.2</v>
      </c>
      <c r="P89" s="17">
        <v>2.5</v>
      </c>
      <c r="Q89" s="15">
        <v>46057.0</v>
      </c>
      <c r="R89" s="12" t="s">
        <v>352</v>
      </c>
      <c r="S89" s="12" t="s">
        <v>45</v>
      </c>
      <c r="T89" s="12" t="s">
        <v>66</v>
      </c>
      <c r="U89" s="17">
        <f t="shared" si="1"/>
        <v>4</v>
      </c>
    </row>
    <row r="90">
      <c r="A90" s="12" t="s">
        <v>353</v>
      </c>
      <c r="B90" s="12" t="s">
        <v>247</v>
      </c>
      <c r="C90" s="17">
        <v>38.0</v>
      </c>
      <c r="D90" s="12" t="s">
        <v>60</v>
      </c>
      <c r="E90" s="12" t="s">
        <v>97</v>
      </c>
      <c r="F90" s="12" t="s">
        <v>62</v>
      </c>
      <c r="G90" s="12" t="s">
        <v>120</v>
      </c>
      <c r="H90" s="15">
        <v>45467.0</v>
      </c>
      <c r="I90" s="17">
        <v>41.0</v>
      </c>
      <c r="J90" s="12" t="s">
        <v>53</v>
      </c>
      <c r="K90" s="12" t="s">
        <v>65</v>
      </c>
      <c r="L90" s="17">
        <v>639.0</v>
      </c>
      <c r="M90" s="17">
        <v>1.0</v>
      </c>
      <c r="N90" s="17">
        <v>0.0</v>
      </c>
      <c r="O90" s="17">
        <v>12.8</v>
      </c>
      <c r="P90" s="17">
        <v>3.3</v>
      </c>
      <c r="Q90" s="15">
        <v>46197.0</v>
      </c>
      <c r="R90" s="12"/>
      <c r="S90" s="12" t="s">
        <v>55</v>
      </c>
      <c r="T90" s="12" t="s">
        <v>104</v>
      </c>
      <c r="U90" s="17">
        <f t="shared" si="1"/>
        <v>3</v>
      </c>
    </row>
    <row r="91">
      <c r="A91" s="12" t="s">
        <v>354</v>
      </c>
      <c r="B91" s="12" t="s">
        <v>345</v>
      </c>
      <c r="C91" s="17">
        <v>55.0</v>
      </c>
      <c r="D91" s="12" t="s">
        <v>60</v>
      </c>
      <c r="E91" s="12" t="s">
        <v>107</v>
      </c>
      <c r="F91" s="12" t="s">
        <v>62</v>
      </c>
      <c r="G91" s="12" t="s">
        <v>93</v>
      </c>
      <c r="H91" s="15">
        <v>44746.0</v>
      </c>
      <c r="I91" s="17">
        <v>40.0</v>
      </c>
      <c r="J91" s="12" t="s">
        <v>64</v>
      </c>
      <c r="K91" s="12" t="s">
        <v>42</v>
      </c>
      <c r="L91" s="12"/>
      <c r="M91" s="17">
        <v>1.0</v>
      </c>
      <c r="N91" s="17">
        <v>2.0</v>
      </c>
      <c r="O91" s="17">
        <v>1.0</v>
      </c>
      <c r="P91" s="17">
        <v>4.3</v>
      </c>
      <c r="Q91" s="15">
        <v>45891.0</v>
      </c>
      <c r="R91" s="12"/>
      <c r="S91" s="12" t="s">
        <v>55</v>
      </c>
      <c r="T91" s="12" t="s">
        <v>72</v>
      </c>
      <c r="U91" s="17">
        <f t="shared" si="1"/>
        <v>1</v>
      </c>
    </row>
    <row r="92">
      <c r="A92" s="12" t="s">
        <v>355</v>
      </c>
      <c r="B92" s="12" t="s">
        <v>316</v>
      </c>
      <c r="C92" s="17">
        <v>47.0</v>
      </c>
      <c r="D92" s="12" t="s">
        <v>85</v>
      </c>
      <c r="E92" s="12" t="s">
        <v>111</v>
      </c>
      <c r="F92" s="12" t="s">
        <v>79</v>
      </c>
      <c r="G92" s="12" t="s">
        <v>120</v>
      </c>
      <c r="H92" s="15">
        <v>44773.0</v>
      </c>
      <c r="I92" s="17">
        <v>22.0</v>
      </c>
      <c r="J92" s="12" t="s">
        <v>64</v>
      </c>
      <c r="K92" s="12" t="s">
        <v>81</v>
      </c>
      <c r="L92" s="12" t="s">
        <v>356</v>
      </c>
      <c r="M92" s="17">
        <v>1.0</v>
      </c>
      <c r="N92" s="17">
        <v>2.0</v>
      </c>
      <c r="O92" s="17">
        <v>33.4</v>
      </c>
      <c r="P92" s="17">
        <v>4.4</v>
      </c>
      <c r="Q92" s="15">
        <v>44959.0</v>
      </c>
      <c r="R92" s="12" t="s">
        <v>357</v>
      </c>
      <c r="S92" s="12" t="s">
        <v>45</v>
      </c>
      <c r="T92" s="12" t="s">
        <v>66</v>
      </c>
      <c r="U92" s="17">
        <f t="shared" si="1"/>
        <v>1</v>
      </c>
    </row>
    <row r="93">
      <c r="A93" s="12" t="s">
        <v>358</v>
      </c>
      <c r="B93" s="12" t="s">
        <v>342</v>
      </c>
      <c r="C93" s="17">
        <v>25.0</v>
      </c>
      <c r="D93" s="12" t="s">
        <v>60</v>
      </c>
      <c r="E93" s="12" t="s">
        <v>107</v>
      </c>
      <c r="F93" s="12" t="s">
        <v>192</v>
      </c>
      <c r="G93" s="12" t="s">
        <v>120</v>
      </c>
      <c r="H93" s="15">
        <v>45399.0</v>
      </c>
      <c r="I93" s="17">
        <v>22.0</v>
      </c>
      <c r="J93" s="12" t="s">
        <v>64</v>
      </c>
      <c r="K93" s="12" t="s">
        <v>81</v>
      </c>
      <c r="L93" s="17">
        <v>3324.0</v>
      </c>
      <c r="M93" s="17">
        <v>1.0</v>
      </c>
      <c r="N93" s="17">
        <v>1.0</v>
      </c>
      <c r="O93" s="17">
        <v>45.5</v>
      </c>
      <c r="P93" s="17">
        <v>3.0</v>
      </c>
      <c r="Q93" s="15">
        <v>45751.0</v>
      </c>
      <c r="R93" s="12"/>
      <c r="S93" s="12" t="s">
        <v>55</v>
      </c>
      <c r="T93" s="12" t="s">
        <v>75</v>
      </c>
      <c r="U93" s="17">
        <f t="shared" si="1"/>
        <v>2</v>
      </c>
    </row>
    <row r="94">
      <c r="A94" s="12" t="s">
        <v>359</v>
      </c>
      <c r="B94" s="12" t="s">
        <v>340</v>
      </c>
      <c r="C94" s="17">
        <v>38.0</v>
      </c>
      <c r="D94" s="12" t="s">
        <v>60</v>
      </c>
      <c r="E94" s="12" t="s">
        <v>97</v>
      </c>
      <c r="F94" s="12" t="s">
        <v>62</v>
      </c>
      <c r="G94" s="12" t="s">
        <v>80</v>
      </c>
      <c r="H94" s="15">
        <v>45921.0</v>
      </c>
      <c r="I94" s="17">
        <v>10.0</v>
      </c>
      <c r="J94" s="12" t="s">
        <v>64</v>
      </c>
      <c r="K94" s="12" t="s">
        <v>65</v>
      </c>
      <c r="L94" s="17">
        <v>657.0</v>
      </c>
      <c r="M94" s="17">
        <v>2.0</v>
      </c>
      <c r="N94" s="17">
        <v>0.0</v>
      </c>
      <c r="O94" s="17">
        <v>14.3</v>
      </c>
      <c r="P94" s="17">
        <v>3.4</v>
      </c>
      <c r="Q94" s="15">
        <v>46131.0</v>
      </c>
      <c r="R94" s="12" t="s">
        <v>360</v>
      </c>
      <c r="S94" s="12" t="s">
        <v>45</v>
      </c>
      <c r="T94" s="12" t="s">
        <v>72</v>
      </c>
      <c r="U94" s="17">
        <f t="shared" si="1"/>
        <v>3</v>
      </c>
    </row>
    <row r="95">
      <c r="A95" s="12" t="s">
        <v>361</v>
      </c>
      <c r="B95" s="12" t="s">
        <v>362</v>
      </c>
      <c r="C95" s="17">
        <v>27.0</v>
      </c>
      <c r="D95" s="12" t="s">
        <v>35</v>
      </c>
      <c r="E95" s="12" t="s">
        <v>140</v>
      </c>
      <c r="F95" s="12" t="s">
        <v>37</v>
      </c>
      <c r="G95" s="12" t="s">
        <v>63</v>
      </c>
      <c r="H95" s="15">
        <v>45304.0</v>
      </c>
      <c r="I95" s="17">
        <v>20.0</v>
      </c>
      <c r="J95" s="12" t="s">
        <v>40</v>
      </c>
      <c r="K95" s="12" t="s">
        <v>42</v>
      </c>
      <c r="L95" s="17">
        <v>1348.0</v>
      </c>
      <c r="M95" s="17">
        <v>0.0</v>
      </c>
      <c r="N95" s="17">
        <v>0.0</v>
      </c>
      <c r="O95" s="17">
        <v>50.3</v>
      </c>
      <c r="P95" s="17">
        <v>2.3</v>
      </c>
      <c r="Q95" s="15">
        <v>45811.0</v>
      </c>
      <c r="R95" s="12"/>
      <c r="S95" s="12" t="s">
        <v>55</v>
      </c>
      <c r="T95" s="12" t="s">
        <v>72</v>
      </c>
      <c r="U95" s="17">
        <f t="shared" si="1"/>
        <v>2</v>
      </c>
    </row>
    <row r="96">
      <c r="A96" s="12" t="s">
        <v>363</v>
      </c>
      <c r="B96" s="12" t="s">
        <v>364</v>
      </c>
      <c r="C96" s="17">
        <v>45.0</v>
      </c>
      <c r="D96" s="12" t="s">
        <v>35</v>
      </c>
      <c r="E96" s="12" t="s">
        <v>161</v>
      </c>
      <c r="F96" s="12" t="s">
        <v>79</v>
      </c>
      <c r="G96" s="12" t="s">
        <v>80</v>
      </c>
      <c r="H96" s="15">
        <v>44830.0</v>
      </c>
      <c r="I96" s="17">
        <v>39.0</v>
      </c>
      <c r="J96" s="12" t="s">
        <v>53</v>
      </c>
      <c r="K96" s="12" t="s">
        <v>81</v>
      </c>
      <c r="L96" s="17">
        <v>3701.0</v>
      </c>
      <c r="M96" s="17">
        <v>4.0</v>
      </c>
      <c r="N96" s="17">
        <v>0.0</v>
      </c>
      <c r="O96" s="17">
        <v>33.2</v>
      </c>
      <c r="P96" s="17">
        <v>4.4</v>
      </c>
      <c r="Q96" s="15">
        <v>45179.0</v>
      </c>
      <c r="R96" s="12"/>
      <c r="S96" s="12" t="s">
        <v>230</v>
      </c>
      <c r="T96" s="12" t="s">
        <v>47</v>
      </c>
      <c r="U96" s="17">
        <f t="shared" si="1"/>
        <v>2</v>
      </c>
    </row>
    <row r="97">
      <c r="A97" s="12" t="s">
        <v>365</v>
      </c>
      <c r="B97" s="12" t="s">
        <v>241</v>
      </c>
      <c r="C97" s="17">
        <v>68.0</v>
      </c>
      <c r="D97" s="12" t="s">
        <v>60</v>
      </c>
      <c r="E97" s="12" t="s">
        <v>133</v>
      </c>
      <c r="F97" s="12" t="s">
        <v>62</v>
      </c>
      <c r="G97" s="12" t="s">
        <v>39</v>
      </c>
      <c r="H97" s="15">
        <v>45195.0</v>
      </c>
      <c r="I97" s="17">
        <v>31.0</v>
      </c>
      <c r="J97" s="12" t="s">
        <v>53</v>
      </c>
      <c r="K97" s="12" t="s">
        <v>81</v>
      </c>
      <c r="L97" s="17">
        <v>598.0</v>
      </c>
      <c r="M97" s="17">
        <v>1.0</v>
      </c>
      <c r="N97" s="17">
        <v>2.0</v>
      </c>
      <c r="O97" s="17">
        <v>19.4</v>
      </c>
      <c r="P97" s="17">
        <v>3.8</v>
      </c>
      <c r="Q97" s="15">
        <v>45789.0</v>
      </c>
      <c r="R97" s="12" t="s">
        <v>366</v>
      </c>
      <c r="S97" s="12" t="s">
        <v>45</v>
      </c>
      <c r="T97" s="12" t="s">
        <v>66</v>
      </c>
      <c r="U97" s="17">
        <f t="shared" si="1"/>
        <v>2</v>
      </c>
    </row>
    <row r="98">
      <c r="A98" s="12" t="s">
        <v>367</v>
      </c>
      <c r="B98" s="12" t="s">
        <v>247</v>
      </c>
      <c r="C98" s="17">
        <v>37.0</v>
      </c>
      <c r="D98" s="12" t="s">
        <v>69</v>
      </c>
      <c r="E98" s="12" t="s">
        <v>187</v>
      </c>
      <c r="F98" s="12" t="s">
        <v>37</v>
      </c>
      <c r="G98" s="12" t="s">
        <v>39</v>
      </c>
      <c r="H98" s="15">
        <v>45074.0</v>
      </c>
      <c r="I98" s="17">
        <v>4.0</v>
      </c>
      <c r="J98" s="12" t="s">
        <v>40</v>
      </c>
      <c r="K98" s="12" t="s">
        <v>42</v>
      </c>
      <c r="L98" s="17">
        <v>1566.0</v>
      </c>
      <c r="M98" s="17">
        <v>1.0</v>
      </c>
      <c r="N98" s="17">
        <v>0.0</v>
      </c>
      <c r="O98" s="17">
        <v>30.7</v>
      </c>
      <c r="P98" s="17">
        <v>3.3</v>
      </c>
      <c r="Q98" s="15">
        <v>45110.0</v>
      </c>
      <c r="R98" s="12"/>
      <c r="S98" s="12" t="s">
        <v>55</v>
      </c>
      <c r="T98" s="12" t="s">
        <v>72</v>
      </c>
      <c r="U98" s="17">
        <f t="shared" si="1"/>
        <v>3</v>
      </c>
    </row>
    <row r="99">
      <c r="A99" s="12" t="s">
        <v>369</v>
      </c>
      <c r="B99" s="12" t="s">
        <v>333</v>
      </c>
      <c r="C99" s="17">
        <v>24.0</v>
      </c>
      <c r="D99" s="12" t="s">
        <v>69</v>
      </c>
      <c r="E99" s="12" t="s">
        <v>119</v>
      </c>
      <c r="F99" s="12" t="s">
        <v>62</v>
      </c>
      <c r="G99" s="12" t="s">
        <v>39</v>
      </c>
      <c r="H99" s="15">
        <v>45485.0</v>
      </c>
      <c r="I99" s="17">
        <v>23.0</v>
      </c>
      <c r="J99" s="12" t="s">
        <v>53</v>
      </c>
      <c r="K99" s="12" t="s">
        <v>42</v>
      </c>
      <c r="L99" s="17">
        <v>711.0</v>
      </c>
      <c r="M99" s="17">
        <v>3.0</v>
      </c>
      <c r="N99" s="17">
        <v>1.0</v>
      </c>
      <c r="O99" s="17">
        <v>22.3</v>
      </c>
      <c r="P99" s="17">
        <v>4.6</v>
      </c>
      <c r="Q99" s="15">
        <v>46009.0</v>
      </c>
      <c r="R99" s="12" t="s">
        <v>370</v>
      </c>
      <c r="S99" s="12" t="s">
        <v>45</v>
      </c>
      <c r="T99" s="12" t="s">
        <v>104</v>
      </c>
      <c r="U99" s="17">
        <f t="shared" si="1"/>
        <v>3</v>
      </c>
    </row>
    <row r="100">
      <c r="A100" s="12" t="s">
        <v>371</v>
      </c>
      <c r="B100" s="12" t="s">
        <v>364</v>
      </c>
      <c r="C100" s="17">
        <v>24.0</v>
      </c>
      <c r="D100" s="12" t="s">
        <v>35</v>
      </c>
      <c r="E100" s="12" t="s">
        <v>161</v>
      </c>
      <c r="F100" s="12" t="s">
        <v>372</v>
      </c>
      <c r="G100" s="12" t="s">
        <v>39</v>
      </c>
      <c r="H100" s="15">
        <v>44640.0</v>
      </c>
      <c r="I100" s="17">
        <v>19.0</v>
      </c>
      <c r="J100" s="12" t="s">
        <v>40</v>
      </c>
      <c r="K100" s="12" t="s">
        <v>65</v>
      </c>
      <c r="L100" s="17">
        <v>1711.0</v>
      </c>
      <c r="M100" s="17">
        <v>2.0</v>
      </c>
      <c r="N100" s="17">
        <v>0.0</v>
      </c>
      <c r="O100" s="17">
        <v>22.6</v>
      </c>
      <c r="P100" s="17">
        <v>1.7</v>
      </c>
      <c r="Q100" s="15">
        <v>44792.0</v>
      </c>
      <c r="R100" s="12" t="s">
        <v>373</v>
      </c>
      <c r="S100" s="12" t="s">
        <v>45</v>
      </c>
      <c r="T100" s="12" t="s">
        <v>47</v>
      </c>
      <c r="U100" s="17">
        <f t="shared" si="1"/>
        <v>2</v>
      </c>
    </row>
    <row r="101">
      <c r="A101" s="12" t="s">
        <v>374</v>
      </c>
      <c r="B101" s="12" t="s">
        <v>235</v>
      </c>
      <c r="C101" s="17">
        <v>26.0</v>
      </c>
      <c r="D101" s="12" t="s">
        <v>85</v>
      </c>
      <c r="E101" s="12" t="s">
        <v>292</v>
      </c>
      <c r="F101" s="12" t="s">
        <v>37</v>
      </c>
      <c r="G101" s="12" t="s">
        <v>39</v>
      </c>
      <c r="H101" s="15">
        <v>45178.0</v>
      </c>
      <c r="I101" s="17">
        <v>8.0</v>
      </c>
      <c r="J101" s="12" t="s">
        <v>53</v>
      </c>
      <c r="K101" s="12" t="s">
        <v>81</v>
      </c>
      <c r="L101" s="17">
        <v>1653.0</v>
      </c>
      <c r="M101" s="12"/>
      <c r="N101" s="17">
        <v>2.0</v>
      </c>
      <c r="O101" s="17">
        <v>26.1</v>
      </c>
      <c r="P101" s="17">
        <v>4.4</v>
      </c>
      <c r="Q101" s="15">
        <v>45347.0</v>
      </c>
      <c r="R101" s="12"/>
      <c r="S101" s="12" t="s">
        <v>55</v>
      </c>
      <c r="T101" s="12" t="s">
        <v>66</v>
      </c>
      <c r="U101" s="17">
        <f t="shared" si="1"/>
        <v>3</v>
      </c>
    </row>
    <row r="102">
      <c r="A102" s="12" t="s">
        <v>375</v>
      </c>
      <c r="B102" s="12" t="s">
        <v>342</v>
      </c>
      <c r="C102" s="17">
        <v>23.0</v>
      </c>
      <c r="D102" s="12" t="s">
        <v>69</v>
      </c>
      <c r="E102" s="12" t="s">
        <v>187</v>
      </c>
      <c r="F102" s="12" t="s">
        <v>62</v>
      </c>
      <c r="G102" s="12" t="s">
        <v>63</v>
      </c>
      <c r="H102" s="15">
        <v>45821.0</v>
      </c>
      <c r="I102" s="17">
        <v>23.0</v>
      </c>
      <c r="J102" s="12" t="s">
        <v>64</v>
      </c>
      <c r="K102" s="12" t="s">
        <v>81</v>
      </c>
      <c r="L102" s="17">
        <v>712.0</v>
      </c>
      <c r="M102" s="17">
        <v>4.0</v>
      </c>
      <c r="N102" s="17">
        <v>0.0</v>
      </c>
      <c r="O102" s="17">
        <v>20.7</v>
      </c>
      <c r="P102" s="17">
        <v>3.3</v>
      </c>
      <c r="Q102" s="15">
        <v>46515.0</v>
      </c>
      <c r="R102" s="12"/>
      <c r="S102" s="12" t="s">
        <v>55</v>
      </c>
      <c r="T102" s="12" t="s">
        <v>66</v>
      </c>
      <c r="U102" s="17">
        <f t="shared" si="1"/>
        <v>2</v>
      </c>
    </row>
    <row r="103">
      <c r="A103" s="12" t="s">
        <v>279</v>
      </c>
      <c r="B103" s="12" t="s">
        <v>312</v>
      </c>
      <c r="C103" s="17">
        <v>65.0</v>
      </c>
      <c r="D103" s="12" t="s">
        <v>35</v>
      </c>
      <c r="E103" s="12" t="s">
        <v>140</v>
      </c>
      <c r="F103" s="12" t="s">
        <v>79</v>
      </c>
      <c r="G103" s="12" t="s">
        <v>63</v>
      </c>
      <c r="H103" s="15">
        <v>45863.0</v>
      </c>
      <c r="I103" s="17">
        <v>25.0</v>
      </c>
      <c r="J103" s="12" t="s">
        <v>64</v>
      </c>
      <c r="K103" s="12" t="s">
        <v>81</v>
      </c>
      <c r="L103" s="17">
        <v>2032.0</v>
      </c>
      <c r="M103" s="17">
        <v>0.0</v>
      </c>
      <c r="N103" s="17">
        <v>3.0</v>
      </c>
      <c r="O103" s="17">
        <v>44.6</v>
      </c>
      <c r="P103" s="17">
        <v>2.9</v>
      </c>
      <c r="Q103" s="15">
        <v>46238.0</v>
      </c>
      <c r="R103" s="12" t="s">
        <v>377</v>
      </c>
      <c r="S103" s="12" t="s">
        <v>45</v>
      </c>
      <c r="T103" s="12" t="s">
        <v>104</v>
      </c>
      <c r="U103" s="17">
        <f t="shared" si="1"/>
        <v>2</v>
      </c>
    </row>
    <row r="104">
      <c r="A104" s="12" t="s">
        <v>378</v>
      </c>
      <c r="B104" s="12" t="s">
        <v>106</v>
      </c>
      <c r="C104" s="17">
        <v>23.0</v>
      </c>
      <c r="D104" s="12" t="s">
        <v>60</v>
      </c>
      <c r="E104" s="12" t="s">
        <v>97</v>
      </c>
      <c r="F104" s="12" t="s">
        <v>62</v>
      </c>
      <c r="G104" s="12" t="s">
        <v>80</v>
      </c>
      <c r="H104" s="15">
        <v>45255.0</v>
      </c>
      <c r="I104" s="17">
        <v>42.0</v>
      </c>
      <c r="J104" s="12" t="s">
        <v>64</v>
      </c>
      <c r="K104" s="12" t="s">
        <v>65</v>
      </c>
      <c r="L104" s="17">
        <v>897.0</v>
      </c>
      <c r="M104" s="17">
        <v>1.0</v>
      </c>
      <c r="N104" s="17">
        <v>2.0</v>
      </c>
      <c r="O104" s="17">
        <v>28.3</v>
      </c>
      <c r="P104" s="17">
        <v>3.3</v>
      </c>
      <c r="Q104" s="15">
        <v>46245.0</v>
      </c>
      <c r="R104" s="12"/>
      <c r="S104" s="12" t="s">
        <v>55</v>
      </c>
      <c r="T104" s="12" t="s">
        <v>104</v>
      </c>
      <c r="U104" s="17">
        <f t="shared" si="1"/>
        <v>2</v>
      </c>
    </row>
    <row r="105">
      <c r="A105" s="12" t="s">
        <v>379</v>
      </c>
      <c r="B105" s="12" t="s">
        <v>380</v>
      </c>
      <c r="C105" s="17">
        <v>41.0</v>
      </c>
      <c r="D105" s="12" t="s">
        <v>69</v>
      </c>
      <c r="E105" s="12" t="s">
        <v>70</v>
      </c>
      <c r="F105" s="12" t="s">
        <v>37</v>
      </c>
      <c r="G105" s="12" t="s">
        <v>63</v>
      </c>
      <c r="H105" s="15">
        <v>45208.0</v>
      </c>
      <c r="I105" s="17">
        <v>20.0</v>
      </c>
      <c r="J105" s="12" t="s">
        <v>40</v>
      </c>
      <c r="K105" s="12" t="s">
        <v>81</v>
      </c>
      <c r="L105" s="17">
        <v>1483.0</v>
      </c>
      <c r="M105" s="17">
        <v>1.0</v>
      </c>
      <c r="N105" s="17">
        <v>0.0</v>
      </c>
      <c r="O105" s="17">
        <v>31.3</v>
      </c>
      <c r="P105" s="17">
        <v>5.0</v>
      </c>
      <c r="Q105" s="15">
        <v>45255.0</v>
      </c>
      <c r="R105" s="12"/>
      <c r="S105" s="12" t="s">
        <v>55</v>
      </c>
      <c r="T105" s="12" t="s">
        <v>72</v>
      </c>
      <c r="U105" s="17">
        <f t="shared" si="1"/>
        <v>3</v>
      </c>
    </row>
    <row r="106">
      <c r="A106" s="12" t="s">
        <v>381</v>
      </c>
      <c r="B106" s="12" t="s">
        <v>224</v>
      </c>
      <c r="C106" s="17">
        <v>24.0</v>
      </c>
      <c r="D106" s="12" t="s">
        <v>35</v>
      </c>
      <c r="E106" s="12" t="s">
        <v>161</v>
      </c>
      <c r="F106" s="12" t="s">
        <v>62</v>
      </c>
      <c r="G106" s="12" t="s">
        <v>120</v>
      </c>
      <c r="H106" s="15">
        <v>45462.0</v>
      </c>
      <c r="I106" s="17">
        <v>25.0</v>
      </c>
      <c r="J106" s="12" t="s">
        <v>64</v>
      </c>
      <c r="K106" s="12" t="s">
        <v>65</v>
      </c>
      <c r="L106" s="17">
        <v>594.0</v>
      </c>
      <c r="M106" s="17">
        <v>3.0</v>
      </c>
      <c r="N106" s="17">
        <v>1.0</v>
      </c>
      <c r="O106" s="17">
        <v>19.4</v>
      </c>
      <c r="P106" s="17">
        <v>4.5</v>
      </c>
      <c r="Q106" s="15">
        <v>45981.0</v>
      </c>
      <c r="R106" s="12"/>
      <c r="S106" s="12" t="s">
        <v>55</v>
      </c>
      <c r="T106" s="12" t="s">
        <v>104</v>
      </c>
      <c r="U106" s="17">
        <f t="shared" si="1"/>
        <v>1</v>
      </c>
    </row>
    <row r="107">
      <c r="A107" s="12" t="s">
        <v>382</v>
      </c>
      <c r="B107" s="12" t="s">
        <v>383</v>
      </c>
      <c r="C107" s="12" t="s">
        <v>384</v>
      </c>
      <c r="D107" s="12" t="s">
        <v>69</v>
      </c>
      <c r="E107" s="12" t="s">
        <v>177</v>
      </c>
      <c r="F107" s="12" t="s">
        <v>62</v>
      </c>
      <c r="G107" s="12" t="s">
        <v>63</v>
      </c>
      <c r="H107" s="15">
        <v>45233.0</v>
      </c>
      <c r="I107" s="17">
        <v>43.0</v>
      </c>
      <c r="J107" s="12" t="s">
        <v>53</v>
      </c>
      <c r="K107" s="12" t="s">
        <v>42</v>
      </c>
      <c r="L107" s="17">
        <v>727.0</v>
      </c>
      <c r="M107" s="17">
        <v>6.0</v>
      </c>
      <c r="N107" s="17">
        <v>1.0</v>
      </c>
      <c r="O107" s="17">
        <v>16.4</v>
      </c>
      <c r="P107" s="17">
        <v>3.7</v>
      </c>
      <c r="Q107" s="15">
        <v>46115.0</v>
      </c>
      <c r="R107" s="12"/>
      <c r="S107" s="12" t="s">
        <v>55</v>
      </c>
      <c r="T107" s="12" t="s">
        <v>72</v>
      </c>
      <c r="U107" s="17">
        <f t="shared" si="1"/>
        <v>1</v>
      </c>
    </row>
    <row r="108">
      <c r="A108" s="12" t="s">
        <v>385</v>
      </c>
      <c r="B108" s="12" t="s">
        <v>126</v>
      </c>
      <c r="C108" s="17">
        <v>57.0</v>
      </c>
      <c r="D108" s="12" t="s">
        <v>85</v>
      </c>
      <c r="E108" s="12" t="s">
        <v>92</v>
      </c>
      <c r="F108" s="12" t="s">
        <v>37</v>
      </c>
      <c r="G108" s="12" t="s">
        <v>93</v>
      </c>
      <c r="H108" s="15">
        <v>44679.0</v>
      </c>
      <c r="I108" s="17">
        <v>5.0</v>
      </c>
      <c r="J108" s="12" t="s">
        <v>64</v>
      </c>
      <c r="K108" s="12" t="s">
        <v>65</v>
      </c>
      <c r="L108" s="17">
        <v>1371.0</v>
      </c>
      <c r="M108" s="17">
        <v>3.0</v>
      </c>
      <c r="N108" s="17">
        <v>2.0</v>
      </c>
      <c r="O108" s="17">
        <v>40.7</v>
      </c>
      <c r="P108" s="17">
        <v>3.2</v>
      </c>
      <c r="Q108" s="15">
        <v>44729.0</v>
      </c>
      <c r="R108" s="12"/>
      <c r="S108" s="12" t="s">
        <v>55</v>
      </c>
      <c r="T108" s="12" t="s">
        <v>104</v>
      </c>
      <c r="U108" s="17">
        <f t="shared" si="1"/>
        <v>2</v>
      </c>
    </row>
    <row r="109">
      <c r="A109" s="12" t="s">
        <v>327</v>
      </c>
      <c r="B109" s="12" t="s">
        <v>281</v>
      </c>
      <c r="C109" s="17">
        <v>47.0</v>
      </c>
      <c r="D109" s="12" t="s">
        <v>35</v>
      </c>
      <c r="E109" s="12" t="s">
        <v>51</v>
      </c>
      <c r="F109" s="12" t="s">
        <v>37</v>
      </c>
      <c r="G109" s="12" t="s">
        <v>210</v>
      </c>
      <c r="H109" s="15">
        <v>45303.0</v>
      </c>
      <c r="I109" s="17">
        <v>25.0</v>
      </c>
      <c r="J109" s="12" t="s">
        <v>40</v>
      </c>
      <c r="K109" s="12" t="s">
        <v>81</v>
      </c>
      <c r="L109" s="17">
        <v>1618.0</v>
      </c>
      <c r="M109" s="17">
        <v>1.0</v>
      </c>
      <c r="N109" s="17">
        <v>0.0</v>
      </c>
      <c r="O109" s="17">
        <v>48.3</v>
      </c>
      <c r="P109" s="17">
        <v>4.2</v>
      </c>
      <c r="Q109" s="15">
        <v>46008.0</v>
      </c>
      <c r="R109" s="12" t="s">
        <v>386</v>
      </c>
      <c r="S109" s="12" t="s">
        <v>45</v>
      </c>
      <c r="T109" s="12" t="s">
        <v>47</v>
      </c>
      <c r="U109" s="17">
        <f t="shared" si="1"/>
        <v>3</v>
      </c>
    </row>
    <row r="110">
      <c r="A110" s="12" t="s">
        <v>387</v>
      </c>
      <c r="B110" s="12" t="s">
        <v>247</v>
      </c>
      <c r="C110" s="17">
        <v>35.0</v>
      </c>
      <c r="D110" s="12" t="s">
        <v>60</v>
      </c>
      <c r="E110" s="12" t="s">
        <v>133</v>
      </c>
      <c r="F110" s="12" t="s">
        <v>62</v>
      </c>
      <c r="G110" s="12" t="s">
        <v>210</v>
      </c>
      <c r="H110" s="15">
        <v>45073.0</v>
      </c>
      <c r="I110" s="17">
        <v>8.0</v>
      </c>
      <c r="J110" s="12" t="s">
        <v>53</v>
      </c>
      <c r="K110" s="12" t="s">
        <v>81</v>
      </c>
      <c r="L110" s="17">
        <v>594.0</v>
      </c>
      <c r="M110" s="17">
        <v>3.0</v>
      </c>
      <c r="N110" s="17">
        <v>1.0</v>
      </c>
      <c r="O110" s="17">
        <v>9.9</v>
      </c>
      <c r="P110" s="17">
        <v>2.2</v>
      </c>
      <c r="Q110" s="15">
        <v>45182.0</v>
      </c>
      <c r="R110" s="12"/>
      <c r="S110" s="12" t="s">
        <v>55</v>
      </c>
      <c r="T110" s="12" t="s">
        <v>75</v>
      </c>
      <c r="U110" s="17">
        <f t="shared" si="1"/>
        <v>1</v>
      </c>
    </row>
    <row r="111">
      <c r="A111" s="12" t="s">
        <v>388</v>
      </c>
      <c r="B111" s="12" t="s">
        <v>281</v>
      </c>
      <c r="C111" s="17">
        <v>64.0</v>
      </c>
      <c r="D111" s="12" t="s">
        <v>60</v>
      </c>
      <c r="E111" s="12" t="s">
        <v>133</v>
      </c>
      <c r="F111" s="12" t="s">
        <v>62</v>
      </c>
      <c r="G111" s="12" t="s">
        <v>39</v>
      </c>
      <c r="H111" s="15">
        <v>44713.0</v>
      </c>
      <c r="I111" s="17">
        <v>29.0</v>
      </c>
      <c r="J111" s="12" t="s">
        <v>40</v>
      </c>
      <c r="K111" s="12" t="s">
        <v>81</v>
      </c>
      <c r="L111" s="17">
        <v>864.0</v>
      </c>
      <c r="M111" s="17">
        <v>1.0</v>
      </c>
      <c r="N111" s="17">
        <v>1.0</v>
      </c>
      <c r="O111" s="17">
        <v>15.9</v>
      </c>
      <c r="P111" s="17">
        <v>2.3</v>
      </c>
      <c r="Q111" s="15">
        <v>45552.0</v>
      </c>
      <c r="R111" s="12"/>
      <c r="S111" s="12" t="s">
        <v>55</v>
      </c>
      <c r="T111" s="12" t="s">
        <v>66</v>
      </c>
      <c r="U111" s="17">
        <f t="shared" si="1"/>
        <v>1</v>
      </c>
    </row>
    <row r="112">
      <c r="A112" s="12" t="s">
        <v>389</v>
      </c>
      <c r="B112" s="12" t="s">
        <v>316</v>
      </c>
      <c r="C112" s="17">
        <v>20.0</v>
      </c>
      <c r="D112" s="12" t="s">
        <v>60</v>
      </c>
      <c r="E112" s="12" t="s">
        <v>97</v>
      </c>
      <c r="F112" s="12" t="s">
        <v>37</v>
      </c>
      <c r="G112" s="12" t="s">
        <v>52</v>
      </c>
      <c r="H112" s="15">
        <v>45868.0</v>
      </c>
      <c r="I112" s="17">
        <v>12.0</v>
      </c>
      <c r="J112" s="12" t="s">
        <v>53</v>
      </c>
      <c r="K112" s="12" t="s">
        <v>81</v>
      </c>
      <c r="L112" s="17">
        <v>1228.0</v>
      </c>
      <c r="M112" s="17">
        <v>2.0</v>
      </c>
      <c r="N112" s="17">
        <v>1.0</v>
      </c>
      <c r="O112" s="17">
        <v>26.2</v>
      </c>
      <c r="P112" s="17">
        <v>4.3</v>
      </c>
      <c r="Q112" s="15">
        <v>45980.0</v>
      </c>
      <c r="R112" s="12" t="s">
        <v>390</v>
      </c>
      <c r="S112" s="12" t="s">
        <v>45</v>
      </c>
      <c r="T112" s="12" t="s">
        <v>66</v>
      </c>
      <c r="U112" s="17">
        <f t="shared" si="1"/>
        <v>3</v>
      </c>
    </row>
    <row r="113">
      <c r="A113" s="12" t="s">
        <v>392</v>
      </c>
      <c r="B113" s="12" t="s">
        <v>393</v>
      </c>
      <c r="C113" s="17">
        <v>55.0</v>
      </c>
      <c r="D113" s="12" t="s">
        <v>85</v>
      </c>
      <c r="E113" s="12" t="s">
        <v>111</v>
      </c>
      <c r="F113" s="12" t="s">
        <v>37</v>
      </c>
      <c r="G113" s="12" t="s">
        <v>63</v>
      </c>
      <c r="H113" s="15">
        <v>44696.0</v>
      </c>
      <c r="I113" s="17">
        <v>20.0</v>
      </c>
      <c r="J113" s="12" t="s">
        <v>40</v>
      </c>
      <c r="K113" s="12" t="s">
        <v>42</v>
      </c>
      <c r="L113" s="17">
        <v>1735.0</v>
      </c>
      <c r="M113" s="17">
        <v>3.0</v>
      </c>
      <c r="N113" s="17">
        <v>1.0</v>
      </c>
      <c r="O113" s="17">
        <v>21.6</v>
      </c>
      <c r="P113" s="17">
        <v>3.6</v>
      </c>
      <c r="Q113" s="15">
        <v>45244.0</v>
      </c>
      <c r="R113" s="12"/>
      <c r="S113" s="12" t="s">
        <v>55</v>
      </c>
      <c r="T113" s="12" t="s">
        <v>72</v>
      </c>
      <c r="U113" s="17">
        <f t="shared" si="1"/>
        <v>2</v>
      </c>
    </row>
    <row r="114">
      <c r="A114" s="12" t="s">
        <v>394</v>
      </c>
      <c r="B114" s="12" t="s">
        <v>308</v>
      </c>
      <c r="C114" s="17">
        <v>26.0</v>
      </c>
      <c r="D114" s="12" t="s">
        <v>35</v>
      </c>
      <c r="E114" s="12" t="s">
        <v>140</v>
      </c>
      <c r="F114" s="12" t="s">
        <v>37</v>
      </c>
      <c r="G114" s="12" t="s">
        <v>80</v>
      </c>
      <c r="H114" s="15">
        <v>45267.0</v>
      </c>
      <c r="I114" s="17">
        <v>9.0</v>
      </c>
      <c r="J114" s="12" t="s">
        <v>64</v>
      </c>
      <c r="K114" s="12" t="s">
        <v>42</v>
      </c>
      <c r="L114" s="17">
        <v>1563.0</v>
      </c>
      <c r="M114" s="17">
        <v>1.0</v>
      </c>
      <c r="N114" s="17">
        <v>1.0</v>
      </c>
      <c r="O114" s="17">
        <v>27.1</v>
      </c>
      <c r="P114" s="17">
        <v>3.8</v>
      </c>
      <c r="Q114" s="15">
        <v>45370.0</v>
      </c>
      <c r="R114" s="12" t="s">
        <v>396</v>
      </c>
      <c r="S114" s="12" t="s">
        <v>45</v>
      </c>
      <c r="T114" s="12" t="s">
        <v>72</v>
      </c>
      <c r="U114" s="17">
        <f t="shared" si="1"/>
        <v>1</v>
      </c>
    </row>
    <row r="115">
      <c r="A115" s="12" t="s">
        <v>397</v>
      </c>
      <c r="B115" s="12" t="s">
        <v>398</v>
      </c>
      <c r="C115" s="17">
        <v>51.0</v>
      </c>
      <c r="D115" s="12" t="s">
        <v>69</v>
      </c>
      <c r="E115" s="12" t="s">
        <v>177</v>
      </c>
      <c r="F115" s="12" t="s">
        <v>79</v>
      </c>
      <c r="G115" s="12" t="s">
        <v>39</v>
      </c>
      <c r="H115" s="15">
        <v>45270.0</v>
      </c>
      <c r="I115" s="17">
        <v>34.0</v>
      </c>
      <c r="J115" s="12" t="s">
        <v>64</v>
      </c>
      <c r="K115" s="12" t="s">
        <v>42</v>
      </c>
      <c r="L115" s="17">
        <v>2401.0</v>
      </c>
      <c r="M115" s="17">
        <v>2.0</v>
      </c>
      <c r="N115" s="17">
        <v>0.0</v>
      </c>
      <c r="O115" s="17">
        <v>49.1</v>
      </c>
      <c r="P115" s="12"/>
      <c r="Q115" s="15">
        <v>45842.0</v>
      </c>
      <c r="R115" s="12" t="s">
        <v>399</v>
      </c>
      <c r="S115" s="12" t="s">
        <v>45</v>
      </c>
      <c r="T115" s="12" t="s">
        <v>66</v>
      </c>
      <c r="U115" s="17">
        <f t="shared" si="1"/>
        <v>1</v>
      </c>
    </row>
    <row r="116">
      <c r="A116" s="12" t="s">
        <v>171</v>
      </c>
      <c r="B116" s="12" t="s">
        <v>331</v>
      </c>
      <c r="C116" s="17">
        <v>60.0</v>
      </c>
      <c r="D116" s="12" t="s">
        <v>69</v>
      </c>
      <c r="E116" s="12" t="s">
        <v>187</v>
      </c>
      <c r="F116" s="12" t="s">
        <v>192</v>
      </c>
      <c r="G116" s="12" t="s">
        <v>52</v>
      </c>
      <c r="H116" s="15">
        <v>45801.0</v>
      </c>
      <c r="I116" s="17">
        <v>22.0</v>
      </c>
      <c r="J116" s="12" t="s">
        <v>40</v>
      </c>
      <c r="K116" s="12" t="s">
        <v>81</v>
      </c>
      <c r="L116" s="17">
        <v>1041.0</v>
      </c>
      <c r="M116" s="17">
        <v>2.0</v>
      </c>
      <c r="N116" s="17">
        <v>1.0</v>
      </c>
      <c r="O116" s="17">
        <v>30.3</v>
      </c>
      <c r="P116" s="17">
        <v>3.5</v>
      </c>
      <c r="Q116" s="15">
        <v>45840.0</v>
      </c>
      <c r="R116" s="12" t="s">
        <v>401</v>
      </c>
      <c r="S116" s="12" t="s">
        <v>45</v>
      </c>
      <c r="T116" s="12" t="s">
        <v>75</v>
      </c>
      <c r="U116" s="17">
        <f t="shared" si="1"/>
        <v>3</v>
      </c>
    </row>
    <row r="117">
      <c r="A117" s="12" t="s">
        <v>402</v>
      </c>
      <c r="B117" s="12" t="s">
        <v>235</v>
      </c>
      <c r="C117" s="17">
        <v>63.0</v>
      </c>
      <c r="D117" s="12" t="s">
        <v>35</v>
      </c>
      <c r="E117" s="12" t="s">
        <v>140</v>
      </c>
      <c r="F117" s="12" t="s">
        <v>79</v>
      </c>
      <c r="G117" s="12" t="s">
        <v>80</v>
      </c>
      <c r="H117" s="15">
        <v>45155.0</v>
      </c>
      <c r="I117" s="17">
        <v>42.0</v>
      </c>
      <c r="J117" s="12" t="s">
        <v>40</v>
      </c>
      <c r="K117" s="12" t="s">
        <v>42</v>
      </c>
      <c r="L117" s="17">
        <v>3647.0</v>
      </c>
      <c r="M117" s="17">
        <v>0.0</v>
      </c>
      <c r="N117" s="17">
        <v>0.0</v>
      </c>
      <c r="O117" s="17">
        <v>45.5</v>
      </c>
      <c r="P117" s="17">
        <v>4.8</v>
      </c>
      <c r="Q117" s="15">
        <v>45996.0</v>
      </c>
      <c r="R117" s="12" t="s">
        <v>403</v>
      </c>
      <c r="S117" s="12" t="s">
        <v>45</v>
      </c>
      <c r="T117" s="12" t="s">
        <v>75</v>
      </c>
      <c r="U117" s="17">
        <f t="shared" si="1"/>
        <v>2</v>
      </c>
    </row>
    <row r="118">
      <c r="A118" s="12" t="s">
        <v>404</v>
      </c>
      <c r="B118" s="12" t="s">
        <v>405</v>
      </c>
      <c r="C118" s="17">
        <v>51.0</v>
      </c>
      <c r="D118" s="12" t="s">
        <v>85</v>
      </c>
      <c r="E118" s="12" t="s">
        <v>87</v>
      </c>
      <c r="F118" s="12" t="s">
        <v>62</v>
      </c>
      <c r="G118" s="12" t="s">
        <v>80</v>
      </c>
      <c r="H118" s="15">
        <v>44856.0</v>
      </c>
      <c r="I118" s="17">
        <v>21.0</v>
      </c>
      <c r="J118" s="12" t="s">
        <v>64</v>
      </c>
      <c r="K118" s="12" t="s">
        <v>42</v>
      </c>
      <c r="L118" s="17">
        <v>662.0</v>
      </c>
      <c r="M118" s="17">
        <v>0.0</v>
      </c>
      <c r="N118" s="17">
        <v>0.0</v>
      </c>
      <c r="O118" s="17">
        <v>23.8</v>
      </c>
      <c r="P118" s="17">
        <v>2.7</v>
      </c>
      <c r="Q118" s="15">
        <v>45219.0</v>
      </c>
      <c r="R118" s="12" t="s">
        <v>406</v>
      </c>
      <c r="S118" s="12" t="s">
        <v>45</v>
      </c>
      <c r="T118" s="12" t="s">
        <v>72</v>
      </c>
      <c r="U118" s="17">
        <f t="shared" si="1"/>
        <v>1</v>
      </c>
    </row>
    <row r="119">
      <c r="A119" s="12" t="s">
        <v>407</v>
      </c>
      <c r="B119" s="12" t="s">
        <v>405</v>
      </c>
      <c r="C119" s="17">
        <v>55.0</v>
      </c>
      <c r="D119" s="12" t="s">
        <v>85</v>
      </c>
      <c r="E119" s="12" t="s">
        <v>292</v>
      </c>
      <c r="F119" s="12" t="s">
        <v>62</v>
      </c>
      <c r="G119" s="12" t="s">
        <v>39</v>
      </c>
      <c r="H119" s="15">
        <v>44850.0</v>
      </c>
      <c r="I119" s="17">
        <v>7.0</v>
      </c>
      <c r="J119" s="12" t="s">
        <v>64</v>
      </c>
      <c r="K119" s="12" t="s">
        <v>65</v>
      </c>
      <c r="L119" s="17">
        <v>695.0</v>
      </c>
      <c r="M119" s="17">
        <v>2.0</v>
      </c>
      <c r="N119" s="17">
        <v>0.0</v>
      </c>
      <c r="O119" s="17">
        <v>13.8</v>
      </c>
      <c r="P119" s="17">
        <v>4.1</v>
      </c>
      <c r="Q119" s="15">
        <v>44923.0</v>
      </c>
      <c r="R119" s="12"/>
      <c r="S119" s="12" t="s">
        <v>55</v>
      </c>
      <c r="T119" s="12" t="s">
        <v>47</v>
      </c>
      <c r="U119" s="17">
        <f t="shared" si="1"/>
        <v>4</v>
      </c>
    </row>
    <row r="120">
      <c r="A120" s="12" t="s">
        <v>409</v>
      </c>
      <c r="B120" s="12" t="s">
        <v>362</v>
      </c>
      <c r="C120" s="17">
        <v>56.0</v>
      </c>
      <c r="D120" s="12" t="s">
        <v>69</v>
      </c>
      <c r="E120" s="12" t="s">
        <v>119</v>
      </c>
      <c r="F120" s="12" t="s">
        <v>79</v>
      </c>
      <c r="G120" s="12" t="s">
        <v>120</v>
      </c>
      <c r="H120" s="15">
        <v>45583.0</v>
      </c>
      <c r="I120" s="17">
        <v>20.0</v>
      </c>
      <c r="J120" s="12" t="s">
        <v>53</v>
      </c>
      <c r="K120" s="12" t="s">
        <v>42</v>
      </c>
      <c r="L120" s="17">
        <v>3034.0</v>
      </c>
      <c r="M120" s="17">
        <v>3.0</v>
      </c>
      <c r="N120" s="17">
        <v>0.0</v>
      </c>
      <c r="O120" s="17">
        <v>43.7</v>
      </c>
      <c r="P120" s="17">
        <v>4.1</v>
      </c>
      <c r="Q120" s="15">
        <v>46061.0</v>
      </c>
      <c r="R120" s="12"/>
      <c r="S120" s="12" t="s">
        <v>55</v>
      </c>
      <c r="T120" s="12" t="s">
        <v>104</v>
      </c>
      <c r="U120" s="17">
        <f t="shared" si="1"/>
        <v>2</v>
      </c>
    </row>
    <row r="121">
      <c r="A121" s="12" t="s">
        <v>410</v>
      </c>
      <c r="B121" s="12" t="s">
        <v>411</v>
      </c>
      <c r="C121" s="17">
        <v>21.0</v>
      </c>
      <c r="D121" s="12" t="s">
        <v>85</v>
      </c>
      <c r="E121" s="12" t="s">
        <v>87</v>
      </c>
      <c r="F121" s="12" t="s">
        <v>62</v>
      </c>
      <c r="G121" s="12" t="s">
        <v>63</v>
      </c>
      <c r="H121" s="15">
        <v>44782.0</v>
      </c>
      <c r="I121" s="17">
        <v>28.0</v>
      </c>
      <c r="J121" s="12" t="s">
        <v>53</v>
      </c>
      <c r="K121" s="12" t="s">
        <v>326</v>
      </c>
      <c r="L121" s="17">
        <v>634.0</v>
      </c>
      <c r="M121" s="17">
        <v>3.0</v>
      </c>
      <c r="N121" s="17">
        <v>1.0</v>
      </c>
      <c r="O121" s="17">
        <v>4.6</v>
      </c>
      <c r="P121" s="17">
        <v>5.0</v>
      </c>
      <c r="Q121" s="15">
        <v>45574.0</v>
      </c>
      <c r="R121" s="12"/>
      <c r="S121" s="12" t="s">
        <v>55</v>
      </c>
      <c r="T121" s="12" t="s">
        <v>66</v>
      </c>
      <c r="U121" s="17">
        <f t="shared" si="1"/>
        <v>2</v>
      </c>
    </row>
    <row r="122">
      <c r="A122" s="12" t="s">
        <v>412</v>
      </c>
      <c r="B122" s="12" t="s">
        <v>340</v>
      </c>
      <c r="C122" s="17">
        <v>27.0</v>
      </c>
      <c r="D122" s="12" t="s">
        <v>69</v>
      </c>
      <c r="E122" s="12" t="s">
        <v>177</v>
      </c>
      <c r="F122" s="12" t="s">
        <v>413</v>
      </c>
      <c r="G122" s="12" t="s">
        <v>63</v>
      </c>
      <c r="H122" s="15">
        <v>45353.0</v>
      </c>
      <c r="I122" s="17">
        <v>33.0</v>
      </c>
      <c r="J122" s="12" t="s">
        <v>40</v>
      </c>
      <c r="K122" s="12" t="s">
        <v>65</v>
      </c>
      <c r="L122" s="17">
        <v>1285.0</v>
      </c>
      <c r="M122" s="17">
        <v>2.0</v>
      </c>
      <c r="N122" s="17">
        <v>0.0</v>
      </c>
      <c r="O122" s="17">
        <v>34.1</v>
      </c>
      <c r="P122" s="17">
        <v>2.4</v>
      </c>
      <c r="Q122" s="15">
        <v>46001.0</v>
      </c>
      <c r="R122" s="12"/>
      <c r="S122" s="12" t="s">
        <v>55</v>
      </c>
      <c r="T122" s="12" t="s">
        <v>72</v>
      </c>
      <c r="U122" s="17">
        <f t="shared" si="1"/>
        <v>1</v>
      </c>
    </row>
    <row r="123">
      <c r="A123" s="12" t="s">
        <v>329</v>
      </c>
      <c r="B123" s="12" t="s">
        <v>110</v>
      </c>
      <c r="C123" s="17">
        <v>28.0</v>
      </c>
      <c r="D123" s="12" t="s">
        <v>60</v>
      </c>
      <c r="E123" s="12" t="s">
        <v>97</v>
      </c>
      <c r="F123" s="12" t="s">
        <v>62</v>
      </c>
      <c r="G123" s="12" t="s">
        <v>80</v>
      </c>
      <c r="H123" s="15">
        <v>45384.0</v>
      </c>
      <c r="I123" s="17">
        <v>33.0</v>
      </c>
      <c r="J123" s="12" t="s">
        <v>64</v>
      </c>
      <c r="K123" s="12" t="s">
        <v>81</v>
      </c>
      <c r="L123" s="17">
        <v>518.0</v>
      </c>
      <c r="M123" s="17">
        <v>2.0</v>
      </c>
      <c r="N123" s="17">
        <v>0.0</v>
      </c>
      <c r="O123" s="17">
        <v>25.8</v>
      </c>
      <c r="P123" s="17">
        <v>3.7</v>
      </c>
      <c r="Q123" s="15">
        <v>45735.0</v>
      </c>
      <c r="R123" s="12"/>
      <c r="S123" s="12" t="s">
        <v>55</v>
      </c>
      <c r="T123" s="12" t="s">
        <v>47</v>
      </c>
      <c r="U123" s="17">
        <f t="shared" si="1"/>
        <v>2</v>
      </c>
    </row>
    <row r="124">
      <c r="A124" s="12" t="s">
        <v>414</v>
      </c>
      <c r="B124" s="12" t="s">
        <v>364</v>
      </c>
      <c r="C124" s="17">
        <v>42.0</v>
      </c>
      <c r="D124" s="12" t="s">
        <v>60</v>
      </c>
      <c r="E124" s="12" t="s">
        <v>97</v>
      </c>
      <c r="F124" s="12" t="s">
        <v>62</v>
      </c>
      <c r="G124" s="12" t="s">
        <v>80</v>
      </c>
      <c r="H124" s="15">
        <v>45174.0</v>
      </c>
      <c r="I124" s="17">
        <v>38.0</v>
      </c>
      <c r="J124" s="12" t="s">
        <v>53</v>
      </c>
      <c r="K124" s="12" t="s">
        <v>81</v>
      </c>
      <c r="L124" s="17">
        <v>759.0</v>
      </c>
      <c r="M124" s="17">
        <v>1.0</v>
      </c>
      <c r="N124" s="17">
        <v>3.0</v>
      </c>
      <c r="O124" s="17">
        <v>35.2</v>
      </c>
      <c r="P124" s="17">
        <v>4.3</v>
      </c>
      <c r="Q124" s="15">
        <v>45797.0</v>
      </c>
      <c r="R124" s="12"/>
      <c r="S124" s="12" t="s">
        <v>55</v>
      </c>
      <c r="T124" s="12" t="s">
        <v>104</v>
      </c>
      <c r="U124" s="17">
        <f t="shared" si="1"/>
        <v>1</v>
      </c>
    </row>
    <row r="125">
      <c r="A125" s="12" t="s">
        <v>415</v>
      </c>
      <c r="B125" s="12" t="s">
        <v>50</v>
      </c>
      <c r="C125" s="17">
        <v>28.0</v>
      </c>
      <c r="D125" s="12" t="s">
        <v>60</v>
      </c>
      <c r="E125" s="12" t="s">
        <v>61</v>
      </c>
      <c r="F125" s="12" t="s">
        <v>37</v>
      </c>
      <c r="G125" s="12" t="s">
        <v>210</v>
      </c>
      <c r="H125" s="15">
        <v>45904.0</v>
      </c>
      <c r="I125" s="17">
        <v>38.0</v>
      </c>
      <c r="J125" s="12" t="s">
        <v>64</v>
      </c>
      <c r="K125" s="12" t="s">
        <v>42</v>
      </c>
      <c r="L125" s="17">
        <v>1051.0</v>
      </c>
      <c r="M125" s="17">
        <v>3.0</v>
      </c>
      <c r="N125" s="17">
        <v>0.0</v>
      </c>
      <c r="O125" s="17">
        <v>15.0</v>
      </c>
      <c r="P125" s="17">
        <v>4.2</v>
      </c>
      <c r="Q125" s="15">
        <v>46897.0</v>
      </c>
      <c r="R125" s="12"/>
      <c r="S125" s="12" t="s">
        <v>55</v>
      </c>
      <c r="T125" s="12" t="s">
        <v>104</v>
      </c>
      <c r="U125" s="17">
        <f t="shared" si="1"/>
        <v>2</v>
      </c>
    </row>
    <row r="126">
      <c r="A126" s="12" t="s">
        <v>416</v>
      </c>
      <c r="B126" s="12" t="s">
        <v>126</v>
      </c>
      <c r="C126" s="17">
        <v>52.0</v>
      </c>
      <c r="D126" s="12" t="s">
        <v>35</v>
      </c>
      <c r="E126" s="12" t="s">
        <v>51</v>
      </c>
      <c r="F126" s="12" t="s">
        <v>62</v>
      </c>
      <c r="G126" s="12" t="s">
        <v>210</v>
      </c>
      <c r="H126" s="15">
        <v>45419.0</v>
      </c>
      <c r="I126" s="17">
        <v>10.0</v>
      </c>
      <c r="J126" s="12" t="s">
        <v>40</v>
      </c>
      <c r="K126" s="12" t="s">
        <v>81</v>
      </c>
      <c r="L126" s="17">
        <v>603.0</v>
      </c>
      <c r="M126" s="17">
        <v>2.0</v>
      </c>
      <c r="N126" s="17">
        <v>2.0</v>
      </c>
      <c r="O126" s="17">
        <v>20.0</v>
      </c>
      <c r="P126" s="17">
        <v>4.6</v>
      </c>
      <c r="Q126" s="15">
        <v>45670.0</v>
      </c>
      <c r="R126" s="12"/>
      <c r="S126" s="12" t="s">
        <v>55</v>
      </c>
      <c r="T126" s="12" t="s">
        <v>72</v>
      </c>
      <c r="U126" s="17">
        <f t="shared" si="1"/>
        <v>1</v>
      </c>
    </row>
    <row r="127">
      <c r="A127" s="12" t="s">
        <v>417</v>
      </c>
      <c r="B127" s="12" t="s">
        <v>351</v>
      </c>
      <c r="C127" s="17">
        <v>31.0</v>
      </c>
      <c r="D127" s="12" t="s">
        <v>85</v>
      </c>
      <c r="E127" s="12" t="s">
        <v>87</v>
      </c>
      <c r="F127" s="12" t="s">
        <v>62</v>
      </c>
      <c r="G127" s="12" t="s">
        <v>39</v>
      </c>
      <c r="H127" s="15">
        <v>45503.0</v>
      </c>
      <c r="I127" s="17">
        <v>35.0</v>
      </c>
      <c r="J127" s="12" t="s">
        <v>40</v>
      </c>
      <c r="K127" s="12" t="s">
        <v>65</v>
      </c>
      <c r="L127" s="12" t="s">
        <v>418</v>
      </c>
      <c r="M127" s="17">
        <v>1.0</v>
      </c>
      <c r="N127" s="17">
        <v>0.0</v>
      </c>
      <c r="O127" s="17">
        <v>13.0</v>
      </c>
      <c r="P127" s="17">
        <v>3.7</v>
      </c>
      <c r="Q127" s="15">
        <v>46054.0</v>
      </c>
      <c r="R127" s="12"/>
      <c r="S127" s="12" t="s">
        <v>55</v>
      </c>
      <c r="T127" s="12" t="s">
        <v>66</v>
      </c>
      <c r="U127" s="17">
        <f t="shared" si="1"/>
        <v>1</v>
      </c>
    </row>
    <row r="128">
      <c r="A128" s="12" t="s">
        <v>419</v>
      </c>
      <c r="B128" s="12" t="s">
        <v>420</v>
      </c>
      <c r="C128" s="17">
        <v>26.0</v>
      </c>
      <c r="D128" s="12" t="s">
        <v>69</v>
      </c>
      <c r="E128" s="12" t="s">
        <v>177</v>
      </c>
      <c r="F128" s="12" t="s">
        <v>37</v>
      </c>
      <c r="G128" s="12" t="s">
        <v>421</v>
      </c>
      <c r="H128" s="15">
        <v>44986.0</v>
      </c>
      <c r="I128" s="17">
        <v>45.0</v>
      </c>
      <c r="J128" s="12" t="s">
        <v>64</v>
      </c>
      <c r="K128" s="12" t="s">
        <v>81</v>
      </c>
      <c r="L128" s="17">
        <v>1490.0</v>
      </c>
      <c r="M128" s="17">
        <v>1.0</v>
      </c>
      <c r="N128" s="17">
        <v>0.0</v>
      </c>
      <c r="O128" s="17">
        <v>16.5</v>
      </c>
      <c r="P128" s="17">
        <v>4.2</v>
      </c>
      <c r="Q128" s="15">
        <v>46143.0</v>
      </c>
      <c r="R128" s="12"/>
      <c r="S128" s="12" t="s">
        <v>55</v>
      </c>
      <c r="T128" s="12" t="s">
        <v>66</v>
      </c>
      <c r="U128" s="17">
        <f t="shared" si="1"/>
        <v>2</v>
      </c>
    </row>
    <row r="129">
      <c r="A129" s="12" t="s">
        <v>422</v>
      </c>
      <c r="B129" s="12" t="s">
        <v>169</v>
      </c>
      <c r="C129" s="17">
        <v>32.0</v>
      </c>
      <c r="D129" s="12" t="s">
        <v>85</v>
      </c>
      <c r="E129" s="12" t="s">
        <v>92</v>
      </c>
      <c r="F129" s="12" t="s">
        <v>79</v>
      </c>
      <c r="G129" s="12" t="s">
        <v>93</v>
      </c>
      <c r="H129" s="15">
        <v>44861.0</v>
      </c>
      <c r="I129" s="17">
        <v>19.0</v>
      </c>
      <c r="J129" s="12" t="s">
        <v>40</v>
      </c>
      <c r="K129" s="12" t="s">
        <v>81</v>
      </c>
      <c r="L129" s="17">
        <v>2708.0</v>
      </c>
      <c r="M129" s="17">
        <v>4.0</v>
      </c>
      <c r="N129" s="17">
        <v>0.0</v>
      </c>
      <c r="O129" s="17">
        <v>30.2</v>
      </c>
      <c r="P129" s="17">
        <v>4.6</v>
      </c>
      <c r="Q129" s="15">
        <v>45323.0</v>
      </c>
      <c r="R129" s="12"/>
      <c r="S129" s="12" t="s">
        <v>55</v>
      </c>
      <c r="T129" s="12" t="s">
        <v>72</v>
      </c>
      <c r="U129" s="17">
        <f t="shared" si="1"/>
        <v>2</v>
      </c>
    </row>
    <row r="130">
      <c r="A130" s="12" t="s">
        <v>423</v>
      </c>
      <c r="B130" s="12" t="s">
        <v>424</v>
      </c>
      <c r="C130" s="17">
        <v>25.0</v>
      </c>
      <c r="D130" s="12" t="s">
        <v>60</v>
      </c>
      <c r="E130" s="12" t="s">
        <v>97</v>
      </c>
      <c r="F130" s="12" t="s">
        <v>62</v>
      </c>
      <c r="G130" s="12" t="s">
        <v>52</v>
      </c>
      <c r="H130" s="15">
        <v>45763.0</v>
      </c>
      <c r="I130" s="17">
        <v>16.0</v>
      </c>
      <c r="J130" s="12" t="s">
        <v>53</v>
      </c>
      <c r="K130" s="12" t="s">
        <v>65</v>
      </c>
      <c r="L130" s="17">
        <v>841.0</v>
      </c>
      <c r="M130" s="17">
        <v>2.0</v>
      </c>
      <c r="N130" s="17">
        <v>1.0</v>
      </c>
      <c r="O130" s="17">
        <v>13.4</v>
      </c>
      <c r="P130" s="17">
        <v>3.8</v>
      </c>
      <c r="Q130" s="15">
        <v>46099.0</v>
      </c>
      <c r="R130" s="12"/>
      <c r="S130" s="12" t="s">
        <v>55</v>
      </c>
      <c r="T130" s="12" t="s">
        <v>75</v>
      </c>
      <c r="U130" s="17">
        <f t="shared" si="1"/>
        <v>3</v>
      </c>
    </row>
    <row r="131">
      <c r="A131" s="12" t="s">
        <v>425</v>
      </c>
      <c r="B131" s="12" t="s">
        <v>224</v>
      </c>
      <c r="C131" s="17">
        <v>60.0</v>
      </c>
      <c r="D131" s="12" t="s">
        <v>69</v>
      </c>
      <c r="E131" s="12" t="s">
        <v>70</v>
      </c>
      <c r="F131" s="12" t="s">
        <v>79</v>
      </c>
      <c r="G131" s="12" t="s">
        <v>39</v>
      </c>
      <c r="H131" s="15">
        <v>45395.0</v>
      </c>
      <c r="I131" s="17">
        <v>42.0</v>
      </c>
      <c r="J131" s="12" t="s">
        <v>40</v>
      </c>
      <c r="K131" s="12" t="s">
        <v>42</v>
      </c>
      <c r="L131" s="17">
        <v>3331.0</v>
      </c>
      <c r="M131" s="17">
        <v>3.0</v>
      </c>
      <c r="N131" s="17">
        <v>3.0</v>
      </c>
      <c r="O131" s="17">
        <v>39.4</v>
      </c>
      <c r="P131" s="17">
        <v>3.4</v>
      </c>
      <c r="Q131" s="15">
        <v>45813.0</v>
      </c>
      <c r="R131" s="12" t="s">
        <v>426</v>
      </c>
      <c r="S131" s="12" t="s">
        <v>45</v>
      </c>
      <c r="T131" s="12" t="s">
        <v>66</v>
      </c>
      <c r="U131" s="17">
        <f t="shared" si="1"/>
        <v>2</v>
      </c>
    </row>
    <row r="132">
      <c r="A132" s="12" t="s">
        <v>427</v>
      </c>
      <c r="B132" s="12" t="s">
        <v>132</v>
      </c>
      <c r="C132" s="17">
        <v>38.0</v>
      </c>
      <c r="D132" s="12" t="s">
        <v>35</v>
      </c>
      <c r="E132" s="12" t="s">
        <v>51</v>
      </c>
      <c r="F132" s="12" t="s">
        <v>62</v>
      </c>
      <c r="G132" s="12" t="s">
        <v>93</v>
      </c>
      <c r="H132" s="15">
        <v>44922.0</v>
      </c>
      <c r="I132" s="17">
        <v>3.0</v>
      </c>
      <c r="J132" s="12" t="s">
        <v>429</v>
      </c>
      <c r="K132" s="12" t="s">
        <v>81</v>
      </c>
      <c r="L132" s="17">
        <v>702.0</v>
      </c>
      <c r="M132" s="17">
        <v>0.0</v>
      </c>
      <c r="N132" s="17">
        <v>1.0</v>
      </c>
      <c r="O132" s="17">
        <v>3.9</v>
      </c>
      <c r="P132" s="17">
        <v>4.7</v>
      </c>
      <c r="Q132" s="15">
        <v>45027.0</v>
      </c>
      <c r="R132" s="12" t="s">
        <v>430</v>
      </c>
      <c r="S132" s="12" t="s">
        <v>45</v>
      </c>
      <c r="T132" s="12" t="s">
        <v>104</v>
      </c>
      <c r="U132" s="17">
        <f t="shared" si="1"/>
        <v>2</v>
      </c>
    </row>
    <row r="133">
      <c r="A133" s="12" t="s">
        <v>431</v>
      </c>
      <c r="B133" s="12" t="s">
        <v>342</v>
      </c>
      <c r="C133" s="17">
        <v>29.0</v>
      </c>
      <c r="D133" s="12" t="s">
        <v>60</v>
      </c>
      <c r="E133" s="12" t="s">
        <v>133</v>
      </c>
      <c r="F133" s="12" t="s">
        <v>79</v>
      </c>
      <c r="G133" s="12" t="s">
        <v>80</v>
      </c>
      <c r="H133" s="15">
        <v>45635.0</v>
      </c>
      <c r="I133" s="17">
        <v>32.0</v>
      </c>
      <c r="J133" s="12" t="s">
        <v>64</v>
      </c>
      <c r="K133" s="12" t="s">
        <v>65</v>
      </c>
      <c r="L133" s="17">
        <v>2957.0</v>
      </c>
      <c r="M133" s="17">
        <v>1.0</v>
      </c>
      <c r="N133" s="17">
        <v>3.0</v>
      </c>
      <c r="O133" s="17">
        <v>37.4</v>
      </c>
      <c r="P133" s="17">
        <v>4.3</v>
      </c>
      <c r="Q133" s="15">
        <v>45924.0</v>
      </c>
      <c r="R133" s="12" t="s">
        <v>432</v>
      </c>
      <c r="S133" s="12" t="s">
        <v>45</v>
      </c>
      <c r="T133" s="12" t="s">
        <v>72</v>
      </c>
      <c r="U133" s="17">
        <f t="shared" si="1"/>
        <v>4</v>
      </c>
    </row>
    <row r="134">
      <c r="A134" s="12" t="s">
        <v>433</v>
      </c>
      <c r="B134" s="12" t="s">
        <v>411</v>
      </c>
      <c r="C134" s="17">
        <v>24.0</v>
      </c>
      <c r="D134" s="12" t="s">
        <v>69</v>
      </c>
      <c r="E134" s="12" t="s">
        <v>70</v>
      </c>
      <c r="F134" s="12" t="s">
        <v>37</v>
      </c>
      <c r="G134" s="12" t="s">
        <v>93</v>
      </c>
      <c r="H134" s="15">
        <v>45166.0</v>
      </c>
      <c r="I134" s="17">
        <v>37.0</v>
      </c>
      <c r="J134" s="12" t="s">
        <v>53</v>
      </c>
      <c r="K134" s="12" t="s">
        <v>81</v>
      </c>
      <c r="L134" s="17">
        <v>1178.0</v>
      </c>
      <c r="M134" s="17">
        <v>1.0</v>
      </c>
      <c r="N134" s="17">
        <v>0.0</v>
      </c>
      <c r="O134" s="17">
        <v>34.7</v>
      </c>
      <c r="P134" s="17">
        <v>4.1</v>
      </c>
      <c r="Q134" s="15">
        <v>46006.0</v>
      </c>
      <c r="R134" s="12"/>
      <c r="S134" s="12" t="s">
        <v>55</v>
      </c>
      <c r="T134" s="12" t="s">
        <v>104</v>
      </c>
      <c r="U134" s="17">
        <f t="shared" si="1"/>
        <v>3</v>
      </c>
    </row>
    <row r="135">
      <c r="A135" s="12" t="s">
        <v>434</v>
      </c>
      <c r="B135" s="12" t="s">
        <v>152</v>
      </c>
      <c r="C135" s="17">
        <v>35.0</v>
      </c>
      <c r="D135" s="12" t="s">
        <v>69</v>
      </c>
      <c r="E135" s="12" t="s">
        <v>119</v>
      </c>
      <c r="F135" s="12" t="s">
        <v>62</v>
      </c>
      <c r="G135" s="12" t="s">
        <v>39</v>
      </c>
      <c r="H135" s="15">
        <v>44575.0</v>
      </c>
      <c r="I135" s="17">
        <v>17.0</v>
      </c>
      <c r="J135" s="12" t="s">
        <v>64</v>
      </c>
      <c r="K135" s="12" t="s">
        <v>65</v>
      </c>
      <c r="L135" s="17">
        <v>727.0</v>
      </c>
      <c r="M135" s="17">
        <v>0.0</v>
      </c>
      <c r="N135" s="17">
        <v>1.0</v>
      </c>
      <c r="O135" s="17">
        <v>24.5</v>
      </c>
      <c r="P135" s="17">
        <v>3.8</v>
      </c>
      <c r="Q135" s="15">
        <v>44922.0</v>
      </c>
      <c r="R135" s="12"/>
      <c r="S135" s="12" t="s">
        <v>55</v>
      </c>
      <c r="T135" s="12" t="s">
        <v>47</v>
      </c>
      <c r="U135" s="17">
        <f t="shared" si="1"/>
        <v>4</v>
      </c>
    </row>
    <row r="136">
      <c r="A136" s="12" t="s">
        <v>435</v>
      </c>
      <c r="B136" s="12" t="s">
        <v>184</v>
      </c>
      <c r="C136" s="17">
        <v>58.0</v>
      </c>
      <c r="D136" s="12" t="s">
        <v>35</v>
      </c>
      <c r="E136" s="12" t="s">
        <v>140</v>
      </c>
      <c r="F136" s="12" t="s">
        <v>62</v>
      </c>
      <c r="G136" s="12" t="s">
        <v>120</v>
      </c>
      <c r="H136" s="15">
        <v>45967.0</v>
      </c>
      <c r="I136" s="17">
        <v>33.0</v>
      </c>
      <c r="J136" s="12" t="s">
        <v>40</v>
      </c>
      <c r="K136" s="12" t="s">
        <v>42</v>
      </c>
      <c r="L136" s="17">
        <v>859.0</v>
      </c>
      <c r="M136" s="17">
        <v>4.0</v>
      </c>
      <c r="N136" s="17">
        <v>1.0</v>
      </c>
      <c r="O136" s="17">
        <v>17.7</v>
      </c>
      <c r="P136" s="17">
        <v>4.3</v>
      </c>
      <c r="Q136" s="15">
        <v>46683.0</v>
      </c>
      <c r="R136" s="12" t="s">
        <v>436</v>
      </c>
      <c r="S136" s="12" t="s">
        <v>45</v>
      </c>
      <c r="T136" s="12" t="s">
        <v>47</v>
      </c>
      <c r="U136" s="17">
        <f t="shared" si="1"/>
        <v>1</v>
      </c>
    </row>
    <row r="137">
      <c r="A137" s="12" t="s">
        <v>437</v>
      </c>
      <c r="B137" s="12" t="s">
        <v>362</v>
      </c>
      <c r="C137" s="17">
        <v>62.0</v>
      </c>
      <c r="D137" s="12" t="s">
        <v>69</v>
      </c>
      <c r="E137" s="12" t="s">
        <v>119</v>
      </c>
      <c r="F137" s="12" t="s">
        <v>37</v>
      </c>
      <c r="G137" s="12" t="s">
        <v>80</v>
      </c>
      <c r="H137" s="15">
        <v>45327.0</v>
      </c>
      <c r="I137" s="17">
        <v>27.0</v>
      </c>
      <c r="J137" s="12" t="s">
        <v>64</v>
      </c>
      <c r="K137" s="12" t="s">
        <v>42</v>
      </c>
      <c r="L137" s="17">
        <v>1774.0</v>
      </c>
      <c r="M137" s="17">
        <v>1.0</v>
      </c>
      <c r="N137" s="17">
        <v>0.0</v>
      </c>
      <c r="O137" s="17">
        <v>19.7</v>
      </c>
      <c r="P137" s="17">
        <v>4.9</v>
      </c>
      <c r="Q137" s="15">
        <v>46017.0</v>
      </c>
      <c r="R137" s="12"/>
      <c r="S137" s="12" t="s">
        <v>55</v>
      </c>
      <c r="T137" s="12" t="s">
        <v>66</v>
      </c>
      <c r="U137" s="17">
        <f t="shared" si="1"/>
        <v>2</v>
      </c>
    </row>
    <row r="138">
      <c r="A138" s="12" t="s">
        <v>438</v>
      </c>
      <c r="B138" s="12" t="s">
        <v>229</v>
      </c>
      <c r="C138" s="17">
        <v>26.0</v>
      </c>
      <c r="D138" s="12" t="s">
        <v>60</v>
      </c>
      <c r="E138" s="12" t="s">
        <v>61</v>
      </c>
      <c r="F138" s="12" t="s">
        <v>79</v>
      </c>
      <c r="G138" s="12" t="s">
        <v>63</v>
      </c>
      <c r="H138" s="15">
        <v>44688.0</v>
      </c>
      <c r="I138" s="17">
        <v>36.0</v>
      </c>
      <c r="J138" s="12" t="s">
        <v>64</v>
      </c>
      <c r="K138" s="12" t="s">
        <v>42</v>
      </c>
      <c r="L138" s="17">
        <v>3098.0</v>
      </c>
      <c r="M138" s="17">
        <v>3.0</v>
      </c>
      <c r="N138" s="17">
        <v>0.0</v>
      </c>
      <c r="O138" s="17">
        <v>49.6</v>
      </c>
      <c r="P138" s="17">
        <v>3.9</v>
      </c>
      <c r="Q138" s="15">
        <v>45004.0</v>
      </c>
      <c r="R138" s="12" t="s">
        <v>439</v>
      </c>
      <c r="S138" s="12" t="s">
        <v>45</v>
      </c>
      <c r="T138" s="12" t="s">
        <v>66</v>
      </c>
      <c r="U138" s="17">
        <f t="shared" si="1"/>
        <v>3</v>
      </c>
    </row>
    <row r="139">
      <c r="A139" s="12" t="s">
        <v>440</v>
      </c>
      <c r="B139" s="12" t="s">
        <v>152</v>
      </c>
      <c r="C139" s="17">
        <v>44.0</v>
      </c>
      <c r="D139" s="12" t="s">
        <v>35</v>
      </c>
      <c r="E139" s="12" t="s">
        <v>140</v>
      </c>
      <c r="F139" s="12" t="s">
        <v>37</v>
      </c>
      <c r="G139" s="12" t="s">
        <v>120</v>
      </c>
      <c r="H139" s="15">
        <v>44832.0</v>
      </c>
      <c r="I139" s="17">
        <v>33.0</v>
      </c>
      <c r="J139" s="12" t="s">
        <v>53</v>
      </c>
      <c r="K139" s="12" t="s">
        <v>42</v>
      </c>
      <c r="L139" s="17">
        <v>1058.0</v>
      </c>
      <c r="M139" s="17">
        <v>4.0</v>
      </c>
      <c r="N139" s="17">
        <v>1.0</v>
      </c>
      <c r="O139" s="17">
        <v>33.7</v>
      </c>
      <c r="P139" s="17">
        <v>3.7</v>
      </c>
      <c r="Q139" s="15">
        <v>45315.0</v>
      </c>
      <c r="R139" s="12"/>
      <c r="S139" s="12" t="s">
        <v>217</v>
      </c>
      <c r="T139" s="12" t="s">
        <v>47</v>
      </c>
      <c r="U139" s="17">
        <f t="shared" si="1"/>
        <v>2</v>
      </c>
    </row>
    <row r="140">
      <c r="A140" s="12" t="s">
        <v>441</v>
      </c>
      <c r="B140" s="12" t="s">
        <v>106</v>
      </c>
      <c r="C140" s="17">
        <v>68.0</v>
      </c>
      <c r="D140" s="12" t="s">
        <v>35</v>
      </c>
      <c r="E140" s="12" t="s">
        <v>36</v>
      </c>
      <c r="F140" s="12" t="s">
        <v>62</v>
      </c>
      <c r="G140" s="12" t="s">
        <v>52</v>
      </c>
      <c r="H140" s="15">
        <v>44692.0</v>
      </c>
      <c r="I140" s="17">
        <v>35.0</v>
      </c>
      <c r="J140" s="12" t="s">
        <v>64</v>
      </c>
      <c r="K140" s="12" t="s">
        <v>81</v>
      </c>
      <c r="L140" s="17">
        <v>534.0</v>
      </c>
      <c r="M140" s="17">
        <v>2.0</v>
      </c>
      <c r="N140" s="17">
        <v>0.0</v>
      </c>
      <c r="O140" s="17">
        <v>14.4</v>
      </c>
      <c r="P140" s="17">
        <v>5.0</v>
      </c>
      <c r="Q140" s="15">
        <v>45289.0</v>
      </c>
      <c r="R140" s="12" t="s">
        <v>442</v>
      </c>
      <c r="S140" s="12" t="s">
        <v>45</v>
      </c>
      <c r="T140" s="12" t="s">
        <v>75</v>
      </c>
      <c r="U140" s="17">
        <f t="shared" si="1"/>
        <v>4</v>
      </c>
    </row>
    <row r="141">
      <c r="A141" s="12" t="s">
        <v>443</v>
      </c>
      <c r="B141" s="12" t="s">
        <v>91</v>
      </c>
      <c r="C141" s="17">
        <v>30.0</v>
      </c>
      <c r="D141" s="12" t="s">
        <v>85</v>
      </c>
      <c r="E141" s="12" t="s">
        <v>87</v>
      </c>
      <c r="F141" s="12" t="s">
        <v>79</v>
      </c>
      <c r="G141" s="12" t="s">
        <v>120</v>
      </c>
      <c r="H141" s="15">
        <v>45331.0</v>
      </c>
      <c r="I141" s="17">
        <v>6.0</v>
      </c>
      <c r="J141" s="12" t="s">
        <v>64</v>
      </c>
      <c r="K141" s="12" t="s">
        <v>65</v>
      </c>
      <c r="L141" s="17">
        <v>2271.0</v>
      </c>
      <c r="M141" s="17">
        <v>1.0</v>
      </c>
      <c r="N141" s="17">
        <v>0.0</v>
      </c>
      <c r="O141" s="17">
        <v>27.2</v>
      </c>
      <c r="P141" s="17">
        <v>2.9</v>
      </c>
      <c r="Q141" s="15">
        <v>45508.0</v>
      </c>
      <c r="R141" s="12"/>
      <c r="S141" s="12" t="s">
        <v>55</v>
      </c>
      <c r="T141" s="12" t="s">
        <v>66</v>
      </c>
      <c r="U141" s="17">
        <f t="shared" si="1"/>
        <v>1</v>
      </c>
    </row>
    <row r="142">
      <c r="A142" s="12" t="s">
        <v>444</v>
      </c>
      <c r="B142" s="12" t="s">
        <v>316</v>
      </c>
      <c r="C142" s="17">
        <v>41.0</v>
      </c>
      <c r="D142" s="12" t="s">
        <v>445</v>
      </c>
      <c r="E142" s="12" t="s">
        <v>70</v>
      </c>
      <c r="F142" s="12" t="s">
        <v>37</v>
      </c>
      <c r="G142" s="12" t="s">
        <v>210</v>
      </c>
      <c r="H142" s="15">
        <v>45510.0</v>
      </c>
      <c r="I142" s="17">
        <v>44.0</v>
      </c>
      <c r="J142" s="12" t="s">
        <v>40</v>
      </c>
      <c r="K142" s="12" t="s">
        <v>65</v>
      </c>
      <c r="L142" s="17">
        <v>1543.0</v>
      </c>
      <c r="M142" s="17">
        <v>3.0</v>
      </c>
      <c r="N142" s="17">
        <v>0.0</v>
      </c>
      <c r="O142" s="17">
        <v>12.5</v>
      </c>
      <c r="P142" s="17">
        <v>2.6</v>
      </c>
      <c r="Q142" s="15">
        <v>45990.0</v>
      </c>
      <c r="R142" s="12"/>
      <c r="S142" s="12" t="s">
        <v>55</v>
      </c>
      <c r="T142" s="12" t="s">
        <v>47</v>
      </c>
      <c r="U142" s="17">
        <f t="shared" si="1"/>
        <v>2</v>
      </c>
    </row>
    <row r="143">
      <c r="A143" s="12" t="s">
        <v>446</v>
      </c>
      <c r="B143" s="12" t="s">
        <v>364</v>
      </c>
      <c r="C143" s="17">
        <v>34.0</v>
      </c>
      <c r="D143" s="12" t="s">
        <v>35</v>
      </c>
      <c r="E143" s="12" t="s">
        <v>36</v>
      </c>
      <c r="F143" s="12" t="s">
        <v>37</v>
      </c>
      <c r="G143" s="12" t="s">
        <v>120</v>
      </c>
      <c r="H143" s="15">
        <v>45821.0</v>
      </c>
      <c r="I143" s="17">
        <v>2.0</v>
      </c>
      <c r="J143" s="12" t="s">
        <v>64</v>
      </c>
      <c r="K143" s="12" t="s">
        <v>42</v>
      </c>
      <c r="L143" s="17">
        <v>1102.0</v>
      </c>
      <c r="M143" s="17">
        <v>3.0</v>
      </c>
      <c r="N143" s="17">
        <v>1.0</v>
      </c>
      <c r="O143" s="17">
        <v>35.9</v>
      </c>
      <c r="P143" s="17">
        <v>3.5</v>
      </c>
      <c r="Q143" s="15">
        <v>45835.0</v>
      </c>
      <c r="R143" s="12"/>
      <c r="S143" s="12" t="s">
        <v>55</v>
      </c>
      <c r="T143" s="12" t="s">
        <v>75</v>
      </c>
      <c r="U143" s="17">
        <f t="shared" si="1"/>
        <v>1</v>
      </c>
    </row>
    <row r="144">
      <c r="A144" s="12" t="s">
        <v>447</v>
      </c>
      <c r="B144" s="12" t="s">
        <v>448</v>
      </c>
      <c r="C144" s="17">
        <v>34.0</v>
      </c>
      <c r="D144" s="12" t="s">
        <v>69</v>
      </c>
      <c r="E144" s="12" t="s">
        <v>187</v>
      </c>
      <c r="F144" s="12" t="s">
        <v>37</v>
      </c>
      <c r="G144" s="12" t="s">
        <v>93</v>
      </c>
      <c r="H144" s="15">
        <v>44677.0</v>
      </c>
      <c r="I144" s="17">
        <v>9.0</v>
      </c>
      <c r="J144" s="12" t="s">
        <v>53</v>
      </c>
      <c r="K144" s="12" t="s">
        <v>42</v>
      </c>
      <c r="L144" s="17">
        <v>1238.0</v>
      </c>
      <c r="M144" s="17">
        <v>2.0</v>
      </c>
      <c r="N144" s="17">
        <v>0.0</v>
      </c>
      <c r="O144" s="17">
        <v>29.3</v>
      </c>
      <c r="P144" s="17">
        <v>4.1</v>
      </c>
      <c r="Q144" s="15">
        <v>44850.0</v>
      </c>
      <c r="R144" s="12"/>
      <c r="S144" s="12" t="s">
        <v>55</v>
      </c>
      <c r="T144" s="12" t="s">
        <v>66</v>
      </c>
      <c r="U144" s="17">
        <f t="shared" si="1"/>
        <v>1</v>
      </c>
    </row>
    <row r="145">
      <c r="A145" s="12" t="s">
        <v>450</v>
      </c>
      <c r="B145" s="12" t="s">
        <v>295</v>
      </c>
      <c r="C145" s="17">
        <v>60.0</v>
      </c>
      <c r="D145" s="12" t="s">
        <v>85</v>
      </c>
      <c r="E145" s="12" t="s">
        <v>92</v>
      </c>
      <c r="F145" s="12" t="s">
        <v>62</v>
      </c>
      <c r="G145" s="12" t="s">
        <v>80</v>
      </c>
      <c r="H145" s="15">
        <v>45773.0</v>
      </c>
      <c r="I145" s="17">
        <v>48.0</v>
      </c>
      <c r="J145" s="12" t="s">
        <v>64</v>
      </c>
      <c r="K145" s="12" t="s">
        <v>65</v>
      </c>
      <c r="L145" s="17">
        <v>819.0</v>
      </c>
      <c r="M145" s="17">
        <v>2.0</v>
      </c>
      <c r="N145" s="17">
        <v>4.0</v>
      </c>
      <c r="O145" s="17">
        <v>13.0</v>
      </c>
      <c r="P145" s="17">
        <v>3.2</v>
      </c>
      <c r="Q145" s="15">
        <v>46921.0</v>
      </c>
      <c r="R145" s="12" t="s">
        <v>451</v>
      </c>
      <c r="S145" s="12" t="s">
        <v>45</v>
      </c>
      <c r="T145" s="12" t="s">
        <v>66</v>
      </c>
      <c r="U145" s="17">
        <f t="shared" si="1"/>
        <v>2</v>
      </c>
    </row>
    <row r="146">
      <c r="A146" s="12" t="s">
        <v>371</v>
      </c>
      <c r="B146" s="12" t="s">
        <v>364</v>
      </c>
      <c r="C146" s="17">
        <v>54.0</v>
      </c>
      <c r="D146" s="12" t="s">
        <v>85</v>
      </c>
      <c r="E146" s="12" t="s">
        <v>87</v>
      </c>
      <c r="F146" s="12" t="s">
        <v>62</v>
      </c>
      <c r="G146" s="12" t="s">
        <v>120</v>
      </c>
      <c r="H146" s="15">
        <v>44938.0</v>
      </c>
      <c r="I146" s="17">
        <v>35.0</v>
      </c>
      <c r="J146" s="12" t="s">
        <v>53</v>
      </c>
      <c r="K146" s="12" t="s">
        <v>65</v>
      </c>
      <c r="L146" s="17">
        <v>614.0</v>
      </c>
      <c r="M146" s="17">
        <v>1.0</v>
      </c>
      <c r="N146" s="17">
        <v>1.0</v>
      </c>
      <c r="O146" s="17">
        <v>29.4</v>
      </c>
      <c r="P146" s="17">
        <v>3.2</v>
      </c>
      <c r="Q146" s="15">
        <v>45243.0</v>
      </c>
      <c r="R146" s="12"/>
      <c r="S146" s="12" t="s">
        <v>55</v>
      </c>
      <c r="T146" s="12" t="s">
        <v>66</v>
      </c>
      <c r="U146" s="17">
        <f t="shared" si="1"/>
        <v>2</v>
      </c>
    </row>
    <row r="147">
      <c r="A147" s="12" t="s">
        <v>452</v>
      </c>
      <c r="B147" s="12" t="s">
        <v>424</v>
      </c>
      <c r="C147" s="17">
        <v>36.0</v>
      </c>
      <c r="D147" s="12" t="s">
        <v>69</v>
      </c>
      <c r="E147" s="12" t="s">
        <v>119</v>
      </c>
      <c r="F147" s="12" t="s">
        <v>62</v>
      </c>
      <c r="G147" s="12" t="s">
        <v>39</v>
      </c>
      <c r="H147" s="15">
        <v>45238.0</v>
      </c>
      <c r="I147" s="17">
        <v>42.0</v>
      </c>
      <c r="J147" s="12" t="s">
        <v>53</v>
      </c>
      <c r="K147" s="12" t="s">
        <v>81</v>
      </c>
      <c r="L147" s="17">
        <v>729.0</v>
      </c>
      <c r="M147" s="17">
        <v>2.0</v>
      </c>
      <c r="N147" s="17">
        <v>1.0</v>
      </c>
      <c r="O147" s="17">
        <v>19.6</v>
      </c>
      <c r="P147" s="17">
        <v>2.3</v>
      </c>
      <c r="Q147" s="15">
        <v>46344.0</v>
      </c>
      <c r="R147" s="12"/>
      <c r="S147" s="12" t="s">
        <v>55</v>
      </c>
      <c r="T147" s="12" t="s">
        <v>66</v>
      </c>
      <c r="U147" s="17">
        <f t="shared" si="1"/>
        <v>1</v>
      </c>
    </row>
    <row r="148">
      <c r="A148" s="12" t="s">
        <v>453</v>
      </c>
      <c r="B148" s="12" t="s">
        <v>152</v>
      </c>
      <c r="C148" s="17">
        <v>32.0</v>
      </c>
      <c r="D148" s="12" t="s">
        <v>35</v>
      </c>
      <c r="E148" s="12" t="s">
        <v>36</v>
      </c>
      <c r="F148" s="12" t="s">
        <v>62</v>
      </c>
      <c r="G148" s="12" t="s">
        <v>93</v>
      </c>
      <c r="H148" s="15">
        <v>45765.0</v>
      </c>
      <c r="I148" s="17">
        <v>47.0</v>
      </c>
      <c r="J148" s="12" t="s">
        <v>40</v>
      </c>
      <c r="K148" s="12" t="s">
        <v>454</v>
      </c>
      <c r="L148" s="17">
        <v>610.0</v>
      </c>
      <c r="M148" s="17">
        <v>1.0</v>
      </c>
      <c r="N148" s="17">
        <v>1.0</v>
      </c>
      <c r="O148" s="17">
        <v>22.3</v>
      </c>
      <c r="P148" s="17">
        <v>4.7</v>
      </c>
      <c r="Q148" s="15">
        <v>46456.0</v>
      </c>
      <c r="R148" s="12"/>
      <c r="S148" s="12" t="s">
        <v>55</v>
      </c>
      <c r="T148" s="12" t="s">
        <v>104</v>
      </c>
      <c r="U148" s="17">
        <f t="shared" si="1"/>
        <v>1</v>
      </c>
    </row>
    <row r="149">
      <c r="A149" s="12" t="s">
        <v>455</v>
      </c>
      <c r="B149" s="12" t="s">
        <v>257</v>
      </c>
      <c r="C149" s="17">
        <v>38.0</v>
      </c>
      <c r="D149" s="12" t="s">
        <v>85</v>
      </c>
      <c r="E149" s="12" t="s">
        <v>111</v>
      </c>
      <c r="F149" s="12" t="s">
        <v>37</v>
      </c>
      <c r="G149" s="12" t="s">
        <v>52</v>
      </c>
      <c r="H149" s="15">
        <v>44980.0</v>
      </c>
      <c r="I149" s="17">
        <v>26.0</v>
      </c>
      <c r="J149" s="12" t="s">
        <v>53</v>
      </c>
      <c r="K149" s="12" t="s">
        <v>65</v>
      </c>
      <c r="L149" s="17">
        <v>1328.0</v>
      </c>
      <c r="M149" s="17">
        <v>1.0</v>
      </c>
      <c r="N149" s="17">
        <v>0.0</v>
      </c>
      <c r="O149" s="17">
        <v>35.1</v>
      </c>
      <c r="P149" s="17">
        <v>2.8</v>
      </c>
      <c r="Q149" s="15">
        <v>45279.0</v>
      </c>
      <c r="R149" s="12" t="s">
        <v>457</v>
      </c>
      <c r="S149" s="12" t="s">
        <v>45</v>
      </c>
      <c r="T149" s="12" t="s">
        <v>66</v>
      </c>
      <c r="U149" s="17">
        <f t="shared" si="1"/>
        <v>5</v>
      </c>
    </row>
    <row r="150">
      <c r="A150" s="12" t="s">
        <v>458</v>
      </c>
      <c r="B150" s="12" t="s">
        <v>459</v>
      </c>
      <c r="C150" s="17">
        <v>20.0</v>
      </c>
      <c r="D150" s="12" t="s">
        <v>85</v>
      </c>
      <c r="E150" s="12" t="s">
        <v>292</v>
      </c>
      <c r="F150" s="12" t="s">
        <v>37</v>
      </c>
      <c r="G150" s="12" t="s">
        <v>52</v>
      </c>
      <c r="H150" s="15">
        <v>45523.0</v>
      </c>
      <c r="I150" s="17">
        <v>21.0</v>
      </c>
      <c r="J150" s="12" t="s">
        <v>53</v>
      </c>
      <c r="K150" s="12" t="s">
        <v>81</v>
      </c>
      <c r="L150" s="17">
        <v>1319.0</v>
      </c>
      <c r="M150" s="17">
        <v>3.0</v>
      </c>
      <c r="N150" s="17">
        <v>1.0</v>
      </c>
      <c r="O150" s="17">
        <v>23.9</v>
      </c>
      <c r="P150" s="17">
        <v>3.9</v>
      </c>
      <c r="Q150" s="15">
        <v>45579.0</v>
      </c>
      <c r="R150" s="12" t="s">
        <v>460</v>
      </c>
      <c r="S150" s="12" t="s">
        <v>45</v>
      </c>
      <c r="T150" s="12" t="s">
        <v>66</v>
      </c>
      <c r="U150" s="17">
        <f t="shared" si="1"/>
        <v>1</v>
      </c>
    </row>
    <row r="151">
      <c r="A151" s="12" t="s">
        <v>461</v>
      </c>
      <c r="B151" s="12" t="s">
        <v>224</v>
      </c>
      <c r="C151" s="17">
        <v>67.0</v>
      </c>
      <c r="D151" s="12" t="s">
        <v>85</v>
      </c>
      <c r="E151" s="12" t="s">
        <v>92</v>
      </c>
      <c r="F151" s="12" t="s">
        <v>62</v>
      </c>
      <c r="G151" s="12" t="s">
        <v>210</v>
      </c>
      <c r="H151" s="15">
        <v>45033.0</v>
      </c>
      <c r="I151" s="17">
        <v>25.0</v>
      </c>
      <c r="J151" s="12" t="s">
        <v>53</v>
      </c>
      <c r="K151" s="12" t="s">
        <v>81</v>
      </c>
      <c r="L151" s="17">
        <v>624.0</v>
      </c>
      <c r="M151" s="17">
        <v>3.0</v>
      </c>
      <c r="N151" s="17">
        <v>4.0</v>
      </c>
      <c r="O151" s="17">
        <v>23.5</v>
      </c>
      <c r="P151" s="17">
        <v>5.0</v>
      </c>
      <c r="Q151" s="15">
        <v>45713.0</v>
      </c>
      <c r="R151" s="12"/>
      <c r="S151" s="12" t="s">
        <v>55</v>
      </c>
      <c r="T151" s="12" t="s">
        <v>75</v>
      </c>
      <c r="U151" s="17">
        <f t="shared" si="1"/>
        <v>1</v>
      </c>
    </row>
    <row r="152">
      <c r="A152" s="12" t="s">
        <v>462</v>
      </c>
      <c r="B152" s="12" t="s">
        <v>179</v>
      </c>
      <c r="C152" s="17">
        <v>23.0</v>
      </c>
      <c r="D152" s="12" t="s">
        <v>69</v>
      </c>
      <c r="E152" s="12" t="s">
        <v>177</v>
      </c>
      <c r="F152" s="12" t="s">
        <v>62</v>
      </c>
      <c r="G152" s="12" t="s">
        <v>52</v>
      </c>
      <c r="H152" s="15">
        <v>45681.0</v>
      </c>
      <c r="I152" s="17">
        <v>32.0</v>
      </c>
      <c r="J152" s="12" t="s">
        <v>64</v>
      </c>
      <c r="K152" s="12" t="s">
        <v>42</v>
      </c>
      <c r="L152" s="17">
        <v>776.0</v>
      </c>
      <c r="M152" s="17">
        <v>1.0</v>
      </c>
      <c r="N152" s="17">
        <v>2.0</v>
      </c>
      <c r="O152" s="17">
        <v>26.1</v>
      </c>
      <c r="P152" s="17">
        <v>5.0</v>
      </c>
      <c r="Q152" s="15">
        <v>45751.0</v>
      </c>
      <c r="R152" s="12"/>
      <c r="S152" s="12" t="s">
        <v>55</v>
      </c>
      <c r="T152" s="12" t="s">
        <v>104</v>
      </c>
      <c r="U152" s="17">
        <f t="shared" si="1"/>
        <v>4</v>
      </c>
    </row>
    <row r="153">
      <c r="A153" s="12" t="s">
        <v>463</v>
      </c>
      <c r="B153" s="12" t="s">
        <v>351</v>
      </c>
      <c r="C153" s="17">
        <v>61.0</v>
      </c>
      <c r="D153" s="12" t="s">
        <v>69</v>
      </c>
      <c r="E153" s="12" t="s">
        <v>187</v>
      </c>
      <c r="F153" s="12" t="s">
        <v>62</v>
      </c>
      <c r="G153" s="12" t="s">
        <v>39</v>
      </c>
      <c r="H153" s="15">
        <v>44580.0</v>
      </c>
      <c r="I153" s="17">
        <v>14.0</v>
      </c>
      <c r="J153" s="12" t="s">
        <v>53</v>
      </c>
      <c r="K153" s="12" t="s">
        <v>42</v>
      </c>
      <c r="L153" s="17">
        <v>690.0</v>
      </c>
      <c r="M153" s="17">
        <v>2.0</v>
      </c>
      <c r="N153" s="17">
        <v>2.0</v>
      </c>
      <c r="O153" s="17">
        <v>16.7</v>
      </c>
      <c r="P153" s="17">
        <v>3.8</v>
      </c>
      <c r="Q153" s="15">
        <v>44916.0</v>
      </c>
      <c r="R153" s="12"/>
      <c r="S153" s="12" t="s">
        <v>55</v>
      </c>
      <c r="T153" s="12" t="s">
        <v>104</v>
      </c>
      <c r="U153" s="17">
        <f t="shared" si="1"/>
        <v>2</v>
      </c>
    </row>
    <row r="154">
      <c r="A154" s="12" t="s">
        <v>464</v>
      </c>
      <c r="B154" s="12" t="s">
        <v>325</v>
      </c>
      <c r="C154" s="17">
        <v>52.0</v>
      </c>
      <c r="D154" s="12" t="s">
        <v>85</v>
      </c>
      <c r="E154" s="12" t="s">
        <v>292</v>
      </c>
      <c r="F154" s="12" t="s">
        <v>62</v>
      </c>
      <c r="G154" s="12" t="s">
        <v>52</v>
      </c>
      <c r="H154" s="15">
        <v>45124.0</v>
      </c>
      <c r="I154" s="17">
        <v>35.0</v>
      </c>
      <c r="J154" s="12" t="s">
        <v>40</v>
      </c>
      <c r="K154" s="12" t="s">
        <v>42</v>
      </c>
      <c r="L154" s="17">
        <v>507.0</v>
      </c>
      <c r="M154" s="17">
        <v>2.0</v>
      </c>
      <c r="N154" s="17">
        <v>2.0</v>
      </c>
      <c r="O154" s="17">
        <v>19.5</v>
      </c>
      <c r="P154" s="17">
        <v>3.7</v>
      </c>
      <c r="Q154" s="15">
        <v>46015.0</v>
      </c>
      <c r="R154" s="12" t="s">
        <v>465</v>
      </c>
      <c r="S154" s="12" t="s">
        <v>45</v>
      </c>
      <c r="T154" s="12" t="s">
        <v>47</v>
      </c>
      <c r="U154" s="17">
        <f t="shared" si="1"/>
        <v>2</v>
      </c>
    </row>
    <row r="155">
      <c r="A155" s="12" t="s">
        <v>466</v>
      </c>
      <c r="B155" s="12" t="s">
        <v>398</v>
      </c>
      <c r="C155" s="17">
        <v>60.0</v>
      </c>
      <c r="D155" s="12" t="s">
        <v>60</v>
      </c>
      <c r="E155" s="12" t="s">
        <v>107</v>
      </c>
      <c r="F155" s="12" t="s">
        <v>62</v>
      </c>
      <c r="G155" s="12" t="s">
        <v>120</v>
      </c>
      <c r="H155" s="15">
        <v>44723.0</v>
      </c>
      <c r="I155" s="17">
        <v>24.0</v>
      </c>
      <c r="J155" s="12" t="s">
        <v>64</v>
      </c>
      <c r="K155" s="12" t="s">
        <v>42</v>
      </c>
      <c r="L155" s="17">
        <v>734.0</v>
      </c>
      <c r="M155" s="17">
        <v>4.0</v>
      </c>
      <c r="N155" s="17">
        <v>2.0</v>
      </c>
      <c r="O155" s="17">
        <v>20.0</v>
      </c>
      <c r="P155" s="17">
        <v>5.0</v>
      </c>
      <c r="Q155" s="15">
        <v>45446.0</v>
      </c>
      <c r="R155" s="12" t="s">
        <v>467</v>
      </c>
      <c r="S155" s="12" t="s">
        <v>45</v>
      </c>
      <c r="T155" s="12" t="s">
        <v>104</v>
      </c>
      <c r="U155" s="17">
        <f t="shared" si="1"/>
        <v>3</v>
      </c>
    </row>
    <row r="156">
      <c r="A156" s="12" t="s">
        <v>468</v>
      </c>
      <c r="B156" s="12" t="s">
        <v>91</v>
      </c>
      <c r="C156" s="17">
        <v>52.0</v>
      </c>
      <c r="D156" s="12" t="s">
        <v>85</v>
      </c>
      <c r="E156" s="12" t="s">
        <v>87</v>
      </c>
      <c r="F156" s="12" t="s">
        <v>37</v>
      </c>
      <c r="G156" s="12" t="s">
        <v>63</v>
      </c>
      <c r="H156" s="15">
        <v>45866.0</v>
      </c>
      <c r="I156" s="17">
        <v>1.0</v>
      </c>
      <c r="J156" s="12" t="s">
        <v>40</v>
      </c>
      <c r="K156" s="12" t="s">
        <v>42</v>
      </c>
      <c r="L156" s="17">
        <v>1510.0</v>
      </c>
      <c r="M156" s="17">
        <v>0.0</v>
      </c>
      <c r="N156" s="17">
        <v>1.0</v>
      </c>
      <c r="O156" s="17">
        <v>36.6</v>
      </c>
      <c r="P156" s="17">
        <v>2.8</v>
      </c>
      <c r="Q156" s="15">
        <v>45903.0</v>
      </c>
      <c r="R156" s="12"/>
      <c r="S156" s="12" t="s">
        <v>55</v>
      </c>
      <c r="T156" s="12" t="s">
        <v>47</v>
      </c>
      <c r="U156" s="17">
        <f t="shared" si="1"/>
        <v>1</v>
      </c>
    </row>
    <row r="157">
      <c r="A157" s="12" t="s">
        <v>469</v>
      </c>
      <c r="B157" s="12" t="s">
        <v>470</v>
      </c>
      <c r="C157" s="17">
        <v>56.0</v>
      </c>
      <c r="D157" s="12" t="s">
        <v>85</v>
      </c>
      <c r="E157" s="12" t="s">
        <v>92</v>
      </c>
      <c r="F157" s="12" t="s">
        <v>62</v>
      </c>
      <c r="G157" s="12" t="s">
        <v>63</v>
      </c>
      <c r="H157" s="15">
        <v>45963.0</v>
      </c>
      <c r="I157" s="17">
        <v>18.0</v>
      </c>
      <c r="J157" s="12" t="s">
        <v>40</v>
      </c>
      <c r="K157" s="12" t="s">
        <v>81</v>
      </c>
      <c r="L157" s="17">
        <v>787.0</v>
      </c>
      <c r="M157" s="17">
        <v>4.0</v>
      </c>
      <c r="N157" s="17">
        <v>1.0</v>
      </c>
      <c r="O157" s="17">
        <v>14.2</v>
      </c>
      <c r="P157" s="17">
        <v>3.8</v>
      </c>
      <c r="Q157" s="15">
        <v>46156.0</v>
      </c>
      <c r="R157" s="12" t="s">
        <v>472</v>
      </c>
      <c r="S157" s="12" t="s">
        <v>45</v>
      </c>
      <c r="T157" s="12" t="s">
        <v>75</v>
      </c>
      <c r="U157" s="17">
        <f t="shared" si="1"/>
        <v>3</v>
      </c>
    </row>
    <row r="158">
      <c r="A158" s="12" t="s">
        <v>473</v>
      </c>
      <c r="B158" s="12" t="s">
        <v>167</v>
      </c>
      <c r="C158" s="17">
        <v>22.0</v>
      </c>
      <c r="D158" s="12" t="s">
        <v>60</v>
      </c>
      <c r="E158" s="12" t="s">
        <v>97</v>
      </c>
      <c r="F158" s="12" t="s">
        <v>37</v>
      </c>
      <c r="G158" s="12" t="s">
        <v>80</v>
      </c>
      <c r="H158" s="15">
        <v>45358.0</v>
      </c>
      <c r="I158" s="17">
        <v>44.0</v>
      </c>
      <c r="J158" s="12" t="s">
        <v>40</v>
      </c>
      <c r="K158" s="12" t="s">
        <v>65</v>
      </c>
      <c r="L158" s="17">
        <v>1392.0</v>
      </c>
      <c r="M158" s="17">
        <v>2.0</v>
      </c>
      <c r="N158" s="17">
        <v>2.0</v>
      </c>
      <c r="O158" s="17">
        <v>40.5</v>
      </c>
      <c r="P158" s="17">
        <v>3.6</v>
      </c>
      <c r="Q158" s="15">
        <v>45654.0</v>
      </c>
      <c r="R158" s="12" t="s">
        <v>474</v>
      </c>
      <c r="S158" s="12" t="s">
        <v>45</v>
      </c>
      <c r="T158" s="12" t="s">
        <v>47</v>
      </c>
      <c r="U158" s="17">
        <f t="shared" si="1"/>
        <v>4</v>
      </c>
    </row>
    <row r="159">
      <c r="A159" s="12" t="s">
        <v>475</v>
      </c>
      <c r="B159" s="12" t="s">
        <v>476</v>
      </c>
      <c r="C159" s="17">
        <v>46.0</v>
      </c>
      <c r="D159" s="12" t="s">
        <v>60</v>
      </c>
      <c r="E159" s="12" t="s">
        <v>133</v>
      </c>
      <c r="F159" s="12" t="s">
        <v>79</v>
      </c>
      <c r="G159" s="12" t="s">
        <v>210</v>
      </c>
      <c r="H159" s="15">
        <v>44622.0</v>
      </c>
      <c r="I159" s="17">
        <v>41.0</v>
      </c>
      <c r="J159" s="12" t="s">
        <v>429</v>
      </c>
      <c r="K159" s="12" t="s">
        <v>81</v>
      </c>
      <c r="L159" s="17">
        <v>2466.0</v>
      </c>
      <c r="M159" s="17">
        <v>2.0</v>
      </c>
      <c r="N159" s="17">
        <v>2.0</v>
      </c>
      <c r="O159" s="17">
        <v>41.5</v>
      </c>
      <c r="P159" s="17">
        <v>3.2</v>
      </c>
      <c r="Q159" s="15">
        <v>45360.0</v>
      </c>
      <c r="R159" s="12"/>
      <c r="S159" s="12" t="s">
        <v>55</v>
      </c>
      <c r="T159" s="12" t="s">
        <v>66</v>
      </c>
      <c r="U159" s="17">
        <f t="shared" si="1"/>
        <v>1</v>
      </c>
    </row>
    <row r="160">
      <c r="A160" s="12" t="s">
        <v>478</v>
      </c>
      <c r="B160" s="12" t="s">
        <v>50</v>
      </c>
      <c r="C160" s="17">
        <v>39.0</v>
      </c>
      <c r="D160" s="12" t="s">
        <v>85</v>
      </c>
      <c r="E160" s="12" t="s">
        <v>292</v>
      </c>
      <c r="F160" s="12" t="s">
        <v>37</v>
      </c>
      <c r="G160" s="12" t="s">
        <v>421</v>
      </c>
      <c r="H160" s="15">
        <v>45066.0</v>
      </c>
      <c r="I160" s="17">
        <v>46.0</v>
      </c>
      <c r="J160" s="12" t="s">
        <v>53</v>
      </c>
      <c r="K160" s="12" t="s">
        <v>42</v>
      </c>
      <c r="L160" s="17">
        <v>1156.0</v>
      </c>
      <c r="M160" s="17">
        <v>2.0</v>
      </c>
      <c r="N160" s="17">
        <v>0.0</v>
      </c>
      <c r="O160" s="17">
        <v>33.2</v>
      </c>
      <c r="P160" s="17">
        <v>3.6</v>
      </c>
      <c r="Q160" s="15">
        <v>46374.0</v>
      </c>
      <c r="R160" s="12"/>
      <c r="S160" s="12" t="s">
        <v>55</v>
      </c>
      <c r="T160" s="12" t="s">
        <v>104</v>
      </c>
      <c r="U160" s="17">
        <f t="shared" si="1"/>
        <v>2</v>
      </c>
    </row>
    <row r="161">
      <c r="A161" s="12" t="s">
        <v>479</v>
      </c>
      <c r="B161" s="12" t="s">
        <v>480</v>
      </c>
      <c r="C161" s="17">
        <v>20.0</v>
      </c>
      <c r="D161" s="12" t="s">
        <v>60</v>
      </c>
      <c r="E161" s="12" t="s">
        <v>133</v>
      </c>
      <c r="F161" s="12" t="s">
        <v>62</v>
      </c>
      <c r="G161" s="12" t="s">
        <v>210</v>
      </c>
      <c r="H161" s="15">
        <v>44771.0</v>
      </c>
      <c r="I161" s="17">
        <v>9.0</v>
      </c>
      <c r="J161" s="12" t="s">
        <v>40</v>
      </c>
      <c r="K161" s="12" t="s">
        <v>65</v>
      </c>
      <c r="L161" s="17">
        <v>719.0</v>
      </c>
      <c r="M161" s="17">
        <v>2.0</v>
      </c>
      <c r="N161" s="17">
        <v>0.0</v>
      </c>
      <c r="O161" s="17">
        <v>17.6</v>
      </c>
      <c r="P161" s="17">
        <v>3.9</v>
      </c>
      <c r="Q161" s="15">
        <v>45043.0</v>
      </c>
      <c r="R161" s="12"/>
      <c r="S161" s="12" t="s">
        <v>55</v>
      </c>
      <c r="T161" s="12" t="s">
        <v>66</v>
      </c>
      <c r="U161" s="17">
        <f t="shared" si="1"/>
        <v>2</v>
      </c>
    </row>
    <row r="162">
      <c r="A162" s="12" t="s">
        <v>483</v>
      </c>
      <c r="B162" s="12" t="s">
        <v>206</v>
      </c>
      <c r="C162" s="12"/>
      <c r="D162" s="12" t="s">
        <v>60</v>
      </c>
      <c r="E162" s="12" t="s">
        <v>133</v>
      </c>
      <c r="F162" s="12" t="s">
        <v>62</v>
      </c>
      <c r="G162" s="12" t="s">
        <v>120</v>
      </c>
      <c r="H162" s="15">
        <v>45356.0</v>
      </c>
      <c r="I162" s="17">
        <v>6.0</v>
      </c>
      <c r="J162" s="12" t="s">
        <v>53</v>
      </c>
      <c r="K162" s="12" t="s">
        <v>65</v>
      </c>
      <c r="L162" s="17">
        <v>785.0</v>
      </c>
      <c r="M162" s="17">
        <v>3.0</v>
      </c>
      <c r="N162" s="17">
        <v>4.0</v>
      </c>
      <c r="O162" s="17">
        <v>8.0</v>
      </c>
      <c r="P162" s="17">
        <v>5.0</v>
      </c>
      <c r="Q162" s="15">
        <v>45499.0</v>
      </c>
      <c r="R162" s="12" t="s">
        <v>487</v>
      </c>
      <c r="S162" s="12" t="s">
        <v>45</v>
      </c>
      <c r="T162" s="12" t="s">
        <v>72</v>
      </c>
      <c r="U162" s="17">
        <f t="shared" si="1"/>
        <v>4</v>
      </c>
    </row>
    <row r="163">
      <c r="A163" s="12" t="s">
        <v>490</v>
      </c>
      <c r="B163" s="12" t="s">
        <v>163</v>
      </c>
      <c r="C163" s="17">
        <v>48.0</v>
      </c>
      <c r="D163" s="12" t="s">
        <v>69</v>
      </c>
      <c r="E163" s="12" t="s">
        <v>70</v>
      </c>
      <c r="F163" s="12" t="s">
        <v>62</v>
      </c>
      <c r="G163" s="12" t="s">
        <v>210</v>
      </c>
      <c r="H163" s="15">
        <v>45424.0</v>
      </c>
      <c r="I163" s="17">
        <v>20.0</v>
      </c>
      <c r="J163" s="12" t="s">
        <v>40</v>
      </c>
      <c r="K163" s="12" t="s">
        <v>42</v>
      </c>
      <c r="L163" s="17">
        <v>538.0</v>
      </c>
      <c r="M163" s="17">
        <v>0.0</v>
      </c>
      <c r="N163" s="17">
        <v>3.0</v>
      </c>
      <c r="O163" s="17">
        <v>10.4</v>
      </c>
      <c r="P163" s="17">
        <v>4.0</v>
      </c>
      <c r="Q163" s="15">
        <v>45686.0</v>
      </c>
      <c r="R163" s="12"/>
      <c r="S163" s="12" t="s">
        <v>55</v>
      </c>
      <c r="T163" s="12" t="s">
        <v>72</v>
      </c>
      <c r="U163" s="17">
        <f t="shared" si="1"/>
        <v>1</v>
      </c>
    </row>
    <row r="164">
      <c r="A164" s="12" t="s">
        <v>495</v>
      </c>
      <c r="B164" s="12" t="s">
        <v>312</v>
      </c>
      <c r="C164" s="17">
        <v>49.0</v>
      </c>
      <c r="D164" s="12" t="s">
        <v>85</v>
      </c>
      <c r="E164" s="12" t="s">
        <v>92</v>
      </c>
      <c r="F164" s="12" t="s">
        <v>497</v>
      </c>
      <c r="G164" s="12" t="s">
        <v>120</v>
      </c>
      <c r="H164" s="15">
        <v>45236.0</v>
      </c>
      <c r="I164" s="17">
        <v>29.0</v>
      </c>
      <c r="J164" s="12" t="s">
        <v>53</v>
      </c>
      <c r="K164" s="12" t="s">
        <v>42</v>
      </c>
      <c r="L164" s="17">
        <v>1607.0</v>
      </c>
      <c r="M164" s="17">
        <v>1.0</v>
      </c>
      <c r="N164" s="17">
        <v>0.0</v>
      </c>
      <c r="O164" s="17">
        <v>22.6</v>
      </c>
      <c r="P164" s="17">
        <v>5.0</v>
      </c>
      <c r="Q164" s="15">
        <v>45553.0</v>
      </c>
      <c r="R164" s="12"/>
      <c r="S164" s="12" t="s">
        <v>55</v>
      </c>
      <c r="T164" s="12" t="s">
        <v>75</v>
      </c>
      <c r="U164" s="17">
        <f t="shared" si="1"/>
        <v>2</v>
      </c>
    </row>
    <row r="165">
      <c r="A165" s="12" t="s">
        <v>502</v>
      </c>
      <c r="B165" s="12" t="s">
        <v>459</v>
      </c>
      <c r="C165" s="17">
        <v>62.0</v>
      </c>
      <c r="D165" s="12" t="s">
        <v>60</v>
      </c>
      <c r="E165" s="12" t="s">
        <v>133</v>
      </c>
      <c r="F165" s="12" t="s">
        <v>79</v>
      </c>
      <c r="G165" s="12" t="s">
        <v>93</v>
      </c>
      <c r="H165" s="15">
        <v>45058.0</v>
      </c>
      <c r="I165" s="17">
        <v>21.0</v>
      </c>
      <c r="J165" s="12" t="s">
        <v>64</v>
      </c>
      <c r="K165" s="12" t="s">
        <v>42</v>
      </c>
      <c r="L165" s="17">
        <v>2232.0</v>
      </c>
      <c r="M165" s="17">
        <v>2.0</v>
      </c>
      <c r="N165" s="17">
        <v>0.0</v>
      </c>
      <c r="O165" s="17">
        <v>25.3</v>
      </c>
      <c r="P165" s="17">
        <v>4.2</v>
      </c>
      <c r="Q165" s="15">
        <v>45645.0</v>
      </c>
      <c r="R165" s="12"/>
      <c r="S165" s="12" t="s">
        <v>55</v>
      </c>
      <c r="T165" s="12" t="s">
        <v>75</v>
      </c>
      <c r="U165" s="17">
        <f t="shared" si="1"/>
        <v>2</v>
      </c>
    </row>
    <row r="166">
      <c r="A166" s="12" t="s">
        <v>506</v>
      </c>
      <c r="B166" s="12" t="s">
        <v>380</v>
      </c>
      <c r="C166" s="17">
        <v>61.0</v>
      </c>
      <c r="D166" s="12" t="s">
        <v>445</v>
      </c>
      <c r="E166" s="12" t="s">
        <v>119</v>
      </c>
      <c r="F166" s="12" t="s">
        <v>37</v>
      </c>
      <c r="G166" s="12" t="s">
        <v>93</v>
      </c>
      <c r="H166" s="15">
        <v>45980.0</v>
      </c>
      <c r="I166" s="17">
        <v>5.0</v>
      </c>
      <c r="J166" s="12" t="s">
        <v>40</v>
      </c>
      <c r="K166" s="12" t="s">
        <v>81</v>
      </c>
      <c r="L166" s="17">
        <v>1688.0</v>
      </c>
      <c r="M166" s="17">
        <v>2.0</v>
      </c>
      <c r="N166" s="17">
        <v>3.0</v>
      </c>
      <c r="O166" s="17">
        <v>26.6</v>
      </c>
      <c r="P166" s="17">
        <v>3.1</v>
      </c>
      <c r="Q166" s="15">
        <v>46025.0</v>
      </c>
      <c r="R166" s="12" t="s">
        <v>174</v>
      </c>
      <c r="S166" s="12" t="s">
        <v>45</v>
      </c>
      <c r="T166" s="12" t="s">
        <v>75</v>
      </c>
      <c r="U166" s="17">
        <f t="shared" si="1"/>
        <v>4</v>
      </c>
    </row>
    <row r="167">
      <c r="A167" s="12" t="s">
        <v>512</v>
      </c>
      <c r="B167" s="12" t="s">
        <v>91</v>
      </c>
      <c r="C167" s="17">
        <v>25.0</v>
      </c>
      <c r="D167" s="12" t="s">
        <v>35</v>
      </c>
      <c r="E167" s="12" t="s">
        <v>140</v>
      </c>
      <c r="F167" s="12" t="s">
        <v>79</v>
      </c>
      <c r="G167" s="12" t="s">
        <v>120</v>
      </c>
      <c r="H167" s="15">
        <v>45754.0</v>
      </c>
      <c r="I167" s="17">
        <v>26.0</v>
      </c>
      <c r="J167" s="12" t="s">
        <v>64</v>
      </c>
      <c r="K167" s="12" t="s">
        <v>81</v>
      </c>
      <c r="L167" s="17">
        <v>3112.0</v>
      </c>
      <c r="M167" s="17">
        <v>2.0</v>
      </c>
      <c r="N167" s="17">
        <v>1.0</v>
      </c>
      <c r="O167" s="17">
        <v>30.3</v>
      </c>
      <c r="P167" s="17">
        <v>3.7</v>
      </c>
      <c r="Q167" s="12"/>
      <c r="R167" s="12"/>
      <c r="S167" s="12" t="s">
        <v>55</v>
      </c>
      <c r="T167" s="12" t="s">
        <v>72</v>
      </c>
      <c r="U167" s="17">
        <f t="shared" si="1"/>
        <v>2</v>
      </c>
    </row>
    <row r="168">
      <c r="A168" s="12" t="s">
        <v>517</v>
      </c>
      <c r="B168" s="12" t="s">
        <v>395</v>
      </c>
      <c r="C168" s="17">
        <v>47.0</v>
      </c>
      <c r="D168" s="12" t="s">
        <v>35</v>
      </c>
      <c r="E168" s="12" t="s">
        <v>140</v>
      </c>
      <c r="F168" s="12" t="s">
        <v>79</v>
      </c>
      <c r="G168" s="12" t="s">
        <v>210</v>
      </c>
      <c r="H168" s="15">
        <v>45443.0</v>
      </c>
      <c r="I168" s="17">
        <v>7.0</v>
      </c>
      <c r="J168" s="12" t="s">
        <v>53</v>
      </c>
      <c r="K168" s="12" t="s">
        <v>65</v>
      </c>
      <c r="L168" s="17">
        <v>3044.0</v>
      </c>
      <c r="M168" s="17">
        <v>0.0</v>
      </c>
      <c r="N168" s="17">
        <v>0.0</v>
      </c>
      <c r="O168" s="17">
        <v>42.2</v>
      </c>
      <c r="P168" s="17">
        <v>5.0</v>
      </c>
      <c r="Q168" s="15">
        <v>45644.0</v>
      </c>
      <c r="R168" s="12"/>
      <c r="S168" s="12" t="s">
        <v>55</v>
      </c>
      <c r="T168" s="12" t="s">
        <v>75</v>
      </c>
      <c r="U168" s="17">
        <f t="shared" si="1"/>
        <v>3</v>
      </c>
    </row>
    <row r="169">
      <c r="A169" s="12" t="s">
        <v>519</v>
      </c>
      <c r="B169" s="12" t="s">
        <v>224</v>
      </c>
      <c r="C169" s="17">
        <v>40.0</v>
      </c>
      <c r="D169" s="12" t="s">
        <v>69</v>
      </c>
      <c r="E169" s="12" t="s">
        <v>177</v>
      </c>
      <c r="F169" s="12" t="s">
        <v>79</v>
      </c>
      <c r="G169" s="12" t="s">
        <v>120</v>
      </c>
      <c r="H169" s="15">
        <v>44776.0</v>
      </c>
      <c r="I169" s="17">
        <v>19.0</v>
      </c>
      <c r="J169" s="12" t="s">
        <v>53</v>
      </c>
      <c r="K169" s="12" t="s">
        <v>42</v>
      </c>
      <c r="L169" s="17">
        <v>3701.0</v>
      </c>
      <c r="M169" s="17">
        <v>1.0</v>
      </c>
      <c r="N169" s="17">
        <v>0.0</v>
      </c>
      <c r="O169" s="17">
        <v>31.0</v>
      </c>
      <c r="P169" s="17">
        <v>3.7</v>
      </c>
      <c r="Q169" s="15">
        <v>44931.0</v>
      </c>
      <c r="R169" s="12"/>
      <c r="S169" s="12" t="s">
        <v>55</v>
      </c>
      <c r="T169" s="12" t="s">
        <v>66</v>
      </c>
      <c r="U169" s="17">
        <f t="shared" si="1"/>
        <v>2</v>
      </c>
    </row>
    <row r="170">
      <c r="A170" s="12" t="s">
        <v>520</v>
      </c>
      <c r="B170" s="12" t="s">
        <v>303</v>
      </c>
      <c r="C170" s="17">
        <v>40.0</v>
      </c>
      <c r="D170" s="12" t="s">
        <v>60</v>
      </c>
      <c r="E170" s="12" t="s">
        <v>133</v>
      </c>
      <c r="F170" s="12" t="s">
        <v>62</v>
      </c>
      <c r="G170" s="12" t="s">
        <v>52</v>
      </c>
      <c r="H170" s="15">
        <v>45988.0</v>
      </c>
      <c r="I170" s="17">
        <v>29.0</v>
      </c>
      <c r="J170" s="12" t="s">
        <v>64</v>
      </c>
      <c r="K170" s="12" t="s">
        <v>42</v>
      </c>
      <c r="L170" s="17">
        <v>652.0</v>
      </c>
      <c r="M170" s="17">
        <v>3.0</v>
      </c>
      <c r="N170" s="17">
        <v>0.0</v>
      </c>
      <c r="O170" s="17">
        <v>10.0</v>
      </c>
      <c r="P170" s="17">
        <v>3.4</v>
      </c>
      <c r="Q170" s="15">
        <v>46725.0</v>
      </c>
      <c r="R170" s="12"/>
      <c r="S170" s="12" t="s">
        <v>55</v>
      </c>
      <c r="T170" s="12" t="s">
        <v>47</v>
      </c>
      <c r="U170" s="17">
        <f t="shared" si="1"/>
        <v>2</v>
      </c>
    </row>
    <row r="171">
      <c r="A171" s="12" t="s">
        <v>521</v>
      </c>
      <c r="B171" s="12" t="s">
        <v>393</v>
      </c>
      <c r="C171" s="17">
        <v>20.0</v>
      </c>
      <c r="D171" s="12" t="s">
        <v>69</v>
      </c>
      <c r="E171" s="12" t="s">
        <v>187</v>
      </c>
      <c r="F171" s="12" t="s">
        <v>37</v>
      </c>
      <c r="G171" s="12" t="s">
        <v>210</v>
      </c>
      <c r="H171" s="15">
        <v>45708.0</v>
      </c>
      <c r="I171" s="17">
        <v>28.0</v>
      </c>
      <c r="J171" s="12" t="s">
        <v>64</v>
      </c>
      <c r="K171" s="12" t="s">
        <v>81</v>
      </c>
      <c r="L171" s="17">
        <v>1413.0</v>
      </c>
      <c r="M171" s="17">
        <v>1.0</v>
      </c>
      <c r="N171" s="17">
        <v>1.0</v>
      </c>
      <c r="O171" s="17">
        <v>30.2</v>
      </c>
      <c r="P171" s="17">
        <v>3.0</v>
      </c>
      <c r="Q171" s="15">
        <v>45906.0</v>
      </c>
      <c r="R171" s="12" t="s">
        <v>522</v>
      </c>
      <c r="S171" s="12" t="s">
        <v>45</v>
      </c>
      <c r="T171" s="12" t="s">
        <v>47</v>
      </c>
      <c r="U171" s="17">
        <f t="shared" si="1"/>
        <v>4</v>
      </c>
    </row>
    <row r="172">
      <c r="A172" s="12" t="s">
        <v>369</v>
      </c>
      <c r="B172" s="12" t="s">
        <v>281</v>
      </c>
      <c r="C172" s="17">
        <v>31.0</v>
      </c>
      <c r="D172" s="12" t="s">
        <v>85</v>
      </c>
      <c r="E172" s="12" t="s">
        <v>87</v>
      </c>
      <c r="F172" s="12" t="s">
        <v>62</v>
      </c>
      <c r="G172" s="12" t="s">
        <v>39</v>
      </c>
      <c r="H172" s="15">
        <v>44983.0</v>
      </c>
      <c r="I172" s="17">
        <v>18.0</v>
      </c>
      <c r="J172" s="12" t="s">
        <v>53</v>
      </c>
      <c r="K172" s="12" t="s">
        <v>42</v>
      </c>
      <c r="L172" s="17">
        <v>531.0</v>
      </c>
      <c r="M172" s="17">
        <v>5.0</v>
      </c>
      <c r="N172" s="17">
        <v>3.0</v>
      </c>
      <c r="O172" s="17">
        <v>32.5</v>
      </c>
      <c r="P172" s="17">
        <v>4.0</v>
      </c>
      <c r="Q172" s="15">
        <v>45542.0</v>
      </c>
      <c r="R172" s="12" t="s">
        <v>524</v>
      </c>
      <c r="S172" s="12" t="s">
        <v>45</v>
      </c>
      <c r="T172" s="12" t="s">
        <v>72</v>
      </c>
      <c r="U172" s="17">
        <f t="shared" si="1"/>
        <v>3</v>
      </c>
    </row>
    <row r="173">
      <c r="A173" s="12" t="s">
        <v>526</v>
      </c>
      <c r="B173" s="12" t="s">
        <v>398</v>
      </c>
      <c r="C173" s="17">
        <v>62.0</v>
      </c>
      <c r="D173" s="12" t="s">
        <v>85</v>
      </c>
      <c r="E173" s="12" t="s">
        <v>92</v>
      </c>
      <c r="F173" s="12" t="s">
        <v>37</v>
      </c>
      <c r="G173" s="12" t="s">
        <v>80</v>
      </c>
      <c r="H173" s="15">
        <v>45365.0</v>
      </c>
      <c r="I173" s="17">
        <v>38.0</v>
      </c>
      <c r="J173" s="12" t="s">
        <v>40</v>
      </c>
      <c r="K173" s="12" t="s">
        <v>65</v>
      </c>
      <c r="L173" s="17">
        <v>1467.0</v>
      </c>
      <c r="M173" s="17">
        <v>1.0</v>
      </c>
      <c r="N173" s="17">
        <v>0.0</v>
      </c>
      <c r="O173" s="17">
        <v>31.2</v>
      </c>
      <c r="P173" s="17">
        <v>5.0</v>
      </c>
      <c r="Q173" s="15">
        <v>45994.0</v>
      </c>
      <c r="R173" s="12"/>
      <c r="S173" s="12" t="s">
        <v>529</v>
      </c>
      <c r="T173" s="12" t="s">
        <v>104</v>
      </c>
      <c r="U173" s="17">
        <f t="shared" si="1"/>
        <v>2</v>
      </c>
    </row>
    <row r="174">
      <c r="A174" s="12" t="s">
        <v>532</v>
      </c>
      <c r="B174" s="12" t="s">
        <v>206</v>
      </c>
      <c r="C174" s="17">
        <v>50.0</v>
      </c>
      <c r="D174" s="12" t="s">
        <v>60</v>
      </c>
      <c r="E174" s="12" t="s">
        <v>61</v>
      </c>
      <c r="F174" s="12" t="s">
        <v>62</v>
      </c>
      <c r="G174" s="12" t="s">
        <v>52</v>
      </c>
      <c r="H174" s="15">
        <v>44851.0</v>
      </c>
      <c r="I174" s="17">
        <v>33.0</v>
      </c>
      <c r="J174" s="12" t="s">
        <v>64</v>
      </c>
      <c r="K174" s="12" t="s">
        <v>81</v>
      </c>
      <c r="L174" s="17">
        <v>804.0</v>
      </c>
      <c r="M174" s="17">
        <v>3.0</v>
      </c>
      <c r="N174" s="17">
        <v>0.0</v>
      </c>
      <c r="O174" s="17">
        <v>12.8</v>
      </c>
      <c r="P174" s="17">
        <v>3.3</v>
      </c>
      <c r="Q174" s="15">
        <v>45253.0</v>
      </c>
      <c r="R174" s="12"/>
      <c r="S174" s="12" t="s">
        <v>55</v>
      </c>
      <c r="T174" s="12" t="s">
        <v>47</v>
      </c>
      <c r="U174" s="17">
        <f t="shared" si="1"/>
        <v>2</v>
      </c>
    </row>
    <row r="175">
      <c r="A175" s="12" t="s">
        <v>536</v>
      </c>
      <c r="B175" s="12" t="s">
        <v>333</v>
      </c>
      <c r="C175" s="12" t="s">
        <v>538</v>
      </c>
      <c r="D175" s="12" t="s">
        <v>69</v>
      </c>
      <c r="E175" s="12" t="s">
        <v>119</v>
      </c>
      <c r="F175" s="12" t="s">
        <v>62</v>
      </c>
      <c r="G175" s="12" t="s">
        <v>39</v>
      </c>
      <c r="H175" s="15">
        <v>45206.0</v>
      </c>
      <c r="I175" s="17">
        <v>29.0</v>
      </c>
      <c r="J175" s="12" t="s">
        <v>64</v>
      </c>
      <c r="K175" s="12" t="s">
        <v>81</v>
      </c>
      <c r="L175" s="17">
        <v>682.0</v>
      </c>
      <c r="M175" s="17">
        <v>3.0</v>
      </c>
      <c r="N175" s="17">
        <v>3.0</v>
      </c>
      <c r="O175" s="17">
        <v>22.9</v>
      </c>
      <c r="P175" s="17">
        <v>4.7</v>
      </c>
      <c r="Q175" s="15">
        <v>45355.0</v>
      </c>
      <c r="R175" s="12"/>
      <c r="S175" s="12" t="s">
        <v>55</v>
      </c>
      <c r="T175" s="12" t="s">
        <v>75</v>
      </c>
      <c r="U175" s="17">
        <f t="shared" si="1"/>
        <v>2</v>
      </c>
    </row>
    <row r="176">
      <c r="A176" s="12" t="s">
        <v>541</v>
      </c>
      <c r="B176" s="12" t="s">
        <v>331</v>
      </c>
      <c r="C176" s="17">
        <v>33.0</v>
      </c>
      <c r="D176" s="12" t="s">
        <v>85</v>
      </c>
      <c r="E176" s="12" t="s">
        <v>87</v>
      </c>
      <c r="F176" s="12" t="s">
        <v>37</v>
      </c>
      <c r="G176" s="12" t="s">
        <v>120</v>
      </c>
      <c r="H176" s="15">
        <v>45562.0</v>
      </c>
      <c r="I176" s="17">
        <v>11.0</v>
      </c>
      <c r="J176" s="12" t="s">
        <v>64</v>
      </c>
      <c r="K176" s="12" t="s">
        <v>65</v>
      </c>
      <c r="L176" s="17">
        <v>1778.0</v>
      </c>
      <c r="M176" s="17">
        <v>0.0</v>
      </c>
      <c r="N176" s="17">
        <v>0.0</v>
      </c>
      <c r="O176" s="17">
        <v>24.0</v>
      </c>
      <c r="P176" s="17">
        <v>3.9</v>
      </c>
      <c r="Q176" s="15">
        <v>45721.0</v>
      </c>
      <c r="R176" s="12"/>
      <c r="S176" s="12" t="s">
        <v>55</v>
      </c>
      <c r="T176" s="12" t="s">
        <v>47</v>
      </c>
      <c r="U176" s="17">
        <f t="shared" si="1"/>
        <v>1</v>
      </c>
    </row>
    <row r="177">
      <c r="A177" s="12" t="s">
        <v>542</v>
      </c>
      <c r="B177" s="12" t="s">
        <v>345</v>
      </c>
      <c r="C177" s="17">
        <v>53.0</v>
      </c>
      <c r="D177" s="12" t="s">
        <v>85</v>
      </c>
      <c r="E177" s="12" t="s">
        <v>87</v>
      </c>
      <c r="F177" s="12" t="s">
        <v>37</v>
      </c>
      <c r="G177" s="12" t="s">
        <v>63</v>
      </c>
      <c r="H177" s="15">
        <v>45734.0</v>
      </c>
      <c r="I177" s="17">
        <v>8.0</v>
      </c>
      <c r="J177" s="12" t="s">
        <v>40</v>
      </c>
      <c r="K177" s="12" t="s">
        <v>65</v>
      </c>
      <c r="L177" s="17">
        <v>1374.0</v>
      </c>
      <c r="M177" s="17">
        <v>3.0</v>
      </c>
      <c r="N177" s="17">
        <v>1.0</v>
      </c>
      <c r="O177" s="17">
        <v>36.7</v>
      </c>
      <c r="P177" s="17">
        <v>3.6</v>
      </c>
      <c r="Q177" s="15">
        <v>45954.0</v>
      </c>
      <c r="R177" s="12"/>
      <c r="S177" s="12" t="s">
        <v>55</v>
      </c>
      <c r="T177" s="12" t="s">
        <v>104</v>
      </c>
      <c r="U177" s="17">
        <f t="shared" si="1"/>
        <v>2</v>
      </c>
    </row>
    <row r="178">
      <c r="A178" s="12" t="s">
        <v>543</v>
      </c>
      <c r="B178" s="12" t="s">
        <v>362</v>
      </c>
      <c r="C178" s="17">
        <v>66.0</v>
      </c>
      <c r="D178" s="12" t="s">
        <v>69</v>
      </c>
      <c r="E178" s="12" t="s">
        <v>177</v>
      </c>
      <c r="F178" s="12" t="s">
        <v>79</v>
      </c>
      <c r="G178" s="12" t="s">
        <v>63</v>
      </c>
      <c r="H178" s="15">
        <v>45483.0</v>
      </c>
      <c r="I178" s="17">
        <v>17.0</v>
      </c>
      <c r="J178" s="12" t="s">
        <v>64</v>
      </c>
      <c r="K178" s="12" t="s">
        <v>81</v>
      </c>
      <c r="L178" s="17">
        <v>3771.0</v>
      </c>
      <c r="M178" s="17">
        <v>4.0</v>
      </c>
      <c r="N178" s="17">
        <v>0.0</v>
      </c>
      <c r="O178" s="17">
        <v>25.5</v>
      </c>
      <c r="P178" s="17">
        <v>5.0</v>
      </c>
      <c r="Q178" s="15">
        <v>45613.0</v>
      </c>
      <c r="R178" s="12"/>
      <c r="S178" s="12" t="s">
        <v>55</v>
      </c>
      <c r="T178" s="12" t="s">
        <v>72</v>
      </c>
      <c r="U178" s="17">
        <f t="shared" si="1"/>
        <v>3</v>
      </c>
    </row>
    <row r="179">
      <c r="A179" s="12" t="s">
        <v>544</v>
      </c>
      <c r="B179" s="12" t="s">
        <v>145</v>
      </c>
      <c r="C179" s="17">
        <v>39.0</v>
      </c>
      <c r="D179" s="12" t="s">
        <v>85</v>
      </c>
      <c r="E179" s="12" t="s">
        <v>111</v>
      </c>
      <c r="F179" s="12" t="s">
        <v>413</v>
      </c>
      <c r="G179" s="12" t="s">
        <v>93</v>
      </c>
      <c r="H179" s="15">
        <v>44985.0</v>
      </c>
      <c r="I179" s="17">
        <v>14.0</v>
      </c>
      <c r="J179" s="12" t="s">
        <v>64</v>
      </c>
      <c r="K179" s="12" t="s">
        <v>65</v>
      </c>
      <c r="L179" s="17">
        <v>1358.0</v>
      </c>
      <c r="M179" s="17">
        <v>1.0</v>
      </c>
      <c r="N179" s="17">
        <v>2.0</v>
      </c>
      <c r="O179" s="17">
        <v>34.4</v>
      </c>
      <c r="P179" s="17">
        <v>3.9</v>
      </c>
      <c r="Q179" s="15">
        <v>45138.0</v>
      </c>
      <c r="R179" s="12" t="s">
        <v>545</v>
      </c>
      <c r="S179" s="12" t="s">
        <v>45</v>
      </c>
      <c r="T179" s="12" t="s">
        <v>72</v>
      </c>
      <c r="U179" s="17">
        <f t="shared" si="1"/>
        <v>5</v>
      </c>
    </row>
    <row r="180">
      <c r="A180" s="12" t="s">
        <v>546</v>
      </c>
      <c r="B180" s="12" t="s">
        <v>405</v>
      </c>
      <c r="C180" s="17">
        <v>34.0</v>
      </c>
      <c r="D180" s="12" t="s">
        <v>60</v>
      </c>
      <c r="E180" s="12" t="s">
        <v>61</v>
      </c>
      <c r="F180" s="12" t="s">
        <v>62</v>
      </c>
      <c r="G180" s="12" t="s">
        <v>93</v>
      </c>
      <c r="H180" s="15">
        <v>45404.0</v>
      </c>
      <c r="I180" s="17">
        <v>4.0</v>
      </c>
      <c r="J180" s="12" t="s">
        <v>64</v>
      </c>
      <c r="K180" s="12" t="s">
        <v>65</v>
      </c>
      <c r="L180" s="17">
        <v>834.0</v>
      </c>
      <c r="M180" s="17">
        <v>1.0</v>
      </c>
      <c r="N180" s="17">
        <v>1.0</v>
      </c>
      <c r="O180" s="17">
        <v>22.0</v>
      </c>
      <c r="P180" s="17">
        <v>3.9</v>
      </c>
      <c r="Q180" s="15">
        <v>45447.0</v>
      </c>
      <c r="R180" s="12" t="s">
        <v>548</v>
      </c>
      <c r="S180" s="12" t="s">
        <v>45</v>
      </c>
      <c r="T180" s="12" t="s">
        <v>75</v>
      </c>
      <c r="U180" s="17">
        <f t="shared" si="1"/>
        <v>4</v>
      </c>
    </row>
    <row r="181">
      <c r="A181" s="12" t="s">
        <v>549</v>
      </c>
      <c r="B181" s="12" t="s">
        <v>110</v>
      </c>
      <c r="C181" s="17">
        <v>39.0</v>
      </c>
      <c r="D181" s="12" t="s">
        <v>60</v>
      </c>
      <c r="E181" s="12" t="s">
        <v>133</v>
      </c>
      <c r="F181" s="12" t="s">
        <v>62</v>
      </c>
      <c r="G181" s="12" t="s">
        <v>63</v>
      </c>
      <c r="H181" s="15">
        <v>45859.0</v>
      </c>
      <c r="I181" s="17">
        <v>6.0</v>
      </c>
      <c r="J181" s="12" t="s">
        <v>64</v>
      </c>
      <c r="K181" s="12" t="s">
        <v>42</v>
      </c>
      <c r="L181" s="17">
        <v>882.0</v>
      </c>
      <c r="M181" s="17">
        <v>2.0</v>
      </c>
      <c r="N181" s="17">
        <v>1.0</v>
      </c>
      <c r="O181" s="17">
        <v>17.8</v>
      </c>
      <c r="P181" s="17">
        <v>4.8</v>
      </c>
      <c r="Q181" s="15">
        <v>45963.0</v>
      </c>
      <c r="R181" s="12"/>
      <c r="S181" s="12" t="s">
        <v>55</v>
      </c>
      <c r="T181" s="12" t="s">
        <v>104</v>
      </c>
      <c r="U181" s="17">
        <f t="shared" si="1"/>
        <v>3</v>
      </c>
    </row>
    <row r="182">
      <c r="A182" s="12" t="s">
        <v>553</v>
      </c>
      <c r="B182" s="12" t="s">
        <v>224</v>
      </c>
      <c r="C182" s="17">
        <v>40.0</v>
      </c>
      <c r="D182" s="12" t="s">
        <v>85</v>
      </c>
      <c r="E182" s="12" t="s">
        <v>92</v>
      </c>
      <c r="F182" s="12" t="s">
        <v>79</v>
      </c>
      <c r="G182" s="12" t="s">
        <v>93</v>
      </c>
      <c r="H182" s="15">
        <v>45656.0</v>
      </c>
      <c r="I182" s="17">
        <v>26.0</v>
      </c>
      <c r="J182" s="12" t="s">
        <v>146</v>
      </c>
      <c r="K182" s="12" t="s">
        <v>81</v>
      </c>
      <c r="L182" s="17">
        <v>3012.0</v>
      </c>
      <c r="M182" s="17">
        <v>2.0</v>
      </c>
      <c r="N182" s="17">
        <v>1.0</v>
      </c>
      <c r="O182" s="17">
        <v>28.8</v>
      </c>
      <c r="P182" s="17">
        <v>4.0</v>
      </c>
      <c r="Q182" s="15">
        <v>45940.0</v>
      </c>
      <c r="R182" s="12"/>
      <c r="S182" s="12" t="s">
        <v>55</v>
      </c>
      <c r="T182" s="12" t="s">
        <v>47</v>
      </c>
      <c r="U182" s="17">
        <f t="shared" si="1"/>
        <v>1</v>
      </c>
    </row>
    <row r="183">
      <c r="A183" s="12" t="s">
        <v>302</v>
      </c>
      <c r="B183" s="12" t="s">
        <v>110</v>
      </c>
      <c r="C183" s="17">
        <v>19.0</v>
      </c>
      <c r="D183" s="12" t="s">
        <v>85</v>
      </c>
      <c r="E183" s="12" t="s">
        <v>92</v>
      </c>
      <c r="F183" s="12" t="s">
        <v>79</v>
      </c>
      <c r="G183" s="12" t="s">
        <v>93</v>
      </c>
      <c r="H183" s="15">
        <v>44661.0</v>
      </c>
      <c r="I183" s="17">
        <v>3.0</v>
      </c>
      <c r="J183" s="12" t="s">
        <v>53</v>
      </c>
      <c r="K183" s="12" t="s">
        <v>42</v>
      </c>
      <c r="L183" s="17">
        <v>2253.0</v>
      </c>
      <c r="M183" s="17">
        <v>2.0</v>
      </c>
      <c r="N183" s="17">
        <v>0.0</v>
      </c>
      <c r="O183" s="17">
        <v>34.3</v>
      </c>
      <c r="P183" s="17">
        <v>4.0</v>
      </c>
      <c r="Q183" s="15">
        <v>44691.0</v>
      </c>
      <c r="R183" s="12"/>
      <c r="S183" s="12" t="s">
        <v>55</v>
      </c>
      <c r="T183" s="12" t="s">
        <v>47</v>
      </c>
      <c r="U183" s="17">
        <f t="shared" si="1"/>
        <v>2</v>
      </c>
    </row>
    <row r="184">
      <c r="A184" s="12" t="s">
        <v>567</v>
      </c>
      <c r="B184" s="12" t="s">
        <v>202</v>
      </c>
      <c r="C184" s="17">
        <v>59.0</v>
      </c>
      <c r="D184" s="12" t="s">
        <v>60</v>
      </c>
      <c r="E184" s="12" t="s">
        <v>97</v>
      </c>
      <c r="F184" s="12" t="s">
        <v>79</v>
      </c>
      <c r="G184" s="12" t="s">
        <v>571</v>
      </c>
      <c r="H184" s="15">
        <v>44753.0</v>
      </c>
      <c r="I184" s="17">
        <v>42.0</v>
      </c>
      <c r="J184" s="12" t="s">
        <v>53</v>
      </c>
      <c r="K184" s="12" t="s">
        <v>81</v>
      </c>
      <c r="L184" s="17">
        <v>3359.0</v>
      </c>
      <c r="M184" s="17">
        <v>2.0</v>
      </c>
      <c r="N184" s="17">
        <v>0.0</v>
      </c>
      <c r="O184" s="17">
        <v>38.6</v>
      </c>
      <c r="P184" s="17">
        <v>2.5</v>
      </c>
      <c r="Q184" s="15">
        <v>45101.0</v>
      </c>
      <c r="R184" s="12"/>
      <c r="S184" s="12" t="s">
        <v>55</v>
      </c>
      <c r="T184" s="12" t="s">
        <v>47</v>
      </c>
      <c r="U184" s="17">
        <f t="shared" si="1"/>
        <v>1</v>
      </c>
    </row>
    <row r="185">
      <c r="A185" s="12" t="s">
        <v>579</v>
      </c>
      <c r="B185" s="12" t="s">
        <v>295</v>
      </c>
      <c r="C185" s="17">
        <v>26.0</v>
      </c>
      <c r="D185" s="12" t="s">
        <v>35</v>
      </c>
      <c r="E185" s="12" t="s">
        <v>36</v>
      </c>
      <c r="F185" s="12" t="s">
        <v>62</v>
      </c>
      <c r="G185" s="12" t="s">
        <v>120</v>
      </c>
      <c r="H185" s="15">
        <v>44721.0</v>
      </c>
      <c r="I185" s="17">
        <v>9.0</v>
      </c>
      <c r="J185" s="12" t="s">
        <v>53</v>
      </c>
      <c r="K185" s="12" t="s">
        <v>81</v>
      </c>
      <c r="L185" s="17">
        <v>764.0</v>
      </c>
      <c r="M185" s="17">
        <v>1.0</v>
      </c>
      <c r="N185" s="17">
        <v>0.0</v>
      </c>
      <c r="O185" s="17">
        <v>30.0</v>
      </c>
      <c r="P185" s="17">
        <v>4.5</v>
      </c>
      <c r="Q185" s="15">
        <v>44735.0</v>
      </c>
      <c r="R185" s="12"/>
      <c r="S185" s="12" t="s">
        <v>55</v>
      </c>
      <c r="T185" s="12" t="s">
        <v>47</v>
      </c>
      <c r="U185" s="17">
        <f t="shared" si="1"/>
        <v>1</v>
      </c>
    </row>
    <row r="186">
      <c r="A186" s="12" t="s">
        <v>581</v>
      </c>
      <c r="B186" s="12" t="s">
        <v>106</v>
      </c>
      <c r="C186" s="17">
        <v>23.0</v>
      </c>
      <c r="D186" s="12" t="s">
        <v>35</v>
      </c>
      <c r="E186" s="12" t="s">
        <v>51</v>
      </c>
      <c r="F186" s="12" t="s">
        <v>62</v>
      </c>
      <c r="G186" s="12" t="s">
        <v>52</v>
      </c>
      <c r="H186" s="15">
        <v>44771.0</v>
      </c>
      <c r="I186" s="17">
        <v>7.0</v>
      </c>
      <c r="J186" s="12" t="s">
        <v>64</v>
      </c>
      <c r="K186" s="12" t="s">
        <v>81</v>
      </c>
      <c r="L186" s="17">
        <v>652.0</v>
      </c>
      <c r="M186" s="17">
        <v>5.0</v>
      </c>
      <c r="N186" s="17">
        <v>0.0</v>
      </c>
      <c r="O186" s="17">
        <v>24.8</v>
      </c>
      <c r="P186" s="17">
        <v>4.8</v>
      </c>
      <c r="Q186" s="15">
        <v>44979.0</v>
      </c>
      <c r="R186" s="12"/>
      <c r="S186" s="12" t="s">
        <v>55</v>
      </c>
      <c r="T186" s="12" t="s">
        <v>104</v>
      </c>
      <c r="U186" s="17">
        <f t="shared" si="1"/>
        <v>2</v>
      </c>
    </row>
    <row r="187">
      <c r="A187" s="12" t="s">
        <v>582</v>
      </c>
      <c r="B187" s="12" t="s">
        <v>215</v>
      </c>
      <c r="C187" s="17">
        <v>25.0</v>
      </c>
      <c r="D187" s="12" t="s">
        <v>69</v>
      </c>
      <c r="E187" s="12" t="s">
        <v>119</v>
      </c>
      <c r="F187" s="12" t="s">
        <v>62</v>
      </c>
      <c r="G187" s="12" t="s">
        <v>39</v>
      </c>
      <c r="H187" s="15">
        <v>45848.0</v>
      </c>
      <c r="I187" s="17">
        <v>48.0</v>
      </c>
      <c r="J187" s="12" t="s">
        <v>40</v>
      </c>
      <c r="K187" s="12" t="s">
        <v>42</v>
      </c>
      <c r="L187" s="17">
        <v>709.0</v>
      </c>
      <c r="M187" s="17">
        <v>2.0</v>
      </c>
      <c r="N187" s="17">
        <v>0.0</v>
      </c>
      <c r="O187" s="17">
        <v>17.4</v>
      </c>
      <c r="P187" s="17">
        <v>3.7</v>
      </c>
      <c r="Q187" s="15">
        <v>46764.0</v>
      </c>
      <c r="R187" s="12"/>
      <c r="S187" s="12" t="s">
        <v>55</v>
      </c>
      <c r="T187" s="12" t="s">
        <v>66</v>
      </c>
      <c r="U187" s="17">
        <f t="shared" si="1"/>
        <v>1</v>
      </c>
    </row>
    <row r="188">
      <c r="A188" s="12" t="s">
        <v>583</v>
      </c>
      <c r="B188" s="12" t="s">
        <v>232</v>
      </c>
      <c r="C188" s="17">
        <v>68.0</v>
      </c>
      <c r="D188" s="12" t="s">
        <v>85</v>
      </c>
      <c r="E188" s="12" t="s">
        <v>92</v>
      </c>
      <c r="F188" s="12" t="s">
        <v>79</v>
      </c>
      <c r="G188" s="12" t="s">
        <v>210</v>
      </c>
      <c r="H188" s="15">
        <v>44848.0</v>
      </c>
      <c r="I188" s="17">
        <v>16.0</v>
      </c>
      <c r="J188" s="12" t="s">
        <v>64</v>
      </c>
      <c r="K188" s="12" t="s">
        <v>42</v>
      </c>
      <c r="L188" s="17">
        <v>3132.0</v>
      </c>
      <c r="M188" s="17">
        <v>2.0</v>
      </c>
      <c r="N188" s="17">
        <v>0.0</v>
      </c>
      <c r="O188" s="17">
        <v>43.9</v>
      </c>
      <c r="P188" s="17">
        <v>3.6</v>
      </c>
      <c r="Q188" s="15">
        <v>45165.0</v>
      </c>
      <c r="R188" s="12"/>
      <c r="S188" s="12" t="s">
        <v>55</v>
      </c>
      <c r="T188" s="12" t="s">
        <v>72</v>
      </c>
      <c r="U188" s="17">
        <f t="shared" si="1"/>
        <v>1</v>
      </c>
    </row>
    <row r="189">
      <c r="A189" s="12" t="s">
        <v>585</v>
      </c>
      <c r="B189" s="12" t="s">
        <v>303</v>
      </c>
      <c r="C189" s="17">
        <v>42.0</v>
      </c>
      <c r="D189" s="12" t="s">
        <v>69</v>
      </c>
      <c r="E189" s="12" t="s">
        <v>119</v>
      </c>
      <c r="F189" s="12" t="s">
        <v>62</v>
      </c>
      <c r="G189" s="12" t="s">
        <v>586</v>
      </c>
      <c r="H189" s="15">
        <v>45052.0</v>
      </c>
      <c r="I189" s="17">
        <v>32.0</v>
      </c>
      <c r="J189" s="12" t="s">
        <v>53</v>
      </c>
      <c r="K189" s="12" t="s">
        <v>42</v>
      </c>
      <c r="L189" s="17">
        <v>622.0</v>
      </c>
      <c r="M189" s="17">
        <v>2.0</v>
      </c>
      <c r="N189" s="17">
        <v>1.0</v>
      </c>
      <c r="O189" s="17">
        <v>25.3</v>
      </c>
      <c r="P189" s="17">
        <v>4.0</v>
      </c>
      <c r="Q189" s="15">
        <v>45670.0</v>
      </c>
      <c r="R189" s="12"/>
      <c r="S189" s="12" t="s">
        <v>529</v>
      </c>
      <c r="T189" s="12" t="s">
        <v>75</v>
      </c>
      <c r="U189" s="17">
        <f t="shared" si="1"/>
        <v>2</v>
      </c>
    </row>
    <row r="190">
      <c r="A190" s="12" t="s">
        <v>588</v>
      </c>
      <c r="B190" s="12" t="s">
        <v>132</v>
      </c>
      <c r="C190" s="17">
        <v>44.0</v>
      </c>
      <c r="D190" s="12" t="s">
        <v>85</v>
      </c>
      <c r="E190" s="12" t="s">
        <v>92</v>
      </c>
      <c r="F190" s="12" t="s">
        <v>413</v>
      </c>
      <c r="G190" s="12" t="s">
        <v>39</v>
      </c>
      <c r="H190" s="15">
        <v>45526.0</v>
      </c>
      <c r="I190" s="17">
        <v>5.0</v>
      </c>
      <c r="J190" s="12" t="s">
        <v>64</v>
      </c>
      <c r="K190" s="12" t="s">
        <v>65</v>
      </c>
      <c r="L190" s="17">
        <v>1013.0</v>
      </c>
      <c r="M190" s="17">
        <v>2.0</v>
      </c>
      <c r="N190" s="17">
        <v>1.0</v>
      </c>
      <c r="O190" s="17">
        <v>20.5</v>
      </c>
      <c r="P190" s="17">
        <v>4.3</v>
      </c>
      <c r="Q190" s="15">
        <v>45591.0</v>
      </c>
      <c r="R190" s="12"/>
      <c r="S190" s="12" t="s">
        <v>55</v>
      </c>
      <c r="T190" s="12" t="s">
        <v>66</v>
      </c>
      <c r="U190" s="17">
        <f t="shared" si="1"/>
        <v>2</v>
      </c>
    </row>
    <row r="191">
      <c r="A191" s="12" t="s">
        <v>590</v>
      </c>
      <c r="B191" s="12" t="s">
        <v>349</v>
      </c>
      <c r="C191" s="17">
        <v>28.0</v>
      </c>
      <c r="D191" s="12" t="s">
        <v>85</v>
      </c>
      <c r="E191" s="12" t="s">
        <v>87</v>
      </c>
      <c r="F191" s="12" t="s">
        <v>37</v>
      </c>
      <c r="G191" s="12" t="s">
        <v>63</v>
      </c>
      <c r="H191" s="15">
        <v>45873.0</v>
      </c>
      <c r="I191" s="17">
        <v>35.0</v>
      </c>
      <c r="J191" s="12" t="s">
        <v>64</v>
      </c>
      <c r="K191" s="12" t="s">
        <v>65</v>
      </c>
      <c r="L191" s="17">
        <v>1283.0</v>
      </c>
      <c r="M191" s="17">
        <v>5.0</v>
      </c>
      <c r="N191" s="17">
        <v>2.0</v>
      </c>
      <c r="O191" s="17">
        <v>26.5</v>
      </c>
      <c r="P191" s="17">
        <v>3.9</v>
      </c>
      <c r="Q191" s="15">
        <v>46517.0</v>
      </c>
      <c r="R191" s="12"/>
      <c r="S191" s="12" t="s">
        <v>55</v>
      </c>
      <c r="T191" s="12" t="s">
        <v>75</v>
      </c>
      <c r="U191" s="17">
        <f t="shared" si="1"/>
        <v>3</v>
      </c>
    </row>
    <row r="192">
      <c r="A192" s="12" t="s">
        <v>591</v>
      </c>
      <c r="B192" s="12" t="s">
        <v>78</v>
      </c>
      <c r="C192" s="17">
        <v>26.0</v>
      </c>
      <c r="D192" s="12" t="s">
        <v>35</v>
      </c>
      <c r="E192" s="12" t="s">
        <v>161</v>
      </c>
      <c r="F192" s="12" t="s">
        <v>37</v>
      </c>
      <c r="G192" s="12" t="s">
        <v>52</v>
      </c>
      <c r="H192" s="15">
        <v>45050.0</v>
      </c>
      <c r="I192" s="17">
        <v>4.0</v>
      </c>
      <c r="J192" s="12" t="s">
        <v>40</v>
      </c>
      <c r="K192" s="12" t="s">
        <v>81</v>
      </c>
      <c r="L192" s="17">
        <v>1117.0</v>
      </c>
      <c r="M192" s="17">
        <v>2.0</v>
      </c>
      <c r="N192" s="17">
        <v>1.0</v>
      </c>
      <c r="O192" s="17">
        <v>29.6</v>
      </c>
      <c r="P192" s="17">
        <v>4.1</v>
      </c>
      <c r="Q192" s="15">
        <v>45074.0</v>
      </c>
      <c r="R192" s="12"/>
      <c r="S192" s="12" t="s">
        <v>55</v>
      </c>
      <c r="T192" s="12" t="s">
        <v>47</v>
      </c>
      <c r="U192" s="17">
        <f t="shared" si="1"/>
        <v>1</v>
      </c>
    </row>
    <row r="193">
      <c r="A193" s="12" t="s">
        <v>595</v>
      </c>
      <c r="B193" s="12" t="s">
        <v>398</v>
      </c>
      <c r="C193" s="17">
        <v>68.0</v>
      </c>
      <c r="D193" s="12" t="s">
        <v>60</v>
      </c>
      <c r="E193" s="12" t="s">
        <v>51</v>
      </c>
      <c r="F193" s="12" t="s">
        <v>37</v>
      </c>
      <c r="G193" s="12" t="s">
        <v>210</v>
      </c>
      <c r="H193" s="15">
        <v>45633.0</v>
      </c>
      <c r="I193" s="17">
        <v>34.0</v>
      </c>
      <c r="J193" s="12" t="s">
        <v>40</v>
      </c>
      <c r="K193" s="12" t="s">
        <v>65</v>
      </c>
      <c r="L193" s="17">
        <v>1264.0</v>
      </c>
      <c r="M193" s="17">
        <v>1.0</v>
      </c>
      <c r="N193" s="17">
        <v>2.0</v>
      </c>
      <c r="O193" s="17">
        <v>30.4</v>
      </c>
      <c r="P193" s="17">
        <v>3.0</v>
      </c>
      <c r="Q193" s="15">
        <v>46404.0</v>
      </c>
      <c r="R193" s="12" t="s">
        <v>601</v>
      </c>
      <c r="S193" s="12" t="s">
        <v>602</v>
      </c>
      <c r="T193" s="12" t="s">
        <v>75</v>
      </c>
      <c r="U193" s="17">
        <f t="shared" si="1"/>
        <v>2</v>
      </c>
    </row>
    <row r="194">
      <c r="A194" s="12" t="s">
        <v>253</v>
      </c>
      <c r="B194" s="12" t="s">
        <v>605</v>
      </c>
      <c r="C194" s="17">
        <v>42.0</v>
      </c>
      <c r="D194" s="12" t="s">
        <v>35</v>
      </c>
      <c r="E194" s="12" t="s">
        <v>161</v>
      </c>
      <c r="F194" s="12" t="s">
        <v>37</v>
      </c>
      <c r="G194" s="12" t="s">
        <v>80</v>
      </c>
      <c r="H194" s="15">
        <v>45847.0</v>
      </c>
      <c r="I194" s="17">
        <v>5.0</v>
      </c>
      <c r="J194" s="12" t="s">
        <v>40</v>
      </c>
      <c r="K194" s="12" t="s">
        <v>65</v>
      </c>
      <c r="L194" s="17">
        <v>1367.0</v>
      </c>
      <c r="M194" s="17">
        <v>3.0</v>
      </c>
      <c r="N194" s="17">
        <v>3.0</v>
      </c>
      <c r="O194" s="17">
        <v>30.7</v>
      </c>
      <c r="P194" s="17">
        <v>5.0</v>
      </c>
      <c r="Q194" s="15">
        <v>45984.0</v>
      </c>
      <c r="R194" s="12"/>
      <c r="S194" s="12" t="s">
        <v>55</v>
      </c>
      <c r="T194" s="12" t="s">
        <v>104</v>
      </c>
      <c r="U194" s="17">
        <f t="shared" si="1"/>
        <v>2</v>
      </c>
    </row>
    <row r="195">
      <c r="A195" s="12" t="s">
        <v>609</v>
      </c>
      <c r="B195" s="12" t="s">
        <v>96</v>
      </c>
      <c r="C195" s="17">
        <v>54.0</v>
      </c>
      <c r="D195" s="12" t="s">
        <v>60</v>
      </c>
      <c r="E195" s="12" t="s">
        <v>51</v>
      </c>
      <c r="F195" s="12" t="s">
        <v>37</v>
      </c>
      <c r="G195" s="12" t="s">
        <v>63</v>
      </c>
      <c r="H195" s="15">
        <v>44652.0</v>
      </c>
      <c r="I195" s="17">
        <v>1.0</v>
      </c>
      <c r="J195" s="12" t="s">
        <v>64</v>
      </c>
      <c r="K195" s="12" t="s">
        <v>81</v>
      </c>
      <c r="L195" s="17">
        <v>1371.0</v>
      </c>
      <c r="M195" s="17">
        <v>0.0</v>
      </c>
      <c r="N195" s="17">
        <v>1.0</v>
      </c>
      <c r="O195" s="17">
        <v>38.3</v>
      </c>
      <c r="P195" s="17">
        <v>3.5</v>
      </c>
      <c r="Q195" s="15">
        <v>44671.0</v>
      </c>
      <c r="R195" s="12"/>
      <c r="S195" s="12" t="s">
        <v>55</v>
      </c>
      <c r="T195" s="12" t="s">
        <v>75</v>
      </c>
      <c r="U195" s="17">
        <f t="shared" si="1"/>
        <v>1</v>
      </c>
    </row>
    <row r="196">
      <c r="A196" s="12" t="s">
        <v>613</v>
      </c>
      <c r="B196" s="12" t="s">
        <v>160</v>
      </c>
      <c r="C196" s="17">
        <v>52.0</v>
      </c>
      <c r="D196" s="12" t="s">
        <v>60</v>
      </c>
      <c r="E196" s="12" t="s">
        <v>97</v>
      </c>
      <c r="F196" s="12" t="s">
        <v>62</v>
      </c>
      <c r="G196" s="12" t="s">
        <v>52</v>
      </c>
      <c r="H196" s="15">
        <v>45217.0</v>
      </c>
      <c r="I196" s="17">
        <v>18.0</v>
      </c>
      <c r="J196" s="12" t="s">
        <v>64</v>
      </c>
      <c r="K196" s="12" t="s">
        <v>65</v>
      </c>
      <c r="L196" s="17">
        <v>791.0</v>
      </c>
      <c r="M196" s="17">
        <v>2.0</v>
      </c>
      <c r="N196" s="17">
        <v>1.0</v>
      </c>
      <c r="O196" s="17">
        <v>9.2</v>
      </c>
      <c r="P196" s="17">
        <v>2.4</v>
      </c>
      <c r="Q196" s="15">
        <v>45741.0</v>
      </c>
      <c r="R196" s="12" t="s">
        <v>619</v>
      </c>
      <c r="S196" s="12" t="s">
        <v>45</v>
      </c>
      <c r="T196" s="12" t="s">
        <v>104</v>
      </c>
      <c r="U196" s="17">
        <f t="shared" si="1"/>
        <v>2</v>
      </c>
    </row>
    <row r="197">
      <c r="A197" s="12" t="s">
        <v>624</v>
      </c>
      <c r="B197" s="12" t="s">
        <v>172</v>
      </c>
      <c r="C197" s="17">
        <v>48.0</v>
      </c>
      <c r="D197" s="12" t="s">
        <v>60</v>
      </c>
      <c r="E197" s="12" t="s">
        <v>107</v>
      </c>
      <c r="F197" s="12" t="s">
        <v>62</v>
      </c>
      <c r="G197" s="12" t="s">
        <v>80</v>
      </c>
      <c r="H197" s="15">
        <v>45497.0</v>
      </c>
      <c r="I197" s="17">
        <v>1.0</v>
      </c>
      <c r="J197" s="12" t="s">
        <v>53</v>
      </c>
      <c r="K197" s="12" t="s">
        <v>81</v>
      </c>
      <c r="L197" s="17">
        <v>648.0</v>
      </c>
      <c r="M197" s="17">
        <v>0.0</v>
      </c>
      <c r="N197" s="17">
        <v>2.0</v>
      </c>
      <c r="O197" s="17">
        <v>7.7</v>
      </c>
      <c r="P197" s="17">
        <v>3.2</v>
      </c>
      <c r="Q197" s="15">
        <v>45526.0</v>
      </c>
      <c r="R197" s="12"/>
      <c r="S197" s="12" t="s">
        <v>55</v>
      </c>
      <c r="T197" s="12" t="s">
        <v>75</v>
      </c>
      <c r="U197" s="17">
        <f t="shared" si="1"/>
        <v>1</v>
      </c>
    </row>
    <row r="198">
      <c r="A198" s="12" t="s">
        <v>629</v>
      </c>
      <c r="B198" s="12" t="s">
        <v>74</v>
      </c>
      <c r="C198" s="17">
        <v>67.0</v>
      </c>
      <c r="D198" s="12" t="s">
        <v>69</v>
      </c>
      <c r="E198" s="12" t="s">
        <v>187</v>
      </c>
      <c r="F198" s="12" t="s">
        <v>62</v>
      </c>
      <c r="G198" s="12" t="s">
        <v>630</v>
      </c>
      <c r="H198" s="15">
        <v>44610.0</v>
      </c>
      <c r="I198" s="17">
        <v>15.0</v>
      </c>
      <c r="J198" s="12" t="s">
        <v>64</v>
      </c>
      <c r="K198" s="12" t="s">
        <v>65</v>
      </c>
      <c r="L198" s="17">
        <v>824.0</v>
      </c>
      <c r="M198" s="17">
        <v>3.0</v>
      </c>
      <c r="N198" s="17">
        <v>0.0</v>
      </c>
      <c r="O198" s="17">
        <v>1.0</v>
      </c>
      <c r="P198" s="17">
        <v>3.1</v>
      </c>
      <c r="Q198" s="15">
        <v>44624.0</v>
      </c>
      <c r="R198" s="12"/>
      <c r="S198" s="12" t="s">
        <v>55</v>
      </c>
      <c r="T198" s="12" t="s">
        <v>72</v>
      </c>
      <c r="U198" s="17">
        <f t="shared" si="1"/>
        <v>2</v>
      </c>
    </row>
    <row r="199">
      <c r="A199" s="12" t="s">
        <v>631</v>
      </c>
      <c r="B199" s="12" t="s">
        <v>411</v>
      </c>
      <c r="C199" s="17">
        <v>48.0</v>
      </c>
      <c r="D199" s="12" t="s">
        <v>69</v>
      </c>
      <c r="E199" s="12" t="s">
        <v>187</v>
      </c>
      <c r="F199" s="12" t="s">
        <v>62</v>
      </c>
      <c r="G199" s="12" t="s">
        <v>63</v>
      </c>
      <c r="H199" s="15">
        <v>44853.0</v>
      </c>
      <c r="I199" s="17">
        <v>46.0</v>
      </c>
      <c r="J199" s="12" t="s">
        <v>64</v>
      </c>
      <c r="K199" s="12" t="s">
        <v>42</v>
      </c>
      <c r="L199" s="17">
        <v>521.0</v>
      </c>
      <c r="M199" s="17">
        <v>4.0</v>
      </c>
      <c r="N199" s="17">
        <v>2.0</v>
      </c>
      <c r="O199" s="17">
        <v>6.9</v>
      </c>
      <c r="P199" s="17">
        <v>2.2</v>
      </c>
      <c r="Q199" s="15">
        <v>45927.0</v>
      </c>
      <c r="R199" s="12"/>
      <c r="S199" s="12" t="s">
        <v>55</v>
      </c>
      <c r="T199" s="12" t="s">
        <v>66</v>
      </c>
      <c r="U199" s="17">
        <f t="shared" si="1"/>
        <v>3</v>
      </c>
    </row>
    <row r="200">
      <c r="A200" s="12" t="s">
        <v>632</v>
      </c>
      <c r="B200" s="12" t="s">
        <v>633</v>
      </c>
      <c r="C200" s="17">
        <v>63.0</v>
      </c>
      <c r="D200" s="12" t="s">
        <v>69</v>
      </c>
      <c r="E200" s="12"/>
      <c r="F200" s="12" t="s">
        <v>62</v>
      </c>
      <c r="G200" s="12" t="s">
        <v>80</v>
      </c>
      <c r="H200" s="15">
        <v>44689.0</v>
      </c>
      <c r="I200" s="17">
        <v>28.0</v>
      </c>
      <c r="J200" s="12" t="s">
        <v>64</v>
      </c>
      <c r="K200" s="12" t="s">
        <v>65</v>
      </c>
      <c r="L200" s="17">
        <v>565.0</v>
      </c>
      <c r="M200" s="17">
        <v>2.0</v>
      </c>
      <c r="N200" s="17">
        <v>1.0</v>
      </c>
      <c r="O200" s="17">
        <v>24.1</v>
      </c>
      <c r="P200" s="17">
        <v>4.0</v>
      </c>
      <c r="Q200" s="15">
        <v>44966.0</v>
      </c>
      <c r="R200" s="12"/>
      <c r="S200" s="12" t="s">
        <v>55</v>
      </c>
      <c r="T200" s="12" t="s">
        <v>72</v>
      </c>
      <c r="U200" s="17">
        <f t="shared" si="1"/>
        <v>2</v>
      </c>
    </row>
    <row r="201">
      <c r="A201" s="12" t="s">
        <v>634</v>
      </c>
      <c r="B201" s="12" t="s">
        <v>633</v>
      </c>
      <c r="C201" s="17">
        <v>26.0</v>
      </c>
      <c r="D201" s="12" t="s">
        <v>60</v>
      </c>
      <c r="E201" s="12" t="s">
        <v>97</v>
      </c>
      <c r="F201" s="12" t="s">
        <v>192</v>
      </c>
      <c r="G201" s="12" t="s">
        <v>39</v>
      </c>
      <c r="H201" s="15">
        <v>44840.0</v>
      </c>
      <c r="I201" s="17">
        <v>38.0</v>
      </c>
      <c r="J201" s="12" t="s">
        <v>64</v>
      </c>
      <c r="K201" s="12" t="s">
        <v>65</v>
      </c>
      <c r="L201" s="17">
        <v>553.0</v>
      </c>
      <c r="M201" s="17">
        <v>1.0</v>
      </c>
      <c r="N201" s="17">
        <v>0.0</v>
      </c>
      <c r="O201" s="17">
        <v>17.7</v>
      </c>
      <c r="P201" s="17">
        <v>2.8</v>
      </c>
      <c r="Q201" s="15">
        <v>45804.0</v>
      </c>
      <c r="R201" s="12"/>
      <c r="S201" s="12" t="s">
        <v>55</v>
      </c>
      <c r="T201" s="12" t="s">
        <v>47</v>
      </c>
      <c r="U201" s="17">
        <f t="shared" si="1"/>
        <v>1</v>
      </c>
    </row>
    <row r="202">
      <c r="A202" s="12" t="s">
        <v>635</v>
      </c>
      <c r="B202" s="12" t="s">
        <v>636</v>
      </c>
      <c r="C202" s="17">
        <v>28.0</v>
      </c>
      <c r="D202" s="12" t="s">
        <v>60</v>
      </c>
      <c r="E202" s="12" t="s">
        <v>133</v>
      </c>
      <c r="F202" s="12" t="s">
        <v>62</v>
      </c>
      <c r="G202" s="12" t="s">
        <v>63</v>
      </c>
      <c r="H202" s="15">
        <v>44747.0</v>
      </c>
      <c r="I202" s="17">
        <v>11.0</v>
      </c>
      <c r="J202" s="12" t="s">
        <v>40</v>
      </c>
      <c r="K202" s="12" t="s">
        <v>81</v>
      </c>
      <c r="L202" s="17">
        <v>654.0</v>
      </c>
      <c r="M202" s="17">
        <v>3.0</v>
      </c>
      <c r="N202" s="17">
        <v>1.0</v>
      </c>
      <c r="O202" s="17">
        <v>19.4</v>
      </c>
      <c r="P202" s="17">
        <v>5.0</v>
      </c>
      <c r="Q202" s="15">
        <v>45065.0</v>
      </c>
      <c r="R202" s="12" t="s">
        <v>637</v>
      </c>
      <c r="S202" s="12" t="s">
        <v>45</v>
      </c>
      <c r="T202" s="12" t="s">
        <v>47</v>
      </c>
      <c r="U202" s="17">
        <f t="shared" si="1"/>
        <v>1</v>
      </c>
    </row>
    <row r="203">
      <c r="A203" s="12" t="s">
        <v>638</v>
      </c>
      <c r="B203" s="12" t="s">
        <v>639</v>
      </c>
      <c r="C203" s="17">
        <v>25.0</v>
      </c>
      <c r="D203" s="12" t="s">
        <v>85</v>
      </c>
      <c r="E203" s="12" t="s">
        <v>292</v>
      </c>
      <c r="F203" s="12" t="s">
        <v>37</v>
      </c>
      <c r="G203" s="12" t="s">
        <v>210</v>
      </c>
      <c r="H203" s="15">
        <v>44918.0</v>
      </c>
      <c r="I203" s="17">
        <v>2.0</v>
      </c>
      <c r="J203" s="12" t="s">
        <v>40</v>
      </c>
      <c r="K203" s="12" t="s">
        <v>42</v>
      </c>
      <c r="L203" s="17">
        <v>1568.0</v>
      </c>
      <c r="M203" s="17">
        <v>1.0</v>
      </c>
      <c r="N203" s="17">
        <v>1.0</v>
      </c>
      <c r="O203" s="17">
        <v>32.4</v>
      </c>
      <c r="P203" s="17">
        <v>2.8</v>
      </c>
      <c r="Q203" s="15">
        <v>44998.0</v>
      </c>
      <c r="R203" s="12" t="s">
        <v>640</v>
      </c>
      <c r="S203" s="12" t="s">
        <v>45</v>
      </c>
      <c r="T203" s="12" t="s">
        <v>104</v>
      </c>
      <c r="U203" s="17">
        <f t="shared" si="1"/>
        <v>3</v>
      </c>
    </row>
    <row r="204">
      <c r="A204" s="12" t="s">
        <v>641</v>
      </c>
      <c r="B204" s="12" t="s">
        <v>398</v>
      </c>
      <c r="C204" s="17">
        <v>20.0</v>
      </c>
      <c r="D204" s="12" t="s">
        <v>69</v>
      </c>
      <c r="E204" s="12" t="s">
        <v>187</v>
      </c>
      <c r="F204" s="12" t="s">
        <v>62</v>
      </c>
      <c r="G204" s="12" t="s">
        <v>120</v>
      </c>
      <c r="H204" s="15">
        <v>45324.0</v>
      </c>
      <c r="I204" s="17">
        <v>44.0</v>
      </c>
      <c r="J204" s="12" t="s">
        <v>40</v>
      </c>
      <c r="K204" s="12" t="s">
        <v>42</v>
      </c>
      <c r="L204" s="17">
        <v>829.0</v>
      </c>
      <c r="M204" s="17">
        <v>4.0</v>
      </c>
      <c r="N204" s="17">
        <v>2.0</v>
      </c>
      <c r="O204" s="17">
        <v>5.3</v>
      </c>
      <c r="P204" s="17">
        <v>4.1</v>
      </c>
      <c r="Q204" s="15">
        <v>46534.0</v>
      </c>
      <c r="R204" s="12"/>
      <c r="S204" s="12" t="s">
        <v>55</v>
      </c>
      <c r="T204" s="12" t="s">
        <v>75</v>
      </c>
      <c r="U204" s="17">
        <f t="shared" si="1"/>
        <v>1</v>
      </c>
    </row>
    <row r="205">
      <c r="A205" s="12" t="s">
        <v>642</v>
      </c>
      <c r="B205" s="12" t="s">
        <v>393</v>
      </c>
      <c r="C205" s="17">
        <v>30.0</v>
      </c>
      <c r="D205" s="12" t="s">
        <v>35</v>
      </c>
      <c r="E205" s="12" t="s">
        <v>161</v>
      </c>
      <c r="F205" s="12" t="s">
        <v>62</v>
      </c>
      <c r="G205" s="12" t="s">
        <v>120</v>
      </c>
      <c r="H205" s="15">
        <v>44665.0</v>
      </c>
      <c r="I205" s="17">
        <v>11.0</v>
      </c>
      <c r="J205" s="12" t="s">
        <v>53</v>
      </c>
      <c r="K205" s="12" t="s">
        <v>42</v>
      </c>
      <c r="L205" s="17">
        <v>720.0</v>
      </c>
      <c r="M205" s="17">
        <v>1.0</v>
      </c>
      <c r="N205" s="17">
        <v>1.0</v>
      </c>
      <c r="O205" s="17">
        <v>18.4</v>
      </c>
      <c r="P205" s="17">
        <v>3.7</v>
      </c>
      <c r="Q205" s="15">
        <v>44929.0</v>
      </c>
      <c r="R205" s="12" t="s">
        <v>643</v>
      </c>
      <c r="S205" s="12" t="s">
        <v>45</v>
      </c>
      <c r="T205" s="12" t="s">
        <v>47</v>
      </c>
      <c r="U205" s="17">
        <f t="shared" si="1"/>
        <v>1</v>
      </c>
    </row>
    <row r="206">
      <c r="A206" s="12" t="s">
        <v>644</v>
      </c>
      <c r="B206" s="12" t="s">
        <v>645</v>
      </c>
      <c r="C206" s="17">
        <v>22.0</v>
      </c>
      <c r="D206" s="12" t="s">
        <v>60</v>
      </c>
      <c r="E206" s="12" t="s">
        <v>133</v>
      </c>
      <c r="F206" s="12" t="s">
        <v>79</v>
      </c>
      <c r="G206" s="12" t="s">
        <v>63</v>
      </c>
      <c r="H206" s="15">
        <v>45819.0</v>
      </c>
      <c r="I206" s="17">
        <v>40.0</v>
      </c>
      <c r="J206" s="12" t="s">
        <v>40</v>
      </c>
      <c r="K206" s="12" t="s">
        <v>65</v>
      </c>
      <c r="L206" s="17">
        <v>3020.0</v>
      </c>
      <c r="M206" s="17">
        <v>3.0</v>
      </c>
      <c r="N206" s="17">
        <v>1.0</v>
      </c>
      <c r="O206" s="17">
        <v>28.0</v>
      </c>
      <c r="P206" s="17">
        <v>3.1</v>
      </c>
      <c r="Q206" s="12"/>
      <c r="R206" s="12"/>
      <c r="S206" s="12" t="s">
        <v>55</v>
      </c>
      <c r="T206" s="12" t="s">
        <v>75</v>
      </c>
      <c r="U206" s="17">
        <f t="shared" si="1"/>
        <v>2</v>
      </c>
    </row>
    <row r="207">
      <c r="A207" s="12" t="s">
        <v>646</v>
      </c>
      <c r="B207" s="12" t="s">
        <v>229</v>
      </c>
      <c r="C207" s="17">
        <v>53.0</v>
      </c>
      <c r="D207" s="12" t="s">
        <v>85</v>
      </c>
      <c r="E207" s="12" t="s">
        <v>111</v>
      </c>
      <c r="F207" s="12" t="s">
        <v>37</v>
      </c>
      <c r="G207" s="12" t="s">
        <v>647</v>
      </c>
      <c r="H207" s="15">
        <v>45638.0</v>
      </c>
      <c r="I207" s="17">
        <v>16.0</v>
      </c>
      <c r="J207" s="12" t="s">
        <v>53</v>
      </c>
      <c r="K207" s="12" t="s">
        <v>65</v>
      </c>
      <c r="L207" s="17">
        <v>1018.0</v>
      </c>
      <c r="M207" s="17">
        <v>1.0</v>
      </c>
      <c r="N207" s="17">
        <v>2.0</v>
      </c>
      <c r="O207" s="17">
        <v>21.3</v>
      </c>
      <c r="P207" s="17">
        <v>5.0</v>
      </c>
      <c r="Q207" s="15">
        <v>46048.0</v>
      </c>
      <c r="R207" s="12"/>
      <c r="S207" s="12" t="s">
        <v>55</v>
      </c>
      <c r="T207" s="12" t="s">
        <v>66</v>
      </c>
      <c r="U207" s="17">
        <f t="shared" si="1"/>
        <v>3</v>
      </c>
    </row>
    <row r="208">
      <c r="A208" s="12" t="s">
        <v>648</v>
      </c>
      <c r="B208" s="12" t="s">
        <v>649</v>
      </c>
      <c r="C208" s="17">
        <v>68.0</v>
      </c>
      <c r="D208" s="12" t="s">
        <v>60</v>
      </c>
      <c r="E208" s="12" t="s">
        <v>133</v>
      </c>
      <c r="F208" s="12" t="s">
        <v>62</v>
      </c>
      <c r="G208" s="12" t="s">
        <v>63</v>
      </c>
      <c r="H208" s="15">
        <v>45215.0</v>
      </c>
      <c r="I208" s="17">
        <v>39.0</v>
      </c>
      <c r="J208" s="12" t="s">
        <v>64</v>
      </c>
      <c r="K208" s="12" t="s">
        <v>42</v>
      </c>
      <c r="L208" s="17">
        <v>897.0</v>
      </c>
      <c r="M208" s="17">
        <v>1.0</v>
      </c>
      <c r="N208" s="17">
        <v>1.0</v>
      </c>
      <c r="O208" s="17">
        <v>27.8</v>
      </c>
      <c r="P208" s="17">
        <v>5.0</v>
      </c>
      <c r="Q208" s="15">
        <v>46191.0</v>
      </c>
      <c r="R208" s="12"/>
      <c r="S208" s="12" t="s">
        <v>55</v>
      </c>
      <c r="T208" s="12" t="s">
        <v>47</v>
      </c>
      <c r="U208" s="17">
        <f t="shared" si="1"/>
        <v>1</v>
      </c>
    </row>
    <row r="209">
      <c r="A209" s="12" t="s">
        <v>425</v>
      </c>
      <c r="B209" s="12" t="s">
        <v>106</v>
      </c>
      <c r="C209" s="17">
        <v>34.0</v>
      </c>
      <c r="D209" s="12" t="s">
        <v>69</v>
      </c>
      <c r="E209" s="12" t="s">
        <v>187</v>
      </c>
      <c r="F209" s="12" t="s">
        <v>62</v>
      </c>
      <c r="G209" s="12" t="s">
        <v>93</v>
      </c>
      <c r="H209" s="15">
        <v>44676.0</v>
      </c>
      <c r="I209" s="17">
        <v>15.0</v>
      </c>
      <c r="J209" s="12" t="s">
        <v>64</v>
      </c>
      <c r="K209" s="12" t="s">
        <v>65</v>
      </c>
      <c r="L209" s="17">
        <v>697.0</v>
      </c>
      <c r="M209" s="17">
        <v>1.0</v>
      </c>
      <c r="N209" s="17">
        <v>1.0</v>
      </c>
      <c r="O209" s="17">
        <v>20.5</v>
      </c>
      <c r="P209" s="17">
        <v>9.0</v>
      </c>
      <c r="Q209" s="15">
        <v>45115.0</v>
      </c>
      <c r="R209" s="12"/>
      <c r="S209" s="12" t="s">
        <v>55</v>
      </c>
      <c r="T209" s="12" t="s">
        <v>72</v>
      </c>
      <c r="U209" s="17">
        <f t="shared" si="1"/>
        <v>2</v>
      </c>
    </row>
    <row r="210">
      <c r="A210" s="12" t="s">
        <v>650</v>
      </c>
      <c r="B210" s="12" t="s">
        <v>651</v>
      </c>
      <c r="C210" s="17">
        <v>22.0</v>
      </c>
      <c r="D210" s="12" t="s">
        <v>35</v>
      </c>
      <c r="E210" s="12" t="s">
        <v>161</v>
      </c>
      <c r="F210" s="12" t="s">
        <v>79</v>
      </c>
      <c r="G210" s="12" t="s">
        <v>80</v>
      </c>
      <c r="H210" s="15">
        <v>44853.0</v>
      </c>
      <c r="I210" s="17">
        <v>37.0</v>
      </c>
      <c r="J210" s="12" t="s">
        <v>40</v>
      </c>
      <c r="K210" s="12" t="s">
        <v>81</v>
      </c>
      <c r="L210" s="17">
        <v>2631.0</v>
      </c>
      <c r="M210" s="17">
        <v>1.0</v>
      </c>
      <c r="N210" s="17">
        <v>0.0</v>
      </c>
      <c r="O210" s="17">
        <v>45.8</v>
      </c>
      <c r="P210" s="17">
        <v>4.7</v>
      </c>
      <c r="Q210" s="15">
        <v>45222.0</v>
      </c>
      <c r="R210" s="12" t="s">
        <v>652</v>
      </c>
      <c r="S210" s="12" t="s">
        <v>45</v>
      </c>
      <c r="T210" s="12" t="s">
        <v>47</v>
      </c>
      <c r="U210" s="17">
        <f t="shared" si="1"/>
        <v>1</v>
      </c>
    </row>
    <row r="211">
      <c r="A211" s="12" t="s">
        <v>653</v>
      </c>
      <c r="B211" s="12" t="s">
        <v>106</v>
      </c>
      <c r="C211" s="17">
        <v>68.0</v>
      </c>
      <c r="D211" s="12" t="s">
        <v>85</v>
      </c>
      <c r="E211" s="12" t="s">
        <v>292</v>
      </c>
      <c r="F211" s="12" t="s">
        <v>62</v>
      </c>
      <c r="G211" s="12" t="s">
        <v>80</v>
      </c>
      <c r="H211" s="15">
        <v>44974.0</v>
      </c>
      <c r="I211" s="17">
        <v>9.0</v>
      </c>
      <c r="J211" s="12" t="s">
        <v>40</v>
      </c>
      <c r="K211" s="12" t="s">
        <v>81</v>
      </c>
      <c r="L211" s="17">
        <v>589.0</v>
      </c>
      <c r="M211" s="17">
        <v>1.0</v>
      </c>
      <c r="N211" s="17">
        <v>0.0</v>
      </c>
      <c r="O211" s="17">
        <v>22.6</v>
      </c>
      <c r="P211" s="17">
        <v>5.0</v>
      </c>
      <c r="Q211" s="15">
        <v>44995.0</v>
      </c>
      <c r="R211" s="12"/>
      <c r="S211" s="12" t="s">
        <v>55</v>
      </c>
      <c r="T211" s="12" t="s">
        <v>72</v>
      </c>
      <c r="U211" s="17">
        <f t="shared" si="1"/>
        <v>1</v>
      </c>
    </row>
    <row r="212">
      <c r="A212" s="12" t="s">
        <v>654</v>
      </c>
      <c r="B212" s="12" t="s">
        <v>257</v>
      </c>
      <c r="C212" s="17">
        <v>30.0</v>
      </c>
      <c r="D212" s="12" t="s">
        <v>60</v>
      </c>
      <c r="E212" s="12" t="s">
        <v>133</v>
      </c>
      <c r="F212" s="12" t="s">
        <v>37</v>
      </c>
      <c r="G212" s="12" t="s">
        <v>630</v>
      </c>
      <c r="H212" s="15">
        <v>45180.0</v>
      </c>
      <c r="I212" s="17">
        <v>21.0</v>
      </c>
      <c r="J212" s="12" t="s">
        <v>655</v>
      </c>
      <c r="K212" s="12" t="s">
        <v>81</v>
      </c>
      <c r="L212" s="17">
        <v>1748.0</v>
      </c>
      <c r="M212" s="17">
        <v>1.0</v>
      </c>
      <c r="N212" s="17">
        <v>1.0</v>
      </c>
      <c r="O212" s="17">
        <v>19.2</v>
      </c>
      <c r="P212" s="17">
        <v>3.1</v>
      </c>
      <c r="Q212" s="15">
        <v>45637.0</v>
      </c>
      <c r="R212" s="12"/>
      <c r="S212" s="12" t="s">
        <v>55</v>
      </c>
      <c r="T212" s="12" t="s">
        <v>66</v>
      </c>
      <c r="U212" s="17">
        <f t="shared" si="1"/>
        <v>2</v>
      </c>
    </row>
    <row r="213">
      <c r="A213" s="12" t="s">
        <v>656</v>
      </c>
      <c r="B213" s="12" t="s">
        <v>239</v>
      </c>
      <c r="C213" s="17">
        <v>30.0</v>
      </c>
      <c r="D213" s="12" t="s">
        <v>69</v>
      </c>
      <c r="E213" s="12" t="s">
        <v>187</v>
      </c>
      <c r="F213" s="12" t="s">
        <v>62</v>
      </c>
      <c r="G213" s="12" t="s">
        <v>52</v>
      </c>
      <c r="H213" s="15">
        <v>45972.0</v>
      </c>
      <c r="I213" s="17">
        <v>19.0</v>
      </c>
      <c r="J213" s="12" t="s">
        <v>64</v>
      </c>
      <c r="K213" s="12" t="s">
        <v>65</v>
      </c>
      <c r="L213" s="17">
        <v>872.0</v>
      </c>
      <c r="M213" s="17">
        <v>4.0</v>
      </c>
      <c r="N213" s="17">
        <v>0.0</v>
      </c>
      <c r="O213" s="17">
        <v>13.0</v>
      </c>
      <c r="P213" s="17">
        <v>4.3</v>
      </c>
      <c r="Q213" s="15">
        <v>46382.0</v>
      </c>
      <c r="R213" s="12"/>
      <c r="S213" s="12" t="s">
        <v>55</v>
      </c>
      <c r="T213" s="12" t="s">
        <v>66</v>
      </c>
      <c r="U213" s="17">
        <f t="shared" si="1"/>
        <v>1</v>
      </c>
    </row>
    <row r="214">
      <c r="A214" s="12" t="s">
        <v>450</v>
      </c>
      <c r="B214" s="12" t="s">
        <v>342</v>
      </c>
      <c r="C214" s="17">
        <v>47.0</v>
      </c>
      <c r="D214" s="12" t="s">
        <v>35</v>
      </c>
      <c r="E214" s="12" t="s">
        <v>140</v>
      </c>
      <c r="F214" s="12" t="s">
        <v>192</v>
      </c>
      <c r="G214" s="12" t="s">
        <v>52</v>
      </c>
      <c r="H214" s="15">
        <v>44721.0</v>
      </c>
      <c r="I214" s="17">
        <v>16.0</v>
      </c>
      <c r="J214" s="12" t="s">
        <v>40</v>
      </c>
      <c r="K214" s="12" t="s">
        <v>65</v>
      </c>
      <c r="L214" s="17">
        <v>662.0</v>
      </c>
      <c r="M214" s="17">
        <v>2.0</v>
      </c>
      <c r="N214" s="17">
        <v>2.0</v>
      </c>
      <c r="O214" s="17">
        <v>23.6</v>
      </c>
      <c r="P214" s="17">
        <v>5.0</v>
      </c>
      <c r="Q214" s="15">
        <v>45184.0</v>
      </c>
      <c r="R214" s="12"/>
      <c r="S214" s="12" t="s">
        <v>55</v>
      </c>
      <c r="T214" s="12" t="s">
        <v>47</v>
      </c>
      <c r="U214" s="17">
        <f t="shared" si="1"/>
        <v>2</v>
      </c>
    </row>
    <row r="215">
      <c r="A215" s="12" t="s">
        <v>657</v>
      </c>
      <c r="B215" s="12" t="s">
        <v>118</v>
      </c>
      <c r="C215" s="17">
        <v>43.0</v>
      </c>
      <c r="D215" s="12" t="s">
        <v>35</v>
      </c>
      <c r="E215" s="12" t="s">
        <v>161</v>
      </c>
      <c r="F215" s="12" t="s">
        <v>62</v>
      </c>
      <c r="G215" s="12" t="s">
        <v>63</v>
      </c>
      <c r="H215" s="15">
        <v>44564.0</v>
      </c>
      <c r="I215" s="17">
        <v>4.0</v>
      </c>
      <c r="J215" s="12" t="s">
        <v>53</v>
      </c>
      <c r="K215" s="12" t="s">
        <v>81</v>
      </c>
      <c r="L215" s="17">
        <v>874.0</v>
      </c>
      <c r="M215" s="17">
        <v>1.0</v>
      </c>
      <c r="N215" s="17">
        <v>1.0</v>
      </c>
      <c r="O215" s="17">
        <v>10.1</v>
      </c>
      <c r="P215" s="17">
        <v>4.3</v>
      </c>
      <c r="Q215" s="15">
        <v>44616.0</v>
      </c>
      <c r="R215" s="12"/>
      <c r="S215" s="12" t="s">
        <v>55</v>
      </c>
      <c r="T215" s="12" t="s">
        <v>75</v>
      </c>
      <c r="U215" s="17">
        <f t="shared" si="1"/>
        <v>3</v>
      </c>
    </row>
    <row r="216">
      <c r="A216" s="12" t="s">
        <v>363</v>
      </c>
      <c r="B216" s="12" t="s">
        <v>50</v>
      </c>
      <c r="C216" s="17">
        <v>29.0</v>
      </c>
      <c r="D216" s="12" t="s">
        <v>658</v>
      </c>
      <c r="E216" s="12" t="s">
        <v>111</v>
      </c>
      <c r="F216" s="12" t="s">
        <v>372</v>
      </c>
      <c r="G216" s="12" t="s">
        <v>63</v>
      </c>
      <c r="H216" s="15">
        <v>44630.0</v>
      </c>
      <c r="I216" s="17">
        <v>19.0</v>
      </c>
      <c r="J216" s="12" t="s">
        <v>64</v>
      </c>
      <c r="K216" s="12" t="s">
        <v>42</v>
      </c>
      <c r="L216" s="17">
        <v>632.0</v>
      </c>
      <c r="M216" s="17">
        <v>3.0</v>
      </c>
      <c r="N216" s="17">
        <v>0.0</v>
      </c>
      <c r="O216" s="17">
        <v>28.5</v>
      </c>
      <c r="P216" s="17">
        <v>2.6</v>
      </c>
      <c r="Q216" s="15">
        <v>44990.0</v>
      </c>
      <c r="R216" s="12"/>
      <c r="S216" s="12" t="s">
        <v>55</v>
      </c>
      <c r="T216" s="12" t="s">
        <v>66</v>
      </c>
      <c r="U216" s="17">
        <f t="shared" si="1"/>
        <v>2</v>
      </c>
    </row>
    <row r="217">
      <c r="A217" s="12" t="s">
        <v>483</v>
      </c>
      <c r="B217" s="12" t="s">
        <v>312</v>
      </c>
      <c r="C217" s="17">
        <v>31.0</v>
      </c>
      <c r="D217" s="12" t="s">
        <v>60</v>
      </c>
      <c r="E217" s="12" t="s">
        <v>133</v>
      </c>
      <c r="F217" s="12" t="s">
        <v>37</v>
      </c>
      <c r="G217" s="12" t="s">
        <v>120</v>
      </c>
      <c r="H217" s="15">
        <v>45900.0</v>
      </c>
      <c r="I217" s="17">
        <v>11.0</v>
      </c>
      <c r="J217" s="12" t="s">
        <v>53</v>
      </c>
      <c r="K217" s="12" t="s">
        <v>81</v>
      </c>
      <c r="L217" s="17">
        <v>1159.0</v>
      </c>
      <c r="M217" s="17">
        <v>2.0</v>
      </c>
      <c r="N217" s="17">
        <v>1.0</v>
      </c>
      <c r="O217" s="17">
        <v>37.7</v>
      </c>
      <c r="P217" s="17">
        <v>3.8</v>
      </c>
      <c r="Q217" s="15">
        <v>45961.0</v>
      </c>
      <c r="R217" s="12"/>
      <c r="S217" s="12" t="s">
        <v>55</v>
      </c>
      <c r="T217" s="12" t="s">
        <v>66</v>
      </c>
      <c r="U217" s="17">
        <f t="shared" si="1"/>
        <v>4</v>
      </c>
    </row>
    <row r="218">
      <c r="A218" s="12" t="s">
        <v>659</v>
      </c>
      <c r="B218" s="12" t="s">
        <v>202</v>
      </c>
      <c r="C218" s="17">
        <v>24.0</v>
      </c>
      <c r="D218" s="12" t="s">
        <v>60</v>
      </c>
      <c r="E218" s="12" t="s">
        <v>107</v>
      </c>
      <c r="F218" s="12" t="s">
        <v>62</v>
      </c>
      <c r="G218" s="12" t="s">
        <v>63</v>
      </c>
      <c r="H218" s="15">
        <v>44663.0</v>
      </c>
      <c r="I218" s="17">
        <v>26.0</v>
      </c>
      <c r="J218" s="12" t="s">
        <v>53</v>
      </c>
      <c r="K218" s="12" t="s">
        <v>81</v>
      </c>
      <c r="L218" s="17">
        <v>750.0</v>
      </c>
      <c r="M218" s="17">
        <v>1.0</v>
      </c>
      <c r="N218" s="17">
        <v>0.0</v>
      </c>
      <c r="O218" s="17">
        <v>22.0</v>
      </c>
      <c r="P218" s="17">
        <v>4.2</v>
      </c>
      <c r="Q218" s="15">
        <v>45042.0</v>
      </c>
      <c r="R218" s="12"/>
      <c r="S218" s="12" t="s">
        <v>55</v>
      </c>
      <c r="T218" s="12" t="s">
        <v>66</v>
      </c>
      <c r="U218" s="17">
        <f t="shared" si="1"/>
        <v>2</v>
      </c>
    </row>
    <row r="219">
      <c r="A219" s="12" t="s">
        <v>660</v>
      </c>
      <c r="B219" s="12" t="s">
        <v>241</v>
      </c>
      <c r="C219" s="17">
        <v>24.0</v>
      </c>
      <c r="D219" s="12" t="s">
        <v>69</v>
      </c>
      <c r="E219" s="12" t="s">
        <v>70</v>
      </c>
      <c r="F219" s="12" t="s">
        <v>62</v>
      </c>
      <c r="G219" s="12" t="s">
        <v>39</v>
      </c>
      <c r="H219" s="15">
        <v>45869.0</v>
      </c>
      <c r="I219" s="17">
        <v>19.0</v>
      </c>
      <c r="J219" s="12" t="s">
        <v>429</v>
      </c>
      <c r="K219" s="12" t="s">
        <v>81</v>
      </c>
      <c r="L219" s="17">
        <v>741.0</v>
      </c>
      <c r="M219" s="17">
        <v>0.0</v>
      </c>
      <c r="N219" s="17">
        <v>2.0</v>
      </c>
      <c r="O219" s="17">
        <v>11.7</v>
      </c>
      <c r="P219" s="17">
        <v>2.5</v>
      </c>
      <c r="Q219" s="15">
        <v>46286.0</v>
      </c>
      <c r="R219" s="12" t="s">
        <v>661</v>
      </c>
      <c r="S219" s="12" t="s">
        <v>45</v>
      </c>
      <c r="T219" s="12" t="s">
        <v>75</v>
      </c>
      <c r="U219" s="17">
        <f t="shared" si="1"/>
        <v>6</v>
      </c>
    </row>
    <row r="220">
      <c r="A220" s="12" t="s">
        <v>434</v>
      </c>
      <c r="B220" s="12" t="s">
        <v>239</v>
      </c>
      <c r="C220" s="17">
        <v>28.0</v>
      </c>
      <c r="D220" s="12" t="s">
        <v>60</v>
      </c>
      <c r="E220" s="12" t="s">
        <v>133</v>
      </c>
      <c r="F220" s="12" t="s">
        <v>62</v>
      </c>
      <c r="G220" s="12" t="s">
        <v>120</v>
      </c>
      <c r="H220" s="15">
        <v>44653.0</v>
      </c>
      <c r="I220" s="17">
        <v>17.0</v>
      </c>
      <c r="J220" s="12" t="s">
        <v>64</v>
      </c>
      <c r="K220" s="12" t="s">
        <v>81</v>
      </c>
      <c r="L220" s="17">
        <v>633.0</v>
      </c>
      <c r="M220" s="17">
        <v>5.0</v>
      </c>
      <c r="N220" s="17">
        <v>0.0</v>
      </c>
      <c r="O220" s="17">
        <v>9.2</v>
      </c>
      <c r="P220" s="17">
        <v>1.8</v>
      </c>
      <c r="Q220" s="15">
        <v>44938.0</v>
      </c>
      <c r="R220" s="12"/>
      <c r="S220" s="12" t="s">
        <v>55</v>
      </c>
      <c r="T220" s="12" t="s">
        <v>104</v>
      </c>
      <c r="U220" s="17">
        <f t="shared" si="1"/>
        <v>4</v>
      </c>
    </row>
    <row r="221">
      <c r="A221" s="12" t="s">
        <v>662</v>
      </c>
      <c r="B221" s="12" t="s">
        <v>172</v>
      </c>
      <c r="C221" s="17">
        <v>49.0</v>
      </c>
      <c r="D221" s="12" t="s">
        <v>60</v>
      </c>
      <c r="E221" s="12" t="s">
        <v>133</v>
      </c>
      <c r="F221" s="12" t="s">
        <v>79</v>
      </c>
      <c r="G221" s="12" t="s">
        <v>80</v>
      </c>
      <c r="H221" s="15">
        <v>45027.0</v>
      </c>
      <c r="I221" s="17">
        <v>36.0</v>
      </c>
      <c r="J221" s="12" t="s">
        <v>53</v>
      </c>
      <c r="K221" s="12" t="s">
        <v>42</v>
      </c>
      <c r="L221" s="17">
        <v>2856.0</v>
      </c>
      <c r="M221" s="17">
        <v>5.0</v>
      </c>
      <c r="N221" s="17">
        <v>1.0</v>
      </c>
      <c r="O221" s="17">
        <v>34.5</v>
      </c>
      <c r="P221" s="17">
        <v>4.7</v>
      </c>
      <c r="Q221" s="15">
        <v>46009.0</v>
      </c>
      <c r="R221" s="12"/>
      <c r="S221" s="12" t="s">
        <v>55</v>
      </c>
      <c r="T221" s="12" t="s">
        <v>75</v>
      </c>
      <c r="U221" s="17">
        <f t="shared" si="1"/>
        <v>1</v>
      </c>
    </row>
    <row r="222">
      <c r="A222" s="12" t="s">
        <v>663</v>
      </c>
      <c r="B222" s="12" t="s">
        <v>202</v>
      </c>
      <c r="C222" s="17">
        <v>24.0</v>
      </c>
      <c r="D222" s="12" t="s">
        <v>35</v>
      </c>
      <c r="E222" s="12" t="s">
        <v>51</v>
      </c>
      <c r="F222" s="12" t="s">
        <v>372</v>
      </c>
      <c r="G222" s="12" t="s">
        <v>93</v>
      </c>
      <c r="H222" s="15">
        <v>45481.0</v>
      </c>
      <c r="I222" s="17">
        <v>12.0</v>
      </c>
      <c r="J222" s="12" t="s">
        <v>64</v>
      </c>
      <c r="K222" s="12" t="s">
        <v>65</v>
      </c>
      <c r="L222" s="17">
        <v>584.0</v>
      </c>
      <c r="M222" s="17">
        <v>3.0</v>
      </c>
      <c r="N222" s="17">
        <v>3.0</v>
      </c>
      <c r="O222" s="17">
        <v>9.7</v>
      </c>
      <c r="P222" s="17">
        <v>4.9</v>
      </c>
      <c r="Q222" s="15">
        <v>45589.0</v>
      </c>
      <c r="R222" s="12" t="s">
        <v>664</v>
      </c>
      <c r="S222" s="12" t="s">
        <v>45</v>
      </c>
      <c r="T222" s="12" t="s">
        <v>47</v>
      </c>
      <c r="U222" s="17">
        <f t="shared" si="1"/>
        <v>1</v>
      </c>
    </row>
    <row r="223">
      <c r="A223" s="12" t="s">
        <v>665</v>
      </c>
      <c r="B223" s="12" t="s">
        <v>645</v>
      </c>
      <c r="C223" s="17">
        <v>19.0</v>
      </c>
      <c r="D223" s="12" t="s">
        <v>69</v>
      </c>
      <c r="E223" s="12" t="s">
        <v>177</v>
      </c>
      <c r="F223" s="12" t="s">
        <v>62</v>
      </c>
      <c r="G223" s="12" t="s">
        <v>52</v>
      </c>
      <c r="H223" s="15">
        <v>44699.0</v>
      </c>
      <c r="I223" s="17">
        <v>6.0</v>
      </c>
      <c r="J223" s="12" t="s">
        <v>64</v>
      </c>
      <c r="K223" s="12" t="s">
        <v>81</v>
      </c>
      <c r="L223" s="17">
        <v>702.0</v>
      </c>
      <c r="M223" s="17">
        <v>2.0</v>
      </c>
      <c r="N223" s="17">
        <v>0.0</v>
      </c>
      <c r="O223" s="17">
        <v>12.8</v>
      </c>
      <c r="P223" s="17">
        <v>4.2</v>
      </c>
      <c r="Q223" s="15">
        <v>44779.0</v>
      </c>
      <c r="R223" s="12"/>
      <c r="S223" s="12" t="s">
        <v>55</v>
      </c>
      <c r="T223" s="12" t="s">
        <v>66</v>
      </c>
      <c r="U223" s="17">
        <f t="shared" si="1"/>
        <v>2</v>
      </c>
    </row>
    <row r="224">
      <c r="A224" s="12" t="s">
        <v>666</v>
      </c>
      <c r="B224" s="12" t="s">
        <v>184</v>
      </c>
      <c r="C224" s="17">
        <v>45.0</v>
      </c>
      <c r="D224" s="12" t="s">
        <v>85</v>
      </c>
      <c r="E224" s="12" t="s">
        <v>292</v>
      </c>
      <c r="F224" s="12" t="s">
        <v>62</v>
      </c>
      <c r="G224" s="12" t="s">
        <v>39</v>
      </c>
      <c r="H224" s="15">
        <v>45722.0</v>
      </c>
      <c r="I224" s="17">
        <v>38.0</v>
      </c>
      <c r="J224" s="12" t="s">
        <v>53</v>
      </c>
      <c r="K224" s="12" t="s">
        <v>65</v>
      </c>
      <c r="L224" s="17">
        <v>550.0</v>
      </c>
      <c r="M224" s="17">
        <v>1.0</v>
      </c>
      <c r="N224" s="17">
        <v>1.0</v>
      </c>
      <c r="O224" s="17">
        <v>22.1</v>
      </c>
      <c r="P224" s="17">
        <v>3.7</v>
      </c>
      <c r="Q224" s="15">
        <v>45938.0</v>
      </c>
      <c r="R224" s="12"/>
      <c r="S224" s="12" t="s">
        <v>55</v>
      </c>
      <c r="T224" s="12" t="s">
        <v>75</v>
      </c>
      <c r="U224" s="17">
        <f t="shared" si="1"/>
        <v>3</v>
      </c>
    </row>
    <row r="225">
      <c r="A225" s="12" t="s">
        <v>667</v>
      </c>
      <c r="B225" s="12" t="s">
        <v>312</v>
      </c>
      <c r="C225" s="17">
        <v>22.0</v>
      </c>
      <c r="D225" s="12" t="s">
        <v>85</v>
      </c>
      <c r="E225" s="12" t="s">
        <v>292</v>
      </c>
      <c r="F225" s="12" t="s">
        <v>62</v>
      </c>
      <c r="G225" s="12" t="s">
        <v>120</v>
      </c>
      <c r="H225" s="15">
        <v>44856.0</v>
      </c>
      <c r="I225" s="17">
        <v>40.0</v>
      </c>
      <c r="J225" s="12" t="s">
        <v>64</v>
      </c>
      <c r="K225" s="12" t="s">
        <v>65</v>
      </c>
      <c r="L225" s="17">
        <v>854.0</v>
      </c>
      <c r="M225" s="17">
        <v>1.0</v>
      </c>
      <c r="N225" s="17">
        <v>1.0</v>
      </c>
      <c r="O225" s="17">
        <v>20.3</v>
      </c>
      <c r="P225" s="17">
        <v>3.0</v>
      </c>
      <c r="Q225" s="15">
        <v>45676.0</v>
      </c>
      <c r="R225" s="12"/>
      <c r="S225" s="12" t="s">
        <v>55</v>
      </c>
      <c r="T225" s="12" t="s">
        <v>72</v>
      </c>
      <c r="U225" s="17">
        <f t="shared" si="1"/>
        <v>4</v>
      </c>
    </row>
    <row r="226">
      <c r="A226" s="12" t="s">
        <v>668</v>
      </c>
      <c r="B226" s="12" t="s">
        <v>169</v>
      </c>
      <c r="C226" s="17">
        <v>68.0</v>
      </c>
      <c r="D226" s="12" t="s">
        <v>35</v>
      </c>
      <c r="E226" s="12" t="s">
        <v>161</v>
      </c>
      <c r="F226" s="12" t="s">
        <v>37</v>
      </c>
      <c r="G226" s="12" t="s">
        <v>210</v>
      </c>
      <c r="H226" s="15">
        <v>45198.0</v>
      </c>
      <c r="I226" s="17">
        <v>18.0</v>
      </c>
      <c r="J226" s="12" t="s">
        <v>53</v>
      </c>
      <c r="K226" s="12" t="s">
        <v>65</v>
      </c>
      <c r="L226" s="17">
        <v>1700.0</v>
      </c>
      <c r="M226" s="17">
        <v>1.0</v>
      </c>
      <c r="N226" s="17">
        <v>2.0</v>
      </c>
      <c r="O226" s="17">
        <v>22.5</v>
      </c>
      <c r="P226" s="17">
        <v>3.6</v>
      </c>
      <c r="Q226" s="15">
        <v>45441.0</v>
      </c>
      <c r="R226" s="12" t="s">
        <v>669</v>
      </c>
      <c r="S226" s="12" t="s">
        <v>45</v>
      </c>
      <c r="T226" s="12" t="s">
        <v>75</v>
      </c>
      <c r="U226" s="17">
        <f t="shared" si="1"/>
        <v>4</v>
      </c>
    </row>
    <row r="227">
      <c r="A227" s="12" t="s">
        <v>670</v>
      </c>
      <c r="B227" s="12" t="s">
        <v>145</v>
      </c>
      <c r="C227" s="17">
        <v>23.0</v>
      </c>
      <c r="D227" s="12" t="s">
        <v>35</v>
      </c>
      <c r="E227" s="12" t="s">
        <v>51</v>
      </c>
      <c r="F227" s="12" t="s">
        <v>62</v>
      </c>
      <c r="G227" s="12" t="s">
        <v>93</v>
      </c>
      <c r="H227" s="15">
        <v>45395.0</v>
      </c>
      <c r="I227" s="17">
        <v>48.0</v>
      </c>
      <c r="J227" s="12" t="s">
        <v>146</v>
      </c>
      <c r="K227" s="12" t="s">
        <v>81</v>
      </c>
      <c r="L227" s="17">
        <v>763.0</v>
      </c>
      <c r="M227" s="17">
        <v>1.0</v>
      </c>
      <c r="N227" s="17">
        <v>3.0</v>
      </c>
      <c r="O227" s="17">
        <v>13.1</v>
      </c>
      <c r="P227" s="17">
        <v>3.4</v>
      </c>
      <c r="Q227" s="15">
        <v>45520.0</v>
      </c>
      <c r="R227" s="12"/>
      <c r="S227" s="12" t="s">
        <v>55</v>
      </c>
      <c r="T227" s="12" t="s">
        <v>66</v>
      </c>
      <c r="U227" s="17">
        <f t="shared" si="1"/>
        <v>4</v>
      </c>
    </row>
    <row r="228">
      <c r="A228" s="12" t="s">
        <v>671</v>
      </c>
      <c r="B228" s="12" t="s">
        <v>380</v>
      </c>
      <c r="C228" s="17">
        <v>42.0</v>
      </c>
      <c r="D228" s="12" t="s">
        <v>69</v>
      </c>
      <c r="E228" s="12" t="s">
        <v>70</v>
      </c>
      <c r="F228" s="12" t="s">
        <v>62</v>
      </c>
      <c r="G228" s="12" t="s">
        <v>93</v>
      </c>
      <c r="H228" s="15">
        <v>44973.0</v>
      </c>
      <c r="I228" s="17">
        <v>4.0</v>
      </c>
      <c r="J228" s="12" t="s">
        <v>53</v>
      </c>
      <c r="K228" s="12" t="s">
        <v>81</v>
      </c>
      <c r="L228" s="17">
        <v>732.0</v>
      </c>
      <c r="M228" s="17">
        <v>2.0</v>
      </c>
      <c r="N228" s="17">
        <v>2.0</v>
      </c>
      <c r="O228" s="17">
        <v>25.6</v>
      </c>
      <c r="P228" s="17">
        <v>2.4</v>
      </c>
      <c r="Q228" s="15">
        <v>45075.0</v>
      </c>
      <c r="R228" s="12"/>
      <c r="S228" s="12" t="s">
        <v>55</v>
      </c>
      <c r="T228" s="12" t="s">
        <v>75</v>
      </c>
      <c r="U228" s="17">
        <f t="shared" si="1"/>
        <v>2</v>
      </c>
    </row>
    <row r="229">
      <c r="A229" s="12" t="s">
        <v>672</v>
      </c>
      <c r="B229" s="12" t="s">
        <v>68</v>
      </c>
      <c r="C229" s="17">
        <v>35.0</v>
      </c>
      <c r="D229" s="12" t="s">
        <v>35</v>
      </c>
      <c r="E229" s="12" t="s">
        <v>36</v>
      </c>
      <c r="F229" s="12" t="s">
        <v>62</v>
      </c>
      <c r="G229" s="12" t="s">
        <v>120</v>
      </c>
      <c r="H229" s="15">
        <v>45778.0</v>
      </c>
      <c r="I229" s="17">
        <v>29.0</v>
      </c>
      <c r="J229" s="12" t="s">
        <v>64</v>
      </c>
      <c r="K229" s="12" t="s">
        <v>81</v>
      </c>
      <c r="L229" s="17">
        <v>741.0</v>
      </c>
      <c r="M229" s="17">
        <v>3.0</v>
      </c>
      <c r="N229" s="17">
        <v>1.0</v>
      </c>
      <c r="O229" s="17">
        <v>8.6</v>
      </c>
      <c r="P229" s="17">
        <v>2.1</v>
      </c>
      <c r="Q229" s="15">
        <v>46146.0</v>
      </c>
      <c r="R229" s="12"/>
      <c r="S229" s="12" t="s">
        <v>55</v>
      </c>
      <c r="T229" s="12" t="s">
        <v>104</v>
      </c>
      <c r="U229" s="17">
        <f t="shared" si="1"/>
        <v>2</v>
      </c>
    </row>
    <row r="230">
      <c r="A230" s="12" t="s">
        <v>674</v>
      </c>
      <c r="B230" s="12" t="s">
        <v>675</v>
      </c>
      <c r="C230" s="17">
        <v>68.0</v>
      </c>
      <c r="D230" s="12" t="s">
        <v>35</v>
      </c>
      <c r="E230" s="12" t="s">
        <v>140</v>
      </c>
      <c r="F230" s="12" t="s">
        <v>62</v>
      </c>
      <c r="G230" s="12" t="s">
        <v>93</v>
      </c>
      <c r="H230" s="15">
        <v>45733.0</v>
      </c>
      <c r="I230" s="17">
        <v>14.0</v>
      </c>
      <c r="J230" s="12" t="s">
        <v>64</v>
      </c>
      <c r="K230" s="12" t="s">
        <v>42</v>
      </c>
      <c r="L230" s="17">
        <v>830.0</v>
      </c>
      <c r="M230" s="17">
        <v>1.0</v>
      </c>
      <c r="N230" s="17">
        <v>0.0</v>
      </c>
      <c r="O230" s="17">
        <v>13.6</v>
      </c>
      <c r="P230" s="17">
        <v>4.1</v>
      </c>
      <c r="Q230" s="15">
        <v>45848.0</v>
      </c>
      <c r="R230" s="12" t="s">
        <v>676</v>
      </c>
      <c r="S230" s="12" t="s">
        <v>45</v>
      </c>
      <c r="T230" s="12" t="s">
        <v>75</v>
      </c>
      <c r="U230" s="17">
        <f t="shared" si="1"/>
        <v>2</v>
      </c>
    </row>
    <row r="231">
      <c r="A231" s="12" t="s">
        <v>677</v>
      </c>
      <c r="B231" s="12" t="s">
        <v>241</v>
      </c>
      <c r="C231" s="17">
        <v>32.0</v>
      </c>
      <c r="D231" s="12" t="s">
        <v>69</v>
      </c>
      <c r="E231" s="12" t="s">
        <v>70</v>
      </c>
      <c r="F231" s="12" t="s">
        <v>62</v>
      </c>
      <c r="G231" s="12" t="s">
        <v>80</v>
      </c>
      <c r="H231" s="15">
        <v>45187.0</v>
      </c>
      <c r="I231" s="17">
        <v>46.0</v>
      </c>
      <c r="J231" s="12" t="s">
        <v>53</v>
      </c>
      <c r="K231" s="12" t="s">
        <v>65</v>
      </c>
      <c r="L231" s="17">
        <v>828.0</v>
      </c>
      <c r="M231" s="17">
        <v>3.0</v>
      </c>
      <c r="N231" s="17">
        <v>1.0</v>
      </c>
      <c r="O231" s="17">
        <v>10.0</v>
      </c>
      <c r="P231" s="17">
        <v>3.7</v>
      </c>
      <c r="Q231" s="15">
        <v>45968.0</v>
      </c>
      <c r="R231" s="12" t="s">
        <v>679</v>
      </c>
      <c r="S231" s="12" t="s">
        <v>45</v>
      </c>
      <c r="T231" s="12" t="s">
        <v>66</v>
      </c>
      <c r="U231" s="17">
        <f t="shared" si="1"/>
        <v>5</v>
      </c>
    </row>
    <row r="232">
      <c r="A232" s="12" t="s">
        <v>680</v>
      </c>
      <c r="B232" s="12" t="s">
        <v>235</v>
      </c>
      <c r="C232" s="17">
        <v>40.0</v>
      </c>
      <c r="D232" s="12" t="s">
        <v>85</v>
      </c>
      <c r="E232" s="12" t="s">
        <v>292</v>
      </c>
      <c r="F232" s="12" t="s">
        <v>62</v>
      </c>
      <c r="G232" s="12" t="s">
        <v>52</v>
      </c>
      <c r="H232" s="15">
        <v>45328.0</v>
      </c>
      <c r="I232" s="17">
        <v>36.0</v>
      </c>
      <c r="J232" s="12" t="s">
        <v>53</v>
      </c>
      <c r="K232" s="12" t="s">
        <v>81</v>
      </c>
      <c r="L232" s="17">
        <v>810.0</v>
      </c>
      <c r="M232" s="17">
        <v>2.0</v>
      </c>
      <c r="N232" s="17">
        <v>1.0</v>
      </c>
      <c r="O232" s="17">
        <v>27.3</v>
      </c>
      <c r="P232" s="17">
        <v>2.9</v>
      </c>
      <c r="Q232" s="15">
        <v>45559.0</v>
      </c>
      <c r="R232" s="12"/>
      <c r="S232" s="12" t="s">
        <v>55</v>
      </c>
      <c r="T232" s="12" t="s">
        <v>72</v>
      </c>
      <c r="U232" s="17">
        <f t="shared" si="1"/>
        <v>1</v>
      </c>
    </row>
    <row r="233">
      <c r="A233" s="12" t="s">
        <v>681</v>
      </c>
      <c r="B233" s="12" t="s">
        <v>96</v>
      </c>
      <c r="C233" s="17">
        <v>60.0</v>
      </c>
      <c r="D233" s="12" t="s">
        <v>60</v>
      </c>
      <c r="E233" s="12" t="s">
        <v>107</v>
      </c>
      <c r="F233" s="12" t="s">
        <v>62</v>
      </c>
      <c r="G233" s="12" t="s">
        <v>80</v>
      </c>
      <c r="H233" s="15">
        <v>45054.0</v>
      </c>
      <c r="I233" s="17">
        <v>4.0</v>
      </c>
      <c r="J233" s="12" t="s">
        <v>53</v>
      </c>
      <c r="K233" s="12" t="s">
        <v>65</v>
      </c>
      <c r="L233" s="17">
        <v>806.0</v>
      </c>
      <c r="M233" s="17">
        <v>2.0</v>
      </c>
      <c r="N233" s="17">
        <v>1.0</v>
      </c>
      <c r="O233" s="17">
        <v>12.6</v>
      </c>
      <c r="P233" s="17">
        <v>4.6</v>
      </c>
      <c r="Q233" s="15">
        <v>45145.0</v>
      </c>
      <c r="R233" s="12" t="s">
        <v>682</v>
      </c>
      <c r="S233" s="12" t="s">
        <v>45</v>
      </c>
      <c r="T233" s="12" t="s">
        <v>72</v>
      </c>
      <c r="U233" s="17">
        <f t="shared" si="1"/>
        <v>2</v>
      </c>
    </row>
    <row r="234">
      <c r="A234" s="12" t="s">
        <v>367</v>
      </c>
      <c r="B234" s="12" t="s">
        <v>257</v>
      </c>
      <c r="C234" s="17">
        <v>51.0</v>
      </c>
      <c r="D234" s="12" t="s">
        <v>85</v>
      </c>
      <c r="E234" s="12" t="s">
        <v>87</v>
      </c>
      <c r="F234" s="12" t="s">
        <v>37</v>
      </c>
      <c r="G234" s="12" t="s">
        <v>80</v>
      </c>
      <c r="H234" s="15">
        <v>46012.0</v>
      </c>
      <c r="I234" s="17">
        <v>37.0</v>
      </c>
      <c r="J234" s="12" t="s">
        <v>53</v>
      </c>
      <c r="K234" s="12" t="s">
        <v>42</v>
      </c>
      <c r="L234" s="17">
        <v>1742.0</v>
      </c>
      <c r="M234" s="17">
        <v>5.0</v>
      </c>
      <c r="N234" s="17">
        <v>1.0</v>
      </c>
      <c r="O234" s="17">
        <v>27.3</v>
      </c>
      <c r="P234" s="17">
        <v>4.5</v>
      </c>
      <c r="Q234" s="15">
        <v>46477.0</v>
      </c>
      <c r="R234" s="12" t="s">
        <v>683</v>
      </c>
      <c r="S234" s="12" t="s">
        <v>45</v>
      </c>
      <c r="T234" s="12" t="s">
        <v>66</v>
      </c>
      <c r="U234" s="17">
        <f t="shared" si="1"/>
        <v>3</v>
      </c>
    </row>
    <row r="235">
      <c r="A235" s="12" t="s">
        <v>684</v>
      </c>
      <c r="B235" s="12" t="s">
        <v>349</v>
      </c>
      <c r="C235" s="17">
        <v>41.0</v>
      </c>
      <c r="D235" s="12" t="s">
        <v>60</v>
      </c>
      <c r="E235" s="12" t="s">
        <v>61</v>
      </c>
      <c r="F235" s="12" t="s">
        <v>37</v>
      </c>
      <c r="G235" s="12" t="s">
        <v>52</v>
      </c>
      <c r="H235" s="15">
        <v>45091.0</v>
      </c>
      <c r="I235" s="17">
        <v>47.0</v>
      </c>
      <c r="J235" s="12" t="s">
        <v>40</v>
      </c>
      <c r="K235" s="12" t="s">
        <v>81</v>
      </c>
      <c r="L235" s="17">
        <v>1186.0</v>
      </c>
      <c r="M235" s="17">
        <v>1.0</v>
      </c>
      <c r="N235" s="17">
        <v>0.0</v>
      </c>
      <c r="O235" s="17">
        <v>28.7</v>
      </c>
      <c r="P235" s="17">
        <v>5.0</v>
      </c>
      <c r="Q235" s="15">
        <v>46493.0</v>
      </c>
      <c r="R235" s="12" t="s">
        <v>685</v>
      </c>
      <c r="S235" s="12" t="s">
        <v>45</v>
      </c>
      <c r="T235" s="12" t="s">
        <v>72</v>
      </c>
      <c r="U235" s="17">
        <f t="shared" si="1"/>
        <v>2</v>
      </c>
    </row>
    <row r="236">
      <c r="A236" s="12" t="s">
        <v>686</v>
      </c>
      <c r="B236" s="12" t="s">
        <v>340</v>
      </c>
      <c r="C236" s="17">
        <v>49.0</v>
      </c>
      <c r="D236" s="12" t="s">
        <v>60</v>
      </c>
      <c r="E236" s="12" t="s">
        <v>107</v>
      </c>
      <c r="F236" s="12" t="s">
        <v>62</v>
      </c>
      <c r="G236" s="12" t="s">
        <v>210</v>
      </c>
      <c r="H236" s="15">
        <v>45511.0</v>
      </c>
      <c r="I236" s="17">
        <v>8.0</v>
      </c>
      <c r="J236" s="12" t="s">
        <v>40</v>
      </c>
      <c r="K236" s="12" t="s">
        <v>81</v>
      </c>
      <c r="L236" s="17">
        <v>823.0</v>
      </c>
      <c r="M236" s="17">
        <v>0.0</v>
      </c>
      <c r="N236" s="17">
        <v>0.0</v>
      </c>
      <c r="O236" s="17">
        <v>15.1</v>
      </c>
      <c r="P236" s="17">
        <v>3.9</v>
      </c>
      <c r="Q236" s="15">
        <v>45762.0</v>
      </c>
      <c r="R236" s="12"/>
      <c r="S236" s="12" t="s">
        <v>55</v>
      </c>
      <c r="T236" s="12" t="s">
        <v>104</v>
      </c>
      <c r="U236" s="17">
        <f t="shared" si="1"/>
        <v>1</v>
      </c>
    </row>
    <row r="237">
      <c r="A237" s="12" t="s">
        <v>687</v>
      </c>
      <c r="B237" s="12" t="s">
        <v>68</v>
      </c>
      <c r="C237" s="17">
        <v>68.0</v>
      </c>
      <c r="D237" s="12" t="s">
        <v>85</v>
      </c>
      <c r="E237" s="12" t="s">
        <v>92</v>
      </c>
      <c r="F237" s="12" t="s">
        <v>62</v>
      </c>
      <c r="G237" s="12" t="s">
        <v>93</v>
      </c>
      <c r="H237" s="15">
        <v>44870.0</v>
      </c>
      <c r="I237" s="17">
        <v>9.0</v>
      </c>
      <c r="J237" s="12" t="s">
        <v>40</v>
      </c>
      <c r="K237" s="12" t="s">
        <v>65</v>
      </c>
      <c r="L237" s="17">
        <v>674.0</v>
      </c>
      <c r="M237" s="17">
        <v>3.0</v>
      </c>
      <c r="N237" s="17">
        <v>0.0</v>
      </c>
      <c r="O237" s="17">
        <v>7.2</v>
      </c>
      <c r="P237" s="17">
        <v>2.8</v>
      </c>
      <c r="Q237" s="15">
        <v>45114.0</v>
      </c>
      <c r="R237" s="12" t="s">
        <v>688</v>
      </c>
      <c r="S237" s="12" t="s">
        <v>45</v>
      </c>
      <c r="T237" s="12" t="s">
        <v>72</v>
      </c>
      <c r="U237" s="17">
        <f t="shared" si="1"/>
        <v>2</v>
      </c>
    </row>
    <row r="238">
      <c r="A238" s="12" t="s">
        <v>689</v>
      </c>
      <c r="B238" s="12" t="s">
        <v>235</v>
      </c>
      <c r="C238" s="17">
        <v>27.0</v>
      </c>
      <c r="D238" s="12" t="s">
        <v>69</v>
      </c>
      <c r="E238" s="12" t="s">
        <v>177</v>
      </c>
      <c r="F238" s="12" t="s">
        <v>37</v>
      </c>
      <c r="G238" s="12" t="s">
        <v>63</v>
      </c>
      <c r="H238" s="15">
        <v>45487.0</v>
      </c>
      <c r="I238" s="17">
        <v>18.0</v>
      </c>
      <c r="J238" s="12" t="s">
        <v>64</v>
      </c>
      <c r="K238" s="12" t="s">
        <v>65</v>
      </c>
      <c r="L238" s="17">
        <v>1171.0</v>
      </c>
      <c r="M238" s="17">
        <v>2.0</v>
      </c>
      <c r="N238" s="17">
        <v>0.0</v>
      </c>
      <c r="O238" s="17">
        <v>30.3</v>
      </c>
      <c r="P238" s="17">
        <v>3.1</v>
      </c>
      <c r="Q238" s="15">
        <v>45659.0</v>
      </c>
      <c r="R238" s="12"/>
      <c r="S238" s="12" t="s">
        <v>55</v>
      </c>
      <c r="T238" s="12" t="s">
        <v>75</v>
      </c>
      <c r="U238" s="17">
        <f t="shared" si="1"/>
        <v>5</v>
      </c>
    </row>
    <row r="239">
      <c r="A239" s="12" t="s">
        <v>671</v>
      </c>
      <c r="B239" s="12" t="s">
        <v>132</v>
      </c>
      <c r="C239" s="17">
        <v>59.0</v>
      </c>
      <c r="D239" s="12" t="s">
        <v>85</v>
      </c>
      <c r="E239" s="12" t="s">
        <v>87</v>
      </c>
      <c r="F239" s="12" t="s">
        <v>62</v>
      </c>
      <c r="G239" s="12" t="s">
        <v>63</v>
      </c>
      <c r="H239" s="15">
        <v>45655.0</v>
      </c>
      <c r="I239" s="17">
        <v>13.0</v>
      </c>
      <c r="J239" s="12" t="s">
        <v>64</v>
      </c>
      <c r="K239" s="12" t="s">
        <v>42</v>
      </c>
      <c r="L239" s="17">
        <v>506.0</v>
      </c>
      <c r="M239" s="17">
        <v>1.0</v>
      </c>
      <c r="N239" s="17">
        <v>0.0</v>
      </c>
      <c r="O239" s="17">
        <v>22.9</v>
      </c>
      <c r="P239" s="17">
        <v>4.9</v>
      </c>
      <c r="Q239" s="15">
        <v>45936.0</v>
      </c>
      <c r="R239" s="12" t="s">
        <v>690</v>
      </c>
      <c r="S239" s="12" t="s">
        <v>45</v>
      </c>
      <c r="T239" s="12" t="s">
        <v>47</v>
      </c>
      <c r="U239" s="17">
        <f t="shared" si="1"/>
        <v>2</v>
      </c>
    </row>
    <row r="240">
      <c r="A240" s="12" t="s">
        <v>691</v>
      </c>
      <c r="B240" s="12" t="s">
        <v>257</v>
      </c>
      <c r="C240" s="17">
        <v>46.0</v>
      </c>
      <c r="D240" s="12" t="s">
        <v>60</v>
      </c>
      <c r="E240" s="12" t="s">
        <v>107</v>
      </c>
      <c r="F240" s="12" t="s">
        <v>62</v>
      </c>
      <c r="G240" s="12" t="s">
        <v>120</v>
      </c>
      <c r="H240" s="15">
        <v>45592.0</v>
      </c>
      <c r="I240" s="17">
        <v>38.0</v>
      </c>
      <c r="J240" s="12" t="s">
        <v>64</v>
      </c>
      <c r="K240" s="12" t="s">
        <v>42</v>
      </c>
      <c r="L240" s="17">
        <v>532.0</v>
      </c>
      <c r="M240" s="17">
        <v>2.0</v>
      </c>
      <c r="N240" s="17">
        <v>2.0</v>
      </c>
      <c r="O240" s="17">
        <v>28.6</v>
      </c>
      <c r="P240" s="17">
        <v>4.2</v>
      </c>
      <c r="Q240" s="15">
        <v>46197.0</v>
      </c>
      <c r="R240" s="12"/>
      <c r="S240" s="12" t="s">
        <v>55</v>
      </c>
      <c r="T240" s="12" t="s">
        <v>72</v>
      </c>
      <c r="U240" s="17">
        <f t="shared" si="1"/>
        <v>2</v>
      </c>
    </row>
    <row r="241">
      <c r="A241" s="12" t="s">
        <v>692</v>
      </c>
      <c r="B241" s="12" t="s">
        <v>605</v>
      </c>
      <c r="C241" s="17">
        <v>26.0</v>
      </c>
      <c r="D241" s="12" t="s">
        <v>60</v>
      </c>
      <c r="E241" s="12" t="s">
        <v>97</v>
      </c>
      <c r="F241" s="12" t="s">
        <v>62</v>
      </c>
      <c r="G241" s="12" t="s">
        <v>93</v>
      </c>
      <c r="H241" s="15">
        <v>45388.0</v>
      </c>
      <c r="I241" s="17">
        <v>2.0</v>
      </c>
      <c r="J241" s="12" t="s">
        <v>53</v>
      </c>
      <c r="K241" s="12" t="s">
        <v>81</v>
      </c>
      <c r="L241" s="17">
        <v>871.0</v>
      </c>
      <c r="M241" s="17">
        <v>4.0</v>
      </c>
      <c r="N241" s="17">
        <v>0.0</v>
      </c>
      <c r="O241" s="17">
        <v>18.5</v>
      </c>
      <c r="P241" s="17">
        <v>3.9</v>
      </c>
      <c r="Q241" s="15">
        <v>45400.0</v>
      </c>
      <c r="R241" s="12"/>
      <c r="S241" s="12" t="s">
        <v>55</v>
      </c>
      <c r="T241" s="12" t="s">
        <v>104</v>
      </c>
      <c r="U241" s="17">
        <f t="shared" si="1"/>
        <v>2</v>
      </c>
    </row>
    <row r="242">
      <c r="A242" s="12" t="s">
        <v>693</v>
      </c>
      <c r="B242" s="12" t="s">
        <v>118</v>
      </c>
      <c r="C242" s="12" t="s">
        <v>694</v>
      </c>
      <c r="D242" s="12" t="s">
        <v>60</v>
      </c>
      <c r="E242" s="12" t="s">
        <v>61</v>
      </c>
      <c r="F242" s="12" t="s">
        <v>37</v>
      </c>
      <c r="G242" s="12" t="s">
        <v>63</v>
      </c>
      <c r="H242" s="15">
        <v>45917.0</v>
      </c>
      <c r="I242" s="17">
        <v>7.0</v>
      </c>
      <c r="J242" s="12" t="s">
        <v>40</v>
      </c>
      <c r="K242" s="12" t="s">
        <v>81</v>
      </c>
      <c r="L242" s="17">
        <v>1048.0</v>
      </c>
      <c r="M242" s="17">
        <v>3.0</v>
      </c>
      <c r="N242" s="17">
        <v>0.0</v>
      </c>
      <c r="O242" s="17">
        <v>19.6</v>
      </c>
      <c r="P242" s="17">
        <v>1.9</v>
      </c>
      <c r="Q242" s="15">
        <v>45956.0</v>
      </c>
      <c r="R242" s="12"/>
      <c r="S242" s="12" t="s">
        <v>55</v>
      </c>
      <c r="T242" s="12" t="s">
        <v>72</v>
      </c>
      <c r="U242" s="17">
        <f t="shared" si="1"/>
        <v>1</v>
      </c>
    </row>
    <row r="243">
      <c r="A243" s="12" t="s">
        <v>695</v>
      </c>
      <c r="B243" s="12" t="s">
        <v>605</v>
      </c>
      <c r="C243" s="17">
        <v>45.0</v>
      </c>
      <c r="D243" s="12" t="s">
        <v>69</v>
      </c>
      <c r="E243" s="12" t="s">
        <v>187</v>
      </c>
      <c r="F243" s="12" t="s">
        <v>37</v>
      </c>
      <c r="G243" s="12" t="s">
        <v>52</v>
      </c>
      <c r="H243" s="15">
        <v>44581.0</v>
      </c>
      <c r="I243" s="17">
        <v>20.0</v>
      </c>
      <c r="J243" s="12" t="s">
        <v>40</v>
      </c>
      <c r="K243" s="12" t="s">
        <v>81</v>
      </c>
      <c r="L243" s="17">
        <v>1677.0</v>
      </c>
      <c r="M243" s="17">
        <v>3.0</v>
      </c>
      <c r="N243" s="17">
        <v>2.0</v>
      </c>
      <c r="O243" s="17">
        <v>29.7</v>
      </c>
      <c r="P243" s="17">
        <v>3.6</v>
      </c>
      <c r="Q243" s="15">
        <v>44867.0</v>
      </c>
      <c r="R243" s="12"/>
      <c r="S243" s="12" t="s">
        <v>55</v>
      </c>
      <c r="T243" s="12" t="s">
        <v>66</v>
      </c>
      <c r="U243" s="17">
        <f t="shared" si="1"/>
        <v>5</v>
      </c>
    </row>
    <row r="244">
      <c r="A244" s="12" t="s">
        <v>696</v>
      </c>
      <c r="B244" s="12" t="s">
        <v>633</v>
      </c>
      <c r="C244" s="17">
        <v>37.0</v>
      </c>
      <c r="D244" s="12" t="s">
        <v>60</v>
      </c>
      <c r="E244" s="12" t="s">
        <v>61</v>
      </c>
      <c r="F244" s="12" t="s">
        <v>372</v>
      </c>
      <c r="G244" s="12" t="s">
        <v>120</v>
      </c>
      <c r="H244" s="15">
        <v>44968.0</v>
      </c>
      <c r="I244" s="17">
        <v>39.0</v>
      </c>
      <c r="J244" s="12" t="s">
        <v>40</v>
      </c>
      <c r="K244" s="12" t="s">
        <v>42</v>
      </c>
      <c r="L244" s="17">
        <v>1534.0</v>
      </c>
      <c r="M244" s="17">
        <v>4.0</v>
      </c>
      <c r="N244" s="17">
        <v>3.0</v>
      </c>
      <c r="O244" s="17">
        <v>26.0</v>
      </c>
      <c r="P244" s="17">
        <v>5.0</v>
      </c>
      <c r="Q244" s="15">
        <v>45391.0</v>
      </c>
      <c r="R244" s="12"/>
      <c r="S244" s="12" t="s">
        <v>55</v>
      </c>
      <c r="T244" s="12" t="s">
        <v>66</v>
      </c>
      <c r="U244" s="17">
        <f t="shared" si="1"/>
        <v>2</v>
      </c>
    </row>
    <row r="245">
      <c r="A245" s="12" t="s">
        <v>697</v>
      </c>
      <c r="B245" s="12" t="s">
        <v>288</v>
      </c>
      <c r="C245" s="12" t="s">
        <v>698</v>
      </c>
      <c r="D245" s="12" t="s">
        <v>69</v>
      </c>
      <c r="E245" s="12" t="s">
        <v>119</v>
      </c>
      <c r="F245" s="12" t="s">
        <v>62</v>
      </c>
      <c r="G245" s="12" t="s">
        <v>63</v>
      </c>
      <c r="H245" s="15">
        <v>44588.0</v>
      </c>
      <c r="I245" s="17">
        <v>43.0</v>
      </c>
      <c r="J245" s="12" t="s">
        <v>64</v>
      </c>
      <c r="K245" s="12" t="s">
        <v>42</v>
      </c>
      <c r="L245" s="17">
        <v>555.0</v>
      </c>
      <c r="M245" s="17">
        <v>2.0</v>
      </c>
      <c r="N245" s="17">
        <v>2.0</v>
      </c>
      <c r="O245" s="17">
        <v>17.2</v>
      </c>
      <c r="P245" s="17">
        <v>3.6</v>
      </c>
      <c r="Q245" s="15">
        <v>45609.0</v>
      </c>
      <c r="R245" s="12"/>
      <c r="S245" s="12" t="s">
        <v>55</v>
      </c>
      <c r="T245" s="12" t="s">
        <v>104</v>
      </c>
      <c r="U245" s="17">
        <f t="shared" si="1"/>
        <v>2</v>
      </c>
    </row>
    <row r="246">
      <c r="A246" s="12" t="s">
        <v>699</v>
      </c>
      <c r="B246" s="12" t="s">
        <v>281</v>
      </c>
      <c r="C246" s="17">
        <v>46.0</v>
      </c>
      <c r="D246" s="12" t="s">
        <v>69</v>
      </c>
      <c r="E246" s="12" t="s">
        <v>119</v>
      </c>
      <c r="F246" s="12" t="s">
        <v>79</v>
      </c>
      <c r="G246" s="12" t="s">
        <v>210</v>
      </c>
      <c r="H246" s="15">
        <v>45102.0</v>
      </c>
      <c r="I246" s="17">
        <v>30.0</v>
      </c>
      <c r="J246" s="12" t="s">
        <v>64</v>
      </c>
      <c r="K246" s="12" t="s">
        <v>42</v>
      </c>
      <c r="L246" s="17">
        <v>3744.0</v>
      </c>
      <c r="M246" s="17">
        <v>2.0</v>
      </c>
      <c r="N246" s="17">
        <v>3.0</v>
      </c>
      <c r="O246" s="17">
        <v>56.4</v>
      </c>
      <c r="P246" s="17">
        <v>4.7</v>
      </c>
      <c r="Q246" s="15">
        <v>45409.0</v>
      </c>
      <c r="R246" s="12"/>
      <c r="S246" s="12" t="s">
        <v>529</v>
      </c>
      <c r="T246" s="12" t="s">
        <v>104</v>
      </c>
      <c r="U246" s="17">
        <f t="shared" si="1"/>
        <v>1</v>
      </c>
    </row>
    <row r="247">
      <c r="A247" s="12" t="s">
        <v>700</v>
      </c>
      <c r="B247" s="12" t="s">
        <v>281</v>
      </c>
      <c r="C247" s="17">
        <v>30.0</v>
      </c>
      <c r="D247" s="12" t="s">
        <v>35</v>
      </c>
      <c r="E247" s="12" t="s">
        <v>36</v>
      </c>
      <c r="F247" s="12" t="s">
        <v>79</v>
      </c>
      <c r="G247" s="12" t="s">
        <v>52</v>
      </c>
      <c r="H247" s="15">
        <v>45887.0</v>
      </c>
      <c r="I247" s="17">
        <v>11.0</v>
      </c>
      <c r="J247" s="12" t="s">
        <v>40</v>
      </c>
      <c r="K247" s="12" t="s">
        <v>65</v>
      </c>
      <c r="L247" s="17">
        <v>2548.0</v>
      </c>
      <c r="M247" s="17">
        <v>0.0</v>
      </c>
      <c r="N247" s="17">
        <v>0.0</v>
      </c>
      <c r="O247" s="17">
        <v>36.9</v>
      </c>
      <c r="P247" s="17">
        <v>2.6</v>
      </c>
      <c r="Q247" s="15">
        <v>45944.0</v>
      </c>
      <c r="R247" s="12"/>
      <c r="S247" s="12" t="s">
        <v>55</v>
      </c>
      <c r="T247" s="12" t="s">
        <v>75</v>
      </c>
      <c r="U247" s="17">
        <f t="shared" si="1"/>
        <v>1</v>
      </c>
    </row>
    <row r="248">
      <c r="A248" s="12" t="s">
        <v>702</v>
      </c>
      <c r="B248" s="12" t="s">
        <v>59</v>
      </c>
      <c r="C248" s="17">
        <v>56.0</v>
      </c>
      <c r="D248" s="12" t="s">
        <v>60</v>
      </c>
      <c r="E248" s="12"/>
      <c r="F248" s="12" t="s">
        <v>37</v>
      </c>
      <c r="G248" s="12" t="s">
        <v>120</v>
      </c>
      <c r="H248" s="15">
        <v>45425.0</v>
      </c>
      <c r="I248" s="17">
        <v>42.0</v>
      </c>
      <c r="J248" s="12" t="s">
        <v>53</v>
      </c>
      <c r="K248" s="12" t="s">
        <v>81</v>
      </c>
      <c r="L248" s="17">
        <v>1114.0</v>
      </c>
      <c r="M248" s="17">
        <v>2.0</v>
      </c>
      <c r="N248" s="17">
        <v>2.0</v>
      </c>
      <c r="O248" s="17">
        <v>26.3</v>
      </c>
      <c r="P248" s="17">
        <v>2.9</v>
      </c>
      <c r="Q248" s="15">
        <v>45555.0</v>
      </c>
      <c r="R248" s="12" t="s">
        <v>703</v>
      </c>
      <c r="S248" s="12" t="s">
        <v>45</v>
      </c>
      <c r="T248" s="12" t="s">
        <v>75</v>
      </c>
      <c r="U248" s="17">
        <f t="shared" si="1"/>
        <v>1</v>
      </c>
    </row>
    <row r="249">
      <c r="A249" s="12" t="s">
        <v>704</v>
      </c>
      <c r="B249" s="12" t="s">
        <v>118</v>
      </c>
      <c r="C249" s="17">
        <v>21.0</v>
      </c>
      <c r="D249" s="12" t="s">
        <v>85</v>
      </c>
      <c r="E249" s="12" t="s">
        <v>92</v>
      </c>
      <c r="F249" s="12" t="s">
        <v>37</v>
      </c>
      <c r="G249" s="12" t="s">
        <v>93</v>
      </c>
      <c r="H249" s="15">
        <v>45963.0</v>
      </c>
      <c r="I249" s="17">
        <v>47.0</v>
      </c>
      <c r="J249" s="12" t="s">
        <v>40</v>
      </c>
      <c r="K249" s="12" t="s">
        <v>65</v>
      </c>
      <c r="L249" s="17">
        <v>1493.0</v>
      </c>
      <c r="M249" s="17">
        <v>1.0</v>
      </c>
      <c r="N249" s="17">
        <v>1.0</v>
      </c>
      <c r="O249" s="17">
        <v>37.6</v>
      </c>
      <c r="P249" s="17">
        <v>3.2</v>
      </c>
      <c r="Q249" s="15">
        <v>46972.0</v>
      </c>
      <c r="R249" s="12" t="s">
        <v>705</v>
      </c>
      <c r="S249" s="12" t="s">
        <v>45</v>
      </c>
      <c r="T249" s="12" t="s">
        <v>72</v>
      </c>
      <c r="U249" s="17">
        <f t="shared" si="1"/>
        <v>1</v>
      </c>
    </row>
    <row r="250">
      <c r="A250" s="12" t="s">
        <v>706</v>
      </c>
      <c r="B250" s="12" t="s">
        <v>633</v>
      </c>
      <c r="C250" s="17">
        <v>28.0</v>
      </c>
      <c r="D250" s="12" t="s">
        <v>69</v>
      </c>
      <c r="E250" s="12" t="s">
        <v>177</v>
      </c>
      <c r="F250" s="12" t="s">
        <v>37</v>
      </c>
      <c r="G250" s="12" t="s">
        <v>52</v>
      </c>
      <c r="H250" s="15">
        <v>45996.0</v>
      </c>
      <c r="I250" s="17">
        <v>40.0</v>
      </c>
      <c r="J250" s="12" t="s">
        <v>64</v>
      </c>
      <c r="K250" s="12" t="s">
        <v>81</v>
      </c>
      <c r="L250" s="17">
        <v>1743.0</v>
      </c>
      <c r="M250" s="17">
        <v>2.0</v>
      </c>
      <c r="N250" s="17">
        <v>0.0</v>
      </c>
      <c r="O250" s="17">
        <v>21.7</v>
      </c>
      <c r="P250" s="17">
        <v>4.3</v>
      </c>
      <c r="Q250" s="15">
        <v>46992.0</v>
      </c>
      <c r="R250" s="12"/>
      <c r="S250" s="12" t="s">
        <v>55</v>
      </c>
      <c r="T250" s="12" t="s">
        <v>104</v>
      </c>
      <c r="U250" s="17">
        <f t="shared" si="1"/>
        <v>3</v>
      </c>
    </row>
    <row r="251">
      <c r="A251" s="12" t="s">
        <v>707</v>
      </c>
      <c r="B251" s="12" t="s">
        <v>395</v>
      </c>
      <c r="C251" s="17">
        <v>54.0</v>
      </c>
      <c r="D251" s="12" t="s">
        <v>69</v>
      </c>
      <c r="E251" s="12" t="s">
        <v>119</v>
      </c>
      <c r="F251" s="12" t="s">
        <v>79</v>
      </c>
      <c r="G251" s="12" t="s">
        <v>93</v>
      </c>
      <c r="H251" s="15">
        <v>44900.0</v>
      </c>
      <c r="I251" s="17">
        <v>5.0</v>
      </c>
      <c r="J251" s="12" t="s">
        <v>64</v>
      </c>
      <c r="K251" s="12" t="s">
        <v>65</v>
      </c>
      <c r="L251" s="17">
        <v>2676.0</v>
      </c>
      <c r="M251" s="17">
        <v>3.0</v>
      </c>
      <c r="N251" s="17">
        <v>2.0</v>
      </c>
      <c r="O251" s="17">
        <v>43.8</v>
      </c>
      <c r="P251" s="17">
        <v>3.4</v>
      </c>
      <c r="Q251" s="15">
        <v>44981.0</v>
      </c>
      <c r="R251" s="12" t="s">
        <v>708</v>
      </c>
      <c r="S251" s="12" t="s">
        <v>45</v>
      </c>
      <c r="T251" s="12" t="s">
        <v>75</v>
      </c>
      <c r="U251" s="17">
        <f t="shared" si="1"/>
        <v>1</v>
      </c>
    </row>
    <row r="252">
      <c r="A252" s="12" t="s">
        <v>709</v>
      </c>
      <c r="B252" s="12" t="s">
        <v>651</v>
      </c>
      <c r="C252" s="17">
        <v>44.0</v>
      </c>
      <c r="D252" s="12" t="s">
        <v>35</v>
      </c>
      <c r="E252" s="12" t="s">
        <v>140</v>
      </c>
      <c r="F252" s="12" t="s">
        <v>62</v>
      </c>
      <c r="G252" s="12" t="s">
        <v>80</v>
      </c>
      <c r="H252" s="15">
        <v>45479.0</v>
      </c>
      <c r="I252" s="17">
        <v>6.0</v>
      </c>
      <c r="J252" s="12" t="s">
        <v>53</v>
      </c>
      <c r="K252" s="12" t="s">
        <v>42</v>
      </c>
      <c r="L252" s="17">
        <v>727.0</v>
      </c>
      <c r="M252" s="17">
        <v>0.0</v>
      </c>
      <c r="N252" s="17">
        <v>1.0</v>
      </c>
      <c r="O252" s="17">
        <v>31.4</v>
      </c>
      <c r="P252" s="17">
        <v>3.0</v>
      </c>
      <c r="Q252" s="15">
        <v>45616.0</v>
      </c>
      <c r="R252" s="12" t="s">
        <v>366</v>
      </c>
      <c r="S252" s="12" t="s">
        <v>45</v>
      </c>
      <c r="T252" s="12" t="s">
        <v>66</v>
      </c>
      <c r="U252" s="17">
        <f t="shared" si="1"/>
        <v>1</v>
      </c>
    </row>
    <row r="253">
      <c r="A253" s="12" t="s">
        <v>710</v>
      </c>
      <c r="B253" s="12" t="s">
        <v>74</v>
      </c>
      <c r="C253" s="17">
        <v>33.0</v>
      </c>
      <c r="D253" s="12" t="s">
        <v>35</v>
      </c>
      <c r="E253" s="12" t="s">
        <v>36</v>
      </c>
      <c r="F253" s="12" t="s">
        <v>37</v>
      </c>
      <c r="G253" s="12" t="s">
        <v>80</v>
      </c>
      <c r="H253" s="15">
        <v>45867.0</v>
      </c>
      <c r="I253" s="17">
        <v>20.0</v>
      </c>
      <c r="J253" s="12" t="s">
        <v>53</v>
      </c>
      <c r="K253" s="12" t="s">
        <v>65</v>
      </c>
      <c r="L253" s="17">
        <v>1210.0</v>
      </c>
      <c r="M253" s="17">
        <v>1.0</v>
      </c>
      <c r="N253" s="17">
        <v>1.0</v>
      </c>
      <c r="O253" s="17">
        <v>23.6</v>
      </c>
      <c r="P253" s="17">
        <v>5.0</v>
      </c>
      <c r="Q253" s="15">
        <v>46344.0</v>
      </c>
      <c r="R253" s="12" t="s">
        <v>711</v>
      </c>
      <c r="S253" s="12" t="s">
        <v>45</v>
      </c>
      <c r="T253" s="12" t="s">
        <v>66</v>
      </c>
      <c r="U253" s="17">
        <f t="shared" si="1"/>
        <v>2</v>
      </c>
    </row>
    <row r="254">
      <c r="A254" s="12" t="s">
        <v>590</v>
      </c>
      <c r="B254" s="12" t="s">
        <v>712</v>
      </c>
      <c r="C254" s="17">
        <v>63.0</v>
      </c>
      <c r="D254" s="12" t="s">
        <v>85</v>
      </c>
      <c r="E254" s="12" t="s">
        <v>92</v>
      </c>
      <c r="F254" s="12" t="s">
        <v>37</v>
      </c>
      <c r="G254" s="12" t="s">
        <v>63</v>
      </c>
      <c r="H254" s="15">
        <v>44761.0</v>
      </c>
      <c r="I254" s="17">
        <v>43.0</v>
      </c>
      <c r="J254" s="12" t="s">
        <v>40</v>
      </c>
      <c r="K254" s="12" t="s">
        <v>42</v>
      </c>
      <c r="L254" s="17">
        <v>1362.0</v>
      </c>
      <c r="M254" s="12"/>
      <c r="N254" s="17">
        <v>1.0</v>
      </c>
      <c r="O254" s="17">
        <v>44.5</v>
      </c>
      <c r="P254" s="17">
        <v>4.8</v>
      </c>
      <c r="Q254" s="15">
        <v>46068.0</v>
      </c>
      <c r="R254" s="12"/>
      <c r="S254" s="12" t="s">
        <v>55</v>
      </c>
      <c r="T254" s="12" t="s">
        <v>47</v>
      </c>
      <c r="U254" s="17">
        <f t="shared" si="1"/>
        <v>3</v>
      </c>
    </row>
    <row r="255">
      <c r="A255" s="12" t="s">
        <v>523</v>
      </c>
      <c r="B255" s="12" t="s">
        <v>636</v>
      </c>
      <c r="C255" s="17">
        <v>25.0</v>
      </c>
      <c r="D255" s="12" t="s">
        <v>69</v>
      </c>
      <c r="E255" s="12" t="s">
        <v>119</v>
      </c>
      <c r="F255" s="12" t="s">
        <v>62</v>
      </c>
      <c r="G255" s="12" t="s">
        <v>80</v>
      </c>
      <c r="H255" s="15">
        <v>44963.0</v>
      </c>
      <c r="I255" s="17">
        <v>13.0</v>
      </c>
      <c r="J255" s="12" t="s">
        <v>53</v>
      </c>
      <c r="K255" s="12" t="s">
        <v>42</v>
      </c>
      <c r="L255" s="17">
        <v>700.0</v>
      </c>
      <c r="M255" s="17">
        <v>4.0</v>
      </c>
      <c r="N255" s="17">
        <v>0.0</v>
      </c>
      <c r="O255" s="17">
        <v>16.6</v>
      </c>
      <c r="P255" s="17">
        <v>3.3</v>
      </c>
      <c r="Q255" s="15">
        <v>45373.0</v>
      </c>
      <c r="R255" s="12"/>
      <c r="S255" s="12" t="s">
        <v>55</v>
      </c>
      <c r="T255" s="12" t="s">
        <v>66</v>
      </c>
      <c r="U255" s="17">
        <f t="shared" si="1"/>
        <v>3</v>
      </c>
    </row>
    <row r="256">
      <c r="A256" s="12" t="s">
        <v>713</v>
      </c>
      <c r="B256" s="12" t="s">
        <v>118</v>
      </c>
      <c r="C256" s="17">
        <v>51.0</v>
      </c>
      <c r="D256" s="12" t="s">
        <v>85</v>
      </c>
      <c r="E256" s="12" t="s">
        <v>87</v>
      </c>
      <c r="F256" s="12" t="s">
        <v>37</v>
      </c>
      <c r="G256" s="12" t="s">
        <v>80</v>
      </c>
      <c r="H256" s="15">
        <v>44837.0</v>
      </c>
      <c r="I256" s="17">
        <v>32.0</v>
      </c>
      <c r="J256" s="12" t="s">
        <v>40</v>
      </c>
      <c r="K256" s="12" t="s">
        <v>81</v>
      </c>
      <c r="L256" s="17">
        <v>1048.0</v>
      </c>
      <c r="M256" s="17">
        <v>0.0</v>
      </c>
      <c r="N256" s="17">
        <v>0.0</v>
      </c>
      <c r="O256" s="17">
        <v>22.3</v>
      </c>
      <c r="P256" s="17">
        <v>2.0</v>
      </c>
      <c r="Q256" s="15">
        <v>45804.0</v>
      </c>
      <c r="R256" s="12"/>
      <c r="S256" s="12" t="s">
        <v>55</v>
      </c>
      <c r="T256" s="12" t="s">
        <v>66</v>
      </c>
      <c r="U256" s="17">
        <f t="shared" si="1"/>
        <v>3</v>
      </c>
    </row>
    <row r="257">
      <c r="A257" s="12" t="s">
        <v>714</v>
      </c>
      <c r="B257" s="12" t="s">
        <v>139</v>
      </c>
      <c r="C257" s="17">
        <v>40.0</v>
      </c>
      <c r="D257" s="12" t="s">
        <v>69</v>
      </c>
      <c r="E257" s="12" t="s">
        <v>70</v>
      </c>
      <c r="F257" s="12" t="s">
        <v>62</v>
      </c>
      <c r="G257" s="12" t="s">
        <v>80</v>
      </c>
      <c r="H257" s="15">
        <v>45803.0</v>
      </c>
      <c r="I257" s="17">
        <v>21.0</v>
      </c>
      <c r="J257" s="12" t="s">
        <v>53</v>
      </c>
      <c r="K257" s="12" t="s">
        <v>326</v>
      </c>
      <c r="L257" s="17">
        <v>695.0</v>
      </c>
      <c r="M257" s="17">
        <v>5.0</v>
      </c>
      <c r="N257" s="17">
        <v>0.0</v>
      </c>
      <c r="O257" s="17">
        <v>30.1</v>
      </c>
      <c r="P257" s="17">
        <v>4.3</v>
      </c>
      <c r="Q257" s="15">
        <v>46067.0</v>
      </c>
      <c r="R257" s="12"/>
      <c r="S257" s="12" t="s">
        <v>55</v>
      </c>
      <c r="T257" s="12" t="s">
        <v>47</v>
      </c>
      <c r="U257" s="17">
        <f t="shared" si="1"/>
        <v>1</v>
      </c>
    </row>
    <row r="258">
      <c r="A258" s="12" t="s">
        <v>715</v>
      </c>
      <c r="B258" s="12" t="s">
        <v>232</v>
      </c>
      <c r="C258" s="17">
        <v>62.0</v>
      </c>
      <c r="D258" s="12" t="s">
        <v>85</v>
      </c>
      <c r="E258" s="12" t="s">
        <v>92</v>
      </c>
      <c r="F258" s="12" t="s">
        <v>716</v>
      </c>
      <c r="G258" s="12" t="s">
        <v>80</v>
      </c>
      <c r="H258" s="15">
        <v>45204.0</v>
      </c>
      <c r="I258" s="17">
        <v>46.0</v>
      </c>
      <c r="J258" s="12" t="s">
        <v>53</v>
      </c>
      <c r="K258" s="12" t="s">
        <v>81</v>
      </c>
      <c r="L258" s="17">
        <v>1646.0</v>
      </c>
      <c r="M258" s="17">
        <v>2.0</v>
      </c>
      <c r="N258" s="17">
        <v>0.0</v>
      </c>
      <c r="O258" s="17">
        <v>37.2</v>
      </c>
      <c r="P258" s="17">
        <v>3.4</v>
      </c>
      <c r="Q258" s="15">
        <v>45625.0</v>
      </c>
      <c r="R258" s="12" t="s">
        <v>717</v>
      </c>
      <c r="S258" s="12" t="s">
        <v>45</v>
      </c>
      <c r="T258" s="12" t="s">
        <v>47</v>
      </c>
      <c r="U258" s="17">
        <f t="shared" si="1"/>
        <v>1</v>
      </c>
    </row>
    <row r="259">
      <c r="A259" s="12" t="s">
        <v>718</v>
      </c>
      <c r="B259" s="12" t="s">
        <v>176</v>
      </c>
      <c r="C259" s="17">
        <v>46.0</v>
      </c>
      <c r="D259" s="12" t="s">
        <v>69</v>
      </c>
      <c r="E259" s="12" t="s">
        <v>177</v>
      </c>
      <c r="F259" s="12" t="s">
        <v>37</v>
      </c>
      <c r="G259" s="12" t="s">
        <v>93</v>
      </c>
      <c r="H259" s="15">
        <v>45283.0</v>
      </c>
      <c r="I259" s="17">
        <v>36.0</v>
      </c>
      <c r="J259" s="12" t="s">
        <v>40</v>
      </c>
      <c r="K259" s="12" t="s">
        <v>81</v>
      </c>
      <c r="L259" s="17">
        <v>1682.0</v>
      </c>
      <c r="M259" s="17">
        <v>0.0</v>
      </c>
      <c r="N259" s="17">
        <v>0.0</v>
      </c>
      <c r="O259" s="17">
        <v>16.7</v>
      </c>
      <c r="P259" s="17">
        <v>2.6</v>
      </c>
      <c r="Q259" s="15">
        <v>46147.0</v>
      </c>
      <c r="R259" s="12"/>
      <c r="S259" s="12" t="s">
        <v>55</v>
      </c>
      <c r="T259" s="12" t="s">
        <v>104</v>
      </c>
      <c r="U259" s="17">
        <f t="shared" si="1"/>
        <v>1</v>
      </c>
    </row>
    <row r="260">
      <c r="A260" s="12" t="s">
        <v>719</v>
      </c>
      <c r="B260" s="12" t="s">
        <v>331</v>
      </c>
      <c r="C260" s="17">
        <v>32.0</v>
      </c>
      <c r="D260" s="12" t="s">
        <v>85</v>
      </c>
      <c r="E260" s="12" t="s">
        <v>111</v>
      </c>
      <c r="F260" s="12" t="s">
        <v>62</v>
      </c>
      <c r="G260" s="12" t="s">
        <v>63</v>
      </c>
      <c r="H260" s="15">
        <v>44971.0</v>
      </c>
      <c r="I260" s="17">
        <v>18.0</v>
      </c>
      <c r="J260" s="12" t="s">
        <v>64</v>
      </c>
      <c r="K260" s="12" t="s">
        <v>42</v>
      </c>
      <c r="L260" s="17">
        <v>581.0</v>
      </c>
      <c r="M260" s="17">
        <v>3.0</v>
      </c>
      <c r="N260" s="17">
        <v>2.0</v>
      </c>
      <c r="O260" s="17">
        <v>13.8</v>
      </c>
      <c r="P260" s="17">
        <v>4.4</v>
      </c>
      <c r="Q260" s="15">
        <v>45237.0</v>
      </c>
      <c r="R260" s="12" t="s">
        <v>373</v>
      </c>
      <c r="S260" s="12" t="s">
        <v>45</v>
      </c>
      <c r="T260" s="12" t="s">
        <v>72</v>
      </c>
      <c r="U260" s="17">
        <f t="shared" si="1"/>
        <v>2</v>
      </c>
    </row>
    <row r="261">
      <c r="A261" s="12" t="s">
        <v>720</v>
      </c>
      <c r="B261" s="12" t="s">
        <v>202</v>
      </c>
      <c r="C261" s="17">
        <v>43.0</v>
      </c>
      <c r="D261" s="12" t="s">
        <v>35</v>
      </c>
      <c r="E261" s="12" t="s">
        <v>51</v>
      </c>
      <c r="F261" s="12" t="s">
        <v>37</v>
      </c>
      <c r="G261" s="12" t="s">
        <v>80</v>
      </c>
      <c r="H261" s="15">
        <v>45358.0</v>
      </c>
      <c r="I261" s="17">
        <v>16.0</v>
      </c>
      <c r="J261" s="12" t="s">
        <v>53</v>
      </c>
      <c r="K261" s="12" t="s">
        <v>81</v>
      </c>
      <c r="L261" s="17">
        <v>1293.0</v>
      </c>
      <c r="M261" s="17">
        <v>2.0</v>
      </c>
      <c r="N261" s="17">
        <v>0.0</v>
      </c>
      <c r="O261" s="17">
        <v>32.1</v>
      </c>
      <c r="P261" s="17">
        <v>3.2</v>
      </c>
      <c r="Q261" s="15">
        <v>45708.0</v>
      </c>
      <c r="R261" s="12"/>
      <c r="S261" s="12" t="s">
        <v>55</v>
      </c>
      <c r="T261" s="12" t="s">
        <v>72</v>
      </c>
      <c r="U261" s="17">
        <f t="shared" si="1"/>
        <v>2</v>
      </c>
    </row>
    <row r="262">
      <c r="A262" s="12" t="s">
        <v>721</v>
      </c>
      <c r="B262" s="12" t="s">
        <v>172</v>
      </c>
      <c r="C262" s="17">
        <v>68.0</v>
      </c>
      <c r="D262" s="12" t="s">
        <v>35</v>
      </c>
      <c r="E262" s="12" t="s">
        <v>36</v>
      </c>
      <c r="F262" s="12" t="s">
        <v>37</v>
      </c>
      <c r="G262" s="12" t="s">
        <v>39</v>
      </c>
      <c r="H262" s="15">
        <v>45832.0</v>
      </c>
      <c r="I262" s="17">
        <v>29.0</v>
      </c>
      <c r="J262" s="12" t="s">
        <v>64</v>
      </c>
      <c r="K262" s="12" t="s">
        <v>42</v>
      </c>
      <c r="L262" s="17">
        <v>1720.0</v>
      </c>
      <c r="M262" s="17">
        <v>3.0</v>
      </c>
      <c r="N262" s="17">
        <v>1.0</v>
      </c>
      <c r="O262" s="17">
        <v>27.8</v>
      </c>
      <c r="P262" s="17">
        <v>5.0</v>
      </c>
      <c r="Q262" s="15">
        <v>46505.0</v>
      </c>
      <c r="R262" s="12" t="s">
        <v>722</v>
      </c>
      <c r="S262" s="12" t="s">
        <v>45</v>
      </c>
      <c r="T262" s="12" t="s">
        <v>72</v>
      </c>
      <c r="U262" s="17">
        <f t="shared" si="1"/>
        <v>1</v>
      </c>
    </row>
    <row r="263">
      <c r="A263" s="12" t="s">
        <v>723</v>
      </c>
      <c r="B263" s="12" t="s">
        <v>106</v>
      </c>
      <c r="C263" s="17">
        <v>56.0</v>
      </c>
      <c r="D263" s="12" t="s">
        <v>69</v>
      </c>
      <c r="E263" s="12" t="s">
        <v>70</v>
      </c>
      <c r="F263" s="12" t="s">
        <v>62</v>
      </c>
      <c r="G263" s="12" t="s">
        <v>39</v>
      </c>
      <c r="H263" s="15">
        <v>45614.0</v>
      </c>
      <c r="I263" s="17">
        <v>8.0</v>
      </c>
      <c r="J263" s="12" t="s">
        <v>53</v>
      </c>
      <c r="K263" s="12" t="s">
        <v>42</v>
      </c>
      <c r="L263" s="17">
        <v>718.0</v>
      </c>
      <c r="M263" s="17">
        <v>1.0</v>
      </c>
      <c r="N263" s="17">
        <v>0.0</v>
      </c>
      <c r="O263" s="17">
        <v>24.1</v>
      </c>
      <c r="P263" s="17">
        <v>4.8</v>
      </c>
      <c r="Q263" s="15">
        <v>45691.0</v>
      </c>
      <c r="R263" s="12"/>
      <c r="S263" s="12" t="s">
        <v>55</v>
      </c>
      <c r="T263" s="12" t="s">
        <v>72</v>
      </c>
      <c r="U263" s="17">
        <f t="shared" si="1"/>
        <v>3</v>
      </c>
    </row>
    <row r="264">
      <c r="A264" s="12" t="s">
        <v>724</v>
      </c>
      <c r="B264" s="12" t="s">
        <v>448</v>
      </c>
      <c r="C264" s="17">
        <v>23.0</v>
      </c>
      <c r="D264" s="12" t="s">
        <v>69</v>
      </c>
      <c r="E264" s="12" t="s">
        <v>70</v>
      </c>
      <c r="F264" s="12" t="s">
        <v>62</v>
      </c>
      <c r="G264" s="12" t="s">
        <v>210</v>
      </c>
      <c r="H264" s="15">
        <v>45784.0</v>
      </c>
      <c r="I264" s="17">
        <v>4.0</v>
      </c>
      <c r="J264" s="12" t="s">
        <v>64</v>
      </c>
      <c r="K264" s="12" t="s">
        <v>65</v>
      </c>
      <c r="L264" s="17">
        <v>819.0</v>
      </c>
      <c r="M264" s="17">
        <v>2.0</v>
      </c>
      <c r="N264" s="17">
        <v>0.0</v>
      </c>
      <c r="O264" s="17">
        <v>10.2</v>
      </c>
      <c r="P264" s="17">
        <v>2.9</v>
      </c>
      <c r="Q264" s="15">
        <v>45871.0</v>
      </c>
      <c r="R264" s="12" t="s">
        <v>726</v>
      </c>
      <c r="S264" s="12" t="s">
        <v>45</v>
      </c>
      <c r="T264" s="12" t="s">
        <v>66</v>
      </c>
      <c r="U264" s="17">
        <f t="shared" si="1"/>
        <v>1</v>
      </c>
    </row>
    <row r="265">
      <c r="A265" s="12" t="s">
        <v>727</v>
      </c>
      <c r="B265" s="12" t="s">
        <v>281</v>
      </c>
      <c r="C265" s="17">
        <v>42.0</v>
      </c>
      <c r="D265" s="12" t="s">
        <v>69</v>
      </c>
      <c r="E265" s="12" t="s">
        <v>70</v>
      </c>
      <c r="F265" s="12" t="s">
        <v>37</v>
      </c>
      <c r="G265" s="12" t="s">
        <v>39</v>
      </c>
      <c r="H265" s="15">
        <v>45413.0</v>
      </c>
      <c r="I265" s="17">
        <v>35.0</v>
      </c>
      <c r="J265" s="12" t="s">
        <v>53</v>
      </c>
      <c r="K265" s="12" t="s">
        <v>42</v>
      </c>
      <c r="L265" s="17">
        <v>1356.0</v>
      </c>
      <c r="M265" s="17">
        <v>1.0</v>
      </c>
      <c r="N265" s="17">
        <v>1.0</v>
      </c>
      <c r="O265" s="17">
        <v>25.6</v>
      </c>
      <c r="P265" s="17">
        <v>5.0</v>
      </c>
      <c r="Q265" s="15">
        <v>45859.0</v>
      </c>
      <c r="R265" s="12"/>
      <c r="S265" s="12" t="s">
        <v>55</v>
      </c>
      <c r="T265" s="12" t="s">
        <v>66</v>
      </c>
      <c r="U265" s="17">
        <f t="shared" si="1"/>
        <v>3</v>
      </c>
    </row>
    <row r="266">
      <c r="A266" s="12" t="s">
        <v>728</v>
      </c>
      <c r="B266" s="12" t="s">
        <v>633</v>
      </c>
      <c r="C266" s="17">
        <v>26.0</v>
      </c>
      <c r="D266" s="12" t="s">
        <v>85</v>
      </c>
      <c r="E266" s="12" t="s">
        <v>292</v>
      </c>
      <c r="F266" s="12" t="s">
        <v>62</v>
      </c>
      <c r="G266" s="12" t="s">
        <v>210</v>
      </c>
      <c r="H266" s="15">
        <v>45474.0</v>
      </c>
      <c r="I266" s="17">
        <v>16.0</v>
      </c>
      <c r="J266" s="12" t="s">
        <v>53</v>
      </c>
      <c r="K266" s="12" t="s">
        <v>65</v>
      </c>
      <c r="L266" s="17">
        <v>813.0</v>
      </c>
      <c r="M266" s="17">
        <v>2.0</v>
      </c>
      <c r="N266" s="17">
        <v>0.0</v>
      </c>
      <c r="O266" s="17">
        <v>18.8</v>
      </c>
      <c r="P266" s="17">
        <v>2.7</v>
      </c>
      <c r="Q266" s="15">
        <v>45974.0</v>
      </c>
      <c r="R266" s="12" t="s">
        <v>729</v>
      </c>
      <c r="S266" s="12" t="s">
        <v>45</v>
      </c>
      <c r="T266" s="12" t="s">
        <v>66</v>
      </c>
      <c r="U266" s="17">
        <f t="shared" si="1"/>
        <v>3</v>
      </c>
    </row>
    <row r="267">
      <c r="A267" s="12" t="s">
        <v>730</v>
      </c>
      <c r="B267" s="12" t="s">
        <v>636</v>
      </c>
      <c r="C267" s="17">
        <v>51.0</v>
      </c>
      <c r="D267" s="12" t="s">
        <v>60</v>
      </c>
      <c r="E267" s="12" t="s">
        <v>61</v>
      </c>
      <c r="F267" s="12" t="s">
        <v>79</v>
      </c>
      <c r="G267" s="12" t="s">
        <v>93</v>
      </c>
      <c r="H267" s="15">
        <v>45329.0</v>
      </c>
      <c r="I267" s="17">
        <v>33.0</v>
      </c>
      <c r="J267" s="12" t="s">
        <v>40</v>
      </c>
      <c r="K267" s="12" t="s">
        <v>42</v>
      </c>
      <c r="L267" s="17">
        <v>2088.0</v>
      </c>
      <c r="M267" s="17">
        <v>2.0</v>
      </c>
      <c r="N267" s="17">
        <v>1.0</v>
      </c>
      <c r="O267" s="17">
        <v>40.0</v>
      </c>
      <c r="P267" s="17">
        <v>3.8</v>
      </c>
      <c r="Q267" s="15">
        <v>45642.0</v>
      </c>
      <c r="R267" s="12" t="s">
        <v>731</v>
      </c>
      <c r="S267" s="12" t="s">
        <v>45</v>
      </c>
      <c r="T267" s="12" t="s">
        <v>47</v>
      </c>
      <c r="U267" s="17">
        <f t="shared" si="1"/>
        <v>1</v>
      </c>
    </row>
    <row r="268">
      <c r="A268" s="12" t="s">
        <v>732</v>
      </c>
      <c r="B268" s="12" t="s">
        <v>336</v>
      </c>
      <c r="C268" s="17">
        <v>20.0</v>
      </c>
      <c r="D268" s="12" t="s">
        <v>35</v>
      </c>
      <c r="E268" s="12" t="s">
        <v>36</v>
      </c>
      <c r="F268" s="12" t="s">
        <v>62</v>
      </c>
      <c r="G268" s="12" t="s">
        <v>52</v>
      </c>
      <c r="H268" s="15">
        <v>44998.0</v>
      </c>
      <c r="I268" s="17">
        <v>44.0</v>
      </c>
      <c r="J268" s="12" t="s">
        <v>53</v>
      </c>
      <c r="K268" s="12" t="s">
        <v>81</v>
      </c>
      <c r="L268" s="17">
        <v>552.0</v>
      </c>
      <c r="M268" s="17">
        <v>1.0</v>
      </c>
      <c r="N268" s="17">
        <v>2.0</v>
      </c>
      <c r="O268" s="17">
        <v>24.4</v>
      </c>
      <c r="P268" s="17">
        <v>2.6</v>
      </c>
      <c r="Q268" s="15">
        <v>45899.0</v>
      </c>
      <c r="R268" s="12"/>
      <c r="S268" s="12" t="s">
        <v>602</v>
      </c>
      <c r="T268" s="12" t="s">
        <v>72</v>
      </c>
      <c r="U268" s="17">
        <f t="shared" si="1"/>
        <v>1</v>
      </c>
    </row>
    <row r="269">
      <c r="A269" s="12" t="s">
        <v>733</v>
      </c>
      <c r="B269" s="12" t="s">
        <v>734</v>
      </c>
      <c r="C269" s="17">
        <v>46.0</v>
      </c>
      <c r="D269" s="12" t="s">
        <v>35</v>
      </c>
      <c r="E269" s="12" t="s">
        <v>36</v>
      </c>
      <c r="F269" s="12" t="s">
        <v>62</v>
      </c>
      <c r="G269" s="12" t="s">
        <v>93</v>
      </c>
      <c r="H269" s="15">
        <v>45077.0</v>
      </c>
      <c r="I269" s="17">
        <v>36.0</v>
      </c>
      <c r="J269" s="12" t="s">
        <v>53</v>
      </c>
      <c r="K269" s="12" t="s">
        <v>42</v>
      </c>
      <c r="L269" s="17">
        <v>615.0</v>
      </c>
      <c r="M269" s="17">
        <v>1.0</v>
      </c>
      <c r="N269" s="17">
        <v>0.0</v>
      </c>
      <c r="O269" s="17">
        <v>11.5</v>
      </c>
      <c r="P269" s="17">
        <v>3.4</v>
      </c>
      <c r="Q269" s="15">
        <v>45881.0</v>
      </c>
      <c r="R269" s="12"/>
      <c r="S269" s="12" t="s">
        <v>55</v>
      </c>
      <c r="T269" s="12" t="s">
        <v>75</v>
      </c>
      <c r="U269" s="17">
        <f t="shared" si="1"/>
        <v>4</v>
      </c>
    </row>
    <row r="270">
      <c r="A270" s="12" t="s">
        <v>735</v>
      </c>
      <c r="B270" s="12" t="s">
        <v>736</v>
      </c>
      <c r="C270" s="17">
        <v>62.0</v>
      </c>
      <c r="D270" s="12" t="s">
        <v>309</v>
      </c>
      <c r="E270" s="12" t="s">
        <v>36</v>
      </c>
      <c r="F270" s="12" t="s">
        <v>37</v>
      </c>
      <c r="G270" s="12" t="s">
        <v>80</v>
      </c>
      <c r="H270" s="15">
        <v>44691.0</v>
      </c>
      <c r="I270" s="17">
        <v>48.0</v>
      </c>
      <c r="J270" s="12" t="s">
        <v>53</v>
      </c>
      <c r="K270" s="12" t="s">
        <v>81</v>
      </c>
      <c r="L270" s="17">
        <v>1073.0</v>
      </c>
      <c r="M270" s="17">
        <v>1.0</v>
      </c>
      <c r="N270" s="17">
        <v>2.0</v>
      </c>
      <c r="O270" s="17">
        <v>29.6</v>
      </c>
      <c r="P270" s="17">
        <v>4.7</v>
      </c>
      <c r="Q270" s="15">
        <v>45730.0</v>
      </c>
      <c r="R270" s="12"/>
      <c r="S270" s="12" t="s">
        <v>55</v>
      </c>
      <c r="T270" s="12" t="s">
        <v>104</v>
      </c>
      <c r="U270" s="17">
        <f t="shared" si="1"/>
        <v>3</v>
      </c>
    </row>
    <row r="271">
      <c r="A271" s="12" t="s">
        <v>410</v>
      </c>
      <c r="B271" s="12" t="s">
        <v>176</v>
      </c>
      <c r="C271" s="17">
        <v>59.0</v>
      </c>
      <c r="D271" s="12" t="s">
        <v>85</v>
      </c>
      <c r="E271" s="12" t="s">
        <v>87</v>
      </c>
      <c r="F271" s="12" t="s">
        <v>62</v>
      </c>
      <c r="G271" s="12" t="s">
        <v>52</v>
      </c>
      <c r="H271" s="15">
        <v>44625.0</v>
      </c>
      <c r="I271" s="17">
        <v>31.0</v>
      </c>
      <c r="J271" s="12" t="s">
        <v>40</v>
      </c>
      <c r="K271" s="12" t="s">
        <v>65</v>
      </c>
      <c r="L271" s="17">
        <v>611.0</v>
      </c>
      <c r="M271" s="17">
        <v>0.0</v>
      </c>
      <c r="N271" s="17">
        <v>1.0</v>
      </c>
      <c r="O271" s="17">
        <v>21.0</v>
      </c>
      <c r="P271" s="17">
        <v>5.0</v>
      </c>
      <c r="Q271" s="15">
        <v>45035.0</v>
      </c>
      <c r="R271" s="12"/>
      <c r="S271" s="12" t="s">
        <v>55</v>
      </c>
      <c r="T271" s="12" t="s">
        <v>72</v>
      </c>
      <c r="U271" s="17">
        <f t="shared" si="1"/>
        <v>2</v>
      </c>
    </row>
    <row r="272">
      <c r="A272" s="12" t="s">
        <v>737</v>
      </c>
      <c r="B272" s="12" t="s">
        <v>312</v>
      </c>
      <c r="C272" s="17">
        <v>45.0</v>
      </c>
      <c r="D272" s="12" t="s">
        <v>69</v>
      </c>
      <c r="E272" s="12" t="s">
        <v>70</v>
      </c>
      <c r="F272" s="12" t="s">
        <v>62</v>
      </c>
      <c r="G272" s="12" t="s">
        <v>571</v>
      </c>
      <c r="H272" s="15">
        <v>45783.0</v>
      </c>
      <c r="I272" s="17">
        <v>26.0</v>
      </c>
      <c r="J272" s="12" t="s">
        <v>64</v>
      </c>
      <c r="K272" s="12" t="s">
        <v>81</v>
      </c>
      <c r="L272" s="17">
        <v>542.0</v>
      </c>
      <c r="M272" s="17">
        <v>2.0</v>
      </c>
      <c r="N272" s="17">
        <v>1.0</v>
      </c>
      <c r="O272" s="17">
        <v>21.5</v>
      </c>
      <c r="P272" s="17">
        <v>4.5</v>
      </c>
      <c r="Q272" s="15">
        <v>46559.0</v>
      </c>
      <c r="R272" s="12"/>
      <c r="S272" s="12" t="s">
        <v>55</v>
      </c>
      <c r="T272" s="12" t="s">
        <v>47</v>
      </c>
      <c r="U272" s="17">
        <f t="shared" si="1"/>
        <v>1</v>
      </c>
    </row>
    <row r="273">
      <c r="A273" s="12" t="s">
        <v>259</v>
      </c>
      <c r="B273" s="12" t="s">
        <v>738</v>
      </c>
      <c r="C273" s="17">
        <v>60.0</v>
      </c>
      <c r="D273" s="12" t="s">
        <v>69</v>
      </c>
      <c r="E273" s="12" t="s">
        <v>187</v>
      </c>
      <c r="F273" s="12" t="s">
        <v>37</v>
      </c>
      <c r="G273" s="12" t="s">
        <v>210</v>
      </c>
      <c r="H273" s="15">
        <v>44959.0</v>
      </c>
      <c r="I273" s="17">
        <v>8.0</v>
      </c>
      <c r="J273" s="12" t="s">
        <v>64</v>
      </c>
      <c r="K273" s="12" t="s">
        <v>42</v>
      </c>
      <c r="L273" s="17">
        <v>1054.0</v>
      </c>
      <c r="M273" s="17">
        <v>1.0</v>
      </c>
      <c r="N273" s="17">
        <v>1.0</v>
      </c>
      <c r="O273" s="17">
        <v>39.2</v>
      </c>
      <c r="P273" s="17">
        <v>3.8</v>
      </c>
      <c r="Q273" s="15">
        <v>45161.0</v>
      </c>
      <c r="R273" s="12"/>
      <c r="S273" s="12" t="s">
        <v>55</v>
      </c>
      <c r="T273" s="12" t="s">
        <v>72</v>
      </c>
      <c r="U273" s="17">
        <f t="shared" si="1"/>
        <v>2</v>
      </c>
    </row>
    <row r="274">
      <c r="A274" s="12" t="s">
        <v>739</v>
      </c>
      <c r="B274" s="12" t="s">
        <v>736</v>
      </c>
      <c r="C274" s="17">
        <v>58.0</v>
      </c>
      <c r="D274" s="12" t="s">
        <v>35</v>
      </c>
      <c r="E274" s="12" t="s">
        <v>161</v>
      </c>
      <c r="F274" s="12" t="s">
        <v>62</v>
      </c>
      <c r="G274" s="12" t="s">
        <v>52</v>
      </c>
      <c r="H274" s="15">
        <v>45751.0</v>
      </c>
      <c r="I274" s="17">
        <v>32.0</v>
      </c>
      <c r="J274" s="12" t="s">
        <v>40</v>
      </c>
      <c r="K274" s="12" t="s">
        <v>42</v>
      </c>
      <c r="L274" s="17">
        <v>681.0</v>
      </c>
      <c r="M274" s="17">
        <v>2.0</v>
      </c>
      <c r="N274" s="17">
        <v>0.0</v>
      </c>
      <c r="O274" s="17">
        <v>12.3</v>
      </c>
      <c r="P274" s="17">
        <v>3.2</v>
      </c>
      <c r="Q274" s="15">
        <v>46432.0</v>
      </c>
      <c r="R274" s="12" t="s">
        <v>740</v>
      </c>
      <c r="S274" s="12" t="s">
        <v>602</v>
      </c>
      <c r="T274" s="12" t="s">
        <v>72</v>
      </c>
      <c r="U274" s="17">
        <f t="shared" si="1"/>
        <v>1</v>
      </c>
    </row>
    <row r="275">
      <c r="A275" s="12" t="s">
        <v>741</v>
      </c>
      <c r="B275" s="12" t="s">
        <v>206</v>
      </c>
      <c r="C275" s="17">
        <v>99.0</v>
      </c>
      <c r="D275" s="12" t="s">
        <v>85</v>
      </c>
      <c r="E275" s="12" t="s">
        <v>92</v>
      </c>
      <c r="F275" s="12" t="s">
        <v>37</v>
      </c>
      <c r="G275" s="12" t="s">
        <v>210</v>
      </c>
      <c r="H275" s="15">
        <v>45982.0</v>
      </c>
      <c r="I275" s="17">
        <v>38.0</v>
      </c>
      <c r="J275" s="12" t="s">
        <v>53</v>
      </c>
      <c r="K275" s="12" t="s">
        <v>42</v>
      </c>
      <c r="L275" s="17">
        <v>1372.0</v>
      </c>
      <c r="M275" s="17">
        <v>3.0</v>
      </c>
      <c r="N275" s="17">
        <v>0.0</v>
      </c>
      <c r="O275" s="17">
        <v>25.1</v>
      </c>
      <c r="P275" s="17">
        <v>4.2</v>
      </c>
      <c r="Q275" s="15">
        <v>46639.0</v>
      </c>
      <c r="R275" s="12"/>
      <c r="S275" s="12" t="s">
        <v>217</v>
      </c>
      <c r="T275" s="12" t="s">
        <v>47</v>
      </c>
      <c r="U275" s="17">
        <f t="shared" si="1"/>
        <v>3</v>
      </c>
    </row>
    <row r="276">
      <c r="A276" s="12" t="s">
        <v>742</v>
      </c>
      <c r="B276" s="12" t="s">
        <v>169</v>
      </c>
      <c r="C276" s="17">
        <v>54.0</v>
      </c>
      <c r="D276" s="12" t="s">
        <v>85</v>
      </c>
      <c r="E276" s="12" t="s">
        <v>92</v>
      </c>
      <c r="F276" s="12" t="s">
        <v>37</v>
      </c>
      <c r="G276" s="12" t="s">
        <v>39</v>
      </c>
      <c r="H276" s="15">
        <v>45953.0</v>
      </c>
      <c r="I276" s="17">
        <v>47.0</v>
      </c>
      <c r="J276" s="12" t="s">
        <v>40</v>
      </c>
      <c r="K276" s="12" t="s">
        <v>42</v>
      </c>
      <c r="L276" s="17">
        <v>1472.0</v>
      </c>
      <c r="M276" s="17">
        <v>2.0</v>
      </c>
      <c r="N276" s="17">
        <v>2.0</v>
      </c>
      <c r="O276" s="17">
        <v>35.1</v>
      </c>
      <c r="P276" s="17">
        <v>3.6</v>
      </c>
      <c r="Q276" s="15">
        <v>46697.0</v>
      </c>
      <c r="R276" s="12"/>
      <c r="S276" s="12" t="s">
        <v>55</v>
      </c>
      <c r="T276" s="12" t="s">
        <v>66</v>
      </c>
      <c r="U276" s="17">
        <f t="shared" si="1"/>
        <v>1</v>
      </c>
    </row>
    <row r="277">
      <c r="A277" s="12" t="s">
        <v>743</v>
      </c>
      <c r="B277" s="12" t="s">
        <v>202</v>
      </c>
      <c r="C277" s="17">
        <v>68.0</v>
      </c>
      <c r="D277" s="12" t="s">
        <v>60</v>
      </c>
      <c r="E277" s="12" t="s">
        <v>97</v>
      </c>
      <c r="F277" s="12" t="s">
        <v>79</v>
      </c>
      <c r="G277" s="12" t="s">
        <v>39</v>
      </c>
      <c r="H277" s="15">
        <v>45101.0</v>
      </c>
      <c r="I277" s="17">
        <v>47.0</v>
      </c>
      <c r="J277" s="12" t="s">
        <v>64</v>
      </c>
      <c r="K277" s="12" t="s">
        <v>42</v>
      </c>
      <c r="L277" s="17">
        <v>2153.0</v>
      </c>
      <c r="M277" s="17">
        <v>2.0</v>
      </c>
      <c r="N277" s="17">
        <v>2.0</v>
      </c>
      <c r="O277" s="17">
        <v>38.9</v>
      </c>
      <c r="P277" s="17">
        <v>2.4</v>
      </c>
      <c r="Q277" s="15">
        <v>45149.0</v>
      </c>
      <c r="R277" s="12" t="s">
        <v>744</v>
      </c>
      <c r="S277" s="12" t="s">
        <v>45</v>
      </c>
      <c r="T277" s="12" t="s">
        <v>104</v>
      </c>
      <c r="U277" s="17">
        <f t="shared" si="1"/>
        <v>1</v>
      </c>
    </row>
    <row r="278">
      <c r="A278" s="12" t="s">
        <v>745</v>
      </c>
      <c r="B278" s="12" t="s">
        <v>383</v>
      </c>
      <c r="C278" s="17">
        <v>51.0</v>
      </c>
      <c r="D278" s="12" t="s">
        <v>60</v>
      </c>
      <c r="E278" s="12" t="s">
        <v>133</v>
      </c>
      <c r="F278" s="12" t="s">
        <v>37</v>
      </c>
      <c r="G278" s="12" t="s">
        <v>39</v>
      </c>
      <c r="H278" s="15">
        <v>45311.0</v>
      </c>
      <c r="I278" s="17">
        <v>26.0</v>
      </c>
      <c r="J278" s="12" t="s">
        <v>64</v>
      </c>
      <c r="K278" s="12" t="s">
        <v>42</v>
      </c>
      <c r="L278" s="17">
        <v>1602.0</v>
      </c>
      <c r="M278" s="17">
        <v>1.0</v>
      </c>
      <c r="N278" s="17">
        <v>1.0</v>
      </c>
      <c r="O278" s="17">
        <v>28.5</v>
      </c>
      <c r="P278" s="17">
        <v>4.5</v>
      </c>
      <c r="Q278" s="15">
        <v>45618.0</v>
      </c>
      <c r="R278" s="12"/>
      <c r="S278" s="12" t="s">
        <v>55</v>
      </c>
      <c r="T278" s="12" t="s">
        <v>75</v>
      </c>
      <c r="U278" s="17">
        <f t="shared" si="1"/>
        <v>2</v>
      </c>
    </row>
    <row r="279">
      <c r="A279" s="12" t="s">
        <v>746</v>
      </c>
      <c r="B279" s="12" t="s">
        <v>106</v>
      </c>
      <c r="C279" s="17">
        <v>66.0</v>
      </c>
      <c r="D279" s="12" t="s">
        <v>35</v>
      </c>
      <c r="E279" s="12" t="s">
        <v>51</v>
      </c>
      <c r="F279" s="12" t="s">
        <v>37</v>
      </c>
      <c r="G279" s="12" t="s">
        <v>93</v>
      </c>
      <c r="H279" s="15">
        <v>45819.0</v>
      </c>
      <c r="I279" s="17">
        <v>44.0</v>
      </c>
      <c r="J279" s="12" t="s">
        <v>64</v>
      </c>
      <c r="K279" s="12" t="s">
        <v>65</v>
      </c>
      <c r="L279" s="17">
        <v>1142.0</v>
      </c>
      <c r="M279" s="17">
        <v>2.0</v>
      </c>
      <c r="N279" s="17">
        <v>0.0</v>
      </c>
      <c r="O279" s="17">
        <v>25.3</v>
      </c>
      <c r="P279" s="17">
        <v>3.3</v>
      </c>
      <c r="Q279" s="15">
        <v>46155.0</v>
      </c>
      <c r="R279" s="12"/>
      <c r="S279" s="12" t="s">
        <v>55</v>
      </c>
      <c r="T279" s="12" t="s">
        <v>72</v>
      </c>
      <c r="U279" s="17">
        <f t="shared" si="1"/>
        <v>1</v>
      </c>
    </row>
    <row r="280">
      <c r="A280" s="12" t="s">
        <v>256</v>
      </c>
      <c r="B280" s="12" t="s">
        <v>633</v>
      </c>
      <c r="C280" s="12" t="s">
        <v>747</v>
      </c>
      <c r="D280" s="12" t="s">
        <v>69</v>
      </c>
      <c r="E280" s="12" t="s">
        <v>119</v>
      </c>
      <c r="F280" s="12" t="s">
        <v>62</v>
      </c>
      <c r="G280" s="12" t="s">
        <v>210</v>
      </c>
      <c r="H280" s="15">
        <v>45318.0</v>
      </c>
      <c r="I280" s="17">
        <v>15.0</v>
      </c>
      <c r="J280" s="12" t="s">
        <v>53</v>
      </c>
      <c r="K280" s="12" t="s">
        <v>42</v>
      </c>
      <c r="L280" s="17">
        <v>604.0</v>
      </c>
      <c r="M280" s="17">
        <v>0.0</v>
      </c>
      <c r="N280" s="17">
        <v>2.0</v>
      </c>
      <c r="O280" s="17">
        <v>34.5</v>
      </c>
      <c r="P280" s="17">
        <v>2.7</v>
      </c>
      <c r="Q280" s="15">
        <v>45733.0</v>
      </c>
      <c r="R280" s="12"/>
      <c r="S280" s="12" t="s">
        <v>55</v>
      </c>
      <c r="T280" s="12" t="s">
        <v>104</v>
      </c>
      <c r="U280" s="17">
        <f t="shared" si="1"/>
        <v>2</v>
      </c>
    </row>
    <row r="281">
      <c r="A281" s="12" t="s">
        <v>748</v>
      </c>
      <c r="B281" s="12" t="s">
        <v>411</v>
      </c>
      <c r="C281" s="17">
        <v>56.0</v>
      </c>
      <c r="D281" s="12" t="s">
        <v>60</v>
      </c>
      <c r="E281" s="12" t="s">
        <v>61</v>
      </c>
      <c r="F281" s="12" t="s">
        <v>37</v>
      </c>
      <c r="G281" s="12" t="s">
        <v>80</v>
      </c>
      <c r="H281" s="15">
        <v>45859.0</v>
      </c>
      <c r="I281" s="17">
        <v>18.0</v>
      </c>
      <c r="J281" s="12" t="s">
        <v>64</v>
      </c>
      <c r="K281" s="12" t="s">
        <v>42</v>
      </c>
      <c r="L281" s="17">
        <v>1591.0</v>
      </c>
      <c r="M281" s="17">
        <v>3.0</v>
      </c>
      <c r="N281" s="17">
        <v>2.0</v>
      </c>
      <c r="O281" s="17">
        <v>27.4</v>
      </c>
      <c r="P281" s="17">
        <v>4.1</v>
      </c>
      <c r="Q281" s="15">
        <v>46047.0</v>
      </c>
      <c r="R281" s="12" t="s">
        <v>749</v>
      </c>
      <c r="S281" s="12" t="s">
        <v>45</v>
      </c>
      <c r="T281" s="12" t="s">
        <v>66</v>
      </c>
      <c r="U281" s="17">
        <f t="shared" si="1"/>
        <v>1</v>
      </c>
    </row>
    <row r="282">
      <c r="A282" s="12" t="s">
        <v>750</v>
      </c>
      <c r="B282" s="12" t="s">
        <v>190</v>
      </c>
      <c r="C282" s="17">
        <v>33.0</v>
      </c>
      <c r="D282" s="12" t="s">
        <v>85</v>
      </c>
      <c r="E282" s="12" t="s">
        <v>111</v>
      </c>
      <c r="F282" s="12" t="s">
        <v>37</v>
      </c>
      <c r="G282" s="12" t="s">
        <v>210</v>
      </c>
      <c r="H282" s="15">
        <v>45268.0</v>
      </c>
      <c r="I282" s="17">
        <v>32.0</v>
      </c>
      <c r="J282" s="12" t="s">
        <v>40</v>
      </c>
      <c r="K282" s="12" t="s">
        <v>81</v>
      </c>
      <c r="L282" s="17">
        <v>1005.0</v>
      </c>
      <c r="M282" s="17">
        <v>3.0</v>
      </c>
      <c r="N282" s="17">
        <v>1.0</v>
      </c>
      <c r="O282" s="17">
        <v>28.3</v>
      </c>
      <c r="P282" s="17">
        <v>3.5</v>
      </c>
      <c r="Q282" s="15">
        <v>46181.0</v>
      </c>
      <c r="R282" s="12" t="s">
        <v>751</v>
      </c>
      <c r="S282" s="12" t="s">
        <v>45</v>
      </c>
      <c r="T282" s="12" t="s">
        <v>72</v>
      </c>
      <c r="U282" s="17">
        <f t="shared" si="1"/>
        <v>2</v>
      </c>
    </row>
    <row r="283">
      <c r="A283" s="12" t="s">
        <v>752</v>
      </c>
      <c r="B283" s="12" t="s">
        <v>110</v>
      </c>
      <c r="C283" s="17">
        <v>32.0</v>
      </c>
      <c r="D283" s="12" t="s">
        <v>69</v>
      </c>
      <c r="E283" s="12" t="s">
        <v>187</v>
      </c>
      <c r="F283" s="12" t="s">
        <v>62</v>
      </c>
      <c r="G283" s="12" t="s">
        <v>80</v>
      </c>
      <c r="H283" s="15">
        <v>44804.0</v>
      </c>
      <c r="I283" s="17">
        <v>43.0</v>
      </c>
      <c r="J283" s="12" t="s">
        <v>64</v>
      </c>
      <c r="K283" s="12" t="s">
        <v>42</v>
      </c>
      <c r="L283" s="17">
        <v>668.0</v>
      </c>
      <c r="M283" s="17">
        <v>2.0</v>
      </c>
      <c r="N283" s="17">
        <v>2.0</v>
      </c>
      <c r="O283" s="17">
        <v>20.2</v>
      </c>
      <c r="P283" s="17">
        <v>4.0</v>
      </c>
      <c r="Q283" s="15">
        <v>45800.0</v>
      </c>
      <c r="R283" s="12"/>
      <c r="S283" s="12" t="s">
        <v>55</v>
      </c>
      <c r="T283" s="12" t="s">
        <v>75</v>
      </c>
      <c r="U283" s="17">
        <f t="shared" si="1"/>
        <v>2</v>
      </c>
    </row>
    <row r="284">
      <c r="A284" s="12" t="s">
        <v>753</v>
      </c>
      <c r="B284" s="12" t="s">
        <v>322</v>
      </c>
      <c r="C284" s="17">
        <v>30.0</v>
      </c>
      <c r="D284" s="12" t="s">
        <v>309</v>
      </c>
      <c r="E284" s="12" t="s">
        <v>70</v>
      </c>
      <c r="F284" s="12" t="s">
        <v>62</v>
      </c>
      <c r="G284" s="12" t="s">
        <v>80</v>
      </c>
      <c r="H284" s="15">
        <v>44891.0</v>
      </c>
      <c r="I284" s="17">
        <v>9.0</v>
      </c>
      <c r="J284" s="12" t="s">
        <v>64</v>
      </c>
      <c r="K284" s="12" t="s">
        <v>65</v>
      </c>
      <c r="L284" s="17">
        <v>519.0</v>
      </c>
      <c r="M284" s="17">
        <v>2.0</v>
      </c>
      <c r="N284" s="17">
        <v>2.0</v>
      </c>
      <c r="O284" s="17">
        <v>17.3</v>
      </c>
      <c r="P284" s="17">
        <v>1.7</v>
      </c>
      <c r="Q284" s="15">
        <v>44929.0</v>
      </c>
      <c r="R284" s="12"/>
      <c r="S284" s="12" t="s">
        <v>55</v>
      </c>
      <c r="T284" s="12" t="s">
        <v>66</v>
      </c>
      <c r="U284" s="17">
        <f t="shared" si="1"/>
        <v>1</v>
      </c>
    </row>
    <row r="285">
      <c r="A285" s="12" t="s">
        <v>754</v>
      </c>
      <c r="B285" s="12" t="s">
        <v>605</v>
      </c>
      <c r="C285" s="17">
        <v>58.0</v>
      </c>
      <c r="D285" s="12" t="s">
        <v>35</v>
      </c>
      <c r="E285" s="12" t="s">
        <v>161</v>
      </c>
      <c r="F285" s="12" t="s">
        <v>79</v>
      </c>
      <c r="G285" s="12" t="s">
        <v>39</v>
      </c>
      <c r="H285" s="15">
        <v>45481.0</v>
      </c>
      <c r="I285" s="17">
        <v>39.0</v>
      </c>
      <c r="J285" s="12" t="s">
        <v>64</v>
      </c>
      <c r="K285" s="12" t="s">
        <v>81</v>
      </c>
      <c r="L285" s="17">
        <v>2448.0</v>
      </c>
      <c r="M285" s="17">
        <v>2.0</v>
      </c>
      <c r="N285" s="17">
        <v>2.0</v>
      </c>
      <c r="O285" s="17">
        <v>33.5</v>
      </c>
      <c r="P285" s="17">
        <v>3.3</v>
      </c>
      <c r="Q285" s="15">
        <v>46332.0</v>
      </c>
      <c r="R285" s="12" t="s">
        <v>755</v>
      </c>
      <c r="S285" s="12" t="s">
        <v>45</v>
      </c>
      <c r="T285" s="12" t="s">
        <v>72</v>
      </c>
      <c r="U285" s="17">
        <f t="shared" si="1"/>
        <v>2</v>
      </c>
    </row>
    <row r="286">
      <c r="A286" s="12" t="s">
        <v>214</v>
      </c>
      <c r="B286" s="12" t="s">
        <v>476</v>
      </c>
      <c r="C286" s="17">
        <v>28.0</v>
      </c>
      <c r="D286" s="12" t="s">
        <v>60</v>
      </c>
      <c r="E286" s="12" t="s">
        <v>133</v>
      </c>
      <c r="F286" s="12" t="s">
        <v>37</v>
      </c>
      <c r="G286" s="12" t="s">
        <v>63</v>
      </c>
      <c r="H286" s="15">
        <v>45032.0</v>
      </c>
      <c r="I286" s="17">
        <v>25.0</v>
      </c>
      <c r="J286" s="12" t="s">
        <v>655</v>
      </c>
      <c r="K286" s="12" t="s">
        <v>42</v>
      </c>
      <c r="L286" s="17">
        <v>1015.0</v>
      </c>
      <c r="M286" s="17">
        <v>2.0</v>
      </c>
      <c r="N286" s="17">
        <v>1.0</v>
      </c>
      <c r="O286" s="17">
        <v>27.2</v>
      </c>
      <c r="P286" s="17">
        <v>4.8</v>
      </c>
      <c r="Q286" s="15">
        <v>45577.0</v>
      </c>
      <c r="R286" s="12"/>
      <c r="S286" s="12" t="s">
        <v>55</v>
      </c>
      <c r="T286" s="12" t="s">
        <v>47</v>
      </c>
      <c r="U286" s="17">
        <f t="shared" si="1"/>
        <v>2</v>
      </c>
    </row>
    <row r="287">
      <c r="A287" s="12" t="s">
        <v>756</v>
      </c>
      <c r="B287" s="12" t="s">
        <v>476</v>
      </c>
      <c r="C287" s="17">
        <v>42.0</v>
      </c>
      <c r="D287" s="12" t="s">
        <v>35</v>
      </c>
      <c r="E287" s="12" t="s">
        <v>36</v>
      </c>
      <c r="F287" s="12" t="s">
        <v>62</v>
      </c>
      <c r="G287" s="12" t="s">
        <v>52</v>
      </c>
      <c r="H287" s="15">
        <v>44828.0</v>
      </c>
      <c r="I287" s="17">
        <v>39.0</v>
      </c>
      <c r="J287" s="12" t="s">
        <v>40</v>
      </c>
      <c r="K287" s="12" t="s">
        <v>81</v>
      </c>
      <c r="L287" s="12" t="s">
        <v>757</v>
      </c>
      <c r="M287" s="17">
        <v>2.0</v>
      </c>
      <c r="N287" s="17">
        <v>1.0</v>
      </c>
      <c r="O287" s="17">
        <v>14.3</v>
      </c>
      <c r="P287" s="17">
        <v>3.9</v>
      </c>
      <c r="Q287" s="15">
        <v>45721.0</v>
      </c>
      <c r="R287" s="12"/>
      <c r="S287" s="12" t="s">
        <v>55</v>
      </c>
      <c r="T287" s="12" t="s">
        <v>66</v>
      </c>
      <c r="U287" s="17">
        <f t="shared" si="1"/>
        <v>2</v>
      </c>
    </row>
    <row r="288">
      <c r="A288" s="12" t="s">
        <v>758</v>
      </c>
      <c r="B288" s="12" t="s">
        <v>322</v>
      </c>
      <c r="C288" s="17">
        <v>49.0</v>
      </c>
      <c r="D288" s="12" t="s">
        <v>69</v>
      </c>
      <c r="E288" s="12" t="s">
        <v>119</v>
      </c>
      <c r="F288" s="12" t="s">
        <v>37</v>
      </c>
      <c r="G288" s="12" t="s">
        <v>120</v>
      </c>
      <c r="H288" s="15">
        <v>45279.0</v>
      </c>
      <c r="I288" s="17">
        <v>38.0</v>
      </c>
      <c r="J288" s="12" t="s">
        <v>40</v>
      </c>
      <c r="K288" s="12" t="s">
        <v>42</v>
      </c>
      <c r="L288" s="17">
        <v>1712.0</v>
      </c>
      <c r="M288" s="17">
        <v>2.0</v>
      </c>
      <c r="N288" s="17">
        <v>0.0</v>
      </c>
      <c r="O288" s="17">
        <v>39.0</v>
      </c>
      <c r="P288" s="17">
        <v>4.6</v>
      </c>
      <c r="Q288" s="15">
        <v>45489.0</v>
      </c>
      <c r="R288" s="12" t="s">
        <v>759</v>
      </c>
      <c r="S288" s="12" t="s">
        <v>45</v>
      </c>
      <c r="T288" s="12" t="s">
        <v>72</v>
      </c>
      <c r="U288" s="17">
        <f t="shared" si="1"/>
        <v>1</v>
      </c>
    </row>
    <row r="289">
      <c r="A289" s="12" t="s">
        <v>760</v>
      </c>
      <c r="B289" s="12" t="s">
        <v>633</v>
      </c>
      <c r="C289" s="17">
        <v>42.0</v>
      </c>
      <c r="D289" s="12" t="s">
        <v>60</v>
      </c>
      <c r="E289" s="12" t="s">
        <v>92</v>
      </c>
      <c r="F289" s="12" t="s">
        <v>62</v>
      </c>
      <c r="G289" s="12" t="s">
        <v>52</v>
      </c>
      <c r="H289" s="15">
        <v>44576.0</v>
      </c>
      <c r="I289" s="17">
        <v>37.0</v>
      </c>
      <c r="J289" s="12" t="s">
        <v>40</v>
      </c>
      <c r="K289" s="12" t="s">
        <v>42</v>
      </c>
      <c r="L289" s="17">
        <v>765.0</v>
      </c>
      <c r="M289" s="17">
        <v>5.0</v>
      </c>
      <c r="N289" s="17">
        <v>2.0</v>
      </c>
      <c r="O289" s="17">
        <v>26.2</v>
      </c>
      <c r="P289" s="17">
        <v>2.5</v>
      </c>
      <c r="Q289" s="15">
        <v>45006.0</v>
      </c>
      <c r="R289" s="12"/>
      <c r="S289" s="12" t="s">
        <v>55</v>
      </c>
      <c r="T289" s="12" t="s">
        <v>75</v>
      </c>
      <c r="U289" s="17">
        <f t="shared" si="1"/>
        <v>1</v>
      </c>
    </row>
    <row r="290">
      <c r="A290" s="12" t="s">
        <v>761</v>
      </c>
      <c r="B290" s="12" t="s">
        <v>118</v>
      </c>
      <c r="C290" s="17">
        <v>30.0</v>
      </c>
      <c r="D290" s="12" t="s">
        <v>60</v>
      </c>
      <c r="E290" s="12" t="s">
        <v>107</v>
      </c>
      <c r="F290" s="12" t="s">
        <v>79</v>
      </c>
      <c r="G290" s="12" t="s">
        <v>120</v>
      </c>
      <c r="H290" s="15">
        <v>45718.0</v>
      </c>
      <c r="I290" s="17">
        <v>24.0</v>
      </c>
      <c r="J290" s="12" t="s">
        <v>53</v>
      </c>
      <c r="K290" s="12" t="s">
        <v>81</v>
      </c>
      <c r="L290" s="17">
        <v>3545.0</v>
      </c>
      <c r="M290" s="17">
        <v>3.0</v>
      </c>
      <c r="N290" s="17">
        <v>1.0</v>
      </c>
      <c r="O290" s="17">
        <v>36.9</v>
      </c>
      <c r="P290" s="17">
        <v>2.8</v>
      </c>
      <c r="Q290" s="15">
        <v>45936.0</v>
      </c>
      <c r="R290" s="12"/>
      <c r="S290" s="12" t="s">
        <v>55</v>
      </c>
      <c r="T290" s="12" t="s">
        <v>66</v>
      </c>
      <c r="U290" s="17">
        <f t="shared" si="1"/>
        <v>2</v>
      </c>
    </row>
    <row r="291">
      <c r="A291" s="12" t="s">
        <v>762</v>
      </c>
      <c r="B291" s="12" t="s">
        <v>288</v>
      </c>
      <c r="C291" s="17">
        <v>32.0</v>
      </c>
      <c r="D291" s="12" t="s">
        <v>60</v>
      </c>
      <c r="E291" s="12" t="s">
        <v>107</v>
      </c>
      <c r="F291" s="12" t="s">
        <v>37</v>
      </c>
      <c r="G291" s="12" t="s">
        <v>93</v>
      </c>
      <c r="H291" s="15">
        <v>46006.0</v>
      </c>
      <c r="I291" s="17">
        <v>26.0</v>
      </c>
      <c r="J291" s="12" t="s">
        <v>64</v>
      </c>
      <c r="K291" s="12" t="s">
        <v>65</v>
      </c>
      <c r="L291" s="17">
        <v>1120.0</v>
      </c>
      <c r="M291" s="17">
        <v>4.0</v>
      </c>
      <c r="N291" s="17">
        <v>3.0</v>
      </c>
      <c r="O291" s="17">
        <v>23.7</v>
      </c>
      <c r="P291" s="17">
        <v>3.6</v>
      </c>
      <c r="Q291" s="15">
        <v>46251.0</v>
      </c>
      <c r="R291" s="12" t="s">
        <v>763</v>
      </c>
      <c r="S291" s="12" t="s">
        <v>45</v>
      </c>
      <c r="T291" s="12" t="s">
        <v>72</v>
      </c>
      <c r="U291" s="17">
        <f t="shared" si="1"/>
        <v>1</v>
      </c>
    </row>
    <row r="292">
      <c r="A292" s="12" t="s">
        <v>764</v>
      </c>
      <c r="B292" s="12" t="s">
        <v>250</v>
      </c>
      <c r="C292" s="17">
        <v>42.0</v>
      </c>
      <c r="D292" s="12" t="s">
        <v>35</v>
      </c>
      <c r="E292" s="12" t="s">
        <v>51</v>
      </c>
      <c r="F292" s="12" t="s">
        <v>62</v>
      </c>
      <c r="G292" s="12" t="s">
        <v>52</v>
      </c>
      <c r="H292" s="15">
        <v>44572.0</v>
      </c>
      <c r="I292" s="17">
        <v>6.0</v>
      </c>
      <c r="J292" s="12" t="s">
        <v>40</v>
      </c>
      <c r="K292" s="12" t="s">
        <v>81</v>
      </c>
      <c r="L292" s="17">
        <v>740.0</v>
      </c>
      <c r="M292" s="17">
        <v>2.0</v>
      </c>
      <c r="N292" s="17">
        <v>2.0</v>
      </c>
      <c r="O292" s="17">
        <v>25.1</v>
      </c>
      <c r="P292" s="17">
        <v>3.2</v>
      </c>
      <c r="Q292" s="15">
        <v>44604.0</v>
      </c>
      <c r="R292" s="12" t="s">
        <v>765</v>
      </c>
      <c r="S292" s="12" t="s">
        <v>45</v>
      </c>
      <c r="T292" s="12" t="s">
        <v>104</v>
      </c>
      <c r="U292" s="17">
        <f t="shared" si="1"/>
        <v>2</v>
      </c>
    </row>
    <row r="293">
      <c r="A293" s="12" t="s">
        <v>766</v>
      </c>
      <c r="B293" s="12" t="s">
        <v>110</v>
      </c>
      <c r="C293" s="17">
        <v>19.0</v>
      </c>
      <c r="D293" s="12" t="s">
        <v>85</v>
      </c>
      <c r="E293" s="12" t="s">
        <v>87</v>
      </c>
      <c r="F293" s="12" t="s">
        <v>37</v>
      </c>
      <c r="G293" s="12" t="s">
        <v>80</v>
      </c>
      <c r="H293" s="15">
        <v>45148.0</v>
      </c>
      <c r="I293" s="17">
        <v>46.0</v>
      </c>
      <c r="J293" s="12" t="s">
        <v>40</v>
      </c>
      <c r="K293" s="12" t="s">
        <v>81</v>
      </c>
      <c r="L293" s="17">
        <v>1791.0</v>
      </c>
      <c r="M293" s="17">
        <v>2.0</v>
      </c>
      <c r="N293" s="17">
        <v>1.0</v>
      </c>
      <c r="O293" s="17">
        <v>12.9</v>
      </c>
      <c r="P293" s="17">
        <v>3.4</v>
      </c>
      <c r="Q293" s="15">
        <v>45516.0</v>
      </c>
      <c r="R293" s="12" t="s">
        <v>767</v>
      </c>
      <c r="S293" s="12" t="s">
        <v>45</v>
      </c>
      <c r="T293" s="12" t="s">
        <v>66</v>
      </c>
      <c r="U293" s="17">
        <f t="shared" si="1"/>
        <v>1</v>
      </c>
    </row>
    <row r="294">
      <c r="A294" s="12" t="s">
        <v>768</v>
      </c>
      <c r="B294" s="12" t="s">
        <v>424</v>
      </c>
      <c r="C294" s="17">
        <v>29.0</v>
      </c>
      <c r="D294" s="12" t="s">
        <v>69</v>
      </c>
      <c r="E294" s="12" t="s">
        <v>70</v>
      </c>
      <c r="F294" s="12" t="s">
        <v>37</v>
      </c>
      <c r="G294" s="12" t="s">
        <v>80</v>
      </c>
      <c r="H294" s="15">
        <v>45618.0</v>
      </c>
      <c r="I294" s="17">
        <v>45.0</v>
      </c>
      <c r="J294" s="12" t="s">
        <v>40</v>
      </c>
      <c r="K294" s="12" t="s">
        <v>65</v>
      </c>
      <c r="L294" s="17">
        <v>1689.0</v>
      </c>
      <c r="M294" s="17">
        <v>2.0</v>
      </c>
      <c r="N294" s="17">
        <v>0.0</v>
      </c>
      <c r="O294" s="17">
        <v>35.6</v>
      </c>
      <c r="P294" s="17">
        <v>5.0</v>
      </c>
      <c r="Q294" s="15">
        <v>46364.0</v>
      </c>
      <c r="R294" s="12"/>
      <c r="S294" s="12" t="s">
        <v>55</v>
      </c>
      <c r="T294" s="12" t="s">
        <v>75</v>
      </c>
      <c r="U294" s="17">
        <f t="shared" si="1"/>
        <v>2</v>
      </c>
    </row>
    <row r="295">
      <c r="A295" s="12" t="s">
        <v>769</v>
      </c>
      <c r="B295" s="12" t="s">
        <v>448</v>
      </c>
      <c r="C295" s="17">
        <v>41.0</v>
      </c>
      <c r="D295" s="12" t="s">
        <v>85</v>
      </c>
      <c r="E295" s="12" t="s">
        <v>87</v>
      </c>
      <c r="F295" s="12" t="s">
        <v>37</v>
      </c>
      <c r="G295" s="12" t="s">
        <v>80</v>
      </c>
      <c r="H295" s="15">
        <v>44593.0</v>
      </c>
      <c r="I295" s="17">
        <v>48.0</v>
      </c>
      <c r="J295" s="12" t="s">
        <v>53</v>
      </c>
      <c r="K295" s="12" t="s">
        <v>42</v>
      </c>
      <c r="L295" s="12" t="s">
        <v>770</v>
      </c>
      <c r="M295" s="17">
        <v>0.0</v>
      </c>
      <c r="N295" s="17">
        <v>2.0</v>
      </c>
      <c r="O295" s="17">
        <v>28.6</v>
      </c>
      <c r="P295" s="17">
        <v>4.7</v>
      </c>
      <c r="Q295" s="15">
        <v>45748.0</v>
      </c>
      <c r="R295" s="12"/>
      <c r="S295" s="12" t="s">
        <v>55</v>
      </c>
      <c r="T295" s="12" t="s">
        <v>66</v>
      </c>
      <c r="U295" s="17">
        <f t="shared" si="1"/>
        <v>2</v>
      </c>
    </row>
    <row r="296">
      <c r="A296" s="12" t="s">
        <v>771</v>
      </c>
      <c r="B296" s="12" t="s">
        <v>91</v>
      </c>
      <c r="C296" s="17">
        <v>51.0</v>
      </c>
      <c r="D296" s="12" t="s">
        <v>85</v>
      </c>
      <c r="E296" s="12" t="s">
        <v>87</v>
      </c>
      <c r="F296" s="12" t="s">
        <v>37</v>
      </c>
      <c r="G296" s="12" t="s">
        <v>210</v>
      </c>
      <c r="H296" s="15">
        <v>44920.0</v>
      </c>
      <c r="I296" s="17">
        <v>27.0</v>
      </c>
      <c r="J296" s="12" t="s">
        <v>53</v>
      </c>
      <c r="K296" s="12" t="s">
        <v>81</v>
      </c>
      <c r="L296" s="17">
        <v>1073.0</v>
      </c>
      <c r="M296" s="17">
        <v>3.0</v>
      </c>
      <c r="N296" s="17">
        <v>0.0</v>
      </c>
      <c r="O296" s="17">
        <v>35.8</v>
      </c>
      <c r="P296" s="17">
        <v>4.2</v>
      </c>
      <c r="Q296" s="15">
        <v>45231.0</v>
      </c>
      <c r="R296" s="12"/>
      <c r="S296" s="12" t="s">
        <v>55</v>
      </c>
      <c r="T296" s="12" t="s">
        <v>66</v>
      </c>
      <c r="U296" s="17">
        <f t="shared" si="1"/>
        <v>2</v>
      </c>
    </row>
    <row r="297">
      <c r="A297" s="12" t="s">
        <v>772</v>
      </c>
      <c r="B297" s="12" t="s">
        <v>235</v>
      </c>
      <c r="C297" s="17">
        <v>35.0</v>
      </c>
      <c r="D297" s="12" t="s">
        <v>85</v>
      </c>
      <c r="E297" s="12" t="s">
        <v>87</v>
      </c>
      <c r="F297" s="12" t="s">
        <v>37</v>
      </c>
      <c r="G297" s="12" t="s">
        <v>93</v>
      </c>
      <c r="H297" s="15">
        <v>45060.0</v>
      </c>
      <c r="I297" s="17">
        <v>22.0</v>
      </c>
      <c r="J297" s="12" t="s">
        <v>40</v>
      </c>
      <c r="K297" s="12" t="s">
        <v>65</v>
      </c>
      <c r="L297" s="17">
        <v>1696.0</v>
      </c>
      <c r="M297" s="17">
        <v>4.0</v>
      </c>
      <c r="N297" s="17">
        <v>2.0</v>
      </c>
      <c r="O297" s="17">
        <v>39.8</v>
      </c>
      <c r="P297" s="17">
        <v>3.4</v>
      </c>
      <c r="Q297" s="15">
        <v>45670.0</v>
      </c>
      <c r="R297" s="12" t="s">
        <v>773</v>
      </c>
      <c r="S297" s="12" t="s">
        <v>45</v>
      </c>
      <c r="T297" s="12" t="s">
        <v>47</v>
      </c>
      <c r="U297" s="17">
        <f t="shared" si="1"/>
        <v>1</v>
      </c>
    </row>
    <row r="298">
      <c r="A298" s="12" t="s">
        <v>774</v>
      </c>
      <c r="B298" s="12" t="s">
        <v>411</v>
      </c>
      <c r="C298" s="17">
        <v>23.0</v>
      </c>
      <c r="D298" s="12" t="s">
        <v>69</v>
      </c>
      <c r="E298" s="12" t="s">
        <v>177</v>
      </c>
      <c r="F298" s="12" t="s">
        <v>192</v>
      </c>
      <c r="G298" s="12" t="s">
        <v>210</v>
      </c>
      <c r="H298" s="15">
        <v>45619.0</v>
      </c>
      <c r="I298" s="17">
        <v>35.0</v>
      </c>
      <c r="J298" s="12" t="s">
        <v>64</v>
      </c>
      <c r="K298" s="12" t="s">
        <v>42</v>
      </c>
      <c r="L298" s="17">
        <v>633.0</v>
      </c>
      <c r="M298" s="17">
        <v>2.0</v>
      </c>
      <c r="N298" s="17">
        <v>3.0</v>
      </c>
      <c r="O298" s="17">
        <v>10.3</v>
      </c>
      <c r="P298" s="17">
        <v>3.7</v>
      </c>
      <c r="Q298" s="15">
        <v>45819.0</v>
      </c>
      <c r="R298" s="12"/>
      <c r="S298" s="12" t="s">
        <v>55</v>
      </c>
      <c r="T298" s="12" t="s">
        <v>75</v>
      </c>
      <c r="U298" s="17">
        <f t="shared" si="1"/>
        <v>1</v>
      </c>
    </row>
    <row r="299">
      <c r="A299" s="12" t="s">
        <v>775</v>
      </c>
      <c r="B299" s="12" t="s">
        <v>362</v>
      </c>
      <c r="C299" s="17">
        <v>35.0</v>
      </c>
      <c r="D299" s="12" t="s">
        <v>60</v>
      </c>
      <c r="E299" s="12" t="s">
        <v>97</v>
      </c>
      <c r="F299" s="12" t="s">
        <v>79</v>
      </c>
      <c r="G299" s="12" t="s">
        <v>586</v>
      </c>
      <c r="H299" s="15">
        <v>44936.0</v>
      </c>
      <c r="I299" s="17">
        <v>48.0</v>
      </c>
      <c r="J299" s="12" t="s">
        <v>40</v>
      </c>
      <c r="K299" s="12" t="s">
        <v>42</v>
      </c>
      <c r="L299" s="17">
        <v>3508.0</v>
      </c>
      <c r="M299" s="17">
        <v>1.0</v>
      </c>
      <c r="N299" s="17">
        <v>1.0</v>
      </c>
      <c r="O299" s="17">
        <v>33.0</v>
      </c>
      <c r="P299" s="17">
        <v>3.9</v>
      </c>
      <c r="Q299" s="15">
        <v>45354.0</v>
      </c>
      <c r="R299" s="12"/>
      <c r="S299" s="12" t="s">
        <v>55</v>
      </c>
      <c r="T299" s="12" t="s">
        <v>47</v>
      </c>
      <c r="U299" s="17">
        <f t="shared" si="1"/>
        <v>2</v>
      </c>
    </row>
    <row r="300">
      <c r="A300" s="12" t="s">
        <v>657</v>
      </c>
      <c r="B300" s="12" t="s">
        <v>257</v>
      </c>
      <c r="C300" s="17">
        <v>58.0</v>
      </c>
      <c r="D300" s="12" t="s">
        <v>60</v>
      </c>
      <c r="E300" s="12" t="s">
        <v>97</v>
      </c>
      <c r="F300" s="12" t="s">
        <v>37</v>
      </c>
      <c r="G300" s="12" t="s">
        <v>63</v>
      </c>
      <c r="H300" s="15">
        <v>44722.0</v>
      </c>
      <c r="I300" s="17">
        <v>44.0</v>
      </c>
      <c r="J300" s="12" t="s">
        <v>53</v>
      </c>
      <c r="K300" s="12" t="s">
        <v>326</v>
      </c>
      <c r="L300" s="17">
        <v>1627.0</v>
      </c>
      <c r="M300" s="17">
        <v>3.0</v>
      </c>
      <c r="N300" s="17">
        <v>1.0</v>
      </c>
      <c r="O300" s="17">
        <v>24.6</v>
      </c>
      <c r="P300" s="17">
        <v>3.1</v>
      </c>
      <c r="Q300" s="15">
        <v>45840.0</v>
      </c>
      <c r="R300" s="12" t="s">
        <v>776</v>
      </c>
      <c r="S300" s="12" t="s">
        <v>45</v>
      </c>
      <c r="T300" s="12" t="s">
        <v>66</v>
      </c>
      <c r="U300" s="17">
        <f t="shared" si="1"/>
        <v>3</v>
      </c>
    </row>
    <row r="301">
      <c r="A301" s="12" t="s">
        <v>777</v>
      </c>
      <c r="B301" s="12" t="s">
        <v>118</v>
      </c>
      <c r="C301" s="17">
        <v>53.0</v>
      </c>
      <c r="D301" s="12" t="s">
        <v>85</v>
      </c>
      <c r="E301" s="12" t="s">
        <v>111</v>
      </c>
      <c r="F301" s="12" t="s">
        <v>79</v>
      </c>
      <c r="G301" s="12" t="s">
        <v>80</v>
      </c>
      <c r="H301" s="15">
        <v>45135.0</v>
      </c>
      <c r="I301" s="17">
        <v>26.0</v>
      </c>
      <c r="J301" s="12" t="s">
        <v>40</v>
      </c>
      <c r="K301" s="12" t="s">
        <v>81</v>
      </c>
      <c r="L301" s="17">
        <v>2109.0</v>
      </c>
      <c r="M301" s="17">
        <v>0.0</v>
      </c>
      <c r="N301" s="17">
        <v>0.0</v>
      </c>
      <c r="O301" s="17">
        <v>38.7</v>
      </c>
      <c r="P301" s="17">
        <v>2.4</v>
      </c>
      <c r="Q301" s="15">
        <v>45683.0</v>
      </c>
      <c r="R301" s="12"/>
      <c r="S301" s="12" t="s">
        <v>55</v>
      </c>
      <c r="T301" s="12" t="s">
        <v>72</v>
      </c>
      <c r="U301" s="17">
        <f t="shared" si="1"/>
        <v>2</v>
      </c>
    </row>
    <row r="302">
      <c r="A302" s="12" t="s">
        <v>778</v>
      </c>
      <c r="B302" s="12" t="s">
        <v>135</v>
      </c>
      <c r="C302" s="17">
        <v>39.0</v>
      </c>
      <c r="D302" s="12" t="s">
        <v>69</v>
      </c>
      <c r="E302" s="12" t="s">
        <v>119</v>
      </c>
      <c r="F302" s="12" t="s">
        <v>79</v>
      </c>
      <c r="G302" s="12" t="s">
        <v>52</v>
      </c>
      <c r="H302" s="15">
        <v>45623.0</v>
      </c>
      <c r="I302" s="17">
        <v>30.0</v>
      </c>
      <c r="J302" s="12" t="s">
        <v>53</v>
      </c>
      <c r="K302" s="12" t="s">
        <v>81</v>
      </c>
      <c r="L302" s="17">
        <v>3379.0</v>
      </c>
      <c r="M302" s="17">
        <v>3.0</v>
      </c>
      <c r="N302" s="17">
        <v>2.0</v>
      </c>
      <c r="O302" s="17">
        <v>35.5</v>
      </c>
      <c r="P302" s="17">
        <v>3.0</v>
      </c>
      <c r="Q302" s="15">
        <v>45848.0</v>
      </c>
      <c r="R302" s="12"/>
      <c r="S302" s="12" t="s">
        <v>55</v>
      </c>
      <c r="T302" s="12" t="s">
        <v>72</v>
      </c>
      <c r="U302" s="17">
        <f t="shared" si="1"/>
        <v>2</v>
      </c>
    </row>
    <row r="303">
      <c r="A303" s="12" t="s">
        <v>780</v>
      </c>
      <c r="B303" s="12" t="s">
        <v>281</v>
      </c>
      <c r="C303" s="17">
        <v>44.0</v>
      </c>
      <c r="D303" s="12" t="s">
        <v>60</v>
      </c>
      <c r="E303" s="12" t="s">
        <v>97</v>
      </c>
      <c r="F303" s="12" t="s">
        <v>62</v>
      </c>
      <c r="G303" s="12" t="s">
        <v>80</v>
      </c>
      <c r="H303" s="15">
        <v>45264.0</v>
      </c>
      <c r="I303" s="17">
        <v>24.0</v>
      </c>
      <c r="J303" s="12" t="s">
        <v>53</v>
      </c>
      <c r="K303" s="12" t="s">
        <v>65</v>
      </c>
      <c r="L303" s="17">
        <v>716.0</v>
      </c>
      <c r="M303" s="17">
        <v>3.0</v>
      </c>
      <c r="N303" s="17">
        <v>2.0</v>
      </c>
      <c r="O303" s="17">
        <v>10.9</v>
      </c>
      <c r="P303" s="17">
        <v>3.9</v>
      </c>
      <c r="Q303" s="15">
        <v>45991.0</v>
      </c>
      <c r="R303" s="12"/>
      <c r="S303" s="12" t="s">
        <v>55</v>
      </c>
      <c r="T303" s="12" t="s">
        <v>47</v>
      </c>
      <c r="U303" s="17">
        <f t="shared" si="1"/>
        <v>2</v>
      </c>
    </row>
    <row r="304">
      <c r="A304" s="12" t="s">
        <v>781</v>
      </c>
      <c r="B304" s="12" t="s">
        <v>383</v>
      </c>
      <c r="C304" s="17">
        <v>19.0</v>
      </c>
      <c r="D304" s="12" t="s">
        <v>69</v>
      </c>
      <c r="E304" s="12" t="s">
        <v>187</v>
      </c>
      <c r="F304" s="12" t="s">
        <v>37</v>
      </c>
      <c r="G304" s="12" t="s">
        <v>52</v>
      </c>
      <c r="H304" s="15">
        <v>45114.0</v>
      </c>
      <c r="I304" s="17">
        <v>16.0</v>
      </c>
      <c r="J304" s="12" t="s">
        <v>40</v>
      </c>
      <c r="K304" s="12" t="s">
        <v>65</v>
      </c>
      <c r="L304" s="17">
        <v>1199.0</v>
      </c>
      <c r="M304" s="17">
        <v>3.0</v>
      </c>
      <c r="N304" s="17">
        <v>1.0</v>
      </c>
      <c r="O304" s="17">
        <v>22.3</v>
      </c>
      <c r="P304" s="17">
        <v>2.3</v>
      </c>
      <c r="Q304" s="15">
        <v>45533.0</v>
      </c>
      <c r="R304" s="12"/>
      <c r="S304" s="12" t="s">
        <v>55</v>
      </c>
      <c r="T304" s="12" t="s">
        <v>75</v>
      </c>
      <c r="U304" s="17">
        <f t="shared" si="1"/>
        <v>1</v>
      </c>
    </row>
    <row r="305">
      <c r="A305" s="12" t="s">
        <v>783</v>
      </c>
      <c r="B305" s="12" t="s">
        <v>169</v>
      </c>
      <c r="C305" s="17">
        <v>59.0</v>
      </c>
      <c r="D305" s="12" t="s">
        <v>60</v>
      </c>
      <c r="E305" s="12" t="s">
        <v>133</v>
      </c>
      <c r="F305" s="12" t="s">
        <v>62</v>
      </c>
      <c r="G305" s="12" t="s">
        <v>80</v>
      </c>
      <c r="H305" s="15">
        <v>45724.0</v>
      </c>
      <c r="I305" s="17">
        <v>4.0</v>
      </c>
      <c r="J305" s="12" t="s">
        <v>40</v>
      </c>
      <c r="K305" s="12" t="s">
        <v>65</v>
      </c>
      <c r="L305" s="17">
        <v>852.0</v>
      </c>
      <c r="M305" s="17">
        <v>1.0</v>
      </c>
      <c r="N305" s="17">
        <v>2.0</v>
      </c>
      <c r="O305" s="17">
        <v>14.1</v>
      </c>
      <c r="P305" s="17">
        <v>3.8</v>
      </c>
      <c r="Q305" s="15">
        <v>45789.0</v>
      </c>
      <c r="R305" s="12"/>
      <c r="S305" s="12" t="s">
        <v>55</v>
      </c>
      <c r="T305" s="12" t="s">
        <v>72</v>
      </c>
      <c r="U305" s="17">
        <f t="shared" si="1"/>
        <v>2</v>
      </c>
    </row>
    <row r="306">
      <c r="A306" s="12" t="s">
        <v>784</v>
      </c>
      <c r="B306" s="12" t="s">
        <v>172</v>
      </c>
      <c r="C306" s="17">
        <v>55.0</v>
      </c>
      <c r="D306" s="12" t="s">
        <v>60</v>
      </c>
      <c r="E306" s="12" t="s">
        <v>107</v>
      </c>
      <c r="F306" s="12" t="s">
        <v>37</v>
      </c>
      <c r="G306" s="12" t="s">
        <v>93</v>
      </c>
      <c r="H306" s="15">
        <v>45089.0</v>
      </c>
      <c r="I306" s="17">
        <v>23.0</v>
      </c>
      <c r="J306" s="12" t="s">
        <v>655</v>
      </c>
      <c r="K306" s="12" t="s">
        <v>81</v>
      </c>
      <c r="L306" s="17">
        <v>1358.0</v>
      </c>
      <c r="M306" s="17">
        <v>1.0</v>
      </c>
      <c r="N306" s="17">
        <v>1.0</v>
      </c>
      <c r="O306" s="17">
        <v>21.3</v>
      </c>
      <c r="P306" s="17">
        <v>1.7</v>
      </c>
      <c r="Q306" s="15">
        <v>45794.0</v>
      </c>
      <c r="R306" s="12"/>
      <c r="S306" s="12" t="s">
        <v>55</v>
      </c>
      <c r="T306" s="12" t="s">
        <v>66</v>
      </c>
      <c r="U306" s="17">
        <f t="shared" si="1"/>
        <v>1</v>
      </c>
    </row>
    <row r="307">
      <c r="A307" s="12" t="s">
        <v>785</v>
      </c>
      <c r="B307" s="12" t="s">
        <v>190</v>
      </c>
      <c r="C307" s="17">
        <v>29.0</v>
      </c>
      <c r="D307" s="12" t="s">
        <v>60</v>
      </c>
      <c r="E307" s="12" t="s">
        <v>107</v>
      </c>
      <c r="F307" s="12" t="s">
        <v>62</v>
      </c>
      <c r="G307" s="12" t="s">
        <v>80</v>
      </c>
      <c r="H307" s="15">
        <v>45560.0</v>
      </c>
      <c r="I307" s="17">
        <v>48.0</v>
      </c>
      <c r="J307" s="12" t="s">
        <v>64</v>
      </c>
      <c r="K307" s="12" t="s">
        <v>65</v>
      </c>
      <c r="L307" s="17">
        <v>539.0</v>
      </c>
      <c r="M307" s="17">
        <v>3.0</v>
      </c>
      <c r="N307" s="17">
        <v>0.0</v>
      </c>
      <c r="O307" s="17">
        <v>22.1</v>
      </c>
      <c r="P307" s="17">
        <v>3.5</v>
      </c>
      <c r="Q307" s="15">
        <v>46156.0</v>
      </c>
      <c r="R307" s="12"/>
      <c r="S307" s="12" t="s">
        <v>55</v>
      </c>
      <c r="T307" s="12" t="s">
        <v>75</v>
      </c>
      <c r="U307" s="17">
        <f t="shared" si="1"/>
        <v>2</v>
      </c>
    </row>
    <row r="308">
      <c r="A308" s="12" t="s">
        <v>689</v>
      </c>
      <c r="B308" s="12" t="s">
        <v>222</v>
      </c>
      <c r="C308" s="17">
        <v>47.0</v>
      </c>
      <c r="D308" s="12" t="s">
        <v>85</v>
      </c>
      <c r="E308" s="12" t="s">
        <v>292</v>
      </c>
      <c r="F308" s="12" t="s">
        <v>62</v>
      </c>
      <c r="G308" s="12" t="s">
        <v>586</v>
      </c>
      <c r="H308" s="15">
        <v>45029.0</v>
      </c>
      <c r="I308" s="17">
        <v>21.0</v>
      </c>
      <c r="J308" s="12" t="s">
        <v>53</v>
      </c>
      <c r="K308" s="12" t="s">
        <v>81</v>
      </c>
      <c r="L308" s="17">
        <v>648.0</v>
      </c>
      <c r="M308" s="17">
        <v>3.0</v>
      </c>
      <c r="N308" s="17">
        <v>1.0</v>
      </c>
      <c r="O308" s="17">
        <v>23.7</v>
      </c>
      <c r="P308" s="17">
        <v>3.9</v>
      </c>
      <c r="Q308" s="15">
        <v>45658.0</v>
      </c>
      <c r="R308" s="12"/>
      <c r="S308" s="12" t="s">
        <v>55</v>
      </c>
      <c r="T308" s="12" t="s">
        <v>66</v>
      </c>
      <c r="U308" s="17">
        <f t="shared" si="1"/>
        <v>5</v>
      </c>
    </row>
    <row r="309">
      <c r="A309" s="12" t="s">
        <v>786</v>
      </c>
      <c r="B309" s="12" t="s">
        <v>50</v>
      </c>
      <c r="C309" s="17">
        <v>25.0</v>
      </c>
      <c r="D309" s="12" t="s">
        <v>85</v>
      </c>
      <c r="E309" s="12" t="s">
        <v>87</v>
      </c>
      <c r="F309" s="12" t="s">
        <v>62</v>
      </c>
      <c r="G309" s="12" t="s">
        <v>93</v>
      </c>
      <c r="H309" s="15">
        <v>44609.0</v>
      </c>
      <c r="I309" s="17">
        <v>9.0</v>
      </c>
      <c r="J309" s="12" t="s">
        <v>655</v>
      </c>
      <c r="K309" s="12" t="s">
        <v>42</v>
      </c>
      <c r="L309" s="17">
        <v>837.0</v>
      </c>
      <c r="M309" s="17">
        <v>0.0</v>
      </c>
      <c r="N309" s="17">
        <v>1.0</v>
      </c>
      <c r="O309" s="17">
        <v>8.9</v>
      </c>
      <c r="P309" s="17">
        <v>3.8</v>
      </c>
      <c r="Q309" s="12"/>
      <c r="R309" s="12" t="s">
        <v>787</v>
      </c>
      <c r="S309" s="12" t="s">
        <v>45</v>
      </c>
      <c r="T309" s="12" t="s">
        <v>75</v>
      </c>
      <c r="U309" s="17">
        <f t="shared" si="1"/>
        <v>2</v>
      </c>
    </row>
    <row r="310">
      <c r="A310" s="12" t="s">
        <v>788</v>
      </c>
      <c r="B310" s="12" t="s">
        <v>250</v>
      </c>
      <c r="C310" s="17">
        <v>34.0</v>
      </c>
      <c r="D310" s="12" t="s">
        <v>35</v>
      </c>
      <c r="E310" s="12" t="s">
        <v>36</v>
      </c>
      <c r="F310" s="12" t="s">
        <v>37</v>
      </c>
      <c r="G310" s="12" t="s">
        <v>80</v>
      </c>
      <c r="H310" s="15">
        <v>44732.0</v>
      </c>
      <c r="I310" s="17">
        <v>7.0</v>
      </c>
      <c r="J310" s="12" t="s">
        <v>64</v>
      </c>
      <c r="K310" s="12" t="s">
        <v>65</v>
      </c>
      <c r="L310" s="17">
        <v>1085.0</v>
      </c>
      <c r="M310" s="17">
        <v>0.0</v>
      </c>
      <c r="N310" s="17">
        <v>0.0</v>
      </c>
      <c r="O310" s="17">
        <v>49.4</v>
      </c>
      <c r="P310" s="17">
        <v>9.0</v>
      </c>
      <c r="Q310" s="15">
        <v>44841.0</v>
      </c>
      <c r="R310" s="12"/>
      <c r="S310" s="12" t="s">
        <v>55</v>
      </c>
      <c r="T310" s="12" t="s">
        <v>75</v>
      </c>
      <c r="U310" s="17">
        <f t="shared" si="1"/>
        <v>1</v>
      </c>
    </row>
    <row r="311">
      <c r="A311" s="12" t="s">
        <v>789</v>
      </c>
      <c r="B311" s="12" t="s">
        <v>122</v>
      </c>
      <c r="C311" s="17">
        <v>27.0</v>
      </c>
      <c r="D311" s="12" t="s">
        <v>69</v>
      </c>
      <c r="E311" s="12" t="s">
        <v>187</v>
      </c>
      <c r="F311" s="12" t="s">
        <v>37</v>
      </c>
      <c r="G311" s="12" t="s">
        <v>39</v>
      </c>
      <c r="H311" s="15">
        <v>44620.0</v>
      </c>
      <c r="I311" s="17">
        <v>3.0</v>
      </c>
      <c r="J311" s="12" t="s">
        <v>64</v>
      </c>
      <c r="K311" s="12" t="s">
        <v>81</v>
      </c>
      <c r="L311" s="17">
        <v>1486.0</v>
      </c>
      <c r="M311" s="17">
        <v>4.0</v>
      </c>
      <c r="N311" s="17">
        <v>1.0</v>
      </c>
      <c r="O311" s="17">
        <v>12.3</v>
      </c>
      <c r="P311" s="17">
        <v>4.4</v>
      </c>
      <c r="Q311" s="15">
        <v>44699.0</v>
      </c>
      <c r="R311" s="12"/>
      <c r="S311" s="12" t="s">
        <v>55</v>
      </c>
      <c r="T311" s="12" t="s">
        <v>47</v>
      </c>
      <c r="U311" s="17">
        <f t="shared" si="1"/>
        <v>1</v>
      </c>
    </row>
    <row r="312">
      <c r="A312" s="12" t="s">
        <v>792</v>
      </c>
      <c r="B312" s="12" t="s">
        <v>184</v>
      </c>
      <c r="C312" s="17">
        <v>45.0</v>
      </c>
      <c r="D312" s="12" t="s">
        <v>85</v>
      </c>
      <c r="E312" s="12" t="s">
        <v>87</v>
      </c>
      <c r="F312" s="12" t="s">
        <v>37</v>
      </c>
      <c r="G312" s="12" t="s">
        <v>52</v>
      </c>
      <c r="H312" s="15">
        <v>45655.0</v>
      </c>
      <c r="I312" s="17">
        <v>20.0</v>
      </c>
      <c r="J312" s="12" t="s">
        <v>53</v>
      </c>
      <c r="K312" s="12" t="s">
        <v>42</v>
      </c>
      <c r="L312" s="17">
        <v>1551.0</v>
      </c>
      <c r="M312" s="17">
        <v>5.0</v>
      </c>
      <c r="N312" s="17">
        <v>0.0</v>
      </c>
      <c r="O312" s="17">
        <v>36.0</v>
      </c>
      <c r="P312" s="17">
        <v>3.1</v>
      </c>
      <c r="Q312" s="15">
        <v>45756.0</v>
      </c>
      <c r="R312" s="12" t="s">
        <v>794</v>
      </c>
      <c r="S312" s="12" t="s">
        <v>45</v>
      </c>
      <c r="T312" s="12" t="s">
        <v>72</v>
      </c>
      <c r="U312" s="17">
        <f t="shared" si="1"/>
        <v>2</v>
      </c>
    </row>
    <row r="313">
      <c r="A313" s="12" t="s">
        <v>797</v>
      </c>
      <c r="B313" s="12" t="s">
        <v>202</v>
      </c>
      <c r="C313" s="17">
        <v>37.0</v>
      </c>
      <c r="D313" s="12" t="s">
        <v>35</v>
      </c>
      <c r="E313" s="12" t="s">
        <v>51</v>
      </c>
      <c r="F313" s="12" t="s">
        <v>62</v>
      </c>
      <c r="G313" s="12" t="s">
        <v>120</v>
      </c>
      <c r="H313" s="15">
        <v>45657.0</v>
      </c>
      <c r="I313" s="17">
        <v>1.0</v>
      </c>
      <c r="J313" s="12" t="s">
        <v>64</v>
      </c>
      <c r="K313" s="12" t="s">
        <v>42</v>
      </c>
      <c r="L313" s="17">
        <v>750.0</v>
      </c>
      <c r="M313" s="17">
        <v>3.0</v>
      </c>
      <c r="N313" s="17">
        <v>0.0</v>
      </c>
      <c r="O313" s="17">
        <v>3.3</v>
      </c>
      <c r="P313" s="17">
        <v>4.8</v>
      </c>
      <c r="Q313" s="15">
        <v>45686.0</v>
      </c>
      <c r="R313" s="12"/>
      <c r="S313" s="12" t="s">
        <v>55</v>
      </c>
      <c r="T313" s="12" t="s">
        <v>104</v>
      </c>
      <c r="U313" s="17">
        <f t="shared" si="1"/>
        <v>5</v>
      </c>
    </row>
    <row r="314">
      <c r="A314" s="12" t="s">
        <v>800</v>
      </c>
      <c r="B314" s="12" t="s">
        <v>801</v>
      </c>
      <c r="C314" s="17">
        <v>35.0</v>
      </c>
      <c r="D314" s="12" t="s">
        <v>60</v>
      </c>
      <c r="E314" s="12" t="s">
        <v>97</v>
      </c>
      <c r="F314" s="12" t="s">
        <v>62</v>
      </c>
      <c r="G314" s="12" t="s">
        <v>80</v>
      </c>
      <c r="H314" s="15">
        <v>45457.0</v>
      </c>
      <c r="I314" s="17">
        <v>26.0</v>
      </c>
      <c r="J314" s="12" t="s">
        <v>40</v>
      </c>
      <c r="K314" s="12" t="s">
        <v>65</v>
      </c>
      <c r="L314" s="17">
        <v>865.0</v>
      </c>
      <c r="M314" s="17">
        <v>2.0</v>
      </c>
      <c r="N314" s="17">
        <v>0.0</v>
      </c>
      <c r="O314" s="17">
        <v>9.2</v>
      </c>
      <c r="P314" s="17">
        <v>3.5</v>
      </c>
      <c r="Q314" s="15">
        <v>45866.0</v>
      </c>
      <c r="R314" s="12"/>
      <c r="S314" s="12" t="s">
        <v>55</v>
      </c>
      <c r="T314" s="12" t="s">
        <v>47</v>
      </c>
      <c r="U314" s="17">
        <f t="shared" si="1"/>
        <v>1</v>
      </c>
    </row>
    <row r="315">
      <c r="A315" s="12" t="s">
        <v>803</v>
      </c>
      <c r="B315" s="12" t="s">
        <v>639</v>
      </c>
      <c r="C315" s="17">
        <v>58.0</v>
      </c>
      <c r="D315" s="12" t="s">
        <v>60</v>
      </c>
      <c r="E315" s="12" t="s">
        <v>107</v>
      </c>
      <c r="F315" s="12" t="s">
        <v>37</v>
      </c>
      <c r="G315" s="12" t="s">
        <v>80</v>
      </c>
      <c r="H315" s="15">
        <v>45112.0</v>
      </c>
      <c r="I315" s="17">
        <v>27.0</v>
      </c>
      <c r="J315" s="12" t="s">
        <v>53</v>
      </c>
      <c r="K315" s="12" t="s">
        <v>65</v>
      </c>
      <c r="L315" s="17">
        <v>1185.0</v>
      </c>
      <c r="M315" s="17">
        <v>1.0</v>
      </c>
      <c r="N315" s="17">
        <v>1.0</v>
      </c>
      <c r="O315" s="17">
        <v>38.5</v>
      </c>
      <c r="P315" s="17">
        <v>5.0</v>
      </c>
      <c r="Q315" s="15">
        <v>45418.0</v>
      </c>
      <c r="R315" s="12"/>
      <c r="S315" s="12" t="s">
        <v>55</v>
      </c>
      <c r="T315" s="12" t="s">
        <v>66</v>
      </c>
      <c r="U315" s="17">
        <f t="shared" si="1"/>
        <v>2</v>
      </c>
    </row>
    <row r="316">
      <c r="A316" s="12" t="s">
        <v>804</v>
      </c>
      <c r="B316" s="12" t="s">
        <v>364</v>
      </c>
      <c r="C316" s="17">
        <v>33.0</v>
      </c>
      <c r="D316" s="12" t="s">
        <v>69</v>
      </c>
      <c r="E316" s="12" t="s">
        <v>177</v>
      </c>
      <c r="F316" s="12" t="s">
        <v>62</v>
      </c>
      <c r="G316" s="12" t="s">
        <v>63</v>
      </c>
      <c r="H316" s="15">
        <v>45657.0</v>
      </c>
      <c r="I316" s="17">
        <v>2.0</v>
      </c>
      <c r="J316" s="12" t="s">
        <v>40</v>
      </c>
      <c r="K316" s="12" t="s">
        <v>805</v>
      </c>
      <c r="L316" s="17">
        <v>551.0</v>
      </c>
      <c r="M316" s="17">
        <v>1.0</v>
      </c>
      <c r="N316" s="17">
        <v>2.0</v>
      </c>
      <c r="O316" s="17">
        <v>25.7</v>
      </c>
      <c r="P316" s="17">
        <v>5.0</v>
      </c>
      <c r="Q316" s="15">
        <v>45683.0</v>
      </c>
      <c r="R316" s="12"/>
      <c r="S316" s="12" t="s">
        <v>55</v>
      </c>
      <c r="T316" s="12" t="s">
        <v>104</v>
      </c>
      <c r="U316" s="17">
        <f t="shared" si="1"/>
        <v>2</v>
      </c>
    </row>
    <row r="317">
      <c r="A317" s="12" t="s">
        <v>806</v>
      </c>
      <c r="B317" s="12" t="s">
        <v>331</v>
      </c>
      <c r="C317" s="17">
        <v>68.0</v>
      </c>
      <c r="D317" s="12" t="s">
        <v>69</v>
      </c>
      <c r="E317" s="12" t="s">
        <v>177</v>
      </c>
      <c r="F317" s="12" t="s">
        <v>62</v>
      </c>
      <c r="G317" s="12" t="s">
        <v>93</v>
      </c>
      <c r="H317" s="15">
        <v>45582.0</v>
      </c>
      <c r="I317" s="17">
        <v>24.0</v>
      </c>
      <c r="J317" s="12" t="s">
        <v>53</v>
      </c>
      <c r="K317" s="12" t="s">
        <v>42</v>
      </c>
      <c r="L317" s="17">
        <v>515.0</v>
      </c>
      <c r="M317" s="17">
        <v>0.0</v>
      </c>
      <c r="N317" s="17">
        <v>2.0</v>
      </c>
      <c r="O317" s="17">
        <v>17.6</v>
      </c>
      <c r="P317" s="17">
        <v>2.7</v>
      </c>
      <c r="Q317" s="15">
        <v>45741.0</v>
      </c>
      <c r="R317" s="12"/>
      <c r="S317" s="12" t="s">
        <v>55</v>
      </c>
      <c r="T317" s="12" t="s">
        <v>66</v>
      </c>
      <c r="U317" s="17">
        <f t="shared" si="1"/>
        <v>3</v>
      </c>
    </row>
    <row r="318">
      <c r="A318" s="12" t="s">
        <v>807</v>
      </c>
      <c r="B318" s="12" t="s">
        <v>163</v>
      </c>
      <c r="C318" s="17">
        <v>66.0</v>
      </c>
      <c r="D318" s="12" t="s">
        <v>69</v>
      </c>
      <c r="E318" s="12" t="s">
        <v>187</v>
      </c>
      <c r="F318" s="12" t="s">
        <v>79</v>
      </c>
      <c r="G318" s="12" t="s">
        <v>210</v>
      </c>
      <c r="H318" s="15">
        <v>45343.0</v>
      </c>
      <c r="I318" s="17">
        <v>1.0</v>
      </c>
      <c r="J318" s="12" t="s">
        <v>40</v>
      </c>
      <c r="K318" s="12" t="s">
        <v>42</v>
      </c>
      <c r="L318" s="17">
        <v>2508.0</v>
      </c>
      <c r="M318" s="17">
        <v>0.0</v>
      </c>
      <c r="N318" s="17">
        <v>1.0</v>
      </c>
      <c r="O318" s="17">
        <v>29.2</v>
      </c>
      <c r="P318" s="17">
        <v>3.4</v>
      </c>
      <c r="Q318" s="15">
        <v>45377.0</v>
      </c>
      <c r="R318" s="12"/>
      <c r="S318" s="12" t="s">
        <v>55</v>
      </c>
      <c r="T318" s="12" t="s">
        <v>75</v>
      </c>
      <c r="U318" s="17">
        <f t="shared" si="1"/>
        <v>1</v>
      </c>
    </row>
    <row r="319">
      <c r="A319" s="12" t="s">
        <v>808</v>
      </c>
      <c r="B319" s="12" t="s">
        <v>247</v>
      </c>
      <c r="C319" s="17">
        <v>35.0</v>
      </c>
      <c r="D319" s="12" t="s">
        <v>35</v>
      </c>
      <c r="E319" s="12" t="s">
        <v>51</v>
      </c>
      <c r="F319" s="12" t="s">
        <v>192</v>
      </c>
      <c r="G319" s="12" t="s">
        <v>52</v>
      </c>
      <c r="H319" s="15">
        <v>45201.0</v>
      </c>
      <c r="I319" s="17">
        <v>21.0</v>
      </c>
      <c r="J319" s="12" t="s">
        <v>53</v>
      </c>
      <c r="K319" s="12" t="s">
        <v>81</v>
      </c>
      <c r="L319" s="17">
        <v>1042.0</v>
      </c>
      <c r="M319" s="17">
        <v>0.0</v>
      </c>
      <c r="N319" s="17">
        <v>1.0</v>
      </c>
      <c r="O319" s="17">
        <v>32.5</v>
      </c>
      <c r="P319" s="17">
        <v>3.4</v>
      </c>
      <c r="Q319" s="15">
        <v>45773.0</v>
      </c>
      <c r="R319" s="12"/>
      <c r="S319" s="12" t="s">
        <v>55</v>
      </c>
      <c r="T319" s="12" t="s">
        <v>72</v>
      </c>
      <c r="U319" s="17">
        <f t="shared" si="1"/>
        <v>1</v>
      </c>
    </row>
    <row r="320">
      <c r="A320" s="12" t="s">
        <v>809</v>
      </c>
      <c r="B320" s="12" t="s">
        <v>398</v>
      </c>
      <c r="C320" s="17">
        <v>44.0</v>
      </c>
      <c r="D320" s="12" t="s">
        <v>60</v>
      </c>
      <c r="E320" s="12" t="s">
        <v>61</v>
      </c>
      <c r="F320" s="12" t="s">
        <v>497</v>
      </c>
      <c r="G320" s="12" t="s">
        <v>39</v>
      </c>
      <c r="H320" s="15">
        <v>44793.0</v>
      </c>
      <c r="I320" s="17">
        <v>16.0</v>
      </c>
      <c r="J320" s="12" t="s">
        <v>40</v>
      </c>
      <c r="K320" s="12" t="s">
        <v>42</v>
      </c>
      <c r="L320" s="17">
        <v>2341.0</v>
      </c>
      <c r="M320" s="17">
        <v>4.0</v>
      </c>
      <c r="N320" s="17">
        <v>1.0</v>
      </c>
      <c r="O320" s="17">
        <v>39.9</v>
      </c>
      <c r="P320" s="17">
        <v>4.5</v>
      </c>
      <c r="Q320" s="15">
        <v>45209.0</v>
      </c>
      <c r="R320" s="12"/>
      <c r="S320" s="12" t="s">
        <v>55</v>
      </c>
      <c r="T320" s="12" t="s">
        <v>104</v>
      </c>
      <c r="U320" s="17">
        <f t="shared" si="1"/>
        <v>2</v>
      </c>
    </row>
    <row r="321">
      <c r="A321" s="12" t="s">
        <v>810</v>
      </c>
      <c r="B321" s="12" t="s">
        <v>132</v>
      </c>
      <c r="C321" s="17">
        <v>41.0</v>
      </c>
      <c r="D321" s="12" t="s">
        <v>85</v>
      </c>
      <c r="E321" s="12" t="s">
        <v>111</v>
      </c>
      <c r="F321" s="12" t="s">
        <v>62</v>
      </c>
      <c r="G321" s="12" t="s">
        <v>63</v>
      </c>
      <c r="H321" s="15">
        <v>45071.0</v>
      </c>
      <c r="I321" s="17">
        <v>11.0</v>
      </c>
      <c r="J321" s="12" t="s">
        <v>64</v>
      </c>
      <c r="K321" s="12" t="s">
        <v>42</v>
      </c>
      <c r="L321" s="17">
        <v>850.0</v>
      </c>
      <c r="M321" s="17">
        <v>4.0</v>
      </c>
      <c r="N321" s="17">
        <v>0.0</v>
      </c>
      <c r="O321" s="17">
        <v>8.4</v>
      </c>
      <c r="P321" s="17">
        <v>3.8</v>
      </c>
      <c r="Q321" s="15">
        <v>45401.0</v>
      </c>
      <c r="R321" s="12"/>
      <c r="S321" s="12" t="s">
        <v>55</v>
      </c>
      <c r="T321" s="12" t="s">
        <v>66</v>
      </c>
      <c r="U321" s="17">
        <f t="shared" si="1"/>
        <v>1</v>
      </c>
    </row>
    <row r="322">
      <c r="A322" s="12" t="s">
        <v>811</v>
      </c>
      <c r="B322" s="12" t="s">
        <v>68</v>
      </c>
      <c r="C322" s="17">
        <v>35.0</v>
      </c>
      <c r="D322" s="12" t="s">
        <v>69</v>
      </c>
      <c r="E322" s="12" t="s">
        <v>119</v>
      </c>
      <c r="F322" s="12" t="s">
        <v>62</v>
      </c>
      <c r="G322" s="12" t="s">
        <v>80</v>
      </c>
      <c r="H322" s="15">
        <v>45882.0</v>
      </c>
      <c r="I322" s="17">
        <v>23.0</v>
      </c>
      <c r="J322" s="12" t="s">
        <v>40</v>
      </c>
      <c r="K322" s="12" t="s">
        <v>65</v>
      </c>
      <c r="L322" s="17">
        <v>723.0</v>
      </c>
      <c r="M322" s="17">
        <v>0.0</v>
      </c>
      <c r="N322" s="17">
        <v>0.0</v>
      </c>
      <c r="O322" s="17">
        <v>11.7</v>
      </c>
      <c r="P322" s="17">
        <v>3.1</v>
      </c>
      <c r="Q322" s="15">
        <v>45913.0</v>
      </c>
      <c r="R322" s="12" t="s">
        <v>812</v>
      </c>
      <c r="S322" s="12" t="s">
        <v>45</v>
      </c>
      <c r="T322" s="12" t="s">
        <v>75</v>
      </c>
      <c r="U322" s="17">
        <f t="shared" si="1"/>
        <v>2</v>
      </c>
    </row>
    <row r="323">
      <c r="A323" s="12" t="s">
        <v>813</v>
      </c>
      <c r="B323" s="12" t="s">
        <v>145</v>
      </c>
      <c r="C323" s="17">
        <v>23.0</v>
      </c>
      <c r="D323" s="12" t="s">
        <v>60</v>
      </c>
      <c r="E323" s="12" t="s">
        <v>133</v>
      </c>
      <c r="F323" s="12" t="s">
        <v>62</v>
      </c>
      <c r="G323" s="12" t="s">
        <v>39</v>
      </c>
      <c r="H323" s="15">
        <v>45675.0</v>
      </c>
      <c r="I323" s="17">
        <v>23.0</v>
      </c>
      <c r="J323" s="12" t="s">
        <v>64</v>
      </c>
      <c r="K323" s="12" t="s">
        <v>42</v>
      </c>
      <c r="L323" s="17">
        <v>738.0</v>
      </c>
      <c r="M323" s="17">
        <v>1.0</v>
      </c>
      <c r="N323" s="17">
        <v>1.0</v>
      </c>
      <c r="O323" s="17">
        <v>2.2</v>
      </c>
      <c r="P323" s="17">
        <v>4.4</v>
      </c>
      <c r="Q323" s="15">
        <v>46298.0</v>
      </c>
      <c r="R323" s="12"/>
      <c r="S323" s="12" t="s">
        <v>55</v>
      </c>
      <c r="T323" s="12" t="s">
        <v>75</v>
      </c>
      <c r="U323" s="17">
        <f t="shared" si="1"/>
        <v>1</v>
      </c>
    </row>
    <row r="324">
      <c r="A324" s="12" t="s">
        <v>814</v>
      </c>
      <c r="B324" s="12" t="s">
        <v>312</v>
      </c>
      <c r="C324" s="17">
        <v>39.0</v>
      </c>
      <c r="D324" s="12" t="s">
        <v>60</v>
      </c>
      <c r="E324" s="12" t="s">
        <v>107</v>
      </c>
      <c r="F324" s="12" t="s">
        <v>37</v>
      </c>
      <c r="G324" s="12" t="s">
        <v>93</v>
      </c>
      <c r="H324" s="15">
        <v>45868.0</v>
      </c>
      <c r="I324" s="17">
        <v>33.0</v>
      </c>
      <c r="J324" s="12" t="s">
        <v>64</v>
      </c>
      <c r="K324" s="12" t="s">
        <v>42</v>
      </c>
      <c r="L324" s="17">
        <v>1018.0</v>
      </c>
      <c r="M324" s="17">
        <v>5.0</v>
      </c>
      <c r="N324" s="17">
        <v>1.0</v>
      </c>
      <c r="O324" s="17">
        <v>7.8</v>
      </c>
      <c r="P324" s="17">
        <v>3.4</v>
      </c>
      <c r="Q324" s="15">
        <v>46755.0</v>
      </c>
      <c r="R324" s="12"/>
      <c r="S324" s="12" t="s">
        <v>55</v>
      </c>
      <c r="T324" s="12" t="s">
        <v>66</v>
      </c>
      <c r="U324" s="17">
        <f t="shared" si="1"/>
        <v>2</v>
      </c>
    </row>
    <row r="325">
      <c r="A325" s="12" t="s">
        <v>815</v>
      </c>
      <c r="B325" s="12" t="s">
        <v>247</v>
      </c>
      <c r="C325" s="17">
        <v>21.0</v>
      </c>
      <c r="D325" s="12" t="s">
        <v>69</v>
      </c>
      <c r="E325" s="12" t="s">
        <v>119</v>
      </c>
      <c r="F325" s="12" t="s">
        <v>37</v>
      </c>
      <c r="G325" s="12" t="s">
        <v>39</v>
      </c>
      <c r="H325" s="15">
        <v>45817.0</v>
      </c>
      <c r="I325" s="17">
        <v>19.0</v>
      </c>
      <c r="J325" s="12" t="s">
        <v>40</v>
      </c>
      <c r="K325" s="12" t="s">
        <v>42</v>
      </c>
      <c r="L325" s="17">
        <v>1328.0</v>
      </c>
      <c r="M325" s="17">
        <v>4.0</v>
      </c>
      <c r="N325" s="17">
        <v>1.0</v>
      </c>
      <c r="O325" s="17">
        <v>49.2</v>
      </c>
      <c r="P325" s="17">
        <v>2.3</v>
      </c>
      <c r="Q325" s="15">
        <v>45925.0</v>
      </c>
      <c r="R325" s="12"/>
      <c r="S325" s="12" t="s">
        <v>55</v>
      </c>
      <c r="T325" s="12" t="s">
        <v>104</v>
      </c>
      <c r="U325" s="17">
        <f t="shared" si="1"/>
        <v>3</v>
      </c>
    </row>
    <row r="326">
      <c r="A326" s="12" t="s">
        <v>816</v>
      </c>
      <c r="B326" s="12" t="s">
        <v>295</v>
      </c>
      <c r="C326" s="17">
        <v>33.0</v>
      </c>
      <c r="D326" s="12" t="s">
        <v>658</v>
      </c>
      <c r="E326" s="12" t="s">
        <v>140</v>
      </c>
      <c r="F326" s="12" t="s">
        <v>62</v>
      </c>
      <c r="G326" s="12" t="s">
        <v>63</v>
      </c>
      <c r="H326" s="15">
        <v>45731.0</v>
      </c>
      <c r="I326" s="17">
        <v>42.0</v>
      </c>
      <c r="J326" s="12" t="s">
        <v>64</v>
      </c>
      <c r="K326" s="12" t="s">
        <v>81</v>
      </c>
      <c r="L326" s="12" t="s">
        <v>817</v>
      </c>
      <c r="M326" s="17">
        <v>4.0</v>
      </c>
      <c r="N326" s="17">
        <v>2.0</v>
      </c>
      <c r="O326" s="17">
        <v>15.1</v>
      </c>
      <c r="P326" s="17">
        <v>4.0</v>
      </c>
      <c r="Q326" s="15">
        <v>46949.0</v>
      </c>
      <c r="R326" s="12" t="s">
        <v>818</v>
      </c>
      <c r="S326" s="12" t="s">
        <v>45</v>
      </c>
      <c r="T326" s="12" t="s">
        <v>104</v>
      </c>
      <c r="U326" s="17">
        <f t="shared" si="1"/>
        <v>2</v>
      </c>
    </row>
    <row r="327">
      <c r="A327" s="12" t="s">
        <v>819</v>
      </c>
      <c r="B327" s="12" t="s">
        <v>820</v>
      </c>
      <c r="C327" s="17">
        <v>58.0</v>
      </c>
      <c r="D327" s="12" t="s">
        <v>69</v>
      </c>
      <c r="E327" s="12" t="s">
        <v>119</v>
      </c>
      <c r="F327" s="12" t="s">
        <v>79</v>
      </c>
      <c r="G327" s="12" t="s">
        <v>93</v>
      </c>
      <c r="H327" s="15">
        <v>44725.0</v>
      </c>
      <c r="I327" s="17">
        <v>30.0</v>
      </c>
      <c r="J327" s="12" t="s">
        <v>53</v>
      </c>
      <c r="K327" s="12" t="s">
        <v>81</v>
      </c>
      <c r="L327" s="17">
        <v>3141.0</v>
      </c>
      <c r="M327" s="17">
        <v>1.0</v>
      </c>
      <c r="N327" s="17">
        <v>0.0</v>
      </c>
      <c r="O327" s="17">
        <v>40.0</v>
      </c>
      <c r="P327" s="17">
        <v>4.6</v>
      </c>
      <c r="Q327" s="15">
        <v>45496.0</v>
      </c>
      <c r="R327" s="12" t="s">
        <v>821</v>
      </c>
      <c r="S327" s="12" t="s">
        <v>45</v>
      </c>
      <c r="T327" s="12" t="s">
        <v>104</v>
      </c>
      <c r="U327" s="17">
        <f t="shared" si="1"/>
        <v>4</v>
      </c>
    </row>
    <row r="328">
      <c r="A328" s="12" t="s">
        <v>822</v>
      </c>
      <c r="B328" s="12" t="s">
        <v>362</v>
      </c>
      <c r="C328" s="17">
        <v>55.0</v>
      </c>
      <c r="D328" s="12" t="s">
        <v>35</v>
      </c>
      <c r="E328" s="12" t="s">
        <v>161</v>
      </c>
      <c r="F328" s="12" t="s">
        <v>62</v>
      </c>
      <c r="G328" s="12" t="s">
        <v>39</v>
      </c>
      <c r="H328" s="15">
        <v>45625.0</v>
      </c>
      <c r="I328" s="17">
        <v>7.0</v>
      </c>
      <c r="J328" s="12" t="s">
        <v>64</v>
      </c>
      <c r="K328" s="12" t="s">
        <v>42</v>
      </c>
      <c r="L328" s="17">
        <v>617.0</v>
      </c>
      <c r="M328" s="17">
        <v>3.0</v>
      </c>
      <c r="N328" s="17">
        <v>2.0</v>
      </c>
      <c r="O328" s="17">
        <v>13.2</v>
      </c>
      <c r="P328" s="17">
        <v>4.9</v>
      </c>
      <c r="Q328" s="15">
        <v>45683.0</v>
      </c>
      <c r="R328" s="12"/>
      <c r="S328" s="12" t="s">
        <v>55</v>
      </c>
      <c r="T328" s="12" t="s">
        <v>66</v>
      </c>
      <c r="U328" s="17">
        <f t="shared" si="1"/>
        <v>3</v>
      </c>
    </row>
    <row r="329">
      <c r="A329" s="12" t="s">
        <v>823</v>
      </c>
      <c r="B329" s="12" t="s">
        <v>106</v>
      </c>
      <c r="C329" s="17">
        <v>54.0</v>
      </c>
      <c r="D329" s="12" t="s">
        <v>85</v>
      </c>
      <c r="E329" s="12" t="s">
        <v>292</v>
      </c>
      <c r="F329" s="12" t="s">
        <v>37</v>
      </c>
      <c r="G329" s="12" t="s">
        <v>80</v>
      </c>
      <c r="H329" s="15">
        <v>45295.0</v>
      </c>
      <c r="I329" s="17">
        <v>44.0</v>
      </c>
      <c r="J329" s="12" t="s">
        <v>53</v>
      </c>
      <c r="K329" s="12" t="s">
        <v>81</v>
      </c>
      <c r="L329" s="17">
        <v>1436.0</v>
      </c>
      <c r="M329" s="17">
        <v>2.0</v>
      </c>
      <c r="N329" s="17">
        <v>2.0</v>
      </c>
      <c r="O329" s="17">
        <v>31.3</v>
      </c>
      <c r="P329" s="17">
        <v>5.0</v>
      </c>
      <c r="Q329" s="15">
        <v>45518.0</v>
      </c>
      <c r="R329" s="12"/>
      <c r="S329" s="12" t="s">
        <v>55</v>
      </c>
      <c r="T329" s="12" t="s">
        <v>72</v>
      </c>
      <c r="U329" s="17">
        <f t="shared" si="1"/>
        <v>1</v>
      </c>
    </row>
    <row r="330">
      <c r="A330" s="12" t="s">
        <v>824</v>
      </c>
      <c r="B330" s="12" t="s">
        <v>172</v>
      </c>
      <c r="C330" s="17">
        <v>55.0</v>
      </c>
      <c r="D330" s="12" t="s">
        <v>69</v>
      </c>
      <c r="E330" s="12" t="s">
        <v>119</v>
      </c>
      <c r="F330" s="12" t="s">
        <v>79</v>
      </c>
      <c r="G330" s="12" t="s">
        <v>210</v>
      </c>
      <c r="H330" s="15">
        <v>45688.0</v>
      </c>
      <c r="I330" s="17">
        <v>21.0</v>
      </c>
      <c r="J330" s="12" t="s">
        <v>64</v>
      </c>
      <c r="K330" s="12" t="s">
        <v>42</v>
      </c>
      <c r="L330" s="17">
        <v>3295.0</v>
      </c>
      <c r="M330" s="17">
        <v>3.0</v>
      </c>
      <c r="N330" s="17">
        <v>1.0</v>
      </c>
      <c r="O330" s="17">
        <v>36.9</v>
      </c>
      <c r="P330" s="17">
        <v>4.6</v>
      </c>
      <c r="Q330" s="15">
        <v>46138.0</v>
      </c>
      <c r="R330" s="12" t="s">
        <v>825</v>
      </c>
      <c r="S330" s="12" t="s">
        <v>45</v>
      </c>
      <c r="T330" s="12" t="s">
        <v>75</v>
      </c>
      <c r="U330" s="17">
        <f t="shared" si="1"/>
        <v>1</v>
      </c>
    </row>
    <row r="331">
      <c r="A331" s="12" t="s">
        <v>196</v>
      </c>
      <c r="B331" s="12" t="s">
        <v>152</v>
      </c>
      <c r="C331" s="17">
        <v>38.0</v>
      </c>
      <c r="D331" s="12" t="s">
        <v>60</v>
      </c>
      <c r="E331" s="12" t="s">
        <v>107</v>
      </c>
      <c r="F331" s="12" t="s">
        <v>79</v>
      </c>
      <c r="G331" s="12" t="s">
        <v>120</v>
      </c>
      <c r="H331" s="15">
        <v>45375.0</v>
      </c>
      <c r="I331" s="17">
        <v>1.0</v>
      </c>
      <c r="J331" s="12" t="s">
        <v>40</v>
      </c>
      <c r="K331" s="12" t="s">
        <v>42</v>
      </c>
      <c r="L331" s="17">
        <v>2032.0</v>
      </c>
      <c r="M331" s="17">
        <v>0.0</v>
      </c>
      <c r="N331" s="17">
        <v>0.0</v>
      </c>
      <c r="O331" s="17">
        <v>45.6</v>
      </c>
      <c r="P331" s="17">
        <v>4.7</v>
      </c>
      <c r="Q331" s="15">
        <v>45418.0</v>
      </c>
      <c r="R331" s="12" t="s">
        <v>826</v>
      </c>
      <c r="S331" s="12" t="s">
        <v>827</v>
      </c>
      <c r="T331" s="12" t="s">
        <v>72</v>
      </c>
      <c r="U331" s="17">
        <f t="shared" si="1"/>
        <v>4</v>
      </c>
    </row>
    <row r="332">
      <c r="A332" s="12" t="s">
        <v>828</v>
      </c>
      <c r="B332" s="12" t="s">
        <v>420</v>
      </c>
      <c r="C332" s="17">
        <v>24.0</v>
      </c>
      <c r="D332" s="12" t="s">
        <v>60</v>
      </c>
      <c r="E332" s="12" t="s">
        <v>97</v>
      </c>
      <c r="F332" s="12" t="s">
        <v>62</v>
      </c>
      <c r="G332" s="12" t="s">
        <v>120</v>
      </c>
      <c r="H332" s="15">
        <v>45290.0</v>
      </c>
      <c r="I332" s="17">
        <v>10.0</v>
      </c>
      <c r="J332" s="12" t="s">
        <v>64</v>
      </c>
      <c r="K332" s="12" t="s">
        <v>65</v>
      </c>
      <c r="L332" s="17">
        <v>686.0</v>
      </c>
      <c r="M332" s="17">
        <v>1.0</v>
      </c>
      <c r="N332" s="17">
        <v>1.0</v>
      </c>
      <c r="O332" s="17">
        <v>27.2</v>
      </c>
      <c r="P332" s="17">
        <v>3.2</v>
      </c>
      <c r="Q332" s="15">
        <v>45419.0</v>
      </c>
      <c r="R332" s="12"/>
      <c r="S332" s="12" t="s">
        <v>55</v>
      </c>
      <c r="T332" s="12" t="s">
        <v>66</v>
      </c>
      <c r="U332" s="17">
        <f t="shared" si="1"/>
        <v>4</v>
      </c>
    </row>
    <row r="333">
      <c r="A333" s="12" t="s">
        <v>829</v>
      </c>
      <c r="B333" s="12" t="s">
        <v>202</v>
      </c>
      <c r="C333" s="17">
        <v>24.0</v>
      </c>
      <c r="D333" s="12" t="s">
        <v>35</v>
      </c>
      <c r="E333" s="12" t="s">
        <v>161</v>
      </c>
      <c r="F333" s="12" t="s">
        <v>37</v>
      </c>
      <c r="G333" s="12" t="s">
        <v>39</v>
      </c>
      <c r="H333" s="15">
        <v>45561.0</v>
      </c>
      <c r="I333" s="17">
        <v>45.0</v>
      </c>
      <c r="J333" s="12" t="s">
        <v>40</v>
      </c>
      <c r="K333" s="12" t="s">
        <v>65</v>
      </c>
      <c r="L333" s="17">
        <v>1608.0</v>
      </c>
      <c r="M333" s="17">
        <v>0.0</v>
      </c>
      <c r="N333" s="17">
        <v>3.0</v>
      </c>
      <c r="O333" s="17">
        <v>23.7</v>
      </c>
      <c r="P333" s="17">
        <v>4.5</v>
      </c>
      <c r="Q333" s="15">
        <v>46186.0</v>
      </c>
      <c r="R333" s="12"/>
      <c r="S333" s="12" t="s">
        <v>55</v>
      </c>
      <c r="T333" s="12" t="s">
        <v>72</v>
      </c>
      <c r="U333" s="17">
        <f t="shared" si="1"/>
        <v>1</v>
      </c>
    </row>
    <row r="334">
      <c r="A334" s="12" t="s">
        <v>830</v>
      </c>
      <c r="B334" s="12" t="s">
        <v>152</v>
      </c>
      <c r="C334" s="17">
        <v>39.0</v>
      </c>
      <c r="D334" s="12" t="s">
        <v>85</v>
      </c>
      <c r="E334" s="12" t="s">
        <v>292</v>
      </c>
      <c r="F334" s="12" t="s">
        <v>79</v>
      </c>
      <c r="G334" s="12" t="s">
        <v>39</v>
      </c>
      <c r="H334" s="15">
        <v>45898.0</v>
      </c>
      <c r="I334" s="17">
        <v>39.0</v>
      </c>
      <c r="J334" s="12" t="s">
        <v>64</v>
      </c>
      <c r="K334" s="12" t="s">
        <v>81</v>
      </c>
      <c r="L334" s="17">
        <v>3293.0</v>
      </c>
      <c r="M334" s="17">
        <v>4.0</v>
      </c>
      <c r="N334" s="17">
        <v>1.0</v>
      </c>
      <c r="O334" s="17">
        <v>44.4</v>
      </c>
      <c r="P334" s="17">
        <v>4.4</v>
      </c>
      <c r="Q334" s="15">
        <v>46691.0</v>
      </c>
      <c r="R334" s="12" t="s">
        <v>831</v>
      </c>
      <c r="S334" s="12" t="s">
        <v>45</v>
      </c>
      <c r="T334" s="12" t="s">
        <v>47</v>
      </c>
      <c r="U334" s="17">
        <f t="shared" si="1"/>
        <v>1</v>
      </c>
    </row>
    <row r="335">
      <c r="A335" s="12" t="s">
        <v>832</v>
      </c>
      <c r="B335" s="12" t="s">
        <v>139</v>
      </c>
      <c r="C335" s="17">
        <v>28.0</v>
      </c>
      <c r="D335" s="12" t="s">
        <v>69</v>
      </c>
      <c r="E335" s="12" t="s">
        <v>187</v>
      </c>
      <c r="F335" s="12" t="s">
        <v>62</v>
      </c>
      <c r="G335" s="12" t="s">
        <v>52</v>
      </c>
      <c r="H335" s="15">
        <v>45366.0</v>
      </c>
      <c r="I335" s="17">
        <v>29.0</v>
      </c>
      <c r="J335" s="12" t="s">
        <v>40</v>
      </c>
      <c r="K335" s="12" t="s">
        <v>65</v>
      </c>
      <c r="L335" s="17">
        <v>793.0</v>
      </c>
      <c r="M335" s="17">
        <v>0.0</v>
      </c>
      <c r="N335" s="17">
        <v>0.0</v>
      </c>
      <c r="O335" s="17">
        <v>4.9</v>
      </c>
      <c r="P335" s="17">
        <v>2.2</v>
      </c>
      <c r="Q335" s="15">
        <v>45603.0</v>
      </c>
      <c r="R335" s="12" t="s">
        <v>833</v>
      </c>
      <c r="S335" s="12" t="s">
        <v>45</v>
      </c>
      <c r="T335" s="12" t="s">
        <v>104</v>
      </c>
      <c r="U335" s="17">
        <f t="shared" si="1"/>
        <v>1</v>
      </c>
    </row>
    <row r="336">
      <c r="A336" s="12" t="s">
        <v>756</v>
      </c>
      <c r="B336" s="12" t="s">
        <v>316</v>
      </c>
      <c r="C336" s="17">
        <v>44.0</v>
      </c>
      <c r="D336" s="12" t="s">
        <v>35</v>
      </c>
      <c r="E336" s="12" t="s">
        <v>140</v>
      </c>
      <c r="F336" s="12" t="s">
        <v>62</v>
      </c>
      <c r="G336" s="12" t="s">
        <v>120</v>
      </c>
      <c r="H336" s="15">
        <v>45589.0</v>
      </c>
      <c r="I336" s="17">
        <v>28.0</v>
      </c>
      <c r="J336" s="12" t="s">
        <v>64</v>
      </c>
      <c r="K336" s="12" t="s">
        <v>81</v>
      </c>
      <c r="L336" s="17">
        <v>565.0</v>
      </c>
      <c r="M336" s="17">
        <v>1.0</v>
      </c>
      <c r="N336" s="17">
        <v>2.0</v>
      </c>
      <c r="O336" s="17">
        <v>18.9</v>
      </c>
      <c r="P336" s="17">
        <v>3.6</v>
      </c>
      <c r="Q336" s="15">
        <v>46091.0</v>
      </c>
      <c r="R336" s="12" t="s">
        <v>834</v>
      </c>
      <c r="S336" s="12" t="s">
        <v>45</v>
      </c>
      <c r="T336" s="12" t="s">
        <v>47</v>
      </c>
      <c r="U336" s="17">
        <f t="shared" si="1"/>
        <v>2</v>
      </c>
    </row>
    <row r="337">
      <c r="A337" s="12" t="s">
        <v>835</v>
      </c>
      <c r="B337" s="12" t="s">
        <v>411</v>
      </c>
      <c r="C337" s="17">
        <v>41.0</v>
      </c>
      <c r="D337" s="12" t="s">
        <v>69</v>
      </c>
      <c r="E337" s="12" t="s">
        <v>187</v>
      </c>
      <c r="F337" s="12" t="s">
        <v>62</v>
      </c>
      <c r="G337" s="12" t="s">
        <v>93</v>
      </c>
      <c r="H337" s="15">
        <v>45442.0</v>
      </c>
      <c r="I337" s="17">
        <v>0.0</v>
      </c>
      <c r="J337" s="12" t="s">
        <v>40</v>
      </c>
      <c r="K337" s="12" t="s">
        <v>65</v>
      </c>
      <c r="L337" s="17">
        <v>793.0</v>
      </c>
      <c r="M337" s="17">
        <v>2.0</v>
      </c>
      <c r="N337" s="17">
        <v>0.0</v>
      </c>
      <c r="O337" s="17">
        <v>18.0</v>
      </c>
      <c r="P337" s="17">
        <v>3.0</v>
      </c>
      <c r="Q337" s="15">
        <v>45875.0</v>
      </c>
      <c r="R337" s="12"/>
      <c r="S337" s="12" t="s">
        <v>55</v>
      </c>
      <c r="T337" s="12" t="s">
        <v>72</v>
      </c>
      <c r="U337" s="17">
        <f t="shared" si="1"/>
        <v>2</v>
      </c>
    </row>
    <row r="338">
      <c r="A338" s="12" t="s">
        <v>836</v>
      </c>
      <c r="B338" s="12" t="s">
        <v>362</v>
      </c>
      <c r="C338" s="17">
        <v>62.0</v>
      </c>
      <c r="D338" s="12" t="s">
        <v>35</v>
      </c>
      <c r="E338" s="12" t="s">
        <v>161</v>
      </c>
      <c r="F338" s="12" t="s">
        <v>62</v>
      </c>
      <c r="G338" s="12" t="s">
        <v>210</v>
      </c>
      <c r="H338" s="15">
        <v>45824.0</v>
      </c>
      <c r="I338" s="17">
        <v>29.0</v>
      </c>
      <c r="J338" s="12" t="s">
        <v>53</v>
      </c>
      <c r="K338" s="12" t="s">
        <v>42</v>
      </c>
      <c r="L338" s="17">
        <v>724.0</v>
      </c>
      <c r="M338" s="17">
        <v>1.0</v>
      </c>
      <c r="N338" s="17">
        <v>2.0</v>
      </c>
      <c r="O338" s="17">
        <v>5.1</v>
      </c>
      <c r="P338" s="17">
        <v>3.0</v>
      </c>
      <c r="Q338" s="15">
        <v>46671.0</v>
      </c>
      <c r="R338" s="12"/>
      <c r="S338" s="12" t="s">
        <v>55</v>
      </c>
      <c r="T338" s="12" t="s">
        <v>104</v>
      </c>
      <c r="U338" s="17">
        <f t="shared" si="1"/>
        <v>1</v>
      </c>
    </row>
    <row r="339">
      <c r="A339" s="12" t="s">
        <v>837</v>
      </c>
      <c r="B339" s="12" t="s">
        <v>295</v>
      </c>
      <c r="C339" s="17">
        <v>32.0</v>
      </c>
      <c r="D339" s="12" t="s">
        <v>35</v>
      </c>
      <c r="E339" s="12" t="s">
        <v>51</v>
      </c>
      <c r="F339" s="12" t="s">
        <v>79</v>
      </c>
      <c r="G339" s="12" t="s">
        <v>39</v>
      </c>
      <c r="H339" s="15">
        <v>45151.0</v>
      </c>
      <c r="I339" s="17">
        <v>1.0</v>
      </c>
      <c r="J339" s="12" t="s">
        <v>64</v>
      </c>
      <c r="K339" s="12" t="s">
        <v>81</v>
      </c>
      <c r="L339" s="17">
        <v>2920.0</v>
      </c>
      <c r="M339" s="17">
        <v>1.0</v>
      </c>
      <c r="N339" s="17">
        <v>3.0</v>
      </c>
      <c r="O339" s="17">
        <v>35.8</v>
      </c>
      <c r="P339" s="17">
        <v>4.3</v>
      </c>
      <c r="Q339" s="15">
        <v>45191.0</v>
      </c>
      <c r="R339" s="12"/>
      <c r="S339" s="12" t="s">
        <v>55</v>
      </c>
      <c r="T339" s="12" t="s">
        <v>47</v>
      </c>
      <c r="U339" s="17">
        <f t="shared" si="1"/>
        <v>1</v>
      </c>
    </row>
    <row r="340">
      <c r="A340" s="12" t="s">
        <v>838</v>
      </c>
      <c r="B340" s="12" t="s">
        <v>179</v>
      </c>
      <c r="C340" s="17">
        <v>35.0</v>
      </c>
      <c r="D340" s="12" t="s">
        <v>60</v>
      </c>
      <c r="E340" s="12" t="s">
        <v>133</v>
      </c>
      <c r="F340" s="12" t="s">
        <v>37</v>
      </c>
      <c r="G340" s="12" t="s">
        <v>39</v>
      </c>
      <c r="H340" s="15">
        <v>45985.0</v>
      </c>
      <c r="I340" s="17">
        <v>45.0</v>
      </c>
      <c r="J340" s="12" t="s">
        <v>40</v>
      </c>
      <c r="K340" s="12" t="s">
        <v>42</v>
      </c>
      <c r="L340" s="17">
        <v>1595.0</v>
      </c>
      <c r="M340" s="17">
        <v>3.0</v>
      </c>
      <c r="N340" s="17">
        <v>1.0</v>
      </c>
      <c r="O340" s="17">
        <v>21.2</v>
      </c>
      <c r="P340" s="17">
        <v>4.0</v>
      </c>
      <c r="Q340" s="15">
        <v>47353.0</v>
      </c>
      <c r="R340" s="12"/>
      <c r="S340" s="12" t="s">
        <v>55</v>
      </c>
      <c r="T340" s="12" t="s">
        <v>72</v>
      </c>
      <c r="U340" s="17">
        <f t="shared" si="1"/>
        <v>1</v>
      </c>
    </row>
    <row r="341">
      <c r="A341" s="12" t="s">
        <v>839</v>
      </c>
      <c r="B341" s="12" t="s">
        <v>331</v>
      </c>
      <c r="C341" s="17">
        <v>60.0</v>
      </c>
      <c r="D341" s="12" t="s">
        <v>60</v>
      </c>
      <c r="E341" s="12" t="s">
        <v>61</v>
      </c>
      <c r="F341" s="12" t="s">
        <v>716</v>
      </c>
      <c r="G341" s="12" t="s">
        <v>63</v>
      </c>
      <c r="H341" s="15">
        <v>44698.0</v>
      </c>
      <c r="I341" s="17">
        <v>25.0</v>
      </c>
      <c r="J341" s="12" t="s">
        <v>53</v>
      </c>
      <c r="K341" s="12" t="s">
        <v>42</v>
      </c>
      <c r="L341" s="17">
        <v>1674.0</v>
      </c>
      <c r="M341" s="17">
        <v>5.0</v>
      </c>
      <c r="N341" s="17">
        <v>1.0</v>
      </c>
      <c r="O341" s="17">
        <v>19.2</v>
      </c>
      <c r="P341" s="17">
        <v>4.4</v>
      </c>
      <c r="Q341" s="15">
        <v>44818.0</v>
      </c>
      <c r="R341" s="12"/>
      <c r="S341" s="12" t="s">
        <v>55</v>
      </c>
      <c r="T341" s="12" t="s">
        <v>75</v>
      </c>
      <c r="U341" s="17">
        <f t="shared" si="1"/>
        <v>1</v>
      </c>
    </row>
    <row r="342">
      <c r="A342" s="12" t="s">
        <v>840</v>
      </c>
      <c r="B342" s="12" t="s">
        <v>132</v>
      </c>
      <c r="C342" s="17">
        <v>34.0</v>
      </c>
      <c r="D342" s="12" t="s">
        <v>35</v>
      </c>
      <c r="E342" s="12" t="s">
        <v>161</v>
      </c>
      <c r="F342" s="12" t="s">
        <v>37</v>
      </c>
      <c r="G342" s="12" t="s">
        <v>80</v>
      </c>
      <c r="H342" s="15">
        <v>45650.0</v>
      </c>
      <c r="I342" s="17">
        <v>6.0</v>
      </c>
      <c r="J342" s="12" t="s">
        <v>64</v>
      </c>
      <c r="K342" s="12" t="s">
        <v>65</v>
      </c>
      <c r="L342" s="17">
        <v>1467.0</v>
      </c>
      <c r="M342" s="17">
        <v>0.0</v>
      </c>
      <c r="N342" s="17">
        <v>1.0</v>
      </c>
      <c r="O342" s="17">
        <v>13.3</v>
      </c>
      <c r="P342" s="17">
        <v>3.7</v>
      </c>
      <c r="Q342" s="15">
        <v>45842.0</v>
      </c>
      <c r="R342" s="12"/>
      <c r="S342" s="12" t="s">
        <v>55</v>
      </c>
      <c r="T342" s="12" t="s">
        <v>72</v>
      </c>
      <c r="U342" s="17">
        <f t="shared" si="1"/>
        <v>1</v>
      </c>
    </row>
    <row r="343">
      <c r="A343" s="12" t="s">
        <v>692</v>
      </c>
      <c r="B343" s="12" t="s">
        <v>139</v>
      </c>
      <c r="C343" s="17">
        <v>20.0</v>
      </c>
      <c r="D343" s="12" t="s">
        <v>85</v>
      </c>
      <c r="E343" s="12" t="s">
        <v>111</v>
      </c>
      <c r="F343" s="12" t="s">
        <v>62</v>
      </c>
      <c r="G343" s="12" t="s">
        <v>52</v>
      </c>
      <c r="H343" s="15">
        <v>45282.0</v>
      </c>
      <c r="I343" s="17">
        <v>23.0</v>
      </c>
      <c r="J343" s="12" t="s">
        <v>64</v>
      </c>
      <c r="K343" s="12" t="s">
        <v>65</v>
      </c>
      <c r="L343" s="17">
        <v>619.0</v>
      </c>
      <c r="M343" s="17">
        <v>0.0</v>
      </c>
      <c r="N343" s="17">
        <v>1.0</v>
      </c>
      <c r="O343" s="17">
        <v>11.4</v>
      </c>
      <c r="P343" s="17">
        <v>4.7</v>
      </c>
      <c r="Q343" s="15">
        <v>45355.0</v>
      </c>
      <c r="R343" s="12"/>
      <c r="S343" s="12" t="s">
        <v>55</v>
      </c>
      <c r="T343" s="12" t="s">
        <v>47</v>
      </c>
      <c r="U343" s="17">
        <f t="shared" si="1"/>
        <v>2</v>
      </c>
    </row>
    <row r="344">
      <c r="A344" s="12" t="s">
        <v>841</v>
      </c>
      <c r="B344" s="12" t="s">
        <v>459</v>
      </c>
      <c r="C344" s="17">
        <v>46.0</v>
      </c>
      <c r="D344" s="12" t="s">
        <v>60</v>
      </c>
      <c r="E344" s="12" t="s">
        <v>133</v>
      </c>
      <c r="F344" s="12" t="s">
        <v>37</v>
      </c>
      <c r="G344" s="12" t="s">
        <v>63</v>
      </c>
      <c r="H344" s="15">
        <v>45344.0</v>
      </c>
      <c r="I344" s="17">
        <v>34.0</v>
      </c>
      <c r="J344" s="12" t="s">
        <v>53</v>
      </c>
      <c r="K344" s="12" t="s">
        <v>81</v>
      </c>
      <c r="L344" s="17">
        <v>1639.0</v>
      </c>
      <c r="M344" s="17">
        <v>0.0</v>
      </c>
      <c r="N344" s="17">
        <v>1.0</v>
      </c>
      <c r="O344" s="17">
        <v>35.6</v>
      </c>
      <c r="P344" s="17">
        <v>2.8</v>
      </c>
      <c r="Q344" s="15">
        <v>45819.0</v>
      </c>
      <c r="R344" s="12" t="s">
        <v>842</v>
      </c>
      <c r="S344" s="12" t="s">
        <v>45</v>
      </c>
      <c r="T344" s="12" t="s">
        <v>72</v>
      </c>
      <c r="U344" s="17">
        <f t="shared" si="1"/>
        <v>3</v>
      </c>
    </row>
    <row r="345">
      <c r="A345" s="12" t="s">
        <v>723</v>
      </c>
      <c r="B345" s="12" t="s">
        <v>206</v>
      </c>
      <c r="C345" s="12"/>
      <c r="D345" s="12" t="s">
        <v>69</v>
      </c>
      <c r="E345" s="12" t="s">
        <v>187</v>
      </c>
      <c r="F345" s="12" t="s">
        <v>37</v>
      </c>
      <c r="G345" s="12" t="s">
        <v>80</v>
      </c>
      <c r="H345" s="15">
        <v>45670.0</v>
      </c>
      <c r="I345" s="17">
        <v>44.0</v>
      </c>
      <c r="J345" s="12" t="s">
        <v>64</v>
      </c>
      <c r="K345" s="12" t="s">
        <v>42</v>
      </c>
      <c r="L345" s="17">
        <v>1315.0</v>
      </c>
      <c r="M345" s="17">
        <v>1.0</v>
      </c>
      <c r="N345" s="17">
        <v>0.0</v>
      </c>
      <c r="O345" s="17">
        <v>34.6</v>
      </c>
      <c r="P345" s="17">
        <v>2.9</v>
      </c>
      <c r="Q345" s="15">
        <v>46752.0</v>
      </c>
      <c r="R345" s="12" t="s">
        <v>843</v>
      </c>
      <c r="S345" s="12" t="s">
        <v>45</v>
      </c>
      <c r="T345" s="12" t="s">
        <v>72</v>
      </c>
      <c r="U345" s="17">
        <f t="shared" si="1"/>
        <v>3</v>
      </c>
    </row>
    <row r="346">
      <c r="A346" s="12" t="s">
        <v>844</v>
      </c>
      <c r="B346" s="12" t="s">
        <v>160</v>
      </c>
      <c r="C346" s="17">
        <v>25.0</v>
      </c>
      <c r="D346" s="12" t="s">
        <v>35</v>
      </c>
      <c r="E346" s="12" t="s">
        <v>51</v>
      </c>
      <c r="F346" s="12" t="s">
        <v>62</v>
      </c>
      <c r="G346" s="12" t="s">
        <v>39</v>
      </c>
      <c r="H346" s="15">
        <v>44622.0</v>
      </c>
      <c r="I346" s="17">
        <v>21.0</v>
      </c>
      <c r="J346" s="12" t="s">
        <v>40</v>
      </c>
      <c r="K346" s="12" t="s">
        <v>42</v>
      </c>
      <c r="L346" s="17">
        <v>710.0</v>
      </c>
      <c r="M346" s="17">
        <v>3.0</v>
      </c>
      <c r="N346" s="17">
        <v>1.0</v>
      </c>
      <c r="O346" s="17">
        <v>23.8</v>
      </c>
      <c r="P346" s="17">
        <v>3.3</v>
      </c>
      <c r="Q346" s="15">
        <v>45085.0</v>
      </c>
      <c r="R346" s="12" t="s">
        <v>845</v>
      </c>
      <c r="S346" s="12" t="s">
        <v>45</v>
      </c>
      <c r="T346" s="12" t="s">
        <v>104</v>
      </c>
      <c r="U346" s="17">
        <f t="shared" si="1"/>
        <v>4</v>
      </c>
    </row>
    <row r="347">
      <c r="A347" s="12" t="s">
        <v>846</v>
      </c>
      <c r="B347" s="12" t="s">
        <v>645</v>
      </c>
      <c r="C347" s="17">
        <v>64.0</v>
      </c>
      <c r="D347" s="12" t="s">
        <v>60</v>
      </c>
      <c r="E347" s="12" t="s">
        <v>97</v>
      </c>
      <c r="F347" s="12" t="s">
        <v>37</v>
      </c>
      <c r="G347" s="12" t="s">
        <v>39</v>
      </c>
      <c r="H347" s="15">
        <v>45969.0</v>
      </c>
      <c r="I347" s="17">
        <v>2.0</v>
      </c>
      <c r="J347" s="12" t="s">
        <v>64</v>
      </c>
      <c r="K347" s="12" t="s">
        <v>65</v>
      </c>
      <c r="L347" s="17">
        <v>1797.0</v>
      </c>
      <c r="M347" s="17">
        <v>3.0</v>
      </c>
      <c r="N347" s="17">
        <v>0.0</v>
      </c>
      <c r="O347" s="17">
        <v>27.5</v>
      </c>
      <c r="P347" s="17">
        <v>5.0</v>
      </c>
      <c r="Q347" s="15">
        <v>45996.0</v>
      </c>
      <c r="R347" s="12"/>
      <c r="S347" s="12" t="s">
        <v>55</v>
      </c>
      <c r="T347" s="12" t="s">
        <v>47</v>
      </c>
      <c r="U347" s="17">
        <f t="shared" si="1"/>
        <v>2</v>
      </c>
    </row>
    <row r="348">
      <c r="A348" s="12" t="s">
        <v>815</v>
      </c>
      <c r="B348" s="12" t="s">
        <v>362</v>
      </c>
      <c r="C348" s="17">
        <v>67.0</v>
      </c>
      <c r="D348" s="12" t="s">
        <v>85</v>
      </c>
      <c r="E348" s="12" t="s">
        <v>87</v>
      </c>
      <c r="F348" s="12" t="s">
        <v>62</v>
      </c>
      <c r="G348" s="12" t="s">
        <v>39</v>
      </c>
      <c r="H348" s="15">
        <v>45025.0</v>
      </c>
      <c r="I348" s="17">
        <v>3.0</v>
      </c>
      <c r="J348" s="12" t="s">
        <v>40</v>
      </c>
      <c r="K348" s="12" t="s">
        <v>42</v>
      </c>
      <c r="L348" s="17">
        <v>506.0</v>
      </c>
      <c r="M348" s="17">
        <v>5.0</v>
      </c>
      <c r="N348" s="17">
        <v>2.0</v>
      </c>
      <c r="O348" s="17">
        <v>25.7</v>
      </c>
      <c r="P348" s="17">
        <v>4.8</v>
      </c>
      <c r="Q348" s="15">
        <v>45087.0</v>
      </c>
      <c r="R348" s="12"/>
      <c r="S348" s="12" t="s">
        <v>55</v>
      </c>
      <c r="T348" s="12" t="s">
        <v>47</v>
      </c>
      <c r="U348" s="17">
        <f t="shared" si="1"/>
        <v>3</v>
      </c>
    </row>
    <row r="349">
      <c r="A349" s="12" t="s">
        <v>847</v>
      </c>
      <c r="B349" s="12" t="s">
        <v>633</v>
      </c>
      <c r="C349" s="17">
        <v>58.0</v>
      </c>
      <c r="D349" s="12" t="s">
        <v>85</v>
      </c>
      <c r="E349" s="12" t="s">
        <v>92</v>
      </c>
      <c r="F349" s="12" t="s">
        <v>79</v>
      </c>
      <c r="G349" s="12" t="s">
        <v>39</v>
      </c>
      <c r="H349" s="15">
        <v>45437.0</v>
      </c>
      <c r="I349" s="17">
        <v>26.0</v>
      </c>
      <c r="J349" s="12" t="s">
        <v>64</v>
      </c>
      <c r="K349" s="12" t="s">
        <v>81</v>
      </c>
      <c r="L349" s="17">
        <v>3687.0</v>
      </c>
      <c r="M349" s="17">
        <v>2.0</v>
      </c>
      <c r="N349" s="17">
        <v>0.0</v>
      </c>
      <c r="O349" s="17">
        <v>41.3</v>
      </c>
      <c r="P349" s="17">
        <v>3.6</v>
      </c>
      <c r="Q349" s="15">
        <v>45836.0</v>
      </c>
      <c r="R349" s="12" t="s">
        <v>848</v>
      </c>
      <c r="S349" s="12" t="s">
        <v>45</v>
      </c>
      <c r="T349" s="12" t="s">
        <v>66</v>
      </c>
      <c r="U349" s="17">
        <f t="shared" si="1"/>
        <v>1</v>
      </c>
    </row>
    <row r="350">
      <c r="A350" s="12" t="s">
        <v>849</v>
      </c>
      <c r="B350" s="12" t="s">
        <v>308</v>
      </c>
      <c r="C350" s="17">
        <v>31.0</v>
      </c>
      <c r="D350" s="12" t="s">
        <v>35</v>
      </c>
      <c r="E350" s="12" t="s">
        <v>36</v>
      </c>
      <c r="F350" s="12" t="s">
        <v>37</v>
      </c>
      <c r="G350" s="12" t="s">
        <v>93</v>
      </c>
      <c r="H350" s="15">
        <v>44648.0</v>
      </c>
      <c r="I350" s="17">
        <v>16.0</v>
      </c>
      <c r="J350" s="12" t="s">
        <v>53</v>
      </c>
      <c r="K350" s="12" t="s">
        <v>65</v>
      </c>
      <c r="L350" s="17">
        <v>1751.0</v>
      </c>
      <c r="M350" s="17">
        <v>0.0</v>
      </c>
      <c r="N350" s="17">
        <v>1.0</v>
      </c>
      <c r="O350" s="17">
        <v>16.8</v>
      </c>
      <c r="P350" s="17">
        <v>2.4</v>
      </c>
      <c r="Q350" s="15">
        <v>44943.0</v>
      </c>
      <c r="R350" s="12"/>
      <c r="S350" s="12" t="s">
        <v>55</v>
      </c>
      <c r="T350" s="12" t="s">
        <v>75</v>
      </c>
      <c r="U350" s="17">
        <f t="shared" si="1"/>
        <v>3</v>
      </c>
    </row>
    <row r="351">
      <c r="A351" s="12" t="s">
        <v>850</v>
      </c>
      <c r="B351" s="12" t="s">
        <v>325</v>
      </c>
      <c r="C351" s="17">
        <v>30.0</v>
      </c>
      <c r="D351" s="12" t="s">
        <v>60</v>
      </c>
      <c r="E351" s="12" t="s">
        <v>133</v>
      </c>
      <c r="F351" s="12" t="s">
        <v>62</v>
      </c>
      <c r="G351" s="12" t="s">
        <v>210</v>
      </c>
      <c r="H351" s="15">
        <v>45817.0</v>
      </c>
      <c r="I351" s="17">
        <v>4.0</v>
      </c>
      <c r="J351" s="12" t="s">
        <v>64</v>
      </c>
      <c r="K351" s="12" t="s">
        <v>81</v>
      </c>
      <c r="L351" s="17">
        <v>571.0</v>
      </c>
      <c r="M351" s="17">
        <v>2.0</v>
      </c>
      <c r="N351" s="17">
        <v>1.0</v>
      </c>
      <c r="O351" s="17">
        <v>20.6</v>
      </c>
      <c r="P351" s="17">
        <v>4.0</v>
      </c>
      <c r="Q351" s="15">
        <v>45942.0</v>
      </c>
      <c r="R351" s="12"/>
      <c r="S351" s="12" t="s">
        <v>55</v>
      </c>
      <c r="T351" s="12" t="s">
        <v>66</v>
      </c>
      <c r="U351" s="17">
        <f t="shared" si="1"/>
        <v>2</v>
      </c>
    </row>
    <row r="352">
      <c r="A352" s="12" t="s">
        <v>852</v>
      </c>
      <c r="B352" s="12" t="s">
        <v>736</v>
      </c>
      <c r="C352" s="17">
        <v>39.0</v>
      </c>
      <c r="D352" s="12" t="s">
        <v>85</v>
      </c>
      <c r="E352" s="12" t="s">
        <v>87</v>
      </c>
      <c r="F352" s="12" t="s">
        <v>62</v>
      </c>
      <c r="G352" s="12" t="s">
        <v>63</v>
      </c>
      <c r="H352" s="15">
        <v>44928.0</v>
      </c>
      <c r="I352" s="17">
        <v>30.0</v>
      </c>
      <c r="J352" s="12" t="s">
        <v>64</v>
      </c>
      <c r="K352" s="12" t="s">
        <v>81</v>
      </c>
      <c r="L352" s="17">
        <v>863.0</v>
      </c>
      <c r="M352" s="17">
        <v>1.0</v>
      </c>
      <c r="N352" s="17">
        <v>2.0</v>
      </c>
      <c r="O352" s="17">
        <v>25.8</v>
      </c>
      <c r="P352" s="17">
        <v>5.0</v>
      </c>
      <c r="Q352" s="15">
        <v>45403.0</v>
      </c>
      <c r="R352" s="12"/>
      <c r="S352" s="12" t="s">
        <v>55</v>
      </c>
      <c r="T352" s="12" t="s">
        <v>47</v>
      </c>
      <c r="U352" s="17">
        <f t="shared" si="1"/>
        <v>2</v>
      </c>
    </row>
    <row r="353">
      <c r="A353" s="12" t="s">
        <v>433</v>
      </c>
      <c r="B353" s="12" t="s">
        <v>605</v>
      </c>
      <c r="C353" s="17">
        <v>43.0</v>
      </c>
      <c r="D353" s="12" t="s">
        <v>35</v>
      </c>
      <c r="E353" s="12" t="s">
        <v>36</v>
      </c>
      <c r="F353" s="12" t="s">
        <v>62</v>
      </c>
      <c r="G353" s="12" t="s">
        <v>120</v>
      </c>
      <c r="H353" s="15">
        <v>45860.0</v>
      </c>
      <c r="I353" s="17">
        <v>24.0</v>
      </c>
      <c r="J353" s="12" t="s">
        <v>64</v>
      </c>
      <c r="K353" s="12" t="s">
        <v>65</v>
      </c>
      <c r="L353" s="17">
        <v>861.0</v>
      </c>
      <c r="M353" s="17">
        <v>2.0</v>
      </c>
      <c r="N353" s="17">
        <v>0.0</v>
      </c>
      <c r="O353" s="17">
        <v>8.5</v>
      </c>
      <c r="P353" s="17">
        <v>5.0</v>
      </c>
      <c r="Q353" s="15">
        <v>46393.0</v>
      </c>
      <c r="R353" s="12"/>
      <c r="S353" s="12" t="s">
        <v>55</v>
      </c>
      <c r="T353" s="12" t="s">
        <v>104</v>
      </c>
      <c r="U353" s="17">
        <f t="shared" si="1"/>
        <v>3</v>
      </c>
    </row>
    <row r="354">
      <c r="A354" s="12" t="s">
        <v>853</v>
      </c>
      <c r="B354" s="12" t="s">
        <v>420</v>
      </c>
      <c r="C354" s="17">
        <v>65.0</v>
      </c>
      <c r="D354" s="12" t="s">
        <v>69</v>
      </c>
      <c r="E354" s="12" t="s">
        <v>177</v>
      </c>
      <c r="F354" s="12" t="s">
        <v>37</v>
      </c>
      <c r="G354" s="12" t="s">
        <v>52</v>
      </c>
      <c r="H354" s="15">
        <v>44869.0</v>
      </c>
      <c r="I354" s="17">
        <v>11.0</v>
      </c>
      <c r="J354" s="12" t="s">
        <v>53</v>
      </c>
      <c r="K354" s="12" t="s">
        <v>65</v>
      </c>
      <c r="L354" s="17">
        <v>1786.0</v>
      </c>
      <c r="M354" s="17">
        <v>0.0</v>
      </c>
      <c r="N354" s="17">
        <v>1.0</v>
      </c>
      <c r="O354" s="17">
        <v>23.6</v>
      </c>
      <c r="P354" s="17">
        <v>3.6</v>
      </c>
      <c r="Q354" s="15">
        <v>44905.0</v>
      </c>
      <c r="R354" s="12" t="s">
        <v>854</v>
      </c>
      <c r="S354" s="12" t="s">
        <v>45</v>
      </c>
      <c r="T354" s="12" t="s">
        <v>47</v>
      </c>
      <c r="U354" s="17">
        <f t="shared" si="1"/>
        <v>1</v>
      </c>
    </row>
    <row r="355">
      <c r="A355" s="12" t="s">
        <v>855</v>
      </c>
      <c r="B355" s="12" t="s">
        <v>856</v>
      </c>
      <c r="C355" s="17">
        <v>34.0</v>
      </c>
      <c r="D355" s="12" t="s">
        <v>69</v>
      </c>
      <c r="E355" s="12" t="s">
        <v>187</v>
      </c>
      <c r="F355" s="12" t="s">
        <v>62</v>
      </c>
      <c r="G355" s="12" t="s">
        <v>93</v>
      </c>
      <c r="H355" s="15">
        <v>45080.0</v>
      </c>
      <c r="I355" s="17">
        <v>1.0</v>
      </c>
      <c r="J355" s="12" t="s">
        <v>40</v>
      </c>
      <c r="K355" s="12" t="s">
        <v>81</v>
      </c>
      <c r="L355" s="17">
        <v>754.0</v>
      </c>
      <c r="M355" s="17">
        <v>0.0</v>
      </c>
      <c r="N355" s="17">
        <v>0.0</v>
      </c>
      <c r="O355" s="17">
        <v>5.8</v>
      </c>
      <c r="P355" s="17">
        <v>2.7</v>
      </c>
      <c r="Q355" s="15">
        <v>45090.0</v>
      </c>
      <c r="R355" s="12"/>
      <c r="S355" s="12" t="s">
        <v>55</v>
      </c>
      <c r="T355" s="12" t="s">
        <v>75</v>
      </c>
      <c r="U355" s="17">
        <f t="shared" si="1"/>
        <v>1</v>
      </c>
    </row>
    <row r="356">
      <c r="A356" s="12" t="s">
        <v>857</v>
      </c>
      <c r="B356" s="12" t="s">
        <v>424</v>
      </c>
      <c r="C356" s="17">
        <v>30.0</v>
      </c>
      <c r="D356" s="12" t="s">
        <v>85</v>
      </c>
      <c r="E356" s="12" t="s">
        <v>87</v>
      </c>
      <c r="F356" s="12" t="s">
        <v>62</v>
      </c>
      <c r="G356" s="12" t="s">
        <v>80</v>
      </c>
      <c r="H356" s="15">
        <v>44575.0</v>
      </c>
      <c r="I356" s="17">
        <v>16.0</v>
      </c>
      <c r="J356" s="12" t="s">
        <v>40</v>
      </c>
      <c r="K356" s="12" t="s">
        <v>42</v>
      </c>
      <c r="L356" s="17">
        <v>641.0</v>
      </c>
      <c r="M356" s="17">
        <v>2.0</v>
      </c>
      <c r="N356" s="17">
        <v>0.0</v>
      </c>
      <c r="O356" s="17">
        <v>16.3</v>
      </c>
      <c r="P356" s="17">
        <v>1.3</v>
      </c>
      <c r="Q356" s="15">
        <v>44870.0</v>
      </c>
      <c r="R356" s="12" t="s">
        <v>858</v>
      </c>
      <c r="S356" s="12" t="s">
        <v>45</v>
      </c>
      <c r="T356" s="12" t="s">
        <v>72</v>
      </c>
      <c r="U356" s="17">
        <f t="shared" si="1"/>
        <v>2</v>
      </c>
    </row>
    <row r="357">
      <c r="A357" s="12" t="s">
        <v>859</v>
      </c>
      <c r="B357" s="12" t="s">
        <v>106</v>
      </c>
      <c r="C357" s="17">
        <v>62.0</v>
      </c>
      <c r="D357" s="12" t="s">
        <v>69</v>
      </c>
      <c r="E357" s="12" t="s">
        <v>70</v>
      </c>
      <c r="F357" s="12" t="s">
        <v>37</v>
      </c>
      <c r="G357" s="12" t="s">
        <v>93</v>
      </c>
      <c r="H357" s="15">
        <v>45797.0</v>
      </c>
      <c r="I357" s="17">
        <v>20.0</v>
      </c>
      <c r="J357" s="12" t="s">
        <v>53</v>
      </c>
      <c r="K357" s="12" t="s">
        <v>81</v>
      </c>
      <c r="L357" s="17">
        <v>1049.0</v>
      </c>
      <c r="M357" s="17">
        <v>2.0</v>
      </c>
      <c r="N357" s="17">
        <v>2.0</v>
      </c>
      <c r="O357" s="17">
        <v>32.3</v>
      </c>
      <c r="P357" s="17">
        <v>3.7</v>
      </c>
      <c r="Q357" s="15">
        <v>46233.0</v>
      </c>
      <c r="R357" s="12"/>
      <c r="S357" s="12" t="s">
        <v>55</v>
      </c>
      <c r="T357" s="12" t="s">
        <v>66</v>
      </c>
      <c r="U357" s="17">
        <f t="shared" si="1"/>
        <v>1</v>
      </c>
    </row>
    <row r="358">
      <c r="A358" s="12" t="s">
        <v>546</v>
      </c>
      <c r="B358" s="12" t="s">
        <v>135</v>
      </c>
      <c r="C358" s="17">
        <v>37.0</v>
      </c>
      <c r="D358" s="12" t="s">
        <v>69</v>
      </c>
      <c r="E358" s="12" t="s">
        <v>119</v>
      </c>
      <c r="F358" s="12" t="s">
        <v>37</v>
      </c>
      <c r="G358" s="12" t="s">
        <v>210</v>
      </c>
      <c r="H358" s="15">
        <v>44635.0</v>
      </c>
      <c r="I358" s="17">
        <v>6.0</v>
      </c>
      <c r="J358" s="12" t="s">
        <v>53</v>
      </c>
      <c r="K358" s="12" t="s">
        <v>42</v>
      </c>
      <c r="L358" s="17">
        <v>1376.0</v>
      </c>
      <c r="M358" s="17">
        <v>1.0</v>
      </c>
      <c r="N358" s="17">
        <v>0.0</v>
      </c>
      <c r="O358" s="17">
        <v>26.1</v>
      </c>
      <c r="P358" s="17">
        <v>3.9</v>
      </c>
      <c r="Q358" s="15">
        <v>44742.0</v>
      </c>
      <c r="R358" s="12" t="s">
        <v>861</v>
      </c>
      <c r="S358" s="12" t="s">
        <v>45</v>
      </c>
      <c r="T358" s="12" t="s">
        <v>104</v>
      </c>
      <c r="U358" s="17">
        <f t="shared" si="1"/>
        <v>4</v>
      </c>
    </row>
    <row r="359">
      <c r="A359" s="12" t="s">
        <v>862</v>
      </c>
      <c r="B359" s="12" t="s">
        <v>247</v>
      </c>
      <c r="C359" s="17">
        <v>49.0</v>
      </c>
      <c r="D359" s="12" t="s">
        <v>60</v>
      </c>
      <c r="E359" s="12" t="s">
        <v>107</v>
      </c>
      <c r="F359" s="12" t="s">
        <v>37</v>
      </c>
      <c r="G359" s="12" t="s">
        <v>80</v>
      </c>
      <c r="H359" s="15">
        <v>44991.0</v>
      </c>
      <c r="I359" s="17">
        <v>45.0</v>
      </c>
      <c r="J359" s="12" t="s">
        <v>64</v>
      </c>
      <c r="K359" s="12" t="s">
        <v>81</v>
      </c>
      <c r="L359" s="17">
        <v>1110.0</v>
      </c>
      <c r="M359" s="17">
        <v>1.0</v>
      </c>
      <c r="N359" s="17">
        <v>0.0</v>
      </c>
      <c r="O359" s="17">
        <v>28.8</v>
      </c>
      <c r="P359" s="17">
        <v>5.0</v>
      </c>
      <c r="Q359" s="15">
        <v>46289.0</v>
      </c>
      <c r="R359" s="12"/>
      <c r="S359" s="12" t="s">
        <v>55</v>
      </c>
      <c r="T359" s="12" t="s">
        <v>66</v>
      </c>
      <c r="U359" s="17">
        <f t="shared" si="1"/>
        <v>6</v>
      </c>
    </row>
    <row r="360">
      <c r="A360" s="12" t="s">
        <v>863</v>
      </c>
      <c r="B360" s="12" t="s">
        <v>351</v>
      </c>
      <c r="C360" s="17">
        <v>52.0</v>
      </c>
      <c r="D360" s="12" t="s">
        <v>60</v>
      </c>
      <c r="E360" s="12" t="s">
        <v>133</v>
      </c>
      <c r="F360" s="12" t="s">
        <v>37</v>
      </c>
      <c r="G360" s="12" t="s">
        <v>210</v>
      </c>
      <c r="H360" s="15">
        <v>45093.0</v>
      </c>
      <c r="I360" s="17">
        <v>34.0</v>
      </c>
      <c r="J360" s="12" t="s">
        <v>64</v>
      </c>
      <c r="K360" s="12" t="s">
        <v>81</v>
      </c>
      <c r="L360" s="17">
        <v>1361.0</v>
      </c>
      <c r="M360" s="17">
        <v>2.0</v>
      </c>
      <c r="N360" s="17">
        <v>3.0</v>
      </c>
      <c r="O360" s="17">
        <v>35.9</v>
      </c>
      <c r="P360" s="17">
        <v>2.5</v>
      </c>
      <c r="Q360" s="15">
        <v>45368.0</v>
      </c>
      <c r="R360" s="12"/>
      <c r="S360" s="12" t="s">
        <v>55</v>
      </c>
      <c r="T360" s="12" t="s">
        <v>75</v>
      </c>
      <c r="U360" s="17">
        <f t="shared" si="1"/>
        <v>1</v>
      </c>
    </row>
    <row r="361">
      <c r="A361" s="12" t="s">
        <v>523</v>
      </c>
      <c r="B361" s="12" t="s">
        <v>333</v>
      </c>
      <c r="C361" s="17">
        <v>45.0</v>
      </c>
      <c r="D361" s="12" t="s">
        <v>69</v>
      </c>
      <c r="E361" s="12" t="s">
        <v>187</v>
      </c>
      <c r="F361" s="12" t="s">
        <v>37</v>
      </c>
      <c r="G361" s="12" t="s">
        <v>39</v>
      </c>
      <c r="H361" s="15">
        <v>44565.0</v>
      </c>
      <c r="I361" s="17">
        <v>8.0</v>
      </c>
      <c r="J361" s="12" t="s">
        <v>146</v>
      </c>
      <c r="K361" s="12" t="s">
        <v>65</v>
      </c>
      <c r="L361" s="17">
        <v>1119.0</v>
      </c>
      <c r="M361" s="17">
        <v>0.0</v>
      </c>
      <c r="N361" s="17">
        <v>0.0</v>
      </c>
      <c r="O361" s="17">
        <v>15.2</v>
      </c>
      <c r="P361" s="17">
        <v>3.0</v>
      </c>
      <c r="Q361" s="15">
        <v>44792.0</v>
      </c>
      <c r="R361" s="12"/>
      <c r="S361" s="12" t="s">
        <v>55</v>
      </c>
      <c r="T361" s="12" t="s">
        <v>72</v>
      </c>
      <c r="U361" s="17">
        <f t="shared" si="1"/>
        <v>3</v>
      </c>
    </row>
    <row r="362">
      <c r="A362" s="12" t="s">
        <v>864</v>
      </c>
      <c r="B362" s="12" t="s">
        <v>651</v>
      </c>
      <c r="C362" s="17">
        <v>62.0</v>
      </c>
      <c r="D362" s="12" t="s">
        <v>69</v>
      </c>
      <c r="E362" s="12" t="s">
        <v>70</v>
      </c>
      <c r="F362" s="12" t="s">
        <v>37</v>
      </c>
      <c r="G362" s="12" t="s">
        <v>52</v>
      </c>
      <c r="H362" s="15">
        <v>45138.0</v>
      </c>
      <c r="I362" s="17">
        <v>17.0</v>
      </c>
      <c r="J362" s="12" t="s">
        <v>53</v>
      </c>
      <c r="K362" s="12" t="s">
        <v>65</v>
      </c>
      <c r="L362" s="12" t="s">
        <v>865</v>
      </c>
      <c r="M362" s="17">
        <v>2.0</v>
      </c>
      <c r="N362" s="17">
        <v>6.0</v>
      </c>
      <c r="O362" s="17">
        <v>27.2</v>
      </c>
      <c r="P362" s="17">
        <v>2.2</v>
      </c>
      <c r="Q362" s="15">
        <v>45479.0</v>
      </c>
      <c r="R362" s="12" t="s">
        <v>866</v>
      </c>
      <c r="S362" s="12" t="s">
        <v>45</v>
      </c>
      <c r="T362" s="12" t="s">
        <v>75</v>
      </c>
      <c r="U362" s="17">
        <f t="shared" si="1"/>
        <v>1</v>
      </c>
    </row>
    <row r="363">
      <c r="A363" s="12" t="s">
        <v>205</v>
      </c>
      <c r="B363" s="12" t="s">
        <v>190</v>
      </c>
      <c r="C363" s="17">
        <v>59.0</v>
      </c>
      <c r="D363" s="12" t="s">
        <v>35</v>
      </c>
      <c r="E363" s="12" t="s">
        <v>51</v>
      </c>
      <c r="F363" s="12" t="s">
        <v>372</v>
      </c>
      <c r="G363" s="12" t="s">
        <v>93</v>
      </c>
      <c r="H363" s="15">
        <v>45254.0</v>
      </c>
      <c r="I363" s="17">
        <v>44.0</v>
      </c>
      <c r="J363" s="12" t="s">
        <v>53</v>
      </c>
      <c r="K363" s="12" t="s">
        <v>81</v>
      </c>
      <c r="L363" s="17">
        <v>741.0</v>
      </c>
      <c r="M363" s="17">
        <v>1.0</v>
      </c>
      <c r="N363" s="17">
        <v>2.0</v>
      </c>
      <c r="O363" s="17">
        <v>7.9</v>
      </c>
      <c r="P363" s="17">
        <v>3.1</v>
      </c>
      <c r="Q363" s="15">
        <v>45542.0</v>
      </c>
      <c r="R363" s="12"/>
      <c r="S363" s="12" t="s">
        <v>55</v>
      </c>
      <c r="T363" s="12" t="s">
        <v>72</v>
      </c>
      <c r="U363" s="17">
        <f t="shared" si="1"/>
        <v>2</v>
      </c>
    </row>
    <row r="364">
      <c r="A364" s="12" t="s">
        <v>867</v>
      </c>
      <c r="B364" s="12" t="s">
        <v>448</v>
      </c>
      <c r="C364" s="17">
        <v>41.0</v>
      </c>
      <c r="D364" s="12" t="s">
        <v>85</v>
      </c>
      <c r="E364" s="12" t="s">
        <v>292</v>
      </c>
      <c r="F364" s="12" t="s">
        <v>497</v>
      </c>
      <c r="G364" s="12" t="s">
        <v>210</v>
      </c>
      <c r="H364" s="15">
        <v>45719.0</v>
      </c>
      <c r="I364" s="17">
        <v>120.0</v>
      </c>
      <c r="J364" s="12" t="s">
        <v>40</v>
      </c>
      <c r="K364" s="12" t="s">
        <v>42</v>
      </c>
      <c r="L364" s="17">
        <v>1547.0</v>
      </c>
      <c r="M364" s="17">
        <v>3.0</v>
      </c>
      <c r="N364" s="17">
        <v>0.0</v>
      </c>
      <c r="O364" s="17">
        <v>30.6</v>
      </c>
      <c r="P364" s="17">
        <v>3.4</v>
      </c>
      <c r="Q364" s="15">
        <v>46155.0</v>
      </c>
      <c r="R364" s="12"/>
      <c r="S364" s="12" t="s">
        <v>55</v>
      </c>
      <c r="T364" s="12" t="s">
        <v>72</v>
      </c>
      <c r="U364" s="17">
        <f t="shared" si="1"/>
        <v>2</v>
      </c>
    </row>
    <row r="365">
      <c r="A365" s="12" t="s">
        <v>868</v>
      </c>
      <c r="B365" s="12" t="s">
        <v>74</v>
      </c>
      <c r="C365" s="17">
        <v>36.0</v>
      </c>
      <c r="D365" s="12" t="s">
        <v>60</v>
      </c>
      <c r="E365" s="12" t="s">
        <v>133</v>
      </c>
      <c r="F365" s="12" t="s">
        <v>37</v>
      </c>
      <c r="G365" s="12" t="s">
        <v>93</v>
      </c>
      <c r="H365" s="15">
        <v>44901.0</v>
      </c>
      <c r="I365" s="17">
        <v>37.0</v>
      </c>
      <c r="J365" s="12" t="s">
        <v>53</v>
      </c>
      <c r="K365" s="12" t="s">
        <v>42</v>
      </c>
      <c r="L365" s="17">
        <v>1608.0</v>
      </c>
      <c r="M365" s="17">
        <v>3.0</v>
      </c>
      <c r="N365" s="17">
        <v>0.0</v>
      </c>
      <c r="O365" s="17">
        <v>26.1</v>
      </c>
      <c r="P365" s="17">
        <v>4.1</v>
      </c>
      <c r="Q365" s="15">
        <v>45542.0</v>
      </c>
      <c r="R365" s="12"/>
      <c r="S365" s="12" t="s">
        <v>55</v>
      </c>
      <c r="T365" s="12" t="s">
        <v>75</v>
      </c>
      <c r="U365" s="17">
        <f t="shared" si="1"/>
        <v>1</v>
      </c>
    </row>
    <row r="366">
      <c r="A366" s="12" t="s">
        <v>869</v>
      </c>
      <c r="B366" s="12" t="s">
        <v>215</v>
      </c>
      <c r="C366" s="17">
        <v>47.0</v>
      </c>
      <c r="D366" s="12" t="s">
        <v>60</v>
      </c>
      <c r="E366" s="12" t="s">
        <v>133</v>
      </c>
      <c r="F366" s="12" t="s">
        <v>37</v>
      </c>
      <c r="G366" s="12" t="s">
        <v>210</v>
      </c>
      <c r="H366" s="15">
        <v>45004.0</v>
      </c>
      <c r="I366" s="17">
        <v>34.0</v>
      </c>
      <c r="J366" s="12" t="s">
        <v>64</v>
      </c>
      <c r="K366" s="12" t="s">
        <v>42</v>
      </c>
      <c r="L366" s="17">
        <v>1382.0</v>
      </c>
      <c r="M366" s="17">
        <v>2.0</v>
      </c>
      <c r="N366" s="17">
        <v>1.0</v>
      </c>
      <c r="O366" s="17">
        <v>19.3</v>
      </c>
      <c r="P366" s="17">
        <v>3.6</v>
      </c>
      <c r="Q366" s="15">
        <v>45090.0</v>
      </c>
      <c r="R366" s="12"/>
      <c r="S366" s="12" t="s">
        <v>55</v>
      </c>
      <c r="T366" s="12" t="s">
        <v>75</v>
      </c>
      <c r="U366" s="17">
        <f t="shared" si="1"/>
        <v>2</v>
      </c>
    </row>
    <row r="367">
      <c r="A367" s="12" t="s">
        <v>870</v>
      </c>
      <c r="B367" s="12" t="s">
        <v>160</v>
      </c>
      <c r="C367" s="17">
        <v>65.0</v>
      </c>
      <c r="D367" s="12" t="s">
        <v>69</v>
      </c>
      <c r="E367" s="12" t="s">
        <v>187</v>
      </c>
      <c r="F367" s="12" t="s">
        <v>62</v>
      </c>
      <c r="G367" s="12" t="s">
        <v>120</v>
      </c>
      <c r="H367" s="15">
        <v>45634.0</v>
      </c>
      <c r="I367" s="17">
        <v>20.0</v>
      </c>
      <c r="J367" s="12" t="s">
        <v>40</v>
      </c>
      <c r="K367" s="12" t="s">
        <v>65</v>
      </c>
      <c r="L367" s="17">
        <v>572.0</v>
      </c>
      <c r="M367" s="17">
        <v>3.0</v>
      </c>
      <c r="N367" s="17">
        <v>0.0</v>
      </c>
      <c r="O367" s="17">
        <v>16.5</v>
      </c>
      <c r="P367" s="17">
        <v>3.4</v>
      </c>
      <c r="Q367" s="15">
        <v>45744.0</v>
      </c>
      <c r="R367" s="12" t="s">
        <v>872</v>
      </c>
      <c r="S367" s="12" t="s">
        <v>45</v>
      </c>
      <c r="T367" s="12" t="s">
        <v>75</v>
      </c>
      <c r="U367" s="17">
        <f t="shared" si="1"/>
        <v>2</v>
      </c>
    </row>
    <row r="368">
      <c r="A368" s="12" t="s">
        <v>873</v>
      </c>
      <c r="B368" s="12" t="s">
        <v>176</v>
      </c>
      <c r="C368" s="17">
        <v>20.0</v>
      </c>
      <c r="D368" s="12" t="s">
        <v>35</v>
      </c>
      <c r="E368" s="12" t="s">
        <v>36</v>
      </c>
      <c r="F368" s="12" t="s">
        <v>413</v>
      </c>
      <c r="G368" s="12" t="s">
        <v>63</v>
      </c>
      <c r="H368" s="15">
        <v>45969.0</v>
      </c>
      <c r="I368" s="17">
        <v>39.0</v>
      </c>
      <c r="J368" s="12" t="s">
        <v>64</v>
      </c>
      <c r="K368" s="12" t="s">
        <v>65</v>
      </c>
      <c r="L368" s="17">
        <v>669.0</v>
      </c>
      <c r="M368" s="17">
        <v>1.0</v>
      </c>
      <c r="N368" s="17">
        <v>4.0</v>
      </c>
      <c r="O368" s="17">
        <v>16.4</v>
      </c>
      <c r="P368" s="17">
        <v>2.6</v>
      </c>
      <c r="Q368" s="15">
        <v>46073.0</v>
      </c>
      <c r="R368" s="12" t="s">
        <v>874</v>
      </c>
      <c r="S368" s="12" t="s">
        <v>45</v>
      </c>
      <c r="T368" s="12" t="s">
        <v>47</v>
      </c>
      <c r="U368" s="17">
        <f t="shared" si="1"/>
        <v>1</v>
      </c>
    </row>
    <row r="369">
      <c r="A369" s="12" t="s">
        <v>875</v>
      </c>
      <c r="B369" s="12" t="s">
        <v>303</v>
      </c>
      <c r="C369" s="17">
        <v>58.0</v>
      </c>
      <c r="D369" s="12" t="s">
        <v>69</v>
      </c>
      <c r="E369" s="12" t="s">
        <v>187</v>
      </c>
      <c r="F369" s="12" t="s">
        <v>62</v>
      </c>
      <c r="G369" s="12" t="s">
        <v>80</v>
      </c>
      <c r="H369" s="15">
        <v>45215.0</v>
      </c>
      <c r="I369" s="17">
        <v>29.0</v>
      </c>
      <c r="J369" s="12" t="s">
        <v>64</v>
      </c>
      <c r="K369" s="12" t="s">
        <v>81</v>
      </c>
      <c r="L369" s="17">
        <v>638.0</v>
      </c>
      <c r="M369" s="17">
        <v>2.0</v>
      </c>
      <c r="N369" s="17">
        <v>2.0</v>
      </c>
      <c r="O369" s="17">
        <v>5.2</v>
      </c>
      <c r="P369" s="17">
        <v>4.1</v>
      </c>
      <c r="Q369" s="15">
        <v>45505.0</v>
      </c>
      <c r="R369" s="12"/>
      <c r="S369" s="12" t="s">
        <v>55</v>
      </c>
      <c r="T369" s="12" t="s">
        <v>104</v>
      </c>
      <c r="U369" s="17">
        <f t="shared" si="1"/>
        <v>3</v>
      </c>
    </row>
    <row r="370">
      <c r="A370" s="12" t="s">
        <v>877</v>
      </c>
      <c r="B370" s="12" t="s">
        <v>645</v>
      </c>
      <c r="C370" s="17">
        <v>22.0</v>
      </c>
      <c r="D370" s="12" t="s">
        <v>60</v>
      </c>
      <c r="E370" s="12" t="s">
        <v>107</v>
      </c>
      <c r="F370" s="12" t="s">
        <v>62</v>
      </c>
      <c r="G370" s="12" t="s">
        <v>52</v>
      </c>
      <c r="H370" s="15">
        <v>45142.0</v>
      </c>
      <c r="I370" s="17">
        <v>37.0</v>
      </c>
      <c r="J370" s="12" t="s">
        <v>40</v>
      </c>
      <c r="K370" s="12" t="s">
        <v>42</v>
      </c>
      <c r="L370" s="17">
        <v>535.0</v>
      </c>
      <c r="M370" s="12"/>
      <c r="N370" s="17">
        <v>1.0</v>
      </c>
      <c r="O370" s="17">
        <v>21.4</v>
      </c>
      <c r="P370" s="17">
        <v>3.7</v>
      </c>
      <c r="Q370" s="15">
        <v>45845.0</v>
      </c>
      <c r="R370" s="12"/>
      <c r="S370" s="12" t="s">
        <v>55</v>
      </c>
      <c r="T370" s="12" t="s">
        <v>75</v>
      </c>
      <c r="U370" s="17">
        <f t="shared" si="1"/>
        <v>1</v>
      </c>
    </row>
    <row r="371">
      <c r="A371" s="12" t="s">
        <v>878</v>
      </c>
      <c r="B371" s="12" t="s">
        <v>257</v>
      </c>
      <c r="C371" s="17">
        <v>38.0</v>
      </c>
      <c r="D371" s="12" t="s">
        <v>35</v>
      </c>
      <c r="E371" s="12" t="s">
        <v>36</v>
      </c>
      <c r="F371" s="12" t="s">
        <v>62</v>
      </c>
      <c r="G371" s="12" t="s">
        <v>63</v>
      </c>
      <c r="H371" s="15">
        <v>45435.0</v>
      </c>
      <c r="I371" s="17">
        <v>26.0</v>
      </c>
      <c r="J371" s="12" t="s">
        <v>53</v>
      </c>
      <c r="K371" s="12" t="s">
        <v>42</v>
      </c>
      <c r="L371" s="17">
        <v>804.0</v>
      </c>
      <c r="M371" s="17">
        <v>1.0</v>
      </c>
      <c r="N371" s="17">
        <v>2.0</v>
      </c>
      <c r="O371" s="17">
        <v>23.8</v>
      </c>
      <c r="P371" s="17">
        <v>2.5</v>
      </c>
      <c r="Q371" s="15">
        <v>46151.0</v>
      </c>
      <c r="R371" s="12"/>
      <c r="S371" s="12" t="s">
        <v>55</v>
      </c>
      <c r="T371" s="12" t="s">
        <v>66</v>
      </c>
      <c r="U371" s="17">
        <f t="shared" si="1"/>
        <v>1</v>
      </c>
    </row>
    <row r="372">
      <c r="A372" s="12" t="s">
        <v>879</v>
      </c>
      <c r="B372" s="12" t="s">
        <v>110</v>
      </c>
      <c r="C372" s="17">
        <v>33.0</v>
      </c>
      <c r="D372" s="12" t="s">
        <v>85</v>
      </c>
      <c r="E372" s="12"/>
      <c r="F372" s="12" t="s">
        <v>62</v>
      </c>
      <c r="G372" s="12" t="s">
        <v>880</v>
      </c>
      <c r="H372" s="15">
        <v>45992.0</v>
      </c>
      <c r="I372" s="17">
        <v>30.0</v>
      </c>
      <c r="J372" s="12" t="s">
        <v>40</v>
      </c>
      <c r="K372" s="12" t="s">
        <v>42</v>
      </c>
      <c r="L372" s="17">
        <v>657.0</v>
      </c>
      <c r="M372" s="17">
        <v>2.0</v>
      </c>
      <c r="N372" s="17">
        <v>0.0</v>
      </c>
      <c r="O372" s="17">
        <v>22.9</v>
      </c>
      <c r="P372" s="17">
        <v>3.5</v>
      </c>
      <c r="Q372" s="15">
        <v>46729.0</v>
      </c>
      <c r="R372" s="12"/>
      <c r="S372" s="12" t="s">
        <v>55</v>
      </c>
      <c r="T372" s="12" t="s">
        <v>66</v>
      </c>
      <c r="U372" s="17">
        <f t="shared" si="1"/>
        <v>1</v>
      </c>
    </row>
    <row r="373">
      <c r="A373" s="12" t="s">
        <v>882</v>
      </c>
      <c r="B373" s="12" t="s">
        <v>229</v>
      </c>
      <c r="C373" s="17">
        <v>48.0</v>
      </c>
      <c r="D373" s="12" t="s">
        <v>60</v>
      </c>
      <c r="E373" s="12" t="s">
        <v>133</v>
      </c>
      <c r="F373" s="12" t="s">
        <v>62</v>
      </c>
      <c r="G373" s="12" t="s">
        <v>52</v>
      </c>
      <c r="H373" s="15">
        <v>45238.0</v>
      </c>
      <c r="I373" s="17">
        <v>21.0</v>
      </c>
      <c r="J373" s="12" t="s">
        <v>40</v>
      </c>
      <c r="K373" s="12" t="s">
        <v>65</v>
      </c>
      <c r="L373" s="17">
        <v>514.0</v>
      </c>
      <c r="M373" s="17">
        <v>0.0</v>
      </c>
      <c r="N373" s="17">
        <v>1.0</v>
      </c>
      <c r="O373" s="17">
        <v>21.8</v>
      </c>
      <c r="P373" s="17">
        <v>4.3</v>
      </c>
      <c r="Q373" s="15">
        <v>45363.0</v>
      </c>
      <c r="R373" s="12"/>
      <c r="S373" s="12" t="s">
        <v>55</v>
      </c>
      <c r="T373" s="12" t="s">
        <v>72</v>
      </c>
      <c r="U373" s="17">
        <f t="shared" si="1"/>
        <v>2</v>
      </c>
    </row>
    <row r="374">
      <c r="A374" s="12" t="s">
        <v>886</v>
      </c>
      <c r="B374" s="12" t="s">
        <v>393</v>
      </c>
      <c r="C374" s="17">
        <v>34.0</v>
      </c>
      <c r="D374" s="12" t="s">
        <v>69</v>
      </c>
      <c r="E374" s="12" t="s">
        <v>70</v>
      </c>
      <c r="F374" s="12" t="s">
        <v>62</v>
      </c>
      <c r="G374" s="12" t="s">
        <v>52</v>
      </c>
      <c r="H374" s="15">
        <v>44781.0</v>
      </c>
      <c r="I374" s="17">
        <v>21.0</v>
      </c>
      <c r="J374" s="12" t="s">
        <v>64</v>
      </c>
      <c r="K374" s="12" t="s">
        <v>42</v>
      </c>
      <c r="L374" s="17">
        <v>535.0</v>
      </c>
      <c r="M374" s="17">
        <v>0.0</v>
      </c>
      <c r="N374" s="17">
        <v>0.0</v>
      </c>
      <c r="O374" s="17">
        <v>34.8</v>
      </c>
      <c r="P374" s="17">
        <v>3.5</v>
      </c>
      <c r="Q374" s="15">
        <v>45263.0</v>
      </c>
      <c r="R374" s="12"/>
      <c r="S374" s="12" t="s">
        <v>55</v>
      </c>
      <c r="T374" s="12" t="s">
        <v>66</v>
      </c>
      <c r="U374" s="17">
        <f t="shared" si="1"/>
        <v>1</v>
      </c>
    </row>
    <row r="375">
      <c r="A375" s="12" t="s">
        <v>358</v>
      </c>
      <c r="B375" s="12" t="s">
        <v>395</v>
      </c>
      <c r="C375" s="17">
        <v>30.0</v>
      </c>
      <c r="D375" s="12" t="s">
        <v>85</v>
      </c>
      <c r="E375" s="12" t="s">
        <v>87</v>
      </c>
      <c r="F375" s="12" t="s">
        <v>62</v>
      </c>
      <c r="G375" s="12" t="s">
        <v>39</v>
      </c>
      <c r="H375" s="15">
        <v>45983.0</v>
      </c>
      <c r="I375" s="17">
        <v>38.0</v>
      </c>
      <c r="J375" s="12" t="s">
        <v>64</v>
      </c>
      <c r="K375" s="12" t="s">
        <v>81</v>
      </c>
      <c r="L375" s="17">
        <v>721.0</v>
      </c>
      <c r="M375" s="17">
        <v>1.0</v>
      </c>
      <c r="N375" s="17">
        <v>1.0</v>
      </c>
      <c r="O375" s="17">
        <v>24.0</v>
      </c>
      <c r="P375" s="17">
        <v>3.5</v>
      </c>
      <c r="Q375" s="15">
        <v>46693.0</v>
      </c>
      <c r="R375" s="12"/>
      <c r="S375" s="12" t="s">
        <v>55</v>
      </c>
      <c r="T375" s="12" t="s">
        <v>104</v>
      </c>
      <c r="U375" s="17">
        <f t="shared" si="1"/>
        <v>2</v>
      </c>
    </row>
    <row r="376">
      <c r="A376" s="12" t="s">
        <v>887</v>
      </c>
      <c r="B376" s="12" t="s">
        <v>888</v>
      </c>
      <c r="C376" s="17">
        <v>62.0</v>
      </c>
      <c r="D376" s="12" t="s">
        <v>85</v>
      </c>
      <c r="E376" s="12" t="s">
        <v>292</v>
      </c>
      <c r="F376" s="12" t="s">
        <v>37</v>
      </c>
      <c r="G376" s="12" t="s">
        <v>120</v>
      </c>
      <c r="H376" s="15">
        <v>45228.0</v>
      </c>
      <c r="I376" s="17">
        <v>36.0</v>
      </c>
      <c r="J376" s="12" t="s">
        <v>64</v>
      </c>
      <c r="K376" s="12" t="s">
        <v>65</v>
      </c>
      <c r="L376" s="17">
        <v>1179.0</v>
      </c>
      <c r="M376" s="17">
        <v>5.0</v>
      </c>
      <c r="N376" s="17">
        <v>1.0</v>
      </c>
      <c r="O376" s="17">
        <v>39.4</v>
      </c>
      <c r="P376" s="17">
        <v>3.2</v>
      </c>
      <c r="Q376" s="15">
        <v>46069.0</v>
      </c>
      <c r="R376" s="12"/>
      <c r="S376" s="12" t="s">
        <v>55</v>
      </c>
      <c r="T376" s="12" t="s">
        <v>72</v>
      </c>
      <c r="U376" s="17">
        <f t="shared" si="1"/>
        <v>2</v>
      </c>
    </row>
    <row r="377">
      <c r="A377" s="12" t="s">
        <v>889</v>
      </c>
      <c r="B377" s="12" t="s">
        <v>176</v>
      </c>
      <c r="C377" s="17">
        <v>43.0</v>
      </c>
      <c r="D377" s="12" t="s">
        <v>35</v>
      </c>
      <c r="E377" s="12" t="s">
        <v>36</v>
      </c>
      <c r="F377" s="12" t="s">
        <v>62</v>
      </c>
      <c r="G377" s="12" t="s">
        <v>39</v>
      </c>
      <c r="H377" s="15">
        <v>45751.0</v>
      </c>
      <c r="I377" s="17">
        <v>41.0</v>
      </c>
      <c r="J377" s="12" t="s">
        <v>64</v>
      </c>
      <c r="K377" s="12" t="s">
        <v>81</v>
      </c>
      <c r="L377" s="17">
        <v>886.0</v>
      </c>
      <c r="M377" s="17">
        <v>2.0</v>
      </c>
      <c r="N377" s="17">
        <v>1.0</v>
      </c>
      <c r="O377" s="17">
        <v>8.3</v>
      </c>
      <c r="P377" s="17">
        <v>4.4</v>
      </c>
      <c r="Q377" s="15">
        <v>46066.0</v>
      </c>
      <c r="R377" s="12" t="s">
        <v>890</v>
      </c>
      <c r="S377" s="12" t="s">
        <v>45</v>
      </c>
      <c r="T377" s="12" t="s">
        <v>75</v>
      </c>
      <c r="U377" s="17">
        <f t="shared" si="1"/>
        <v>1</v>
      </c>
    </row>
    <row r="378">
      <c r="A378" s="12" t="s">
        <v>891</v>
      </c>
      <c r="B378" s="12" t="s">
        <v>239</v>
      </c>
      <c r="C378" s="17">
        <v>58.0</v>
      </c>
      <c r="D378" s="12" t="s">
        <v>69</v>
      </c>
      <c r="E378" s="12" t="s">
        <v>177</v>
      </c>
      <c r="F378" s="12" t="s">
        <v>62</v>
      </c>
      <c r="G378" s="12" t="s">
        <v>93</v>
      </c>
      <c r="H378" s="15">
        <v>45953.0</v>
      </c>
      <c r="I378" s="17">
        <v>20.0</v>
      </c>
      <c r="J378" s="12" t="s">
        <v>64</v>
      </c>
      <c r="K378" s="12" t="s">
        <v>65</v>
      </c>
      <c r="L378" s="17">
        <v>721.0</v>
      </c>
      <c r="M378" s="17">
        <v>3.0</v>
      </c>
      <c r="N378" s="17">
        <v>1.0</v>
      </c>
      <c r="O378" s="17">
        <v>19.7</v>
      </c>
      <c r="P378" s="17">
        <v>3.5</v>
      </c>
      <c r="Q378" s="15">
        <v>46315.0</v>
      </c>
      <c r="R378" s="12" t="s">
        <v>892</v>
      </c>
      <c r="S378" s="12" t="s">
        <v>45</v>
      </c>
      <c r="T378" s="12" t="s">
        <v>47</v>
      </c>
      <c r="U378" s="17">
        <f t="shared" si="1"/>
        <v>2</v>
      </c>
    </row>
    <row r="379">
      <c r="A379" s="12" t="s">
        <v>893</v>
      </c>
      <c r="B379" s="12" t="s">
        <v>470</v>
      </c>
      <c r="C379" s="17">
        <v>46.0</v>
      </c>
      <c r="D379" s="12" t="s">
        <v>35</v>
      </c>
      <c r="E379" s="12" t="s">
        <v>161</v>
      </c>
      <c r="F379" s="12" t="s">
        <v>79</v>
      </c>
      <c r="G379" s="12" t="s">
        <v>63</v>
      </c>
      <c r="H379" s="15">
        <v>44563.0</v>
      </c>
      <c r="I379" s="17">
        <v>46.0</v>
      </c>
      <c r="J379" s="12" t="s">
        <v>64</v>
      </c>
      <c r="K379" s="12" t="s">
        <v>81</v>
      </c>
      <c r="L379" s="17">
        <v>3762.0</v>
      </c>
      <c r="M379" s="17">
        <v>4.0</v>
      </c>
      <c r="N379" s="17">
        <v>2.0</v>
      </c>
      <c r="O379" s="17">
        <v>31.6</v>
      </c>
      <c r="P379" s="17">
        <v>4.6</v>
      </c>
      <c r="Q379" s="15">
        <v>45150.0</v>
      </c>
      <c r="R379" s="12"/>
      <c r="S379" s="12" t="s">
        <v>55</v>
      </c>
      <c r="T379" s="12" t="s">
        <v>75</v>
      </c>
      <c r="U379" s="17">
        <f t="shared" si="1"/>
        <v>2</v>
      </c>
    </row>
    <row r="380">
      <c r="A380" s="12" t="s">
        <v>894</v>
      </c>
      <c r="B380" s="12" t="s">
        <v>411</v>
      </c>
      <c r="C380" s="17">
        <v>45.0</v>
      </c>
      <c r="D380" s="12" t="s">
        <v>60</v>
      </c>
      <c r="E380" s="12" t="s">
        <v>133</v>
      </c>
      <c r="F380" s="12" t="s">
        <v>62</v>
      </c>
      <c r="G380" s="12" t="s">
        <v>120</v>
      </c>
      <c r="H380" s="15">
        <v>45678.0</v>
      </c>
      <c r="I380" s="17">
        <v>14.0</v>
      </c>
      <c r="J380" s="12" t="s">
        <v>40</v>
      </c>
      <c r="K380" s="12" t="s">
        <v>65</v>
      </c>
      <c r="L380" s="17">
        <v>742.0</v>
      </c>
      <c r="M380" s="17">
        <v>1.0</v>
      </c>
      <c r="N380" s="17">
        <v>1.0</v>
      </c>
      <c r="O380" s="17">
        <v>21.3</v>
      </c>
      <c r="P380" s="17">
        <v>2.5</v>
      </c>
      <c r="Q380" s="15">
        <v>45972.0</v>
      </c>
      <c r="R380" s="12"/>
      <c r="S380" s="12" t="s">
        <v>55</v>
      </c>
      <c r="T380" s="12" t="s">
        <v>47</v>
      </c>
      <c r="U380" s="17">
        <f t="shared" si="1"/>
        <v>2</v>
      </c>
    </row>
    <row r="381">
      <c r="A381" s="12" t="s">
        <v>783</v>
      </c>
      <c r="B381" s="12" t="s">
        <v>734</v>
      </c>
      <c r="C381" s="17">
        <v>58.0</v>
      </c>
      <c r="D381" s="12" t="s">
        <v>445</v>
      </c>
      <c r="E381" s="12" t="s">
        <v>36</v>
      </c>
      <c r="F381" s="12" t="s">
        <v>37</v>
      </c>
      <c r="G381" s="12" t="s">
        <v>39</v>
      </c>
      <c r="H381" s="15">
        <v>45558.0</v>
      </c>
      <c r="I381" s="17">
        <v>43.0</v>
      </c>
      <c r="J381" s="12" t="s">
        <v>40</v>
      </c>
      <c r="K381" s="12" t="s">
        <v>65</v>
      </c>
      <c r="L381" s="17">
        <v>1085.0</v>
      </c>
      <c r="M381" s="17">
        <v>3.0</v>
      </c>
      <c r="N381" s="17">
        <v>2.0</v>
      </c>
      <c r="O381" s="17">
        <v>28.1</v>
      </c>
      <c r="P381" s="17">
        <v>4.3</v>
      </c>
      <c r="Q381" s="15">
        <v>46419.0</v>
      </c>
      <c r="R381" s="12"/>
      <c r="S381" s="12" t="s">
        <v>55</v>
      </c>
      <c r="T381" s="12" t="s">
        <v>66</v>
      </c>
      <c r="U381" s="17">
        <f t="shared" si="1"/>
        <v>2</v>
      </c>
    </row>
    <row r="382">
      <c r="A382" s="12" t="s">
        <v>895</v>
      </c>
      <c r="B382" s="12" t="s">
        <v>139</v>
      </c>
      <c r="C382" s="17">
        <v>53.0</v>
      </c>
      <c r="D382" s="12" t="s">
        <v>85</v>
      </c>
      <c r="E382" s="12" t="s">
        <v>87</v>
      </c>
      <c r="F382" s="12" t="s">
        <v>62</v>
      </c>
      <c r="G382" s="12" t="s">
        <v>39</v>
      </c>
      <c r="H382" s="15">
        <v>45431.0</v>
      </c>
      <c r="I382" s="17">
        <v>39.0</v>
      </c>
      <c r="J382" s="12" t="s">
        <v>64</v>
      </c>
      <c r="K382" s="12" t="s">
        <v>65</v>
      </c>
      <c r="L382" s="17">
        <v>754.0</v>
      </c>
      <c r="M382" s="17">
        <v>1.0</v>
      </c>
      <c r="N382" s="17">
        <v>0.0</v>
      </c>
      <c r="O382" s="17">
        <v>3.8</v>
      </c>
      <c r="P382" s="17">
        <v>4.0</v>
      </c>
      <c r="Q382" s="15">
        <v>46468.0</v>
      </c>
      <c r="R382" s="12"/>
      <c r="S382" s="12" t="s">
        <v>55</v>
      </c>
      <c r="T382" s="12" t="s">
        <v>104</v>
      </c>
      <c r="U382" s="17">
        <f t="shared" si="1"/>
        <v>2</v>
      </c>
    </row>
    <row r="383">
      <c r="A383" s="12" t="s">
        <v>733</v>
      </c>
      <c r="B383" s="12" t="s">
        <v>235</v>
      </c>
      <c r="C383" s="17">
        <v>52.0</v>
      </c>
      <c r="D383" s="12" t="s">
        <v>85</v>
      </c>
      <c r="E383" s="12" t="s">
        <v>92</v>
      </c>
      <c r="F383" s="12" t="s">
        <v>62</v>
      </c>
      <c r="G383" s="12" t="s">
        <v>120</v>
      </c>
      <c r="H383" s="15">
        <v>45976.0</v>
      </c>
      <c r="I383" s="17">
        <v>6.0</v>
      </c>
      <c r="J383" s="12" t="s">
        <v>64</v>
      </c>
      <c r="K383" s="12" t="s">
        <v>42</v>
      </c>
      <c r="L383" s="17">
        <v>873.0</v>
      </c>
      <c r="M383" s="17">
        <v>0.0</v>
      </c>
      <c r="N383" s="17">
        <v>1.0</v>
      </c>
      <c r="O383" s="17">
        <v>23.5</v>
      </c>
      <c r="P383" s="17">
        <v>1.4</v>
      </c>
      <c r="Q383" s="15">
        <v>46057.0</v>
      </c>
      <c r="R383" s="12"/>
      <c r="S383" s="12" t="s">
        <v>55</v>
      </c>
      <c r="T383" s="12" t="s">
        <v>47</v>
      </c>
      <c r="U383" s="17">
        <f t="shared" si="1"/>
        <v>4</v>
      </c>
    </row>
    <row r="384">
      <c r="A384" s="12" t="s">
        <v>896</v>
      </c>
      <c r="B384" s="12" t="s">
        <v>411</v>
      </c>
      <c r="C384" s="17">
        <v>37.0</v>
      </c>
      <c r="D384" s="12" t="s">
        <v>35</v>
      </c>
      <c r="E384" s="12" t="s">
        <v>161</v>
      </c>
      <c r="F384" s="12" t="s">
        <v>37</v>
      </c>
      <c r="G384" s="12" t="s">
        <v>210</v>
      </c>
      <c r="H384" s="15">
        <v>45657.0</v>
      </c>
      <c r="I384" s="17">
        <v>1.0</v>
      </c>
      <c r="J384" s="12" t="s">
        <v>53</v>
      </c>
      <c r="K384" s="12" t="s">
        <v>42</v>
      </c>
      <c r="L384" s="17">
        <v>1479.0</v>
      </c>
      <c r="M384" s="12"/>
      <c r="N384" s="17">
        <v>2.0</v>
      </c>
      <c r="O384" s="17">
        <v>19.3</v>
      </c>
      <c r="P384" s="17">
        <v>2.7</v>
      </c>
      <c r="Q384" s="15">
        <v>45688.0</v>
      </c>
      <c r="R384" s="12"/>
      <c r="S384" s="12" t="s">
        <v>55</v>
      </c>
      <c r="T384" s="12" t="s">
        <v>104</v>
      </c>
      <c r="U384" s="17">
        <f t="shared" si="1"/>
        <v>1</v>
      </c>
    </row>
    <row r="385">
      <c r="A385" s="12" t="s">
        <v>897</v>
      </c>
      <c r="B385" s="12" t="s">
        <v>331</v>
      </c>
      <c r="C385" s="17">
        <v>50.0</v>
      </c>
      <c r="D385" s="12" t="s">
        <v>60</v>
      </c>
      <c r="E385" s="12" t="s">
        <v>107</v>
      </c>
      <c r="F385" s="12" t="s">
        <v>62</v>
      </c>
      <c r="G385" s="12" t="s">
        <v>120</v>
      </c>
      <c r="H385" s="15">
        <v>45746.0</v>
      </c>
      <c r="I385" s="17">
        <v>11.0</v>
      </c>
      <c r="J385" s="12" t="s">
        <v>40</v>
      </c>
      <c r="K385" s="12" t="s">
        <v>42</v>
      </c>
      <c r="L385" s="17">
        <v>835.0</v>
      </c>
      <c r="M385" s="17">
        <v>2.0</v>
      </c>
      <c r="N385" s="17">
        <v>0.0</v>
      </c>
      <c r="O385" s="17">
        <v>27.7</v>
      </c>
      <c r="P385" s="17">
        <v>4.4</v>
      </c>
      <c r="Q385" s="15">
        <v>46075.0</v>
      </c>
      <c r="R385" s="12"/>
      <c r="S385" s="12" t="s">
        <v>55</v>
      </c>
      <c r="T385" s="12" t="s">
        <v>66</v>
      </c>
      <c r="U385" s="17">
        <f t="shared" si="1"/>
        <v>1</v>
      </c>
    </row>
    <row r="386">
      <c r="A386" s="12" t="s">
        <v>473</v>
      </c>
      <c r="B386" s="12" t="s">
        <v>257</v>
      </c>
      <c r="C386" s="17">
        <v>30.0</v>
      </c>
      <c r="D386" s="12" t="s">
        <v>445</v>
      </c>
      <c r="E386" s="12" t="s">
        <v>107</v>
      </c>
      <c r="F386" s="12" t="s">
        <v>62</v>
      </c>
      <c r="G386" s="12" t="s">
        <v>210</v>
      </c>
      <c r="H386" s="15">
        <v>45125.0</v>
      </c>
      <c r="I386" s="17">
        <v>17.0</v>
      </c>
      <c r="J386" s="12" t="s">
        <v>53</v>
      </c>
      <c r="K386" s="12" t="s">
        <v>81</v>
      </c>
      <c r="L386" s="17">
        <v>556.0</v>
      </c>
      <c r="M386" s="17">
        <v>1.0</v>
      </c>
      <c r="N386" s="17">
        <v>4.0</v>
      </c>
      <c r="O386" s="17">
        <v>24.9</v>
      </c>
      <c r="P386" s="17">
        <v>4.2</v>
      </c>
      <c r="Q386" s="15">
        <v>45289.0</v>
      </c>
      <c r="R386" s="12"/>
      <c r="S386" s="12" t="s">
        <v>55</v>
      </c>
      <c r="T386" s="12" t="s">
        <v>47</v>
      </c>
      <c r="U386" s="17">
        <f t="shared" si="1"/>
        <v>4</v>
      </c>
    </row>
    <row r="387">
      <c r="A387" s="12" t="s">
        <v>898</v>
      </c>
      <c r="B387" s="12" t="s">
        <v>316</v>
      </c>
      <c r="C387" s="17">
        <v>65.0</v>
      </c>
      <c r="D387" s="12" t="s">
        <v>69</v>
      </c>
      <c r="E387" s="12" t="s">
        <v>70</v>
      </c>
      <c r="F387" s="12" t="s">
        <v>62</v>
      </c>
      <c r="G387" s="12" t="s">
        <v>63</v>
      </c>
      <c r="H387" s="15">
        <v>44859.0</v>
      </c>
      <c r="I387" s="17">
        <v>39.0</v>
      </c>
      <c r="J387" s="12" t="s">
        <v>64</v>
      </c>
      <c r="K387" s="12" t="s">
        <v>42</v>
      </c>
      <c r="L387" s="17">
        <v>577.0</v>
      </c>
      <c r="M387" s="17">
        <v>0.0</v>
      </c>
      <c r="N387" s="17">
        <v>2.0</v>
      </c>
      <c r="O387" s="17">
        <v>31.9</v>
      </c>
      <c r="P387" s="17">
        <v>4.6</v>
      </c>
      <c r="Q387" s="15">
        <v>45714.0</v>
      </c>
      <c r="R387" s="12" t="s">
        <v>170</v>
      </c>
      <c r="S387" s="12" t="s">
        <v>45</v>
      </c>
      <c r="T387" s="12" t="s">
        <v>47</v>
      </c>
      <c r="U387" s="17">
        <f t="shared" si="1"/>
        <v>1</v>
      </c>
    </row>
    <row r="388">
      <c r="A388" s="12" t="s">
        <v>332</v>
      </c>
      <c r="B388" s="12" t="s">
        <v>395</v>
      </c>
      <c r="C388" s="17">
        <v>43.0</v>
      </c>
      <c r="D388" s="12" t="s">
        <v>60</v>
      </c>
      <c r="E388" s="12" t="s">
        <v>61</v>
      </c>
      <c r="F388" s="12" t="s">
        <v>37</v>
      </c>
      <c r="G388" s="12" t="s">
        <v>93</v>
      </c>
      <c r="H388" s="15">
        <v>44799.0</v>
      </c>
      <c r="I388" s="17">
        <v>4.0</v>
      </c>
      <c r="J388" s="12" t="s">
        <v>64</v>
      </c>
      <c r="K388" s="12" t="s">
        <v>81</v>
      </c>
      <c r="L388" s="17">
        <v>1486.0</v>
      </c>
      <c r="M388" s="17">
        <v>1.0</v>
      </c>
      <c r="N388" s="17">
        <v>0.0</v>
      </c>
      <c r="O388" s="17">
        <v>31.3</v>
      </c>
      <c r="P388" s="17">
        <v>5.0</v>
      </c>
      <c r="Q388" s="15">
        <v>44930.0</v>
      </c>
      <c r="R388" s="12"/>
      <c r="S388" s="12" t="s">
        <v>55</v>
      </c>
      <c r="T388" s="12" t="s">
        <v>75</v>
      </c>
      <c r="U388" s="17">
        <f t="shared" si="1"/>
        <v>4</v>
      </c>
    </row>
    <row r="389">
      <c r="A389" s="12" t="s">
        <v>695</v>
      </c>
      <c r="B389" s="12" t="s">
        <v>651</v>
      </c>
      <c r="C389" s="17">
        <v>53.0</v>
      </c>
      <c r="D389" s="12" t="s">
        <v>60</v>
      </c>
      <c r="E389" s="12" t="s">
        <v>97</v>
      </c>
      <c r="F389" s="12" t="s">
        <v>37</v>
      </c>
      <c r="G389" s="12" t="s">
        <v>120</v>
      </c>
      <c r="H389" s="15">
        <v>44586.0</v>
      </c>
      <c r="I389" s="17">
        <v>19.0</v>
      </c>
      <c r="J389" s="12" t="s">
        <v>64</v>
      </c>
      <c r="K389" s="12" t="s">
        <v>65</v>
      </c>
      <c r="L389" s="17">
        <v>1390.0</v>
      </c>
      <c r="M389" s="17">
        <v>2.0</v>
      </c>
      <c r="N389" s="17">
        <v>1.0</v>
      </c>
      <c r="O389" s="17">
        <v>15.3</v>
      </c>
      <c r="P389" s="17">
        <v>4.4</v>
      </c>
      <c r="Q389" s="15">
        <v>44919.0</v>
      </c>
      <c r="R389" s="12" t="s">
        <v>899</v>
      </c>
      <c r="S389" s="12" t="s">
        <v>45</v>
      </c>
      <c r="T389" s="12" t="s">
        <v>75</v>
      </c>
      <c r="U389" s="17">
        <f t="shared" si="1"/>
        <v>5</v>
      </c>
    </row>
    <row r="390">
      <c r="A390" s="12" t="s">
        <v>900</v>
      </c>
      <c r="B390" s="12" t="s">
        <v>172</v>
      </c>
      <c r="C390" s="17">
        <v>52.0</v>
      </c>
      <c r="D390" s="12" t="s">
        <v>60</v>
      </c>
      <c r="E390" s="12" t="s">
        <v>107</v>
      </c>
      <c r="F390" s="12" t="s">
        <v>62</v>
      </c>
      <c r="G390" s="12" t="s">
        <v>93</v>
      </c>
      <c r="H390" s="15">
        <v>44763.0</v>
      </c>
      <c r="I390" s="17">
        <v>17.0</v>
      </c>
      <c r="J390" s="12" t="s">
        <v>53</v>
      </c>
      <c r="K390" s="12" t="s">
        <v>81</v>
      </c>
      <c r="L390" s="17">
        <v>699.0</v>
      </c>
      <c r="M390" s="17">
        <v>5.0</v>
      </c>
      <c r="N390" s="17">
        <v>2.0</v>
      </c>
      <c r="O390" s="17">
        <v>22.9</v>
      </c>
      <c r="P390" s="17">
        <v>3.5</v>
      </c>
      <c r="Q390" s="15">
        <v>45020.0</v>
      </c>
      <c r="R390" s="12"/>
      <c r="S390" s="12" t="s">
        <v>55</v>
      </c>
      <c r="T390" s="12" t="s">
        <v>47</v>
      </c>
      <c r="U390" s="17">
        <f t="shared" si="1"/>
        <v>2</v>
      </c>
    </row>
    <row r="391">
      <c r="A391" s="12" t="s">
        <v>901</v>
      </c>
      <c r="B391" s="12" t="s">
        <v>420</v>
      </c>
      <c r="C391" s="17">
        <v>31.0</v>
      </c>
      <c r="D391" s="12" t="s">
        <v>35</v>
      </c>
      <c r="E391" s="12" t="s">
        <v>36</v>
      </c>
      <c r="F391" s="12" t="s">
        <v>37</v>
      </c>
      <c r="G391" s="12" t="s">
        <v>63</v>
      </c>
      <c r="H391" s="15">
        <v>45404.0</v>
      </c>
      <c r="I391" s="17">
        <v>7.0</v>
      </c>
      <c r="J391" s="12" t="s">
        <v>40</v>
      </c>
      <c r="K391" s="12" t="s">
        <v>42</v>
      </c>
      <c r="L391" s="17">
        <v>1455.0</v>
      </c>
      <c r="M391" s="17">
        <v>1.0</v>
      </c>
      <c r="N391" s="17">
        <v>4.0</v>
      </c>
      <c r="O391" s="17">
        <v>23.7</v>
      </c>
      <c r="P391" s="17">
        <v>4.2</v>
      </c>
      <c r="Q391" s="15">
        <v>45470.0</v>
      </c>
      <c r="R391" s="12"/>
      <c r="S391" s="12" t="s">
        <v>55</v>
      </c>
      <c r="T391" s="12" t="s">
        <v>66</v>
      </c>
      <c r="U391" s="17">
        <f t="shared" si="1"/>
        <v>4</v>
      </c>
    </row>
    <row r="392">
      <c r="A392" s="12" t="s">
        <v>902</v>
      </c>
      <c r="B392" s="12" t="s">
        <v>605</v>
      </c>
      <c r="C392" s="17">
        <v>26.0</v>
      </c>
      <c r="D392" s="12" t="s">
        <v>35</v>
      </c>
      <c r="E392" s="12" t="s">
        <v>51</v>
      </c>
      <c r="F392" s="12" t="s">
        <v>79</v>
      </c>
      <c r="G392" s="12" t="s">
        <v>52</v>
      </c>
      <c r="H392" s="15">
        <v>44811.0</v>
      </c>
      <c r="I392" s="17">
        <v>46.0</v>
      </c>
      <c r="J392" s="12" t="s">
        <v>64</v>
      </c>
      <c r="K392" s="12" t="s">
        <v>42</v>
      </c>
      <c r="L392" s="12"/>
      <c r="M392" s="17">
        <v>1.0</v>
      </c>
      <c r="N392" s="17">
        <v>2.0</v>
      </c>
      <c r="O392" s="17">
        <v>38.0</v>
      </c>
      <c r="P392" s="17">
        <v>4.3</v>
      </c>
      <c r="Q392" s="15">
        <v>45590.0</v>
      </c>
      <c r="R392" s="12" t="s">
        <v>903</v>
      </c>
      <c r="S392" s="12" t="s">
        <v>45</v>
      </c>
      <c r="T392" s="12" t="s">
        <v>72</v>
      </c>
      <c r="U392" s="17">
        <f t="shared" si="1"/>
        <v>1</v>
      </c>
    </row>
    <row r="393">
      <c r="A393" s="12" t="s">
        <v>904</v>
      </c>
      <c r="B393" s="12" t="s">
        <v>736</v>
      </c>
      <c r="C393" s="17">
        <v>68.0</v>
      </c>
      <c r="D393" s="12" t="s">
        <v>85</v>
      </c>
      <c r="E393" s="12" t="s">
        <v>292</v>
      </c>
      <c r="F393" s="12" t="s">
        <v>37</v>
      </c>
      <c r="G393" s="12" t="s">
        <v>210</v>
      </c>
      <c r="H393" s="15">
        <v>45436.0</v>
      </c>
      <c r="I393" s="17">
        <v>45.0</v>
      </c>
      <c r="J393" s="12" t="s">
        <v>40</v>
      </c>
      <c r="K393" s="12" t="s">
        <v>65</v>
      </c>
      <c r="L393" s="17">
        <v>1787.0</v>
      </c>
      <c r="M393" s="17">
        <v>3.0</v>
      </c>
      <c r="N393" s="17">
        <v>1.0</v>
      </c>
      <c r="O393" s="17">
        <v>27.5</v>
      </c>
      <c r="P393" s="17">
        <v>4.1</v>
      </c>
      <c r="Q393" s="15">
        <v>45973.0</v>
      </c>
      <c r="R393" s="12" t="s">
        <v>905</v>
      </c>
      <c r="S393" s="12" t="s">
        <v>45</v>
      </c>
      <c r="T393" s="12" t="s">
        <v>75</v>
      </c>
      <c r="U393" s="17">
        <f t="shared" si="1"/>
        <v>1</v>
      </c>
    </row>
    <row r="394">
      <c r="A394" s="12" t="s">
        <v>906</v>
      </c>
      <c r="B394" s="12" t="s">
        <v>235</v>
      </c>
      <c r="C394" s="17">
        <v>28.0</v>
      </c>
      <c r="D394" s="12" t="s">
        <v>35</v>
      </c>
      <c r="E394" s="12" t="s">
        <v>161</v>
      </c>
      <c r="F394" s="12" t="s">
        <v>79</v>
      </c>
      <c r="G394" s="12" t="s">
        <v>210</v>
      </c>
      <c r="H394" s="15">
        <v>44926.0</v>
      </c>
      <c r="I394" s="17">
        <v>29.0</v>
      </c>
      <c r="J394" s="12" t="s">
        <v>64</v>
      </c>
      <c r="K394" s="12" t="s">
        <v>65</v>
      </c>
      <c r="L394" s="17">
        <v>2803.0</v>
      </c>
      <c r="M394" s="17">
        <v>2.0</v>
      </c>
      <c r="N394" s="17">
        <v>1.0</v>
      </c>
      <c r="O394" s="17">
        <v>52.6</v>
      </c>
      <c r="P394" s="17">
        <v>3.7</v>
      </c>
      <c r="Q394" s="15">
        <v>45118.0</v>
      </c>
      <c r="R394" s="12"/>
      <c r="S394" s="12" t="s">
        <v>55</v>
      </c>
      <c r="T394" s="12" t="s">
        <v>47</v>
      </c>
      <c r="U394" s="17">
        <f t="shared" si="1"/>
        <v>1</v>
      </c>
    </row>
    <row r="395">
      <c r="A395" s="12" t="s">
        <v>907</v>
      </c>
      <c r="B395" s="12" t="s">
        <v>345</v>
      </c>
      <c r="C395" s="17">
        <v>28.0</v>
      </c>
      <c r="D395" s="12" t="s">
        <v>35</v>
      </c>
      <c r="E395" s="12" t="s">
        <v>140</v>
      </c>
      <c r="F395" s="12" t="s">
        <v>37</v>
      </c>
      <c r="G395" s="12" t="s">
        <v>63</v>
      </c>
      <c r="H395" s="15">
        <v>44633.0</v>
      </c>
      <c r="I395" s="17">
        <v>5.0</v>
      </c>
      <c r="J395" s="12" t="s">
        <v>64</v>
      </c>
      <c r="K395" s="12" t="s">
        <v>81</v>
      </c>
      <c r="L395" s="17">
        <v>1255.0</v>
      </c>
      <c r="M395" s="17">
        <v>4.0</v>
      </c>
      <c r="N395" s="17">
        <v>1.0</v>
      </c>
      <c r="O395" s="17">
        <v>24.2</v>
      </c>
      <c r="P395" s="17">
        <v>2.9</v>
      </c>
      <c r="Q395" s="15">
        <v>44757.0</v>
      </c>
      <c r="R395" s="12"/>
      <c r="S395" s="12" t="s">
        <v>55</v>
      </c>
      <c r="T395" s="12" t="s">
        <v>104</v>
      </c>
      <c r="U395" s="17">
        <f t="shared" si="1"/>
        <v>1</v>
      </c>
    </row>
    <row r="396">
      <c r="A396" s="12" t="s">
        <v>733</v>
      </c>
      <c r="B396" s="12" t="s">
        <v>393</v>
      </c>
      <c r="C396" s="17">
        <v>65.0</v>
      </c>
      <c r="D396" s="12" t="s">
        <v>85</v>
      </c>
      <c r="E396" s="12" t="s">
        <v>92</v>
      </c>
      <c r="F396" s="12" t="s">
        <v>62</v>
      </c>
      <c r="G396" s="12" t="s">
        <v>210</v>
      </c>
      <c r="H396" s="15">
        <v>45363.0</v>
      </c>
      <c r="I396" s="17">
        <v>37.0</v>
      </c>
      <c r="J396" s="12" t="s">
        <v>40</v>
      </c>
      <c r="K396" s="12" t="s">
        <v>81</v>
      </c>
      <c r="L396" s="17">
        <v>861.0</v>
      </c>
      <c r="M396" s="17">
        <v>1.0</v>
      </c>
      <c r="N396" s="17">
        <v>0.0</v>
      </c>
      <c r="O396" s="17">
        <v>18.6</v>
      </c>
      <c r="P396" s="17">
        <v>3.1</v>
      </c>
      <c r="Q396" s="15">
        <v>46352.0</v>
      </c>
      <c r="R396" s="12"/>
      <c r="S396" s="12" t="s">
        <v>55</v>
      </c>
      <c r="T396" s="12" t="s">
        <v>47</v>
      </c>
      <c r="U396" s="17">
        <f t="shared" si="1"/>
        <v>4</v>
      </c>
    </row>
    <row r="397">
      <c r="A397" s="12" t="s">
        <v>95</v>
      </c>
      <c r="B397" s="12" t="s">
        <v>342</v>
      </c>
      <c r="C397" s="17">
        <v>53.0</v>
      </c>
      <c r="D397" s="12" t="s">
        <v>85</v>
      </c>
      <c r="E397" s="12" t="s">
        <v>87</v>
      </c>
      <c r="F397" s="12" t="s">
        <v>62</v>
      </c>
      <c r="G397" s="12" t="s">
        <v>80</v>
      </c>
      <c r="H397" s="15">
        <v>45297.0</v>
      </c>
      <c r="I397" s="17">
        <v>22.0</v>
      </c>
      <c r="J397" s="12" t="s">
        <v>53</v>
      </c>
      <c r="K397" s="12" t="s">
        <v>42</v>
      </c>
      <c r="L397" s="17">
        <v>704.0</v>
      </c>
      <c r="M397" s="17">
        <v>2.0</v>
      </c>
      <c r="N397" s="17">
        <v>1.0</v>
      </c>
      <c r="O397" s="17">
        <v>5.8</v>
      </c>
      <c r="P397" s="17">
        <v>4.7</v>
      </c>
      <c r="Q397" s="15">
        <v>45969.0</v>
      </c>
      <c r="R397" s="12"/>
      <c r="S397" s="12" t="s">
        <v>55</v>
      </c>
      <c r="T397" s="12" t="s">
        <v>75</v>
      </c>
      <c r="U397" s="17">
        <f t="shared" si="1"/>
        <v>4</v>
      </c>
    </row>
    <row r="398">
      <c r="A398" s="12" t="s">
        <v>909</v>
      </c>
      <c r="B398" s="12" t="s">
        <v>910</v>
      </c>
      <c r="C398" s="17">
        <v>24.0</v>
      </c>
      <c r="D398" s="12" t="s">
        <v>267</v>
      </c>
      <c r="E398" s="12" t="s">
        <v>97</v>
      </c>
      <c r="F398" s="12" t="s">
        <v>62</v>
      </c>
      <c r="G398" s="12" t="s">
        <v>63</v>
      </c>
      <c r="H398" s="15">
        <v>45348.0</v>
      </c>
      <c r="I398" s="17">
        <v>43.0</v>
      </c>
      <c r="J398" s="12" t="s">
        <v>64</v>
      </c>
      <c r="K398" s="12" t="s">
        <v>65</v>
      </c>
      <c r="L398" s="17">
        <v>855.0</v>
      </c>
      <c r="M398" s="17">
        <v>1.0</v>
      </c>
      <c r="N398" s="17">
        <v>1.0</v>
      </c>
      <c r="O398" s="17">
        <v>32.5</v>
      </c>
      <c r="P398" s="17">
        <v>3.1</v>
      </c>
      <c r="Q398" s="15">
        <v>45576.0</v>
      </c>
      <c r="R398" s="12"/>
      <c r="S398" s="12" t="s">
        <v>55</v>
      </c>
      <c r="T398" s="12" t="s">
        <v>47</v>
      </c>
      <c r="U398" s="17">
        <f t="shared" si="1"/>
        <v>4</v>
      </c>
    </row>
    <row r="399">
      <c r="A399" s="12" t="s">
        <v>911</v>
      </c>
      <c r="B399" s="12" t="s">
        <v>645</v>
      </c>
      <c r="C399" s="17">
        <v>20.0</v>
      </c>
      <c r="D399" s="12" t="s">
        <v>658</v>
      </c>
      <c r="E399" s="12" t="s">
        <v>51</v>
      </c>
      <c r="F399" s="12" t="s">
        <v>62</v>
      </c>
      <c r="G399" s="12" t="s">
        <v>80</v>
      </c>
      <c r="H399" s="15">
        <v>45050.0</v>
      </c>
      <c r="I399" s="17">
        <v>32.0</v>
      </c>
      <c r="J399" s="12" t="s">
        <v>40</v>
      </c>
      <c r="K399" s="12" t="s">
        <v>65</v>
      </c>
      <c r="L399" s="17">
        <v>775.0</v>
      </c>
      <c r="M399" s="17">
        <v>1.0</v>
      </c>
      <c r="N399" s="17">
        <v>1.0</v>
      </c>
      <c r="O399" s="17">
        <v>29.1</v>
      </c>
      <c r="P399" s="17">
        <v>4.7</v>
      </c>
      <c r="Q399" s="15">
        <v>45571.0</v>
      </c>
      <c r="R399" s="12"/>
      <c r="S399" s="12" t="s">
        <v>55</v>
      </c>
      <c r="T399" s="12" t="s">
        <v>104</v>
      </c>
      <c r="U399" s="17">
        <f t="shared" si="1"/>
        <v>1</v>
      </c>
    </row>
    <row r="400">
      <c r="A400" s="12" t="s">
        <v>912</v>
      </c>
      <c r="B400" s="12" t="s">
        <v>215</v>
      </c>
      <c r="C400" s="17">
        <v>21.0</v>
      </c>
      <c r="D400" s="12" t="s">
        <v>35</v>
      </c>
      <c r="E400" s="12" t="s">
        <v>140</v>
      </c>
      <c r="F400" s="12" t="s">
        <v>62</v>
      </c>
      <c r="G400" s="12" t="s">
        <v>93</v>
      </c>
      <c r="H400" s="15">
        <v>45901.0</v>
      </c>
      <c r="I400" s="17">
        <v>43.0</v>
      </c>
      <c r="J400" s="12" t="s">
        <v>64</v>
      </c>
      <c r="K400" s="12" t="s">
        <v>42</v>
      </c>
      <c r="L400" s="17">
        <v>846.0</v>
      </c>
      <c r="M400" s="17">
        <v>1.0</v>
      </c>
      <c r="N400" s="17">
        <v>1.0</v>
      </c>
      <c r="O400" s="17">
        <v>15.6</v>
      </c>
      <c r="P400" s="17">
        <v>3.2</v>
      </c>
      <c r="Q400" s="15">
        <v>47097.0</v>
      </c>
      <c r="R400" s="12"/>
      <c r="S400" s="12" t="s">
        <v>55</v>
      </c>
      <c r="T400" s="12" t="s">
        <v>75</v>
      </c>
      <c r="U400" s="17">
        <f t="shared" si="1"/>
        <v>2</v>
      </c>
    </row>
    <row r="401">
      <c r="A401" s="12" t="s">
        <v>913</v>
      </c>
      <c r="B401" s="12" t="s">
        <v>331</v>
      </c>
      <c r="C401" s="17">
        <v>25.0</v>
      </c>
      <c r="D401" s="12" t="s">
        <v>35</v>
      </c>
      <c r="E401" s="12" t="s">
        <v>140</v>
      </c>
      <c r="F401" s="12" t="s">
        <v>79</v>
      </c>
      <c r="G401" s="12" t="s">
        <v>80</v>
      </c>
      <c r="H401" s="15">
        <v>44655.0</v>
      </c>
      <c r="I401" s="17">
        <v>16.0</v>
      </c>
      <c r="J401" s="12" t="s">
        <v>53</v>
      </c>
      <c r="K401" s="12" t="s">
        <v>81</v>
      </c>
      <c r="L401" s="17">
        <v>2351.0</v>
      </c>
      <c r="M401" s="17">
        <v>1.0</v>
      </c>
      <c r="N401" s="17">
        <v>1.0</v>
      </c>
      <c r="O401" s="17">
        <v>27.4</v>
      </c>
      <c r="P401" s="17">
        <v>3.8</v>
      </c>
      <c r="Q401" s="15">
        <v>44988.0</v>
      </c>
      <c r="R401" s="12"/>
      <c r="S401" s="12" t="s">
        <v>55</v>
      </c>
      <c r="T401" s="12" t="s">
        <v>47</v>
      </c>
      <c r="U401" s="17">
        <f t="shared" si="1"/>
        <v>1</v>
      </c>
    </row>
    <row r="402">
      <c r="A402" s="12" t="s">
        <v>792</v>
      </c>
      <c r="B402" s="12" t="s">
        <v>411</v>
      </c>
      <c r="C402" s="17">
        <v>26.0</v>
      </c>
      <c r="D402" s="12" t="s">
        <v>35</v>
      </c>
      <c r="E402" s="12" t="s">
        <v>36</v>
      </c>
      <c r="F402" s="12" t="s">
        <v>62</v>
      </c>
      <c r="G402" s="12" t="s">
        <v>80</v>
      </c>
      <c r="H402" s="15">
        <v>45822.0</v>
      </c>
      <c r="I402" s="17">
        <v>15.0</v>
      </c>
      <c r="J402" s="12" t="s">
        <v>64</v>
      </c>
      <c r="K402" s="12" t="s">
        <v>81</v>
      </c>
      <c r="L402" s="17">
        <v>602.0</v>
      </c>
      <c r="M402" s="17">
        <v>2.0</v>
      </c>
      <c r="N402" s="17">
        <v>0.0</v>
      </c>
      <c r="O402" s="17">
        <v>12.9</v>
      </c>
      <c r="P402" s="17">
        <v>5.0</v>
      </c>
      <c r="Q402" s="15">
        <v>46247.0</v>
      </c>
      <c r="R402" s="12"/>
      <c r="S402" s="12" t="s">
        <v>55</v>
      </c>
      <c r="T402" s="12" t="s">
        <v>66</v>
      </c>
      <c r="U402" s="17">
        <f t="shared" si="1"/>
        <v>2</v>
      </c>
    </row>
    <row r="403">
      <c r="A403" s="12" t="s">
        <v>646</v>
      </c>
      <c r="B403" s="12" t="s">
        <v>405</v>
      </c>
      <c r="C403" s="17">
        <v>54.0</v>
      </c>
      <c r="D403" s="12" t="s">
        <v>60</v>
      </c>
      <c r="E403" s="12" t="s">
        <v>97</v>
      </c>
      <c r="F403" s="12" t="s">
        <v>37</v>
      </c>
      <c r="G403" s="12" t="s">
        <v>80</v>
      </c>
      <c r="H403" s="15">
        <v>44917.0</v>
      </c>
      <c r="I403" s="17">
        <v>22.0</v>
      </c>
      <c r="J403" s="12" t="s">
        <v>40</v>
      </c>
      <c r="K403" s="12" t="s">
        <v>65</v>
      </c>
      <c r="L403" s="17">
        <v>1143.0</v>
      </c>
      <c r="M403" s="17">
        <v>3.0</v>
      </c>
      <c r="N403" s="17">
        <v>0.0</v>
      </c>
      <c r="O403" s="17">
        <v>14.0</v>
      </c>
      <c r="P403" s="17">
        <v>3.6</v>
      </c>
      <c r="Q403" s="15">
        <v>45352.0</v>
      </c>
      <c r="R403" s="12"/>
      <c r="S403" s="12" t="s">
        <v>55</v>
      </c>
      <c r="T403" s="12" t="s">
        <v>47</v>
      </c>
      <c r="U403" s="17">
        <f t="shared" si="1"/>
        <v>3</v>
      </c>
    </row>
    <row r="404">
      <c r="A404" s="12" t="s">
        <v>914</v>
      </c>
      <c r="B404" s="12" t="s">
        <v>303</v>
      </c>
      <c r="C404" s="17">
        <v>19.0</v>
      </c>
      <c r="D404" s="12" t="s">
        <v>267</v>
      </c>
      <c r="E404" s="12" t="s">
        <v>51</v>
      </c>
      <c r="F404" s="12" t="s">
        <v>62</v>
      </c>
      <c r="G404" s="12" t="s">
        <v>93</v>
      </c>
      <c r="H404" s="15">
        <v>45856.0</v>
      </c>
      <c r="I404" s="17">
        <v>40.0</v>
      </c>
      <c r="J404" s="12" t="s">
        <v>40</v>
      </c>
      <c r="K404" s="12" t="s">
        <v>42</v>
      </c>
      <c r="L404" s="17">
        <v>579.0</v>
      </c>
      <c r="M404" s="17">
        <v>3.0</v>
      </c>
      <c r="N404" s="17">
        <v>0.0</v>
      </c>
      <c r="O404" s="17">
        <v>13.6</v>
      </c>
      <c r="P404" s="17">
        <v>3.5</v>
      </c>
      <c r="Q404" s="15">
        <v>46863.0</v>
      </c>
      <c r="R404" s="12"/>
      <c r="S404" s="12" t="s">
        <v>55</v>
      </c>
      <c r="T404" s="12" t="s">
        <v>66</v>
      </c>
      <c r="U404" s="17">
        <f t="shared" si="1"/>
        <v>1</v>
      </c>
    </row>
    <row r="405">
      <c r="A405" s="12" t="s">
        <v>359</v>
      </c>
      <c r="B405" s="12" t="s">
        <v>239</v>
      </c>
      <c r="C405" s="17">
        <v>57.0</v>
      </c>
      <c r="D405" s="12" t="s">
        <v>85</v>
      </c>
      <c r="E405" s="12" t="s">
        <v>87</v>
      </c>
      <c r="F405" s="12" t="s">
        <v>37</v>
      </c>
      <c r="G405" s="12" t="s">
        <v>39</v>
      </c>
      <c r="H405" s="15">
        <v>44855.0</v>
      </c>
      <c r="I405" s="17">
        <v>41.0</v>
      </c>
      <c r="J405" s="12" t="s">
        <v>40</v>
      </c>
      <c r="K405" s="12" t="s">
        <v>81</v>
      </c>
      <c r="L405" s="17">
        <v>1420.0</v>
      </c>
      <c r="M405" s="17">
        <v>2.0</v>
      </c>
      <c r="N405" s="17">
        <v>3.0</v>
      </c>
      <c r="O405" s="17">
        <v>37.5</v>
      </c>
      <c r="P405" s="17">
        <v>4.6</v>
      </c>
      <c r="Q405" s="15">
        <v>45222.0</v>
      </c>
      <c r="R405" s="12"/>
      <c r="S405" s="12" t="s">
        <v>55</v>
      </c>
      <c r="T405" s="12" t="s">
        <v>75</v>
      </c>
      <c r="U405" s="17">
        <f t="shared" si="1"/>
        <v>3</v>
      </c>
    </row>
    <row r="406">
      <c r="A406" s="12" t="s">
        <v>915</v>
      </c>
      <c r="B406" s="12" t="s">
        <v>395</v>
      </c>
      <c r="C406" s="17">
        <v>48.0</v>
      </c>
      <c r="D406" s="12" t="s">
        <v>35</v>
      </c>
      <c r="E406" s="12" t="s">
        <v>161</v>
      </c>
      <c r="F406" s="12" t="s">
        <v>62</v>
      </c>
      <c r="G406" s="12" t="s">
        <v>63</v>
      </c>
      <c r="H406" s="15">
        <v>45704.0</v>
      </c>
      <c r="I406" s="17">
        <v>16.0</v>
      </c>
      <c r="J406" s="12" t="s">
        <v>64</v>
      </c>
      <c r="K406" s="12" t="s">
        <v>81</v>
      </c>
      <c r="L406" s="17">
        <v>770.0</v>
      </c>
      <c r="M406" s="17">
        <v>1.0</v>
      </c>
      <c r="N406" s="17">
        <v>2.0</v>
      </c>
      <c r="O406" s="17">
        <v>22.4</v>
      </c>
      <c r="P406" s="17">
        <v>4.0</v>
      </c>
      <c r="Q406" s="15">
        <v>45899.0</v>
      </c>
      <c r="R406" s="12"/>
      <c r="S406" s="12" t="s">
        <v>55</v>
      </c>
      <c r="T406" s="12" t="s">
        <v>47</v>
      </c>
      <c r="U406" s="17">
        <f t="shared" si="1"/>
        <v>1</v>
      </c>
    </row>
    <row r="407">
      <c r="A407" s="12" t="s">
        <v>917</v>
      </c>
      <c r="B407" s="12" t="s">
        <v>295</v>
      </c>
      <c r="C407" s="17">
        <v>37.0</v>
      </c>
      <c r="D407" s="12" t="s">
        <v>35</v>
      </c>
      <c r="E407" s="12" t="s">
        <v>51</v>
      </c>
      <c r="F407" s="12" t="s">
        <v>62</v>
      </c>
      <c r="G407" s="12" t="s">
        <v>39</v>
      </c>
      <c r="H407" s="15">
        <v>45965.0</v>
      </c>
      <c r="I407" s="17">
        <v>31.0</v>
      </c>
      <c r="J407" s="12" t="s">
        <v>40</v>
      </c>
      <c r="K407" s="12" t="s">
        <v>65</v>
      </c>
      <c r="L407" s="17">
        <v>580.0</v>
      </c>
      <c r="M407" s="17">
        <v>1.0</v>
      </c>
      <c r="N407" s="17">
        <v>2.0</v>
      </c>
      <c r="O407" s="17">
        <v>18.4</v>
      </c>
      <c r="P407" s="17">
        <v>3.5</v>
      </c>
      <c r="Q407" s="15">
        <v>46019.0</v>
      </c>
      <c r="R407" s="12"/>
      <c r="S407" s="12" t="s">
        <v>55</v>
      </c>
      <c r="T407" s="12" t="s">
        <v>72</v>
      </c>
      <c r="U407" s="17">
        <f t="shared" si="1"/>
        <v>3</v>
      </c>
    </row>
    <row r="408">
      <c r="A408" s="12" t="s">
        <v>918</v>
      </c>
      <c r="B408" s="12" t="s">
        <v>349</v>
      </c>
      <c r="C408" s="17">
        <v>65.0</v>
      </c>
      <c r="D408" s="12" t="s">
        <v>85</v>
      </c>
      <c r="E408" s="12" t="s">
        <v>292</v>
      </c>
      <c r="F408" s="12" t="s">
        <v>62</v>
      </c>
      <c r="G408" s="12" t="s">
        <v>63</v>
      </c>
      <c r="H408" s="15">
        <v>45662.0</v>
      </c>
      <c r="I408" s="17">
        <v>12.0</v>
      </c>
      <c r="J408" s="12" t="s">
        <v>53</v>
      </c>
      <c r="K408" s="12" t="s">
        <v>81</v>
      </c>
      <c r="L408" s="17">
        <v>513.0</v>
      </c>
      <c r="M408" s="17">
        <v>1.0</v>
      </c>
      <c r="N408" s="17">
        <v>0.0</v>
      </c>
      <c r="O408" s="17">
        <v>22.5</v>
      </c>
      <c r="P408" s="17">
        <v>2.8</v>
      </c>
      <c r="Q408" s="15">
        <v>45731.0</v>
      </c>
      <c r="R408" s="12"/>
      <c r="S408" s="12" t="s">
        <v>55</v>
      </c>
      <c r="T408" s="12" t="s">
        <v>66</v>
      </c>
      <c r="U408" s="17">
        <f t="shared" si="1"/>
        <v>2</v>
      </c>
    </row>
    <row r="409">
      <c r="A409" s="12" t="s">
        <v>919</v>
      </c>
      <c r="B409" s="12" t="s">
        <v>333</v>
      </c>
      <c r="C409" s="17">
        <v>33.0</v>
      </c>
      <c r="D409" s="12" t="s">
        <v>85</v>
      </c>
      <c r="E409" s="12" t="s">
        <v>111</v>
      </c>
      <c r="F409" s="12" t="s">
        <v>37</v>
      </c>
      <c r="G409" s="12" t="s">
        <v>210</v>
      </c>
      <c r="H409" s="15">
        <v>45033.0</v>
      </c>
      <c r="I409" s="17">
        <v>0.0</v>
      </c>
      <c r="J409" s="12" t="s">
        <v>40</v>
      </c>
      <c r="K409" s="12" t="s">
        <v>65</v>
      </c>
      <c r="L409" s="17">
        <v>1241.0</v>
      </c>
      <c r="M409" s="17">
        <v>3.0</v>
      </c>
      <c r="N409" s="17">
        <v>1.0</v>
      </c>
      <c r="O409" s="17">
        <v>21.1</v>
      </c>
      <c r="P409" s="17">
        <v>3.6</v>
      </c>
      <c r="Q409" s="15">
        <v>45148.0</v>
      </c>
      <c r="R409" s="12"/>
      <c r="S409" s="12" t="s">
        <v>55</v>
      </c>
      <c r="T409" s="12" t="s">
        <v>66</v>
      </c>
      <c r="U409" s="17">
        <f t="shared" si="1"/>
        <v>2</v>
      </c>
    </row>
    <row r="410">
      <c r="A410" s="12" t="s">
        <v>920</v>
      </c>
      <c r="B410" s="12" t="s">
        <v>224</v>
      </c>
      <c r="C410" s="17">
        <v>31.0</v>
      </c>
      <c r="D410" s="12" t="s">
        <v>35</v>
      </c>
      <c r="E410" s="12" t="s">
        <v>140</v>
      </c>
      <c r="F410" s="12" t="s">
        <v>62</v>
      </c>
      <c r="G410" s="12" t="s">
        <v>80</v>
      </c>
      <c r="H410" s="15">
        <v>45493.0</v>
      </c>
      <c r="I410" s="17">
        <v>12.0</v>
      </c>
      <c r="J410" s="12" t="s">
        <v>53</v>
      </c>
      <c r="K410" s="12" t="s">
        <v>42</v>
      </c>
      <c r="L410" s="17">
        <v>568.0</v>
      </c>
      <c r="M410" s="17">
        <v>2.0</v>
      </c>
      <c r="N410" s="17">
        <v>1.0</v>
      </c>
      <c r="O410" s="17">
        <v>18.1</v>
      </c>
      <c r="P410" s="17">
        <v>3.6</v>
      </c>
      <c r="Q410" s="15">
        <v>45602.0</v>
      </c>
      <c r="R410" s="12"/>
      <c r="S410" s="12" t="s">
        <v>55</v>
      </c>
      <c r="T410" s="12" t="s">
        <v>104</v>
      </c>
      <c r="U410" s="17">
        <f t="shared" si="1"/>
        <v>1</v>
      </c>
    </row>
    <row r="411">
      <c r="A411" s="12" t="s">
        <v>469</v>
      </c>
      <c r="B411" s="12" t="s">
        <v>78</v>
      </c>
      <c r="C411" s="17">
        <v>59.0</v>
      </c>
      <c r="D411" s="12" t="s">
        <v>35</v>
      </c>
      <c r="E411" s="12" t="s">
        <v>161</v>
      </c>
      <c r="F411" s="12" t="s">
        <v>716</v>
      </c>
      <c r="G411" s="12" t="s">
        <v>93</v>
      </c>
      <c r="H411" s="15">
        <v>45515.0</v>
      </c>
      <c r="I411" s="17">
        <v>30.0</v>
      </c>
      <c r="J411" s="12" t="s">
        <v>64</v>
      </c>
      <c r="K411" s="12" t="s">
        <v>42</v>
      </c>
      <c r="L411" s="17">
        <v>888.0</v>
      </c>
      <c r="M411" s="17">
        <v>1.0</v>
      </c>
      <c r="N411" s="17">
        <v>0.0</v>
      </c>
      <c r="O411" s="17">
        <v>20.4</v>
      </c>
      <c r="P411" s="17">
        <v>3.5</v>
      </c>
      <c r="Q411" s="15">
        <v>46432.0</v>
      </c>
      <c r="R411" s="12"/>
      <c r="S411" s="12" t="s">
        <v>55</v>
      </c>
      <c r="T411" s="12" t="s">
        <v>66</v>
      </c>
      <c r="U411" s="17">
        <f t="shared" si="1"/>
        <v>3</v>
      </c>
    </row>
    <row r="412">
      <c r="A412" s="12" t="s">
        <v>922</v>
      </c>
      <c r="B412" s="12" t="s">
        <v>801</v>
      </c>
      <c r="C412" s="17">
        <v>34.0</v>
      </c>
      <c r="D412" s="12" t="s">
        <v>69</v>
      </c>
      <c r="E412" s="12" t="s">
        <v>70</v>
      </c>
      <c r="F412" s="12" t="s">
        <v>62</v>
      </c>
      <c r="G412" s="12" t="s">
        <v>80</v>
      </c>
      <c r="H412" s="15">
        <v>45563.0</v>
      </c>
      <c r="I412" s="17">
        <v>14.0</v>
      </c>
      <c r="J412" s="12" t="s">
        <v>53</v>
      </c>
      <c r="K412" s="12" t="s">
        <v>65</v>
      </c>
      <c r="L412" s="17">
        <v>735.0</v>
      </c>
      <c r="M412" s="17">
        <v>1.0</v>
      </c>
      <c r="N412" s="17">
        <v>1.0</v>
      </c>
      <c r="O412" s="17">
        <v>12.4</v>
      </c>
      <c r="P412" s="17">
        <v>2.9</v>
      </c>
      <c r="Q412" s="15">
        <v>45946.0</v>
      </c>
      <c r="R412" s="12"/>
      <c r="S412" s="12" t="s">
        <v>55</v>
      </c>
      <c r="T412" s="12" t="s">
        <v>66</v>
      </c>
      <c r="U412" s="17">
        <f t="shared" si="1"/>
        <v>1</v>
      </c>
    </row>
    <row r="413">
      <c r="A413" s="12" t="s">
        <v>923</v>
      </c>
      <c r="B413" s="12" t="s">
        <v>235</v>
      </c>
      <c r="C413" s="17">
        <v>47.0</v>
      </c>
      <c r="D413" s="12" t="s">
        <v>69</v>
      </c>
      <c r="E413" s="12" t="s">
        <v>70</v>
      </c>
      <c r="F413" s="12" t="s">
        <v>62</v>
      </c>
      <c r="G413" s="12" t="s">
        <v>63</v>
      </c>
      <c r="H413" s="15">
        <v>44644.0</v>
      </c>
      <c r="I413" s="17">
        <v>31.0</v>
      </c>
      <c r="J413" s="12" t="s">
        <v>53</v>
      </c>
      <c r="K413" s="12" t="s">
        <v>42</v>
      </c>
      <c r="L413" s="17">
        <v>757.0</v>
      </c>
      <c r="M413" s="17">
        <v>0.0</v>
      </c>
      <c r="N413" s="17">
        <v>5.0</v>
      </c>
      <c r="O413" s="17">
        <v>30.9</v>
      </c>
      <c r="P413" s="17">
        <v>4.6</v>
      </c>
      <c r="Q413" s="15">
        <v>45197.0</v>
      </c>
      <c r="R413" s="12" t="s">
        <v>924</v>
      </c>
      <c r="S413" s="12" t="s">
        <v>45</v>
      </c>
      <c r="T413" s="12" t="s">
        <v>104</v>
      </c>
      <c r="U413" s="17">
        <f t="shared" si="1"/>
        <v>1</v>
      </c>
    </row>
    <row r="414">
      <c r="A414" s="12" t="s">
        <v>925</v>
      </c>
      <c r="B414" s="12" t="s">
        <v>383</v>
      </c>
      <c r="C414" s="17">
        <v>55.0</v>
      </c>
      <c r="D414" s="12" t="s">
        <v>35</v>
      </c>
      <c r="E414" s="12" t="s">
        <v>140</v>
      </c>
      <c r="F414" s="12" t="s">
        <v>79</v>
      </c>
      <c r="G414" s="12" t="s">
        <v>39</v>
      </c>
      <c r="H414" s="15">
        <v>45296.0</v>
      </c>
      <c r="I414" s="17">
        <v>19.0</v>
      </c>
      <c r="J414" s="12" t="s">
        <v>64</v>
      </c>
      <c r="K414" s="12" t="s">
        <v>81</v>
      </c>
      <c r="L414" s="17">
        <v>2981.0</v>
      </c>
      <c r="M414" s="17">
        <v>3.0</v>
      </c>
      <c r="N414" s="17">
        <v>1.0</v>
      </c>
      <c r="O414" s="17">
        <v>41.9</v>
      </c>
      <c r="P414" s="17">
        <v>2.6</v>
      </c>
      <c r="Q414" s="15">
        <v>45618.0</v>
      </c>
      <c r="R414" s="12"/>
      <c r="S414" s="12" t="s">
        <v>55</v>
      </c>
      <c r="T414" s="12" t="s">
        <v>104</v>
      </c>
      <c r="U414" s="17">
        <f t="shared" si="1"/>
        <v>3</v>
      </c>
    </row>
    <row r="415">
      <c r="A415" s="12" t="s">
        <v>131</v>
      </c>
      <c r="B415" s="12" t="s">
        <v>59</v>
      </c>
      <c r="C415" s="17">
        <v>63.0</v>
      </c>
      <c r="D415" s="12" t="s">
        <v>85</v>
      </c>
      <c r="E415" s="12" t="s">
        <v>111</v>
      </c>
      <c r="F415" s="12" t="s">
        <v>79</v>
      </c>
      <c r="G415" s="12" t="s">
        <v>120</v>
      </c>
      <c r="H415" s="15">
        <v>44940.0</v>
      </c>
      <c r="I415" s="17">
        <v>24.0</v>
      </c>
      <c r="J415" s="12" t="s">
        <v>53</v>
      </c>
      <c r="K415" s="12" t="s">
        <v>81</v>
      </c>
      <c r="L415" s="17">
        <v>2001.0</v>
      </c>
      <c r="M415" s="17">
        <v>1.0</v>
      </c>
      <c r="N415" s="17">
        <v>3.0</v>
      </c>
      <c r="O415" s="17">
        <v>46.6</v>
      </c>
      <c r="P415" s="17">
        <v>5.0</v>
      </c>
      <c r="Q415" s="15">
        <v>45592.0</v>
      </c>
      <c r="R415" s="12"/>
      <c r="S415" s="12" t="s">
        <v>55</v>
      </c>
      <c r="T415" s="12" t="s">
        <v>104</v>
      </c>
      <c r="U415" s="17">
        <f t="shared" si="1"/>
        <v>2</v>
      </c>
    </row>
    <row r="416">
      <c r="A416" s="12" t="s">
        <v>926</v>
      </c>
      <c r="B416" s="12" t="s">
        <v>167</v>
      </c>
      <c r="C416" s="17">
        <v>22.0</v>
      </c>
      <c r="D416" s="12" t="s">
        <v>85</v>
      </c>
      <c r="E416" s="12" t="s">
        <v>92</v>
      </c>
      <c r="F416" s="12" t="s">
        <v>37</v>
      </c>
      <c r="G416" s="12" t="s">
        <v>80</v>
      </c>
      <c r="H416" s="15">
        <v>45672.0</v>
      </c>
      <c r="I416" s="17">
        <v>37.0</v>
      </c>
      <c r="J416" s="12" t="s">
        <v>40</v>
      </c>
      <c r="K416" s="12" t="s">
        <v>65</v>
      </c>
      <c r="L416" s="17">
        <v>1081.0</v>
      </c>
      <c r="M416" s="17">
        <v>2.0</v>
      </c>
      <c r="N416" s="17">
        <v>2.0</v>
      </c>
      <c r="O416" s="17">
        <v>17.3</v>
      </c>
      <c r="P416" s="17">
        <v>4.3</v>
      </c>
      <c r="Q416" s="15">
        <v>46369.0</v>
      </c>
      <c r="R416" s="12" t="s">
        <v>927</v>
      </c>
      <c r="S416" s="12" t="s">
        <v>45</v>
      </c>
      <c r="T416" s="12" t="s">
        <v>72</v>
      </c>
      <c r="U416" s="17">
        <f t="shared" si="1"/>
        <v>2</v>
      </c>
    </row>
    <row r="417">
      <c r="A417" s="12" t="s">
        <v>928</v>
      </c>
      <c r="B417" s="12" t="s">
        <v>312</v>
      </c>
      <c r="C417" s="17">
        <v>53.0</v>
      </c>
      <c r="D417" s="12" t="s">
        <v>35</v>
      </c>
      <c r="E417" s="12" t="s">
        <v>161</v>
      </c>
      <c r="F417" s="12" t="s">
        <v>62</v>
      </c>
      <c r="G417" s="12" t="s">
        <v>52</v>
      </c>
      <c r="H417" s="15">
        <v>45706.0</v>
      </c>
      <c r="I417" s="17">
        <v>46.0</v>
      </c>
      <c r="J417" s="12" t="s">
        <v>40</v>
      </c>
      <c r="K417" s="12" t="s">
        <v>81</v>
      </c>
      <c r="L417" s="17">
        <v>862.0</v>
      </c>
      <c r="M417" s="17">
        <v>1.0</v>
      </c>
      <c r="N417" s="17">
        <v>0.0</v>
      </c>
      <c r="O417" s="17">
        <v>13.6</v>
      </c>
      <c r="P417" s="17">
        <v>4.5</v>
      </c>
      <c r="Q417" s="15">
        <v>45999.0</v>
      </c>
      <c r="R417" s="12"/>
      <c r="S417" s="12" t="s">
        <v>55</v>
      </c>
      <c r="T417" s="12" t="s">
        <v>75</v>
      </c>
      <c r="U417" s="17">
        <f t="shared" si="1"/>
        <v>1</v>
      </c>
    </row>
    <row r="418">
      <c r="A418" s="12" t="s">
        <v>929</v>
      </c>
      <c r="B418" s="12" t="s">
        <v>110</v>
      </c>
      <c r="C418" s="17">
        <v>51.0</v>
      </c>
      <c r="D418" s="12" t="s">
        <v>69</v>
      </c>
      <c r="E418" s="12" t="s">
        <v>187</v>
      </c>
      <c r="F418" s="12" t="s">
        <v>62</v>
      </c>
      <c r="G418" s="12" t="s">
        <v>421</v>
      </c>
      <c r="H418" s="15">
        <v>45593.0</v>
      </c>
      <c r="I418" s="17">
        <v>44.0</v>
      </c>
      <c r="J418" s="12" t="s">
        <v>64</v>
      </c>
      <c r="K418" s="12" t="s">
        <v>42</v>
      </c>
      <c r="L418" s="17">
        <v>526.0</v>
      </c>
      <c r="M418" s="17">
        <v>2.0</v>
      </c>
      <c r="N418" s="17">
        <v>1.0</v>
      </c>
      <c r="O418" s="17">
        <v>12.5</v>
      </c>
      <c r="P418" s="17">
        <v>3.7</v>
      </c>
      <c r="Q418" s="15">
        <v>46310.0</v>
      </c>
      <c r="R418" s="12"/>
      <c r="S418" s="12" t="s">
        <v>55</v>
      </c>
      <c r="T418" s="12" t="s">
        <v>75</v>
      </c>
      <c r="U418" s="17">
        <f t="shared" si="1"/>
        <v>2</v>
      </c>
    </row>
    <row r="419">
      <c r="A419" s="12" t="s">
        <v>930</v>
      </c>
      <c r="B419" s="12" t="s">
        <v>59</v>
      </c>
      <c r="C419" s="17">
        <v>30.0</v>
      </c>
      <c r="D419" s="12" t="s">
        <v>60</v>
      </c>
      <c r="E419" s="12" t="s">
        <v>133</v>
      </c>
      <c r="F419" s="12" t="s">
        <v>37</v>
      </c>
      <c r="G419" s="12" t="s">
        <v>93</v>
      </c>
      <c r="H419" s="15">
        <v>45940.0</v>
      </c>
      <c r="I419" s="17">
        <v>45.0</v>
      </c>
      <c r="J419" s="12" t="s">
        <v>655</v>
      </c>
      <c r="K419" s="12" t="s">
        <v>42</v>
      </c>
      <c r="L419" s="17">
        <v>1191.0</v>
      </c>
      <c r="M419" s="17">
        <v>1.0</v>
      </c>
      <c r="N419" s="17">
        <v>0.0</v>
      </c>
      <c r="O419" s="17">
        <v>17.9</v>
      </c>
      <c r="P419" s="17">
        <v>4.4</v>
      </c>
      <c r="Q419" s="15">
        <v>46887.0</v>
      </c>
      <c r="R419" s="12" t="s">
        <v>931</v>
      </c>
      <c r="S419" s="12" t="s">
        <v>45</v>
      </c>
      <c r="T419" s="12" t="s">
        <v>104</v>
      </c>
      <c r="U419" s="17">
        <f t="shared" si="1"/>
        <v>1</v>
      </c>
    </row>
    <row r="420">
      <c r="A420" s="12" t="s">
        <v>505</v>
      </c>
      <c r="B420" s="12" t="s">
        <v>145</v>
      </c>
      <c r="C420" s="17">
        <v>49.0</v>
      </c>
      <c r="D420" s="12" t="s">
        <v>60</v>
      </c>
      <c r="E420" s="12" t="s">
        <v>61</v>
      </c>
      <c r="F420" s="12" t="s">
        <v>37</v>
      </c>
      <c r="G420" s="12" t="s">
        <v>120</v>
      </c>
      <c r="H420" s="15">
        <v>44870.0</v>
      </c>
      <c r="I420" s="17">
        <v>14.0</v>
      </c>
      <c r="J420" s="12" t="s">
        <v>53</v>
      </c>
      <c r="K420" s="12" t="s">
        <v>65</v>
      </c>
      <c r="L420" s="17">
        <v>1022.0</v>
      </c>
      <c r="M420" s="17">
        <v>3.0</v>
      </c>
      <c r="N420" s="17">
        <v>0.0</v>
      </c>
      <c r="O420" s="17">
        <v>32.3</v>
      </c>
      <c r="P420" s="17">
        <v>2.8</v>
      </c>
      <c r="Q420" s="15">
        <v>45093.0</v>
      </c>
      <c r="R420" s="12"/>
      <c r="S420" s="12" t="s">
        <v>55</v>
      </c>
      <c r="T420" s="12" t="s">
        <v>75</v>
      </c>
      <c r="U420" s="17">
        <f t="shared" si="1"/>
        <v>1</v>
      </c>
    </row>
    <row r="421">
      <c r="A421" s="12" t="s">
        <v>929</v>
      </c>
      <c r="B421" s="12" t="s">
        <v>110</v>
      </c>
      <c r="C421" s="12" t="s">
        <v>932</v>
      </c>
      <c r="D421" s="12" t="s">
        <v>35</v>
      </c>
      <c r="E421" s="12" t="s">
        <v>161</v>
      </c>
      <c r="F421" s="12" t="s">
        <v>62</v>
      </c>
      <c r="G421" s="12" t="s">
        <v>63</v>
      </c>
      <c r="H421" s="15">
        <v>45037.0</v>
      </c>
      <c r="I421" s="17">
        <v>34.0</v>
      </c>
      <c r="J421" s="12" t="s">
        <v>53</v>
      </c>
      <c r="K421" s="12" t="s">
        <v>81</v>
      </c>
      <c r="L421" s="17">
        <v>709.0</v>
      </c>
      <c r="M421" s="17">
        <v>2.0</v>
      </c>
      <c r="N421" s="17">
        <v>0.0</v>
      </c>
      <c r="O421" s="17">
        <v>9.3</v>
      </c>
      <c r="P421" s="17">
        <v>3.0</v>
      </c>
      <c r="Q421" s="15">
        <v>45715.0</v>
      </c>
      <c r="R421" s="12"/>
      <c r="S421" s="12" t="s">
        <v>55</v>
      </c>
      <c r="T421" s="12" t="s">
        <v>47</v>
      </c>
      <c r="U421" s="17">
        <f t="shared" si="1"/>
        <v>2</v>
      </c>
    </row>
    <row r="422">
      <c r="A422" s="12" t="s">
        <v>933</v>
      </c>
      <c r="B422" s="12" t="s">
        <v>605</v>
      </c>
      <c r="C422" s="17">
        <v>64.0</v>
      </c>
      <c r="D422" s="12" t="s">
        <v>300</v>
      </c>
      <c r="E422" s="12" t="s">
        <v>177</v>
      </c>
      <c r="F422" s="12" t="s">
        <v>62</v>
      </c>
      <c r="G422" s="12" t="s">
        <v>210</v>
      </c>
      <c r="H422" s="15">
        <v>45152.0</v>
      </c>
      <c r="I422" s="17">
        <v>4.0</v>
      </c>
      <c r="J422" s="12" t="s">
        <v>64</v>
      </c>
      <c r="K422" s="12" t="s">
        <v>65</v>
      </c>
      <c r="L422" s="17">
        <v>644.0</v>
      </c>
      <c r="M422" s="17">
        <v>3.0</v>
      </c>
      <c r="N422" s="17">
        <v>0.0</v>
      </c>
      <c r="O422" s="17">
        <v>21.9</v>
      </c>
      <c r="P422" s="17">
        <v>4.2</v>
      </c>
      <c r="Q422" s="15">
        <v>45204.0</v>
      </c>
      <c r="R422" s="12"/>
      <c r="S422" s="12" t="s">
        <v>55</v>
      </c>
      <c r="T422" s="12" t="s">
        <v>47</v>
      </c>
      <c r="U422" s="17">
        <f t="shared" si="1"/>
        <v>1</v>
      </c>
    </row>
    <row r="423">
      <c r="A423" s="12" t="s">
        <v>344</v>
      </c>
      <c r="B423" s="12" t="s">
        <v>179</v>
      </c>
      <c r="C423" s="17">
        <v>61.0</v>
      </c>
      <c r="D423" s="12" t="s">
        <v>69</v>
      </c>
      <c r="E423" s="12" t="s">
        <v>187</v>
      </c>
      <c r="F423" s="12" t="s">
        <v>62</v>
      </c>
      <c r="G423" s="12" t="s">
        <v>63</v>
      </c>
      <c r="H423" s="15">
        <v>45210.0</v>
      </c>
      <c r="I423" s="17">
        <v>37.0</v>
      </c>
      <c r="J423" s="12" t="s">
        <v>53</v>
      </c>
      <c r="K423" s="12" t="s">
        <v>65</v>
      </c>
      <c r="L423" s="17">
        <v>632.0</v>
      </c>
      <c r="M423" s="17">
        <v>1.0</v>
      </c>
      <c r="N423" s="17">
        <v>1.0</v>
      </c>
      <c r="O423" s="17">
        <v>23.7</v>
      </c>
      <c r="P423" s="17">
        <v>3.7</v>
      </c>
      <c r="Q423" s="15">
        <v>45640.0</v>
      </c>
      <c r="R423" s="12"/>
      <c r="S423" s="12" t="s">
        <v>55</v>
      </c>
      <c r="T423" s="12" t="s">
        <v>47</v>
      </c>
      <c r="U423" s="17">
        <f t="shared" si="1"/>
        <v>3</v>
      </c>
    </row>
    <row r="424">
      <c r="A424" s="12" t="s">
        <v>934</v>
      </c>
      <c r="B424" s="12" t="s">
        <v>96</v>
      </c>
      <c r="C424" s="17">
        <v>66.0</v>
      </c>
      <c r="D424" s="12" t="s">
        <v>85</v>
      </c>
      <c r="E424" s="12" t="s">
        <v>111</v>
      </c>
      <c r="F424" s="12" t="s">
        <v>37</v>
      </c>
      <c r="G424" s="12" t="s">
        <v>63</v>
      </c>
      <c r="H424" s="15">
        <v>44613.0</v>
      </c>
      <c r="I424" s="17">
        <v>26.0</v>
      </c>
      <c r="J424" s="12" t="s">
        <v>64</v>
      </c>
      <c r="K424" s="12" t="s">
        <v>81</v>
      </c>
      <c r="L424" s="17">
        <v>1147.0</v>
      </c>
      <c r="M424" s="17">
        <v>6.0</v>
      </c>
      <c r="N424" s="17">
        <v>0.0</v>
      </c>
      <c r="O424" s="17">
        <v>16.8</v>
      </c>
      <c r="P424" s="17">
        <v>3.7</v>
      </c>
      <c r="Q424" s="15">
        <v>45092.0</v>
      </c>
      <c r="R424" s="12" t="s">
        <v>935</v>
      </c>
      <c r="S424" s="12" t="s">
        <v>217</v>
      </c>
      <c r="T424" s="12" t="s">
        <v>72</v>
      </c>
      <c r="U424" s="17">
        <f t="shared" si="1"/>
        <v>3</v>
      </c>
    </row>
    <row r="425">
      <c r="A425" s="12" t="s">
        <v>936</v>
      </c>
      <c r="B425" s="12" t="s">
        <v>91</v>
      </c>
      <c r="C425" s="17">
        <v>65.0</v>
      </c>
      <c r="D425" s="12" t="s">
        <v>60</v>
      </c>
      <c r="E425" s="12" t="s">
        <v>133</v>
      </c>
      <c r="F425" s="12" t="s">
        <v>79</v>
      </c>
      <c r="G425" s="12" t="s">
        <v>93</v>
      </c>
      <c r="H425" s="15">
        <v>45736.0</v>
      </c>
      <c r="I425" s="17">
        <v>43.0</v>
      </c>
      <c r="J425" s="12" t="s">
        <v>53</v>
      </c>
      <c r="K425" s="12" t="s">
        <v>42</v>
      </c>
      <c r="L425" s="17">
        <v>3856.0</v>
      </c>
      <c r="M425" s="17">
        <v>2.0</v>
      </c>
      <c r="N425" s="17">
        <v>0.0</v>
      </c>
      <c r="O425" s="17">
        <v>30.1</v>
      </c>
      <c r="P425" s="17">
        <v>4.2</v>
      </c>
      <c r="Q425" s="15">
        <v>46651.0</v>
      </c>
      <c r="R425" s="12"/>
      <c r="S425" s="12" t="s">
        <v>55</v>
      </c>
      <c r="T425" s="12" t="s">
        <v>47</v>
      </c>
      <c r="U425" s="17">
        <f t="shared" si="1"/>
        <v>2</v>
      </c>
    </row>
    <row r="426">
      <c r="A426" s="12" t="s">
        <v>937</v>
      </c>
      <c r="B426" s="12" t="s">
        <v>362</v>
      </c>
      <c r="C426" s="17">
        <v>68.0</v>
      </c>
      <c r="D426" s="12" t="s">
        <v>35</v>
      </c>
      <c r="E426" s="12" t="s">
        <v>161</v>
      </c>
      <c r="F426" s="12" t="s">
        <v>62</v>
      </c>
      <c r="G426" s="12" t="s">
        <v>80</v>
      </c>
      <c r="H426" s="15">
        <v>45013.0</v>
      </c>
      <c r="I426" s="17">
        <v>29.0</v>
      </c>
      <c r="J426" s="12" t="s">
        <v>53</v>
      </c>
      <c r="K426" s="12" t="s">
        <v>42</v>
      </c>
      <c r="L426" s="17">
        <v>666.0</v>
      </c>
      <c r="M426" s="17">
        <v>1.0</v>
      </c>
      <c r="N426" s="17">
        <v>0.0</v>
      </c>
      <c r="O426" s="17">
        <v>18.9</v>
      </c>
      <c r="P426" s="17">
        <v>5.0</v>
      </c>
      <c r="Q426" s="15">
        <v>45679.0</v>
      </c>
      <c r="R426" s="12"/>
      <c r="S426" s="12" t="s">
        <v>55</v>
      </c>
      <c r="T426" s="12" t="s">
        <v>104</v>
      </c>
      <c r="U426" s="17">
        <f t="shared" si="1"/>
        <v>2</v>
      </c>
    </row>
    <row r="427">
      <c r="A427" s="12" t="s">
        <v>938</v>
      </c>
      <c r="B427" s="12" t="s">
        <v>633</v>
      </c>
      <c r="C427" s="12" t="s">
        <v>939</v>
      </c>
      <c r="D427" s="12" t="s">
        <v>85</v>
      </c>
      <c r="E427" s="12" t="s">
        <v>292</v>
      </c>
      <c r="F427" s="12" t="s">
        <v>79</v>
      </c>
      <c r="G427" s="12" t="s">
        <v>120</v>
      </c>
      <c r="H427" s="15">
        <v>44960.0</v>
      </c>
      <c r="I427" s="17">
        <v>32.0</v>
      </c>
      <c r="J427" s="12" t="s">
        <v>64</v>
      </c>
      <c r="K427" s="12" t="s">
        <v>65</v>
      </c>
      <c r="L427" s="17">
        <v>3931.0</v>
      </c>
      <c r="M427" s="17">
        <v>0.0</v>
      </c>
      <c r="N427" s="17">
        <v>0.0</v>
      </c>
      <c r="O427" s="17">
        <v>32.3</v>
      </c>
      <c r="P427" s="17">
        <v>2.6</v>
      </c>
      <c r="Q427" s="15">
        <v>45027.0</v>
      </c>
      <c r="R427" s="12"/>
      <c r="S427" s="12" t="s">
        <v>55</v>
      </c>
      <c r="T427" s="12" t="s">
        <v>72</v>
      </c>
      <c r="U427" s="17">
        <f t="shared" si="1"/>
        <v>1</v>
      </c>
    </row>
    <row r="428">
      <c r="A428" s="12" t="s">
        <v>940</v>
      </c>
      <c r="B428" s="12" t="s">
        <v>118</v>
      </c>
      <c r="C428" s="17">
        <v>37.0</v>
      </c>
      <c r="D428" s="12" t="s">
        <v>60</v>
      </c>
      <c r="E428" s="12" t="s">
        <v>61</v>
      </c>
      <c r="F428" s="12" t="s">
        <v>62</v>
      </c>
      <c r="G428" s="12" t="s">
        <v>210</v>
      </c>
      <c r="H428" s="15">
        <v>45192.0</v>
      </c>
      <c r="I428" s="17">
        <v>29.0</v>
      </c>
      <c r="J428" s="12" t="s">
        <v>40</v>
      </c>
      <c r="K428" s="12" t="s">
        <v>81</v>
      </c>
      <c r="L428" s="17">
        <v>543.0</v>
      </c>
      <c r="M428" s="17">
        <v>1.0</v>
      </c>
      <c r="N428" s="17">
        <v>1.0</v>
      </c>
      <c r="O428" s="17">
        <v>37.4</v>
      </c>
      <c r="P428" s="17">
        <v>4.1</v>
      </c>
      <c r="Q428" s="15">
        <v>45656.0</v>
      </c>
      <c r="R428" s="12" t="s">
        <v>941</v>
      </c>
      <c r="S428" s="12" t="s">
        <v>45</v>
      </c>
      <c r="T428" s="12" t="s">
        <v>75</v>
      </c>
      <c r="U428" s="17">
        <f t="shared" si="1"/>
        <v>3</v>
      </c>
    </row>
    <row r="429">
      <c r="A429" s="12" t="s">
        <v>942</v>
      </c>
      <c r="B429" s="12" t="s">
        <v>34</v>
      </c>
      <c r="C429" s="17">
        <v>24.0</v>
      </c>
      <c r="D429" s="12" t="s">
        <v>85</v>
      </c>
      <c r="E429" s="12" t="s">
        <v>111</v>
      </c>
      <c r="F429" s="12" t="s">
        <v>37</v>
      </c>
      <c r="G429" s="12" t="s">
        <v>80</v>
      </c>
      <c r="H429" s="15">
        <v>44738.0</v>
      </c>
      <c r="I429" s="17">
        <v>10.0</v>
      </c>
      <c r="J429" s="12" t="s">
        <v>40</v>
      </c>
      <c r="K429" s="12" t="s">
        <v>65</v>
      </c>
      <c r="L429" s="17">
        <v>1536.0</v>
      </c>
      <c r="M429" s="17">
        <v>2.0</v>
      </c>
      <c r="N429" s="17">
        <v>2.0</v>
      </c>
      <c r="O429" s="17">
        <v>36.2</v>
      </c>
      <c r="P429" s="17">
        <v>5.0</v>
      </c>
      <c r="Q429" s="15">
        <v>44781.0</v>
      </c>
      <c r="R429" s="12"/>
      <c r="S429" s="12" t="s">
        <v>55</v>
      </c>
      <c r="T429" s="12" t="s">
        <v>72</v>
      </c>
      <c r="U429" s="17">
        <f t="shared" si="1"/>
        <v>1</v>
      </c>
    </row>
    <row r="430">
      <c r="A430" s="12" t="s">
        <v>945</v>
      </c>
      <c r="B430" s="12" t="s">
        <v>331</v>
      </c>
      <c r="C430" s="17">
        <v>56.0</v>
      </c>
      <c r="D430" s="12" t="s">
        <v>69</v>
      </c>
      <c r="E430" s="12" t="s">
        <v>119</v>
      </c>
      <c r="F430" s="12" t="s">
        <v>947</v>
      </c>
      <c r="G430" s="12" t="s">
        <v>93</v>
      </c>
      <c r="H430" s="15">
        <v>44842.0</v>
      </c>
      <c r="I430" s="17">
        <v>13.0</v>
      </c>
      <c r="J430" s="12" t="s">
        <v>53</v>
      </c>
      <c r="K430" s="12" t="s">
        <v>65</v>
      </c>
      <c r="L430" s="17">
        <v>1295.0</v>
      </c>
      <c r="M430" s="17">
        <v>3.0</v>
      </c>
      <c r="N430" s="17">
        <v>1.0</v>
      </c>
      <c r="O430" s="17">
        <v>6.9</v>
      </c>
      <c r="P430" s="17">
        <v>3.7</v>
      </c>
      <c r="Q430" s="15">
        <v>45103.0</v>
      </c>
      <c r="R430" s="12"/>
      <c r="S430" s="12" t="s">
        <v>55</v>
      </c>
      <c r="T430" s="12" t="s">
        <v>66</v>
      </c>
      <c r="U430" s="17">
        <f t="shared" si="1"/>
        <v>3</v>
      </c>
    </row>
    <row r="431">
      <c r="A431" s="12" t="s">
        <v>951</v>
      </c>
      <c r="B431" s="12" t="s">
        <v>139</v>
      </c>
      <c r="C431" s="17">
        <v>30.0</v>
      </c>
      <c r="D431" s="12" t="s">
        <v>85</v>
      </c>
      <c r="E431" s="12" t="s">
        <v>111</v>
      </c>
      <c r="F431" s="12" t="s">
        <v>62</v>
      </c>
      <c r="G431" s="12" t="s">
        <v>63</v>
      </c>
      <c r="H431" s="15">
        <v>44877.0</v>
      </c>
      <c r="I431" s="17">
        <v>17.0</v>
      </c>
      <c r="J431" s="12" t="s">
        <v>53</v>
      </c>
      <c r="K431" s="12" t="s">
        <v>81</v>
      </c>
      <c r="L431" s="17">
        <v>826.0</v>
      </c>
      <c r="M431" s="17">
        <v>2.0</v>
      </c>
      <c r="N431" s="17">
        <v>1.0</v>
      </c>
      <c r="O431" s="17">
        <v>10.8</v>
      </c>
      <c r="P431" s="17">
        <v>3.3</v>
      </c>
      <c r="Q431" s="15">
        <v>45014.0</v>
      </c>
      <c r="R431" s="12"/>
      <c r="S431" s="12" t="s">
        <v>55</v>
      </c>
      <c r="T431" s="12" t="s">
        <v>47</v>
      </c>
      <c r="U431" s="17">
        <f t="shared" si="1"/>
        <v>1</v>
      </c>
    </row>
    <row r="432">
      <c r="A432" s="12" t="s">
        <v>956</v>
      </c>
      <c r="B432" s="12" t="s">
        <v>235</v>
      </c>
      <c r="C432" s="17">
        <v>42.0</v>
      </c>
      <c r="D432" s="12" t="s">
        <v>35</v>
      </c>
      <c r="E432" s="12" t="s">
        <v>161</v>
      </c>
      <c r="F432" s="12" t="s">
        <v>37</v>
      </c>
      <c r="G432" s="12" t="s">
        <v>63</v>
      </c>
      <c r="H432" s="15">
        <v>45788.0</v>
      </c>
      <c r="I432" s="17">
        <v>48.0</v>
      </c>
      <c r="J432" s="12" t="s">
        <v>64</v>
      </c>
      <c r="K432" s="12" t="s">
        <v>81</v>
      </c>
      <c r="L432" s="17">
        <v>1578.0</v>
      </c>
      <c r="M432" s="17">
        <v>0.0</v>
      </c>
      <c r="N432" s="17">
        <v>1.0</v>
      </c>
      <c r="O432" s="17">
        <v>6.5</v>
      </c>
      <c r="P432" s="17">
        <v>3.9</v>
      </c>
      <c r="Q432" s="15">
        <v>46326.0</v>
      </c>
      <c r="R432" s="12"/>
      <c r="S432" s="12" t="s">
        <v>55</v>
      </c>
      <c r="T432" s="12" t="s">
        <v>66</v>
      </c>
      <c r="U432" s="17">
        <f t="shared" si="1"/>
        <v>2</v>
      </c>
    </row>
    <row r="433">
      <c r="A433" s="12" t="s">
        <v>962</v>
      </c>
      <c r="B433" s="12" t="s">
        <v>633</v>
      </c>
      <c r="C433" s="17">
        <v>59.0</v>
      </c>
      <c r="D433" s="12" t="s">
        <v>60</v>
      </c>
      <c r="E433" s="12" t="s">
        <v>97</v>
      </c>
      <c r="F433" s="12" t="s">
        <v>37</v>
      </c>
      <c r="G433" s="12" t="s">
        <v>39</v>
      </c>
      <c r="H433" s="15">
        <v>45216.0</v>
      </c>
      <c r="I433" s="17">
        <v>30.0</v>
      </c>
      <c r="J433" s="12" t="s">
        <v>53</v>
      </c>
      <c r="K433" s="12" t="s">
        <v>42</v>
      </c>
      <c r="L433" s="17">
        <v>1364.0</v>
      </c>
      <c r="M433" s="17">
        <v>2.0</v>
      </c>
      <c r="N433" s="17">
        <v>0.0</v>
      </c>
      <c r="O433" s="17">
        <v>49.0</v>
      </c>
      <c r="P433" s="17">
        <v>2.7</v>
      </c>
      <c r="Q433" s="15">
        <v>45280.0</v>
      </c>
      <c r="R433" s="12" t="s">
        <v>968</v>
      </c>
      <c r="S433" s="12" t="s">
        <v>45</v>
      </c>
      <c r="T433" s="12" t="s">
        <v>72</v>
      </c>
      <c r="U433" s="17">
        <f t="shared" si="1"/>
        <v>3</v>
      </c>
    </row>
    <row r="434">
      <c r="A434" s="12" t="s">
        <v>970</v>
      </c>
      <c r="B434" s="12" t="s">
        <v>184</v>
      </c>
      <c r="C434" s="17">
        <v>25.0</v>
      </c>
      <c r="D434" s="12" t="s">
        <v>35</v>
      </c>
      <c r="E434" s="12" t="s">
        <v>51</v>
      </c>
      <c r="F434" s="12" t="s">
        <v>37</v>
      </c>
      <c r="G434" s="12" t="s">
        <v>39</v>
      </c>
      <c r="H434" s="15">
        <v>44755.0</v>
      </c>
      <c r="I434" s="17">
        <v>39.0</v>
      </c>
      <c r="J434" s="12" t="s">
        <v>64</v>
      </c>
      <c r="K434" s="12" t="s">
        <v>81</v>
      </c>
      <c r="L434" s="17">
        <v>1329.0</v>
      </c>
      <c r="M434" s="17">
        <v>4.0</v>
      </c>
      <c r="N434" s="17">
        <v>1.0</v>
      </c>
      <c r="O434" s="17">
        <v>30.2</v>
      </c>
      <c r="P434" s="17">
        <v>5.0</v>
      </c>
      <c r="Q434" s="15">
        <v>45412.0</v>
      </c>
      <c r="R434" s="12" t="s">
        <v>972</v>
      </c>
      <c r="S434" s="12" t="s">
        <v>45</v>
      </c>
      <c r="T434" s="12" t="s">
        <v>72</v>
      </c>
      <c r="U434" s="17">
        <f t="shared" si="1"/>
        <v>1</v>
      </c>
    </row>
    <row r="435">
      <c r="A435" s="12" t="s">
        <v>973</v>
      </c>
      <c r="B435" s="12" t="s">
        <v>395</v>
      </c>
      <c r="C435" s="17">
        <v>31.0</v>
      </c>
      <c r="D435" s="12" t="s">
        <v>35</v>
      </c>
      <c r="E435" s="12" t="s">
        <v>51</v>
      </c>
      <c r="F435" s="12" t="s">
        <v>37</v>
      </c>
      <c r="G435" s="12" t="s">
        <v>210</v>
      </c>
      <c r="H435" s="15">
        <v>45555.0</v>
      </c>
      <c r="I435" s="17">
        <v>27.0</v>
      </c>
      <c r="J435" s="12" t="s">
        <v>64</v>
      </c>
      <c r="K435" s="12" t="s">
        <v>81</v>
      </c>
      <c r="L435" s="17">
        <v>1103.0</v>
      </c>
      <c r="M435" s="17">
        <v>2.0</v>
      </c>
      <c r="N435" s="17">
        <v>1.0</v>
      </c>
      <c r="O435" s="17">
        <v>30.7</v>
      </c>
      <c r="P435" s="17">
        <v>3.4</v>
      </c>
      <c r="Q435" s="15">
        <v>45723.0</v>
      </c>
      <c r="R435" s="12"/>
      <c r="S435" s="12" t="s">
        <v>55</v>
      </c>
      <c r="T435" s="12" t="s">
        <v>66</v>
      </c>
      <c r="U435" s="17">
        <f t="shared" si="1"/>
        <v>1</v>
      </c>
    </row>
    <row r="436">
      <c r="A436" s="12" t="s">
        <v>464</v>
      </c>
      <c r="B436" s="12" t="s">
        <v>257</v>
      </c>
      <c r="C436" s="17">
        <v>30.0</v>
      </c>
      <c r="D436" s="12" t="s">
        <v>35</v>
      </c>
      <c r="E436" s="12" t="s">
        <v>140</v>
      </c>
      <c r="F436" s="12" t="s">
        <v>37</v>
      </c>
      <c r="G436" s="12" t="s">
        <v>63</v>
      </c>
      <c r="H436" s="15">
        <v>44800.0</v>
      </c>
      <c r="I436" s="17">
        <v>9.0</v>
      </c>
      <c r="J436" s="12" t="s">
        <v>64</v>
      </c>
      <c r="K436" s="12" t="s">
        <v>65</v>
      </c>
      <c r="L436" s="17">
        <v>1355.0</v>
      </c>
      <c r="M436" s="17">
        <v>0.0</v>
      </c>
      <c r="N436" s="17">
        <v>1.0</v>
      </c>
      <c r="O436" s="17">
        <v>27.7</v>
      </c>
      <c r="P436" s="17">
        <v>3.8</v>
      </c>
      <c r="Q436" s="15">
        <v>44995.0</v>
      </c>
      <c r="R436" s="12" t="s">
        <v>974</v>
      </c>
      <c r="S436" s="12" t="s">
        <v>45</v>
      </c>
      <c r="T436" s="12" t="s">
        <v>104</v>
      </c>
      <c r="U436" s="17">
        <f t="shared" si="1"/>
        <v>2</v>
      </c>
    </row>
    <row r="437">
      <c r="A437" s="12" t="s">
        <v>975</v>
      </c>
      <c r="B437" s="12" t="s">
        <v>135</v>
      </c>
      <c r="C437" s="12" t="s">
        <v>976</v>
      </c>
      <c r="D437" s="12" t="s">
        <v>35</v>
      </c>
      <c r="E437" s="12" t="s">
        <v>51</v>
      </c>
      <c r="F437" s="12" t="s">
        <v>62</v>
      </c>
      <c r="G437" s="12" t="s">
        <v>52</v>
      </c>
      <c r="H437" s="15">
        <v>44853.0</v>
      </c>
      <c r="I437" s="17">
        <v>45.0</v>
      </c>
      <c r="J437" s="12" t="s">
        <v>40</v>
      </c>
      <c r="K437" s="12" t="s">
        <v>65</v>
      </c>
      <c r="L437" s="12" t="s">
        <v>977</v>
      </c>
      <c r="M437" s="17">
        <v>0.0</v>
      </c>
      <c r="N437" s="17">
        <v>1.0</v>
      </c>
      <c r="O437" s="17">
        <v>22.0</v>
      </c>
      <c r="P437" s="17">
        <v>3.7</v>
      </c>
      <c r="Q437" s="15">
        <v>45023.0</v>
      </c>
      <c r="R437" s="12"/>
      <c r="S437" s="12" t="s">
        <v>55</v>
      </c>
      <c r="T437" s="12" t="s">
        <v>75</v>
      </c>
      <c r="U437" s="17">
        <f t="shared" si="1"/>
        <v>3</v>
      </c>
    </row>
    <row r="438">
      <c r="A438" s="12" t="s">
        <v>978</v>
      </c>
      <c r="B438" s="12" t="s">
        <v>152</v>
      </c>
      <c r="C438" s="17">
        <v>67.0</v>
      </c>
      <c r="D438" s="12" t="s">
        <v>69</v>
      </c>
      <c r="E438" s="12" t="s">
        <v>70</v>
      </c>
      <c r="F438" s="12" t="s">
        <v>62</v>
      </c>
      <c r="G438" s="12" t="s">
        <v>52</v>
      </c>
      <c r="H438" s="15">
        <v>45613.0</v>
      </c>
      <c r="I438" s="17">
        <v>38.0</v>
      </c>
      <c r="J438" s="12" t="s">
        <v>40</v>
      </c>
      <c r="K438" s="12" t="s">
        <v>42</v>
      </c>
      <c r="L438" s="12" t="s">
        <v>979</v>
      </c>
      <c r="M438" s="17">
        <v>3.0</v>
      </c>
      <c r="N438" s="17">
        <v>0.0</v>
      </c>
      <c r="O438" s="17">
        <v>27.6</v>
      </c>
      <c r="P438" s="17">
        <v>3.3</v>
      </c>
      <c r="Q438" s="15">
        <v>45758.0</v>
      </c>
      <c r="R438" s="12"/>
      <c r="S438" s="12" t="s">
        <v>55</v>
      </c>
      <c r="T438" s="12" t="s">
        <v>66</v>
      </c>
      <c r="U438" s="17">
        <f t="shared" si="1"/>
        <v>2</v>
      </c>
    </row>
    <row r="439">
      <c r="A439" s="12" t="s">
        <v>585</v>
      </c>
      <c r="B439" s="12" t="s">
        <v>395</v>
      </c>
      <c r="C439" s="17">
        <v>51.0</v>
      </c>
      <c r="D439" s="12" t="s">
        <v>69</v>
      </c>
      <c r="E439" s="12" t="s">
        <v>187</v>
      </c>
      <c r="F439" s="12" t="s">
        <v>37</v>
      </c>
      <c r="G439" s="12" t="s">
        <v>63</v>
      </c>
      <c r="H439" s="15">
        <v>44747.0</v>
      </c>
      <c r="I439" s="17">
        <v>10.0</v>
      </c>
      <c r="J439" s="12" t="s">
        <v>64</v>
      </c>
      <c r="K439" s="12" t="s">
        <v>42</v>
      </c>
      <c r="L439" s="17">
        <v>1592.0</v>
      </c>
      <c r="M439" s="17">
        <v>0.0</v>
      </c>
      <c r="N439" s="17">
        <v>1.0</v>
      </c>
      <c r="O439" s="17">
        <v>18.0</v>
      </c>
      <c r="P439" s="17">
        <v>2.4</v>
      </c>
      <c r="Q439" s="15">
        <v>44937.0</v>
      </c>
      <c r="R439" s="12" t="s">
        <v>980</v>
      </c>
      <c r="S439" s="12" t="s">
        <v>45</v>
      </c>
      <c r="T439" s="12" t="s">
        <v>104</v>
      </c>
      <c r="U439" s="17">
        <f t="shared" si="1"/>
        <v>2</v>
      </c>
    </row>
    <row r="440">
      <c r="A440" s="12" t="s">
        <v>441</v>
      </c>
      <c r="B440" s="12" t="s">
        <v>645</v>
      </c>
      <c r="C440" s="17">
        <v>42.0</v>
      </c>
      <c r="D440" s="12" t="s">
        <v>35</v>
      </c>
      <c r="E440" s="12" t="s">
        <v>51</v>
      </c>
      <c r="F440" s="12" t="s">
        <v>37</v>
      </c>
      <c r="G440" s="12" t="s">
        <v>210</v>
      </c>
      <c r="H440" s="15">
        <v>44913.0</v>
      </c>
      <c r="I440" s="17">
        <v>35.0</v>
      </c>
      <c r="J440" s="12" t="s">
        <v>64</v>
      </c>
      <c r="K440" s="12" t="s">
        <v>81</v>
      </c>
      <c r="L440" s="17">
        <v>1100.0</v>
      </c>
      <c r="M440" s="17">
        <v>1.0</v>
      </c>
      <c r="N440" s="17">
        <v>0.0</v>
      </c>
      <c r="O440" s="17">
        <v>35.2</v>
      </c>
      <c r="P440" s="17">
        <v>4.8</v>
      </c>
      <c r="Q440" s="15">
        <v>45361.0</v>
      </c>
      <c r="R440" s="12"/>
      <c r="S440" s="12" t="s">
        <v>55</v>
      </c>
      <c r="T440" s="12" t="s">
        <v>47</v>
      </c>
      <c r="U440" s="17">
        <f t="shared" si="1"/>
        <v>4</v>
      </c>
    </row>
    <row r="441">
      <c r="A441" s="12" t="s">
        <v>981</v>
      </c>
      <c r="B441" s="12" t="s">
        <v>639</v>
      </c>
      <c r="C441" s="17">
        <v>26.0</v>
      </c>
      <c r="D441" s="12" t="s">
        <v>35</v>
      </c>
      <c r="E441" s="12" t="s">
        <v>51</v>
      </c>
      <c r="F441" s="12" t="s">
        <v>37</v>
      </c>
      <c r="G441" s="12" t="s">
        <v>120</v>
      </c>
      <c r="H441" s="15">
        <v>45430.0</v>
      </c>
      <c r="I441" s="17">
        <v>14.0</v>
      </c>
      <c r="J441" s="12" t="s">
        <v>64</v>
      </c>
      <c r="K441" s="12" t="s">
        <v>42</v>
      </c>
      <c r="L441" s="17">
        <v>1114.0</v>
      </c>
      <c r="M441" s="17">
        <v>0.0</v>
      </c>
      <c r="N441" s="17">
        <v>2.0</v>
      </c>
      <c r="O441" s="17">
        <v>26.3</v>
      </c>
      <c r="P441" s="17">
        <v>5.0</v>
      </c>
      <c r="Q441" s="15">
        <v>45600.0</v>
      </c>
      <c r="R441" s="12"/>
      <c r="S441" s="12" t="s">
        <v>55</v>
      </c>
      <c r="T441" s="12" t="s">
        <v>75</v>
      </c>
      <c r="U441" s="17">
        <f t="shared" si="1"/>
        <v>1</v>
      </c>
    </row>
    <row r="442">
      <c r="A442" s="12" t="s">
        <v>846</v>
      </c>
      <c r="B442" s="12" t="s">
        <v>122</v>
      </c>
      <c r="C442" s="17">
        <v>33.0</v>
      </c>
      <c r="D442" s="12" t="s">
        <v>60</v>
      </c>
      <c r="E442" s="12" t="s">
        <v>107</v>
      </c>
      <c r="F442" s="12" t="s">
        <v>37</v>
      </c>
      <c r="G442" s="12" t="s">
        <v>63</v>
      </c>
      <c r="H442" s="15">
        <v>44730.0</v>
      </c>
      <c r="I442" s="17">
        <v>21.0</v>
      </c>
      <c r="J442" s="12" t="s">
        <v>64</v>
      </c>
      <c r="K442" s="12" t="s">
        <v>65</v>
      </c>
      <c r="L442" s="17">
        <v>1289.0</v>
      </c>
      <c r="M442" s="17">
        <v>3.0</v>
      </c>
      <c r="N442" s="17">
        <v>2.0</v>
      </c>
      <c r="O442" s="17">
        <v>39.2</v>
      </c>
      <c r="P442" s="17">
        <v>4.1</v>
      </c>
      <c r="Q442" s="15">
        <v>45354.0</v>
      </c>
      <c r="R442" s="12"/>
      <c r="S442" s="12" t="s">
        <v>55</v>
      </c>
      <c r="T442" s="12" t="s">
        <v>72</v>
      </c>
      <c r="U442" s="17">
        <f t="shared" si="1"/>
        <v>2</v>
      </c>
    </row>
    <row r="443">
      <c r="A443" s="12" t="s">
        <v>982</v>
      </c>
      <c r="B443" s="12" t="s">
        <v>118</v>
      </c>
      <c r="C443" s="17">
        <v>52.0</v>
      </c>
      <c r="D443" s="12" t="s">
        <v>69</v>
      </c>
      <c r="E443" s="12" t="s">
        <v>70</v>
      </c>
      <c r="F443" s="12" t="s">
        <v>79</v>
      </c>
      <c r="G443" s="12" t="s">
        <v>647</v>
      </c>
      <c r="H443" s="15">
        <v>45536.0</v>
      </c>
      <c r="I443" s="17">
        <v>44.0</v>
      </c>
      <c r="J443" s="12" t="s">
        <v>64</v>
      </c>
      <c r="K443" s="12" t="s">
        <v>81</v>
      </c>
      <c r="L443" s="17">
        <v>3005.0</v>
      </c>
      <c r="M443" s="17">
        <v>7.0</v>
      </c>
      <c r="N443" s="17">
        <v>1.0</v>
      </c>
      <c r="O443" s="17">
        <v>34.5</v>
      </c>
      <c r="P443" s="17">
        <v>3.3</v>
      </c>
      <c r="Q443" s="15">
        <v>45761.0</v>
      </c>
      <c r="R443" s="12"/>
      <c r="S443" s="12" t="s">
        <v>55</v>
      </c>
      <c r="T443" s="12" t="s">
        <v>104</v>
      </c>
      <c r="U443" s="17">
        <f t="shared" si="1"/>
        <v>2</v>
      </c>
    </row>
    <row r="444">
      <c r="A444" s="12" t="s">
        <v>983</v>
      </c>
      <c r="B444" s="12" t="s">
        <v>333</v>
      </c>
      <c r="C444" s="17">
        <v>26.0</v>
      </c>
      <c r="D444" s="12" t="s">
        <v>69</v>
      </c>
      <c r="E444" s="12" t="s">
        <v>119</v>
      </c>
      <c r="F444" s="12" t="s">
        <v>62</v>
      </c>
      <c r="G444" s="12" t="s">
        <v>80</v>
      </c>
      <c r="H444" s="15">
        <v>44770.0</v>
      </c>
      <c r="I444" s="17">
        <v>48.0</v>
      </c>
      <c r="J444" s="12" t="s">
        <v>40</v>
      </c>
      <c r="K444" s="12" t="s">
        <v>65</v>
      </c>
      <c r="L444" s="17">
        <v>585.0</v>
      </c>
      <c r="M444" s="17">
        <v>1.0</v>
      </c>
      <c r="N444" s="17">
        <v>0.0</v>
      </c>
      <c r="O444" s="17">
        <v>32.5</v>
      </c>
      <c r="P444" s="17">
        <v>3.5</v>
      </c>
      <c r="Q444" s="15">
        <v>45187.0</v>
      </c>
      <c r="R444" s="12" t="s">
        <v>984</v>
      </c>
      <c r="S444" s="12" t="s">
        <v>45</v>
      </c>
      <c r="T444" s="12" t="s">
        <v>75</v>
      </c>
      <c r="U444" s="17">
        <f t="shared" si="1"/>
        <v>2</v>
      </c>
    </row>
    <row r="445">
      <c r="A445" s="12" t="s">
        <v>985</v>
      </c>
      <c r="B445" s="12" t="s">
        <v>325</v>
      </c>
      <c r="C445" s="17">
        <v>35.0</v>
      </c>
      <c r="D445" s="12" t="s">
        <v>60</v>
      </c>
      <c r="E445" s="12" t="s">
        <v>133</v>
      </c>
      <c r="F445" s="12" t="s">
        <v>62</v>
      </c>
      <c r="G445" s="12" t="s">
        <v>52</v>
      </c>
      <c r="H445" s="15">
        <v>45797.0</v>
      </c>
      <c r="I445" s="17">
        <v>26.0</v>
      </c>
      <c r="J445" s="12" t="s">
        <v>53</v>
      </c>
      <c r="K445" s="12" t="s">
        <v>65</v>
      </c>
      <c r="L445" s="17">
        <v>760.0</v>
      </c>
      <c r="M445" s="17">
        <v>3.0</v>
      </c>
      <c r="N445" s="17">
        <v>0.0</v>
      </c>
      <c r="O445" s="17">
        <v>11.9</v>
      </c>
      <c r="P445" s="17">
        <v>3.1</v>
      </c>
      <c r="Q445" s="15">
        <v>46593.0</v>
      </c>
      <c r="R445" s="12" t="s">
        <v>986</v>
      </c>
      <c r="S445" s="12" t="s">
        <v>45</v>
      </c>
      <c r="T445" s="12" t="s">
        <v>47</v>
      </c>
      <c r="U445" s="17">
        <f t="shared" si="1"/>
        <v>3</v>
      </c>
    </row>
    <row r="446">
      <c r="A446" s="12" t="s">
        <v>525</v>
      </c>
      <c r="B446" s="12" t="s">
        <v>68</v>
      </c>
      <c r="C446" s="17">
        <v>38.0</v>
      </c>
      <c r="D446" s="12" t="s">
        <v>69</v>
      </c>
      <c r="E446" s="12" t="s">
        <v>70</v>
      </c>
      <c r="F446" s="12" t="s">
        <v>62</v>
      </c>
      <c r="G446" s="12" t="s">
        <v>63</v>
      </c>
      <c r="H446" s="15">
        <v>44701.0</v>
      </c>
      <c r="I446" s="17">
        <v>32.0</v>
      </c>
      <c r="J446" s="12" t="s">
        <v>64</v>
      </c>
      <c r="K446" s="12" t="s">
        <v>81</v>
      </c>
      <c r="L446" s="17">
        <v>590.0</v>
      </c>
      <c r="M446" s="17">
        <v>3.0</v>
      </c>
      <c r="N446" s="17">
        <v>1.0</v>
      </c>
      <c r="O446" s="17">
        <v>10.7</v>
      </c>
      <c r="P446" s="17">
        <v>5.0</v>
      </c>
      <c r="Q446" s="15">
        <v>45406.0</v>
      </c>
      <c r="R446" s="12"/>
      <c r="S446" s="12" t="s">
        <v>55</v>
      </c>
      <c r="T446" s="12" t="s">
        <v>104</v>
      </c>
      <c r="U446" s="17">
        <f t="shared" si="1"/>
        <v>2</v>
      </c>
    </row>
    <row r="447">
      <c r="A447" s="12" t="s">
        <v>987</v>
      </c>
      <c r="B447" s="12" t="s">
        <v>179</v>
      </c>
      <c r="C447" s="17">
        <v>67.0</v>
      </c>
      <c r="D447" s="12" t="s">
        <v>35</v>
      </c>
      <c r="E447" s="12" t="s">
        <v>140</v>
      </c>
      <c r="F447" s="12" t="s">
        <v>37</v>
      </c>
      <c r="G447" s="12" t="s">
        <v>39</v>
      </c>
      <c r="H447" s="15">
        <v>45163.0</v>
      </c>
      <c r="I447" s="17">
        <v>43.0</v>
      </c>
      <c r="J447" s="12" t="s">
        <v>40</v>
      </c>
      <c r="K447" s="12" t="s">
        <v>65</v>
      </c>
      <c r="L447" s="17">
        <v>1266.0</v>
      </c>
      <c r="M447" s="17">
        <v>1.0</v>
      </c>
      <c r="N447" s="17">
        <v>0.0</v>
      </c>
      <c r="O447" s="17">
        <v>29.4</v>
      </c>
      <c r="P447" s="17">
        <v>4.2</v>
      </c>
      <c r="Q447" s="15">
        <v>45876.0</v>
      </c>
      <c r="R447" s="12"/>
      <c r="S447" s="12" t="s">
        <v>55</v>
      </c>
      <c r="T447" s="12" t="s">
        <v>104</v>
      </c>
      <c r="U447" s="17">
        <f t="shared" si="1"/>
        <v>1</v>
      </c>
    </row>
    <row r="448">
      <c r="A448" s="12" t="s">
        <v>988</v>
      </c>
      <c r="B448" s="12" t="s">
        <v>78</v>
      </c>
      <c r="C448" s="17">
        <v>105.0</v>
      </c>
      <c r="D448" s="12" t="s">
        <v>85</v>
      </c>
      <c r="E448" s="12" t="s">
        <v>92</v>
      </c>
      <c r="F448" s="12" t="s">
        <v>79</v>
      </c>
      <c r="G448" s="12" t="s">
        <v>120</v>
      </c>
      <c r="H448" s="15">
        <v>45503.0</v>
      </c>
      <c r="I448" s="17">
        <v>3.0</v>
      </c>
      <c r="J448" s="12" t="s">
        <v>53</v>
      </c>
      <c r="K448" s="12" t="s">
        <v>42</v>
      </c>
      <c r="L448" s="17">
        <v>3761.0</v>
      </c>
      <c r="M448" s="17">
        <v>2.0</v>
      </c>
      <c r="N448" s="17">
        <v>3.0</v>
      </c>
      <c r="O448" s="17">
        <v>29.9</v>
      </c>
      <c r="P448" s="17">
        <v>4.3</v>
      </c>
      <c r="Q448" s="15">
        <v>45612.0</v>
      </c>
      <c r="R448" s="12"/>
      <c r="S448" s="12" t="s">
        <v>55</v>
      </c>
      <c r="T448" s="12" t="s">
        <v>72</v>
      </c>
      <c r="U448" s="17">
        <f t="shared" si="1"/>
        <v>2</v>
      </c>
    </row>
    <row r="449">
      <c r="A449" s="12" t="s">
        <v>989</v>
      </c>
      <c r="B449" s="12" t="s">
        <v>190</v>
      </c>
      <c r="C449" s="17">
        <v>51.0</v>
      </c>
      <c r="D449" s="12" t="s">
        <v>85</v>
      </c>
      <c r="E449" s="12" t="s">
        <v>87</v>
      </c>
      <c r="F449" s="12" t="s">
        <v>37</v>
      </c>
      <c r="G449" s="12" t="s">
        <v>80</v>
      </c>
      <c r="H449" s="15">
        <v>45944.0</v>
      </c>
      <c r="I449" s="17">
        <v>32.0</v>
      </c>
      <c r="J449" s="12" t="s">
        <v>40</v>
      </c>
      <c r="K449" s="12" t="s">
        <v>65</v>
      </c>
      <c r="L449" s="17">
        <v>1551.0</v>
      </c>
      <c r="M449" s="17">
        <v>2.0</v>
      </c>
      <c r="N449" s="17">
        <v>0.0</v>
      </c>
      <c r="O449" s="17">
        <v>30.1</v>
      </c>
      <c r="P449" s="17">
        <v>3.2</v>
      </c>
      <c r="Q449" s="15">
        <v>46435.0</v>
      </c>
      <c r="R449" s="12"/>
      <c r="S449" s="12" t="s">
        <v>55</v>
      </c>
      <c r="T449" s="12" t="s">
        <v>72</v>
      </c>
      <c r="U449" s="17">
        <f t="shared" si="1"/>
        <v>3</v>
      </c>
    </row>
    <row r="450">
      <c r="A450" s="12" t="s">
        <v>990</v>
      </c>
      <c r="B450" s="12" t="s">
        <v>74</v>
      </c>
      <c r="C450" s="17">
        <v>67.0</v>
      </c>
      <c r="D450" s="12" t="s">
        <v>85</v>
      </c>
      <c r="E450" s="12" t="s">
        <v>92</v>
      </c>
      <c r="F450" s="12" t="s">
        <v>37</v>
      </c>
      <c r="G450" s="12" t="s">
        <v>210</v>
      </c>
      <c r="H450" s="15">
        <v>45218.0</v>
      </c>
      <c r="I450" s="17">
        <v>4.0</v>
      </c>
      <c r="J450" s="12" t="s">
        <v>64</v>
      </c>
      <c r="K450" s="12" t="s">
        <v>65</v>
      </c>
      <c r="L450" s="17">
        <v>1130.0</v>
      </c>
      <c r="M450" s="17">
        <v>0.0</v>
      </c>
      <c r="N450" s="17">
        <v>1.0</v>
      </c>
      <c r="O450" s="17">
        <v>30.8</v>
      </c>
      <c r="P450" s="17">
        <v>2.3</v>
      </c>
      <c r="Q450" s="15">
        <v>45321.0</v>
      </c>
      <c r="R450" s="12"/>
      <c r="S450" s="12" t="s">
        <v>55</v>
      </c>
      <c r="T450" s="12" t="s">
        <v>75</v>
      </c>
      <c r="U450" s="17">
        <f t="shared" si="1"/>
        <v>3</v>
      </c>
    </row>
    <row r="451">
      <c r="A451" s="12" t="s">
        <v>991</v>
      </c>
      <c r="B451" s="12" t="s">
        <v>340</v>
      </c>
      <c r="C451" s="17">
        <v>63.0</v>
      </c>
      <c r="D451" s="12" t="s">
        <v>85</v>
      </c>
      <c r="E451" s="12" t="s">
        <v>92</v>
      </c>
      <c r="F451" s="12" t="s">
        <v>79</v>
      </c>
      <c r="G451" s="12" t="s">
        <v>120</v>
      </c>
      <c r="H451" s="15">
        <v>45281.0</v>
      </c>
      <c r="I451" s="17">
        <v>4.0</v>
      </c>
      <c r="J451" s="12" t="s">
        <v>40</v>
      </c>
      <c r="K451" s="12" t="s">
        <v>65</v>
      </c>
      <c r="L451" s="17">
        <v>3326.0</v>
      </c>
      <c r="M451" s="17">
        <v>4.0</v>
      </c>
      <c r="N451" s="17">
        <v>0.0</v>
      </c>
      <c r="O451" s="17">
        <v>43.4</v>
      </c>
      <c r="P451" s="17">
        <v>3.4</v>
      </c>
      <c r="Q451" s="15">
        <v>45370.0</v>
      </c>
      <c r="R451" s="12"/>
      <c r="S451" s="12" t="s">
        <v>55</v>
      </c>
      <c r="T451" s="12" t="s">
        <v>104</v>
      </c>
      <c r="U451" s="17">
        <f t="shared" si="1"/>
        <v>4</v>
      </c>
    </row>
    <row r="452">
      <c r="A452" s="12" t="s">
        <v>912</v>
      </c>
      <c r="B452" s="12" t="s">
        <v>345</v>
      </c>
      <c r="C452" s="17">
        <v>56.0</v>
      </c>
      <c r="D452" s="12" t="s">
        <v>69</v>
      </c>
      <c r="E452" s="12" t="s">
        <v>70</v>
      </c>
      <c r="F452" s="12" t="s">
        <v>37</v>
      </c>
      <c r="G452" s="12" t="s">
        <v>63</v>
      </c>
      <c r="H452" s="15">
        <v>45505.0</v>
      </c>
      <c r="I452" s="17">
        <v>43.0</v>
      </c>
      <c r="J452" s="12" t="s">
        <v>40</v>
      </c>
      <c r="K452" s="12" t="s">
        <v>65</v>
      </c>
      <c r="L452" s="17">
        <v>1526.0</v>
      </c>
      <c r="M452" s="17">
        <v>4.0</v>
      </c>
      <c r="N452" s="17">
        <v>1.0</v>
      </c>
      <c r="O452" s="17">
        <v>37.3</v>
      </c>
      <c r="P452" s="17">
        <v>3.0</v>
      </c>
      <c r="Q452" s="15">
        <v>46377.0</v>
      </c>
      <c r="R452" s="12" t="s">
        <v>992</v>
      </c>
      <c r="S452" s="12" t="s">
        <v>45</v>
      </c>
      <c r="T452" s="12" t="s">
        <v>75</v>
      </c>
      <c r="U452" s="17">
        <f t="shared" si="1"/>
        <v>2</v>
      </c>
    </row>
    <row r="453">
      <c r="A453" s="12" t="s">
        <v>993</v>
      </c>
      <c r="B453" s="12" t="s">
        <v>68</v>
      </c>
      <c r="C453" s="12" t="s">
        <v>994</v>
      </c>
      <c r="D453" s="12" t="s">
        <v>85</v>
      </c>
      <c r="E453" s="12" t="s">
        <v>92</v>
      </c>
      <c r="F453" s="12" t="s">
        <v>37</v>
      </c>
      <c r="G453" s="12" t="s">
        <v>93</v>
      </c>
      <c r="H453" s="15">
        <v>45562.0</v>
      </c>
      <c r="I453" s="17">
        <v>7.0</v>
      </c>
      <c r="J453" s="12" t="s">
        <v>53</v>
      </c>
      <c r="K453" s="12" t="s">
        <v>65</v>
      </c>
      <c r="L453" s="17">
        <v>1343.0</v>
      </c>
      <c r="M453" s="17">
        <v>3.0</v>
      </c>
      <c r="N453" s="17">
        <v>0.0</v>
      </c>
      <c r="O453" s="17">
        <v>27.7</v>
      </c>
      <c r="P453" s="17">
        <v>3.6</v>
      </c>
      <c r="Q453" s="15">
        <v>45700.0</v>
      </c>
      <c r="R453" s="12"/>
      <c r="S453" s="12" t="s">
        <v>55</v>
      </c>
      <c r="T453" s="12" t="s">
        <v>75</v>
      </c>
      <c r="U453" s="17">
        <f t="shared" si="1"/>
        <v>1</v>
      </c>
    </row>
    <row r="454">
      <c r="A454" s="12" t="s">
        <v>816</v>
      </c>
      <c r="B454" s="12" t="s">
        <v>340</v>
      </c>
      <c r="C454" s="17">
        <v>64.0</v>
      </c>
      <c r="D454" s="12" t="s">
        <v>85</v>
      </c>
      <c r="E454" s="12" t="s">
        <v>292</v>
      </c>
      <c r="F454" s="12" t="s">
        <v>37</v>
      </c>
      <c r="G454" s="12" t="s">
        <v>80</v>
      </c>
      <c r="H454" s="15">
        <v>45000.0</v>
      </c>
      <c r="I454" s="17">
        <v>19.0</v>
      </c>
      <c r="J454" s="12" t="s">
        <v>64</v>
      </c>
      <c r="K454" s="12" t="s">
        <v>42</v>
      </c>
      <c r="L454" s="17">
        <v>1586.0</v>
      </c>
      <c r="M454" s="17">
        <v>0.0</v>
      </c>
      <c r="N454" s="17">
        <v>2.0</v>
      </c>
      <c r="O454" s="17">
        <v>38.7</v>
      </c>
      <c r="P454" s="17">
        <v>4.3</v>
      </c>
      <c r="Q454" s="15">
        <v>45241.0</v>
      </c>
      <c r="R454" s="12"/>
      <c r="S454" s="12" t="s">
        <v>55</v>
      </c>
      <c r="T454" s="12" t="s">
        <v>66</v>
      </c>
      <c r="U454" s="17">
        <f t="shared" si="1"/>
        <v>2</v>
      </c>
    </row>
    <row r="455">
      <c r="A455" s="12" t="s">
        <v>537</v>
      </c>
      <c r="B455" s="12" t="s">
        <v>176</v>
      </c>
      <c r="C455" s="17">
        <v>46.0</v>
      </c>
      <c r="D455" s="12" t="s">
        <v>60</v>
      </c>
      <c r="E455" s="12" t="s">
        <v>61</v>
      </c>
      <c r="F455" s="12" t="s">
        <v>37</v>
      </c>
      <c r="G455" s="12" t="s">
        <v>80</v>
      </c>
      <c r="H455" s="15">
        <v>45535.0</v>
      </c>
      <c r="I455" s="17">
        <v>28.0</v>
      </c>
      <c r="J455" s="12" t="s">
        <v>64</v>
      </c>
      <c r="K455" s="12" t="s">
        <v>81</v>
      </c>
      <c r="L455" s="17">
        <v>1666.0</v>
      </c>
      <c r="M455" s="17">
        <v>4.0</v>
      </c>
      <c r="N455" s="17">
        <v>1.0</v>
      </c>
      <c r="O455" s="17">
        <v>35.7</v>
      </c>
      <c r="P455" s="17">
        <v>4.0</v>
      </c>
      <c r="Q455" s="15">
        <v>45854.0</v>
      </c>
      <c r="R455" s="12"/>
      <c r="S455" s="12" t="s">
        <v>55</v>
      </c>
      <c r="T455" s="12" t="s">
        <v>72</v>
      </c>
      <c r="U455" s="17">
        <f t="shared" si="1"/>
        <v>3</v>
      </c>
    </row>
    <row r="456">
      <c r="A456" s="12" t="s">
        <v>995</v>
      </c>
      <c r="B456" s="12" t="s">
        <v>351</v>
      </c>
      <c r="C456" s="17">
        <v>32.0</v>
      </c>
      <c r="D456" s="12" t="s">
        <v>85</v>
      </c>
      <c r="E456" s="12" t="s">
        <v>87</v>
      </c>
      <c r="F456" s="12" t="s">
        <v>62</v>
      </c>
      <c r="G456" s="12" t="s">
        <v>80</v>
      </c>
      <c r="H456" s="15">
        <v>45490.0</v>
      </c>
      <c r="I456" s="17">
        <v>43.0</v>
      </c>
      <c r="J456" s="12" t="s">
        <v>64</v>
      </c>
      <c r="K456" s="12" t="s">
        <v>454</v>
      </c>
      <c r="L456" s="17">
        <v>591.0</v>
      </c>
      <c r="M456" s="17">
        <v>4.0</v>
      </c>
      <c r="N456" s="17">
        <v>4.0</v>
      </c>
      <c r="O456" s="17">
        <v>22.0</v>
      </c>
      <c r="P456" s="17">
        <v>2.4</v>
      </c>
      <c r="Q456" s="15">
        <v>46557.0</v>
      </c>
      <c r="R456" s="12" t="s">
        <v>996</v>
      </c>
      <c r="S456" s="12" t="s">
        <v>45</v>
      </c>
      <c r="T456" s="12" t="s">
        <v>75</v>
      </c>
      <c r="U456" s="17">
        <f t="shared" si="1"/>
        <v>1</v>
      </c>
    </row>
    <row r="457">
      <c r="A457" s="12" t="s">
        <v>77</v>
      </c>
      <c r="B457" s="12" t="s">
        <v>393</v>
      </c>
      <c r="C457" s="17">
        <v>39.0</v>
      </c>
      <c r="D457" s="12" t="s">
        <v>85</v>
      </c>
      <c r="E457" s="12" t="s">
        <v>292</v>
      </c>
      <c r="F457" s="12" t="s">
        <v>37</v>
      </c>
      <c r="G457" s="12" t="s">
        <v>210</v>
      </c>
      <c r="H457" s="15">
        <v>45509.0</v>
      </c>
      <c r="I457" s="17">
        <v>10.0</v>
      </c>
      <c r="J457" s="12" t="s">
        <v>40</v>
      </c>
      <c r="K457" s="12" t="s">
        <v>81</v>
      </c>
      <c r="L457" s="17">
        <v>1700.0</v>
      </c>
      <c r="M457" s="17">
        <v>3.0</v>
      </c>
      <c r="N457" s="17">
        <v>1.0</v>
      </c>
      <c r="O457" s="17">
        <v>23.3</v>
      </c>
      <c r="P457" s="17">
        <v>3.8</v>
      </c>
      <c r="Q457" s="15">
        <v>45672.0</v>
      </c>
      <c r="R457" s="12"/>
      <c r="S457" s="12" t="s">
        <v>55</v>
      </c>
      <c r="T457" s="12" t="s">
        <v>47</v>
      </c>
      <c r="U457" s="17">
        <f t="shared" si="1"/>
        <v>6</v>
      </c>
    </row>
    <row r="458">
      <c r="A458" s="12" t="s">
        <v>463</v>
      </c>
      <c r="B458" s="12" t="s">
        <v>470</v>
      </c>
      <c r="C458" s="12" t="s">
        <v>997</v>
      </c>
      <c r="D458" s="12" t="s">
        <v>60</v>
      </c>
      <c r="E458" s="12" t="s">
        <v>107</v>
      </c>
      <c r="F458" s="12" t="s">
        <v>37</v>
      </c>
      <c r="G458" s="12" t="s">
        <v>647</v>
      </c>
      <c r="H458" s="15">
        <v>45968.0</v>
      </c>
      <c r="I458" s="17">
        <v>39.0</v>
      </c>
      <c r="J458" s="12" t="s">
        <v>53</v>
      </c>
      <c r="K458" s="12" t="s">
        <v>65</v>
      </c>
      <c r="L458" s="17">
        <v>1115.0</v>
      </c>
      <c r="M458" s="17">
        <v>2.0</v>
      </c>
      <c r="N458" s="17">
        <v>0.0</v>
      </c>
      <c r="O458" s="17">
        <v>43.7</v>
      </c>
      <c r="P458" s="17">
        <v>3.7</v>
      </c>
      <c r="Q458" s="15">
        <v>46371.0</v>
      </c>
      <c r="R458" s="12"/>
      <c r="S458" s="12" t="s">
        <v>55</v>
      </c>
      <c r="T458" s="12" t="s">
        <v>66</v>
      </c>
      <c r="U458" s="17">
        <f t="shared" si="1"/>
        <v>2</v>
      </c>
    </row>
    <row r="459">
      <c r="A459" s="12" t="s">
        <v>998</v>
      </c>
      <c r="B459" s="12" t="s">
        <v>345</v>
      </c>
      <c r="C459" s="17">
        <v>20.0</v>
      </c>
      <c r="D459" s="12" t="s">
        <v>85</v>
      </c>
      <c r="E459" s="12" t="s">
        <v>292</v>
      </c>
      <c r="F459" s="12" t="s">
        <v>372</v>
      </c>
      <c r="G459" s="12" t="s">
        <v>210</v>
      </c>
      <c r="H459" s="15">
        <v>44841.0</v>
      </c>
      <c r="I459" s="17">
        <v>2.0</v>
      </c>
      <c r="J459" s="12" t="s">
        <v>40</v>
      </c>
      <c r="K459" s="12" t="s">
        <v>42</v>
      </c>
      <c r="L459" s="17">
        <v>641.0</v>
      </c>
      <c r="M459" s="17">
        <v>1.0</v>
      </c>
      <c r="N459" s="17">
        <v>1.0</v>
      </c>
      <c r="O459" s="17">
        <v>27.8</v>
      </c>
      <c r="P459" s="17">
        <v>5.0</v>
      </c>
      <c r="Q459" s="15">
        <v>44873.0</v>
      </c>
      <c r="R459" s="12"/>
      <c r="S459" s="12" t="s">
        <v>55</v>
      </c>
      <c r="T459" s="12" t="s">
        <v>72</v>
      </c>
      <c r="U459" s="17">
        <f t="shared" si="1"/>
        <v>1</v>
      </c>
    </row>
    <row r="460">
      <c r="A460" s="12" t="s">
        <v>999</v>
      </c>
      <c r="B460" s="12" t="s">
        <v>215</v>
      </c>
      <c r="C460" s="17">
        <v>55.0</v>
      </c>
      <c r="D460" s="12" t="s">
        <v>60</v>
      </c>
      <c r="E460" s="12" t="s">
        <v>61</v>
      </c>
      <c r="F460" s="12" t="s">
        <v>79</v>
      </c>
      <c r="G460" s="12" t="s">
        <v>120</v>
      </c>
      <c r="H460" s="15">
        <v>45306.0</v>
      </c>
      <c r="I460" s="17">
        <v>43.0</v>
      </c>
      <c r="J460" s="12" t="s">
        <v>64</v>
      </c>
      <c r="K460" s="12" t="s">
        <v>81</v>
      </c>
      <c r="L460" s="17">
        <v>3930.0</v>
      </c>
      <c r="M460" s="17">
        <v>0.0</v>
      </c>
      <c r="N460" s="17">
        <v>2.0</v>
      </c>
      <c r="O460" s="17">
        <v>35.3</v>
      </c>
      <c r="P460" s="17">
        <v>4.0</v>
      </c>
      <c r="Q460" s="15">
        <v>45603.0</v>
      </c>
      <c r="R460" s="12"/>
      <c r="S460" s="12" t="s">
        <v>55</v>
      </c>
      <c r="T460" s="12" t="s">
        <v>104</v>
      </c>
      <c r="U460" s="17">
        <f t="shared" si="1"/>
        <v>1</v>
      </c>
    </row>
    <row r="461">
      <c r="A461" s="12" t="s">
        <v>1000</v>
      </c>
      <c r="B461" s="12" t="s">
        <v>801</v>
      </c>
      <c r="C461" s="17">
        <v>46.0</v>
      </c>
      <c r="D461" s="12" t="s">
        <v>60</v>
      </c>
      <c r="E461" s="12" t="s">
        <v>133</v>
      </c>
      <c r="F461" s="12" t="s">
        <v>79</v>
      </c>
      <c r="G461" s="12" t="s">
        <v>39</v>
      </c>
      <c r="H461" s="15">
        <v>45790.0</v>
      </c>
      <c r="I461" s="17">
        <v>8.0</v>
      </c>
      <c r="J461" s="12" t="s">
        <v>40</v>
      </c>
      <c r="K461" s="12" t="s">
        <v>42</v>
      </c>
      <c r="L461" s="17">
        <v>3703.0</v>
      </c>
      <c r="M461" s="17">
        <v>3.0</v>
      </c>
      <c r="N461" s="17">
        <v>0.0</v>
      </c>
      <c r="O461" s="17">
        <v>41.3</v>
      </c>
      <c r="P461" s="17">
        <v>4.1</v>
      </c>
      <c r="Q461" s="15">
        <v>45949.0</v>
      </c>
      <c r="R461" s="12" t="s">
        <v>1001</v>
      </c>
      <c r="S461" s="12" t="s">
        <v>827</v>
      </c>
      <c r="T461" s="12" t="s">
        <v>104</v>
      </c>
      <c r="U461" s="17">
        <f t="shared" si="1"/>
        <v>1</v>
      </c>
    </row>
    <row r="462">
      <c r="A462" s="12" t="s">
        <v>1002</v>
      </c>
      <c r="B462" s="12" t="s">
        <v>633</v>
      </c>
      <c r="C462" s="17">
        <v>49.0</v>
      </c>
      <c r="D462" s="12" t="s">
        <v>306</v>
      </c>
      <c r="E462" s="12" t="s">
        <v>177</v>
      </c>
      <c r="F462" s="12" t="s">
        <v>62</v>
      </c>
      <c r="G462" s="12" t="s">
        <v>210</v>
      </c>
      <c r="H462" s="15">
        <v>45769.0</v>
      </c>
      <c r="I462" s="17">
        <v>4.0</v>
      </c>
      <c r="J462" s="12" t="s">
        <v>64</v>
      </c>
      <c r="K462" s="12" t="s">
        <v>42</v>
      </c>
      <c r="L462" s="17">
        <v>690.0</v>
      </c>
      <c r="M462" s="17">
        <v>3.0</v>
      </c>
      <c r="N462" s="17">
        <v>0.0</v>
      </c>
      <c r="O462" s="17">
        <v>4.8</v>
      </c>
      <c r="P462" s="17">
        <v>4.2</v>
      </c>
      <c r="Q462" s="15">
        <v>45807.0</v>
      </c>
      <c r="R462" s="12"/>
      <c r="S462" s="12" t="s">
        <v>55</v>
      </c>
      <c r="T462" s="12" t="s">
        <v>72</v>
      </c>
      <c r="U462" s="17">
        <f t="shared" si="1"/>
        <v>2</v>
      </c>
    </row>
    <row r="463">
      <c r="A463" s="12" t="s">
        <v>1003</v>
      </c>
      <c r="B463" s="12" t="s">
        <v>380</v>
      </c>
      <c r="C463" s="17">
        <v>54.0</v>
      </c>
      <c r="D463" s="12" t="s">
        <v>60</v>
      </c>
      <c r="E463" s="12" t="s">
        <v>133</v>
      </c>
      <c r="F463" s="12" t="s">
        <v>37</v>
      </c>
      <c r="G463" s="12" t="s">
        <v>93</v>
      </c>
      <c r="H463" s="15">
        <v>45193.0</v>
      </c>
      <c r="I463" s="17">
        <v>2.0</v>
      </c>
      <c r="J463" s="12" t="s">
        <v>53</v>
      </c>
      <c r="K463" s="12" t="s">
        <v>65</v>
      </c>
      <c r="L463" s="17">
        <v>1034.0</v>
      </c>
      <c r="M463" s="17">
        <v>0.0</v>
      </c>
      <c r="N463" s="17">
        <v>3.0</v>
      </c>
      <c r="O463" s="17">
        <v>27.4</v>
      </c>
      <c r="P463" s="17">
        <v>3.3</v>
      </c>
      <c r="Q463" s="15">
        <v>45209.0</v>
      </c>
      <c r="R463" s="12"/>
      <c r="S463" s="12" t="s">
        <v>55</v>
      </c>
      <c r="T463" s="12" t="s">
        <v>72</v>
      </c>
      <c r="U463" s="17">
        <f t="shared" si="1"/>
        <v>3</v>
      </c>
    </row>
    <row r="464">
      <c r="A464" s="12" t="s">
        <v>1004</v>
      </c>
      <c r="B464" s="12" t="s">
        <v>250</v>
      </c>
      <c r="C464" s="17">
        <v>29.0</v>
      </c>
      <c r="D464" s="12" t="s">
        <v>35</v>
      </c>
      <c r="E464" s="12" t="s">
        <v>51</v>
      </c>
      <c r="F464" s="12" t="s">
        <v>79</v>
      </c>
      <c r="G464" s="12" t="s">
        <v>120</v>
      </c>
      <c r="H464" s="15">
        <v>44578.0</v>
      </c>
      <c r="I464" s="17">
        <v>26.0</v>
      </c>
      <c r="J464" s="12" t="s">
        <v>53</v>
      </c>
      <c r="K464" s="12" t="s">
        <v>81</v>
      </c>
      <c r="L464" s="17">
        <v>2183.0</v>
      </c>
      <c r="M464" s="17">
        <v>2.0</v>
      </c>
      <c r="N464" s="17">
        <v>0.0</v>
      </c>
      <c r="O464" s="17">
        <v>41.4</v>
      </c>
      <c r="P464" s="17">
        <v>3.4</v>
      </c>
      <c r="Q464" s="15">
        <v>45362.0</v>
      </c>
      <c r="R464" s="12" t="s">
        <v>1005</v>
      </c>
      <c r="S464" s="12" t="s">
        <v>45</v>
      </c>
      <c r="T464" s="12" t="s">
        <v>72</v>
      </c>
      <c r="U464" s="17">
        <f t="shared" si="1"/>
        <v>1</v>
      </c>
    </row>
    <row r="465">
      <c r="A465" s="12" t="s">
        <v>1006</v>
      </c>
      <c r="B465" s="12" t="s">
        <v>336</v>
      </c>
      <c r="C465" s="17">
        <v>63.0</v>
      </c>
      <c r="D465" s="12" t="s">
        <v>85</v>
      </c>
      <c r="E465" s="12" t="s">
        <v>292</v>
      </c>
      <c r="F465" s="12" t="s">
        <v>62</v>
      </c>
      <c r="G465" s="12" t="s">
        <v>63</v>
      </c>
      <c r="H465" s="15">
        <v>45568.0</v>
      </c>
      <c r="I465" s="17">
        <v>31.0</v>
      </c>
      <c r="J465" s="12" t="s">
        <v>53</v>
      </c>
      <c r="K465" s="12" t="s">
        <v>81</v>
      </c>
      <c r="L465" s="17">
        <v>669.0</v>
      </c>
      <c r="M465" s="17">
        <v>2.0</v>
      </c>
      <c r="N465" s="17">
        <v>0.0</v>
      </c>
      <c r="O465" s="17">
        <v>20.3</v>
      </c>
      <c r="P465" s="17">
        <v>3.8</v>
      </c>
      <c r="Q465" s="15">
        <v>46475.0</v>
      </c>
      <c r="R465" s="12" t="s">
        <v>1007</v>
      </c>
      <c r="S465" s="12" t="s">
        <v>45</v>
      </c>
      <c r="T465" s="12" t="s">
        <v>104</v>
      </c>
      <c r="U465" s="17">
        <f t="shared" si="1"/>
        <v>3</v>
      </c>
    </row>
    <row r="466">
      <c r="A466" s="12" t="s">
        <v>1008</v>
      </c>
      <c r="B466" s="12" t="s">
        <v>202</v>
      </c>
      <c r="C466" s="12"/>
      <c r="D466" s="12" t="s">
        <v>85</v>
      </c>
      <c r="E466" s="12" t="s">
        <v>92</v>
      </c>
      <c r="F466" s="12" t="s">
        <v>37</v>
      </c>
      <c r="G466" s="12" t="s">
        <v>63</v>
      </c>
      <c r="H466" s="15">
        <v>44668.0</v>
      </c>
      <c r="I466" s="17">
        <v>42.0</v>
      </c>
      <c r="J466" s="12" t="s">
        <v>64</v>
      </c>
      <c r="K466" s="12" t="s">
        <v>65</v>
      </c>
      <c r="L466" s="17">
        <v>1453.0</v>
      </c>
      <c r="M466" s="17">
        <v>1.0</v>
      </c>
      <c r="N466" s="17">
        <v>1.0</v>
      </c>
      <c r="O466" s="17">
        <v>30.7</v>
      </c>
      <c r="P466" s="17">
        <v>4.0</v>
      </c>
      <c r="Q466" s="15">
        <v>44956.0</v>
      </c>
      <c r="R466" s="12"/>
      <c r="S466" s="12" t="s">
        <v>55</v>
      </c>
      <c r="T466" s="12" t="s">
        <v>72</v>
      </c>
      <c r="U466" s="17">
        <f t="shared" si="1"/>
        <v>3</v>
      </c>
    </row>
    <row r="467">
      <c r="A467" s="12" t="s">
        <v>1009</v>
      </c>
      <c r="B467" s="12" t="s">
        <v>190</v>
      </c>
      <c r="C467" s="17">
        <v>35.0</v>
      </c>
      <c r="D467" s="12" t="s">
        <v>35</v>
      </c>
      <c r="E467" s="12" t="s">
        <v>36</v>
      </c>
      <c r="F467" s="12" t="s">
        <v>62</v>
      </c>
      <c r="G467" s="12" t="s">
        <v>80</v>
      </c>
      <c r="H467" s="15">
        <v>45891.0</v>
      </c>
      <c r="I467" s="17">
        <v>9.0</v>
      </c>
      <c r="J467" s="12" t="s">
        <v>40</v>
      </c>
      <c r="K467" s="12" t="s">
        <v>81</v>
      </c>
      <c r="L467" s="17">
        <v>850.0</v>
      </c>
      <c r="M467" s="17">
        <v>1.0</v>
      </c>
      <c r="N467" s="17">
        <v>0.0</v>
      </c>
      <c r="O467" s="17">
        <v>12.7</v>
      </c>
      <c r="P467" s="17">
        <v>3.1</v>
      </c>
      <c r="Q467" s="15">
        <v>46064.0</v>
      </c>
      <c r="R467" s="12" t="s">
        <v>1010</v>
      </c>
      <c r="S467" s="12" t="s">
        <v>45</v>
      </c>
      <c r="T467" s="12" t="s">
        <v>66</v>
      </c>
      <c r="U467" s="17">
        <f t="shared" si="1"/>
        <v>1</v>
      </c>
    </row>
    <row r="468">
      <c r="A468" s="12" t="s">
        <v>1011</v>
      </c>
      <c r="B468" s="12" t="s">
        <v>172</v>
      </c>
      <c r="C468" s="17">
        <v>24.0</v>
      </c>
      <c r="D468" s="12" t="s">
        <v>60</v>
      </c>
      <c r="E468" s="12" t="s">
        <v>97</v>
      </c>
      <c r="F468" s="12" t="s">
        <v>62</v>
      </c>
      <c r="G468" s="12" t="s">
        <v>210</v>
      </c>
      <c r="H468" s="15">
        <v>44934.0</v>
      </c>
      <c r="I468" s="17">
        <v>26.0</v>
      </c>
      <c r="J468" s="12" t="s">
        <v>53</v>
      </c>
      <c r="K468" s="12" t="s">
        <v>42</v>
      </c>
      <c r="L468" s="17">
        <v>791.0</v>
      </c>
      <c r="M468" s="17">
        <v>4.0</v>
      </c>
      <c r="N468" s="17">
        <v>1.0</v>
      </c>
      <c r="O468" s="17">
        <v>16.0</v>
      </c>
      <c r="P468" s="17">
        <v>3.5</v>
      </c>
      <c r="Q468" s="15">
        <v>44967.0</v>
      </c>
      <c r="R468" s="12" t="s">
        <v>1012</v>
      </c>
      <c r="S468" s="12" t="s">
        <v>45</v>
      </c>
      <c r="T468" s="12" t="s">
        <v>72</v>
      </c>
      <c r="U468" s="17">
        <f t="shared" si="1"/>
        <v>1</v>
      </c>
    </row>
    <row r="469">
      <c r="A469" s="12" t="s">
        <v>595</v>
      </c>
      <c r="B469" s="12" t="s">
        <v>1013</v>
      </c>
      <c r="C469" s="17">
        <v>68.0</v>
      </c>
      <c r="D469" s="12" t="s">
        <v>69</v>
      </c>
      <c r="E469" s="12" t="s">
        <v>70</v>
      </c>
      <c r="F469" s="12" t="s">
        <v>62</v>
      </c>
      <c r="G469" s="12" t="s">
        <v>1014</v>
      </c>
      <c r="H469" s="15">
        <v>45791.0</v>
      </c>
      <c r="I469" s="17">
        <v>17.0</v>
      </c>
      <c r="J469" s="12" t="s">
        <v>53</v>
      </c>
      <c r="K469" s="12" t="s">
        <v>81</v>
      </c>
      <c r="L469" s="17">
        <v>687.0</v>
      </c>
      <c r="M469" s="17">
        <v>0.0</v>
      </c>
      <c r="N469" s="17">
        <v>0.0</v>
      </c>
      <c r="O469" s="17">
        <v>9.9</v>
      </c>
      <c r="P469" s="17">
        <v>3.0</v>
      </c>
      <c r="Q469" s="15">
        <v>45921.0</v>
      </c>
      <c r="R469" s="12"/>
      <c r="S469" s="12" t="s">
        <v>55</v>
      </c>
      <c r="T469" s="12" t="s">
        <v>75</v>
      </c>
      <c r="U469" s="17">
        <f t="shared" si="1"/>
        <v>2</v>
      </c>
    </row>
    <row r="470">
      <c r="A470" s="12" t="s">
        <v>1015</v>
      </c>
      <c r="B470" s="12" t="s">
        <v>250</v>
      </c>
      <c r="C470" s="17">
        <v>99.0</v>
      </c>
      <c r="D470" s="12" t="s">
        <v>69</v>
      </c>
      <c r="E470" s="12" t="s">
        <v>187</v>
      </c>
      <c r="F470" s="12" t="s">
        <v>62</v>
      </c>
      <c r="G470" s="12" t="s">
        <v>93</v>
      </c>
      <c r="H470" s="15">
        <v>45107.0</v>
      </c>
      <c r="I470" s="17">
        <v>19.0</v>
      </c>
      <c r="J470" s="12" t="s">
        <v>40</v>
      </c>
      <c r="K470" s="12" t="s">
        <v>65</v>
      </c>
      <c r="L470" s="17">
        <v>694.0</v>
      </c>
      <c r="M470" s="17">
        <v>0.0</v>
      </c>
      <c r="N470" s="17">
        <v>0.0</v>
      </c>
      <c r="O470" s="17">
        <v>29.0</v>
      </c>
      <c r="P470" s="17">
        <v>2.7</v>
      </c>
      <c r="Q470" s="15">
        <v>45328.0</v>
      </c>
      <c r="R470" s="12" t="s">
        <v>1016</v>
      </c>
      <c r="S470" s="12" t="s">
        <v>45</v>
      </c>
      <c r="T470" s="12" t="s">
        <v>47</v>
      </c>
      <c r="U470" s="17">
        <f t="shared" si="1"/>
        <v>2</v>
      </c>
    </row>
    <row r="471">
      <c r="A471" s="12" t="s">
        <v>956</v>
      </c>
      <c r="B471" s="12" t="s">
        <v>190</v>
      </c>
      <c r="C471" s="17">
        <v>39.0</v>
      </c>
      <c r="D471" s="12" t="s">
        <v>60</v>
      </c>
      <c r="E471" s="12" t="s">
        <v>107</v>
      </c>
      <c r="F471" s="12" t="s">
        <v>62</v>
      </c>
      <c r="G471" s="12" t="s">
        <v>120</v>
      </c>
      <c r="H471" s="15">
        <v>45070.0</v>
      </c>
      <c r="I471" s="17">
        <v>24.0</v>
      </c>
      <c r="J471" s="12" t="s">
        <v>64</v>
      </c>
      <c r="K471" s="12" t="s">
        <v>65</v>
      </c>
      <c r="L471" s="17">
        <v>830.0</v>
      </c>
      <c r="M471" s="17">
        <v>2.0</v>
      </c>
      <c r="N471" s="17">
        <v>0.0</v>
      </c>
      <c r="O471" s="17">
        <v>15.0</v>
      </c>
      <c r="P471" s="17">
        <v>4.0</v>
      </c>
      <c r="Q471" s="15">
        <v>45090.0</v>
      </c>
      <c r="R471" s="12"/>
      <c r="S471" s="12" t="s">
        <v>55</v>
      </c>
      <c r="T471" s="12" t="s">
        <v>47</v>
      </c>
      <c r="U471" s="17">
        <f t="shared" si="1"/>
        <v>2</v>
      </c>
    </row>
    <row r="472">
      <c r="A472" s="12" t="s">
        <v>1017</v>
      </c>
      <c r="B472" s="12" t="s">
        <v>257</v>
      </c>
      <c r="C472" s="17">
        <v>57.0</v>
      </c>
      <c r="D472" s="12" t="s">
        <v>85</v>
      </c>
      <c r="E472" s="12"/>
      <c r="F472" s="12" t="s">
        <v>37</v>
      </c>
      <c r="G472" s="12" t="s">
        <v>210</v>
      </c>
      <c r="H472" s="15">
        <v>44711.0</v>
      </c>
      <c r="I472" s="17">
        <v>7.0</v>
      </c>
      <c r="J472" s="12" t="s">
        <v>64</v>
      </c>
      <c r="K472" s="12" t="s">
        <v>81</v>
      </c>
      <c r="L472" s="17">
        <v>1339.0</v>
      </c>
      <c r="M472" s="17">
        <v>2.0</v>
      </c>
      <c r="N472" s="17">
        <v>1.0</v>
      </c>
      <c r="O472" s="17">
        <v>12.7</v>
      </c>
      <c r="P472" s="17">
        <v>3.6</v>
      </c>
      <c r="Q472" s="15">
        <v>44781.0</v>
      </c>
      <c r="R472" s="12"/>
      <c r="S472" s="12" t="s">
        <v>602</v>
      </c>
      <c r="T472" s="12" t="s">
        <v>104</v>
      </c>
      <c r="U472" s="17">
        <f t="shared" si="1"/>
        <v>1</v>
      </c>
    </row>
    <row r="473">
      <c r="A473" s="12" t="s">
        <v>479</v>
      </c>
      <c r="B473" s="12" t="s">
        <v>78</v>
      </c>
      <c r="C473" s="17">
        <v>51.0</v>
      </c>
      <c r="D473" s="12" t="s">
        <v>60</v>
      </c>
      <c r="E473" s="12" t="s">
        <v>133</v>
      </c>
      <c r="F473" s="12" t="s">
        <v>62</v>
      </c>
      <c r="G473" s="12" t="s">
        <v>120</v>
      </c>
      <c r="H473" s="15">
        <v>45936.0</v>
      </c>
      <c r="I473" s="17">
        <v>24.0</v>
      </c>
      <c r="J473" s="12" t="s">
        <v>53</v>
      </c>
      <c r="K473" s="12" t="s">
        <v>65</v>
      </c>
      <c r="L473" s="17">
        <v>785.0</v>
      </c>
      <c r="M473" s="17">
        <v>1.0</v>
      </c>
      <c r="N473" s="17">
        <v>0.0</v>
      </c>
      <c r="O473" s="17">
        <v>20.8</v>
      </c>
      <c r="P473" s="17">
        <v>2.8</v>
      </c>
      <c r="Q473" s="15">
        <v>46129.0</v>
      </c>
      <c r="R473" s="12"/>
      <c r="S473" s="12" t="s">
        <v>55</v>
      </c>
      <c r="T473" s="12" t="s">
        <v>75</v>
      </c>
      <c r="U473" s="17">
        <f t="shared" si="1"/>
        <v>2</v>
      </c>
    </row>
    <row r="474">
      <c r="A474" s="12" t="s">
        <v>677</v>
      </c>
      <c r="B474" s="12" t="s">
        <v>633</v>
      </c>
      <c r="C474" s="17">
        <v>37.0</v>
      </c>
      <c r="D474" s="12" t="s">
        <v>35</v>
      </c>
      <c r="E474" s="12" t="s">
        <v>161</v>
      </c>
      <c r="F474" s="12" t="s">
        <v>37</v>
      </c>
      <c r="G474" s="12" t="s">
        <v>120</v>
      </c>
      <c r="H474" s="15">
        <v>44852.0</v>
      </c>
      <c r="I474" s="17">
        <v>17.0</v>
      </c>
      <c r="J474" s="12" t="s">
        <v>53</v>
      </c>
      <c r="K474" s="12" t="s">
        <v>81</v>
      </c>
      <c r="L474" s="17">
        <v>1129.0</v>
      </c>
      <c r="M474" s="17">
        <v>1.0</v>
      </c>
      <c r="N474" s="17">
        <v>1.0</v>
      </c>
      <c r="O474" s="17">
        <v>12.9</v>
      </c>
      <c r="P474" s="17">
        <v>3.3</v>
      </c>
      <c r="Q474" s="15">
        <v>45149.0</v>
      </c>
      <c r="R474" s="12"/>
      <c r="S474" s="12" t="s">
        <v>55</v>
      </c>
      <c r="T474" s="12" t="s">
        <v>72</v>
      </c>
      <c r="U474" s="17">
        <f t="shared" si="1"/>
        <v>5</v>
      </c>
    </row>
    <row r="475">
      <c r="A475" s="12" t="s">
        <v>803</v>
      </c>
      <c r="B475" s="12" t="s">
        <v>470</v>
      </c>
      <c r="C475" s="17">
        <v>28.0</v>
      </c>
      <c r="D475" s="12" t="s">
        <v>60</v>
      </c>
      <c r="E475" s="12" t="s">
        <v>133</v>
      </c>
      <c r="F475" s="12" t="s">
        <v>79</v>
      </c>
      <c r="G475" s="12" t="s">
        <v>210</v>
      </c>
      <c r="H475" s="15">
        <v>45568.0</v>
      </c>
      <c r="I475" s="17">
        <v>10.0</v>
      </c>
      <c r="J475" s="12" t="s">
        <v>64</v>
      </c>
      <c r="K475" s="12" t="s">
        <v>42</v>
      </c>
      <c r="L475" s="17">
        <v>3633.0</v>
      </c>
      <c r="M475" s="17">
        <v>4.0</v>
      </c>
      <c r="N475" s="17">
        <v>3.0</v>
      </c>
      <c r="O475" s="17">
        <v>42.3</v>
      </c>
      <c r="P475" s="17">
        <v>5.0</v>
      </c>
      <c r="Q475" s="15">
        <v>45803.0</v>
      </c>
      <c r="R475" s="12"/>
      <c r="S475" s="12" t="s">
        <v>55</v>
      </c>
      <c r="T475" s="12" t="s">
        <v>47</v>
      </c>
      <c r="U475" s="17">
        <f t="shared" si="1"/>
        <v>2</v>
      </c>
    </row>
    <row r="476">
      <c r="A476" s="12" t="s">
        <v>1018</v>
      </c>
      <c r="B476" s="12" t="s">
        <v>645</v>
      </c>
      <c r="C476" s="17">
        <v>48.0</v>
      </c>
      <c r="D476" s="12" t="s">
        <v>85</v>
      </c>
      <c r="E476" s="12" t="s">
        <v>92</v>
      </c>
      <c r="F476" s="12" t="s">
        <v>497</v>
      </c>
      <c r="G476" s="12" t="s">
        <v>120</v>
      </c>
      <c r="H476" s="15">
        <v>45455.0</v>
      </c>
      <c r="I476" s="17">
        <v>8.0</v>
      </c>
      <c r="J476" s="12" t="s">
        <v>53</v>
      </c>
      <c r="K476" s="12" t="s">
        <v>42</v>
      </c>
      <c r="L476" s="17">
        <v>752.0</v>
      </c>
      <c r="M476" s="17">
        <v>4.0</v>
      </c>
      <c r="N476" s="17">
        <v>1.0</v>
      </c>
      <c r="O476" s="17">
        <v>17.6</v>
      </c>
      <c r="P476" s="17">
        <v>2.4</v>
      </c>
      <c r="Q476" s="15">
        <v>45556.0</v>
      </c>
      <c r="R476" s="12" t="s">
        <v>1019</v>
      </c>
      <c r="S476" s="12" t="s">
        <v>45</v>
      </c>
      <c r="T476" s="12" t="s">
        <v>47</v>
      </c>
      <c r="U476" s="17">
        <f t="shared" si="1"/>
        <v>1</v>
      </c>
    </row>
    <row r="477">
      <c r="A477" s="12" t="s">
        <v>1020</v>
      </c>
      <c r="B477" s="12" t="s">
        <v>424</v>
      </c>
      <c r="C477" s="17">
        <v>52.0</v>
      </c>
      <c r="D477" s="12" t="s">
        <v>60</v>
      </c>
      <c r="E477" s="12" t="s">
        <v>61</v>
      </c>
      <c r="F477" s="12" t="s">
        <v>62</v>
      </c>
      <c r="G477" s="12" t="s">
        <v>210</v>
      </c>
      <c r="H477" s="15">
        <v>44931.0</v>
      </c>
      <c r="I477" s="17">
        <v>11.0</v>
      </c>
      <c r="J477" s="12" t="s">
        <v>64</v>
      </c>
      <c r="K477" s="12" t="s">
        <v>42</v>
      </c>
      <c r="L477" s="17">
        <v>638.0</v>
      </c>
      <c r="M477" s="17">
        <v>1.0</v>
      </c>
      <c r="N477" s="17">
        <v>0.0</v>
      </c>
      <c r="O477" s="17">
        <v>13.8</v>
      </c>
      <c r="P477" s="17">
        <v>1.9</v>
      </c>
      <c r="Q477" s="15">
        <v>45280.0</v>
      </c>
      <c r="R477" s="12" t="s">
        <v>1021</v>
      </c>
      <c r="S477" s="12" t="s">
        <v>45</v>
      </c>
      <c r="T477" s="12" t="s">
        <v>75</v>
      </c>
      <c r="U477" s="17">
        <f t="shared" si="1"/>
        <v>1</v>
      </c>
    </row>
    <row r="478">
      <c r="A478" s="12" t="s">
        <v>473</v>
      </c>
      <c r="B478" s="12" t="s">
        <v>340</v>
      </c>
      <c r="C478" s="17">
        <v>39.0</v>
      </c>
      <c r="D478" s="12" t="s">
        <v>69</v>
      </c>
      <c r="E478" s="12" t="s">
        <v>119</v>
      </c>
      <c r="F478" s="12" t="s">
        <v>37</v>
      </c>
      <c r="G478" s="12" t="s">
        <v>210</v>
      </c>
      <c r="H478" s="15">
        <v>44615.0</v>
      </c>
      <c r="I478" s="17">
        <v>19.0</v>
      </c>
      <c r="J478" s="12" t="s">
        <v>40</v>
      </c>
      <c r="K478" s="12" t="s">
        <v>42</v>
      </c>
      <c r="L478" s="17">
        <v>1123.0</v>
      </c>
      <c r="M478" s="17">
        <v>2.0</v>
      </c>
      <c r="N478" s="12"/>
      <c r="O478" s="17">
        <v>43.2</v>
      </c>
      <c r="P478" s="17">
        <v>5.0</v>
      </c>
      <c r="Q478" s="15">
        <v>45007.0</v>
      </c>
      <c r="R478" s="12"/>
      <c r="S478" s="12" t="s">
        <v>55</v>
      </c>
      <c r="T478" s="12" t="s">
        <v>104</v>
      </c>
      <c r="U478" s="17">
        <f t="shared" si="1"/>
        <v>4</v>
      </c>
    </row>
    <row r="479">
      <c r="A479" s="12" t="s">
        <v>1022</v>
      </c>
      <c r="B479" s="12" t="s">
        <v>68</v>
      </c>
      <c r="C479" s="17">
        <v>32.0</v>
      </c>
      <c r="D479" s="12" t="s">
        <v>85</v>
      </c>
      <c r="E479" s="12" t="s">
        <v>87</v>
      </c>
      <c r="F479" s="12" t="s">
        <v>37</v>
      </c>
      <c r="G479" s="12" t="s">
        <v>210</v>
      </c>
      <c r="H479" s="15">
        <v>45778.0</v>
      </c>
      <c r="I479" s="17">
        <v>43.0</v>
      </c>
      <c r="J479" s="12" t="s">
        <v>40</v>
      </c>
      <c r="K479" s="12" t="s">
        <v>81</v>
      </c>
      <c r="L479" s="17">
        <v>1670.0</v>
      </c>
      <c r="M479" s="17">
        <v>1.0</v>
      </c>
      <c r="N479" s="17">
        <v>0.0</v>
      </c>
      <c r="O479" s="17">
        <v>20.9</v>
      </c>
      <c r="P479" s="17">
        <v>4.1</v>
      </c>
      <c r="Q479" s="15">
        <v>46715.0</v>
      </c>
      <c r="R479" s="12"/>
      <c r="S479" s="12" t="s">
        <v>55</v>
      </c>
      <c r="T479" s="12" t="s">
        <v>72</v>
      </c>
      <c r="U479" s="17">
        <f t="shared" si="1"/>
        <v>3</v>
      </c>
    </row>
    <row r="480">
      <c r="A480" s="12" t="s">
        <v>353</v>
      </c>
      <c r="B480" s="12" t="s">
        <v>303</v>
      </c>
      <c r="C480" s="17">
        <v>32.0</v>
      </c>
      <c r="D480" s="12" t="s">
        <v>35</v>
      </c>
      <c r="E480" s="12" t="s">
        <v>36</v>
      </c>
      <c r="F480" s="12" t="s">
        <v>37</v>
      </c>
      <c r="G480" s="12" t="s">
        <v>80</v>
      </c>
      <c r="H480" s="15">
        <v>45343.0</v>
      </c>
      <c r="I480" s="17">
        <v>6.0</v>
      </c>
      <c r="J480" s="12" t="s">
        <v>40</v>
      </c>
      <c r="K480" s="12" t="s">
        <v>65</v>
      </c>
      <c r="L480" s="17">
        <v>1244.0</v>
      </c>
      <c r="M480" s="17">
        <v>4.0</v>
      </c>
      <c r="N480" s="17">
        <v>0.0</v>
      </c>
      <c r="O480" s="17">
        <v>23.1</v>
      </c>
      <c r="P480" s="17">
        <v>3.2</v>
      </c>
      <c r="Q480" s="15">
        <v>45455.0</v>
      </c>
      <c r="R480" s="12"/>
      <c r="S480" s="12" t="s">
        <v>55</v>
      </c>
      <c r="T480" s="12" t="s">
        <v>75</v>
      </c>
      <c r="U480" s="17">
        <f t="shared" si="1"/>
        <v>3</v>
      </c>
    </row>
    <row r="481">
      <c r="A481" s="12" t="s">
        <v>674</v>
      </c>
      <c r="B481" s="12" t="s">
        <v>342</v>
      </c>
      <c r="C481" s="17">
        <v>51.0</v>
      </c>
      <c r="D481" s="12" t="s">
        <v>69</v>
      </c>
      <c r="E481" s="12" t="s">
        <v>70</v>
      </c>
      <c r="F481" s="12" t="s">
        <v>62</v>
      </c>
      <c r="G481" s="12" t="s">
        <v>93</v>
      </c>
      <c r="H481" s="15">
        <v>45447.0</v>
      </c>
      <c r="I481" s="17">
        <v>48.0</v>
      </c>
      <c r="J481" s="12" t="s">
        <v>40</v>
      </c>
      <c r="K481" s="12" t="s">
        <v>65</v>
      </c>
      <c r="L481" s="17">
        <v>657.0</v>
      </c>
      <c r="M481" s="17">
        <v>1.0</v>
      </c>
      <c r="N481" s="17">
        <v>3.0</v>
      </c>
      <c r="O481" s="17">
        <v>27.7</v>
      </c>
      <c r="P481" s="17">
        <v>0.0</v>
      </c>
      <c r="Q481" s="15">
        <v>45725.0</v>
      </c>
      <c r="R481" s="12" t="s">
        <v>1023</v>
      </c>
      <c r="S481" s="12" t="s">
        <v>45</v>
      </c>
      <c r="T481" s="12" t="s">
        <v>75</v>
      </c>
      <c r="U481" s="17">
        <f t="shared" si="1"/>
        <v>2</v>
      </c>
    </row>
    <row r="482">
      <c r="A482" s="12" t="s">
        <v>1024</v>
      </c>
      <c r="B482" s="12" t="s">
        <v>303</v>
      </c>
      <c r="C482" s="17">
        <v>51.0</v>
      </c>
      <c r="D482" s="12" t="s">
        <v>85</v>
      </c>
      <c r="E482" s="12" t="s">
        <v>92</v>
      </c>
      <c r="F482" s="12" t="s">
        <v>37</v>
      </c>
      <c r="G482" s="12" t="s">
        <v>120</v>
      </c>
      <c r="H482" s="15">
        <v>44746.0</v>
      </c>
      <c r="I482" s="17">
        <v>28.0</v>
      </c>
      <c r="J482" s="12" t="s">
        <v>53</v>
      </c>
      <c r="K482" s="12" t="s">
        <v>65</v>
      </c>
      <c r="L482" s="17">
        <v>1189.0</v>
      </c>
      <c r="M482" s="17">
        <v>2.0</v>
      </c>
      <c r="N482" s="17">
        <v>0.0</v>
      </c>
      <c r="O482" s="17">
        <v>19.2</v>
      </c>
      <c r="P482" s="17">
        <v>4.3</v>
      </c>
      <c r="Q482" s="15">
        <v>45401.0</v>
      </c>
      <c r="R482" s="12" t="s">
        <v>1025</v>
      </c>
      <c r="S482" s="12" t="s">
        <v>45</v>
      </c>
      <c r="T482" s="12" t="s">
        <v>47</v>
      </c>
      <c r="U482" s="17">
        <f t="shared" si="1"/>
        <v>3</v>
      </c>
    </row>
    <row r="483">
      <c r="A483" s="12" t="s">
        <v>251</v>
      </c>
      <c r="B483" s="12" t="s">
        <v>78</v>
      </c>
      <c r="C483" s="17">
        <v>27.0</v>
      </c>
      <c r="D483" s="12" t="s">
        <v>69</v>
      </c>
      <c r="E483" s="12" t="s">
        <v>119</v>
      </c>
      <c r="F483" s="12" t="s">
        <v>37</v>
      </c>
      <c r="G483" s="12" t="s">
        <v>52</v>
      </c>
      <c r="H483" s="15">
        <v>45636.0</v>
      </c>
      <c r="I483" s="17">
        <v>6.0</v>
      </c>
      <c r="J483" s="12" t="s">
        <v>64</v>
      </c>
      <c r="K483" s="12" t="s">
        <v>65</v>
      </c>
      <c r="L483" s="17">
        <v>1080.0</v>
      </c>
      <c r="M483" s="17">
        <v>1.0</v>
      </c>
      <c r="N483" s="17">
        <v>1.0</v>
      </c>
      <c r="O483" s="17">
        <v>32.3</v>
      </c>
      <c r="P483" s="17">
        <v>4.8</v>
      </c>
      <c r="Q483" s="15">
        <v>45768.0</v>
      </c>
      <c r="R483" s="12"/>
      <c r="S483" s="12" t="s">
        <v>55</v>
      </c>
      <c r="T483" s="12" t="s">
        <v>47</v>
      </c>
      <c r="U483" s="17">
        <f t="shared" si="1"/>
        <v>2</v>
      </c>
    </row>
    <row r="484">
      <c r="A484" s="12" t="s">
        <v>1026</v>
      </c>
      <c r="B484" s="12" t="s">
        <v>241</v>
      </c>
      <c r="C484" s="17">
        <v>41.0</v>
      </c>
      <c r="D484" s="12" t="s">
        <v>85</v>
      </c>
      <c r="E484" s="12" t="s">
        <v>92</v>
      </c>
      <c r="F484" s="12" t="s">
        <v>37</v>
      </c>
      <c r="G484" s="12" t="s">
        <v>80</v>
      </c>
      <c r="H484" s="15">
        <v>44718.0</v>
      </c>
      <c r="I484" s="17">
        <v>3.0</v>
      </c>
      <c r="J484" s="12" t="s">
        <v>53</v>
      </c>
      <c r="K484" s="12" t="s">
        <v>81</v>
      </c>
      <c r="L484" s="17">
        <v>1434.0</v>
      </c>
      <c r="M484" s="17">
        <v>1.0</v>
      </c>
      <c r="N484" s="17">
        <v>0.0</v>
      </c>
      <c r="O484" s="17">
        <v>27.8</v>
      </c>
      <c r="P484" s="17">
        <v>2.9</v>
      </c>
      <c r="Q484" s="15">
        <v>44740.0</v>
      </c>
      <c r="R484" s="12"/>
      <c r="S484" s="12" t="s">
        <v>55</v>
      </c>
      <c r="T484" s="12"/>
      <c r="U484" s="17">
        <f t="shared" si="1"/>
        <v>1</v>
      </c>
    </row>
    <row r="485">
      <c r="A485" s="12" t="s">
        <v>527</v>
      </c>
      <c r="B485" s="12" t="s">
        <v>229</v>
      </c>
      <c r="C485" s="17">
        <v>67.0</v>
      </c>
      <c r="D485" s="12" t="s">
        <v>35</v>
      </c>
      <c r="E485" s="12" t="s">
        <v>36</v>
      </c>
      <c r="F485" s="12" t="s">
        <v>37</v>
      </c>
      <c r="G485" s="12" t="s">
        <v>120</v>
      </c>
      <c r="H485" s="15">
        <v>44929.0</v>
      </c>
      <c r="I485" s="17">
        <v>12.0</v>
      </c>
      <c r="J485" s="12" t="s">
        <v>64</v>
      </c>
      <c r="K485" s="12" t="s">
        <v>65</v>
      </c>
      <c r="L485" s="17">
        <v>1084.0</v>
      </c>
      <c r="M485" s="17">
        <v>4.0</v>
      </c>
      <c r="N485" s="17">
        <v>1.0</v>
      </c>
      <c r="O485" s="17">
        <v>22.8</v>
      </c>
      <c r="P485" s="17">
        <v>3.0</v>
      </c>
      <c r="Q485" s="15">
        <v>45299.0</v>
      </c>
      <c r="R485" s="12" t="s">
        <v>1027</v>
      </c>
      <c r="S485" s="12" t="s">
        <v>45</v>
      </c>
      <c r="T485" s="12" t="s">
        <v>66</v>
      </c>
      <c r="U485" s="17">
        <f t="shared" si="1"/>
        <v>3</v>
      </c>
    </row>
    <row r="486">
      <c r="A486" s="12" t="s">
        <v>109</v>
      </c>
      <c r="B486" s="12" t="s">
        <v>135</v>
      </c>
      <c r="C486" s="17">
        <v>19.0</v>
      </c>
      <c r="D486" s="12" t="s">
        <v>60</v>
      </c>
      <c r="E486" s="12" t="s">
        <v>97</v>
      </c>
      <c r="F486" s="12" t="s">
        <v>62</v>
      </c>
      <c r="G486" s="12" t="s">
        <v>63</v>
      </c>
      <c r="H486" s="15">
        <v>45799.0</v>
      </c>
      <c r="I486" s="17">
        <v>17.0</v>
      </c>
      <c r="J486" s="12" t="s">
        <v>40</v>
      </c>
      <c r="K486" s="12" t="s">
        <v>81</v>
      </c>
      <c r="L486" s="17">
        <v>553.0</v>
      </c>
      <c r="M486" s="17">
        <v>2.0</v>
      </c>
      <c r="N486" s="17">
        <v>0.0</v>
      </c>
      <c r="O486" s="17">
        <v>13.8</v>
      </c>
      <c r="P486" s="17">
        <v>4.9</v>
      </c>
      <c r="Q486" s="15">
        <v>45827.0</v>
      </c>
      <c r="R486" s="12" t="s">
        <v>1028</v>
      </c>
      <c r="S486" s="12" t="s">
        <v>45</v>
      </c>
      <c r="T486" s="12" t="s">
        <v>75</v>
      </c>
      <c r="U486" s="17">
        <f t="shared" si="1"/>
        <v>5</v>
      </c>
    </row>
    <row r="487">
      <c r="A487" s="12" t="s">
        <v>1022</v>
      </c>
      <c r="B487" s="12" t="s">
        <v>336</v>
      </c>
      <c r="C487" s="17">
        <v>27.0</v>
      </c>
      <c r="D487" s="12" t="s">
        <v>85</v>
      </c>
      <c r="E487" s="12" t="s">
        <v>87</v>
      </c>
      <c r="F487" s="12" t="s">
        <v>62</v>
      </c>
      <c r="G487" s="12" t="s">
        <v>93</v>
      </c>
      <c r="H487" s="15">
        <v>45825.0</v>
      </c>
      <c r="I487" s="17">
        <v>24.0</v>
      </c>
      <c r="J487" s="12" t="s">
        <v>40</v>
      </c>
      <c r="K487" s="12" t="s">
        <v>42</v>
      </c>
      <c r="L487" s="17">
        <v>852.0</v>
      </c>
      <c r="M487" s="17">
        <v>4.0</v>
      </c>
      <c r="N487" s="17">
        <v>0.0</v>
      </c>
      <c r="O487" s="17">
        <v>19.1</v>
      </c>
      <c r="P487" s="17">
        <v>1.8</v>
      </c>
      <c r="Q487" s="15">
        <v>46144.0</v>
      </c>
      <c r="R487" s="12"/>
      <c r="S487" s="12" t="s">
        <v>55</v>
      </c>
      <c r="T487" s="12" t="s">
        <v>104</v>
      </c>
      <c r="U487" s="17">
        <f t="shared" si="1"/>
        <v>3</v>
      </c>
    </row>
    <row r="488">
      <c r="A488" s="12" t="s">
        <v>1029</v>
      </c>
      <c r="B488" s="12" t="s">
        <v>169</v>
      </c>
      <c r="C488" s="17">
        <v>28.0</v>
      </c>
      <c r="D488" s="12" t="s">
        <v>69</v>
      </c>
      <c r="E488" s="12" t="s">
        <v>70</v>
      </c>
      <c r="F488" s="12" t="s">
        <v>62</v>
      </c>
      <c r="G488" s="12" t="s">
        <v>52</v>
      </c>
      <c r="H488" s="15">
        <v>44859.0</v>
      </c>
      <c r="I488" s="17">
        <v>42.0</v>
      </c>
      <c r="J488" s="12" t="s">
        <v>53</v>
      </c>
      <c r="K488" s="12" t="s">
        <v>65</v>
      </c>
      <c r="L488" s="17">
        <v>819.0</v>
      </c>
      <c r="M488" s="17">
        <v>1.0</v>
      </c>
      <c r="N488" s="17">
        <v>0.0</v>
      </c>
      <c r="O488" s="17">
        <v>1.3</v>
      </c>
      <c r="P488" s="17">
        <v>5.0</v>
      </c>
      <c r="Q488" s="15">
        <v>45045.0</v>
      </c>
      <c r="R488" s="12"/>
      <c r="S488" s="12" t="s">
        <v>55</v>
      </c>
      <c r="T488" s="12" t="s">
        <v>104</v>
      </c>
      <c r="U488" s="17">
        <f t="shared" si="1"/>
        <v>1</v>
      </c>
    </row>
    <row r="489">
      <c r="A489" s="12" t="s">
        <v>1035</v>
      </c>
      <c r="B489" s="12" t="s">
        <v>139</v>
      </c>
      <c r="C489" s="17">
        <v>22.0</v>
      </c>
      <c r="D489" s="12" t="s">
        <v>69</v>
      </c>
      <c r="E489" s="12" t="s">
        <v>187</v>
      </c>
      <c r="F489" s="12" t="s">
        <v>37</v>
      </c>
      <c r="G489" s="12" t="s">
        <v>120</v>
      </c>
      <c r="H489" s="15">
        <v>45555.0</v>
      </c>
      <c r="I489" s="17">
        <v>31.0</v>
      </c>
      <c r="J489" s="12" t="s">
        <v>53</v>
      </c>
      <c r="K489" s="12" t="s">
        <v>42</v>
      </c>
      <c r="L489" s="17">
        <v>1598.0</v>
      </c>
      <c r="M489" s="17">
        <v>0.0</v>
      </c>
      <c r="N489" s="17">
        <v>1.0</v>
      </c>
      <c r="O489" s="17">
        <v>15.6</v>
      </c>
      <c r="P489" s="17">
        <v>3.4</v>
      </c>
      <c r="Q489" s="15">
        <v>45771.0</v>
      </c>
      <c r="R489" s="12"/>
      <c r="S489" s="12" t="s">
        <v>55</v>
      </c>
      <c r="T489" s="12" t="s">
        <v>104</v>
      </c>
      <c r="U489" s="17">
        <f t="shared" si="1"/>
        <v>1</v>
      </c>
    </row>
    <row r="490">
      <c r="A490" s="12" t="s">
        <v>1038</v>
      </c>
      <c r="B490" s="12" t="s">
        <v>645</v>
      </c>
      <c r="C490" s="17">
        <v>33.0</v>
      </c>
      <c r="D490" s="12" t="s">
        <v>85</v>
      </c>
      <c r="E490" s="12" t="s">
        <v>87</v>
      </c>
      <c r="F490" s="12" t="s">
        <v>37</v>
      </c>
      <c r="G490" s="12" t="s">
        <v>52</v>
      </c>
      <c r="H490" s="15">
        <v>45747.0</v>
      </c>
      <c r="I490" s="17">
        <v>39.0</v>
      </c>
      <c r="J490" s="12" t="s">
        <v>64</v>
      </c>
      <c r="K490" s="12" t="s">
        <v>42</v>
      </c>
      <c r="L490" s="17">
        <v>1036.0</v>
      </c>
      <c r="M490" s="17">
        <v>1.0</v>
      </c>
      <c r="N490" s="17">
        <v>1.0</v>
      </c>
      <c r="O490" s="17">
        <v>15.9</v>
      </c>
      <c r="P490" s="17">
        <v>4.4</v>
      </c>
      <c r="Q490" s="15">
        <v>46575.0</v>
      </c>
      <c r="R490" s="12" t="s">
        <v>1039</v>
      </c>
      <c r="S490" s="12" t="s">
        <v>45</v>
      </c>
      <c r="T490" s="12" t="s">
        <v>66</v>
      </c>
      <c r="U490" s="17">
        <f t="shared" si="1"/>
        <v>1</v>
      </c>
    </row>
    <row r="491">
      <c r="A491" s="12" t="s">
        <v>1040</v>
      </c>
      <c r="B491" s="12" t="s">
        <v>734</v>
      </c>
      <c r="C491" s="17">
        <v>20.0</v>
      </c>
      <c r="D491" s="12" t="s">
        <v>85</v>
      </c>
      <c r="E491" s="12" t="s">
        <v>92</v>
      </c>
      <c r="F491" s="12" t="s">
        <v>37</v>
      </c>
      <c r="G491" s="12" t="s">
        <v>210</v>
      </c>
      <c r="H491" s="15">
        <v>45889.0</v>
      </c>
      <c r="I491" s="17">
        <v>27.0</v>
      </c>
      <c r="J491" s="12" t="s">
        <v>40</v>
      </c>
      <c r="K491" s="12" t="s">
        <v>337</v>
      </c>
      <c r="L491" s="17">
        <v>1505.0</v>
      </c>
      <c r="M491" s="17">
        <v>2.0</v>
      </c>
      <c r="N491" s="17">
        <v>2.0</v>
      </c>
      <c r="O491" s="17">
        <v>23.7</v>
      </c>
      <c r="P491" s="17">
        <v>4.0</v>
      </c>
      <c r="Q491" s="15">
        <v>46560.0</v>
      </c>
      <c r="R491" s="12" t="s">
        <v>749</v>
      </c>
      <c r="S491" s="12" t="s">
        <v>45</v>
      </c>
      <c r="T491" s="12" t="s">
        <v>47</v>
      </c>
      <c r="U491" s="17">
        <f t="shared" si="1"/>
        <v>1</v>
      </c>
    </row>
    <row r="492">
      <c r="A492" s="12" t="s">
        <v>1041</v>
      </c>
      <c r="B492" s="12" t="s">
        <v>322</v>
      </c>
      <c r="C492" s="17">
        <v>65.0</v>
      </c>
      <c r="D492" s="12" t="s">
        <v>60</v>
      </c>
      <c r="E492" s="12" t="s">
        <v>133</v>
      </c>
      <c r="F492" s="12" t="s">
        <v>62</v>
      </c>
      <c r="G492" s="12" t="s">
        <v>39</v>
      </c>
      <c r="H492" s="15">
        <v>45765.0</v>
      </c>
      <c r="I492" s="17">
        <v>44.0</v>
      </c>
      <c r="J492" s="12" t="s">
        <v>64</v>
      </c>
      <c r="K492" s="12" t="s">
        <v>65</v>
      </c>
      <c r="L492" s="17">
        <v>807.0</v>
      </c>
      <c r="M492" s="17">
        <v>2.0</v>
      </c>
      <c r="N492" s="17">
        <v>0.0</v>
      </c>
      <c r="O492" s="17">
        <v>18.8</v>
      </c>
      <c r="P492" s="17">
        <v>4.9</v>
      </c>
      <c r="Q492" s="15">
        <v>46734.0</v>
      </c>
      <c r="R492" s="12"/>
      <c r="S492" s="12" t="s">
        <v>55</v>
      </c>
      <c r="T492" s="12" t="s">
        <v>75</v>
      </c>
      <c r="U492" s="17">
        <f t="shared" si="1"/>
        <v>1</v>
      </c>
    </row>
    <row r="493">
      <c r="A493" s="12" t="s">
        <v>735</v>
      </c>
      <c r="B493" s="12" t="s">
        <v>106</v>
      </c>
      <c r="C493" s="17">
        <v>31.0</v>
      </c>
      <c r="D493" s="12" t="s">
        <v>60</v>
      </c>
      <c r="E493" s="12" t="s">
        <v>133</v>
      </c>
      <c r="F493" s="12" t="s">
        <v>37</v>
      </c>
      <c r="G493" s="12" t="s">
        <v>93</v>
      </c>
      <c r="H493" s="15">
        <v>44893.0</v>
      </c>
      <c r="I493" s="17">
        <v>40.0</v>
      </c>
      <c r="J493" s="12" t="s">
        <v>40</v>
      </c>
      <c r="K493" s="12" t="s">
        <v>81</v>
      </c>
      <c r="L493" s="17">
        <v>1766.0</v>
      </c>
      <c r="M493" s="17">
        <v>3.0</v>
      </c>
      <c r="N493" s="17">
        <v>0.0</v>
      </c>
      <c r="O493" s="17">
        <v>28.7</v>
      </c>
      <c r="P493" s="17">
        <v>3.9</v>
      </c>
      <c r="Q493" s="15">
        <v>45891.0</v>
      </c>
      <c r="R493" s="12"/>
      <c r="S493" s="12" t="s">
        <v>55</v>
      </c>
      <c r="T493" s="12" t="s">
        <v>75</v>
      </c>
      <c r="U493" s="17">
        <f t="shared" si="1"/>
        <v>3</v>
      </c>
    </row>
    <row r="494">
      <c r="A494" s="12" t="s">
        <v>1042</v>
      </c>
      <c r="B494" s="12" t="s">
        <v>179</v>
      </c>
      <c r="C494" s="17">
        <v>23.0</v>
      </c>
      <c r="D494" s="12" t="s">
        <v>85</v>
      </c>
      <c r="E494" s="12" t="s">
        <v>87</v>
      </c>
      <c r="F494" s="12" t="s">
        <v>62</v>
      </c>
      <c r="G494" s="12" t="s">
        <v>39</v>
      </c>
      <c r="H494" s="15">
        <v>45702.0</v>
      </c>
      <c r="I494" s="17">
        <v>4.0</v>
      </c>
      <c r="J494" s="12" t="s">
        <v>53</v>
      </c>
      <c r="K494" s="12" t="s">
        <v>65</v>
      </c>
      <c r="L494" s="17">
        <v>682.0</v>
      </c>
      <c r="M494" s="17">
        <v>1.0</v>
      </c>
      <c r="N494" s="17">
        <v>1.0</v>
      </c>
      <c r="O494" s="17">
        <v>20.7</v>
      </c>
      <c r="P494" s="17">
        <v>4.2</v>
      </c>
      <c r="Q494" s="15">
        <v>45752.0</v>
      </c>
      <c r="R494" s="12" t="s">
        <v>1043</v>
      </c>
      <c r="S494" s="12" t="s">
        <v>45</v>
      </c>
      <c r="T494" s="12" t="s">
        <v>104</v>
      </c>
      <c r="U494" s="17">
        <f t="shared" si="1"/>
        <v>1</v>
      </c>
    </row>
    <row r="495">
      <c r="A495" s="12" t="s">
        <v>1044</v>
      </c>
      <c r="B495" s="12" t="s">
        <v>288</v>
      </c>
      <c r="C495" s="17">
        <v>64.0</v>
      </c>
      <c r="D495" s="12" t="s">
        <v>69</v>
      </c>
      <c r="E495" s="12" t="s">
        <v>70</v>
      </c>
      <c r="F495" s="12" t="s">
        <v>37</v>
      </c>
      <c r="G495" s="12" t="s">
        <v>120</v>
      </c>
      <c r="H495" s="15">
        <v>45090.0</v>
      </c>
      <c r="I495" s="17">
        <v>22.0</v>
      </c>
      <c r="J495" s="12" t="s">
        <v>40</v>
      </c>
      <c r="K495" s="12" t="s">
        <v>65</v>
      </c>
      <c r="L495" s="17">
        <v>1046.0</v>
      </c>
      <c r="M495" s="17">
        <v>3.0</v>
      </c>
      <c r="N495" s="17">
        <v>0.0</v>
      </c>
      <c r="O495" s="17">
        <v>35.9</v>
      </c>
      <c r="P495" s="17">
        <v>4.6</v>
      </c>
      <c r="Q495" s="15">
        <v>45670.0</v>
      </c>
      <c r="R495" s="12" t="s">
        <v>1045</v>
      </c>
      <c r="S495" s="12" t="s">
        <v>45</v>
      </c>
      <c r="T495" s="12" t="s">
        <v>75</v>
      </c>
      <c r="U495" s="17">
        <f t="shared" si="1"/>
        <v>1</v>
      </c>
    </row>
    <row r="496">
      <c r="A496" s="12" t="s">
        <v>1046</v>
      </c>
      <c r="B496" s="12" t="s">
        <v>636</v>
      </c>
      <c r="C496" s="17">
        <v>29.0</v>
      </c>
      <c r="D496" s="12" t="s">
        <v>35</v>
      </c>
      <c r="E496" s="12" t="s">
        <v>36</v>
      </c>
      <c r="F496" s="12" t="s">
        <v>37</v>
      </c>
      <c r="G496" s="12" t="s">
        <v>80</v>
      </c>
      <c r="H496" s="15">
        <v>44770.0</v>
      </c>
      <c r="I496" s="17">
        <v>36.0</v>
      </c>
      <c r="J496" s="12" t="s">
        <v>64</v>
      </c>
      <c r="K496" s="12" t="s">
        <v>65</v>
      </c>
      <c r="L496" s="17">
        <v>1170.0</v>
      </c>
      <c r="M496" s="17">
        <v>3.0</v>
      </c>
      <c r="N496" s="17">
        <v>1.0</v>
      </c>
      <c r="O496" s="17">
        <v>14.9</v>
      </c>
      <c r="P496" s="17">
        <v>3.3</v>
      </c>
      <c r="Q496" s="15">
        <v>45021.0</v>
      </c>
      <c r="R496" s="12"/>
      <c r="S496" s="12" t="s">
        <v>55</v>
      </c>
      <c r="T496" s="12" t="s">
        <v>75</v>
      </c>
      <c r="U496" s="17">
        <f t="shared" si="1"/>
        <v>1</v>
      </c>
    </row>
    <row r="497">
      <c r="A497" s="12" t="s">
        <v>1047</v>
      </c>
      <c r="B497" s="12" t="s">
        <v>470</v>
      </c>
      <c r="C497" s="17">
        <v>49.0</v>
      </c>
      <c r="D497" s="12" t="s">
        <v>85</v>
      </c>
      <c r="E497" s="12" t="s">
        <v>292</v>
      </c>
      <c r="F497" s="12" t="s">
        <v>62</v>
      </c>
      <c r="G497" s="12" t="s">
        <v>210</v>
      </c>
      <c r="H497" s="15">
        <v>45247.0</v>
      </c>
      <c r="I497" s="17">
        <v>9.0</v>
      </c>
      <c r="J497" s="12" t="s">
        <v>53</v>
      </c>
      <c r="K497" s="12" t="s">
        <v>65</v>
      </c>
      <c r="L497" s="17">
        <v>602.0</v>
      </c>
      <c r="M497" s="17">
        <v>2.0</v>
      </c>
      <c r="N497" s="17">
        <v>1.0</v>
      </c>
      <c r="O497" s="17">
        <v>20.6</v>
      </c>
      <c r="P497" s="17">
        <v>2.7</v>
      </c>
      <c r="Q497" s="15">
        <v>45469.0</v>
      </c>
      <c r="R497" s="12"/>
      <c r="S497" s="12" t="s">
        <v>55</v>
      </c>
      <c r="T497" s="12" t="s">
        <v>66</v>
      </c>
      <c r="U497" s="17">
        <f t="shared" si="1"/>
        <v>1</v>
      </c>
    </row>
    <row r="498">
      <c r="A498" s="12" t="s">
        <v>1048</v>
      </c>
      <c r="B498" s="12" t="s">
        <v>801</v>
      </c>
      <c r="C498" s="17">
        <v>27.0</v>
      </c>
      <c r="D498" s="12" t="s">
        <v>35</v>
      </c>
      <c r="E498" s="12" t="s">
        <v>161</v>
      </c>
      <c r="F498" s="12" t="s">
        <v>62</v>
      </c>
      <c r="G498" s="12" t="s">
        <v>93</v>
      </c>
      <c r="H498" s="15">
        <v>45411.0</v>
      </c>
      <c r="I498" s="17">
        <v>24.0</v>
      </c>
      <c r="J498" s="12" t="s">
        <v>53</v>
      </c>
      <c r="K498" s="12" t="s">
        <v>65</v>
      </c>
      <c r="L498" s="17">
        <v>624.0</v>
      </c>
      <c r="M498" s="17">
        <v>6.0</v>
      </c>
      <c r="N498" s="17">
        <v>0.0</v>
      </c>
      <c r="O498" s="17">
        <v>34.6</v>
      </c>
      <c r="P498" s="17">
        <v>3.4</v>
      </c>
      <c r="Q498" s="15">
        <v>45963.0</v>
      </c>
      <c r="R498" s="12"/>
      <c r="S498" s="12" t="s">
        <v>55</v>
      </c>
      <c r="T498" s="12" t="s">
        <v>75</v>
      </c>
      <c r="U498" s="17">
        <f t="shared" si="1"/>
        <v>1</v>
      </c>
    </row>
    <row r="499">
      <c r="A499" s="12" t="s">
        <v>1049</v>
      </c>
      <c r="B499" s="12" t="s">
        <v>50</v>
      </c>
      <c r="C499" s="17">
        <v>22.0</v>
      </c>
      <c r="D499" s="12" t="s">
        <v>60</v>
      </c>
      <c r="E499" s="12" t="s">
        <v>61</v>
      </c>
      <c r="F499" s="12" t="s">
        <v>62</v>
      </c>
      <c r="G499" s="12" t="s">
        <v>93</v>
      </c>
      <c r="H499" s="15">
        <v>44582.0</v>
      </c>
      <c r="I499" s="17">
        <v>46.0</v>
      </c>
      <c r="J499" s="12" t="s">
        <v>53</v>
      </c>
      <c r="K499" s="12" t="s">
        <v>42</v>
      </c>
      <c r="L499" s="12" t="s">
        <v>1050</v>
      </c>
      <c r="M499" s="17">
        <v>3.0</v>
      </c>
      <c r="N499" s="17">
        <v>1.0</v>
      </c>
      <c r="O499" s="17">
        <v>23.1</v>
      </c>
      <c r="P499" s="17">
        <v>2.7</v>
      </c>
      <c r="Q499" s="15">
        <v>45236.0</v>
      </c>
      <c r="R499" s="12" t="s">
        <v>1051</v>
      </c>
      <c r="S499" s="12" t="s">
        <v>45</v>
      </c>
      <c r="T499" s="12" t="s">
        <v>47</v>
      </c>
      <c r="U499" s="17">
        <f t="shared" si="1"/>
        <v>2</v>
      </c>
    </row>
    <row r="500">
      <c r="A500" s="12" t="s">
        <v>1052</v>
      </c>
      <c r="B500" s="12" t="s">
        <v>78</v>
      </c>
      <c r="C500" s="17">
        <v>63.0</v>
      </c>
      <c r="D500" s="12" t="s">
        <v>35</v>
      </c>
      <c r="E500" s="12" t="s">
        <v>161</v>
      </c>
      <c r="F500" s="12" t="s">
        <v>62</v>
      </c>
      <c r="G500" s="12" t="s">
        <v>52</v>
      </c>
      <c r="H500" s="15">
        <v>45997.0</v>
      </c>
      <c r="I500" s="17">
        <v>36.0</v>
      </c>
      <c r="J500" s="12" t="s">
        <v>53</v>
      </c>
      <c r="K500" s="12" t="s">
        <v>65</v>
      </c>
      <c r="L500" s="17">
        <v>868.0</v>
      </c>
      <c r="M500" s="17">
        <v>1.0</v>
      </c>
      <c r="N500" s="17">
        <v>0.0</v>
      </c>
      <c r="O500" s="17">
        <v>9.2</v>
      </c>
      <c r="P500" s="17">
        <v>4.5</v>
      </c>
      <c r="Q500" s="15">
        <v>46711.0</v>
      </c>
      <c r="R500" s="12" t="s">
        <v>1053</v>
      </c>
      <c r="S500" s="12" t="s">
        <v>45</v>
      </c>
      <c r="T500" s="12" t="s">
        <v>47</v>
      </c>
      <c r="U500" s="17">
        <f t="shared" si="1"/>
        <v>2</v>
      </c>
    </row>
    <row r="501">
      <c r="A501" s="12" t="s">
        <v>1054</v>
      </c>
      <c r="B501" s="12" t="s">
        <v>206</v>
      </c>
      <c r="C501" s="17">
        <v>52.0</v>
      </c>
      <c r="D501" s="12" t="s">
        <v>85</v>
      </c>
      <c r="E501" s="12" t="s">
        <v>92</v>
      </c>
      <c r="F501" s="12" t="s">
        <v>79</v>
      </c>
      <c r="G501" s="12" t="s">
        <v>93</v>
      </c>
      <c r="H501" s="15">
        <v>45890.0</v>
      </c>
      <c r="I501" s="17">
        <v>26.0</v>
      </c>
      <c r="J501" s="12" t="s">
        <v>64</v>
      </c>
      <c r="K501" s="12" t="s">
        <v>65</v>
      </c>
      <c r="L501" s="17">
        <v>2074.0</v>
      </c>
      <c r="M501" s="17">
        <v>0.0</v>
      </c>
      <c r="N501" s="17">
        <v>2.0</v>
      </c>
      <c r="O501" s="17">
        <v>47.8</v>
      </c>
      <c r="P501" s="17">
        <v>3.5</v>
      </c>
      <c r="Q501" s="15">
        <v>46450.0</v>
      </c>
      <c r="R501" s="12" t="s">
        <v>1055</v>
      </c>
      <c r="S501" s="12" t="s">
        <v>45</v>
      </c>
      <c r="T501" s="12" t="s">
        <v>47</v>
      </c>
      <c r="U501" s="17">
        <f t="shared" si="1"/>
        <v>2</v>
      </c>
    </row>
    <row r="502">
      <c r="A502" s="12" t="s">
        <v>483</v>
      </c>
      <c r="B502" s="12" t="s">
        <v>139</v>
      </c>
      <c r="C502" s="17">
        <v>51.0</v>
      </c>
      <c r="D502" s="12" t="s">
        <v>60</v>
      </c>
      <c r="E502" s="12" t="s">
        <v>107</v>
      </c>
      <c r="F502" s="12" t="s">
        <v>37</v>
      </c>
      <c r="G502" s="12" t="s">
        <v>39</v>
      </c>
      <c r="H502" s="15">
        <v>44609.0</v>
      </c>
      <c r="I502" s="17">
        <v>2.0</v>
      </c>
      <c r="J502" s="12" t="s">
        <v>40</v>
      </c>
      <c r="K502" s="12" t="s">
        <v>81</v>
      </c>
      <c r="L502" s="17">
        <v>1605.0</v>
      </c>
      <c r="M502" s="17">
        <v>2.0</v>
      </c>
      <c r="N502" s="17">
        <v>0.0</v>
      </c>
      <c r="O502" s="17">
        <v>12.7</v>
      </c>
      <c r="P502" s="17">
        <v>3.6</v>
      </c>
      <c r="Q502" s="15">
        <v>44649.0</v>
      </c>
      <c r="R502" s="12" t="s">
        <v>1056</v>
      </c>
      <c r="S502" s="12" t="s">
        <v>45</v>
      </c>
      <c r="T502" s="12" t="s">
        <v>104</v>
      </c>
      <c r="U502" s="17">
        <f t="shared" si="1"/>
        <v>4</v>
      </c>
    </row>
    <row r="503">
      <c r="A503" s="12" t="s">
        <v>934</v>
      </c>
      <c r="B503" s="12" t="s">
        <v>1057</v>
      </c>
      <c r="C503" s="17">
        <v>66.0</v>
      </c>
      <c r="D503" s="12" t="s">
        <v>60</v>
      </c>
      <c r="E503" s="12" t="s">
        <v>107</v>
      </c>
      <c r="F503" s="12" t="s">
        <v>62</v>
      </c>
      <c r="G503" s="12" t="s">
        <v>1014</v>
      </c>
      <c r="H503" s="15">
        <v>45895.0</v>
      </c>
      <c r="I503" s="17">
        <v>8.0</v>
      </c>
      <c r="J503" s="12" t="s">
        <v>64</v>
      </c>
      <c r="K503" s="12" t="s">
        <v>81</v>
      </c>
      <c r="L503" s="17">
        <v>792.0</v>
      </c>
      <c r="M503" s="17">
        <v>4.0</v>
      </c>
      <c r="N503" s="17">
        <v>2.0</v>
      </c>
      <c r="O503" s="17">
        <v>25.3</v>
      </c>
      <c r="P503" s="17">
        <v>3.8</v>
      </c>
      <c r="Q503" s="15">
        <v>46021.0</v>
      </c>
      <c r="R503" s="12"/>
      <c r="S503" s="12" t="s">
        <v>55</v>
      </c>
      <c r="T503" s="12" t="s">
        <v>66</v>
      </c>
      <c r="U503" s="17">
        <f t="shared" si="1"/>
        <v>3</v>
      </c>
    </row>
    <row r="504">
      <c r="A504" s="12" t="s">
        <v>191</v>
      </c>
      <c r="B504" s="12" t="s">
        <v>342</v>
      </c>
      <c r="C504" s="17">
        <v>52.0</v>
      </c>
      <c r="D504" s="12" t="s">
        <v>69</v>
      </c>
      <c r="E504" s="12" t="s">
        <v>177</v>
      </c>
      <c r="F504" s="12" t="s">
        <v>62</v>
      </c>
      <c r="G504" s="12" t="s">
        <v>52</v>
      </c>
      <c r="H504" s="15">
        <v>45735.0</v>
      </c>
      <c r="I504" s="17">
        <v>44.0</v>
      </c>
      <c r="J504" s="12" t="s">
        <v>64</v>
      </c>
      <c r="K504" s="12" t="s">
        <v>42</v>
      </c>
      <c r="L504" s="17">
        <v>692.0</v>
      </c>
      <c r="M504" s="17">
        <v>0.0</v>
      </c>
      <c r="N504" s="17">
        <v>2.0</v>
      </c>
      <c r="O504" s="17">
        <v>4.8</v>
      </c>
      <c r="P504" s="17">
        <v>2.8</v>
      </c>
      <c r="Q504" s="15">
        <v>46252.0</v>
      </c>
      <c r="R504" s="12"/>
      <c r="S504" s="12" t="s">
        <v>55</v>
      </c>
      <c r="T504" s="12" t="s">
        <v>72</v>
      </c>
      <c r="U504" s="17">
        <f t="shared" si="1"/>
        <v>3</v>
      </c>
    </row>
    <row r="505">
      <c r="A505" s="12" t="s">
        <v>528</v>
      </c>
      <c r="B505" s="12" t="s">
        <v>235</v>
      </c>
      <c r="C505" s="17">
        <v>42.0</v>
      </c>
      <c r="D505" s="12" t="s">
        <v>300</v>
      </c>
      <c r="E505" s="12" t="s">
        <v>51</v>
      </c>
      <c r="F505" s="12" t="s">
        <v>37</v>
      </c>
      <c r="G505" s="12" t="s">
        <v>93</v>
      </c>
      <c r="H505" s="15">
        <v>45405.0</v>
      </c>
      <c r="I505" s="17">
        <v>6.0</v>
      </c>
      <c r="J505" s="12" t="s">
        <v>64</v>
      </c>
      <c r="K505" s="12" t="s">
        <v>81</v>
      </c>
      <c r="L505" s="17">
        <v>1132.0</v>
      </c>
      <c r="M505" s="17">
        <v>0.0</v>
      </c>
      <c r="N505" s="17">
        <v>1.0</v>
      </c>
      <c r="O505" s="17">
        <v>19.0</v>
      </c>
      <c r="P505" s="17">
        <v>5.0</v>
      </c>
      <c r="Q505" s="15">
        <v>45469.0</v>
      </c>
      <c r="R505" s="12"/>
      <c r="S505" s="12" t="s">
        <v>55</v>
      </c>
      <c r="T505" s="12" t="s">
        <v>75</v>
      </c>
      <c r="U505" s="17">
        <f t="shared" si="1"/>
        <v>6</v>
      </c>
    </row>
    <row r="506">
      <c r="A506" s="12" t="s">
        <v>1058</v>
      </c>
      <c r="B506" s="12" t="s">
        <v>106</v>
      </c>
      <c r="C506" s="17">
        <v>51.0</v>
      </c>
      <c r="D506" s="12" t="s">
        <v>85</v>
      </c>
      <c r="E506" s="12" t="s">
        <v>92</v>
      </c>
      <c r="F506" s="12" t="s">
        <v>37</v>
      </c>
      <c r="G506" s="12" t="s">
        <v>52</v>
      </c>
      <c r="H506" s="15">
        <v>45429.0</v>
      </c>
      <c r="I506" s="17">
        <v>29.0</v>
      </c>
      <c r="J506" s="12" t="s">
        <v>40</v>
      </c>
      <c r="K506" s="12" t="s">
        <v>65</v>
      </c>
      <c r="L506" s="17">
        <v>1748.0</v>
      </c>
      <c r="M506" s="17">
        <v>1.0</v>
      </c>
      <c r="N506" s="17">
        <v>1.0</v>
      </c>
      <c r="O506" s="17">
        <v>29.2</v>
      </c>
      <c r="P506" s="17">
        <v>3.1</v>
      </c>
      <c r="Q506" s="15">
        <v>45865.0</v>
      </c>
      <c r="R506" s="12"/>
      <c r="S506" s="12" t="s">
        <v>55</v>
      </c>
      <c r="T506" s="12" t="s">
        <v>75</v>
      </c>
      <c r="U506" s="17">
        <f t="shared" si="1"/>
        <v>3</v>
      </c>
    </row>
    <row r="507">
      <c r="A507" s="12" t="s">
        <v>1059</v>
      </c>
      <c r="B507" s="12" t="s">
        <v>325</v>
      </c>
      <c r="C507" s="17">
        <v>42.0</v>
      </c>
      <c r="D507" s="12" t="s">
        <v>35</v>
      </c>
      <c r="E507" s="12" t="s">
        <v>51</v>
      </c>
      <c r="F507" s="12" t="s">
        <v>37</v>
      </c>
      <c r="G507" s="12" t="s">
        <v>63</v>
      </c>
      <c r="H507" s="15">
        <v>44883.0</v>
      </c>
      <c r="I507" s="17">
        <v>36.0</v>
      </c>
      <c r="J507" s="12" t="s">
        <v>64</v>
      </c>
      <c r="K507" s="12" t="s">
        <v>65</v>
      </c>
      <c r="L507" s="17">
        <v>1615.0</v>
      </c>
      <c r="M507" s="17">
        <v>5.0</v>
      </c>
      <c r="N507" s="17">
        <v>0.0</v>
      </c>
      <c r="O507" s="17">
        <v>14.0</v>
      </c>
      <c r="P507" s="17">
        <v>4.2</v>
      </c>
      <c r="Q507" s="15">
        <v>45729.0</v>
      </c>
      <c r="R507" s="12"/>
      <c r="S507" s="12" t="s">
        <v>55</v>
      </c>
      <c r="T507" s="12" t="s">
        <v>104</v>
      </c>
      <c r="U507" s="17">
        <f t="shared" si="1"/>
        <v>1</v>
      </c>
    </row>
    <row r="508">
      <c r="A508" s="12" t="s">
        <v>666</v>
      </c>
      <c r="B508" s="12" t="s">
        <v>331</v>
      </c>
      <c r="C508" s="12" t="s">
        <v>1060</v>
      </c>
      <c r="D508" s="12" t="s">
        <v>69</v>
      </c>
      <c r="E508" s="12" t="s">
        <v>70</v>
      </c>
      <c r="F508" s="12" t="s">
        <v>62</v>
      </c>
      <c r="G508" s="12" t="s">
        <v>210</v>
      </c>
      <c r="H508" s="15">
        <v>45183.0</v>
      </c>
      <c r="I508" s="17">
        <v>19.0</v>
      </c>
      <c r="J508" s="12" t="s">
        <v>40</v>
      </c>
      <c r="K508" s="12" t="s">
        <v>42</v>
      </c>
      <c r="L508" s="17">
        <v>572.0</v>
      </c>
      <c r="M508" s="17">
        <v>2.0</v>
      </c>
      <c r="N508" s="17">
        <v>1.0</v>
      </c>
      <c r="O508" s="17">
        <v>14.7</v>
      </c>
      <c r="P508" s="17">
        <v>5.0</v>
      </c>
      <c r="Q508" s="15">
        <v>45624.0</v>
      </c>
      <c r="R508" s="12"/>
      <c r="S508" s="12" t="s">
        <v>55</v>
      </c>
      <c r="T508" s="12" t="s">
        <v>75</v>
      </c>
      <c r="U508" s="17">
        <f t="shared" si="1"/>
        <v>3</v>
      </c>
    </row>
    <row r="509">
      <c r="A509" s="12" t="s">
        <v>1061</v>
      </c>
      <c r="B509" s="12" t="s">
        <v>118</v>
      </c>
      <c r="C509" s="17">
        <v>65.0</v>
      </c>
      <c r="D509" s="12" t="s">
        <v>35</v>
      </c>
      <c r="E509" s="12" t="s">
        <v>161</v>
      </c>
      <c r="F509" s="12" t="s">
        <v>62</v>
      </c>
      <c r="G509" s="12" t="s">
        <v>63</v>
      </c>
      <c r="H509" s="15">
        <v>45417.0</v>
      </c>
      <c r="I509" s="17">
        <v>31.0</v>
      </c>
      <c r="J509" s="12" t="s">
        <v>64</v>
      </c>
      <c r="K509" s="12" t="s">
        <v>42</v>
      </c>
      <c r="L509" s="17">
        <v>788.0</v>
      </c>
      <c r="M509" s="17">
        <v>2.0</v>
      </c>
      <c r="N509" s="17">
        <v>1.0</v>
      </c>
      <c r="O509" s="17">
        <v>21.4</v>
      </c>
      <c r="P509" s="17">
        <v>4.1</v>
      </c>
      <c r="Q509" s="15">
        <v>45772.0</v>
      </c>
      <c r="R509" s="12"/>
      <c r="S509" s="12" t="s">
        <v>55</v>
      </c>
      <c r="T509" s="12" t="s">
        <v>47</v>
      </c>
      <c r="U509" s="17">
        <f t="shared" si="1"/>
        <v>2</v>
      </c>
    </row>
    <row r="510">
      <c r="A510" s="12" t="s">
        <v>1062</v>
      </c>
      <c r="B510" s="12" t="s">
        <v>411</v>
      </c>
      <c r="C510" s="17">
        <v>53.0</v>
      </c>
      <c r="D510" s="12" t="s">
        <v>85</v>
      </c>
      <c r="E510" s="12" t="s">
        <v>87</v>
      </c>
      <c r="F510" s="12" t="s">
        <v>37</v>
      </c>
      <c r="G510" s="12" t="s">
        <v>39</v>
      </c>
      <c r="H510" s="15">
        <v>45228.0</v>
      </c>
      <c r="I510" s="17">
        <v>6.0</v>
      </c>
      <c r="J510" s="12" t="s">
        <v>40</v>
      </c>
      <c r="K510" s="12" t="s">
        <v>81</v>
      </c>
      <c r="L510" s="17">
        <v>1637.0</v>
      </c>
      <c r="M510" s="17">
        <v>2.0</v>
      </c>
      <c r="N510" s="17">
        <v>2.0</v>
      </c>
      <c r="O510" s="17">
        <v>15.8</v>
      </c>
      <c r="P510" s="17">
        <v>1.2</v>
      </c>
      <c r="Q510" s="15">
        <v>45337.0</v>
      </c>
      <c r="R510" s="12" t="s">
        <v>1063</v>
      </c>
      <c r="S510" s="12" t="s">
        <v>45</v>
      </c>
      <c r="T510" s="12" t="s">
        <v>75</v>
      </c>
      <c r="U510" s="17">
        <f t="shared" si="1"/>
        <v>1</v>
      </c>
    </row>
    <row r="511">
      <c r="A511" s="12" t="s">
        <v>543</v>
      </c>
      <c r="B511" s="12" t="s">
        <v>247</v>
      </c>
      <c r="C511" s="17">
        <v>31.0</v>
      </c>
      <c r="D511" s="12" t="s">
        <v>60</v>
      </c>
      <c r="E511" s="12" t="s">
        <v>61</v>
      </c>
      <c r="F511" s="12" t="s">
        <v>79</v>
      </c>
      <c r="G511" s="12" t="s">
        <v>52</v>
      </c>
      <c r="H511" s="15">
        <v>44612.0</v>
      </c>
      <c r="I511" s="17">
        <v>37.0</v>
      </c>
      <c r="J511" s="12" t="s">
        <v>64</v>
      </c>
      <c r="K511" s="12" t="s">
        <v>81</v>
      </c>
      <c r="L511" s="17">
        <v>2631.0</v>
      </c>
      <c r="M511" s="17">
        <v>1.0</v>
      </c>
      <c r="N511" s="17">
        <v>2.0</v>
      </c>
      <c r="O511" s="17">
        <v>23.0</v>
      </c>
      <c r="P511" s="17">
        <v>3.4</v>
      </c>
      <c r="Q511" s="15">
        <v>44875.0</v>
      </c>
      <c r="R511" s="12"/>
      <c r="S511" s="12" t="s">
        <v>55</v>
      </c>
      <c r="T511" s="12" t="s">
        <v>66</v>
      </c>
      <c r="U511" s="17">
        <f t="shared" si="1"/>
        <v>3</v>
      </c>
    </row>
    <row r="512">
      <c r="A512" s="12" t="s">
        <v>1064</v>
      </c>
      <c r="B512" s="12" t="s">
        <v>250</v>
      </c>
      <c r="C512" s="17">
        <v>34.0</v>
      </c>
      <c r="D512" s="12" t="s">
        <v>35</v>
      </c>
      <c r="E512" s="12" t="s">
        <v>51</v>
      </c>
      <c r="F512" s="12" t="s">
        <v>37</v>
      </c>
      <c r="G512" s="12" t="s">
        <v>80</v>
      </c>
      <c r="H512" s="15">
        <v>44600.0</v>
      </c>
      <c r="I512" s="17">
        <v>8.0</v>
      </c>
      <c r="J512" s="12" t="s">
        <v>64</v>
      </c>
      <c r="K512" s="12" t="s">
        <v>81</v>
      </c>
      <c r="L512" s="17">
        <v>1183.0</v>
      </c>
      <c r="M512" s="17">
        <v>1.0</v>
      </c>
      <c r="N512" s="17">
        <v>2.0</v>
      </c>
      <c r="O512" s="17">
        <v>27.8</v>
      </c>
      <c r="P512" s="17">
        <v>3.2</v>
      </c>
      <c r="Q512" s="15">
        <v>44614.0</v>
      </c>
      <c r="R512" s="12"/>
      <c r="S512" s="12" t="s">
        <v>55</v>
      </c>
      <c r="T512" s="12" t="s">
        <v>75</v>
      </c>
      <c r="U512" s="17">
        <f t="shared" si="1"/>
        <v>2</v>
      </c>
    </row>
    <row r="513">
      <c r="A513" s="12" t="s">
        <v>1065</v>
      </c>
      <c r="B513" s="12" t="s">
        <v>633</v>
      </c>
      <c r="C513" s="17">
        <v>35.0</v>
      </c>
      <c r="D513" s="12" t="s">
        <v>60</v>
      </c>
      <c r="E513" s="12" t="s">
        <v>133</v>
      </c>
      <c r="F513" s="12" t="s">
        <v>37</v>
      </c>
      <c r="G513" s="12" t="s">
        <v>120</v>
      </c>
      <c r="H513" s="15">
        <v>44609.0</v>
      </c>
      <c r="I513" s="17">
        <v>22.0</v>
      </c>
      <c r="J513" s="12" t="s">
        <v>40</v>
      </c>
      <c r="K513" s="12" t="s">
        <v>42</v>
      </c>
      <c r="L513" s="17">
        <v>1023.0</v>
      </c>
      <c r="M513" s="17">
        <v>1.0</v>
      </c>
      <c r="N513" s="17">
        <v>3.0</v>
      </c>
      <c r="O513" s="17">
        <v>25.3</v>
      </c>
      <c r="P513" s="17">
        <v>3.9</v>
      </c>
      <c r="Q513" s="15">
        <v>45159.0</v>
      </c>
      <c r="R513" s="12"/>
      <c r="S513" s="12" t="s">
        <v>55</v>
      </c>
      <c r="T513" s="12"/>
      <c r="U513" s="17">
        <f t="shared" si="1"/>
        <v>2</v>
      </c>
    </row>
    <row r="514">
      <c r="A514" s="12" t="s">
        <v>1066</v>
      </c>
      <c r="B514" s="12" t="s">
        <v>448</v>
      </c>
      <c r="C514" s="17">
        <v>30.0</v>
      </c>
      <c r="D514" s="12" t="s">
        <v>69</v>
      </c>
      <c r="E514" s="12" t="s">
        <v>177</v>
      </c>
      <c r="F514" s="12" t="s">
        <v>62</v>
      </c>
      <c r="G514" s="12" t="s">
        <v>210</v>
      </c>
      <c r="H514" s="15">
        <v>44745.0</v>
      </c>
      <c r="I514" s="17">
        <v>10.0</v>
      </c>
      <c r="J514" s="12" t="s">
        <v>40</v>
      </c>
      <c r="K514" s="12" t="s">
        <v>81</v>
      </c>
      <c r="L514" s="17">
        <v>707.0</v>
      </c>
      <c r="M514" s="17">
        <v>4.0</v>
      </c>
      <c r="N514" s="17">
        <v>0.0</v>
      </c>
      <c r="O514" s="17">
        <v>23.7</v>
      </c>
      <c r="P514" s="17">
        <v>1.9</v>
      </c>
      <c r="Q514" s="15">
        <v>44785.0</v>
      </c>
      <c r="R514" s="12"/>
      <c r="S514" s="12" t="s">
        <v>55</v>
      </c>
      <c r="T514" s="12" t="s">
        <v>104</v>
      </c>
      <c r="U514" s="17">
        <f t="shared" si="1"/>
        <v>2</v>
      </c>
    </row>
    <row r="515">
      <c r="A515" s="12" t="s">
        <v>1067</v>
      </c>
      <c r="B515" s="12" t="s">
        <v>172</v>
      </c>
      <c r="C515" s="17">
        <v>50.0</v>
      </c>
      <c r="D515" s="12" t="s">
        <v>85</v>
      </c>
      <c r="E515" s="12" t="s">
        <v>292</v>
      </c>
      <c r="F515" s="12" t="s">
        <v>62</v>
      </c>
      <c r="G515" s="12" t="s">
        <v>120</v>
      </c>
      <c r="H515" s="15">
        <v>45225.0</v>
      </c>
      <c r="I515" s="17">
        <v>17.0</v>
      </c>
      <c r="J515" s="12" t="s">
        <v>64</v>
      </c>
      <c r="K515" s="12" t="s">
        <v>81</v>
      </c>
      <c r="L515" s="12"/>
      <c r="M515" s="17">
        <v>3.0</v>
      </c>
      <c r="N515" s="17">
        <v>1.0</v>
      </c>
      <c r="O515" s="17">
        <v>15.7</v>
      </c>
      <c r="P515" s="17">
        <v>3.0</v>
      </c>
      <c r="Q515" s="15">
        <v>45480.0</v>
      </c>
      <c r="R515" s="12"/>
      <c r="S515" s="12" t="s">
        <v>55</v>
      </c>
      <c r="T515" s="12" t="s">
        <v>75</v>
      </c>
      <c r="U515" s="17">
        <f t="shared" si="1"/>
        <v>1</v>
      </c>
    </row>
    <row r="516">
      <c r="A516" s="12" t="s">
        <v>307</v>
      </c>
      <c r="B516" s="12" t="s">
        <v>398</v>
      </c>
      <c r="C516" s="17">
        <v>34.0</v>
      </c>
      <c r="D516" s="12" t="s">
        <v>60</v>
      </c>
      <c r="E516" s="12" t="s">
        <v>61</v>
      </c>
      <c r="F516" s="12" t="s">
        <v>62</v>
      </c>
      <c r="G516" s="12" t="s">
        <v>80</v>
      </c>
      <c r="H516" s="15">
        <v>45395.0</v>
      </c>
      <c r="I516" s="17">
        <v>5.0</v>
      </c>
      <c r="J516" s="12" t="s">
        <v>64</v>
      </c>
      <c r="K516" s="12" t="s">
        <v>81</v>
      </c>
      <c r="L516" s="17">
        <v>707.0</v>
      </c>
      <c r="M516" s="17">
        <v>0.0</v>
      </c>
      <c r="N516" s="17">
        <v>1.0</v>
      </c>
      <c r="O516" s="17">
        <v>20.5</v>
      </c>
      <c r="P516" s="17">
        <v>3.4</v>
      </c>
      <c r="Q516" s="15">
        <v>45409.0</v>
      </c>
      <c r="R516" s="12"/>
      <c r="S516" s="12" t="s">
        <v>55</v>
      </c>
      <c r="T516" s="12" t="s">
        <v>47</v>
      </c>
      <c r="U516" s="17">
        <f t="shared" si="1"/>
        <v>3</v>
      </c>
    </row>
    <row r="517">
      <c r="A517" s="12" t="s">
        <v>850</v>
      </c>
      <c r="B517" s="12" t="s">
        <v>333</v>
      </c>
      <c r="C517" s="17">
        <v>54.0</v>
      </c>
      <c r="D517" s="12" t="s">
        <v>85</v>
      </c>
      <c r="E517" s="12" t="s">
        <v>87</v>
      </c>
      <c r="F517" s="12" t="s">
        <v>62</v>
      </c>
      <c r="G517" s="12" t="s">
        <v>52</v>
      </c>
      <c r="H517" s="15">
        <v>45586.0</v>
      </c>
      <c r="I517" s="17">
        <v>14.0</v>
      </c>
      <c r="J517" s="12" t="s">
        <v>53</v>
      </c>
      <c r="K517" s="12" t="s">
        <v>42</v>
      </c>
      <c r="L517" s="17">
        <v>571.0</v>
      </c>
      <c r="M517" s="17">
        <v>1.0</v>
      </c>
      <c r="N517" s="17">
        <v>2.0</v>
      </c>
      <c r="O517" s="17">
        <v>19.2</v>
      </c>
      <c r="P517" s="17">
        <v>4.6</v>
      </c>
      <c r="Q517" s="15">
        <v>45682.0</v>
      </c>
      <c r="R517" s="12" t="s">
        <v>1068</v>
      </c>
      <c r="S517" s="12" t="s">
        <v>45</v>
      </c>
      <c r="T517" s="12" t="s">
        <v>104</v>
      </c>
      <c r="U517" s="17">
        <f t="shared" si="1"/>
        <v>2</v>
      </c>
    </row>
    <row r="518">
      <c r="A518" s="12" t="s">
        <v>1069</v>
      </c>
      <c r="B518" s="12" t="s">
        <v>232</v>
      </c>
      <c r="C518" s="17">
        <v>21.0</v>
      </c>
      <c r="D518" s="12" t="s">
        <v>60</v>
      </c>
      <c r="E518" s="12" t="s">
        <v>97</v>
      </c>
      <c r="F518" s="12" t="s">
        <v>62</v>
      </c>
      <c r="G518" s="12" t="s">
        <v>120</v>
      </c>
      <c r="H518" s="15">
        <v>45121.0</v>
      </c>
      <c r="I518" s="17">
        <v>39.0</v>
      </c>
      <c r="J518" s="12" t="s">
        <v>40</v>
      </c>
      <c r="K518" s="12" t="s">
        <v>81</v>
      </c>
      <c r="L518" s="17">
        <v>847.0</v>
      </c>
      <c r="M518" s="17">
        <v>3.0</v>
      </c>
      <c r="N518" s="17">
        <v>1.0</v>
      </c>
      <c r="O518" s="17">
        <v>19.8</v>
      </c>
      <c r="P518" s="17">
        <v>4.3</v>
      </c>
      <c r="Q518" s="15">
        <v>45566.0</v>
      </c>
      <c r="R518" s="12"/>
      <c r="S518" s="12" t="s">
        <v>55</v>
      </c>
      <c r="T518" s="12" t="s">
        <v>66</v>
      </c>
      <c r="U518" s="17">
        <f t="shared" si="1"/>
        <v>1</v>
      </c>
    </row>
    <row r="519">
      <c r="A519" s="12" t="s">
        <v>1070</v>
      </c>
      <c r="B519" s="12" t="s">
        <v>224</v>
      </c>
      <c r="C519" s="17">
        <v>67.0</v>
      </c>
      <c r="D519" s="12" t="s">
        <v>306</v>
      </c>
      <c r="E519" s="12" t="s">
        <v>161</v>
      </c>
      <c r="F519" s="12" t="s">
        <v>62</v>
      </c>
      <c r="G519" s="12" t="s">
        <v>52</v>
      </c>
      <c r="H519" s="15">
        <v>44813.0</v>
      </c>
      <c r="I519" s="17">
        <v>9.0</v>
      </c>
      <c r="J519" s="12" t="s">
        <v>64</v>
      </c>
      <c r="K519" s="12" t="s">
        <v>65</v>
      </c>
      <c r="L519" s="17">
        <v>642.0</v>
      </c>
      <c r="M519" s="17">
        <v>1.0</v>
      </c>
      <c r="N519" s="17">
        <v>2.0</v>
      </c>
      <c r="O519" s="17">
        <v>24.2</v>
      </c>
      <c r="P519" s="17">
        <v>4.2</v>
      </c>
      <c r="Q519" s="15">
        <v>45081.0</v>
      </c>
      <c r="R519" s="12" t="s">
        <v>1071</v>
      </c>
      <c r="S519" s="12" t="s">
        <v>45</v>
      </c>
      <c r="T519" s="12" t="s">
        <v>72</v>
      </c>
      <c r="U519" s="17">
        <f t="shared" si="1"/>
        <v>2</v>
      </c>
    </row>
    <row r="520">
      <c r="A520" s="12" t="s">
        <v>1072</v>
      </c>
      <c r="B520" s="12" t="s">
        <v>364</v>
      </c>
      <c r="C520" s="17">
        <v>19.0</v>
      </c>
      <c r="D520" s="12" t="s">
        <v>60</v>
      </c>
      <c r="E520" s="12" t="s">
        <v>107</v>
      </c>
      <c r="F520" s="12" t="s">
        <v>62</v>
      </c>
      <c r="G520" s="12" t="s">
        <v>80</v>
      </c>
      <c r="H520" s="15">
        <v>45234.0</v>
      </c>
      <c r="I520" s="17">
        <v>-3.0</v>
      </c>
      <c r="J520" s="12" t="s">
        <v>64</v>
      </c>
      <c r="K520" s="12" t="s">
        <v>42</v>
      </c>
      <c r="L520" s="17">
        <v>567.0</v>
      </c>
      <c r="M520" s="17">
        <v>2.0</v>
      </c>
      <c r="N520" s="17">
        <v>1.0</v>
      </c>
      <c r="O520" s="17">
        <v>23.9</v>
      </c>
      <c r="P520" s="17">
        <v>3.5</v>
      </c>
      <c r="Q520" s="15">
        <v>45244.0</v>
      </c>
      <c r="R520" s="12" t="s">
        <v>1073</v>
      </c>
      <c r="S520" s="12" t="s">
        <v>45</v>
      </c>
      <c r="T520" s="12" t="s">
        <v>75</v>
      </c>
      <c r="U520" s="17">
        <f t="shared" si="1"/>
        <v>3</v>
      </c>
    </row>
    <row r="521">
      <c r="A521" s="12" t="s">
        <v>226</v>
      </c>
      <c r="B521" s="12" t="s">
        <v>633</v>
      </c>
      <c r="C521" s="17">
        <v>57.0</v>
      </c>
      <c r="D521" s="12" t="s">
        <v>85</v>
      </c>
      <c r="E521" s="12" t="s">
        <v>87</v>
      </c>
      <c r="F521" s="12" t="s">
        <v>37</v>
      </c>
      <c r="G521" s="12" t="s">
        <v>93</v>
      </c>
      <c r="H521" s="15">
        <v>45891.0</v>
      </c>
      <c r="I521" s="17">
        <v>42.0</v>
      </c>
      <c r="J521" s="12" t="s">
        <v>53</v>
      </c>
      <c r="K521" s="12" t="s">
        <v>65</v>
      </c>
      <c r="L521" s="17">
        <v>1686.0</v>
      </c>
      <c r="M521" s="17">
        <v>0.0</v>
      </c>
      <c r="N521" s="17">
        <v>0.0</v>
      </c>
      <c r="O521" s="17">
        <v>13.5</v>
      </c>
      <c r="P521" s="17">
        <v>4.4</v>
      </c>
      <c r="Q521" s="15">
        <v>46153.0</v>
      </c>
      <c r="R521" s="12"/>
      <c r="S521" s="12" t="s">
        <v>55</v>
      </c>
      <c r="T521" s="12" t="s">
        <v>47</v>
      </c>
      <c r="U521" s="17">
        <f t="shared" si="1"/>
        <v>5</v>
      </c>
    </row>
    <row r="522">
      <c r="A522" s="12" t="s">
        <v>1074</v>
      </c>
      <c r="B522" s="12" t="s">
        <v>215</v>
      </c>
      <c r="C522" s="17">
        <v>58.0</v>
      </c>
      <c r="D522" s="12" t="s">
        <v>35</v>
      </c>
      <c r="E522" s="12" t="s">
        <v>36</v>
      </c>
      <c r="F522" s="12" t="s">
        <v>37</v>
      </c>
      <c r="G522" s="12" t="s">
        <v>39</v>
      </c>
      <c r="H522" s="15">
        <v>45472.0</v>
      </c>
      <c r="I522" s="17">
        <v>1.0</v>
      </c>
      <c r="J522" s="12" t="s">
        <v>64</v>
      </c>
      <c r="K522" s="12" t="s">
        <v>65</v>
      </c>
      <c r="L522" s="17">
        <v>1775.0</v>
      </c>
      <c r="M522" s="17">
        <v>4.0</v>
      </c>
      <c r="N522" s="17">
        <v>1.0</v>
      </c>
      <c r="O522" s="17">
        <v>27.2</v>
      </c>
      <c r="P522" s="17">
        <v>4.1</v>
      </c>
      <c r="Q522" s="15">
        <v>45504.0</v>
      </c>
      <c r="R522" s="12"/>
      <c r="S522" s="12" t="s">
        <v>55</v>
      </c>
      <c r="T522" s="12" t="s">
        <v>47</v>
      </c>
      <c r="U522" s="17">
        <f t="shared" si="1"/>
        <v>1</v>
      </c>
    </row>
    <row r="523">
      <c r="A523" s="12" t="s">
        <v>1075</v>
      </c>
      <c r="B523" s="12" t="s">
        <v>135</v>
      </c>
      <c r="C523" s="17">
        <v>36.0</v>
      </c>
      <c r="D523" s="12" t="s">
        <v>306</v>
      </c>
      <c r="E523" s="12" t="s">
        <v>92</v>
      </c>
      <c r="F523" s="12" t="s">
        <v>62</v>
      </c>
      <c r="G523" s="12" t="s">
        <v>586</v>
      </c>
      <c r="H523" s="15">
        <v>46003.0</v>
      </c>
      <c r="I523" s="17">
        <v>46.0</v>
      </c>
      <c r="J523" s="12" t="s">
        <v>64</v>
      </c>
      <c r="K523" s="12" t="s">
        <v>81</v>
      </c>
      <c r="L523" s="17">
        <v>502.0</v>
      </c>
      <c r="M523" s="17">
        <v>2.0</v>
      </c>
      <c r="N523" s="17">
        <v>1.0</v>
      </c>
      <c r="O523" s="17">
        <v>18.6</v>
      </c>
      <c r="P523" s="17">
        <v>3.4</v>
      </c>
      <c r="Q523" s="15">
        <v>47320.0</v>
      </c>
      <c r="R523" s="12"/>
      <c r="S523" s="12" t="s">
        <v>55</v>
      </c>
      <c r="T523" s="12" t="s">
        <v>75</v>
      </c>
      <c r="U523" s="17">
        <f t="shared" si="1"/>
        <v>1</v>
      </c>
    </row>
    <row r="524">
      <c r="A524" s="12" t="s">
        <v>1076</v>
      </c>
      <c r="B524" s="12" t="s">
        <v>250</v>
      </c>
      <c r="C524" s="17">
        <v>62.0</v>
      </c>
      <c r="D524" s="12" t="s">
        <v>69</v>
      </c>
      <c r="E524" s="12" t="s">
        <v>187</v>
      </c>
      <c r="F524" s="12" t="s">
        <v>62</v>
      </c>
      <c r="G524" s="12" t="s">
        <v>39</v>
      </c>
      <c r="H524" s="15">
        <v>44695.0</v>
      </c>
      <c r="I524" s="17">
        <v>9.0</v>
      </c>
      <c r="J524" s="12" t="s">
        <v>40</v>
      </c>
      <c r="K524" s="12" t="s">
        <v>81</v>
      </c>
      <c r="L524" s="17">
        <v>790.0</v>
      </c>
      <c r="M524" s="17">
        <v>2.0</v>
      </c>
      <c r="N524" s="17">
        <v>0.0</v>
      </c>
      <c r="O524" s="17">
        <v>7.7</v>
      </c>
      <c r="P524" s="17">
        <v>4.2</v>
      </c>
      <c r="Q524" s="15">
        <v>44972.0</v>
      </c>
      <c r="R524" s="12"/>
      <c r="S524" s="12" t="s">
        <v>55</v>
      </c>
      <c r="T524" s="12" t="s">
        <v>66</v>
      </c>
      <c r="U524" s="17">
        <f t="shared" si="1"/>
        <v>1</v>
      </c>
    </row>
    <row r="525">
      <c r="A525" s="12" t="s">
        <v>1077</v>
      </c>
      <c r="B525" s="12" t="s">
        <v>639</v>
      </c>
      <c r="C525" s="17">
        <v>50.0</v>
      </c>
      <c r="D525" s="12" t="s">
        <v>60</v>
      </c>
      <c r="E525" s="12" t="s">
        <v>133</v>
      </c>
      <c r="F525" s="12" t="s">
        <v>62</v>
      </c>
      <c r="G525" s="12" t="s">
        <v>120</v>
      </c>
      <c r="H525" s="15">
        <v>45874.0</v>
      </c>
      <c r="I525" s="17">
        <v>44.0</v>
      </c>
      <c r="J525" s="12" t="s">
        <v>53</v>
      </c>
      <c r="K525" s="12" t="s">
        <v>81</v>
      </c>
      <c r="L525" s="17">
        <v>525.0</v>
      </c>
      <c r="M525" s="17">
        <v>2.0</v>
      </c>
      <c r="N525" s="17">
        <v>1.0</v>
      </c>
      <c r="O525" s="17">
        <v>15.6</v>
      </c>
      <c r="P525" s="17">
        <v>2.6</v>
      </c>
      <c r="Q525" s="15">
        <v>46717.0</v>
      </c>
      <c r="R525" s="12" t="s">
        <v>1078</v>
      </c>
      <c r="S525" s="12" t="s">
        <v>45</v>
      </c>
      <c r="T525" s="12" t="s">
        <v>104</v>
      </c>
      <c r="U525" s="17">
        <f t="shared" si="1"/>
        <v>1</v>
      </c>
    </row>
    <row r="526">
      <c r="A526" s="12" t="s">
        <v>1079</v>
      </c>
      <c r="B526" s="12" t="s">
        <v>239</v>
      </c>
      <c r="C526" s="17">
        <v>66.0</v>
      </c>
      <c r="D526" s="12" t="s">
        <v>69</v>
      </c>
      <c r="E526" s="12" t="s">
        <v>70</v>
      </c>
      <c r="F526" s="12" t="s">
        <v>62</v>
      </c>
      <c r="G526" s="12" t="s">
        <v>120</v>
      </c>
      <c r="H526" s="15">
        <v>45652.0</v>
      </c>
      <c r="I526" s="17">
        <v>29.0</v>
      </c>
      <c r="J526" s="12" t="s">
        <v>40</v>
      </c>
      <c r="K526" s="12" t="s">
        <v>81</v>
      </c>
      <c r="L526" s="17">
        <v>699.0</v>
      </c>
      <c r="M526" s="17">
        <v>1.0</v>
      </c>
      <c r="N526" s="17">
        <v>2.0</v>
      </c>
      <c r="O526" s="17">
        <v>8.9</v>
      </c>
      <c r="P526" s="17">
        <v>4.0</v>
      </c>
      <c r="Q526" s="15">
        <v>45745.0</v>
      </c>
      <c r="R526" s="12"/>
      <c r="S526" s="12" t="s">
        <v>55</v>
      </c>
      <c r="T526" s="12" t="s">
        <v>75</v>
      </c>
      <c r="U526" s="17">
        <f t="shared" si="1"/>
        <v>1</v>
      </c>
    </row>
    <row r="527">
      <c r="A527" s="12" t="s">
        <v>1080</v>
      </c>
      <c r="B527" s="12" t="s">
        <v>448</v>
      </c>
      <c r="C527" s="17">
        <v>35.0</v>
      </c>
      <c r="D527" s="12" t="s">
        <v>69</v>
      </c>
      <c r="E527" s="12" t="s">
        <v>187</v>
      </c>
      <c r="F527" s="12" t="s">
        <v>62</v>
      </c>
      <c r="G527" s="12" t="s">
        <v>210</v>
      </c>
      <c r="H527" s="15">
        <v>44690.0</v>
      </c>
      <c r="I527" s="17">
        <v>41.0</v>
      </c>
      <c r="J527" s="12" t="s">
        <v>40</v>
      </c>
      <c r="K527" s="12" t="s">
        <v>42</v>
      </c>
      <c r="L527" s="17">
        <v>513.0</v>
      </c>
      <c r="M527" s="17">
        <v>2.0</v>
      </c>
      <c r="N527" s="17">
        <v>0.0</v>
      </c>
      <c r="O527" s="17">
        <v>21.9</v>
      </c>
      <c r="P527" s="17">
        <v>3.4</v>
      </c>
      <c r="Q527" s="15">
        <v>44749.0</v>
      </c>
      <c r="R527" s="12"/>
      <c r="S527" s="12" t="s">
        <v>55</v>
      </c>
      <c r="T527" s="12" t="s">
        <v>75</v>
      </c>
      <c r="U527" s="17">
        <f t="shared" si="1"/>
        <v>2</v>
      </c>
    </row>
    <row r="528">
      <c r="A528" s="12" t="s">
        <v>532</v>
      </c>
      <c r="B528" s="12" t="s">
        <v>340</v>
      </c>
      <c r="C528" s="17">
        <v>24.0</v>
      </c>
      <c r="D528" s="12" t="s">
        <v>60</v>
      </c>
      <c r="E528" s="12" t="s">
        <v>61</v>
      </c>
      <c r="F528" s="12" t="s">
        <v>37</v>
      </c>
      <c r="G528" s="12" t="s">
        <v>421</v>
      </c>
      <c r="H528" s="15">
        <v>45046.0</v>
      </c>
      <c r="I528" s="17">
        <v>5.0</v>
      </c>
      <c r="J528" s="12" t="s">
        <v>40</v>
      </c>
      <c r="K528" s="12" t="s">
        <v>42</v>
      </c>
      <c r="L528" s="17">
        <v>1448.0</v>
      </c>
      <c r="M528" s="17">
        <v>0.0</v>
      </c>
      <c r="N528" s="17">
        <v>1.0</v>
      </c>
      <c r="O528" s="17">
        <v>12.7</v>
      </c>
      <c r="P528" s="17">
        <v>4.9</v>
      </c>
      <c r="Q528" s="15">
        <v>45080.0</v>
      </c>
      <c r="R528" s="12" t="s">
        <v>1081</v>
      </c>
      <c r="S528" s="12" t="s">
        <v>45</v>
      </c>
      <c r="T528" s="12" t="s">
        <v>75</v>
      </c>
      <c r="U528" s="17">
        <f t="shared" si="1"/>
        <v>2</v>
      </c>
    </row>
    <row r="529">
      <c r="A529" s="12" t="s">
        <v>901</v>
      </c>
      <c r="B529" s="12" t="s">
        <v>132</v>
      </c>
      <c r="C529" s="17">
        <v>37.0</v>
      </c>
      <c r="D529" s="12" t="s">
        <v>35</v>
      </c>
      <c r="E529" s="12" t="s">
        <v>51</v>
      </c>
      <c r="F529" s="12" t="s">
        <v>62</v>
      </c>
      <c r="G529" s="12" t="s">
        <v>93</v>
      </c>
      <c r="H529" s="15">
        <v>45467.0</v>
      </c>
      <c r="I529" s="17">
        <v>4.0</v>
      </c>
      <c r="J529" s="12" t="s">
        <v>53</v>
      </c>
      <c r="K529" s="12" t="s">
        <v>65</v>
      </c>
      <c r="L529" s="17">
        <v>819.0</v>
      </c>
      <c r="M529" s="17">
        <v>0.0</v>
      </c>
      <c r="N529" s="17">
        <v>1.0</v>
      </c>
      <c r="O529" s="17">
        <v>12.6</v>
      </c>
      <c r="P529" s="17">
        <v>4.6</v>
      </c>
      <c r="Q529" s="15">
        <v>45503.0</v>
      </c>
      <c r="R529" s="12"/>
      <c r="S529" s="12" t="s">
        <v>55</v>
      </c>
      <c r="T529" s="12" t="s">
        <v>104</v>
      </c>
      <c r="U529" s="17">
        <f t="shared" si="1"/>
        <v>4</v>
      </c>
    </row>
    <row r="530">
      <c r="A530" s="12" t="s">
        <v>1082</v>
      </c>
      <c r="B530" s="12" t="s">
        <v>340</v>
      </c>
      <c r="C530" s="17">
        <v>99.0</v>
      </c>
      <c r="D530" s="12" t="s">
        <v>85</v>
      </c>
      <c r="E530" s="12" t="s">
        <v>111</v>
      </c>
      <c r="F530" s="12" t="s">
        <v>79</v>
      </c>
      <c r="G530" s="12" t="s">
        <v>93</v>
      </c>
      <c r="H530" s="15">
        <v>45913.0</v>
      </c>
      <c r="I530" s="17">
        <v>40.0</v>
      </c>
      <c r="J530" s="12" t="s">
        <v>429</v>
      </c>
      <c r="K530" s="12" t="s">
        <v>81</v>
      </c>
      <c r="L530" s="17">
        <v>3627.0</v>
      </c>
      <c r="M530" s="17">
        <v>2.0</v>
      </c>
      <c r="N530" s="17">
        <v>1.0</v>
      </c>
      <c r="O530" s="17">
        <v>38.3</v>
      </c>
      <c r="P530" s="17">
        <v>4.1</v>
      </c>
      <c r="Q530" s="15">
        <v>46799.0</v>
      </c>
      <c r="R530" s="12"/>
      <c r="S530" s="12" t="s">
        <v>55</v>
      </c>
      <c r="T530" s="12" t="s">
        <v>104</v>
      </c>
      <c r="U530" s="17">
        <f t="shared" si="1"/>
        <v>3</v>
      </c>
    </row>
    <row r="531">
      <c r="A531" s="12" t="s">
        <v>857</v>
      </c>
      <c r="B531" s="12" t="s">
        <v>176</v>
      </c>
      <c r="C531" s="17">
        <v>41.0</v>
      </c>
      <c r="D531" s="12" t="s">
        <v>60</v>
      </c>
      <c r="E531" s="12" t="s">
        <v>97</v>
      </c>
      <c r="F531" s="12" t="s">
        <v>62</v>
      </c>
      <c r="G531" s="12" t="s">
        <v>63</v>
      </c>
      <c r="H531" s="15">
        <v>45780.0</v>
      </c>
      <c r="I531" s="17">
        <v>46.0</v>
      </c>
      <c r="J531" s="12" t="s">
        <v>53</v>
      </c>
      <c r="K531" s="12" t="s">
        <v>65</v>
      </c>
      <c r="L531" s="17">
        <v>598.0</v>
      </c>
      <c r="M531" s="17">
        <v>3.0</v>
      </c>
      <c r="N531" s="17">
        <v>0.0</v>
      </c>
      <c r="O531" s="17">
        <v>13.0</v>
      </c>
      <c r="P531" s="17">
        <v>3.8</v>
      </c>
      <c r="Q531" s="15">
        <v>47095.0</v>
      </c>
      <c r="R531" s="12"/>
      <c r="S531" s="12" t="s">
        <v>55</v>
      </c>
      <c r="T531" s="12" t="s">
        <v>66</v>
      </c>
      <c r="U531" s="17">
        <f t="shared" si="1"/>
        <v>2</v>
      </c>
    </row>
    <row r="532">
      <c r="A532" s="12" t="s">
        <v>1083</v>
      </c>
      <c r="B532" s="12" t="s">
        <v>78</v>
      </c>
      <c r="C532" s="17">
        <v>28.0</v>
      </c>
      <c r="D532" s="12" t="s">
        <v>69</v>
      </c>
      <c r="E532" s="12" t="s">
        <v>187</v>
      </c>
      <c r="F532" s="12" t="s">
        <v>62</v>
      </c>
      <c r="G532" s="12" t="s">
        <v>63</v>
      </c>
      <c r="H532" s="15">
        <v>44685.0</v>
      </c>
      <c r="I532" s="17">
        <v>9.0</v>
      </c>
      <c r="J532" s="12" t="s">
        <v>53</v>
      </c>
      <c r="K532" s="12" t="s">
        <v>65</v>
      </c>
      <c r="L532" s="17">
        <v>722.0</v>
      </c>
      <c r="M532" s="17">
        <v>2.0</v>
      </c>
      <c r="N532" s="17">
        <v>0.0</v>
      </c>
      <c r="O532" s="17">
        <v>17.1</v>
      </c>
      <c r="P532" s="17">
        <v>2.9</v>
      </c>
      <c r="Q532" s="15">
        <v>44878.0</v>
      </c>
      <c r="R532" s="12"/>
      <c r="S532" s="12" t="s">
        <v>55</v>
      </c>
      <c r="T532" s="12" t="s">
        <v>66</v>
      </c>
      <c r="U532" s="17">
        <f t="shared" si="1"/>
        <v>1</v>
      </c>
    </row>
    <row r="533">
      <c r="A533" s="12" t="s">
        <v>1084</v>
      </c>
      <c r="B533" s="12" t="s">
        <v>202</v>
      </c>
      <c r="C533" s="17">
        <v>41.0</v>
      </c>
      <c r="D533" s="12" t="s">
        <v>60</v>
      </c>
      <c r="E533" s="12" t="s">
        <v>107</v>
      </c>
      <c r="F533" s="12" t="s">
        <v>79</v>
      </c>
      <c r="G533" s="12" t="s">
        <v>80</v>
      </c>
      <c r="H533" s="15">
        <v>45763.0</v>
      </c>
      <c r="I533" s="17">
        <v>43.0</v>
      </c>
      <c r="J533" s="12" t="s">
        <v>40</v>
      </c>
      <c r="K533" s="12" t="s">
        <v>42</v>
      </c>
      <c r="L533" s="17">
        <v>3037.0</v>
      </c>
      <c r="M533" s="17">
        <v>1.0</v>
      </c>
      <c r="N533" s="17">
        <v>1.0</v>
      </c>
      <c r="O533" s="17">
        <v>14.7</v>
      </c>
      <c r="P533" s="17">
        <v>3.4</v>
      </c>
      <c r="Q533" s="15">
        <v>46918.0</v>
      </c>
      <c r="R533" s="12"/>
      <c r="S533" s="12" t="s">
        <v>55</v>
      </c>
      <c r="T533" s="12" t="s">
        <v>47</v>
      </c>
      <c r="U533" s="17">
        <f t="shared" si="1"/>
        <v>1</v>
      </c>
    </row>
    <row r="534">
      <c r="A534" s="12" t="s">
        <v>1085</v>
      </c>
      <c r="B534" s="12" t="s">
        <v>232</v>
      </c>
      <c r="C534" s="17">
        <v>45.0</v>
      </c>
      <c r="D534" s="12" t="s">
        <v>60</v>
      </c>
      <c r="E534" s="12" t="s">
        <v>97</v>
      </c>
      <c r="F534" s="12" t="s">
        <v>192</v>
      </c>
      <c r="G534" s="12" t="s">
        <v>52</v>
      </c>
      <c r="H534" s="15">
        <v>45978.0</v>
      </c>
      <c r="I534" s="17">
        <v>30.0</v>
      </c>
      <c r="J534" s="12" t="s">
        <v>53</v>
      </c>
      <c r="K534" s="12" t="s">
        <v>42</v>
      </c>
      <c r="L534" s="17">
        <v>1591.0</v>
      </c>
      <c r="M534" s="17">
        <v>1.0</v>
      </c>
      <c r="N534" s="17">
        <v>0.0</v>
      </c>
      <c r="O534" s="17">
        <v>38.6</v>
      </c>
      <c r="P534" s="17">
        <v>4.0</v>
      </c>
      <c r="Q534" s="15">
        <v>46331.0</v>
      </c>
      <c r="R534" s="12"/>
      <c r="S534" s="12" t="s">
        <v>55</v>
      </c>
      <c r="T534" s="12" t="s">
        <v>104</v>
      </c>
      <c r="U534" s="17">
        <f t="shared" si="1"/>
        <v>1</v>
      </c>
    </row>
    <row r="535">
      <c r="A535" s="12" t="s">
        <v>528</v>
      </c>
      <c r="B535" s="12" t="s">
        <v>1086</v>
      </c>
      <c r="C535" s="12"/>
      <c r="D535" s="12" t="s">
        <v>35</v>
      </c>
      <c r="E535" s="12" t="s">
        <v>140</v>
      </c>
      <c r="F535" s="12" t="s">
        <v>62</v>
      </c>
      <c r="G535" s="12" t="s">
        <v>63</v>
      </c>
      <c r="H535" s="15">
        <v>45870.0</v>
      </c>
      <c r="I535" s="17">
        <v>15.0</v>
      </c>
      <c r="J535" s="12" t="s">
        <v>53</v>
      </c>
      <c r="K535" s="12" t="s">
        <v>42</v>
      </c>
      <c r="L535" s="17">
        <v>737.0</v>
      </c>
      <c r="M535" s="17">
        <v>2.0</v>
      </c>
      <c r="N535" s="17">
        <v>0.0</v>
      </c>
      <c r="O535" s="17">
        <v>11.5</v>
      </c>
      <c r="P535" s="17">
        <v>2.5</v>
      </c>
      <c r="Q535" s="15">
        <v>46002.0</v>
      </c>
      <c r="R535" s="12"/>
      <c r="S535" s="12" t="s">
        <v>55</v>
      </c>
      <c r="T535" s="12" t="s">
        <v>75</v>
      </c>
      <c r="U535" s="17">
        <f t="shared" si="1"/>
        <v>6</v>
      </c>
    </row>
    <row r="536">
      <c r="A536" s="12" t="s">
        <v>1087</v>
      </c>
      <c r="B536" s="12" t="s">
        <v>132</v>
      </c>
      <c r="C536" s="17">
        <v>31.0</v>
      </c>
      <c r="D536" s="12" t="s">
        <v>35</v>
      </c>
      <c r="E536" s="12" t="s">
        <v>161</v>
      </c>
      <c r="F536" s="12" t="s">
        <v>62</v>
      </c>
      <c r="G536" s="12" t="s">
        <v>210</v>
      </c>
      <c r="H536" s="15">
        <v>44623.0</v>
      </c>
      <c r="I536" s="17">
        <v>36.0</v>
      </c>
      <c r="J536" s="12" t="s">
        <v>40</v>
      </c>
      <c r="K536" s="12" t="s">
        <v>65</v>
      </c>
      <c r="L536" s="17">
        <v>647.0</v>
      </c>
      <c r="M536" s="17">
        <v>1.0</v>
      </c>
      <c r="N536" s="17">
        <v>0.0</v>
      </c>
      <c r="O536" s="17">
        <v>30.5</v>
      </c>
      <c r="P536" s="17">
        <v>2.9</v>
      </c>
      <c r="Q536" s="15">
        <v>45370.0</v>
      </c>
      <c r="R536" s="12"/>
      <c r="S536" s="12" t="s">
        <v>55</v>
      </c>
      <c r="T536" s="12" t="s">
        <v>47</v>
      </c>
      <c r="U536" s="17">
        <f t="shared" si="1"/>
        <v>3</v>
      </c>
    </row>
    <row r="537">
      <c r="A537" s="12" t="s">
        <v>1088</v>
      </c>
      <c r="B537" s="12" t="s">
        <v>126</v>
      </c>
      <c r="C537" s="17">
        <v>43.0</v>
      </c>
      <c r="D537" s="12" t="s">
        <v>60</v>
      </c>
      <c r="E537" s="12" t="s">
        <v>97</v>
      </c>
      <c r="F537" s="12" t="s">
        <v>62</v>
      </c>
      <c r="G537" s="12" t="s">
        <v>80</v>
      </c>
      <c r="H537" s="15">
        <v>45065.0</v>
      </c>
      <c r="I537" s="17">
        <v>12.0</v>
      </c>
      <c r="J537" s="12" t="s">
        <v>64</v>
      </c>
      <c r="K537" s="12" t="s">
        <v>42</v>
      </c>
      <c r="L537" s="17">
        <v>589.0</v>
      </c>
      <c r="M537" s="17">
        <v>1.0</v>
      </c>
      <c r="N537" s="17">
        <v>3.0</v>
      </c>
      <c r="O537" s="17">
        <v>10.0</v>
      </c>
      <c r="P537" s="17">
        <v>3.0</v>
      </c>
      <c r="Q537" s="15">
        <v>45126.0</v>
      </c>
      <c r="R537" s="12"/>
      <c r="S537" s="12" t="s">
        <v>55</v>
      </c>
      <c r="T537" s="12" t="s">
        <v>72</v>
      </c>
      <c r="U537" s="17">
        <f t="shared" si="1"/>
        <v>2</v>
      </c>
    </row>
    <row r="538">
      <c r="A538" s="12" t="s">
        <v>1090</v>
      </c>
      <c r="B538" s="12" t="s">
        <v>325</v>
      </c>
      <c r="C538" s="12" t="s">
        <v>939</v>
      </c>
      <c r="D538" s="12" t="s">
        <v>60</v>
      </c>
      <c r="E538" s="12" t="s">
        <v>133</v>
      </c>
      <c r="F538" s="12" t="s">
        <v>62</v>
      </c>
      <c r="G538" s="12" t="s">
        <v>93</v>
      </c>
      <c r="H538" s="15">
        <v>45324.0</v>
      </c>
      <c r="I538" s="17">
        <v>43.0</v>
      </c>
      <c r="J538" s="12" t="s">
        <v>40</v>
      </c>
      <c r="K538" s="12" t="s">
        <v>42</v>
      </c>
      <c r="L538" s="17">
        <v>768.0</v>
      </c>
      <c r="M538" s="17">
        <v>3.0</v>
      </c>
      <c r="N538" s="17">
        <v>0.0</v>
      </c>
      <c r="O538" s="17">
        <v>9.2</v>
      </c>
      <c r="P538" s="17">
        <v>3.4</v>
      </c>
      <c r="Q538" s="15">
        <v>46222.0</v>
      </c>
      <c r="R538" s="12"/>
      <c r="S538" s="12" t="s">
        <v>55</v>
      </c>
      <c r="T538" s="12" t="s">
        <v>47</v>
      </c>
      <c r="U538" s="17">
        <f t="shared" si="1"/>
        <v>2</v>
      </c>
    </row>
    <row r="539">
      <c r="A539" s="12" t="s">
        <v>1096</v>
      </c>
      <c r="B539" s="12" t="s">
        <v>176</v>
      </c>
      <c r="C539" s="17">
        <v>28.0</v>
      </c>
      <c r="D539" s="12" t="s">
        <v>85</v>
      </c>
      <c r="E539" s="12" t="s">
        <v>92</v>
      </c>
      <c r="F539" s="12" t="s">
        <v>62</v>
      </c>
      <c r="G539" s="12" t="s">
        <v>120</v>
      </c>
      <c r="H539" s="15">
        <v>45864.0</v>
      </c>
      <c r="I539" s="17">
        <v>16.0</v>
      </c>
      <c r="J539" s="12" t="s">
        <v>53</v>
      </c>
      <c r="K539" s="12" t="s">
        <v>42</v>
      </c>
      <c r="L539" s="17">
        <v>889.0</v>
      </c>
      <c r="M539" s="17">
        <v>3.0</v>
      </c>
      <c r="N539" s="17">
        <v>1.0</v>
      </c>
      <c r="O539" s="17">
        <v>22.8</v>
      </c>
      <c r="P539" s="17">
        <v>4.7</v>
      </c>
      <c r="Q539" s="15">
        <v>45970.0</v>
      </c>
      <c r="R539" s="12" t="s">
        <v>1100</v>
      </c>
      <c r="S539" s="12" t="s">
        <v>45</v>
      </c>
      <c r="T539" s="12" t="s">
        <v>104</v>
      </c>
      <c r="U539" s="17">
        <f t="shared" si="1"/>
        <v>1</v>
      </c>
    </row>
    <row r="540">
      <c r="A540" s="12" t="s">
        <v>1102</v>
      </c>
      <c r="B540" s="12" t="s">
        <v>476</v>
      </c>
      <c r="C540" s="17">
        <v>67.0</v>
      </c>
      <c r="D540" s="12" t="s">
        <v>60</v>
      </c>
      <c r="E540" s="12" t="s">
        <v>97</v>
      </c>
      <c r="F540" s="12" t="s">
        <v>79</v>
      </c>
      <c r="G540" s="12" t="s">
        <v>80</v>
      </c>
      <c r="H540" s="15">
        <v>45563.0</v>
      </c>
      <c r="I540" s="17">
        <v>14.0</v>
      </c>
      <c r="J540" s="12" t="s">
        <v>64</v>
      </c>
      <c r="K540" s="12" t="s">
        <v>81</v>
      </c>
      <c r="L540" s="17">
        <v>3258.0</v>
      </c>
      <c r="M540" s="17">
        <v>2.0</v>
      </c>
      <c r="N540" s="17">
        <v>3.0</v>
      </c>
      <c r="O540" s="17">
        <v>23.3</v>
      </c>
      <c r="P540" s="17">
        <v>3.0</v>
      </c>
      <c r="Q540" s="15">
        <v>45606.0</v>
      </c>
      <c r="R540" s="12" t="s">
        <v>1105</v>
      </c>
      <c r="S540" s="12" t="s">
        <v>45</v>
      </c>
      <c r="T540" s="12" t="s">
        <v>72</v>
      </c>
      <c r="U540" s="17">
        <f t="shared" si="1"/>
        <v>1</v>
      </c>
    </row>
    <row r="541">
      <c r="A541" s="12" t="s">
        <v>1109</v>
      </c>
      <c r="B541" s="12" t="s">
        <v>308</v>
      </c>
      <c r="C541" s="17">
        <v>32.0</v>
      </c>
      <c r="D541" s="12" t="s">
        <v>85</v>
      </c>
      <c r="E541" s="12" t="s">
        <v>111</v>
      </c>
      <c r="F541" s="12" t="s">
        <v>62</v>
      </c>
      <c r="G541" s="12" t="s">
        <v>210</v>
      </c>
      <c r="H541" s="15">
        <v>45638.0</v>
      </c>
      <c r="I541" s="17">
        <v>45.0</v>
      </c>
      <c r="J541" s="12" t="s">
        <v>40</v>
      </c>
      <c r="K541" s="12" t="s">
        <v>42</v>
      </c>
      <c r="L541" s="17">
        <v>752.0</v>
      </c>
      <c r="M541" s="17">
        <v>3.0</v>
      </c>
      <c r="N541" s="17">
        <v>0.0</v>
      </c>
      <c r="O541" s="17">
        <v>10.4</v>
      </c>
      <c r="P541" s="17">
        <v>3.1</v>
      </c>
      <c r="Q541" s="15">
        <v>46838.0</v>
      </c>
      <c r="R541" s="12"/>
      <c r="S541" s="12" t="s">
        <v>55</v>
      </c>
      <c r="T541" s="12" t="s">
        <v>75</v>
      </c>
      <c r="U541" s="17">
        <f t="shared" si="1"/>
        <v>1</v>
      </c>
    </row>
    <row r="542">
      <c r="A542" s="12" t="s">
        <v>1112</v>
      </c>
      <c r="B542" s="12" t="s">
        <v>736</v>
      </c>
      <c r="C542" s="17">
        <v>47.0</v>
      </c>
      <c r="D542" s="12" t="s">
        <v>85</v>
      </c>
      <c r="E542" s="12" t="s">
        <v>111</v>
      </c>
      <c r="F542" s="12" t="s">
        <v>62</v>
      </c>
      <c r="G542" s="12" t="s">
        <v>120</v>
      </c>
      <c r="H542" s="15">
        <v>45732.0</v>
      </c>
      <c r="I542" s="17">
        <v>11.0</v>
      </c>
      <c r="J542" s="12" t="s">
        <v>64</v>
      </c>
      <c r="K542" s="12" t="s">
        <v>65</v>
      </c>
      <c r="L542" s="17">
        <v>690.0</v>
      </c>
      <c r="M542" s="17">
        <v>4.0</v>
      </c>
      <c r="N542" s="17">
        <v>1.0</v>
      </c>
      <c r="O542" s="17">
        <v>14.4</v>
      </c>
      <c r="P542" s="17">
        <v>4.5</v>
      </c>
      <c r="Q542" s="15">
        <v>45785.0</v>
      </c>
      <c r="R542" s="12" t="s">
        <v>1113</v>
      </c>
      <c r="S542" s="12" t="s">
        <v>45</v>
      </c>
      <c r="T542" s="12" t="s">
        <v>47</v>
      </c>
      <c r="U542" s="17">
        <f t="shared" si="1"/>
        <v>1</v>
      </c>
    </row>
    <row r="543">
      <c r="A543" s="12" t="s">
        <v>1114</v>
      </c>
      <c r="B543" s="12" t="s">
        <v>224</v>
      </c>
      <c r="C543" s="17">
        <v>43.0</v>
      </c>
      <c r="D543" s="12" t="s">
        <v>35</v>
      </c>
      <c r="E543" s="12" t="s">
        <v>140</v>
      </c>
      <c r="F543" s="12" t="s">
        <v>37</v>
      </c>
      <c r="G543" s="12" t="s">
        <v>210</v>
      </c>
      <c r="H543" s="15">
        <v>45434.0</v>
      </c>
      <c r="I543" s="17">
        <v>29.0</v>
      </c>
      <c r="J543" s="12" t="s">
        <v>40</v>
      </c>
      <c r="K543" s="12" t="s">
        <v>42</v>
      </c>
      <c r="L543" s="17">
        <v>1375.0</v>
      </c>
      <c r="M543" s="17">
        <v>2.0</v>
      </c>
      <c r="N543" s="17">
        <v>1.0</v>
      </c>
      <c r="O543" s="17">
        <v>22.1</v>
      </c>
      <c r="P543" s="17">
        <v>4.3</v>
      </c>
      <c r="Q543" s="15">
        <v>45953.0</v>
      </c>
      <c r="R543" s="12"/>
      <c r="S543" s="12" t="s">
        <v>55</v>
      </c>
      <c r="T543" s="12" t="s">
        <v>75</v>
      </c>
      <c r="U543" s="17">
        <f t="shared" si="1"/>
        <v>1</v>
      </c>
    </row>
    <row r="544">
      <c r="A544" s="12" t="s">
        <v>1115</v>
      </c>
      <c r="B544" s="12" t="s">
        <v>215</v>
      </c>
      <c r="C544" s="17">
        <v>26.0</v>
      </c>
      <c r="D544" s="12" t="s">
        <v>60</v>
      </c>
      <c r="E544" s="12" t="s">
        <v>61</v>
      </c>
      <c r="F544" s="12" t="s">
        <v>62</v>
      </c>
      <c r="G544" s="12" t="s">
        <v>63</v>
      </c>
      <c r="H544" s="15">
        <v>45165.0</v>
      </c>
      <c r="I544" s="17">
        <v>33.0</v>
      </c>
      <c r="J544" s="12" t="s">
        <v>40</v>
      </c>
      <c r="K544" s="12" t="s">
        <v>65</v>
      </c>
      <c r="L544" s="17">
        <v>828.0</v>
      </c>
      <c r="M544" s="17">
        <v>0.0</v>
      </c>
      <c r="N544" s="17">
        <v>1.0</v>
      </c>
      <c r="O544" s="17">
        <v>26.6</v>
      </c>
      <c r="P544" s="17">
        <v>4.0</v>
      </c>
      <c r="Q544" s="15">
        <v>45458.0</v>
      </c>
      <c r="R544" s="12"/>
      <c r="S544" s="12" t="s">
        <v>55</v>
      </c>
      <c r="T544" s="12" t="s">
        <v>104</v>
      </c>
      <c r="U544" s="17">
        <f t="shared" si="1"/>
        <v>1</v>
      </c>
    </row>
    <row r="545">
      <c r="A545" s="12" t="s">
        <v>1116</v>
      </c>
      <c r="B545" s="12" t="s">
        <v>605</v>
      </c>
      <c r="C545" s="17">
        <v>67.0</v>
      </c>
      <c r="D545" s="12" t="s">
        <v>69</v>
      </c>
      <c r="E545" s="12" t="s">
        <v>177</v>
      </c>
      <c r="F545" s="12" t="s">
        <v>62</v>
      </c>
      <c r="G545" s="12" t="s">
        <v>210</v>
      </c>
      <c r="H545" s="15">
        <v>45074.0</v>
      </c>
      <c r="I545" s="17">
        <v>20.0</v>
      </c>
      <c r="J545" s="12" t="s">
        <v>64</v>
      </c>
      <c r="K545" s="12" t="s">
        <v>81</v>
      </c>
      <c r="L545" s="17">
        <v>892.0</v>
      </c>
      <c r="M545" s="17">
        <v>2.0</v>
      </c>
      <c r="N545" s="17">
        <v>0.0</v>
      </c>
      <c r="O545" s="17">
        <v>24.2</v>
      </c>
      <c r="P545" s="17">
        <v>3.7</v>
      </c>
      <c r="Q545" s="15">
        <v>45365.0</v>
      </c>
      <c r="R545" s="12" t="s">
        <v>1117</v>
      </c>
      <c r="S545" s="12" t="s">
        <v>45</v>
      </c>
      <c r="T545" s="12" t="s">
        <v>66</v>
      </c>
      <c r="U545" s="17">
        <f t="shared" si="1"/>
        <v>2</v>
      </c>
    </row>
    <row r="546">
      <c r="A546" s="12" t="s">
        <v>1118</v>
      </c>
      <c r="B546" s="12" t="s">
        <v>145</v>
      </c>
      <c r="C546" s="17">
        <v>44.0</v>
      </c>
      <c r="D546" s="12" t="s">
        <v>35</v>
      </c>
      <c r="E546" s="12" t="s">
        <v>161</v>
      </c>
      <c r="F546" s="12" t="s">
        <v>62</v>
      </c>
      <c r="G546" s="12" t="s">
        <v>210</v>
      </c>
      <c r="H546" s="15">
        <v>45389.0</v>
      </c>
      <c r="I546" s="17">
        <v>26.0</v>
      </c>
      <c r="J546" s="12" t="s">
        <v>40</v>
      </c>
      <c r="K546" s="12" t="s">
        <v>42</v>
      </c>
      <c r="L546" s="17">
        <v>886.0</v>
      </c>
      <c r="M546" s="17">
        <v>1.0</v>
      </c>
      <c r="N546" s="17">
        <v>0.0</v>
      </c>
      <c r="O546" s="17">
        <v>9.4</v>
      </c>
      <c r="P546" s="17">
        <v>5.0</v>
      </c>
      <c r="Q546" s="15">
        <v>45882.0</v>
      </c>
      <c r="R546" s="12" t="s">
        <v>1119</v>
      </c>
      <c r="S546" s="12" t="s">
        <v>45</v>
      </c>
      <c r="T546" s="12" t="s">
        <v>47</v>
      </c>
      <c r="U546" s="17">
        <f t="shared" si="1"/>
        <v>1</v>
      </c>
    </row>
    <row r="547">
      <c r="A547" s="12" t="s">
        <v>695</v>
      </c>
      <c r="B547" s="12" t="s">
        <v>801</v>
      </c>
      <c r="C547" s="17">
        <v>47.0</v>
      </c>
      <c r="D547" s="12" t="s">
        <v>69</v>
      </c>
      <c r="E547" s="12" t="s">
        <v>119</v>
      </c>
      <c r="F547" s="12" t="s">
        <v>37</v>
      </c>
      <c r="G547" s="12" t="s">
        <v>120</v>
      </c>
      <c r="H547" s="15">
        <v>45259.0</v>
      </c>
      <c r="I547" s="17">
        <v>6.0</v>
      </c>
      <c r="J547" s="12" t="s">
        <v>53</v>
      </c>
      <c r="K547" s="12" t="s">
        <v>81</v>
      </c>
      <c r="L547" s="17">
        <v>1438.0</v>
      </c>
      <c r="M547" s="17">
        <v>0.0</v>
      </c>
      <c r="N547" s="17">
        <v>2.0</v>
      </c>
      <c r="O547" s="17">
        <v>29.8</v>
      </c>
      <c r="P547" s="17">
        <v>3.8</v>
      </c>
      <c r="Q547" s="15">
        <v>45447.0</v>
      </c>
      <c r="R547" s="12"/>
      <c r="S547" s="12" t="s">
        <v>55</v>
      </c>
      <c r="T547" s="12" t="s">
        <v>104</v>
      </c>
      <c r="U547" s="17">
        <f t="shared" si="1"/>
        <v>5</v>
      </c>
    </row>
    <row r="548">
      <c r="A548" s="12" t="s">
        <v>1121</v>
      </c>
      <c r="B548" s="12" t="s">
        <v>222</v>
      </c>
      <c r="C548" s="17">
        <v>39.0</v>
      </c>
      <c r="D548" s="12" t="s">
        <v>69</v>
      </c>
      <c r="E548" s="12" t="s">
        <v>187</v>
      </c>
      <c r="F548" s="12" t="s">
        <v>62</v>
      </c>
      <c r="G548" s="12" t="s">
        <v>52</v>
      </c>
      <c r="H548" s="15">
        <v>44581.0</v>
      </c>
      <c r="I548" s="17">
        <v>32.0</v>
      </c>
      <c r="J548" s="12" t="s">
        <v>64</v>
      </c>
      <c r="K548" s="12" t="s">
        <v>42</v>
      </c>
      <c r="L548" s="17">
        <v>680.0</v>
      </c>
      <c r="M548" s="17">
        <v>0.0</v>
      </c>
      <c r="N548" s="17">
        <v>1.0</v>
      </c>
      <c r="O548" s="17">
        <v>11.8</v>
      </c>
      <c r="P548" s="17">
        <v>3.7</v>
      </c>
      <c r="Q548" s="15">
        <v>45020.0</v>
      </c>
      <c r="R548" s="12" t="s">
        <v>1122</v>
      </c>
      <c r="S548" s="12" t="s">
        <v>45</v>
      </c>
      <c r="T548" s="12" t="s">
        <v>66</v>
      </c>
      <c r="U548" s="17">
        <f t="shared" si="1"/>
        <v>3</v>
      </c>
    </row>
    <row r="549">
      <c r="A549" s="12" t="s">
        <v>1123</v>
      </c>
      <c r="B549" s="12" t="s">
        <v>333</v>
      </c>
      <c r="C549" s="17">
        <v>23.0</v>
      </c>
      <c r="D549" s="12" t="s">
        <v>69</v>
      </c>
      <c r="E549" s="12" t="s">
        <v>187</v>
      </c>
      <c r="F549" s="12" t="s">
        <v>79</v>
      </c>
      <c r="G549" s="12" t="s">
        <v>210</v>
      </c>
      <c r="H549" s="15">
        <v>45725.0</v>
      </c>
      <c r="I549" s="17">
        <v>41.0</v>
      </c>
      <c r="J549" s="12" t="s">
        <v>64</v>
      </c>
      <c r="K549" s="12" t="s">
        <v>65</v>
      </c>
      <c r="L549" s="17">
        <v>3774.0</v>
      </c>
      <c r="M549" s="17">
        <v>1.0</v>
      </c>
      <c r="N549" s="17">
        <v>0.0</v>
      </c>
      <c r="O549" s="17">
        <v>36.6</v>
      </c>
      <c r="P549" s="17">
        <v>4.4</v>
      </c>
      <c r="Q549" s="15">
        <v>46535.0</v>
      </c>
      <c r="R549" s="12" t="s">
        <v>1124</v>
      </c>
      <c r="S549" s="12" t="s">
        <v>1125</v>
      </c>
      <c r="T549" s="12" t="s">
        <v>47</v>
      </c>
      <c r="U549" s="17">
        <f t="shared" si="1"/>
        <v>2</v>
      </c>
    </row>
    <row r="550">
      <c r="A550" s="12" t="s">
        <v>1126</v>
      </c>
      <c r="B550" s="12" t="s">
        <v>345</v>
      </c>
      <c r="C550" s="17">
        <v>20.0</v>
      </c>
      <c r="D550" s="12" t="s">
        <v>300</v>
      </c>
      <c r="E550" s="12" t="s">
        <v>161</v>
      </c>
      <c r="F550" s="12" t="s">
        <v>37</v>
      </c>
      <c r="G550" s="12" t="s">
        <v>120</v>
      </c>
      <c r="H550" s="15">
        <v>45870.0</v>
      </c>
      <c r="I550" s="17">
        <v>20.0</v>
      </c>
      <c r="J550" s="12" t="s">
        <v>40</v>
      </c>
      <c r="K550" s="12" t="s">
        <v>42</v>
      </c>
      <c r="L550" s="17">
        <v>1690.0</v>
      </c>
      <c r="M550" s="17">
        <v>5.0</v>
      </c>
      <c r="N550" s="17">
        <v>0.0</v>
      </c>
      <c r="O550" s="17">
        <v>43.2</v>
      </c>
      <c r="P550" s="17">
        <v>3.9</v>
      </c>
      <c r="Q550" s="15">
        <v>46061.0</v>
      </c>
      <c r="R550" s="12"/>
      <c r="S550" s="12" t="s">
        <v>55</v>
      </c>
      <c r="T550" s="12" t="s">
        <v>104</v>
      </c>
      <c r="U550" s="17">
        <f t="shared" si="1"/>
        <v>2</v>
      </c>
    </row>
    <row r="551">
      <c r="A551" s="12" t="s">
        <v>940</v>
      </c>
      <c r="B551" s="12" t="s">
        <v>633</v>
      </c>
      <c r="C551" s="17">
        <v>44.0</v>
      </c>
      <c r="D551" s="12" t="s">
        <v>60</v>
      </c>
      <c r="E551" s="12" t="s">
        <v>97</v>
      </c>
      <c r="F551" s="12" t="s">
        <v>62</v>
      </c>
      <c r="G551" s="12" t="s">
        <v>52</v>
      </c>
      <c r="H551" s="15">
        <v>45635.0</v>
      </c>
      <c r="I551" s="17">
        <v>5.0</v>
      </c>
      <c r="J551" s="12" t="s">
        <v>146</v>
      </c>
      <c r="K551" s="12" t="s">
        <v>42</v>
      </c>
      <c r="L551" s="17">
        <v>687.0</v>
      </c>
      <c r="M551" s="17">
        <v>3.0</v>
      </c>
      <c r="N551" s="17">
        <v>1.0</v>
      </c>
      <c r="O551" s="17">
        <v>11.0</v>
      </c>
      <c r="P551" s="17">
        <v>3.1</v>
      </c>
      <c r="Q551" s="15">
        <v>45688.0</v>
      </c>
      <c r="R551" s="12"/>
      <c r="S551" s="12" t="s">
        <v>55</v>
      </c>
      <c r="T551" s="12" t="s">
        <v>47</v>
      </c>
      <c r="U551" s="17">
        <f t="shared" si="1"/>
        <v>3</v>
      </c>
    </row>
    <row r="552">
      <c r="A552" s="12" t="s">
        <v>849</v>
      </c>
      <c r="B552" s="12" t="s">
        <v>232</v>
      </c>
      <c r="C552" s="17">
        <v>56.0</v>
      </c>
      <c r="D552" s="12" t="s">
        <v>85</v>
      </c>
      <c r="E552" s="12" t="s">
        <v>87</v>
      </c>
      <c r="F552" s="12" t="s">
        <v>37</v>
      </c>
      <c r="G552" s="12" t="s">
        <v>120</v>
      </c>
      <c r="H552" s="15">
        <v>44984.0</v>
      </c>
      <c r="I552" s="17">
        <v>9.0</v>
      </c>
      <c r="J552" s="12" t="s">
        <v>40</v>
      </c>
      <c r="K552" s="12" t="s">
        <v>81</v>
      </c>
      <c r="L552" s="17">
        <v>1441.0</v>
      </c>
      <c r="M552" s="17">
        <v>1.0</v>
      </c>
      <c r="N552" s="17">
        <v>0.0</v>
      </c>
      <c r="O552" s="17">
        <v>33.3</v>
      </c>
      <c r="P552" s="17">
        <v>5.0</v>
      </c>
      <c r="Q552" s="15">
        <v>45237.0</v>
      </c>
      <c r="R552" s="12" t="s">
        <v>1127</v>
      </c>
      <c r="S552" s="12" t="s">
        <v>45</v>
      </c>
      <c r="T552" s="12" t="s">
        <v>75</v>
      </c>
      <c r="U552" s="17">
        <f t="shared" si="1"/>
        <v>3</v>
      </c>
    </row>
    <row r="553">
      <c r="A553" s="12" t="s">
        <v>1128</v>
      </c>
      <c r="B553" s="12" t="s">
        <v>110</v>
      </c>
      <c r="C553" s="17">
        <v>48.0</v>
      </c>
      <c r="D553" s="12" t="s">
        <v>69</v>
      </c>
      <c r="E553" s="12" t="s">
        <v>70</v>
      </c>
      <c r="F553" s="12" t="s">
        <v>79</v>
      </c>
      <c r="G553" s="12" t="s">
        <v>120</v>
      </c>
      <c r="H553" s="15">
        <v>44900.0</v>
      </c>
      <c r="I553" s="17">
        <v>26.0</v>
      </c>
      <c r="J553" s="12" t="s">
        <v>64</v>
      </c>
      <c r="K553" s="12" t="s">
        <v>42</v>
      </c>
      <c r="L553" s="17">
        <v>2672.0</v>
      </c>
      <c r="M553" s="17">
        <v>3.0</v>
      </c>
      <c r="N553" s="17">
        <v>0.0</v>
      </c>
      <c r="O553" s="17">
        <v>31.9</v>
      </c>
      <c r="P553" s="17">
        <v>4.0</v>
      </c>
      <c r="Q553" s="15">
        <v>45285.0</v>
      </c>
      <c r="R553" s="12"/>
      <c r="S553" s="12" t="s">
        <v>230</v>
      </c>
      <c r="T553" s="12" t="s">
        <v>104</v>
      </c>
      <c r="U553" s="17">
        <f t="shared" si="1"/>
        <v>2</v>
      </c>
    </row>
    <row r="554">
      <c r="A554" s="12" t="s">
        <v>1129</v>
      </c>
      <c r="B554" s="12" t="s">
        <v>34</v>
      </c>
      <c r="C554" s="17">
        <v>48.0</v>
      </c>
      <c r="D554" s="12" t="s">
        <v>85</v>
      </c>
      <c r="E554" s="12" t="s">
        <v>92</v>
      </c>
      <c r="F554" s="12" t="s">
        <v>37</v>
      </c>
      <c r="G554" s="12" t="s">
        <v>52</v>
      </c>
      <c r="H554" s="15">
        <v>45171.0</v>
      </c>
      <c r="I554" s="17">
        <v>26.0</v>
      </c>
      <c r="J554" s="12" t="s">
        <v>53</v>
      </c>
      <c r="K554" s="12" t="s">
        <v>81</v>
      </c>
      <c r="L554" s="17">
        <v>1424.0</v>
      </c>
      <c r="M554" s="12"/>
      <c r="N554" s="17">
        <v>3.0</v>
      </c>
      <c r="O554" s="17">
        <v>20.7</v>
      </c>
      <c r="P554" s="17">
        <v>4.9</v>
      </c>
      <c r="Q554" s="15">
        <v>45364.0</v>
      </c>
      <c r="R554" s="12"/>
      <c r="S554" s="12" t="s">
        <v>55</v>
      </c>
      <c r="T554" s="12" t="s">
        <v>47</v>
      </c>
      <c r="U554" s="17">
        <f t="shared" si="1"/>
        <v>3</v>
      </c>
    </row>
    <row r="555">
      <c r="A555" s="12" t="s">
        <v>1130</v>
      </c>
      <c r="B555" s="12" t="s">
        <v>316</v>
      </c>
      <c r="C555" s="17">
        <v>45.0</v>
      </c>
      <c r="D555" s="12" t="s">
        <v>300</v>
      </c>
      <c r="E555" s="12" t="s">
        <v>140</v>
      </c>
      <c r="F555" s="12" t="s">
        <v>37</v>
      </c>
      <c r="G555" s="12" t="s">
        <v>63</v>
      </c>
      <c r="H555" s="15">
        <v>45052.0</v>
      </c>
      <c r="I555" s="17">
        <v>11.0</v>
      </c>
      <c r="J555" s="12" t="s">
        <v>64</v>
      </c>
      <c r="K555" s="12" t="s">
        <v>42</v>
      </c>
      <c r="L555" s="17">
        <v>1549.0</v>
      </c>
      <c r="M555" s="12"/>
      <c r="N555" s="17">
        <v>1.0</v>
      </c>
      <c r="O555" s="17">
        <v>21.1</v>
      </c>
      <c r="P555" s="17">
        <v>3.7</v>
      </c>
      <c r="Q555" s="15">
        <v>45096.0</v>
      </c>
      <c r="R555" s="12"/>
      <c r="S555" s="12" t="s">
        <v>230</v>
      </c>
      <c r="T555" s="12" t="s">
        <v>72</v>
      </c>
      <c r="U555" s="17">
        <f t="shared" si="1"/>
        <v>1</v>
      </c>
    </row>
    <row r="556">
      <c r="A556" s="12" t="s">
        <v>1131</v>
      </c>
      <c r="B556" s="12" t="s">
        <v>734</v>
      </c>
      <c r="C556" s="17">
        <v>40.0</v>
      </c>
      <c r="D556" s="12" t="s">
        <v>35</v>
      </c>
      <c r="E556" s="12" t="s">
        <v>161</v>
      </c>
      <c r="F556" s="12" t="s">
        <v>62</v>
      </c>
      <c r="G556" s="12" t="s">
        <v>39</v>
      </c>
      <c r="H556" s="15">
        <v>45079.0</v>
      </c>
      <c r="I556" s="17">
        <v>14.0</v>
      </c>
      <c r="J556" s="12" t="s">
        <v>64</v>
      </c>
      <c r="K556" s="12" t="s">
        <v>65</v>
      </c>
      <c r="L556" s="17">
        <v>735.0</v>
      </c>
      <c r="M556" s="17">
        <v>0.0</v>
      </c>
      <c r="N556" s="17">
        <v>0.0</v>
      </c>
      <c r="O556" s="17">
        <v>15.7</v>
      </c>
      <c r="P556" s="17">
        <v>3.1</v>
      </c>
      <c r="Q556" s="15">
        <v>45416.0</v>
      </c>
      <c r="R556" s="12"/>
      <c r="S556" s="12" t="s">
        <v>55</v>
      </c>
      <c r="T556" s="12" t="s">
        <v>47</v>
      </c>
      <c r="U556" s="17">
        <f t="shared" si="1"/>
        <v>2</v>
      </c>
    </row>
    <row r="557">
      <c r="A557" s="12" t="s">
        <v>1132</v>
      </c>
      <c r="B557" s="12" t="s">
        <v>349</v>
      </c>
      <c r="C557" s="17">
        <v>64.0</v>
      </c>
      <c r="D557" s="12" t="s">
        <v>35</v>
      </c>
      <c r="E557" s="12" t="s">
        <v>36</v>
      </c>
      <c r="F557" s="12" t="s">
        <v>62</v>
      </c>
      <c r="G557" s="12" t="s">
        <v>52</v>
      </c>
      <c r="H557" s="15">
        <v>44841.0</v>
      </c>
      <c r="I557" s="17">
        <v>21.0</v>
      </c>
      <c r="J557" s="12" t="s">
        <v>53</v>
      </c>
      <c r="K557" s="12" t="s">
        <v>42</v>
      </c>
      <c r="L557" s="17">
        <v>736.0</v>
      </c>
      <c r="M557" s="17">
        <v>5.0</v>
      </c>
      <c r="N557" s="17">
        <v>0.0</v>
      </c>
      <c r="O557" s="17">
        <v>17.7</v>
      </c>
      <c r="P557" s="17">
        <v>3.9</v>
      </c>
      <c r="Q557" s="15">
        <v>44920.0</v>
      </c>
      <c r="R557" s="12"/>
      <c r="S557" s="12" t="s">
        <v>55</v>
      </c>
      <c r="T557" s="12" t="s">
        <v>75</v>
      </c>
      <c r="U557" s="17">
        <f t="shared" si="1"/>
        <v>3</v>
      </c>
    </row>
    <row r="558">
      <c r="A558" s="12" t="s">
        <v>1133</v>
      </c>
      <c r="B558" s="12" t="s">
        <v>303</v>
      </c>
      <c r="C558" s="17">
        <v>62.0</v>
      </c>
      <c r="D558" s="12" t="s">
        <v>69</v>
      </c>
      <c r="E558" s="12" t="s">
        <v>187</v>
      </c>
      <c r="F558" s="12" t="s">
        <v>37</v>
      </c>
      <c r="G558" s="12" t="s">
        <v>80</v>
      </c>
      <c r="H558" s="15">
        <v>44767.0</v>
      </c>
      <c r="I558" s="17">
        <v>12.0</v>
      </c>
      <c r="J558" s="12" t="s">
        <v>53</v>
      </c>
      <c r="K558" s="12" t="s">
        <v>42</v>
      </c>
      <c r="L558" s="17">
        <v>1758.0</v>
      </c>
      <c r="M558" s="17">
        <v>2.0</v>
      </c>
      <c r="N558" s="17">
        <v>1.0</v>
      </c>
      <c r="O558" s="17">
        <v>41.4</v>
      </c>
      <c r="P558" s="17">
        <v>2.8</v>
      </c>
      <c r="Q558" s="15">
        <v>44863.0</v>
      </c>
      <c r="R558" s="12"/>
      <c r="S558" s="12" t="s">
        <v>55</v>
      </c>
      <c r="T558" s="12" t="s">
        <v>75</v>
      </c>
      <c r="U558" s="17">
        <f t="shared" si="1"/>
        <v>2</v>
      </c>
    </row>
    <row r="559">
      <c r="A559" s="12" t="s">
        <v>1134</v>
      </c>
      <c r="B559" s="12" t="s">
        <v>59</v>
      </c>
      <c r="C559" s="12" t="s">
        <v>1135</v>
      </c>
      <c r="D559" s="12" t="s">
        <v>69</v>
      </c>
      <c r="E559" s="12" t="s">
        <v>187</v>
      </c>
      <c r="F559" s="12" t="s">
        <v>37</v>
      </c>
      <c r="G559" s="12" t="s">
        <v>52</v>
      </c>
      <c r="H559" s="15">
        <v>45652.0</v>
      </c>
      <c r="I559" s="17">
        <v>14.0</v>
      </c>
      <c r="J559" s="12" t="s">
        <v>53</v>
      </c>
      <c r="K559" s="12" t="s">
        <v>65</v>
      </c>
      <c r="L559" s="17">
        <v>1649.0</v>
      </c>
      <c r="M559" s="17">
        <v>5.0</v>
      </c>
      <c r="N559" s="17">
        <v>0.0</v>
      </c>
      <c r="O559" s="17">
        <v>41.9</v>
      </c>
      <c r="P559" s="17">
        <v>4.3</v>
      </c>
      <c r="Q559" s="15">
        <v>45929.0</v>
      </c>
      <c r="R559" s="12"/>
      <c r="S559" s="12" t="s">
        <v>55</v>
      </c>
      <c r="T559" s="12" t="s">
        <v>104</v>
      </c>
      <c r="U559" s="17">
        <f t="shared" si="1"/>
        <v>2</v>
      </c>
    </row>
    <row r="560">
      <c r="A560" s="12" t="s">
        <v>921</v>
      </c>
      <c r="B560" s="12" t="s">
        <v>308</v>
      </c>
      <c r="C560" s="17">
        <v>19.0</v>
      </c>
      <c r="D560" s="12" t="s">
        <v>35</v>
      </c>
      <c r="E560" s="12" t="s">
        <v>36</v>
      </c>
      <c r="F560" s="12" t="s">
        <v>37</v>
      </c>
      <c r="G560" s="12" t="s">
        <v>93</v>
      </c>
      <c r="H560" s="15">
        <v>44975.0</v>
      </c>
      <c r="I560" s="17">
        <v>16.0</v>
      </c>
      <c r="J560" s="12" t="s">
        <v>53</v>
      </c>
      <c r="K560" s="12" t="s">
        <v>42</v>
      </c>
      <c r="L560" s="17">
        <v>1203.0</v>
      </c>
      <c r="M560" s="17">
        <v>2.0</v>
      </c>
      <c r="N560" s="17">
        <v>1.0</v>
      </c>
      <c r="O560" s="17">
        <v>44.7</v>
      </c>
      <c r="P560" s="17">
        <v>2.8</v>
      </c>
      <c r="Q560" s="15">
        <v>44993.0</v>
      </c>
      <c r="R560" s="12"/>
      <c r="S560" s="12" t="s">
        <v>55</v>
      </c>
      <c r="T560" s="12" t="s">
        <v>104</v>
      </c>
      <c r="U560" s="17">
        <f t="shared" si="1"/>
        <v>1</v>
      </c>
    </row>
    <row r="561">
      <c r="A561" s="12" t="s">
        <v>1136</v>
      </c>
      <c r="B561" s="12" t="s">
        <v>362</v>
      </c>
      <c r="C561" s="17">
        <v>53.0</v>
      </c>
      <c r="D561" s="12" t="s">
        <v>35</v>
      </c>
      <c r="E561" s="12" t="s">
        <v>51</v>
      </c>
      <c r="F561" s="12" t="s">
        <v>37</v>
      </c>
      <c r="G561" s="12" t="s">
        <v>63</v>
      </c>
      <c r="H561" s="15">
        <v>45413.0</v>
      </c>
      <c r="I561" s="17">
        <v>33.0</v>
      </c>
      <c r="J561" s="12" t="s">
        <v>53</v>
      </c>
      <c r="K561" s="12" t="s">
        <v>65</v>
      </c>
      <c r="L561" s="17">
        <v>1329.0</v>
      </c>
      <c r="M561" s="17">
        <v>1.0</v>
      </c>
      <c r="N561" s="17">
        <v>0.0</v>
      </c>
      <c r="O561" s="17">
        <v>48.4</v>
      </c>
      <c r="P561" s="17">
        <v>3.1</v>
      </c>
      <c r="Q561" s="15">
        <v>46064.0</v>
      </c>
      <c r="R561" s="12"/>
      <c r="S561" s="12" t="s">
        <v>602</v>
      </c>
      <c r="T561" s="12" t="s">
        <v>104</v>
      </c>
      <c r="U561" s="17">
        <f t="shared" si="1"/>
        <v>3</v>
      </c>
    </row>
    <row r="562">
      <c r="A562" s="12" t="s">
        <v>427</v>
      </c>
      <c r="B562" s="12" t="s">
        <v>215</v>
      </c>
      <c r="C562" s="17">
        <v>61.0</v>
      </c>
      <c r="D562" s="12" t="s">
        <v>69</v>
      </c>
      <c r="E562" s="12" t="s">
        <v>70</v>
      </c>
      <c r="F562" s="12" t="s">
        <v>62</v>
      </c>
      <c r="G562" s="12" t="s">
        <v>39</v>
      </c>
      <c r="H562" s="15">
        <v>44592.0</v>
      </c>
      <c r="I562" s="17">
        <v>26.0</v>
      </c>
      <c r="J562" s="12" t="s">
        <v>53</v>
      </c>
      <c r="K562" s="12" t="s">
        <v>81</v>
      </c>
      <c r="L562" s="17">
        <v>505.0</v>
      </c>
      <c r="M562" s="17">
        <v>1.0</v>
      </c>
      <c r="N562" s="17">
        <v>2.0</v>
      </c>
      <c r="O562" s="17">
        <v>19.6</v>
      </c>
      <c r="P562" s="17">
        <v>2.9</v>
      </c>
      <c r="Q562" s="15">
        <v>45071.0</v>
      </c>
      <c r="R562" s="12"/>
      <c r="S562" s="12" t="s">
        <v>55</v>
      </c>
      <c r="T562" s="12" t="s">
        <v>66</v>
      </c>
      <c r="U562" s="17">
        <f t="shared" si="1"/>
        <v>2</v>
      </c>
    </row>
    <row r="563">
      <c r="A563" s="12" t="s">
        <v>392</v>
      </c>
      <c r="B563" s="12" t="s">
        <v>322</v>
      </c>
      <c r="C563" s="17">
        <v>25.0</v>
      </c>
      <c r="D563" s="12" t="s">
        <v>300</v>
      </c>
      <c r="E563" s="12" t="s">
        <v>36</v>
      </c>
      <c r="F563" s="12" t="s">
        <v>79</v>
      </c>
      <c r="G563" s="12" t="s">
        <v>120</v>
      </c>
      <c r="H563" s="15">
        <v>45179.0</v>
      </c>
      <c r="I563" s="17">
        <v>39.0</v>
      </c>
      <c r="J563" s="12" t="s">
        <v>64</v>
      </c>
      <c r="K563" s="12" t="s">
        <v>65</v>
      </c>
      <c r="L563" s="17">
        <v>3097.0</v>
      </c>
      <c r="M563" s="17">
        <v>1.0</v>
      </c>
      <c r="N563" s="17">
        <v>3.0</v>
      </c>
      <c r="O563" s="17">
        <v>53.8</v>
      </c>
      <c r="P563" s="17">
        <v>3.7</v>
      </c>
      <c r="Q563" s="15">
        <v>46354.0</v>
      </c>
      <c r="R563" s="12"/>
      <c r="S563" s="12" t="s">
        <v>55</v>
      </c>
      <c r="T563" s="12" t="s">
        <v>75</v>
      </c>
      <c r="U563" s="17">
        <f t="shared" si="1"/>
        <v>2</v>
      </c>
    </row>
    <row r="564">
      <c r="A564" s="12" t="s">
        <v>937</v>
      </c>
      <c r="B564" s="12" t="s">
        <v>351</v>
      </c>
      <c r="C564" s="17">
        <v>43.0</v>
      </c>
      <c r="D564" s="12" t="s">
        <v>69</v>
      </c>
      <c r="E564" s="12" t="s">
        <v>177</v>
      </c>
      <c r="F564" s="12" t="s">
        <v>62</v>
      </c>
      <c r="G564" s="12" t="s">
        <v>93</v>
      </c>
      <c r="H564" s="15">
        <v>45970.0</v>
      </c>
      <c r="I564" s="17">
        <v>21.0</v>
      </c>
      <c r="J564" s="12" t="s">
        <v>64</v>
      </c>
      <c r="K564" s="12" t="s">
        <v>81</v>
      </c>
      <c r="L564" s="12" t="s">
        <v>1137</v>
      </c>
      <c r="M564" s="17">
        <v>2.0</v>
      </c>
      <c r="N564" s="17">
        <v>2.0</v>
      </c>
      <c r="O564" s="17">
        <v>11.6</v>
      </c>
      <c r="P564" s="17">
        <v>4.9</v>
      </c>
      <c r="Q564" s="15">
        <v>46323.0</v>
      </c>
      <c r="R564" s="12" t="s">
        <v>1138</v>
      </c>
      <c r="S564" s="12" t="s">
        <v>45</v>
      </c>
      <c r="T564" s="12" t="s">
        <v>47</v>
      </c>
      <c r="U564" s="17">
        <f t="shared" si="1"/>
        <v>2</v>
      </c>
    </row>
    <row r="565">
      <c r="A565" s="12" t="s">
        <v>1139</v>
      </c>
      <c r="B565" s="12" t="s">
        <v>126</v>
      </c>
      <c r="C565" s="17">
        <v>42.0</v>
      </c>
      <c r="D565" s="12" t="s">
        <v>35</v>
      </c>
      <c r="E565" s="12" t="s">
        <v>51</v>
      </c>
      <c r="F565" s="12" t="s">
        <v>62</v>
      </c>
      <c r="G565" s="12" t="s">
        <v>93</v>
      </c>
      <c r="H565" s="15">
        <v>44816.0</v>
      </c>
      <c r="I565" s="17">
        <v>20.0</v>
      </c>
      <c r="J565" s="12" t="s">
        <v>53</v>
      </c>
      <c r="K565" s="12" t="s">
        <v>65</v>
      </c>
      <c r="L565" s="17">
        <v>718.0</v>
      </c>
      <c r="M565" s="17">
        <v>3.0</v>
      </c>
      <c r="N565" s="17">
        <v>1.0</v>
      </c>
      <c r="O565" s="17">
        <v>15.0</v>
      </c>
      <c r="P565" s="17">
        <v>3.6</v>
      </c>
      <c r="Q565" s="15">
        <v>44907.0</v>
      </c>
      <c r="R565" s="12"/>
      <c r="S565" s="12" t="s">
        <v>55</v>
      </c>
      <c r="T565" s="12" t="s">
        <v>47</v>
      </c>
      <c r="U565" s="17">
        <f t="shared" si="1"/>
        <v>2</v>
      </c>
    </row>
    <row r="566">
      <c r="A566" s="12" t="s">
        <v>841</v>
      </c>
      <c r="B566" s="12" t="s">
        <v>202</v>
      </c>
      <c r="C566" s="17">
        <v>60.0</v>
      </c>
      <c r="D566" s="12" t="s">
        <v>85</v>
      </c>
      <c r="E566" s="12" t="s">
        <v>111</v>
      </c>
      <c r="F566" s="12" t="s">
        <v>37</v>
      </c>
      <c r="G566" s="12" t="s">
        <v>39</v>
      </c>
      <c r="H566" s="15">
        <v>45786.0</v>
      </c>
      <c r="I566" s="17">
        <v>29.0</v>
      </c>
      <c r="J566" s="12" t="s">
        <v>64</v>
      </c>
      <c r="K566" s="12" t="s">
        <v>42</v>
      </c>
      <c r="L566" s="17">
        <v>1136.0</v>
      </c>
      <c r="M566" s="17">
        <v>2.0</v>
      </c>
      <c r="N566" s="17">
        <v>2.0</v>
      </c>
      <c r="O566" s="17">
        <v>10.0</v>
      </c>
      <c r="P566" s="17">
        <v>2.6</v>
      </c>
      <c r="Q566" s="15">
        <v>46121.0</v>
      </c>
      <c r="R566" s="12" t="s">
        <v>1140</v>
      </c>
      <c r="S566" s="12" t="s">
        <v>45</v>
      </c>
      <c r="T566" s="12" t="s">
        <v>47</v>
      </c>
      <c r="U566" s="17">
        <f t="shared" si="1"/>
        <v>3</v>
      </c>
    </row>
    <row r="567">
      <c r="A567" s="12" t="s">
        <v>1141</v>
      </c>
      <c r="B567" s="12" t="s">
        <v>411</v>
      </c>
      <c r="C567" s="12" t="s">
        <v>1142</v>
      </c>
      <c r="D567" s="12" t="s">
        <v>60</v>
      </c>
      <c r="E567" s="12" t="s">
        <v>107</v>
      </c>
      <c r="F567" s="12" t="s">
        <v>62</v>
      </c>
      <c r="G567" s="12" t="s">
        <v>80</v>
      </c>
      <c r="H567" s="15">
        <v>44672.0</v>
      </c>
      <c r="I567" s="17">
        <v>43.0</v>
      </c>
      <c r="J567" s="12" t="s">
        <v>53</v>
      </c>
      <c r="K567" s="12" t="s">
        <v>81</v>
      </c>
      <c r="L567" s="17">
        <v>850.0</v>
      </c>
      <c r="M567" s="17">
        <v>1.0</v>
      </c>
      <c r="N567" s="17">
        <v>2.0</v>
      </c>
      <c r="O567" s="17">
        <v>16.5</v>
      </c>
      <c r="P567" s="17">
        <v>3.3</v>
      </c>
      <c r="Q567" s="15">
        <v>45137.0</v>
      </c>
      <c r="R567" s="12" t="s">
        <v>1143</v>
      </c>
      <c r="S567" s="12" t="s">
        <v>45</v>
      </c>
      <c r="T567" s="12" t="s">
        <v>104</v>
      </c>
      <c r="U567" s="17">
        <f t="shared" si="1"/>
        <v>1</v>
      </c>
    </row>
    <row r="568">
      <c r="A568" s="12" t="s">
        <v>1144</v>
      </c>
      <c r="B568" s="12" t="s">
        <v>362</v>
      </c>
      <c r="C568" s="17">
        <v>51.0</v>
      </c>
      <c r="D568" s="12" t="s">
        <v>85</v>
      </c>
      <c r="E568" s="12" t="s">
        <v>292</v>
      </c>
      <c r="F568" s="12" t="s">
        <v>79</v>
      </c>
      <c r="G568" s="12" t="s">
        <v>63</v>
      </c>
      <c r="H568" s="15">
        <v>45861.0</v>
      </c>
      <c r="I568" s="17">
        <v>10.0</v>
      </c>
      <c r="J568" s="12" t="s">
        <v>40</v>
      </c>
      <c r="K568" s="12" t="s">
        <v>326</v>
      </c>
      <c r="L568" s="17">
        <v>2354.0</v>
      </c>
      <c r="M568" s="17">
        <v>0.0</v>
      </c>
      <c r="N568" s="17">
        <v>1.0</v>
      </c>
      <c r="O568" s="17">
        <v>28.8</v>
      </c>
      <c r="P568" s="17">
        <v>2.2</v>
      </c>
      <c r="Q568" s="15">
        <v>46174.0</v>
      </c>
      <c r="R568" s="12" t="s">
        <v>1145</v>
      </c>
      <c r="S568" s="12" t="s">
        <v>45</v>
      </c>
      <c r="T568" s="12" t="s">
        <v>75</v>
      </c>
      <c r="U568" s="17">
        <f t="shared" si="1"/>
        <v>2</v>
      </c>
    </row>
    <row r="569">
      <c r="A569" s="12" t="s">
        <v>1146</v>
      </c>
      <c r="B569" s="12" t="s">
        <v>380</v>
      </c>
      <c r="C569" s="17">
        <v>49.0</v>
      </c>
      <c r="D569" s="12" t="s">
        <v>69</v>
      </c>
      <c r="E569" s="12" t="s">
        <v>187</v>
      </c>
      <c r="F569" s="12" t="s">
        <v>62</v>
      </c>
      <c r="G569" s="12" t="s">
        <v>39</v>
      </c>
      <c r="H569" s="15">
        <v>45802.0</v>
      </c>
      <c r="I569" s="17">
        <v>16.0</v>
      </c>
      <c r="J569" s="12" t="s">
        <v>40</v>
      </c>
      <c r="K569" s="12" t="s">
        <v>65</v>
      </c>
      <c r="L569" s="17">
        <v>794.0</v>
      </c>
      <c r="M569" s="17">
        <v>2.0</v>
      </c>
      <c r="N569" s="17">
        <v>4.0</v>
      </c>
      <c r="O569" s="17">
        <v>30.7</v>
      </c>
      <c r="P569" s="17">
        <v>2.7</v>
      </c>
      <c r="Q569" s="15">
        <v>46137.0</v>
      </c>
      <c r="R569" s="12"/>
      <c r="S569" s="12" t="s">
        <v>55</v>
      </c>
      <c r="T569" s="12" t="s">
        <v>75</v>
      </c>
      <c r="U569" s="17">
        <f t="shared" si="1"/>
        <v>1</v>
      </c>
    </row>
    <row r="570">
      <c r="A570" s="12" t="s">
        <v>1147</v>
      </c>
      <c r="B570" s="12" t="s">
        <v>135</v>
      </c>
      <c r="C570" s="17">
        <v>67.0</v>
      </c>
      <c r="D570" s="12" t="s">
        <v>69</v>
      </c>
      <c r="E570" s="12" t="s">
        <v>119</v>
      </c>
      <c r="F570" s="12" t="s">
        <v>62</v>
      </c>
      <c r="G570" s="12" t="s">
        <v>80</v>
      </c>
      <c r="H570" s="15">
        <v>45810.0</v>
      </c>
      <c r="I570" s="17">
        <v>48.0</v>
      </c>
      <c r="J570" s="12" t="s">
        <v>53</v>
      </c>
      <c r="K570" s="12" t="s">
        <v>81</v>
      </c>
      <c r="L570" s="17">
        <v>578.0</v>
      </c>
      <c r="M570" s="17">
        <v>2.0</v>
      </c>
      <c r="N570" s="17">
        <v>0.0</v>
      </c>
      <c r="O570" s="17">
        <v>37.6</v>
      </c>
      <c r="P570" s="17">
        <v>3.2</v>
      </c>
      <c r="Q570" s="15">
        <v>46601.0</v>
      </c>
      <c r="R570" s="12"/>
      <c r="S570" s="12" t="s">
        <v>55</v>
      </c>
      <c r="T570" s="12" t="s">
        <v>66</v>
      </c>
      <c r="U570" s="17">
        <f t="shared" si="1"/>
        <v>1</v>
      </c>
    </row>
    <row r="571">
      <c r="A571" s="12" t="s">
        <v>1148</v>
      </c>
      <c r="B571" s="12" t="s">
        <v>383</v>
      </c>
      <c r="C571" s="17">
        <v>31.0</v>
      </c>
      <c r="D571" s="12" t="s">
        <v>69</v>
      </c>
      <c r="E571" s="12" t="s">
        <v>177</v>
      </c>
      <c r="F571" s="12" t="s">
        <v>62</v>
      </c>
      <c r="G571" s="12" t="s">
        <v>210</v>
      </c>
      <c r="H571" s="15">
        <v>45490.0</v>
      </c>
      <c r="I571" s="17">
        <v>19.0</v>
      </c>
      <c r="J571" s="12" t="s">
        <v>40</v>
      </c>
      <c r="K571" s="12" t="s">
        <v>42</v>
      </c>
      <c r="L571" s="17">
        <v>809.0</v>
      </c>
      <c r="M571" s="17">
        <v>2.0</v>
      </c>
      <c r="N571" s="17">
        <v>1.0</v>
      </c>
      <c r="O571" s="17">
        <v>9.1</v>
      </c>
      <c r="P571" s="17">
        <v>3.4</v>
      </c>
      <c r="Q571" s="12"/>
      <c r="R571" s="12"/>
      <c r="S571" s="12" t="s">
        <v>55</v>
      </c>
      <c r="T571" s="12" t="s">
        <v>104</v>
      </c>
      <c r="U571" s="17">
        <f t="shared" si="1"/>
        <v>1</v>
      </c>
    </row>
    <row r="572">
      <c r="A572" s="12" t="s">
        <v>819</v>
      </c>
      <c r="B572" s="12" t="s">
        <v>59</v>
      </c>
      <c r="C572" s="17">
        <v>21.0</v>
      </c>
      <c r="D572" s="12" t="s">
        <v>60</v>
      </c>
      <c r="E572" s="12" t="s">
        <v>133</v>
      </c>
      <c r="F572" s="12" t="s">
        <v>413</v>
      </c>
      <c r="G572" s="12" t="s">
        <v>120</v>
      </c>
      <c r="H572" s="15">
        <v>45370.0</v>
      </c>
      <c r="I572" s="17">
        <v>48.0</v>
      </c>
      <c r="J572" s="12" t="s">
        <v>40</v>
      </c>
      <c r="K572" s="12" t="s">
        <v>65</v>
      </c>
      <c r="L572" s="17">
        <v>749.0</v>
      </c>
      <c r="M572" s="17">
        <v>3.0</v>
      </c>
      <c r="N572" s="17">
        <v>2.0</v>
      </c>
      <c r="O572" s="17">
        <v>19.7</v>
      </c>
      <c r="P572" s="17">
        <v>4.6</v>
      </c>
      <c r="Q572" s="15">
        <v>46584.0</v>
      </c>
      <c r="R572" s="12"/>
      <c r="S572" s="12" t="s">
        <v>55</v>
      </c>
      <c r="T572" s="12" t="s">
        <v>66</v>
      </c>
      <c r="U572" s="17">
        <f t="shared" si="1"/>
        <v>4</v>
      </c>
    </row>
    <row r="573">
      <c r="A573" s="12" t="s">
        <v>1149</v>
      </c>
      <c r="B573" s="12" t="s">
        <v>202</v>
      </c>
      <c r="C573" s="17">
        <v>46.0</v>
      </c>
      <c r="D573" s="12" t="s">
        <v>69</v>
      </c>
      <c r="E573" s="12" t="s">
        <v>119</v>
      </c>
      <c r="F573" s="12" t="s">
        <v>79</v>
      </c>
      <c r="G573" s="12" t="s">
        <v>93</v>
      </c>
      <c r="H573" s="15">
        <v>45275.0</v>
      </c>
      <c r="I573" s="17">
        <v>33.0</v>
      </c>
      <c r="J573" s="12" t="s">
        <v>64</v>
      </c>
      <c r="K573" s="12" t="s">
        <v>42</v>
      </c>
      <c r="L573" s="17">
        <v>2753.0</v>
      </c>
      <c r="M573" s="17">
        <v>1.0</v>
      </c>
      <c r="N573" s="17">
        <v>1.0</v>
      </c>
      <c r="O573" s="17">
        <v>31.8</v>
      </c>
      <c r="P573" s="17">
        <v>3.3</v>
      </c>
      <c r="Q573" s="15">
        <v>45998.0</v>
      </c>
      <c r="R573" s="12"/>
      <c r="S573" s="12" t="s">
        <v>55</v>
      </c>
      <c r="T573" s="12" t="s">
        <v>47</v>
      </c>
      <c r="U573" s="17">
        <f t="shared" si="1"/>
        <v>1</v>
      </c>
    </row>
    <row r="574">
      <c r="A574" s="12" t="s">
        <v>581</v>
      </c>
      <c r="B574" s="12" t="s">
        <v>322</v>
      </c>
      <c r="C574" s="17">
        <v>34.0</v>
      </c>
      <c r="D574" s="12" t="s">
        <v>35</v>
      </c>
      <c r="E574" s="12" t="s">
        <v>161</v>
      </c>
      <c r="F574" s="12" t="s">
        <v>37</v>
      </c>
      <c r="G574" s="12" t="s">
        <v>880</v>
      </c>
      <c r="H574" s="15">
        <v>44619.0</v>
      </c>
      <c r="I574" s="17">
        <v>45.0</v>
      </c>
      <c r="J574" s="12" t="s">
        <v>429</v>
      </c>
      <c r="K574" s="12" t="s">
        <v>81</v>
      </c>
      <c r="L574" s="17">
        <v>1266.0</v>
      </c>
      <c r="M574" s="17">
        <v>0.0</v>
      </c>
      <c r="N574" s="17">
        <v>1.0</v>
      </c>
      <c r="O574" s="17">
        <v>37.6</v>
      </c>
      <c r="P574" s="17">
        <v>4.0</v>
      </c>
      <c r="Q574" s="15">
        <v>45561.0</v>
      </c>
      <c r="R574" s="12"/>
      <c r="S574" s="12" t="s">
        <v>55</v>
      </c>
      <c r="T574" s="12" t="s">
        <v>47</v>
      </c>
      <c r="U574" s="17">
        <f t="shared" si="1"/>
        <v>2</v>
      </c>
    </row>
    <row r="575">
      <c r="A575" s="12" t="s">
        <v>706</v>
      </c>
      <c r="B575" s="12" t="s">
        <v>206</v>
      </c>
      <c r="C575" s="17">
        <v>46.0</v>
      </c>
      <c r="D575" s="12" t="s">
        <v>35</v>
      </c>
      <c r="E575" s="12" t="s">
        <v>36</v>
      </c>
      <c r="F575" s="12" t="s">
        <v>37</v>
      </c>
      <c r="G575" s="12" t="s">
        <v>120</v>
      </c>
      <c r="H575" s="15">
        <v>45376.0</v>
      </c>
      <c r="I575" s="17">
        <v>46.0</v>
      </c>
      <c r="J575" s="12" t="s">
        <v>53</v>
      </c>
      <c r="K575" s="12" t="s">
        <v>81</v>
      </c>
      <c r="L575" s="17">
        <v>1529.0</v>
      </c>
      <c r="M575" s="17">
        <v>2.0</v>
      </c>
      <c r="N575" s="17">
        <v>2.0</v>
      </c>
      <c r="O575" s="17">
        <v>31.9</v>
      </c>
      <c r="P575" s="17">
        <v>4.2</v>
      </c>
      <c r="Q575" s="15">
        <v>45772.0</v>
      </c>
      <c r="R575" s="12"/>
      <c r="S575" s="12" t="s">
        <v>217</v>
      </c>
      <c r="T575" s="12" t="s">
        <v>72</v>
      </c>
      <c r="U575" s="17">
        <f t="shared" si="1"/>
        <v>3</v>
      </c>
    </row>
    <row r="576">
      <c r="A576" s="12" t="s">
        <v>1150</v>
      </c>
      <c r="B576" s="12" t="s">
        <v>250</v>
      </c>
      <c r="C576" s="12"/>
      <c r="D576" s="12" t="s">
        <v>85</v>
      </c>
      <c r="E576" s="12" t="s">
        <v>92</v>
      </c>
      <c r="F576" s="12" t="s">
        <v>37</v>
      </c>
      <c r="G576" s="12" t="s">
        <v>93</v>
      </c>
      <c r="H576" s="15">
        <v>44744.0</v>
      </c>
      <c r="I576" s="17">
        <v>7.0</v>
      </c>
      <c r="J576" s="12" t="s">
        <v>53</v>
      </c>
      <c r="K576" s="12" t="s">
        <v>81</v>
      </c>
      <c r="L576" s="17">
        <v>1351.0</v>
      </c>
      <c r="M576" s="17">
        <v>5.0</v>
      </c>
      <c r="N576" s="17">
        <v>0.0</v>
      </c>
      <c r="O576" s="17">
        <v>31.5</v>
      </c>
      <c r="P576" s="17">
        <v>1.4</v>
      </c>
      <c r="Q576" s="15">
        <v>44790.0</v>
      </c>
      <c r="R576" s="12"/>
      <c r="S576" s="12" t="s">
        <v>55</v>
      </c>
      <c r="T576" s="12" t="s">
        <v>72</v>
      </c>
      <c r="U576" s="17">
        <f t="shared" si="1"/>
        <v>1</v>
      </c>
    </row>
    <row r="577">
      <c r="A577" s="12" t="s">
        <v>495</v>
      </c>
      <c r="B577" s="12" t="s">
        <v>106</v>
      </c>
      <c r="C577" s="17">
        <v>42.0</v>
      </c>
      <c r="D577" s="12" t="s">
        <v>69</v>
      </c>
      <c r="E577" s="12" t="s">
        <v>119</v>
      </c>
      <c r="F577" s="12" t="s">
        <v>62</v>
      </c>
      <c r="G577" s="12" t="s">
        <v>63</v>
      </c>
      <c r="H577" s="15">
        <v>45988.0</v>
      </c>
      <c r="I577" s="17">
        <v>27.0</v>
      </c>
      <c r="J577" s="12" t="s">
        <v>40</v>
      </c>
      <c r="K577" s="12" t="s">
        <v>81</v>
      </c>
      <c r="L577" s="17">
        <v>834.0</v>
      </c>
      <c r="M577" s="17">
        <v>0.0</v>
      </c>
      <c r="N577" s="17">
        <v>1.0</v>
      </c>
      <c r="O577" s="17">
        <v>13.3</v>
      </c>
      <c r="P577" s="17">
        <v>4.5</v>
      </c>
      <c r="Q577" s="15">
        <v>46439.0</v>
      </c>
      <c r="R577" s="12"/>
      <c r="S577" s="12" t="s">
        <v>55</v>
      </c>
      <c r="T577" s="12" t="s">
        <v>47</v>
      </c>
      <c r="U577" s="17">
        <f t="shared" si="1"/>
        <v>2</v>
      </c>
    </row>
    <row r="578">
      <c r="A578" s="12" t="s">
        <v>1151</v>
      </c>
      <c r="B578" s="12" t="s">
        <v>139</v>
      </c>
      <c r="C578" s="17">
        <v>47.0</v>
      </c>
      <c r="D578" s="12" t="s">
        <v>85</v>
      </c>
      <c r="E578" s="12" t="s">
        <v>111</v>
      </c>
      <c r="F578" s="12" t="s">
        <v>37</v>
      </c>
      <c r="G578" s="12" t="s">
        <v>630</v>
      </c>
      <c r="H578" s="15">
        <v>45484.0</v>
      </c>
      <c r="I578" s="17">
        <v>37.0</v>
      </c>
      <c r="J578" s="12" t="s">
        <v>64</v>
      </c>
      <c r="K578" s="12" t="s">
        <v>81</v>
      </c>
      <c r="L578" s="17">
        <v>1204.0</v>
      </c>
      <c r="M578" s="17">
        <v>3.0</v>
      </c>
      <c r="N578" s="17">
        <v>1.0</v>
      </c>
      <c r="O578" s="17">
        <v>23.6</v>
      </c>
      <c r="P578" s="17">
        <v>3.6</v>
      </c>
      <c r="Q578" s="15">
        <v>45868.0</v>
      </c>
      <c r="R578" s="12" t="s">
        <v>141</v>
      </c>
      <c r="S578" s="12" t="s">
        <v>45</v>
      </c>
      <c r="T578" s="12" t="s">
        <v>104</v>
      </c>
      <c r="U578" s="17">
        <f t="shared" si="1"/>
        <v>2</v>
      </c>
    </row>
    <row r="579">
      <c r="A579" s="12" t="s">
        <v>1152</v>
      </c>
      <c r="B579" s="12" t="s">
        <v>235</v>
      </c>
      <c r="C579" s="17">
        <v>19.0</v>
      </c>
      <c r="D579" s="12" t="s">
        <v>69</v>
      </c>
      <c r="E579" s="12" t="s">
        <v>70</v>
      </c>
      <c r="F579" s="12" t="s">
        <v>62</v>
      </c>
      <c r="G579" s="12" t="s">
        <v>586</v>
      </c>
      <c r="H579" s="15">
        <v>44817.0</v>
      </c>
      <c r="I579" s="17">
        <v>18.0</v>
      </c>
      <c r="J579" s="12" t="s">
        <v>40</v>
      </c>
      <c r="K579" s="12" t="s">
        <v>65</v>
      </c>
      <c r="L579" s="17">
        <v>514.0</v>
      </c>
      <c r="M579" s="17">
        <v>3.0</v>
      </c>
      <c r="N579" s="17">
        <v>3.0</v>
      </c>
      <c r="O579" s="17">
        <v>21.4</v>
      </c>
      <c r="P579" s="17">
        <v>4.1</v>
      </c>
      <c r="Q579" s="15">
        <v>45316.0</v>
      </c>
      <c r="R579" s="12"/>
      <c r="S579" s="12" t="s">
        <v>55</v>
      </c>
      <c r="T579" s="12" t="s">
        <v>104</v>
      </c>
      <c r="U579" s="17">
        <f t="shared" si="1"/>
        <v>1</v>
      </c>
    </row>
    <row r="580">
      <c r="A580" s="12" t="s">
        <v>1153</v>
      </c>
      <c r="B580" s="12" t="s">
        <v>257</v>
      </c>
      <c r="C580" s="17">
        <v>57.0</v>
      </c>
      <c r="D580" s="12" t="s">
        <v>35</v>
      </c>
      <c r="E580" s="12" t="s">
        <v>36</v>
      </c>
      <c r="F580" s="12" t="s">
        <v>62</v>
      </c>
      <c r="G580" s="12" t="s">
        <v>93</v>
      </c>
      <c r="H580" s="15">
        <v>44576.0</v>
      </c>
      <c r="I580" s="17">
        <v>25.0</v>
      </c>
      <c r="J580" s="12" t="s">
        <v>53</v>
      </c>
      <c r="K580" s="12" t="s">
        <v>65</v>
      </c>
      <c r="L580" s="17">
        <v>888.0</v>
      </c>
      <c r="M580" s="17">
        <v>2.0</v>
      </c>
      <c r="N580" s="17">
        <v>1.0</v>
      </c>
      <c r="O580" s="17">
        <v>22.2</v>
      </c>
      <c r="P580" s="17">
        <v>3.6</v>
      </c>
      <c r="Q580" s="15">
        <v>45083.0</v>
      </c>
      <c r="R580" s="12"/>
      <c r="S580" s="12" t="s">
        <v>55</v>
      </c>
      <c r="T580" s="12" t="s">
        <v>72</v>
      </c>
      <c r="U580" s="17">
        <f t="shared" si="1"/>
        <v>2</v>
      </c>
    </row>
    <row r="581">
      <c r="A581" s="12" t="s">
        <v>1154</v>
      </c>
      <c r="B581" s="12" t="s">
        <v>303</v>
      </c>
      <c r="C581" s="17">
        <v>48.0</v>
      </c>
      <c r="D581" s="12" t="s">
        <v>60</v>
      </c>
      <c r="E581" s="12" t="s">
        <v>107</v>
      </c>
      <c r="F581" s="12" t="s">
        <v>37</v>
      </c>
      <c r="G581" s="12" t="s">
        <v>210</v>
      </c>
      <c r="H581" s="15">
        <v>45924.0</v>
      </c>
      <c r="I581" s="17">
        <v>26.0</v>
      </c>
      <c r="J581" s="12" t="s">
        <v>64</v>
      </c>
      <c r="K581" s="12" t="s">
        <v>65</v>
      </c>
      <c r="L581" s="17">
        <v>1363.0</v>
      </c>
      <c r="M581" s="17">
        <v>1.0</v>
      </c>
      <c r="N581" s="17">
        <v>1.0</v>
      </c>
      <c r="O581" s="17">
        <v>39.2</v>
      </c>
      <c r="P581" s="17">
        <v>4.2</v>
      </c>
      <c r="Q581" s="15">
        <v>46272.0</v>
      </c>
      <c r="R581" s="12"/>
      <c r="S581" s="12" t="s">
        <v>55</v>
      </c>
      <c r="T581" s="12" t="s">
        <v>47</v>
      </c>
      <c r="U581" s="17">
        <f t="shared" si="1"/>
        <v>2</v>
      </c>
    </row>
    <row r="582">
      <c r="A582" s="12" t="s">
        <v>1155</v>
      </c>
      <c r="B582" s="12" t="s">
        <v>476</v>
      </c>
      <c r="C582" s="12" t="s">
        <v>1156</v>
      </c>
      <c r="D582" s="12" t="s">
        <v>309</v>
      </c>
      <c r="E582" s="12" t="s">
        <v>161</v>
      </c>
      <c r="F582" s="12" t="s">
        <v>79</v>
      </c>
      <c r="G582" s="12" t="s">
        <v>93</v>
      </c>
      <c r="H582" s="15">
        <v>45071.0</v>
      </c>
      <c r="I582" s="17">
        <v>24.0</v>
      </c>
      <c r="J582" s="12" t="s">
        <v>40</v>
      </c>
      <c r="K582" s="12" t="s">
        <v>42</v>
      </c>
      <c r="L582" s="17">
        <v>3780.0</v>
      </c>
      <c r="M582" s="17">
        <v>1.0</v>
      </c>
      <c r="N582" s="17">
        <v>1.0</v>
      </c>
      <c r="O582" s="17">
        <v>28.3</v>
      </c>
      <c r="P582" s="17">
        <v>3.5</v>
      </c>
      <c r="Q582" s="15">
        <v>45567.0</v>
      </c>
      <c r="R582" s="12"/>
      <c r="S582" s="12" t="s">
        <v>55</v>
      </c>
      <c r="T582" s="12" t="s">
        <v>72</v>
      </c>
      <c r="U582" s="17">
        <f t="shared" si="1"/>
        <v>3</v>
      </c>
    </row>
    <row r="583">
      <c r="A583" s="12" t="s">
        <v>1157</v>
      </c>
      <c r="B583" s="12" t="s">
        <v>342</v>
      </c>
      <c r="C583" s="17">
        <v>46.0</v>
      </c>
      <c r="D583" s="12" t="s">
        <v>60</v>
      </c>
      <c r="E583" s="12" t="s">
        <v>61</v>
      </c>
      <c r="F583" s="12" t="s">
        <v>79</v>
      </c>
      <c r="G583" s="12" t="s">
        <v>52</v>
      </c>
      <c r="H583" s="15">
        <v>45228.0</v>
      </c>
      <c r="I583" s="17">
        <v>44.0</v>
      </c>
      <c r="J583" s="12" t="s">
        <v>53</v>
      </c>
      <c r="K583" s="12" t="s">
        <v>81</v>
      </c>
      <c r="L583" s="17">
        <v>2818.0</v>
      </c>
      <c r="M583" s="17">
        <v>3.0</v>
      </c>
      <c r="N583" s="17">
        <v>1.0</v>
      </c>
      <c r="O583" s="17">
        <v>40.3</v>
      </c>
      <c r="P583" s="17">
        <v>1.5</v>
      </c>
      <c r="Q583" s="15">
        <v>46492.0</v>
      </c>
      <c r="R583" s="12"/>
      <c r="S583" s="12" t="s">
        <v>55</v>
      </c>
      <c r="T583" s="12" t="s">
        <v>104</v>
      </c>
      <c r="U583" s="17">
        <f t="shared" si="1"/>
        <v>3</v>
      </c>
    </row>
    <row r="584">
      <c r="A584" s="12" t="s">
        <v>822</v>
      </c>
      <c r="B584" s="12" t="s">
        <v>736</v>
      </c>
      <c r="C584" s="17">
        <v>62.0</v>
      </c>
      <c r="D584" s="12" t="s">
        <v>85</v>
      </c>
      <c r="E584" s="12" t="s">
        <v>92</v>
      </c>
      <c r="F584" s="12" t="s">
        <v>37</v>
      </c>
      <c r="G584" s="12" t="s">
        <v>52</v>
      </c>
      <c r="H584" s="15">
        <v>44855.0</v>
      </c>
      <c r="I584" s="17">
        <v>34.0</v>
      </c>
      <c r="J584" s="12" t="s">
        <v>64</v>
      </c>
      <c r="K584" s="12" t="s">
        <v>65</v>
      </c>
      <c r="L584" s="17">
        <v>1515.0</v>
      </c>
      <c r="M584" s="17">
        <v>4.0</v>
      </c>
      <c r="N584" s="17">
        <v>0.0</v>
      </c>
      <c r="O584" s="17">
        <v>29.0</v>
      </c>
      <c r="P584" s="17">
        <v>3.0</v>
      </c>
      <c r="Q584" s="15">
        <v>45126.0</v>
      </c>
      <c r="R584" s="12" t="s">
        <v>1158</v>
      </c>
      <c r="S584" s="12" t="s">
        <v>45</v>
      </c>
      <c r="T584" s="12" t="s">
        <v>47</v>
      </c>
      <c r="U584" s="17">
        <f t="shared" si="1"/>
        <v>3</v>
      </c>
    </row>
    <row r="585">
      <c r="A585" s="12" t="s">
        <v>1159</v>
      </c>
      <c r="B585" s="12" t="s">
        <v>308</v>
      </c>
      <c r="C585" s="17">
        <v>29.0</v>
      </c>
      <c r="D585" s="12" t="s">
        <v>35</v>
      </c>
      <c r="E585" s="12" t="s">
        <v>140</v>
      </c>
      <c r="F585" s="12" t="s">
        <v>37</v>
      </c>
      <c r="G585" s="12" t="s">
        <v>39</v>
      </c>
      <c r="H585" s="15">
        <v>45060.0</v>
      </c>
      <c r="I585" s="17">
        <v>14.0</v>
      </c>
      <c r="J585" s="12" t="s">
        <v>53</v>
      </c>
      <c r="K585" s="12" t="s">
        <v>65</v>
      </c>
      <c r="L585" s="17">
        <v>1715.0</v>
      </c>
      <c r="M585" s="17">
        <v>0.0</v>
      </c>
      <c r="N585" s="17">
        <v>2.0</v>
      </c>
      <c r="O585" s="17">
        <v>44.8</v>
      </c>
      <c r="P585" s="17">
        <v>4.2</v>
      </c>
      <c r="Q585" s="15">
        <v>45124.0</v>
      </c>
      <c r="R585" s="12"/>
      <c r="S585" s="12" t="s">
        <v>55</v>
      </c>
      <c r="T585" s="12" t="s">
        <v>72</v>
      </c>
      <c r="U585" s="17">
        <f t="shared" si="1"/>
        <v>2</v>
      </c>
    </row>
    <row r="586">
      <c r="A586" s="12" t="s">
        <v>1136</v>
      </c>
      <c r="B586" s="12" t="s">
        <v>342</v>
      </c>
      <c r="C586" s="12" t="s">
        <v>1161</v>
      </c>
      <c r="D586" s="12" t="s">
        <v>60</v>
      </c>
      <c r="E586" s="12" t="s">
        <v>133</v>
      </c>
      <c r="F586" s="12" t="s">
        <v>79</v>
      </c>
      <c r="G586" s="12" t="s">
        <v>52</v>
      </c>
      <c r="H586" s="15">
        <v>44814.0</v>
      </c>
      <c r="I586" s="17">
        <v>43.0</v>
      </c>
      <c r="J586" s="12" t="s">
        <v>64</v>
      </c>
      <c r="K586" s="12" t="s">
        <v>81</v>
      </c>
      <c r="L586" s="17">
        <v>3484.0</v>
      </c>
      <c r="M586" s="17">
        <v>4.0</v>
      </c>
      <c r="N586" s="17">
        <v>1.0</v>
      </c>
      <c r="O586" s="17">
        <v>24.9</v>
      </c>
      <c r="P586" s="17">
        <v>3.8</v>
      </c>
      <c r="Q586" s="15">
        <v>45831.0</v>
      </c>
      <c r="R586" s="12"/>
      <c r="S586" s="12" t="s">
        <v>55</v>
      </c>
      <c r="T586" s="12" t="s">
        <v>104</v>
      </c>
      <c r="U586" s="17">
        <f t="shared" si="1"/>
        <v>3</v>
      </c>
    </row>
    <row r="587">
      <c r="A587" s="12" t="s">
        <v>1162</v>
      </c>
      <c r="B587" s="12" t="s">
        <v>380</v>
      </c>
      <c r="C587" s="17">
        <v>26.0</v>
      </c>
      <c r="D587" s="12" t="s">
        <v>60</v>
      </c>
      <c r="E587" s="12" t="s">
        <v>133</v>
      </c>
      <c r="F587" s="12" t="s">
        <v>79</v>
      </c>
      <c r="G587" s="12" t="s">
        <v>52</v>
      </c>
      <c r="H587" s="15">
        <v>45343.0</v>
      </c>
      <c r="I587" s="17">
        <v>42.0</v>
      </c>
      <c r="J587" s="12" t="s">
        <v>53</v>
      </c>
      <c r="K587" s="12" t="s">
        <v>42</v>
      </c>
      <c r="L587" s="17">
        <v>3654.0</v>
      </c>
      <c r="M587" s="17">
        <v>2.0</v>
      </c>
      <c r="N587" s="17">
        <v>0.0</v>
      </c>
      <c r="O587" s="17">
        <v>47.2</v>
      </c>
      <c r="P587" s="17">
        <v>4.9</v>
      </c>
      <c r="Q587" s="15">
        <v>45830.0</v>
      </c>
      <c r="R587" s="12"/>
      <c r="S587" s="12" t="s">
        <v>55</v>
      </c>
      <c r="T587" s="12" t="s">
        <v>104</v>
      </c>
      <c r="U587" s="17">
        <f t="shared" si="1"/>
        <v>3</v>
      </c>
    </row>
    <row r="588">
      <c r="A588" s="12" t="s">
        <v>1163</v>
      </c>
      <c r="B588" s="12" t="s">
        <v>152</v>
      </c>
      <c r="C588" s="17">
        <v>56.0</v>
      </c>
      <c r="D588" s="12" t="s">
        <v>60</v>
      </c>
      <c r="E588" s="12" t="s">
        <v>97</v>
      </c>
      <c r="F588" s="12" t="s">
        <v>37</v>
      </c>
      <c r="G588" s="12" t="s">
        <v>586</v>
      </c>
      <c r="H588" s="15">
        <v>45735.0</v>
      </c>
      <c r="I588" s="17">
        <v>120.0</v>
      </c>
      <c r="J588" s="12" t="s">
        <v>64</v>
      </c>
      <c r="K588" s="12" t="s">
        <v>42</v>
      </c>
      <c r="L588" s="17">
        <v>1388.0</v>
      </c>
      <c r="M588" s="17">
        <v>0.0</v>
      </c>
      <c r="N588" s="17">
        <v>3.0</v>
      </c>
      <c r="O588" s="17">
        <v>19.9</v>
      </c>
      <c r="P588" s="17">
        <v>3.2</v>
      </c>
      <c r="Q588" s="15">
        <v>45746.0</v>
      </c>
      <c r="R588" s="12"/>
      <c r="S588" s="12" t="s">
        <v>55</v>
      </c>
      <c r="T588" s="12" t="s">
        <v>75</v>
      </c>
      <c r="U588" s="17">
        <f t="shared" si="1"/>
        <v>2</v>
      </c>
    </row>
    <row r="589">
      <c r="A589" s="12" t="s">
        <v>1164</v>
      </c>
      <c r="B589" s="12" t="s">
        <v>1165</v>
      </c>
      <c r="C589" s="17">
        <v>39.0</v>
      </c>
      <c r="D589" s="12" t="s">
        <v>60</v>
      </c>
      <c r="E589" s="12" t="s">
        <v>107</v>
      </c>
      <c r="F589" s="12" t="s">
        <v>37</v>
      </c>
      <c r="G589" s="12" t="s">
        <v>93</v>
      </c>
      <c r="H589" s="15">
        <v>44820.0</v>
      </c>
      <c r="I589" s="17">
        <v>34.0</v>
      </c>
      <c r="J589" s="12" t="s">
        <v>40</v>
      </c>
      <c r="K589" s="12" t="s">
        <v>65</v>
      </c>
      <c r="L589" s="17">
        <v>1226.0</v>
      </c>
      <c r="M589" s="17">
        <v>0.0</v>
      </c>
      <c r="N589" s="17">
        <v>0.0</v>
      </c>
      <c r="O589" s="17">
        <v>16.8</v>
      </c>
      <c r="P589" s="17">
        <v>3.2</v>
      </c>
      <c r="Q589" s="15">
        <v>45639.0</v>
      </c>
      <c r="R589" s="12"/>
      <c r="S589" s="12" t="s">
        <v>55</v>
      </c>
      <c r="T589" s="12" t="s">
        <v>47</v>
      </c>
      <c r="U589" s="17">
        <f t="shared" si="1"/>
        <v>2</v>
      </c>
    </row>
    <row r="590">
      <c r="A590" s="12" t="s">
        <v>1167</v>
      </c>
      <c r="B590" s="12" t="s">
        <v>169</v>
      </c>
      <c r="C590" s="12"/>
      <c r="D590" s="12" t="s">
        <v>85</v>
      </c>
      <c r="E590" s="12" t="s">
        <v>111</v>
      </c>
      <c r="F590" s="12" t="s">
        <v>37</v>
      </c>
      <c r="G590" s="12" t="s">
        <v>39</v>
      </c>
      <c r="H590" s="15">
        <v>45924.0</v>
      </c>
      <c r="I590" s="17">
        <v>45.0</v>
      </c>
      <c r="J590" s="12" t="s">
        <v>40</v>
      </c>
      <c r="K590" s="12" t="s">
        <v>65</v>
      </c>
      <c r="L590" s="17">
        <v>1315.0</v>
      </c>
      <c r="M590" s="17">
        <v>3.0</v>
      </c>
      <c r="N590" s="17">
        <v>0.0</v>
      </c>
      <c r="O590" s="17">
        <v>33.0</v>
      </c>
      <c r="P590" s="17">
        <v>4.6</v>
      </c>
      <c r="Q590" s="15">
        <v>46186.0</v>
      </c>
      <c r="R590" s="12"/>
      <c r="S590" s="12" t="s">
        <v>55</v>
      </c>
      <c r="T590" s="12" t="s">
        <v>72</v>
      </c>
      <c r="U590" s="17">
        <f t="shared" si="1"/>
        <v>2</v>
      </c>
    </row>
    <row r="591">
      <c r="A591" s="12" t="s">
        <v>1168</v>
      </c>
      <c r="B591" s="12" t="s">
        <v>383</v>
      </c>
      <c r="C591" s="17">
        <v>65.0</v>
      </c>
      <c r="D591" s="12" t="s">
        <v>85</v>
      </c>
      <c r="E591" s="12" t="s">
        <v>292</v>
      </c>
      <c r="F591" s="12" t="s">
        <v>79</v>
      </c>
      <c r="G591" s="12" t="s">
        <v>210</v>
      </c>
      <c r="H591" s="15">
        <v>44874.0</v>
      </c>
      <c r="I591" s="17">
        <v>46.0</v>
      </c>
      <c r="J591" s="12" t="s">
        <v>53</v>
      </c>
      <c r="K591" s="12" t="s">
        <v>65</v>
      </c>
      <c r="L591" s="17">
        <v>3433.0</v>
      </c>
      <c r="M591" s="17">
        <v>4.0</v>
      </c>
      <c r="N591" s="17">
        <v>1.0</v>
      </c>
      <c r="O591" s="17">
        <v>47.4</v>
      </c>
      <c r="P591" s="17">
        <v>3.1</v>
      </c>
      <c r="Q591" s="15">
        <v>44991.0</v>
      </c>
      <c r="R591" s="12"/>
      <c r="S591" s="12" t="s">
        <v>55</v>
      </c>
      <c r="T591" s="12" t="s">
        <v>47</v>
      </c>
      <c r="U591" s="17">
        <f t="shared" si="1"/>
        <v>2</v>
      </c>
    </row>
    <row r="592">
      <c r="A592" s="12" t="s">
        <v>828</v>
      </c>
      <c r="B592" s="12" t="s">
        <v>333</v>
      </c>
      <c r="C592" s="17">
        <v>25.0</v>
      </c>
      <c r="D592" s="12" t="s">
        <v>85</v>
      </c>
      <c r="E592" s="12" t="s">
        <v>92</v>
      </c>
      <c r="F592" s="12" t="s">
        <v>62</v>
      </c>
      <c r="G592" s="12" t="s">
        <v>120</v>
      </c>
      <c r="H592" s="15">
        <v>45275.0</v>
      </c>
      <c r="I592" s="17">
        <v>26.0</v>
      </c>
      <c r="J592" s="12" t="s">
        <v>53</v>
      </c>
      <c r="K592" s="12" t="s">
        <v>65</v>
      </c>
      <c r="L592" s="17">
        <v>769.0</v>
      </c>
      <c r="M592" s="17">
        <v>4.0</v>
      </c>
      <c r="N592" s="17">
        <v>1.0</v>
      </c>
      <c r="O592" s="17">
        <v>13.2</v>
      </c>
      <c r="P592" s="17">
        <v>6.0</v>
      </c>
      <c r="Q592" s="15">
        <v>45574.0</v>
      </c>
      <c r="R592" s="12"/>
      <c r="S592" s="12" t="s">
        <v>55</v>
      </c>
      <c r="T592" s="12" t="s">
        <v>66</v>
      </c>
      <c r="U592" s="17">
        <f t="shared" si="1"/>
        <v>4</v>
      </c>
    </row>
    <row r="593">
      <c r="A593" s="12" t="s">
        <v>1169</v>
      </c>
      <c r="B593" s="12" t="s">
        <v>424</v>
      </c>
      <c r="C593" s="17">
        <v>42.0</v>
      </c>
      <c r="D593" s="12" t="s">
        <v>60</v>
      </c>
      <c r="E593" s="12" t="s">
        <v>133</v>
      </c>
      <c r="F593" s="12" t="s">
        <v>37</v>
      </c>
      <c r="G593" s="12" t="s">
        <v>80</v>
      </c>
      <c r="H593" s="15">
        <v>44843.0</v>
      </c>
      <c r="I593" s="17">
        <v>29.0</v>
      </c>
      <c r="J593" s="12" t="s">
        <v>64</v>
      </c>
      <c r="K593" s="12" t="s">
        <v>81</v>
      </c>
      <c r="L593" s="17">
        <v>1147.0</v>
      </c>
      <c r="M593" s="17">
        <v>2.0</v>
      </c>
      <c r="N593" s="17">
        <v>2.0</v>
      </c>
      <c r="O593" s="17">
        <v>21.6</v>
      </c>
      <c r="P593" s="17">
        <v>4.1</v>
      </c>
      <c r="Q593" s="15">
        <v>45076.0</v>
      </c>
      <c r="R593" s="12"/>
      <c r="S593" s="12" t="s">
        <v>55</v>
      </c>
      <c r="T593" s="12" t="s">
        <v>104</v>
      </c>
      <c r="U593" s="17">
        <f t="shared" si="1"/>
        <v>2</v>
      </c>
    </row>
    <row r="594">
      <c r="A594" s="12" t="s">
        <v>1170</v>
      </c>
      <c r="B594" s="12" t="s">
        <v>651</v>
      </c>
      <c r="C594" s="17">
        <v>51.0</v>
      </c>
      <c r="D594" s="12" t="s">
        <v>69</v>
      </c>
      <c r="E594" s="12" t="s">
        <v>119</v>
      </c>
      <c r="F594" s="12" t="s">
        <v>79</v>
      </c>
      <c r="G594" s="12" t="s">
        <v>120</v>
      </c>
      <c r="H594" s="15">
        <v>45953.0</v>
      </c>
      <c r="I594" s="17">
        <v>11.0</v>
      </c>
      <c r="J594" s="12" t="s">
        <v>64</v>
      </c>
      <c r="K594" s="12" t="s">
        <v>65</v>
      </c>
      <c r="L594" s="17">
        <v>3994.0</v>
      </c>
      <c r="M594" s="17">
        <v>0.0</v>
      </c>
      <c r="N594" s="17">
        <v>0.0</v>
      </c>
      <c r="O594" s="17">
        <v>30.3</v>
      </c>
      <c r="P594" s="17">
        <v>5.0</v>
      </c>
      <c r="Q594" s="15">
        <v>46205.0</v>
      </c>
      <c r="R594" s="12" t="s">
        <v>892</v>
      </c>
      <c r="S594" s="12" t="s">
        <v>45</v>
      </c>
      <c r="T594" s="12" t="s">
        <v>66</v>
      </c>
      <c r="U594" s="17">
        <f t="shared" si="1"/>
        <v>1</v>
      </c>
    </row>
    <row r="595">
      <c r="A595" s="12" t="s">
        <v>1175</v>
      </c>
      <c r="B595" s="12" t="s">
        <v>135</v>
      </c>
      <c r="C595" s="17">
        <v>68.0</v>
      </c>
      <c r="D595" s="12" t="s">
        <v>69</v>
      </c>
      <c r="E595" s="12" t="s">
        <v>119</v>
      </c>
      <c r="F595" s="12" t="s">
        <v>62</v>
      </c>
      <c r="G595" s="12" t="s">
        <v>63</v>
      </c>
      <c r="H595" s="15">
        <v>45055.0</v>
      </c>
      <c r="I595" s="17">
        <v>26.0</v>
      </c>
      <c r="J595" s="12" t="s">
        <v>53</v>
      </c>
      <c r="K595" s="12" t="s">
        <v>81</v>
      </c>
      <c r="L595" s="17">
        <v>851.0</v>
      </c>
      <c r="M595" s="17">
        <v>3.0</v>
      </c>
      <c r="N595" s="17">
        <v>1.0</v>
      </c>
      <c r="O595" s="17">
        <v>13.3</v>
      </c>
      <c r="P595" s="17">
        <v>2.6</v>
      </c>
      <c r="Q595" s="15">
        <v>45241.0</v>
      </c>
      <c r="R595" s="12"/>
      <c r="S595" s="12" t="s">
        <v>55</v>
      </c>
      <c r="T595" s="12" t="s">
        <v>75</v>
      </c>
      <c r="U595" s="17">
        <f t="shared" si="1"/>
        <v>2</v>
      </c>
    </row>
    <row r="596">
      <c r="A596" s="12" t="s">
        <v>644</v>
      </c>
      <c r="B596" s="12" t="s">
        <v>351</v>
      </c>
      <c r="C596" s="17">
        <v>36.0</v>
      </c>
      <c r="D596" s="12" t="s">
        <v>85</v>
      </c>
      <c r="E596" s="12" t="s">
        <v>92</v>
      </c>
      <c r="F596" s="12" t="s">
        <v>62</v>
      </c>
      <c r="G596" s="12" t="s">
        <v>63</v>
      </c>
      <c r="H596" s="15">
        <v>44731.0</v>
      </c>
      <c r="I596" s="17">
        <v>8.0</v>
      </c>
      <c r="J596" s="12" t="s">
        <v>64</v>
      </c>
      <c r="K596" s="12" t="s">
        <v>81</v>
      </c>
      <c r="L596" s="17">
        <v>841.0</v>
      </c>
      <c r="M596" s="17">
        <v>2.0</v>
      </c>
      <c r="N596" s="17">
        <v>1.0</v>
      </c>
      <c r="O596" s="17">
        <v>17.2</v>
      </c>
      <c r="P596" s="17">
        <v>2.6</v>
      </c>
      <c r="Q596" s="15">
        <v>44746.0</v>
      </c>
      <c r="R596" s="12"/>
      <c r="S596" s="12" t="s">
        <v>55</v>
      </c>
      <c r="T596" s="12" t="s">
        <v>104</v>
      </c>
      <c r="U596" s="17">
        <f t="shared" si="1"/>
        <v>2</v>
      </c>
    </row>
    <row r="597">
      <c r="A597" s="12" t="s">
        <v>1180</v>
      </c>
      <c r="B597" s="12" t="s">
        <v>145</v>
      </c>
      <c r="C597" s="17">
        <v>44.0</v>
      </c>
      <c r="D597" s="12" t="s">
        <v>69</v>
      </c>
      <c r="E597" s="12" t="s">
        <v>119</v>
      </c>
      <c r="F597" s="12" t="s">
        <v>37</v>
      </c>
      <c r="G597" s="12" t="s">
        <v>52</v>
      </c>
      <c r="H597" s="15">
        <v>46001.0</v>
      </c>
      <c r="I597" s="17">
        <v>28.0</v>
      </c>
      <c r="J597" s="12" t="s">
        <v>64</v>
      </c>
      <c r="K597" s="12" t="s">
        <v>42</v>
      </c>
      <c r="L597" s="17">
        <v>1100.0</v>
      </c>
      <c r="M597" s="17">
        <v>2.0</v>
      </c>
      <c r="N597" s="17">
        <v>2.0</v>
      </c>
      <c r="O597" s="17">
        <v>37.6</v>
      </c>
      <c r="P597" s="17">
        <v>3.1</v>
      </c>
      <c r="Q597" s="15">
        <v>46076.0</v>
      </c>
      <c r="R597" s="12"/>
      <c r="S597" s="12" t="s">
        <v>55</v>
      </c>
      <c r="T597" s="12" t="s">
        <v>75</v>
      </c>
      <c r="U597" s="17">
        <f t="shared" si="1"/>
        <v>1</v>
      </c>
    </row>
    <row r="598">
      <c r="A598" s="12" t="s">
        <v>226</v>
      </c>
      <c r="B598" s="12" t="s">
        <v>336</v>
      </c>
      <c r="C598" s="17">
        <v>57.0</v>
      </c>
      <c r="D598" s="12" t="s">
        <v>85</v>
      </c>
      <c r="E598" s="12" t="s">
        <v>292</v>
      </c>
      <c r="F598" s="12" t="s">
        <v>37</v>
      </c>
      <c r="G598" s="12" t="s">
        <v>80</v>
      </c>
      <c r="H598" s="15">
        <v>45665.0</v>
      </c>
      <c r="I598" s="17">
        <v>46.0</v>
      </c>
      <c r="J598" s="12" t="s">
        <v>64</v>
      </c>
      <c r="K598" s="12" t="s">
        <v>42</v>
      </c>
      <c r="L598" s="17">
        <v>1126.0</v>
      </c>
      <c r="M598" s="17">
        <v>0.0</v>
      </c>
      <c r="N598" s="17">
        <v>0.0</v>
      </c>
      <c r="O598" s="17">
        <v>25.9</v>
      </c>
      <c r="P598" s="17">
        <v>5.0</v>
      </c>
      <c r="Q598" s="15">
        <v>46099.0</v>
      </c>
      <c r="R598" s="12" t="s">
        <v>1181</v>
      </c>
      <c r="S598" s="12" t="s">
        <v>45</v>
      </c>
      <c r="T598" s="12" t="s">
        <v>104</v>
      </c>
      <c r="U598" s="17">
        <f t="shared" si="1"/>
        <v>5</v>
      </c>
    </row>
    <row r="599">
      <c r="A599" s="12" t="s">
        <v>536</v>
      </c>
      <c r="B599" s="12" t="s">
        <v>651</v>
      </c>
      <c r="C599" s="17">
        <v>26.0</v>
      </c>
      <c r="D599" s="12" t="s">
        <v>85</v>
      </c>
      <c r="E599" s="12" t="s">
        <v>92</v>
      </c>
      <c r="F599" s="12" t="s">
        <v>62</v>
      </c>
      <c r="G599" s="12" t="s">
        <v>39</v>
      </c>
      <c r="H599" s="15">
        <v>45739.0</v>
      </c>
      <c r="I599" s="17">
        <v>14.0</v>
      </c>
      <c r="J599" s="12" t="s">
        <v>64</v>
      </c>
      <c r="K599" s="12" t="s">
        <v>65</v>
      </c>
      <c r="L599" s="17">
        <v>543.0</v>
      </c>
      <c r="M599" s="17">
        <v>2.0</v>
      </c>
      <c r="N599" s="17">
        <v>1.0</v>
      </c>
      <c r="O599" s="17">
        <v>32.5</v>
      </c>
      <c r="P599" s="17">
        <v>2.4</v>
      </c>
      <c r="Q599" s="15">
        <v>46134.0</v>
      </c>
      <c r="R599" s="12"/>
      <c r="S599" s="12" t="s">
        <v>55</v>
      </c>
      <c r="T599" s="12" t="s">
        <v>72</v>
      </c>
      <c r="U599" s="17">
        <f t="shared" si="1"/>
        <v>2</v>
      </c>
    </row>
    <row r="600">
      <c r="A600" s="12" t="s">
        <v>1054</v>
      </c>
      <c r="B600" s="12" t="s">
        <v>190</v>
      </c>
      <c r="C600" s="17">
        <v>55.0</v>
      </c>
      <c r="D600" s="12" t="s">
        <v>69</v>
      </c>
      <c r="E600" s="12" t="s">
        <v>119</v>
      </c>
      <c r="F600" s="12" t="s">
        <v>79</v>
      </c>
      <c r="G600" s="12" t="s">
        <v>52</v>
      </c>
      <c r="H600" s="15">
        <v>44562.0</v>
      </c>
      <c r="I600" s="17">
        <v>16.0</v>
      </c>
      <c r="J600" s="12" t="s">
        <v>53</v>
      </c>
      <c r="K600" s="12" t="s">
        <v>81</v>
      </c>
      <c r="L600" s="17">
        <v>3348.0</v>
      </c>
      <c r="M600" s="17">
        <v>1.0</v>
      </c>
      <c r="N600" s="17">
        <v>0.0</v>
      </c>
      <c r="O600" s="17">
        <v>43.1</v>
      </c>
      <c r="P600" s="17">
        <v>3.8</v>
      </c>
      <c r="Q600" s="15">
        <v>44845.0</v>
      </c>
      <c r="R600" s="12"/>
      <c r="S600" s="12" t="s">
        <v>55</v>
      </c>
      <c r="T600" s="12" t="s">
        <v>72</v>
      </c>
      <c r="U600" s="17">
        <f t="shared" si="1"/>
        <v>2</v>
      </c>
    </row>
    <row r="601">
      <c r="A601" s="12" t="s">
        <v>1182</v>
      </c>
      <c r="B601" s="12" t="s">
        <v>459</v>
      </c>
      <c r="C601" s="17">
        <v>57.0</v>
      </c>
      <c r="D601" s="12" t="s">
        <v>60</v>
      </c>
      <c r="E601" s="12" t="s">
        <v>97</v>
      </c>
      <c r="F601" s="12" t="s">
        <v>37</v>
      </c>
      <c r="G601" s="12" t="s">
        <v>52</v>
      </c>
      <c r="H601" s="15">
        <v>44653.0</v>
      </c>
      <c r="I601" s="17">
        <v>16.0</v>
      </c>
      <c r="J601" s="12" t="s">
        <v>429</v>
      </c>
      <c r="K601" s="12" t="s">
        <v>42</v>
      </c>
      <c r="L601" s="17">
        <v>1305.0</v>
      </c>
      <c r="M601" s="17">
        <v>3.0</v>
      </c>
      <c r="N601" s="17">
        <v>0.0</v>
      </c>
      <c r="O601" s="17">
        <v>34.8</v>
      </c>
      <c r="P601" s="17">
        <v>5.0</v>
      </c>
      <c r="Q601" s="15">
        <v>45089.0</v>
      </c>
      <c r="R601" s="12"/>
      <c r="S601" s="12" t="s">
        <v>55</v>
      </c>
      <c r="T601" s="12" t="s">
        <v>66</v>
      </c>
      <c r="U601" s="17">
        <f t="shared" si="1"/>
        <v>1</v>
      </c>
    </row>
    <row r="602">
      <c r="A602" s="12" t="s">
        <v>1183</v>
      </c>
      <c r="B602" s="12" t="s">
        <v>118</v>
      </c>
      <c r="C602" s="17">
        <v>24.0</v>
      </c>
      <c r="D602" s="12" t="s">
        <v>60</v>
      </c>
      <c r="E602" s="12" t="s">
        <v>97</v>
      </c>
      <c r="F602" s="12" t="s">
        <v>37</v>
      </c>
      <c r="G602" s="12" t="s">
        <v>120</v>
      </c>
      <c r="H602" s="15">
        <v>44714.0</v>
      </c>
      <c r="I602" s="17">
        <v>36.0</v>
      </c>
      <c r="J602" s="12" t="s">
        <v>53</v>
      </c>
      <c r="K602" s="12" t="s">
        <v>81</v>
      </c>
      <c r="L602" s="17">
        <v>1664.0</v>
      </c>
      <c r="M602" s="17">
        <v>5.0</v>
      </c>
      <c r="N602" s="17">
        <v>1.0</v>
      </c>
      <c r="O602" s="17">
        <v>29.8</v>
      </c>
      <c r="P602" s="17">
        <v>4.7</v>
      </c>
      <c r="Q602" s="15">
        <v>45058.0</v>
      </c>
      <c r="R602" s="12"/>
      <c r="S602" s="12" t="s">
        <v>55</v>
      </c>
      <c r="T602" s="12" t="s">
        <v>75</v>
      </c>
      <c r="U602" s="17">
        <f t="shared" si="1"/>
        <v>1</v>
      </c>
    </row>
    <row r="603">
      <c r="A603" s="12" t="s">
        <v>862</v>
      </c>
      <c r="B603" s="12" t="s">
        <v>145</v>
      </c>
      <c r="C603" s="17">
        <v>45.0</v>
      </c>
      <c r="D603" s="12" t="s">
        <v>69</v>
      </c>
      <c r="E603" s="12" t="s">
        <v>187</v>
      </c>
      <c r="F603" s="12" t="s">
        <v>62</v>
      </c>
      <c r="G603" s="12" t="s">
        <v>52</v>
      </c>
      <c r="H603" s="15">
        <v>45113.0</v>
      </c>
      <c r="I603" s="17">
        <v>41.0</v>
      </c>
      <c r="J603" s="12" t="s">
        <v>40</v>
      </c>
      <c r="K603" s="12" t="s">
        <v>65</v>
      </c>
      <c r="L603" s="17">
        <v>597.0</v>
      </c>
      <c r="M603" s="17">
        <v>1.0</v>
      </c>
      <c r="N603" s="17">
        <v>1.0</v>
      </c>
      <c r="O603" s="17">
        <v>11.3</v>
      </c>
      <c r="P603" s="17">
        <v>3.1</v>
      </c>
      <c r="Q603" s="15">
        <v>46277.0</v>
      </c>
      <c r="R603" s="12"/>
      <c r="S603" s="12" t="s">
        <v>55</v>
      </c>
      <c r="T603" s="12" t="s">
        <v>75</v>
      </c>
      <c r="U603" s="17">
        <f t="shared" si="1"/>
        <v>6</v>
      </c>
    </row>
    <row r="604">
      <c r="A604" s="12" t="s">
        <v>209</v>
      </c>
      <c r="B604" s="12" t="s">
        <v>342</v>
      </c>
      <c r="C604" s="17">
        <v>40.0</v>
      </c>
      <c r="D604" s="12" t="s">
        <v>35</v>
      </c>
      <c r="E604" s="12" t="s">
        <v>51</v>
      </c>
      <c r="F604" s="12" t="s">
        <v>62</v>
      </c>
      <c r="G604" s="12" t="s">
        <v>63</v>
      </c>
      <c r="H604" s="15">
        <v>45650.0</v>
      </c>
      <c r="I604" s="17">
        <v>8.0</v>
      </c>
      <c r="J604" s="12" t="s">
        <v>53</v>
      </c>
      <c r="K604" s="12" t="s">
        <v>337</v>
      </c>
      <c r="L604" s="17">
        <v>707.0</v>
      </c>
      <c r="M604" s="17">
        <v>0.0</v>
      </c>
      <c r="N604" s="17">
        <v>0.0</v>
      </c>
      <c r="O604" s="17">
        <v>33.4</v>
      </c>
      <c r="P604" s="17">
        <v>2.6</v>
      </c>
      <c r="Q604" s="15">
        <v>45823.0</v>
      </c>
      <c r="R604" s="12"/>
      <c r="S604" s="12" t="s">
        <v>55</v>
      </c>
      <c r="T604" s="12" t="s">
        <v>47</v>
      </c>
      <c r="U604" s="17">
        <f t="shared" si="1"/>
        <v>2</v>
      </c>
    </row>
    <row r="605">
      <c r="A605" s="12" t="s">
        <v>1184</v>
      </c>
      <c r="B605" s="12" t="s">
        <v>351</v>
      </c>
      <c r="C605" s="17">
        <v>25.0</v>
      </c>
      <c r="D605" s="12" t="s">
        <v>35</v>
      </c>
      <c r="E605" s="12" t="s">
        <v>36</v>
      </c>
      <c r="F605" s="12" t="s">
        <v>62</v>
      </c>
      <c r="G605" s="12" t="s">
        <v>39</v>
      </c>
      <c r="H605" s="15">
        <v>45337.0</v>
      </c>
      <c r="I605" s="17">
        <v>7.0</v>
      </c>
      <c r="J605" s="12" t="s">
        <v>429</v>
      </c>
      <c r="K605" s="12" t="s">
        <v>65</v>
      </c>
      <c r="L605" s="17">
        <v>562.0</v>
      </c>
      <c r="M605" s="17">
        <v>1.0</v>
      </c>
      <c r="N605" s="17">
        <v>1.0</v>
      </c>
      <c r="O605" s="17">
        <v>18.6</v>
      </c>
      <c r="P605" s="17">
        <v>2.5</v>
      </c>
      <c r="Q605" s="15">
        <v>45533.0</v>
      </c>
      <c r="R605" s="12" t="s">
        <v>1185</v>
      </c>
      <c r="S605" s="12" t="s">
        <v>45</v>
      </c>
      <c r="T605" s="12" t="s">
        <v>66</v>
      </c>
      <c r="U605" s="17">
        <f t="shared" si="1"/>
        <v>1</v>
      </c>
    </row>
    <row r="606">
      <c r="A606" s="12" t="s">
        <v>1186</v>
      </c>
      <c r="B606" s="12" t="s">
        <v>476</v>
      </c>
      <c r="C606" s="17">
        <v>49.0</v>
      </c>
      <c r="D606" s="12" t="s">
        <v>60</v>
      </c>
      <c r="E606" s="12" t="s">
        <v>61</v>
      </c>
      <c r="F606" s="12" t="s">
        <v>79</v>
      </c>
      <c r="G606" s="12" t="s">
        <v>39</v>
      </c>
      <c r="H606" s="15">
        <v>45213.0</v>
      </c>
      <c r="I606" s="17">
        <v>25.0</v>
      </c>
      <c r="J606" s="12" t="s">
        <v>64</v>
      </c>
      <c r="K606" s="12" t="s">
        <v>42</v>
      </c>
      <c r="L606" s="17">
        <v>3981.0</v>
      </c>
      <c r="M606" s="17">
        <v>1.0</v>
      </c>
      <c r="N606" s="17">
        <v>0.0</v>
      </c>
      <c r="O606" s="17">
        <v>46.5</v>
      </c>
      <c r="P606" s="12"/>
      <c r="Q606" s="15">
        <v>45767.0</v>
      </c>
      <c r="R606" s="12"/>
      <c r="S606" s="12" t="s">
        <v>55</v>
      </c>
      <c r="T606" s="12" t="s">
        <v>72</v>
      </c>
      <c r="U606" s="17">
        <f t="shared" si="1"/>
        <v>2</v>
      </c>
    </row>
    <row r="607">
      <c r="A607" s="12" t="s">
        <v>1187</v>
      </c>
      <c r="B607" s="12" t="s">
        <v>34</v>
      </c>
      <c r="C607" s="17">
        <v>64.0</v>
      </c>
      <c r="D607" s="12" t="s">
        <v>69</v>
      </c>
      <c r="E607" s="12" t="s">
        <v>187</v>
      </c>
      <c r="F607" s="12" t="s">
        <v>62</v>
      </c>
      <c r="G607" s="12" t="s">
        <v>880</v>
      </c>
      <c r="H607" s="15">
        <v>45109.0</v>
      </c>
      <c r="I607" s="17">
        <v>4.0</v>
      </c>
      <c r="J607" s="12" t="s">
        <v>53</v>
      </c>
      <c r="K607" s="12" t="s">
        <v>42</v>
      </c>
      <c r="L607" s="17">
        <v>826.0</v>
      </c>
      <c r="M607" s="17">
        <v>6.0</v>
      </c>
      <c r="N607" s="17">
        <v>1.0</v>
      </c>
      <c r="O607" s="17">
        <v>17.1</v>
      </c>
      <c r="P607" s="17">
        <v>4.6</v>
      </c>
      <c r="Q607" s="15">
        <v>45182.0</v>
      </c>
      <c r="R607" s="12" t="s">
        <v>1188</v>
      </c>
      <c r="S607" s="12" t="s">
        <v>45</v>
      </c>
      <c r="T607" s="12" t="s">
        <v>75</v>
      </c>
      <c r="U607" s="17">
        <f t="shared" si="1"/>
        <v>2</v>
      </c>
    </row>
    <row r="608">
      <c r="A608" s="12" t="s">
        <v>1189</v>
      </c>
      <c r="B608" s="12" t="s">
        <v>411</v>
      </c>
      <c r="C608" s="17">
        <v>24.0</v>
      </c>
      <c r="D608" s="12" t="s">
        <v>85</v>
      </c>
      <c r="E608" s="12" t="s">
        <v>92</v>
      </c>
      <c r="F608" s="12" t="s">
        <v>62</v>
      </c>
      <c r="G608" s="12" t="s">
        <v>120</v>
      </c>
      <c r="H608" s="15">
        <v>45628.0</v>
      </c>
      <c r="I608" s="17">
        <v>46.0</v>
      </c>
      <c r="J608" s="12" t="s">
        <v>64</v>
      </c>
      <c r="K608" s="12" t="s">
        <v>42</v>
      </c>
      <c r="L608" s="17">
        <v>616.0</v>
      </c>
      <c r="M608" s="17">
        <v>1.0</v>
      </c>
      <c r="N608" s="17">
        <v>0.0</v>
      </c>
      <c r="O608" s="17">
        <v>20.7</v>
      </c>
      <c r="P608" s="17">
        <v>3.5</v>
      </c>
      <c r="Q608" s="15">
        <v>45816.0</v>
      </c>
      <c r="R608" s="12" t="s">
        <v>1190</v>
      </c>
      <c r="S608" s="12" t="s">
        <v>45</v>
      </c>
      <c r="T608" s="12" t="s">
        <v>104</v>
      </c>
      <c r="U608" s="17">
        <f t="shared" si="1"/>
        <v>2</v>
      </c>
    </row>
    <row r="609">
      <c r="A609" s="12" t="s">
        <v>1191</v>
      </c>
      <c r="B609" s="12" t="s">
        <v>145</v>
      </c>
      <c r="C609" s="17">
        <v>49.0</v>
      </c>
      <c r="D609" s="12" t="s">
        <v>69</v>
      </c>
      <c r="E609" s="12" t="s">
        <v>70</v>
      </c>
      <c r="F609" s="12" t="s">
        <v>62</v>
      </c>
      <c r="G609" s="12" t="s">
        <v>63</v>
      </c>
      <c r="H609" s="15">
        <v>44735.0</v>
      </c>
      <c r="I609" s="17">
        <v>48.0</v>
      </c>
      <c r="J609" s="12" t="s">
        <v>53</v>
      </c>
      <c r="K609" s="12" t="s">
        <v>81</v>
      </c>
      <c r="L609" s="17">
        <v>751.0</v>
      </c>
      <c r="M609" s="17">
        <v>2.0</v>
      </c>
      <c r="N609" s="17">
        <v>1.0</v>
      </c>
      <c r="O609" s="17">
        <v>18.0</v>
      </c>
      <c r="P609" s="17">
        <v>4.7</v>
      </c>
      <c r="Q609" s="15">
        <v>45613.0</v>
      </c>
      <c r="R609" s="12"/>
      <c r="S609" s="12" t="s">
        <v>55</v>
      </c>
      <c r="T609" s="12" t="s">
        <v>66</v>
      </c>
      <c r="U609" s="17">
        <f t="shared" si="1"/>
        <v>3</v>
      </c>
    </row>
    <row r="610">
      <c r="A610" s="12" t="s">
        <v>1193</v>
      </c>
      <c r="B610" s="12" t="s">
        <v>179</v>
      </c>
      <c r="C610" s="17">
        <v>57.0</v>
      </c>
      <c r="D610" s="12" t="s">
        <v>35</v>
      </c>
      <c r="E610" s="12" t="s">
        <v>140</v>
      </c>
      <c r="F610" s="12" t="s">
        <v>62</v>
      </c>
      <c r="G610" s="12" t="s">
        <v>39</v>
      </c>
      <c r="H610" s="15">
        <v>44576.0</v>
      </c>
      <c r="I610" s="17">
        <v>46.0</v>
      </c>
      <c r="J610" s="12" t="s">
        <v>53</v>
      </c>
      <c r="K610" s="12" t="s">
        <v>42</v>
      </c>
      <c r="L610" s="17">
        <v>772.0</v>
      </c>
      <c r="M610" s="17">
        <v>5.0</v>
      </c>
      <c r="N610" s="17">
        <v>2.0</v>
      </c>
      <c r="O610" s="17">
        <v>7.2</v>
      </c>
      <c r="P610" s="17">
        <v>3.3</v>
      </c>
      <c r="Q610" s="15">
        <v>45086.0</v>
      </c>
      <c r="R610" s="12"/>
      <c r="S610" s="12" t="s">
        <v>55</v>
      </c>
      <c r="T610" s="12" t="s">
        <v>66</v>
      </c>
      <c r="U610" s="17">
        <f t="shared" si="1"/>
        <v>1</v>
      </c>
    </row>
    <row r="611">
      <c r="A611" s="12" t="s">
        <v>186</v>
      </c>
      <c r="B611" s="12" t="s">
        <v>342</v>
      </c>
      <c r="C611" s="17">
        <v>62.0</v>
      </c>
      <c r="D611" s="12" t="s">
        <v>69</v>
      </c>
      <c r="E611" s="12" t="s">
        <v>70</v>
      </c>
      <c r="F611" s="12" t="s">
        <v>62</v>
      </c>
      <c r="G611" s="12" t="s">
        <v>39</v>
      </c>
      <c r="H611" s="15">
        <v>45614.0</v>
      </c>
      <c r="I611" s="17">
        <v>23.0</v>
      </c>
      <c r="J611" s="12" t="s">
        <v>40</v>
      </c>
      <c r="K611" s="12" t="s">
        <v>81</v>
      </c>
      <c r="L611" s="17">
        <v>715.0</v>
      </c>
      <c r="M611" s="17">
        <v>2.0</v>
      </c>
      <c r="N611" s="17">
        <v>1.0</v>
      </c>
      <c r="O611" s="17">
        <v>21.1</v>
      </c>
      <c r="P611" s="17">
        <v>3.0</v>
      </c>
      <c r="Q611" s="15">
        <v>45798.0</v>
      </c>
      <c r="R611" s="12" t="s">
        <v>1194</v>
      </c>
      <c r="S611" s="12" t="s">
        <v>45</v>
      </c>
      <c r="T611" s="12" t="s">
        <v>104</v>
      </c>
      <c r="U611" s="17">
        <f t="shared" si="1"/>
        <v>2</v>
      </c>
    </row>
    <row r="612">
      <c r="A612" s="12" t="s">
        <v>389</v>
      </c>
      <c r="B612" s="12" t="s">
        <v>179</v>
      </c>
      <c r="C612" s="17">
        <v>48.0</v>
      </c>
      <c r="D612" s="12" t="s">
        <v>60</v>
      </c>
      <c r="E612" s="12" t="s">
        <v>133</v>
      </c>
      <c r="F612" s="12" t="s">
        <v>62</v>
      </c>
      <c r="G612" s="12" t="s">
        <v>39</v>
      </c>
      <c r="H612" s="15">
        <v>44566.0</v>
      </c>
      <c r="I612" s="17">
        <v>48.0</v>
      </c>
      <c r="J612" s="12" t="s">
        <v>64</v>
      </c>
      <c r="K612" s="12" t="s">
        <v>65</v>
      </c>
      <c r="L612" s="17">
        <v>700.0</v>
      </c>
      <c r="M612" s="17">
        <v>2.0</v>
      </c>
      <c r="N612" s="17">
        <v>0.0</v>
      </c>
      <c r="O612" s="17">
        <v>33.2</v>
      </c>
      <c r="P612" s="17">
        <v>2.8</v>
      </c>
      <c r="Q612" s="15">
        <v>45200.0</v>
      </c>
      <c r="R612" s="12"/>
      <c r="S612" s="12" t="s">
        <v>55</v>
      </c>
      <c r="T612" s="12" t="s">
        <v>104</v>
      </c>
      <c r="U612" s="17">
        <f t="shared" si="1"/>
        <v>3</v>
      </c>
    </row>
    <row r="613">
      <c r="A613" s="12" t="s">
        <v>638</v>
      </c>
      <c r="B613" s="12" t="s">
        <v>651</v>
      </c>
      <c r="C613" s="17">
        <v>46.0</v>
      </c>
      <c r="D613" s="12" t="s">
        <v>35</v>
      </c>
      <c r="E613" s="12" t="s">
        <v>140</v>
      </c>
      <c r="F613" s="12" t="s">
        <v>62</v>
      </c>
      <c r="G613" s="12" t="s">
        <v>210</v>
      </c>
      <c r="H613" s="15">
        <v>44781.0</v>
      </c>
      <c r="I613" s="17">
        <v>1.0</v>
      </c>
      <c r="J613" s="12" t="s">
        <v>53</v>
      </c>
      <c r="K613" s="12" t="s">
        <v>42</v>
      </c>
      <c r="L613" s="17">
        <v>868.0</v>
      </c>
      <c r="M613" s="17">
        <v>5.0</v>
      </c>
      <c r="N613" s="17">
        <v>1.0</v>
      </c>
      <c r="O613" s="17">
        <v>22.8</v>
      </c>
      <c r="P613" s="17">
        <v>3.1</v>
      </c>
      <c r="Q613" s="15">
        <v>44813.0</v>
      </c>
      <c r="R613" s="12"/>
      <c r="S613" s="12" t="s">
        <v>55</v>
      </c>
      <c r="T613" s="12" t="s">
        <v>104</v>
      </c>
      <c r="U613" s="17">
        <f t="shared" si="1"/>
        <v>3</v>
      </c>
    </row>
    <row r="614">
      <c r="A614" s="12" t="s">
        <v>1195</v>
      </c>
      <c r="B614" s="12" t="s">
        <v>184</v>
      </c>
      <c r="C614" s="17">
        <v>46.0</v>
      </c>
      <c r="D614" s="12" t="s">
        <v>69</v>
      </c>
      <c r="E614" s="12" t="s">
        <v>119</v>
      </c>
      <c r="F614" s="12" t="s">
        <v>62</v>
      </c>
      <c r="G614" s="12" t="s">
        <v>120</v>
      </c>
      <c r="H614" s="15">
        <v>44576.0</v>
      </c>
      <c r="I614" s="17">
        <v>10.0</v>
      </c>
      <c r="J614" s="12" t="s">
        <v>40</v>
      </c>
      <c r="K614" s="12" t="s">
        <v>81</v>
      </c>
      <c r="L614" s="17">
        <v>627.0</v>
      </c>
      <c r="M614" s="17">
        <v>1.0</v>
      </c>
      <c r="N614" s="17">
        <v>0.0</v>
      </c>
      <c r="O614" s="17">
        <v>14.0</v>
      </c>
      <c r="P614" s="17">
        <v>3.5</v>
      </c>
      <c r="Q614" s="15">
        <v>44788.0</v>
      </c>
      <c r="R614" s="12" t="s">
        <v>637</v>
      </c>
      <c r="S614" s="12" t="s">
        <v>45</v>
      </c>
      <c r="T614" s="12" t="s">
        <v>72</v>
      </c>
      <c r="U614" s="17">
        <f t="shared" si="1"/>
        <v>1</v>
      </c>
    </row>
    <row r="615">
      <c r="A615" s="12" t="s">
        <v>1196</v>
      </c>
      <c r="B615" s="12" t="s">
        <v>152</v>
      </c>
      <c r="C615" s="17">
        <v>27.0</v>
      </c>
      <c r="D615" s="12" t="s">
        <v>85</v>
      </c>
      <c r="E615" s="12" t="s">
        <v>87</v>
      </c>
      <c r="F615" s="12" t="s">
        <v>62</v>
      </c>
      <c r="G615" s="12" t="s">
        <v>210</v>
      </c>
      <c r="H615" s="15">
        <v>45450.0</v>
      </c>
      <c r="I615" s="17">
        <v>1.0</v>
      </c>
      <c r="J615" s="12" t="s">
        <v>53</v>
      </c>
      <c r="K615" s="12" t="s">
        <v>65</v>
      </c>
      <c r="L615" s="17">
        <v>862.0</v>
      </c>
      <c r="M615" s="17">
        <v>5.0</v>
      </c>
      <c r="N615" s="17">
        <v>3.0</v>
      </c>
      <c r="O615" s="17">
        <v>25.9</v>
      </c>
      <c r="P615" s="17">
        <v>3.2</v>
      </c>
      <c r="Q615" s="15">
        <v>45472.0</v>
      </c>
      <c r="R615" s="12"/>
      <c r="S615" s="12" t="s">
        <v>55</v>
      </c>
      <c r="T615" s="12" t="s">
        <v>72</v>
      </c>
      <c r="U615" s="17">
        <f t="shared" si="1"/>
        <v>2</v>
      </c>
    </row>
    <row r="616">
      <c r="A616" s="12" t="s">
        <v>1197</v>
      </c>
      <c r="B616" s="12" t="s">
        <v>405</v>
      </c>
      <c r="C616" s="17">
        <v>67.0</v>
      </c>
      <c r="D616" s="12" t="s">
        <v>69</v>
      </c>
      <c r="E616" s="12" t="s">
        <v>187</v>
      </c>
      <c r="F616" s="12" t="s">
        <v>79</v>
      </c>
      <c r="G616" s="12" t="s">
        <v>52</v>
      </c>
      <c r="H616" s="15">
        <v>45106.0</v>
      </c>
      <c r="I616" s="17">
        <v>8.0</v>
      </c>
      <c r="J616" s="12" t="s">
        <v>53</v>
      </c>
      <c r="K616" s="12" t="s">
        <v>81</v>
      </c>
      <c r="L616" s="17">
        <v>3637.0</v>
      </c>
      <c r="M616" s="17">
        <v>1.0</v>
      </c>
      <c r="N616" s="17">
        <v>0.0</v>
      </c>
      <c r="O616" s="17">
        <v>55.8</v>
      </c>
      <c r="P616" s="17">
        <v>3.7</v>
      </c>
      <c r="Q616" s="15">
        <v>45290.0</v>
      </c>
      <c r="R616" s="12"/>
      <c r="S616" s="12" t="s">
        <v>55</v>
      </c>
      <c r="T616" s="12" t="s">
        <v>75</v>
      </c>
      <c r="U616" s="17">
        <f t="shared" si="1"/>
        <v>1</v>
      </c>
    </row>
    <row r="617">
      <c r="A617" s="12" t="s">
        <v>1198</v>
      </c>
      <c r="B617" s="12" t="s">
        <v>633</v>
      </c>
      <c r="C617" s="17">
        <v>57.0</v>
      </c>
      <c r="D617" s="12" t="s">
        <v>35</v>
      </c>
      <c r="E617" s="12" t="s">
        <v>36</v>
      </c>
      <c r="F617" s="12" t="s">
        <v>37</v>
      </c>
      <c r="G617" s="12" t="s">
        <v>39</v>
      </c>
      <c r="H617" s="15">
        <v>44880.0</v>
      </c>
      <c r="I617" s="17">
        <v>23.0</v>
      </c>
      <c r="J617" s="12" t="s">
        <v>64</v>
      </c>
      <c r="K617" s="12" t="s">
        <v>42</v>
      </c>
      <c r="L617" s="17">
        <v>1699.0</v>
      </c>
      <c r="M617" s="17">
        <v>1.0</v>
      </c>
      <c r="N617" s="17">
        <v>0.0</v>
      </c>
      <c r="O617" s="17">
        <v>31.0</v>
      </c>
      <c r="P617" s="17">
        <v>4.0</v>
      </c>
      <c r="Q617" s="15">
        <v>44943.0</v>
      </c>
      <c r="R617" s="12"/>
      <c r="S617" s="12" t="s">
        <v>55</v>
      </c>
      <c r="T617" s="12" t="s">
        <v>75</v>
      </c>
      <c r="U617" s="17">
        <f t="shared" si="1"/>
        <v>1</v>
      </c>
    </row>
    <row r="618">
      <c r="A618" s="12" t="s">
        <v>660</v>
      </c>
      <c r="B618" s="12" t="s">
        <v>398</v>
      </c>
      <c r="C618" s="17">
        <v>35.0</v>
      </c>
      <c r="D618" s="12" t="s">
        <v>60</v>
      </c>
      <c r="E618" s="12" t="s">
        <v>107</v>
      </c>
      <c r="F618" s="12" t="s">
        <v>716</v>
      </c>
      <c r="G618" s="12" t="s">
        <v>93</v>
      </c>
      <c r="H618" s="15">
        <v>45440.0</v>
      </c>
      <c r="I618" s="17">
        <v>16.0</v>
      </c>
      <c r="J618" s="12" t="s">
        <v>64</v>
      </c>
      <c r="K618" s="12" t="s">
        <v>42</v>
      </c>
      <c r="L618" s="17">
        <v>1522.0</v>
      </c>
      <c r="M618" s="17">
        <v>4.0</v>
      </c>
      <c r="N618" s="17">
        <v>2.0</v>
      </c>
      <c r="O618" s="17">
        <v>37.6</v>
      </c>
      <c r="P618" s="17">
        <v>4.4</v>
      </c>
      <c r="Q618" s="15">
        <v>45577.0</v>
      </c>
      <c r="R618" s="12"/>
      <c r="S618" s="12" t="s">
        <v>529</v>
      </c>
      <c r="T618" s="12" t="s">
        <v>75</v>
      </c>
      <c r="U618" s="17">
        <f t="shared" si="1"/>
        <v>6</v>
      </c>
    </row>
    <row r="619">
      <c r="A619" s="12" t="s">
        <v>809</v>
      </c>
      <c r="B619" s="12" t="s">
        <v>215</v>
      </c>
      <c r="C619" s="17">
        <v>27.0</v>
      </c>
      <c r="D619" s="12" t="s">
        <v>85</v>
      </c>
      <c r="E619" s="12" t="s">
        <v>292</v>
      </c>
      <c r="F619" s="12" t="s">
        <v>37</v>
      </c>
      <c r="G619" s="12" t="s">
        <v>80</v>
      </c>
      <c r="H619" s="15">
        <v>45813.0</v>
      </c>
      <c r="I619" s="17">
        <v>12.0</v>
      </c>
      <c r="J619" s="12" t="s">
        <v>53</v>
      </c>
      <c r="K619" s="12" t="s">
        <v>42</v>
      </c>
      <c r="L619" s="17">
        <v>1643.0</v>
      </c>
      <c r="M619" s="17">
        <v>1.0</v>
      </c>
      <c r="N619" s="17">
        <v>1.0</v>
      </c>
      <c r="O619" s="17">
        <v>32.4</v>
      </c>
      <c r="P619" s="17">
        <v>3.4</v>
      </c>
      <c r="Q619" s="15">
        <v>45899.0</v>
      </c>
      <c r="R619" s="12"/>
      <c r="S619" s="12" t="s">
        <v>55</v>
      </c>
      <c r="T619" s="12" t="s">
        <v>72</v>
      </c>
      <c r="U619" s="17">
        <f t="shared" si="1"/>
        <v>2</v>
      </c>
    </row>
    <row r="620">
      <c r="A620" s="12" t="s">
        <v>1199</v>
      </c>
      <c r="B620" s="12" t="s">
        <v>636</v>
      </c>
      <c r="C620" s="17">
        <v>46.0</v>
      </c>
      <c r="D620" s="12" t="s">
        <v>69</v>
      </c>
      <c r="E620" s="12" t="s">
        <v>119</v>
      </c>
      <c r="F620" s="12" t="s">
        <v>62</v>
      </c>
      <c r="G620" s="12" t="s">
        <v>39</v>
      </c>
      <c r="H620" s="15">
        <v>44748.0</v>
      </c>
      <c r="I620" s="17">
        <v>4.0</v>
      </c>
      <c r="J620" s="12" t="s">
        <v>53</v>
      </c>
      <c r="K620" s="12" t="s">
        <v>42</v>
      </c>
      <c r="L620" s="17">
        <v>767.0</v>
      </c>
      <c r="M620" s="17">
        <v>2.0</v>
      </c>
      <c r="N620" s="17">
        <v>0.0</v>
      </c>
      <c r="O620" s="17">
        <v>15.2</v>
      </c>
      <c r="P620" s="17">
        <v>4.6</v>
      </c>
      <c r="Q620" s="15">
        <v>44817.0</v>
      </c>
      <c r="R620" s="12"/>
      <c r="S620" s="12" t="s">
        <v>55</v>
      </c>
      <c r="T620" s="12" t="s">
        <v>66</v>
      </c>
      <c r="U620" s="17">
        <f t="shared" si="1"/>
        <v>3</v>
      </c>
    </row>
    <row r="621">
      <c r="A621" s="12" t="s">
        <v>1200</v>
      </c>
      <c r="B621" s="12" t="s">
        <v>96</v>
      </c>
      <c r="C621" s="17">
        <v>19.0</v>
      </c>
      <c r="D621" s="12" t="s">
        <v>35</v>
      </c>
      <c r="E621" s="12" t="s">
        <v>161</v>
      </c>
      <c r="F621" s="12" t="s">
        <v>497</v>
      </c>
      <c r="G621" s="12" t="s">
        <v>210</v>
      </c>
      <c r="H621" s="15">
        <v>45136.0</v>
      </c>
      <c r="I621" s="17">
        <v>0.0</v>
      </c>
      <c r="J621" s="12" t="s">
        <v>40</v>
      </c>
      <c r="K621" s="12" t="s">
        <v>81</v>
      </c>
      <c r="L621" s="17">
        <v>625.0</v>
      </c>
      <c r="M621" s="17">
        <v>5.0</v>
      </c>
      <c r="N621" s="17">
        <v>3.0</v>
      </c>
      <c r="O621" s="17">
        <v>18.7</v>
      </c>
      <c r="P621" s="17">
        <v>5.0</v>
      </c>
      <c r="Q621" s="15">
        <v>45194.0</v>
      </c>
      <c r="R621" s="12"/>
      <c r="S621" s="12" t="s">
        <v>55</v>
      </c>
      <c r="T621" s="12" t="s">
        <v>72</v>
      </c>
      <c r="U621" s="17">
        <f t="shared" si="1"/>
        <v>2</v>
      </c>
    </row>
    <row r="622">
      <c r="A622" s="12" t="s">
        <v>1201</v>
      </c>
      <c r="B622" s="12" t="s">
        <v>325</v>
      </c>
      <c r="C622" s="17">
        <v>61.0</v>
      </c>
      <c r="D622" s="12" t="s">
        <v>60</v>
      </c>
      <c r="E622" s="12" t="s">
        <v>133</v>
      </c>
      <c r="F622" s="12" t="s">
        <v>947</v>
      </c>
      <c r="G622" s="12" t="s">
        <v>80</v>
      </c>
      <c r="H622" s="15">
        <v>44768.0</v>
      </c>
      <c r="I622" s="17">
        <v>28.0</v>
      </c>
      <c r="J622" s="12" t="s">
        <v>40</v>
      </c>
      <c r="K622" s="12" t="s">
        <v>81</v>
      </c>
      <c r="L622" s="12" t="s">
        <v>1202</v>
      </c>
      <c r="M622" s="17">
        <v>0.0</v>
      </c>
      <c r="N622" s="17">
        <v>1.0</v>
      </c>
      <c r="O622" s="17">
        <v>20.9</v>
      </c>
      <c r="P622" s="17">
        <v>4.2</v>
      </c>
      <c r="Q622" s="15">
        <v>45089.0</v>
      </c>
      <c r="R622" s="12"/>
      <c r="S622" s="12" t="s">
        <v>230</v>
      </c>
      <c r="T622" s="12" t="s">
        <v>66</v>
      </c>
      <c r="U622" s="17">
        <f t="shared" si="1"/>
        <v>1</v>
      </c>
    </row>
    <row r="623">
      <c r="A623" s="12" t="s">
        <v>1203</v>
      </c>
      <c r="B623" s="12" t="s">
        <v>250</v>
      </c>
      <c r="C623" s="17">
        <v>56.0</v>
      </c>
      <c r="D623" s="12" t="s">
        <v>69</v>
      </c>
      <c r="E623" s="12" t="s">
        <v>177</v>
      </c>
      <c r="F623" s="12" t="s">
        <v>62</v>
      </c>
      <c r="G623" s="12" t="s">
        <v>93</v>
      </c>
      <c r="H623" s="15">
        <v>45302.0</v>
      </c>
      <c r="I623" s="17">
        <v>48.0</v>
      </c>
      <c r="J623" s="12" t="s">
        <v>53</v>
      </c>
      <c r="K623" s="12" t="s">
        <v>42</v>
      </c>
      <c r="L623" s="17">
        <v>769.0</v>
      </c>
      <c r="M623" s="17">
        <v>1.0</v>
      </c>
      <c r="N623" s="17">
        <v>1.0</v>
      </c>
      <c r="O623" s="17">
        <v>26.5</v>
      </c>
      <c r="P623" s="17">
        <v>5.0</v>
      </c>
      <c r="Q623" s="15">
        <v>45799.0</v>
      </c>
      <c r="R623" s="12" t="s">
        <v>1204</v>
      </c>
      <c r="S623" s="12" t="s">
        <v>45</v>
      </c>
      <c r="T623" s="12" t="s">
        <v>104</v>
      </c>
      <c r="U623" s="17">
        <f t="shared" si="1"/>
        <v>2</v>
      </c>
    </row>
    <row r="624">
      <c r="A624" s="12" t="s">
        <v>1205</v>
      </c>
      <c r="B624" s="12" t="s">
        <v>448</v>
      </c>
      <c r="C624" s="17">
        <v>38.0</v>
      </c>
      <c r="D624" s="12" t="s">
        <v>35</v>
      </c>
      <c r="E624" s="12" t="s">
        <v>36</v>
      </c>
      <c r="F624" s="12" t="s">
        <v>37</v>
      </c>
      <c r="G624" s="12" t="s">
        <v>52</v>
      </c>
      <c r="H624" s="15">
        <v>44952.0</v>
      </c>
      <c r="I624" s="17">
        <v>13.0</v>
      </c>
      <c r="J624" s="12" t="s">
        <v>64</v>
      </c>
      <c r="K624" s="12" t="s">
        <v>65</v>
      </c>
      <c r="L624" s="17">
        <v>1075.0</v>
      </c>
      <c r="M624" s="17">
        <v>1.0</v>
      </c>
      <c r="N624" s="17">
        <v>2.0</v>
      </c>
      <c r="O624" s="17">
        <v>23.8</v>
      </c>
      <c r="P624" s="17">
        <v>4.9</v>
      </c>
      <c r="Q624" s="15">
        <v>45241.0</v>
      </c>
      <c r="R624" s="12"/>
      <c r="S624" s="12" t="s">
        <v>55</v>
      </c>
      <c r="T624" s="12" t="s">
        <v>47</v>
      </c>
      <c r="U624" s="17">
        <f t="shared" si="1"/>
        <v>1</v>
      </c>
    </row>
    <row r="625">
      <c r="A625" s="12" t="s">
        <v>1206</v>
      </c>
      <c r="B625" s="12" t="s">
        <v>229</v>
      </c>
      <c r="C625" s="12" t="s">
        <v>1207</v>
      </c>
      <c r="D625" s="12" t="s">
        <v>69</v>
      </c>
      <c r="E625" s="12" t="s">
        <v>70</v>
      </c>
      <c r="F625" s="12" t="s">
        <v>62</v>
      </c>
      <c r="G625" s="12" t="s">
        <v>120</v>
      </c>
      <c r="H625" s="15">
        <v>45689.0</v>
      </c>
      <c r="I625" s="17">
        <v>46.0</v>
      </c>
      <c r="J625" s="12" t="s">
        <v>64</v>
      </c>
      <c r="K625" s="12" t="s">
        <v>42</v>
      </c>
      <c r="L625" s="17">
        <v>887.0</v>
      </c>
      <c r="M625" s="17">
        <v>3.0</v>
      </c>
      <c r="N625" s="17">
        <v>1.0</v>
      </c>
      <c r="O625" s="17">
        <v>7.1</v>
      </c>
      <c r="P625" s="17">
        <v>2.6</v>
      </c>
      <c r="Q625" s="15">
        <v>46410.0</v>
      </c>
      <c r="R625" s="12"/>
      <c r="S625" s="12" t="s">
        <v>55</v>
      </c>
      <c r="T625" s="12" t="s">
        <v>75</v>
      </c>
      <c r="U625" s="17">
        <f t="shared" si="1"/>
        <v>1</v>
      </c>
    </row>
    <row r="626">
      <c r="A626" s="12" t="s">
        <v>844</v>
      </c>
      <c r="B626" s="12" t="s">
        <v>239</v>
      </c>
      <c r="C626" s="17">
        <v>63.0</v>
      </c>
      <c r="D626" s="12" t="s">
        <v>85</v>
      </c>
      <c r="E626" s="12" t="s">
        <v>87</v>
      </c>
      <c r="F626" s="12" t="s">
        <v>37</v>
      </c>
      <c r="G626" s="12" t="s">
        <v>80</v>
      </c>
      <c r="H626" s="15">
        <v>44606.0</v>
      </c>
      <c r="I626" s="17">
        <v>11.0</v>
      </c>
      <c r="J626" s="12" t="s">
        <v>40</v>
      </c>
      <c r="K626" s="12" t="s">
        <v>81</v>
      </c>
      <c r="L626" s="17">
        <v>1131.0</v>
      </c>
      <c r="M626" s="17">
        <v>2.0</v>
      </c>
      <c r="N626" s="17">
        <v>1.0</v>
      </c>
      <c r="O626" s="17">
        <v>29.7</v>
      </c>
      <c r="P626" s="17">
        <v>3.2</v>
      </c>
      <c r="Q626" s="15">
        <v>44639.0</v>
      </c>
      <c r="R626" s="12"/>
      <c r="S626" s="12" t="s">
        <v>55</v>
      </c>
      <c r="T626" s="12" t="s">
        <v>75</v>
      </c>
      <c r="U626" s="17">
        <f t="shared" si="1"/>
        <v>4</v>
      </c>
    </row>
    <row r="627">
      <c r="A627" s="12" t="s">
        <v>990</v>
      </c>
      <c r="B627" s="12" t="s">
        <v>126</v>
      </c>
      <c r="C627" s="17">
        <v>55.0</v>
      </c>
      <c r="D627" s="12" t="s">
        <v>35</v>
      </c>
      <c r="E627" s="12" t="s">
        <v>51</v>
      </c>
      <c r="F627" s="12" t="s">
        <v>62</v>
      </c>
      <c r="G627" s="12" t="s">
        <v>80</v>
      </c>
      <c r="H627" s="15">
        <v>45348.0</v>
      </c>
      <c r="I627" s="17">
        <v>36.0</v>
      </c>
      <c r="J627" s="12" t="s">
        <v>40</v>
      </c>
      <c r="K627" s="12" t="s">
        <v>81</v>
      </c>
      <c r="L627" s="17">
        <v>704.0</v>
      </c>
      <c r="M627" s="17">
        <v>2.0</v>
      </c>
      <c r="N627" s="17">
        <v>2.0</v>
      </c>
      <c r="O627" s="17">
        <v>22.0</v>
      </c>
      <c r="P627" s="17">
        <v>4.7</v>
      </c>
      <c r="Q627" s="15">
        <v>45781.0</v>
      </c>
      <c r="R627" s="12" t="s">
        <v>1043</v>
      </c>
      <c r="S627" s="12" t="s">
        <v>45</v>
      </c>
      <c r="T627" s="12" t="s">
        <v>104</v>
      </c>
      <c r="U627" s="17">
        <f t="shared" si="1"/>
        <v>3</v>
      </c>
    </row>
    <row r="628">
      <c r="A628" s="12" t="s">
        <v>1208</v>
      </c>
      <c r="B628" s="12" t="s">
        <v>395</v>
      </c>
      <c r="C628" s="17">
        <v>37.0</v>
      </c>
      <c r="D628" s="12" t="s">
        <v>85</v>
      </c>
      <c r="E628" s="12" t="s">
        <v>92</v>
      </c>
      <c r="F628" s="12" t="s">
        <v>62</v>
      </c>
      <c r="G628" s="12" t="s">
        <v>39</v>
      </c>
      <c r="H628" s="15">
        <v>45168.0</v>
      </c>
      <c r="I628" s="17">
        <v>46.0</v>
      </c>
      <c r="J628" s="12" t="s">
        <v>40</v>
      </c>
      <c r="K628" s="12" t="s">
        <v>81</v>
      </c>
      <c r="L628" s="17">
        <v>559.0</v>
      </c>
      <c r="M628" s="17">
        <v>1.0</v>
      </c>
      <c r="N628" s="17">
        <v>0.0</v>
      </c>
      <c r="O628" s="17">
        <v>24.3</v>
      </c>
      <c r="P628" s="17">
        <v>3.6</v>
      </c>
      <c r="Q628" s="15">
        <v>45271.0</v>
      </c>
      <c r="R628" s="12"/>
      <c r="S628" s="12" t="s">
        <v>55</v>
      </c>
      <c r="T628" s="12" t="s">
        <v>47</v>
      </c>
      <c r="U628" s="17">
        <f t="shared" si="1"/>
        <v>2</v>
      </c>
    </row>
    <row r="629">
      <c r="A629" s="12" t="s">
        <v>1209</v>
      </c>
      <c r="B629" s="12" t="s">
        <v>281</v>
      </c>
      <c r="C629" s="17">
        <v>39.0</v>
      </c>
      <c r="D629" s="12" t="s">
        <v>69</v>
      </c>
      <c r="E629" s="12" t="s">
        <v>177</v>
      </c>
      <c r="F629" s="12" t="s">
        <v>79</v>
      </c>
      <c r="G629" s="12" t="s">
        <v>63</v>
      </c>
      <c r="H629" s="15">
        <v>45877.0</v>
      </c>
      <c r="I629" s="17">
        <v>16.0</v>
      </c>
      <c r="J629" s="12" t="s">
        <v>40</v>
      </c>
      <c r="K629" s="12" t="s">
        <v>81</v>
      </c>
      <c r="L629" s="17">
        <v>2236.0</v>
      </c>
      <c r="M629" s="17">
        <v>0.0</v>
      </c>
      <c r="N629" s="17">
        <v>3.0</v>
      </c>
      <c r="O629" s="17">
        <v>26.7</v>
      </c>
      <c r="P629" s="17">
        <v>3.3</v>
      </c>
      <c r="Q629" s="15">
        <v>45887.0</v>
      </c>
      <c r="R629" s="12" t="s">
        <v>1210</v>
      </c>
      <c r="S629" s="12" t="s">
        <v>45</v>
      </c>
      <c r="T629" s="12" t="s">
        <v>66</v>
      </c>
      <c r="U629" s="17">
        <f t="shared" si="1"/>
        <v>3</v>
      </c>
    </row>
    <row r="630">
      <c r="A630" s="12" t="s">
        <v>1211</v>
      </c>
      <c r="B630" s="12" t="s">
        <v>322</v>
      </c>
      <c r="C630" s="17">
        <v>20.0</v>
      </c>
      <c r="D630" s="12" t="s">
        <v>69</v>
      </c>
      <c r="E630" s="12" t="s">
        <v>119</v>
      </c>
      <c r="F630" s="12" t="s">
        <v>79</v>
      </c>
      <c r="G630" s="12" t="s">
        <v>210</v>
      </c>
      <c r="H630" s="15">
        <v>45226.0</v>
      </c>
      <c r="I630" s="17">
        <v>4.0</v>
      </c>
      <c r="J630" s="12" t="s">
        <v>64</v>
      </c>
      <c r="K630" s="12" t="s">
        <v>81</v>
      </c>
      <c r="L630" s="17">
        <v>2448.0</v>
      </c>
      <c r="M630" s="17">
        <v>1.0</v>
      </c>
      <c r="N630" s="17">
        <v>1.0</v>
      </c>
      <c r="O630" s="17">
        <v>40.6</v>
      </c>
      <c r="P630" s="17">
        <v>3.9</v>
      </c>
      <c r="Q630" s="15">
        <v>45307.0</v>
      </c>
      <c r="R630" s="12"/>
      <c r="S630" s="12" t="s">
        <v>55</v>
      </c>
      <c r="T630" s="12" t="s">
        <v>66</v>
      </c>
      <c r="U630" s="17">
        <f t="shared" si="1"/>
        <v>1</v>
      </c>
    </row>
    <row r="631">
      <c r="A631" s="12" t="s">
        <v>1212</v>
      </c>
      <c r="B631" s="12" t="s">
        <v>333</v>
      </c>
      <c r="C631" s="17">
        <v>28.0</v>
      </c>
      <c r="D631" s="12" t="s">
        <v>85</v>
      </c>
      <c r="E631" s="12" t="s">
        <v>92</v>
      </c>
      <c r="F631" s="12" t="s">
        <v>79</v>
      </c>
      <c r="G631" s="12" t="s">
        <v>52</v>
      </c>
      <c r="H631" s="15">
        <v>45799.0</v>
      </c>
      <c r="I631" s="17">
        <v>36.0</v>
      </c>
      <c r="J631" s="12" t="s">
        <v>53</v>
      </c>
      <c r="K631" s="12" t="s">
        <v>42</v>
      </c>
      <c r="L631" s="12" t="s">
        <v>1213</v>
      </c>
      <c r="M631" s="17">
        <v>1.0</v>
      </c>
      <c r="N631" s="17">
        <v>0.0</v>
      </c>
      <c r="O631" s="17">
        <v>49.4</v>
      </c>
      <c r="P631" s="17">
        <v>2.4</v>
      </c>
      <c r="Q631" s="15">
        <v>46359.0</v>
      </c>
      <c r="R631" s="12"/>
      <c r="S631" s="12" t="s">
        <v>55</v>
      </c>
      <c r="T631" s="12" t="s">
        <v>75</v>
      </c>
      <c r="U631" s="17">
        <f t="shared" si="1"/>
        <v>1</v>
      </c>
    </row>
    <row r="632">
      <c r="A632" s="12" t="s">
        <v>311</v>
      </c>
      <c r="B632" s="12" t="s">
        <v>152</v>
      </c>
      <c r="C632" s="17">
        <v>38.0</v>
      </c>
      <c r="D632" s="12" t="s">
        <v>69</v>
      </c>
      <c r="E632" s="12" t="s">
        <v>119</v>
      </c>
      <c r="F632" s="12" t="s">
        <v>62</v>
      </c>
      <c r="G632" s="12" t="s">
        <v>39</v>
      </c>
      <c r="H632" s="15">
        <v>45502.0</v>
      </c>
      <c r="I632" s="17">
        <v>12.0</v>
      </c>
      <c r="J632" s="12" t="s">
        <v>40</v>
      </c>
      <c r="K632" s="12" t="s">
        <v>42</v>
      </c>
      <c r="L632" s="17">
        <v>589.0</v>
      </c>
      <c r="M632" s="17">
        <v>2.0</v>
      </c>
      <c r="N632" s="17">
        <v>1.0</v>
      </c>
      <c r="O632" s="17">
        <v>17.1</v>
      </c>
      <c r="P632" s="17">
        <v>3.3</v>
      </c>
      <c r="Q632" s="15">
        <v>45763.0</v>
      </c>
      <c r="R632" s="12" t="s">
        <v>1214</v>
      </c>
      <c r="S632" s="12" t="s">
        <v>45</v>
      </c>
      <c r="T632" s="12" t="s">
        <v>75</v>
      </c>
      <c r="U632" s="17">
        <f t="shared" si="1"/>
        <v>3</v>
      </c>
    </row>
    <row r="633">
      <c r="A633" s="12" t="s">
        <v>1215</v>
      </c>
      <c r="B633" s="12" t="s">
        <v>651</v>
      </c>
      <c r="C633" s="17">
        <v>43.0</v>
      </c>
      <c r="D633" s="12" t="s">
        <v>69</v>
      </c>
      <c r="E633" s="12" t="s">
        <v>70</v>
      </c>
      <c r="F633" s="12" t="s">
        <v>62</v>
      </c>
      <c r="G633" s="12" t="s">
        <v>120</v>
      </c>
      <c r="H633" s="15">
        <v>45064.0</v>
      </c>
      <c r="I633" s="17">
        <v>30.0</v>
      </c>
      <c r="J633" s="12" t="s">
        <v>53</v>
      </c>
      <c r="K633" s="12" t="s">
        <v>42</v>
      </c>
      <c r="L633" s="12"/>
      <c r="M633" s="17">
        <v>3.0</v>
      </c>
      <c r="N633" s="17">
        <v>3.0</v>
      </c>
      <c r="O633" s="17">
        <v>20.2</v>
      </c>
      <c r="P633" s="17">
        <v>3.7</v>
      </c>
      <c r="Q633" s="15">
        <v>45613.0</v>
      </c>
      <c r="R633" s="12" t="s">
        <v>1216</v>
      </c>
      <c r="S633" s="12" t="s">
        <v>45</v>
      </c>
      <c r="T633" s="12" t="s">
        <v>104</v>
      </c>
      <c r="U633" s="17">
        <f t="shared" si="1"/>
        <v>2</v>
      </c>
    </row>
    <row r="634">
      <c r="A634" s="12" t="s">
        <v>1217</v>
      </c>
      <c r="B634" s="12" t="s">
        <v>167</v>
      </c>
      <c r="C634" s="17">
        <v>64.0</v>
      </c>
      <c r="D634" s="12" t="s">
        <v>35</v>
      </c>
      <c r="E634" s="12" t="s">
        <v>51</v>
      </c>
      <c r="F634" s="12" t="s">
        <v>62</v>
      </c>
      <c r="G634" s="12" t="s">
        <v>63</v>
      </c>
      <c r="H634" s="15">
        <v>45110.0</v>
      </c>
      <c r="I634" s="17">
        <v>10.0</v>
      </c>
      <c r="J634" s="12" t="s">
        <v>40</v>
      </c>
      <c r="K634" s="12" t="s">
        <v>42</v>
      </c>
      <c r="L634" s="17">
        <v>806.0</v>
      </c>
      <c r="M634" s="17">
        <v>0.0</v>
      </c>
      <c r="N634" s="17">
        <v>1.0</v>
      </c>
      <c r="O634" s="17">
        <v>10.2</v>
      </c>
      <c r="P634" s="17">
        <v>4.9</v>
      </c>
      <c r="Q634" s="15">
        <v>45124.0</v>
      </c>
      <c r="R634" s="12" t="s">
        <v>1218</v>
      </c>
      <c r="S634" s="12" t="s">
        <v>827</v>
      </c>
      <c r="T634" s="12" t="s">
        <v>47</v>
      </c>
      <c r="U634" s="17">
        <f t="shared" si="1"/>
        <v>1</v>
      </c>
    </row>
    <row r="635">
      <c r="A635" s="12" t="s">
        <v>660</v>
      </c>
      <c r="B635" s="12" t="s">
        <v>303</v>
      </c>
      <c r="C635" s="17">
        <v>21.0</v>
      </c>
      <c r="D635" s="12" t="s">
        <v>85</v>
      </c>
      <c r="E635" s="12" t="s">
        <v>111</v>
      </c>
      <c r="F635" s="12" t="s">
        <v>62</v>
      </c>
      <c r="G635" s="12" t="s">
        <v>120</v>
      </c>
      <c r="H635" s="15">
        <v>44878.0</v>
      </c>
      <c r="I635" s="17">
        <v>16.0</v>
      </c>
      <c r="J635" s="12" t="s">
        <v>40</v>
      </c>
      <c r="K635" s="12" t="s">
        <v>81</v>
      </c>
      <c r="L635" s="17">
        <v>853.0</v>
      </c>
      <c r="M635" s="17">
        <v>1.0</v>
      </c>
      <c r="N635" s="17">
        <v>0.0</v>
      </c>
      <c r="O635" s="17">
        <v>13.8</v>
      </c>
      <c r="P635" s="17">
        <v>4.6</v>
      </c>
      <c r="Q635" s="12"/>
      <c r="R635" s="12"/>
      <c r="S635" s="12" t="s">
        <v>55</v>
      </c>
      <c r="T635" s="12" t="s">
        <v>72</v>
      </c>
      <c r="U635" s="17">
        <f t="shared" si="1"/>
        <v>6</v>
      </c>
    </row>
    <row r="636">
      <c r="A636" s="12" t="s">
        <v>1219</v>
      </c>
      <c r="B636" s="12" t="s">
        <v>333</v>
      </c>
      <c r="C636" s="17">
        <v>62.0</v>
      </c>
      <c r="D636" s="12" t="s">
        <v>85</v>
      </c>
      <c r="E636" s="12" t="s">
        <v>111</v>
      </c>
      <c r="F636" s="12" t="s">
        <v>62</v>
      </c>
      <c r="G636" s="12" t="s">
        <v>39</v>
      </c>
      <c r="H636" s="15">
        <v>44611.0</v>
      </c>
      <c r="I636" s="17">
        <v>15.0</v>
      </c>
      <c r="J636" s="12" t="s">
        <v>64</v>
      </c>
      <c r="K636" s="12" t="s">
        <v>42</v>
      </c>
      <c r="L636" s="17">
        <v>574.0</v>
      </c>
      <c r="M636" s="17">
        <v>0.0</v>
      </c>
      <c r="N636" s="17">
        <v>0.0</v>
      </c>
      <c r="O636" s="17">
        <v>11.7</v>
      </c>
      <c r="P636" s="17">
        <v>3.0</v>
      </c>
      <c r="Q636" s="15">
        <v>44767.0</v>
      </c>
      <c r="R636" s="12"/>
      <c r="S636" s="12" t="s">
        <v>55</v>
      </c>
      <c r="T636" s="12" t="s">
        <v>75</v>
      </c>
      <c r="U636" s="17">
        <f t="shared" si="1"/>
        <v>1</v>
      </c>
    </row>
    <row r="637">
      <c r="A637" s="12" t="s">
        <v>1220</v>
      </c>
      <c r="B637" s="12" t="s">
        <v>126</v>
      </c>
      <c r="C637" s="17">
        <v>30.0</v>
      </c>
      <c r="D637" s="12" t="s">
        <v>35</v>
      </c>
      <c r="E637" s="12" t="s">
        <v>51</v>
      </c>
      <c r="F637" s="12" t="s">
        <v>62</v>
      </c>
      <c r="G637" s="12" t="s">
        <v>210</v>
      </c>
      <c r="H637" s="15">
        <v>45293.0</v>
      </c>
      <c r="I637" s="17">
        <v>5.0</v>
      </c>
      <c r="J637" s="12" t="s">
        <v>53</v>
      </c>
      <c r="K637" s="12" t="s">
        <v>81</v>
      </c>
      <c r="L637" s="17">
        <v>559.0</v>
      </c>
      <c r="M637" s="17">
        <v>3.0</v>
      </c>
      <c r="N637" s="17">
        <v>1.0</v>
      </c>
      <c r="O637" s="17">
        <v>3.8</v>
      </c>
      <c r="P637" s="17">
        <v>4.1</v>
      </c>
      <c r="Q637" s="15">
        <v>45324.0</v>
      </c>
      <c r="R637" s="12"/>
      <c r="S637" s="12" t="s">
        <v>55</v>
      </c>
      <c r="T637" s="12" t="s">
        <v>72</v>
      </c>
      <c r="U637" s="17">
        <f t="shared" si="1"/>
        <v>2</v>
      </c>
    </row>
    <row r="638">
      <c r="A638" s="12" t="s">
        <v>1221</v>
      </c>
      <c r="B638" s="12" t="s">
        <v>169</v>
      </c>
      <c r="C638" s="17">
        <v>61.0</v>
      </c>
      <c r="D638" s="12" t="s">
        <v>69</v>
      </c>
      <c r="E638" s="12" t="s">
        <v>119</v>
      </c>
      <c r="F638" s="12" t="s">
        <v>62</v>
      </c>
      <c r="G638" s="12" t="s">
        <v>52</v>
      </c>
      <c r="H638" s="15">
        <v>45969.0</v>
      </c>
      <c r="I638" s="17">
        <v>20.0</v>
      </c>
      <c r="J638" s="12" t="s">
        <v>53</v>
      </c>
      <c r="K638" s="12" t="s">
        <v>65</v>
      </c>
      <c r="L638" s="17">
        <v>645.0</v>
      </c>
      <c r="M638" s="17">
        <v>1.0</v>
      </c>
      <c r="N638" s="17">
        <v>0.0</v>
      </c>
      <c r="O638" s="17">
        <v>16.8</v>
      </c>
      <c r="P638" s="17">
        <v>3.4</v>
      </c>
      <c r="Q638" s="15">
        <v>46085.0</v>
      </c>
      <c r="R638" s="12"/>
      <c r="S638" s="12" t="s">
        <v>55</v>
      </c>
      <c r="T638" s="12" t="s">
        <v>104</v>
      </c>
      <c r="U638" s="17">
        <f t="shared" si="1"/>
        <v>1</v>
      </c>
    </row>
    <row r="639">
      <c r="A639" s="12" t="s">
        <v>1061</v>
      </c>
      <c r="B639" s="12" t="s">
        <v>78</v>
      </c>
      <c r="C639" s="17">
        <v>24.0</v>
      </c>
      <c r="D639" s="12" t="s">
        <v>69</v>
      </c>
      <c r="E639" s="12" t="s">
        <v>187</v>
      </c>
      <c r="F639" s="12" t="s">
        <v>62</v>
      </c>
      <c r="G639" s="12" t="s">
        <v>120</v>
      </c>
      <c r="H639" s="15">
        <v>45476.0</v>
      </c>
      <c r="I639" s="17">
        <v>47.0</v>
      </c>
      <c r="J639" s="12" t="s">
        <v>53</v>
      </c>
      <c r="K639" s="12" t="s">
        <v>42</v>
      </c>
      <c r="L639" s="17">
        <v>743.0</v>
      </c>
      <c r="M639" s="17">
        <v>1.0</v>
      </c>
      <c r="N639" s="17">
        <v>0.0</v>
      </c>
      <c r="O639" s="17">
        <v>14.9</v>
      </c>
      <c r="P639" s="17">
        <v>4.0</v>
      </c>
      <c r="Q639" s="15">
        <v>46669.0</v>
      </c>
      <c r="R639" s="12" t="s">
        <v>661</v>
      </c>
      <c r="S639" s="12" t="s">
        <v>45</v>
      </c>
      <c r="T639" s="12" t="s">
        <v>47</v>
      </c>
      <c r="U639" s="17">
        <f t="shared" si="1"/>
        <v>2</v>
      </c>
    </row>
    <row r="640">
      <c r="A640" s="12" t="s">
        <v>590</v>
      </c>
      <c r="B640" s="12" t="s">
        <v>333</v>
      </c>
      <c r="C640" s="17">
        <v>45.0</v>
      </c>
      <c r="D640" s="12" t="s">
        <v>309</v>
      </c>
      <c r="E640" s="12" t="s">
        <v>92</v>
      </c>
      <c r="F640" s="12" t="s">
        <v>62</v>
      </c>
      <c r="G640" s="12" t="s">
        <v>120</v>
      </c>
      <c r="H640" s="15">
        <v>45547.0</v>
      </c>
      <c r="I640" s="17">
        <v>45.0</v>
      </c>
      <c r="J640" s="12" t="s">
        <v>64</v>
      </c>
      <c r="K640" s="12" t="s">
        <v>65</v>
      </c>
      <c r="L640" s="17">
        <v>807.0</v>
      </c>
      <c r="M640" s="17">
        <v>0.0</v>
      </c>
      <c r="N640" s="17">
        <v>1.0</v>
      </c>
      <c r="O640" s="17">
        <v>19.4</v>
      </c>
      <c r="P640" s="17">
        <v>4.9</v>
      </c>
      <c r="Q640" s="15">
        <v>45840.0</v>
      </c>
      <c r="R640" s="12" t="s">
        <v>1223</v>
      </c>
      <c r="S640" s="12" t="s">
        <v>45</v>
      </c>
      <c r="T640" s="12"/>
      <c r="U640" s="17">
        <f t="shared" si="1"/>
        <v>3</v>
      </c>
    </row>
    <row r="641">
      <c r="A641" s="12" t="s">
        <v>1224</v>
      </c>
      <c r="B641" s="12" t="s">
        <v>636</v>
      </c>
      <c r="C641" s="17">
        <v>19.0</v>
      </c>
      <c r="D641" s="12" t="s">
        <v>85</v>
      </c>
      <c r="E641" s="12" t="s">
        <v>111</v>
      </c>
      <c r="F641" s="12" t="s">
        <v>62</v>
      </c>
      <c r="G641" s="12" t="s">
        <v>80</v>
      </c>
      <c r="H641" s="15">
        <v>45425.0</v>
      </c>
      <c r="I641" s="17">
        <v>34.0</v>
      </c>
      <c r="J641" s="12" t="s">
        <v>40</v>
      </c>
      <c r="K641" s="12" t="s">
        <v>42</v>
      </c>
      <c r="L641" s="17">
        <v>854.0</v>
      </c>
      <c r="M641" s="17">
        <v>1.0</v>
      </c>
      <c r="N641" s="17">
        <v>3.0</v>
      </c>
      <c r="O641" s="17">
        <v>16.4</v>
      </c>
      <c r="P641" s="17">
        <v>3.9</v>
      </c>
      <c r="Q641" s="15">
        <v>45613.0</v>
      </c>
      <c r="R641" s="12"/>
      <c r="S641" s="12" t="s">
        <v>55</v>
      </c>
      <c r="T641" s="12" t="s">
        <v>72</v>
      </c>
      <c r="U641" s="17">
        <f t="shared" si="1"/>
        <v>3</v>
      </c>
    </row>
    <row r="642">
      <c r="A642" s="12" t="s">
        <v>925</v>
      </c>
      <c r="B642" s="12" t="s">
        <v>476</v>
      </c>
      <c r="C642" s="17">
        <v>34.0</v>
      </c>
      <c r="D642" s="12" t="s">
        <v>85</v>
      </c>
      <c r="E642" s="12" t="s">
        <v>111</v>
      </c>
      <c r="F642" s="12" t="s">
        <v>413</v>
      </c>
      <c r="G642" s="12" t="s">
        <v>63</v>
      </c>
      <c r="H642" s="15">
        <v>45277.0</v>
      </c>
      <c r="I642" s="17">
        <v>24.0</v>
      </c>
      <c r="J642" s="12" t="s">
        <v>40</v>
      </c>
      <c r="K642" s="12" t="s">
        <v>42</v>
      </c>
      <c r="L642" s="17">
        <v>2602.0</v>
      </c>
      <c r="M642" s="17">
        <v>1.0</v>
      </c>
      <c r="N642" s="17">
        <v>1.0</v>
      </c>
      <c r="O642" s="17">
        <v>32.9</v>
      </c>
      <c r="P642" s="17">
        <v>2.9</v>
      </c>
      <c r="Q642" s="15">
        <v>45758.0</v>
      </c>
      <c r="R642" s="12" t="s">
        <v>1225</v>
      </c>
      <c r="S642" s="12" t="s">
        <v>45</v>
      </c>
      <c r="T642" s="12" t="s">
        <v>104</v>
      </c>
      <c r="U642" s="17">
        <f t="shared" si="1"/>
        <v>3</v>
      </c>
    </row>
    <row r="643">
      <c r="A643" s="12" t="s">
        <v>455</v>
      </c>
      <c r="B643" s="12" t="s">
        <v>325</v>
      </c>
      <c r="C643" s="17">
        <v>49.0</v>
      </c>
      <c r="D643" s="12" t="s">
        <v>69</v>
      </c>
      <c r="E643" s="12" t="s">
        <v>70</v>
      </c>
      <c r="F643" s="12" t="s">
        <v>79</v>
      </c>
      <c r="G643" s="12" t="s">
        <v>52</v>
      </c>
      <c r="H643" s="15">
        <v>44855.0</v>
      </c>
      <c r="I643" s="17">
        <v>25.0</v>
      </c>
      <c r="J643" s="12" t="s">
        <v>64</v>
      </c>
      <c r="K643" s="12" t="s">
        <v>42</v>
      </c>
      <c r="L643" s="17">
        <v>2760.0</v>
      </c>
      <c r="M643" s="17">
        <v>1.0</v>
      </c>
      <c r="N643" s="17">
        <v>2.0</v>
      </c>
      <c r="O643" s="17">
        <v>41.9</v>
      </c>
      <c r="P643" s="17">
        <v>2.9</v>
      </c>
      <c r="Q643" s="15">
        <v>44920.0</v>
      </c>
      <c r="R643" s="12" t="s">
        <v>1226</v>
      </c>
      <c r="S643" s="12" t="s">
        <v>45</v>
      </c>
      <c r="T643" s="12" t="s">
        <v>104</v>
      </c>
      <c r="U643" s="17">
        <f t="shared" si="1"/>
        <v>5</v>
      </c>
    </row>
    <row r="644">
      <c r="A644" s="12" t="s">
        <v>1227</v>
      </c>
      <c r="B644" s="12" t="s">
        <v>322</v>
      </c>
      <c r="C644" s="17">
        <v>49.0</v>
      </c>
      <c r="D644" s="12" t="s">
        <v>60</v>
      </c>
      <c r="E644" s="12" t="s">
        <v>97</v>
      </c>
      <c r="F644" s="12" t="s">
        <v>62</v>
      </c>
      <c r="G644" s="12" t="s">
        <v>63</v>
      </c>
      <c r="H644" s="15">
        <v>44587.0</v>
      </c>
      <c r="I644" s="17">
        <v>37.0</v>
      </c>
      <c r="J644" s="12" t="s">
        <v>53</v>
      </c>
      <c r="K644" s="12" t="s">
        <v>81</v>
      </c>
      <c r="L644" s="17">
        <v>712.0</v>
      </c>
      <c r="M644" s="17">
        <v>1.0</v>
      </c>
      <c r="N644" s="17">
        <v>1.0</v>
      </c>
      <c r="O644" s="17">
        <v>10.0</v>
      </c>
      <c r="P644" s="17">
        <v>4.1</v>
      </c>
      <c r="Q644" s="15">
        <v>44970.0</v>
      </c>
      <c r="R644" s="12" t="s">
        <v>1228</v>
      </c>
      <c r="S644" s="12" t="s">
        <v>45</v>
      </c>
      <c r="T644" s="12" t="s">
        <v>72</v>
      </c>
      <c r="U644" s="17">
        <f t="shared" si="1"/>
        <v>2</v>
      </c>
    </row>
    <row r="645">
      <c r="A645" s="12" t="s">
        <v>365</v>
      </c>
      <c r="B645" s="12" t="s">
        <v>393</v>
      </c>
      <c r="C645" s="17">
        <v>62.0</v>
      </c>
      <c r="D645" s="12" t="s">
        <v>35</v>
      </c>
      <c r="E645" s="12" t="s">
        <v>161</v>
      </c>
      <c r="F645" s="12" t="s">
        <v>62</v>
      </c>
      <c r="G645" s="12" t="s">
        <v>63</v>
      </c>
      <c r="H645" s="15">
        <v>45877.0</v>
      </c>
      <c r="I645" s="17">
        <v>3.0</v>
      </c>
      <c r="J645" s="12" t="s">
        <v>53</v>
      </c>
      <c r="K645" s="12" t="s">
        <v>81</v>
      </c>
      <c r="L645" s="17">
        <v>587.0</v>
      </c>
      <c r="M645" s="17">
        <v>1.0</v>
      </c>
      <c r="N645" s="17">
        <v>1.0</v>
      </c>
      <c r="O645" s="17">
        <v>14.9</v>
      </c>
      <c r="P645" s="17">
        <v>3.6</v>
      </c>
      <c r="Q645" s="15">
        <v>45888.0</v>
      </c>
      <c r="R645" s="12"/>
      <c r="S645" s="12" t="s">
        <v>55</v>
      </c>
      <c r="T645" s="12" t="s">
        <v>72</v>
      </c>
      <c r="U645" s="17">
        <f t="shared" si="1"/>
        <v>2</v>
      </c>
    </row>
    <row r="646">
      <c r="A646" s="12" t="s">
        <v>667</v>
      </c>
      <c r="B646" s="12" t="s">
        <v>239</v>
      </c>
      <c r="C646" s="17">
        <v>33.0</v>
      </c>
      <c r="D646" s="12" t="s">
        <v>60</v>
      </c>
      <c r="E646" s="12" t="s">
        <v>97</v>
      </c>
      <c r="F646" s="12" t="s">
        <v>79</v>
      </c>
      <c r="G646" s="12" t="s">
        <v>39</v>
      </c>
      <c r="H646" s="15">
        <v>45118.0</v>
      </c>
      <c r="I646" s="17">
        <v>6.0</v>
      </c>
      <c r="J646" s="12" t="s">
        <v>53</v>
      </c>
      <c r="K646" s="12" t="s">
        <v>42</v>
      </c>
      <c r="L646" s="17">
        <v>563.0</v>
      </c>
      <c r="M646" s="17">
        <v>3.0</v>
      </c>
      <c r="N646" s="17">
        <v>1.0</v>
      </c>
      <c r="O646" s="17">
        <v>14.8</v>
      </c>
      <c r="P646" s="17">
        <v>3.9</v>
      </c>
      <c r="Q646" s="15">
        <v>45230.0</v>
      </c>
      <c r="R646" s="12"/>
      <c r="S646" s="12" t="s">
        <v>55</v>
      </c>
      <c r="T646" s="12" t="s">
        <v>66</v>
      </c>
      <c r="U646" s="17">
        <f t="shared" si="1"/>
        <v>4</v>
      </c>
    </row>
    <row r="647">
      <c r="A647" s="12" t="s">
        <v>428</v>
      </c>
      <c r="B647" s="12" t="s">
        <v>801</v>
      </c>
      <c r="C647" s="17">
        <v>36.0</v>
      </c>
      <c r="D647" s="12" t="s">
        <v>35</v>
      </c>
      <c r="E647" s="12" t="s">
        <v>140</v>
      </c>
      <c r="F647" s="12" t="s">
        <v>37</v>
      </c>
      <c r="G647" s="12" t="s">
        <v>52</v>
      </c>
      <c r="H647" s="15">
        <v>45876.0</v>
      </c>
      <c r="I647" s="17">
        <v>26.0</v>
      </c>
      <c r="J647" s="12" t="s">
        <v>40</v>
      </c>
      <c r="K647" s="12" t="s">
        <v>42</v>
      </c>
      <c r="L647" s="17">
        <v>1054.0</v>
      </c>
      <c r="M647" s="17">
        <v>0.0</v>
      </c>
      <c r="N647" s="17">
        <v>0.0</v>
      </c>
      <c r="O647" s="17">
        <v>37.5</v>
      </c>
      <c r="P647" s="17">
        <v>4.1</v>
      </c>
      <c r="Q647" s="15">
        <v>46266.0</v>
      </c>
      <c r="R647" s="12" t="s">
        <v>1229</v>
      </c>
      <c r="S647" s="12" t="s">
        <v>45</v>
      </c>
      <c r="T647" s="12" t="s">
        <v>104</v>
      </c>
      <c r="U647" s="17">
        <f t="shared" si="1"/>
        <v>2</v>
      </c>
    </row>
    <row r="648">
      <c r="A648" s="12" t="s">
        <v>1230</v>
      </c>
      <c r="B648" s="12" t="s">
        <v>362</v>
      </c>
      <c r="C648" s="17">
        <v>59.0</v>
      </c>
      <c r="D648" s="12" t="s">
        <v>60</v>
      </c>
      <c r="E648" s="12" t="s">
        <v>61</v>
      </c>
      <c r="F648" s="12" t="s">
        <v>62</v>
      </c>
      <c r="G648" s="12" t="s">
        <v>39</v>
      </c>
      <c r="H648" s="15">
        <v>45671.0</v>
      </c>
      <c r="I648" s="17">
        <v>7.0</v>
      </c>
      <c r="J648" s="12" t="s">
        <v>40</v>
      </c>
      <c r="K648" s="12" t="s">
        <v>42</v>
      </c>
      <c r="L648" s="17">
        <v>804.0</v>
      </c>
      <c r="M648" s="17">
        <v>1.0</v>
      </c>
      <c r="N648" s="17">
        <v>2.0</v>
      </c>
      <c r="O648" s="17">
        <v>26.3</v>
      </c>
      <c r="P648" s="17">
        <v>2.4</v>
      </c>
      <c r="Q648" s="15">
        <v>45760.0</v>
      </c>
      <c r="R648" s="12"/>
      <c r="S648" s="12" t="s">
        <v>55</v>
      </c>
      <c r="T648" s="12" t="s">
        <v>72</v>
      </c>
      <c r="U648" s="17">
        <f t="shared" si="1"/>
        <v>4</v>
      </c>
    </row>
    <row r="649">
      <c r="A649" s="12" t="s">
        <v>240</v>
      </c>
      <c r="B649" s="12" t="s">
        <v>395</v>
      </c>
      <c r="C649" s="17">
        <v>39.0</v>
      </c>
      <c r="D649" s="12" t="s">
        <v>35</v>
      </c>
      <c r="E649" s="12" t="s">
        <v>140</v>
      </c>
      <c r="F649" s="12" t="s">
        <v>62</v>
      </c>
      <c r="G649" s="12" t="s">
        <v>210</v>
      </c>
      <c r="H649" s="15">
        <v>44752.0</v>
      </c>
      <c r="I649" s="17">
        <v>20.0</v>
      </c>
      <c r="J649" s="12" t="s">
        <v>53</v>
      </c>
      <c r="K649" s="12" t="s">
        <v>81</v>
      </c>
      <c r="L649" s="17">
        <v>681.0</v>
      </c>
      <c r="M649" s="17">
        <v>1.0</v>
      </c>
      <c r="N649" s="17">
        <v>2.0</v>
      </c>
      <c r="O649" s="17">
        <v>15.8</v>
      </c>
      <c r="P649" s="17">
        <v>3.4</v>
      </c>
      <c r="Q649" s="15">
        <v>45169.0</v>
      </c>
      <c r="R649" s="12"/>
      <c r="S649" s="12" t="s">
        <v>55</v>
      </c>
      <c r="T649" s="12" t="s">
        <v>72</v>
      </c>
      <c r="U649" s="17">
        <f t="shared" si="1"/>
        <v>3</v>
      </c>
    </row>
    <row r="650">
      <c r="A650" s="12" t="s">
        <v>1232</v>
      </c>
      <c r="B650" s="12" t="s">
        <v>118</v>
      </c>
      <c r="C650" s="17">
        <v>56.0</v>
      </c>
      <c r="D650" s="12" t="s">
        <v>35</v>
      </c>
      <c r="E650" s="12" t="s">
        <v>161</v>
      </c>
      <c r="F650" s="12" t="s">
        <v>62</v>
      </c>
      <c r="G650" s="12" t="s">
        <v>52</v>
      </c>
      <c r="H650" s="15">
        <v>45593.0</v>
      </c>
      <c r="I650" s="17">
        <v>7.0</v>
      </c>
      <c r="J650" s="12" t="s">
        <v>40</v>
      </c>
      <c r="K650" s="12" t="s">
        <v>65</v>
      </c>
      <c r="L650" s="17">
        <v>895.0</v>
      </c>
      <c r="M650" s="17">
        <v>1.0</v>
      </c>
      <c r="N650" s="17">
        <v>1.0</v>
      </c>
      <c r="O650" s="17">
        <v>26.7</v>
      </c>
      <c r="P650" s="17">
        <v>3.3</v>
      </c>
      <c r="Q650" s="15">
        <v>45753.0</v>
      </c>
      <c r="R650" s="12"/>
      <c r="S650" s="12" t="s">
        <v>55</v>
      </c>
      <c r="T650" s="12" t="s">
        <v>47</v>
      </c>
      <c r="U650" s="17">
        <f t="shared" si="1"/>
        <v>3</v>
      </c>
    </row>
    <row r="651">
      <c r="A651" s="12" t="s">
        <v>841</v>
      </c>
      <c r="B651" s="12" t="s">
        <v>167</v>
      </c>
      <c r="C651" s="17">
        <v>47.0</v>
      </c>
      <c r="D651" s="12" t="s">
        <v>85</v>
      </c>
      <c r="E651" s="12" t="s">
        <v>292</v>
      </c>
      <c r="F651" s="12" t="s">
        <v>79</v>
      </c>
      <c r="G651" s="12" t="s">
        <v>63</v>
      </c>
      <c r="H651" s="15">
        <v>45036.0</v>
      </c>
      <c r="I651" s="17">
        <v>14.0</v>
      </c>
      <c r="J651" s="12" t="s">
        <v>40</v>
      </c>
      <c r="K651" s="12" t="s">
        <v>65</v>
      </c>
      <c r="L651" s="17">
        <v>3573.0</v>
      </c>
      <c r="M651" s="17">
        <v>0.0</v>
      </c>
      <c r="N651" s="17">
        <v>1.0</v>
      </c>
      <c r="O651" s="17">
        <v>48.4</v>
      </c>
      <c r="P651" s="17">
        <v>2.7</v>
      </c>
      <c r="Q651" s="15">
        <v>45413.0</v>
      </c>
      <c r="R651" s="12" t="s">
        <v>1233</v>
      </c>
      <c r="S651" s="12" t="s">
        <v>45</v>
      </c>
      <c r="T651" s="12" t="s">
        <v>72</v>
      </c>
      <c r="U651" s="17">
        <f t="shared" si="1"/>
        <v>3</v>
      </c>
    </row>
    <row r="652">
      <c r="A652" s="12" t="s">
        <v>1234</v>
      </c>
      <c r="B652" s="12" t="s">
        <v>351</v>
      </c>
      <c r="C652" s="17">
        <v>25.0</v>
      </c>
      <c r="D652" s="12" t="s">
        <v>85</v>
      </c>
      <c r="E652" s="12" t="s">
        <v>292</v>
      </c>
      <c r="F652" s="12" t="s">
        <v>79</v>
      </c>
      <c r="G652" s="12" t="s">
        <v>93</v>
      </c>
      <c r="H652" s="15">
        <v>45960.0</v>
      </c>
      <c r="I652" s="17">
        <v>25.0</v>
      </c>
      <c r="J652" s="12" t="s">
        <v>40</v>
      </c>
      <c r="K652" s="12" t="s">
        <v>42</v>
      </c>
      <c r="L652" s="17">
        <v>2152.0</v>
      </c>
      <c r="M652" s="17">
        <v>1.0</v>
      </c>
      <c r="N652" s="17">
        <v>0.0</v>
      </c>
      <c r="O652" s="17">
        <v>39.1</v>
      </c>
      <c r="P652" s="17">
        <v>3.2</v>
      </c>
      <c r="Q652" s="15">
        <v>46126.0</v>
      </c>
      <c r="R652" s="12"/>
      <c r="S652" s="12" t="s">
        <v>55</v>
      </c>
      <c r="T652" s="12" t="s">
        <v>72</v>
      </c>
      <c r="U652" s="17">
        <f t="shared" si="1"/>
        <v>1</v>
      </c>
    </row>
    <row r="653">
      <c r="A653" s="12" t="s">
        <v>1235</v>
      </c>
      <c r="B653" s="12" t="s">
        <v>325</v>
      </c>
      <c r="C653" s="17">
        <v>30.0</v>
      </c>
      <c r="D653" s="12" t="s">
        <v>35</v>
      </c>
      <c r="E653" s="12" t="s">
        <v>140</v>
      </c>
      <c r="F653" s="12" t="s">
        <v>62</v>
      </c>
      <c r="G653" s="12" t="s">
        <v>210</v>
      </c>
      <c r="H653" s="15">
        <v>44909.0</v>
      </c>
      <c r="I653" s="17">
        <v>19.0</v>
      </c>
      <c r="J653" s="12" t="s">
        <v>64</v>
      </c>
      <c r="K653" s="12" t="s">
        <v>65</v>
      </c>
      <c r="L653" s="17">
        <v>642.0</v>
      </c>
      <c r="M653" s="17">
        <v>0.0</v>
      </c>
      <c r="N653" s="17">
        <v>1.0</v>
      </c>
      <c r="O653" s="17">
        <v>14.4</v>
      </c>
      <c r="P653" s="17">
        <v>3.0</v>
      </c>
      <c r="Q653" s="15">
        <v>45280.0</v>
      </c>
      <c r="R653" s="12"/>
      <c r="S653" s="12" t="s">
        <v>55</v>
      </c>
      <c r="T653" s="12" t="s">
        <v>72</v>
      </c>
      <c r="U653" s="17">
        <f t="shared" si="1"/>
        <v>1</v>
      </c>
    </row>
    <row r="654">
      <c r="A654" s="12" t="s">
        <v>1236</v>
      </c>
      <c r="B654" s="12" t="s">
        <v>605</v>
      </c>
      <c r="C654" s="17">
        <v>47.0</v>
      </c>
      <c r="D654" s="12" t="s">
        <v>60</v>
      </c>
      <c r="E654" s="12" t="s">
        <v>133</v>
      </c>
      <c r="F654" s="12" t="s">
        <v>37</v>
      </c>
      <c r="G654" s="12" t="s">
        <v>39</v>
      </c>
      <c r="H654" s="15">
        <v>44815.0</v>
      </c>
      <c r="I654" s="17">
        <v>37.0</v>
      </c>
      <c r="J654" s="12" t="s">
        <v>53</v>
      </c>
      <c r="K654" s="12" t="s">
        <v>81</v>
      </c>
      <c r="L654" s="17">
        <v>1292.0</v>
      </c>
      <c r="M654" s="17">
        <v>2.0</v>
      </c>
      <c r="N654" s="17">
        <v>1.0</v>
      </c>
      <c r="O654" s="17">
        <v>19.5</v>
      </c>
      <c r="P654" s="17">
        <v>3.7</v>
      </c>
      <c r="Q654" s="15">
        <v>45662.0</v>
      </c>
      <c r="R654" s="12"/>
      <c r="S654" s="12" t="s">
        <v>55</v>
      </c>
      <c r="T654" s="12" t="s">
        <v>66</v>
      </c>
      <c r="U654" s="17">
        <f t="shared" si="1"/>
        <v>3</v>
      </c>
    </row>
    <row r="655">
      <c r="A655" s="12" t="s">
        <v>775</v>
      </c>
      <c r="B655" s="12" t="s">
        <v>424</v>
      </c>
      <c r="C655" s="17">
        <v>28.0</v>
      </c>
      <c r="D655" s="12" t="s">
        <v>60</v>
      </c>
      <c r="E655" s="12" t="s">
        <v>61</v>
      </c>
      <c r="F655" s="12" t="s">
        <v>37</v>
      </c>
      <c r="G655" s="12" t="s">
        <v>80</v>
      </c>
      <c r="H655" s="15">
        <v>45483.0</v>
      </c>
      <c r="I655" s="17">
        <v>17.0</v>
      </c>
      <c r="J655" s="12" t="s">
        <v>40</v>
      </c>
      <c r="K655" s="12" t="s">
        <v>65</v>
      </c>
      <c r="L655" s="17">
        <v>1042.0</v>
      </c>
      <c r="M655" s="17">
        <v>3.0</v>
      </c>
      <c r="N655" s="17">
        <v>0.0</v>
      </c>
      <c r="O655" s="17">
        <v>30.6</v>
      </c>
      <c r="P655" s="17">
        <v>5.0</v>
      </c>
      <c r="Q655" s="15">
        <v>45551.0</v>
      </c>
      <c r="R655" s="12" t="s">
        <v>1237</v>
      </c>
      <c r="S655" s="12" t="s">
        <v>45</v>
      </c>
      <c r="T655" s="12" t="s">
        <v>75</v>
      </c>
      <c r="U655" s="17">
        <f t="shared" si="1"/>
        <v>2</v>
      </c>
    </row>
    <row r="656">
      <c r="A656" s="12" t="s">
        <v>1238</v>
      </c>
      <c r="B656" s="12" t="s">
        <v>235</v>
      </c>
      <c r="C656" s="17">
        <v>24.0</v>
      </c>
      <c r="D656" s="12" t="s">
        <v>85</v>
      </c>
      <c r="E656" s="12" t="s">
        <v>292</v>
      </c>
      <c r="F656" s="12" t="s">
        <v>62</v>
      </c>
      <c r="G656" s="12" t="s">
        <v>93</v>
      </c>
      <c r="H656" s="15">
        <v>45508.0</v>
      </c>
      <c r="I656" s="17">
        <v>43.0</v>
      </c>
      <c r="J656" s="12" t="s">
        <v>40</v>
      </c>
      <c r="K656" s="12" t="s">
        <v>81</v>
      </c>
      <c r="L656" s="17">
        <v>737.0</v>
      </c>
      <c r="M656" s="17">
        <v>2.0</v>
      </c>
      <c r="N656" s="17">
        <v>4.0</v>
      </c>
      <c r="O656" s="17">
        <v>16.0</v>
      </c>
      <c r="P656" s="17">
        <v>4.2</v>
      </c>
      <c r="Q656" s="15">
        <v>46613.0</v>
      </c>
      <c r="R656" s="12"/>
      <c r="S656" s="12" t="s">
        <v>55</v>
      </c>
      <c r="T656" s="12" t="s">
        <v>104</v>
      </c>
      <c r="U656" s="17">
        <f t="shared" si="1"/>
        <v>2</v>
      </c>
    </row>
    <row r="657">
      <c r="A657" s="12" t="s">
        <v>1132</v>
      </c>
      <c r="B657" s="12" t="s">
        <v>169</v>
      </c>
      <c r="C657" s="12"/>
      <c r="D657" s="12" t="s">
        <v>85</v>
      </c>
      <c r="E657" s="12" t="s">
        <v>111</v>
      </c>
      <c r="F657" s="12" t="s">
        <v>62</v>
      </c>
      <c r="G657" s="12" t="s">
        <v>63</v>
      </c>
      <c r="H657" s="15">
        <v>45211.0</v>
      </c>
      <c r="I657" s="17">
        <v>22.0</v>
      </c>
      <c r="J657" s="12" t="s">
        <v>64</v>
      </c>
      <c r="K657" s="12" t="s">
        <v>42</v>
      </c>
      <c r="L657" s="17">
        <v>747.0</v>
      </c>
      <c r="M657" s="17">
        <v>3.0</v>
      </c>
      <c r="N657" s="17">
        <v>0.0</v>
      </c>
      <c r="O657" s="17">
        <v>16.1</v>
      </c>
      <c r="P657" s="17">
        <v>2.2</v>
      </c>
      <c r="Q657" s="15">
        <v>45708.0</v>
      </c>
      <c r="R657" s="12" t="s">
        <v>1239</v>
      </c>
      <c r="S657" s="12" t="s">
        <v>45</v>
      </c>
      <c r="T657" s="12" t="s">
        <v>75</v>
      </c>
      <c r="U657" s="17">
        <f t="shared" si="1"/>
        <v>3</v>
      </c>
    </row>
    <row r="658">
      <c r="A658" s="12" t="s">
        <v>1240</v>
      </c>
      <c r="B658" s="12" t="s">
        <v>424</v>
      </c>
      <c r="C658" s="17">
        <v>67.0</v>
      </c>
      <c r="D658" s="12" t="s">
        <v>69</v>
      </c>
      <c r="E658" s="12" t="s">
        <v>177</v>
      </c>
      <c r="F658" s="12" t="s">
        <v>37</v>
      </c>
      <c r="G658" s="12" t="s">
        <v>80</v>
      </c>
      <c r="H658" s="15">
        <v>45340.0</v>
      </c>
      <c r="I658" s="17">
        <v>4.0</v>
      </c>
      <c r="J658" s="12" t="s">
        <v>64</v>
      </c>
      <c r="K658" s="12" t="s">
        <v>65</v>
      </c>
      <c r="L658" s="17">
        <v>1439.0</v>
      </c>
      <c r="M658" s="17">
        <v>3.0</v>
      </c>
      <c r="N658" s="17">
        <v>2.0</v>
      </c>
      <c r="O658" s="17">
        <v>27.5</v>
      </c>
      <c r="P658" s="17">
        <v>4.2</v>
      </c>
      <c r="Q658" s="15">
        <v>45404.0</v>
      </c>
      <c r="R658" s="12" t="s">
        <v>1241</v>
      </c>
      <c r="S658" s="12" t="s">
        <v>45</v>
      </c>
      <c r="T658" s="12" t="s">
        <v>72</v>
      </c>
      <c r="U658" s="17">
        <f t="shared" si="1"/>
        <v>3</v>
      </c>
    </row>
    <row r="659">
      <c r="A659" s="12" t="s">
        <v>1242</v>
      </c>
      <c r="B659" s="12" t="s">
        <v>395</v>
      </c>
      <c r="C659" s="17">
        <v>61.0</v>
      </c>
      <c r="D659" s="12" t="s">
        <v>69</v>
      </c>
      <c r="E659" s="12" t="s">
        <v>70</v>
      </c>
      <c r="F659" s="12" t="s">
        <v>62</v>
      </c>
      <c r="G659" s="12" t="s">
        <v>210</v>
      </c>
      <c r="H659" s="15">
        <v>45391.0</v>
      </c>
      <c r="I659" s="17">
        <v>6.0</v>
      </c>
      <c r="J659" s="12" t="s">
        <v>53</v>
      </c>
      <c r="K659" s="12" t="s">
        <v>42</v>
      </c>
      <c r="L659" s="17">
        <v>863.0</v>
      </c>
      <c r="M659" s="17">
        <v>4.0</v>
      </c>
      <c r="N659" s="17">
        <v>2.0</v>
      </c>
      <c r="O659" s="17">
        <v>27.2</v>
      </c>
      <c r="P659" s="17">
        <v>3.5</v>
      </c>
      <c r="Q659" s="15">
        <v>45508.0</v>
      </c>
      <c r="R659" s="12"/>
      <c r="S659" s="12" t="s">
        <v>55</v>
      </c>
      <c r="T659" s="12" t="s">
        <v>104</v>
      </c>
      <c r="U659" s="17">
        <f t="shared" si="1"/>
        <v>1</v>
      </c>
    </row>
    <row r="660">
      <c r="A660" s="12" t="s">
        <v>1243</v>
      </c>
      <c r="B660" s="12" t="s">
        <v>50</v>
      </c>
      <c r="C660" s="17">
        <v>41.0</v>
      </c>
      <c r="D660" s="12" t="s">
        <v>85</v>
      </c>
      <c r="E660" s="12" t="s">
        <v>92</v>
      </c>
      <c r="F660" s="12" t="s">
        <v>79</v>
      </c>
      <c r="G660" s="12" t="s">
        <v>210</v>
      </c>
      <c r="H660" s="15">
        <v>44898.0</v>
      </c>
      <c r="I660" s="17">
        <v>13.0</v>
      </c>
      <c r="J660" s="12" t="s">
        <v>64</v>
      </c>
      <c r="K660" s="12" t="s">
        <v>81</v>
      </c>
      <c r="L660" s="17">
        <v>2972.0</v>
      </c>
      <c r="M660" s="17">
        <v>3.0</v>
      </c>
      <c r="N660" s="17">
        <v>1.0</v>
      </c>
      <c r="O660" s="17">
        <v>37.0</v>
      </c>
      <c r="P660" s="17">
        <v>3.2</v>
      </c>
      <c r="Q660" s="15">
        <v>45182.0</v>
      </c>
      <c r="R660" s="12"/>
      <c r="S660" s="12" t="s">
        <v>55</v>
      </c>
      <c r="T660" s="12" t="s">
        <v>75</v>
      </c>
      <c r="U660" s="17">
        <f t="shared" si="1"/>
        <v>1</v>
      </c>
    </row>
    <row r="661">
      <c r="A661" s="12" t="s">
        <v>1244</v>
      </c>
      <c r="B661" s="12" t="s">
        <v>126</v>
      </c>
      <c r="C661" s="17">
        <v>48.0</v>
      </c>
      <c r="D661" s="12" t="s">
        <v>69</v>
      </c>
      <c r="E661" s="12" t="s">
        <v>70</v>
      </c>
      <c r="F661" s="12" t="s">
        <v>37</v>
      </c>
      <c r="G661" s="12" t="s">
        <v>80</v>
      </c>
      <c r="H661" s="15">
        <v>45824.0</v>
      </c>
      <c r="I661" s="17">
        <v>10.0</v>
      </c>
      <c r="J661" s="12" t="s">
        <v>40</v>
      </c>
      <c r="K661" s="12" t="s">
        <v>65</v>
      </c>
      <c r="L661" s="17">
        <v>1759.0</v>
      </c>
      <c r="M661" s="17">
        <v>1.0</v>
      </c>
      <c r="N661" s="17">
        <v>1.0</v>
      </c>
      <c r="O661" s="17">
        <v>30.4</v>
      </c>
      <c r="P661" s="17">
        <v>5.0</v>
      </c>
      <c r="Q661" s="15">
        <v>45996.0</v>
      </c>
      <c r="R661" s="12"/>
      <c r="S661" s="12" t="s">
        <v>55</v>
      </c>
      <c r="T661" s="12" t="s">
        <v>72</v>
      </c>
      <c r="U661" s="17">
        <f t="shared" si="1"/>
        <v>3</v>
      </c>
    </row>
    <row r="662">
      <c r="A662" s="12" t="s">
        <v>1245</v>
      </c>
      <c r="B662" s="12" t="s">
        <v>362</v>
      </c>
      <c r="C662" s="17">
        <v>45.0</v>
      </c>
      <c r="D662" s="12" t="s">
        <v>85</v>
      </c>
      <c r="E662" s="12" t="s">
        <v>92</v>
      </c>
      <c r="F662" s="12" t="s">
        <v>37</v>
      </c>
      <c r="G662" s="12" t="s">
        <v>63</v>
      </c>
      <c r="H662" s="15">
        <v>45484.0</v>
      </c>
      <c r="I662" s="17">
        <v>9.0</v>
      </c>
      <c r="J662" s="12" t="s">
        <v>64</v>
      </c>
      <c r="K662" s="12" t="s">
        <v>81</v>
      </c>
      <c r="L662" s="12" t="s">
        <v>1246</v>
      </c>
      <c r="M662" s="17">
        <v>3.0</v>
      </c>
      <c r="N662" s="17">
        <v>1.0</v>
      </c>
      <c r="O662" s="17">
        <v>20.9</v>
      </c>
      <c r="P662" s="17">
        <v>1.4</v>
      </c>
      <c r="Q662" s="15">
        <v>45512.0</v>
      </c>
      <c r="R662" s="12"/>
      <c r="S662" s="12" t="s">
        <v>55</v>
      </c>
      <c r="T662" s="12" t="s">
        <v>47</v>
      </c>
      <c r="U662" s="17">
        <f t="shared" si="1"/>
        <v>1</v>
      </c>
    </row>
    <row r="663">
      <c r="A663" s="12" t="s">
        <v>1247</v>
      </c>
      <c r="B663" s="12" t="s">
        <v>247</v>
      </c>
      <c r="C663" s="17">
        <v>15.0</v>
      </c>
      <c r="D663" s="12" t="s">
        <v>85</v>
      </c>
      <c r="E663" s="12" t="s">
        <v>111</v>
      </c>
      <c r="F663" s="12" t="s">
        <v>62</v>
      </c>
      <c r="G663" s="12" t="s">
        <v>39</v>
      </c>
      <c r="H663" s="15">
        <v>45953.0</v>
      </c>
      <c r="I663" s="17">
        <v>37.0</v>
      </c>
      <c r="J663" s="12" t="s">
        <v>53</v>
      </c>
      <c r="K663" s="12" t="s">
        <v>81</v>
      </c>
      <c r="L663" s="17">
        <v>688.0</v>
      </c>
      <c r="M663" s="17">
        <v>2.0</v>
      </c>
      <c r="N663" s="17">
        <v>2.0</v>
      </c>
      <c r="O663" s="17">
        <v>24.0</v>
      </c>
      <c r="P663" s="17">
        <v>2.6</v>
      </c>
      <c r="Q663" s="15">
        <v>46581.0</v>
      </c>
      <c r="R663" s="12" t="s">
        <v>1248</v>
      </c>
      <c r="S663" s="12" t="s">
        <v>45</v>
      </c>
      <c r="T663" s="12" t="s">
        <v>75</v>
      </c>
      <c r="U663" s="17">
        <f t="shared" si="1"/>
        <v>1</v>
      </c>
    </row>
    <row r="664">
      <c r="A664" s="12" t="s">
        <v>1249</v>
      </c>
      <c r="B664" s="12" t="s">
        <v>411</v>
      </c>
      <c r="C664" s="17">
        <v>30.0</v>
      </c>
      <c r="D664" s="12" t="s">
        <v>85</v>
      </c>
      <c r="E664" s="12" t="s">
        <v>92</v>
      </c>
      <c r="F664" s="12" t="s">
        <v>62</v>
      </c>
      <c r="G664" s="12" t="s">
        <v>647</v>
      </c>
      <c r="H664" s="15">
        <v>45434.0</v>
      </c>
      <c r="I664" s="17">
        <v>34.0</v>
      </c>
      <c r="J664" s="12" t="s">
        <v>64</v>
      </c>
      <c r="K664" s="12" t="s">
        <v>81</v>
      </c>
      <c r="L664" s="17">
        <v>670.0</v>
      </c>
      <c r="M664" s="17">
        <v>1.0</v>
      </c>
      <c r="N664" s="17">
        <v>1.0</v>
      </c>
      <c r="O664" s="17">
        <v>3.1</v>
      </c>
      <c r="P664" s="17">
        <v>4.5</v>
      </c>
      <c r="Q664" s="15">
        <v>45804.0</v>
      </c>
      <c r="R664" s="12" t="s">
        <v>1250</v>
      </c>
      <c r="S664" s="12" t="s">
        <v>45</v>
      </c>
      <c r="T664" s="12" t="s">
        <v>47</v>
      </c>
      <c r="U664" s="17">
        <f t="shared" si="1"/>
        <v>2</v>
      </c>
    </row>
    <row r="665">
      <c r="A665" s="12" t="s">
        <v>1251</v>
      </c>
      <c r="B665" s="12" t="s">
        <v>325</v>
      </c>
      <c r="C665" s="17">
        <v>24.0</v>
      </c>
      <c r="D665" s="12" t="s">
        <v>85</v>
      </c>
      <c r="E665" s="12" t="s">
        <v>87</v>
      </c>
      <c r="F665" s="12" t="s">
        <v>62</v>
      </c>
      <c r="G665" s="12" t="s">
        <v>52</v>
      </c>
      <c r="H665" s="15">
        <v>45972.0</v>
      </c>
      <c r="I665" s="17">
        <v>44.0</v>
      </c>
      <c r="J665" s="12" t="s">
        <v>64</v>
      </c>
      <c r="K665" s="12" t="s">
        <v>42</v>
      </c>
      <c r="L665" s="17">
        <v>644.0</v>
      </c>
      <c r="M665" s="17">
        <v>2.0</v>
      </c>
      <c r="N665" s="17">
        <v>1.0</v>
      </c>
      <c r="O665" s="17">
        <v>26.1</v>
      </c>
      <c r="P665" s="17">
        <v>3.2</v>
      </c>
      <c r="Q665" s="15">
        <v>46185.0</v>
      </c>
      <c r="R665" s="12"/>
      <c r="S665" s="12" t="s">
        <v>55</v>
      </c>
      <c r="T665" s="12" t="s">
        <v>66</v>
      </c>
      <c r="U665" s="17">
        <f t="shared" si="1"/>
        <v>2</v>
      </c>
    </row>
    <row r="666">
      <c r="A666" s="12" t="s">
        <v>1252</v>
      </c>
      <c r="B666" s="12" t="s">
        <v>139</v>
      </c>
      <c r="C666" s="17">
        <v>32.0</v>
      </c>
      <c r="D666" s="12" t="s">
        <v>35</v>
      </c>
      <c r="E666" s="12" t="s">
        <v>140</v>
      </c>
      <c r="F666" s="12" t="s">
        <v>37</v>
      </c>
      <c r="G666" s="12" t="s">
        <v>80</v>
      </c>
      <c r="H666" s="15">
        <v>45677.0</v>
      </c>
      <c r="I666" s="17">
        <v>7.0</v>
      </c>
      <c r="J666" s="12" t="s">
        <v>40</v>
      </c>
      <c r="K666" s="12" t="s">
        <v>65</v>
      </c>
      <c r="L666" s="17">
        <v>1594.0</v>
      </c>
      <c r="M666" s="17">
        <v>1.0</v>
      </c>
      <c r="N666" s="17">
        <v>0.0</v>
      </c>
      <c r="O666" s="17">
        <v>32.3</v>
      </c>
      <c r="P666" s="17">
        <v>4.1</v>
      </c>
      <c r="Q666" s="15">
        <v>45695.0</v>
      </c>
      <c r="R666" s="12"/>
      <c r="S666" s="12" t="s">
        <v>55</v>
      </c>
      <c r="T666" s="12" t="s">
        <v>66</v>
      </c>
      <c r="U666" s="17">
        <f t="shared" si="1"/>
        <v>2</v>
      </c>
    </row>
    <row r="667">
      <c r="A667" s="12" t="s">
        <v>540</v>
      </c>
      <c r="B667" s="12" t="s">
        <v>308</v>
      </c>
      <c r="C667" s="17">
        <v>42.0</v>
      </c>
      <c r="D667" s="12" t="s">
        <v>35</v>
      </c>
      <c r="E667" s="12" t="s">
        <v>51</v>
      </c>
      <c r="F667" s="12" t="s">
        <v>79</v>
      </c>
      <c r="G667" s="12" t="s">
        <v>63</v>
      </c>
      <c r="H667" s="15">
        <v>45280.0</v>
      </c>
      <c r="I667" s="17">
        <v>30.0</v>
      </c>
      <c r="J667" s="12" t="s">
        <v>40</v>
      </c>
      <c r="K667" s="12" t="s">
        <v>81</v>
      </c>
      <c r="L667" s="17">
        <v>3605.0</v>
      </c>
      <c r="M667" s="17">
        <v>1.0</v>
      </c>
      <c r="N667" s="17">
        <v>0.0</v>
      </c>
      <c r="O667" s="17">
        <v>40.5</v>
      </c>
      <c r="P667" s="17">
        <v>5.0</v>
      </c>
      <c r="Q667" s="15">
        <v>46048.0</v>
      </c>
      <c r="R667" s="12"/>
      <c r="S667" s="12" t="s">
        <v>55</v>
      </c>
      <c r="T667" s="12" t="s">
        <v>72</v>
      </c>
      <c r="U667" s="17">
        <f t="shared" si="1"/>
        <v>4</v>
      </c>
    </row>
    <row r="668">
      <c r="A668" s="12" t="s">
        <v>77</v>
      </c>
      <c r="B668" s="12" t="s">
        <v>405</v>
      </c>
      <c r="C668" s="17">
        <v>52.0</v>
      </c>
      <c r="D668" s="12" t="s">
        <v>60</v>
      </c>
      <c r="E668" s="12" t="s">
        <v>107</v>
      </c>
      <c r="F668" s="12" t="s">
        <v>37</v>
      </c>
      <c r="G668" s="12" t="s">
        <v>93</v>
      </c>
      <c r="H668" s="15">
        <v>45411.0</v>
      </c>
      <c r="I668" s="17">
        <v>44.0</v>
      </c>
      <c r="J668" s="12" t="s">
        <v>64</v>
      </c>
      <c r="K668" s="12" t="s">
        <v>81</v>
      </c>
      <c r="L668" s="17">
        <v>1032.0</v>
      </c>
      <c r="M668" s="17">
        <v>4.0</v>
      </c>
      <c r="N668" s="17">
        <v>2.0</v>
      </c>
      <c r="O668" s="17">
        <v>27.3</v>
      </c>
      <c r="P668" s="17">
        <v>3.5</v>
      </c>
      <c r="Q668" s="15">
        <v>45474.0</v>
      </c>
      <c r="R668" s="12"/>
      <c r="S668" s="12" t="s">
        <v>55</v>
      </c>
      <c r="T668" s="12" t="s">
        <v>72</v>
      </c>
      <c r="U668" s="17">
        <f t="shared" si="1"/>
        <v>6</v>
      </c>
    </row>
    <row r="669">
      <c r="A669" s="12" t="s">
        <v>431</v>
      </c>
      <c r="B669" s="12" t="s">
        <v>206</v>
      </c>
      <c r="C669" s="17">
        <v>44.0</v>
      </c>
      <c r="D669" s="12" t="s">
        <v>69</v>
      </c>
      <c r="E669" s="12" t="s">
        <v>119</v>
      </c>
      <c r="F669" s="12" t="s">
        <v>62</v>
      </c>
      <c r="G669" s="12" t="s">
        <v>120</v>
      </c>
      <c r="H669" s="15">
        <v>44956.0</v>
      </c>
      <c r="I669" s="17">
        <v>40.0</v>
      </c>
      <c r="J669" s="12" t="s">
        <v>53</v>
      </c>
      <c r="K669" s="12" t="s">
        <v>81</v>
      </c>
      <c r="L669" s="17">
        <v>525.0</v>
      </c>
      <c r="M669" s="17">
        <v>2.0</v>
      </c>
      <c r="N669" s="17">
        <v>1.0</v>
      </c>
      <c r="O669" s="17">
        <v>13.1</v>
      </c>
      <c r="P669" s="17">
        <v>6.0</v>
      </c>
      <c r="Q669" s="15">
        <v>45229.0</v>
      </c>
      <c r="R669" s="12"/>
      <c r="S669" s="12" t="s">
        <v>55</v>
      </c>
      <c r="T669" s="12" t="s">
        <v>47</v>
      </c>
      <c r="U669" s="17">
        <f t="shared" si="1"/>
        <v>4</v>
      </c>
    </row>
    <row r="670">
      <c r="A670" s="12" t="s">
        <v>1253</v>
      </c>
      <c r="B670" s="12" t="s">
        <v>78</v>
      </c>
      <c r="C670" s="17">
        <v>39.0</v>
      </c>
      <c r="D670" s="12" t="s">
        <v>69</v>
      </c>
      <c r="E670" s="12" t="s">
        <v>70</v>
      </c>
      <c r="F670" s="12" t="s">
        <v>37</v>
      </c>
      <c r="G670" s="12" t="s">
        <v>39</v>
      </c>
      <c r="H670" s="15">
        <v>45594.0</v>
      </c>
      <c r="I670" s="17">
        <v>8.0</v>
      </c>
      <c r="J670" s="12" t="s">
        <v>655</v>
      </c>
      <c r="K670" s="12" t="s">
        <v>42</v>
      </c>
      <c r="L670" s="17">
        <v>1779.0</v>
      </c>
      <c r="M670" s="17">
        <v>5.0</v>
      </c>
      <c r="N670" s="17">
        <v>2.0</v>
      </c>
      <c r="O670" s="17">
        <v>39.7</v>
      </c>
      <c r="P670" s="17">
        <v>2.4</v>
      </c>
      <c r="Q670" s="15">
        <v>45838.0</v>
      </c>
      <c r="R670" s="12"/>
      <c r="S670" s="12" t="s">
        <v>55</v>
      </c>
      <c r="T670" s="12" t="s">
        <v>104</v>
      </c>
      <c r="U670" s="17">
        <f t="shared" si="1"/>
        <v>1</v>
      </c>
    </row>
    <row r="671">
      <c r="A671" s="12" t="s">
        <v>1155</v>
      </c>
      <c r="B671" s="12" t="s">
        <v>126</v>
      </c>
      <c r="C671" s="17">
        <v>48.0</v>
      </c>
      <c r="D671" s="12" t="s">
        <v>85</v>
      </c>
      <c r="E671" s="12" t="s">
        <v>292</v>
      </c>
      <c r="F671" s="12" t="s">
        <v>37</v>
      </c>
      <c r="G671" s="12" t="s">
        <v>80</v>
      </c>
      <c r="H671" s="15">
        <v>44875.0</v>
      </c>
      <c r="I671" s="17">
        <v>2.0</v>
      </c>
      <c r="J671" s="12" t="s">
        <v>64</v>
      </c>
      <c r="K671" s="12" t="s">
        <v>81</v>
      </c>
      <c r="L671" s="17">
        <v>1079.0</v>
      </c>
      <c r="M671" s="17">
        <v>2.0</v>
      </c>
      <c r="N671" s="17">
        <v>1.0</v>
      </c>
      <c r="O671" s="17">
        <v>53.2</v>
      </c>
      <c r="P671" s="17">
        <v>2.7</v>
      </c>
      <c r="Q671" s="15">
        <v>44933.0</v>
      </c>
      <c r="R671" s="12"/>
      <c r="S671" s="12" t="s">
        <v>55</v>
      </c>
      <c r="T671" s="12" t="s">
        <v>72</v>
      </c>
      <c r="U671" s="17">
        <f t="shared" si="1"/>
        <v>3</v>
      </c>
    </row>
    <row r="672">
      <c r="A672" s="12" t="s">
        <v>1254</v>
      </c>
      <c r="B672" s="12" t="s">
        <v>398</v>
      </c>
      <c r="C672" s="17">
        <v>28.0</v>
      </c>
      <c r="D672" s="12" t="s">
        <v>69</v>
      </c>
      <c r="E672" s="12" t="s">
        <v>187</v>
      </c>
      <c r="F672" s="12" t="s">
        <v>413</v>
      </c>
      <c r="G672" s="12" t="s">
        <v>80</v>
      </c>
      <c r="H672" s="15">
        <v>45064.0</v>
      </c>
      <c r="I672" s="17">
        <v>47.0</v>
      </c>
      <c r="J672" s="12" t="s">
        <v>64</v>
      </c>
      <c r="K672" s="12" t="s">
        <v>42</v>
      </c>
      <c r="L672" s="17">
        <v>692.0</v>
      </c>
      <c r="M672" s="17">
        <v>2.0</v>
      </c>
      <c r="N672" s="17">
        <v>1.0</v>
      </c>
      <c r="O672" s="17">
        <v>17.0</v>
      </c>
      <c r="P672" s="17">
        <v>3.0</v>
      </c>
      <c r="Q672" s="15">
        <v>46424.0</v>
      </c>
      <c r="R672" s="12" t="s">
        <v>1255</v>
      </c>
      <c r="S672" s="12" t="s">
        <v>827</v>
      </c>
      <c r="T672" s="12" t="s">
        <v>66</v>
      </c>
      <c r="U672" s="17">
        <f t="shared" si="1"/>
        <v>4</v>
      </c>
    </row>
    <row r="673">
      <c r="A673" s="12" t="s">
        <v>1256</v>
      </c>
      <c r="B673" s="12" t="s">
        <v>312</v>
      </c>
      <c r="C673" s="17">
        <v>44.0</v>
      </c>
      <c r="D673" s="12" t="s">
        <v>35</v>
      </c>
      <c r="E673" s="12" t="s">
        <v>140</v>
      </c>
      <c r="F673" s="12" t="s">
        <v>79</v>
      </c>
      <c r="G673" s="12" t="s">
        <v>63</v>
      </c>
      <c r="H673" s="15">
        <v>44781.0</v>
      </c>
      <c r="I673" s="17">
        <v>10.0</v>
      </c>
      <c r="J673" s="12" t="s">
        <v>40</v>
      </c>
      <c r="K673" s="12" t="s">
        <v>65</v>
      </c>
      <c r="L673" s="17">
        <v>2157.0</v>
      </c>
      <c r="M673" s="17">
        <v>1.0</v>
      </c>
      <c r="N673" s="17">
        <v>1.0</v>
      </c>
      <c r="O673" s="17">
        <v>21.5</v>
      </c>
      <c r="P673" s="17">
        <v>3.7</v>
      </c>
      <c r="Q673" s="15">
        <v>45044.0</v>
      </c>
      <c r="R673" s="12"/>
      <c r="S673" s="12" t="s">
        <v>55</v>
      </c>
      <c r="T673" s="12" t="s">
        <v>104</v>
      </c>
      <c r="U673" s="17">
        <f t="shared" si="1"/>
        <v>2</v>
      </c>
    </row>
    <row r="674">
      <c r="A674" s="12" t="s">
        <v>1249</v>
      </c>
      <c r="B674" s="12" t="s">
        <v>106</v>
      </c>
      <c r="C674" s="17">
        <v>38.0</v>
      </c>
      <c r="D674" s="12" t="s">
        <v>35</v>
      </c>
      <c r="E674" s="12" t="s">
        <v>140</v>
      </c>
      <c r="F674" s="12" t="s">
        <v>79</v>
      </c>
      <c r="G674" s="12" t="s">
        <v>63</v>
      </c>
      <c r="H674" s="15">
        <v>44992.0</v>
      </c>
      <c r="I674" s="17">
        <v>44.0</v>
      </c>
      <c r="J674" s="12" t="s">
        <v>40</v>
      </c>
      <c r="K674" s="12" t="s">
        <v>42</v>
      </c>
      <c r="L674" s="17">
        <v>3859.0</v>
      </c>
      <c r="M674" s="17">
        <v>1.0</v>
      </c>
      <c r="N674" s="17">
        <v>2.0</v>
      </c>
      <c r="O674" s="17">
        <v>51.1</v>
      </c>
      <c r="P674" s="17">
        <v>4.0</v>
      </c>
      <c r="Q674" s="15">
        <v>45925.0</v>
      </c>
      <c r="R674" s="12"/>
      <c r="S674" s="12" t="s">
        <v>55</v>
      </c>
      <c r="T674" s="12" t="s">
        <v>66</v>
      </c>
      <c r="U674" s="17">
        <f t="shared" si="1"/>
        <v>2</v>
      </c>
    </row>
    <row r="675">
      <c r="A675" s="12" t="s">
        <v>689</v>
      </c>
      <c r="B675" s="12" t="s">
        <v>349</v>
      </c>
      <c r="C675" s="17">
        <v>57.0</v>
      </c>
      <c r="D675" s="12" t="s">
        <v>658</v>
      </c>
      <c r="E675" s="12" t="s">
        <v>36</v>
      </c>
      <c r="F675" s="12" t="s">
        <v>79</v>
      </c>
      <c r="G675" s="12" t="s">
        <v>210</v>
      </c>
      <c r="H675" s="15">
        <v>45553.0</v>
      </c>
      <c r="I675" s="17">
        <v>40.0</v>
      </c>
      <c r="J675" s="12" t="s">
        <v>40</v>
      </c>
      <c r="K675" s="12" t="s">
        <v>81</v>
      </c>
      <c r="L675" s="17">
        <v>3067.0</v>
      </c>
      <c r="M675" s="17">
        <v>1.0</v>
      </c>
      <c r="N675" s="17">
        <v>0.0</v>
      </c>
      <c r="O675" s="17">
        <v>37.2</v>
      </c>
      <c r="P675" s="17">
        <v>2.3</v>
      </c>
      <c r="Q675" s="15">
        <v>46084.0</v>
      </c>
      <c r="R675" s="12"/>
      <c r="S675" s="12" t="s">
        <v>55</v>
      </c>
      <c r="T675" s="12" t="s">
        <v>104</v>
      </c>
      <c r="U675" s="17">
        <f t="shared" si="1"/>
        <v>5</v>
      </c>
    </row>
    <row r="676">
      <c r="A676" s="12" t="s">
        <v>1257</v>
      </c>
      <c r="B676" s="12" t="s">
        <v>420</v>
      </c>
      <c r="C676" s="17">
        <v>49.0</v>
      </c>
      <c r="D676" s="12" t="s">
        <v>69</v>
      </c>
      <c r="E676" s="12" t="s">
        <v>187</v>
      </c>
      <c r="F676" s="12" t="s">
        <v>79</v>
      </c>
      <c r="G676" s="12" t="s">
        <v>63</v>
      </c>
      <c r="H676" s="15">
        <v>45006.0</v>
      </c>
      <c r="I676" s="17">
        <v>2.0</v>
      </c>
      <c r="J676" s="12" t="s">
        <v>40</v>
      </c>
      <c r="K676" s="12" t="s">
        <v>42</v>
      </c>
      <c r="L676" s="17">
        <v>3489.0</v>
      </c>
      <c r="M676" s="17">
        <v>1.0</v>
      </c>
      <c r="N676" s="17">
        <v>1.0</v>
      </c>
      <c r="O676" s="17">
        <v>34.1</v>
      </c>
      <c r="P676" s="17">
        <v>4.3</v>
      </c>
      <c r="Q676" s="15">
        <v>45032.0</v>
      </c>
      <c r="R676" s="12"/>
      <c r="S676" s="12" t="s">
        <v>55</v>
      </c>
      <c r="T676" s="12" t="s">
        <v>72</v>
      </c>
      <c r="U676" s="17">
        <f t="shared" si="1"/>
        <v>1</v>
      </c>
    </row>
    <row r="677">
      <c r="A677" s="12" t="s">
        <v>506</v>
      </c>
      <c r="B677" s="12" t="s">
        <v>139</v>
      </c>
      <c r="C677" s="17">
        <v>25.0</v>
      </c>
      <c r="D677" s="12" t="s">
        <v>60</v>
      </c>
      <c r="E677" s="12" t="s">
        <v>133</v>
      </c>
      <c r="F677" s="12" t="s">
        <v>37</v>
      </c>
      <c r="G677" s="12" t="s">
        <v>120</v>
      </c>
      <c r="H677" s="15">
        <v>45455.0</v>
      </c>
      <c r="I677" s="17">
        <v>33.0</v>
      </c>
      <c r="J677" s="12" t="s">
        <v>64</v>
      </c>
      <c r="K677" s="12" t="s">
        <v>81</v>
      </c>
      <c r="L677" s="17">
        <v>1255.0</v>
      </c>
      <c r="M677" s="17">
        <v>0.0</v>
      </c>
      <c r="N677" s="17">
        <v>0.0</v>
      </c>
      <c r="O677" s="17">
        <v>20.1</v>
      </c>
      <c r="P677" s="12"/>
      <c r="Q677" s="15">
        <v>45667.0</v>
      </c>
      <c r="R677" s="12" t="s">
        <v>1258</v>
      </c>
      <c r="S677" s="12" t="s">
        <v>45</v>
      </c>
      <c r="T677" s="12" t="s">
        <v>72</v>
      </c>
      <c r="U677" s="17">
        <f t="shared" si="1"/>
        <v>4</v>
      </c>
    </row>
    <row r="678">
      <c r="A678" s="12" t="s">
        <v>1259</v>
      </c>
      <c r="B678" s="12" t="s">
        <v>636</v>
      </c>
      <c r="C678" s="17">
        <v>42.0</v>
      </c>
      <c r="D678" s="12" t="s">
        <v>69</v>
      </c>
      <c r="E678" s="12" t="s">
        <v>119</v>
      </c>
      <c r="F678" s="12" t="s">
        <v>62</v>
      </c>
      <c r="G678" s="12" t="s">
        <v>120</v>
      </c>
      <c r="H678" s="15">
        <v>45429.0</v>
      </c>
      <c r="I678" s="17">
        <v>39.0</v>
      </c>
      <c r="J678" s="12" t="s">
        <v>64</v>
      </c>
      <c r="K678" s="12" t="s">
        <v>42</v>
      </c>
      <c r="L678" s="17">
        <v>662.0</v>
      </c>
      <c r="M678" s="17">
        <v>2.0</v>
      </c>
      <c r="N678" s="17">
        <v>0.0</v>
      </c>
      <c r="O678" s="17">
        <v>17.4</v>
      </c>
      <c r="P678" s="17">
        <v>3.2</v>
      </c>
      <c r="Q678" s="15">
        <v>46223.0</v>
      </c>
      <c r="R678" s="12" t="s">
        <v>1260</v>
      </c>
      <c r="S678" s="12" t="s">
        <v>45</v>
      </c>
      <c r="T678" s="12" t="s">
        <v>75</v>
      </c>
      <c r="U678" s="17">
        <f t="shared" si="1"/>
        <v>1</v>
      </c>
    </row>
    <row r="679">
      <c r="A679" s="12" t="s">
        <v>1261</v>
      </c>
      <c r="B679" s="12" t="s">
        <v>405</v>
      </c>
      <c r="C679" s="17">
        <v>46.0</v>
      </c>
      <c r="D679" s="12" t="s">
        <v>35</v>
      </c>
      <c r="E679" s="12" t="s">
        <v>161</v>
      </c>
      <c r="F679" s="12" t="s">
        <v>37</v>
      </c>
      <c r="G679" s="12" t="s">
        <v>571</v>
      </c>
      <c r="H679" s="15">
        <v>45798.0</v>
      </c>
      <c r="I679" s="17">
        <v>42.0</v>
      </c>
      <c r="J679" s="12" t="s">
        <v>40</v>
      </c>
      <c r="K679" s="12" t="s">
        <v>65</v>
      </c>
      <c r="L679" s="17">
        <v>1359.0</v>
      </c>
      <c r="M679" s="17">
        <v>2.0</v>
      </c>
      <c r="N679" s="17">
        <v>0.0</v>
      </c>
      <c r="O679" s="17">
        <v>45.4</v>
      </c>
      <c r="P679" s="17">
        <v>2.4</v>
      </c>
      <c r="Q679" s="15">
        <v>45869.0</v>
      </c>
      <c r="R679" s="12" t="s">
        <v>352</v>
      </c>
      <c r="S679" s="12" t="s">
        <v>45</v>
      </c>
      <c r="T679" s="12" t="s">
        <v>47</v>
      </c>
      <c r="U679" s="17">
        <f t="shared" si="1"/>
        <v>1</v>
      </c>
    </row>
    <row r="680">
      <c r="A680" s="12" t="s">
        <v>654</v>
      </c>
      <c r="B680" s="12" t="s">
        <v>316</v>
      </c>
      <c r="C680" s="17">
        <v>55.0</v>
      </c>
      <c r="D680" s="12" t="s">
        <v>69</v>
      </c>
      <c r="E680" s="12" t="s">
        <v>177</v>
      </c>
      <c r="F680" s="12" t="s">
        <v>413</v>
      </c>
      <c r="G680" s="12" t="s">
        <v>93</v>
      </c>
      <c r="H680" s="15">
        <v>45205.0</v>
      </c>
      <c r="I680" s="17">
        <v>8.0</v>
      </c>
      <c r="J680" s="12" t="s">
        <v>53</v>
      </c>
      <c r="K680" s="12" t="s">
        <v>42</v>
      </c>
      <c r="L680" s="17">
        <v>851.0</v>
      </c>
      <c r="M680" s="17">
        <v>6.0</v>
      </c>
      <c r="N680" s="17">
        <v>1.0</v>
      </c>
      <c r="O680" s="17">
        <v>11.8</v>
      </c>
      <c r="P680" s="17">
        <v>3.5</v>
      </c>
      <c r="Q680" s="15">
        <v>45299.0</v>
      </c>
      <c r="R680" s="12"/>
      <c r="S680" s="12" t="s">
        <v>55</v>
      </c>
      <c r="T680" s="12" t="s">
        <v>66</v>
      </c>
      <c r="U680" s="17">
        <f t="shared" si="1"/>
        <v>2</v>
      </c>
    </row>
    <row r="681">
      <c r="A681" s="12" t="s">
        <v>1262</v>
      </c>
      <c r="B681" s="12" t="s">
        <v>59</v>
      </c>
      <c r="C681" s="17">
        <v>62.0</v>
      </c>
      <c r="D681" s="12" t="s">
        <v>85</v>
      </c>
      <c r="E681" s="12" t="s">
        <v>92</v>
      </c>
      <c r="F681" s="12" t="s">
        <v>372</v>
      </c>
      <c r="G681" s="12" t="s">
        <v>80</v>
      </c>
      <c r="H681" s="15">
        <v>45007.0</v>
      </c>
      <c r="I681" s="17">
        <v>7.0</v>
      </c>
      <c r="J681" s="12" t="s">
        <v>53</v>
      </c>
      <c r="K681" s="12" t="s">
        <v>337</v>
      </c>
      <c r="L681" s="17">
        <v>1621.0</v>
      </c>
      <c r="M681" s="17">
        <v>1.0</v>
      </c>
      <c r="N681" s="17">
        <v>1.0</v>
      </c>
      <c r="O681" s="17">
        <v>41.0</v>
      </c>
      <c r="P681" s="17">
        <v>3.6</v>
      </c>
      <c r="Q681" s="15">
        <v>45223.0</v>
      </c>
      <c r="R681" s="12"/>
      <c r="S681" s="12" t="s">
        <v>55</v>
      </c>
      <c r="T681" s="12" t="s">
        <v>72</v>
      </c>
      <c r="U681" s="17">
        <f t="shared" si="1"/>
        <v>4</v>
      </c>
    </row>
    <row r="682">
      <c r="A682" s="12" t="s">
        <v>1151</v>
      </c>
      <c r="B682" s="12" t="s">
        <v>34</v>
      </c>
      <c r="C682" s="17">
        <v>34.0</v>
      </c>
      <c r="D682" s="12" t="s">
        <v>69</v>
      </c>
      <c r="E682" s="12" t="s">
        <v>70</v>
      </c>
      <c r="F682" s="12" t="s">
        <v>37</v>
      </c>
      <c r="G682" s="12" t="s">
        <v>120</v>
      </c>
      <c r="H682" s="15">
        <v>44657.0</v>
      </c>
      <c r="I682" s="17">
        <v>18.0</v>
      </c>
      <c r="J682" s="12" t="s">
        <v>64</v>
      </c>
      <c r="K682" s="12" t="s">
        <v>42</v>
      </c>
      <c r="L682" s="17">
        <v>1462.0</v>
      </c>
      <c r="M682" s="17">
        <v>2.0</v>
      </c>
      <c r="N682" s="17">
        <v>0.0</v>
      </c>
      <c r="O682" s="17">
        <v>35.0</v>
      </c>
      <c r="P682" s="17">
        <v>3.7</v>
      </c>
      <c r="Q682" s="15">
        <v>45001.0</v>
      </c>
      <c r="R682" s="12"/>
      <c r="S682" s="12" t="s">
        <v>55</v>
      </c>
      <c r="T682" s="12" t="s">
        <v>72</v>
      </c>
      <c r="U682" s="17">
        <f t="shared" si="1"/>
        <v>2</v>
      </c>
    </row>
    <row r="683">
      <c r="A683" s="12" t="s">
        <v>1263</v>
      </c>
      <c r="B683" s="12" t="s">
        <v>639</v>
      </c>
      <c r="C683" s="17">
        <v>25.0</v>
      </c>
      <c r="D683" s="12" t="s">
        <v>35</v>
      </c>
      <c r="E683" s="12" t="s">
        <v>140</v>
      </c>
      <c r="F683" s="12" t="s">
        <v>62</v>
      </c>
      <c r="G683" s="12" t="s">
        <v>93</v>
      </c>
      <c r="H683" s="15">
        <v>45386.0</v>
      </c>
      <c r="I683" s="17">
        <v>3.0</v>
      </c>
      <c r="J683" s="12" t="s">
        <v>53</v>
      </c>
      <c r="K683" s="12" t="s">
        <v>81</v>
      </c>
      <c r="L683" s="17">
        <v>769.0</v>
      </c>
      <c r="M683" s="17">
        <v>1.0</v>
      </c>
      <c r="N683" s="17">
        <v>0.0</v>
      </c>
      <c r="O683" s="17">
        <v>19.5</v>
      </c>
      <c r="P683" s="17">
        <v>4.7</v>
      </c>
      <c r="Q683" s="15">
        <v>45478.0</v>
      </c>
      <c r="R683" s="12" t="s">
        <v>1264</v>
      </c>
      <c r="S683" s="12" t="s">
        <v>45</v>
      </c>
      <c r="T683" s="12" t="s">
        <v>72</v>
      </c>
      <c r="U683" s="17">
        <f t="shared" si="1"/>
        <v>1</v>
      </c>
    </row>
    <row r="684">
      <c r="A684" s="12" t="s">
        <v>777</v>
      </c>
      <c r="B684" s="12" t="s">
        <v>235</v>
      </c>
      <c r="C684" s="17">
        <v>42.0</v>
      </c>
      <c r="D684" s="12" t="s">
        <v>60</v>
      </c>
      <c r="E684" s="12" t="s">
        <v>107</v>
      </c>
      <c r="F684" s="12" t="s">
        <v>62</v>
      </c>
      <c r="G684" s="12" t="s">
        <v>80</v>
      </c>
      <c r="H684" s="15">
        <v>45203.0</v>
      </c>
      <c r="I684" s="17">
        <v>32.0</v>
      </c>
      <c r="J684" s="12" t="s">
        <v>64</v>
      </c>
      <c r="K684" s="12" t="s">
        <v>42</v>
      </c>
      <c r="L684" s="17">
        <v>700.0</v>
      </c>
      <c r="M684" s="17">
        <v>1.0</v>
      </c>
      <c r="N684" s="17">
        <v>2.0</v>
      </c>
      <c r="O684" s="17">
        <v>17.2</v>
      </c>
      <c r="P684" s="17">
        <v>4.1</v>
      </c>
      <c r="Q684" s="15">
        <v>45678.0</v>
      </c>
      <c r="R684" s="12"/>
      <c r="S684" s="12" t="s">
        <v>55</v>
      </c>
      <c r="T684" s="12" t="s">
        <v>104</v>
      </c>
      <c r="U684" s="17">
        <f t="shared" si="1"/>
        <v>2</v>
      </c>
    </row>
    <row r="685">
      <c r="A685" s="12" t="s">
        <v>1265</v>
      </c>
      <c r="B685" s="12" t="s">
        <v>179</v>
      </c>
      <c r="C685" s="17">
        <v>63.0</v>
      </c>
      <c r="D685" s="12" t="s">
        <v>35</v>
      </c>
      <c r="E685" s="12" t="s">
        <v>36</v>
      </c>
      <c r="F685" s="12" t="s">
        <v>62</v>
      </c>
      <c r="G685" s="12" t="s">
        <v>210</v>
      </c>
      <c r="H685" s="15">
        <v>45970.0</v>
      </c>
      <c r="I685" s="17">
        <v>47.0</v>
      </c>
      <c r="J685" s="12" t="s">
        <v>40</v>
      </c>
      <c r="K685" s="12" t="s">
        <v>65</v>
      </c>
      <c r="L685" s="17">
        <v>586.0</v>
      </c>
      <c r="M685" s="17">
        <v>5.0</v>
      </c>
      <c r="N685" s="17">
        <v>0.0</v>
      </c>
      <c r="O685" s="17">
        <v>19.8</v>
      </c>
      <c r="P685" s="17">
        <v>2.8</v>
      </c>
      <c r="Q685" s="15">
        <v>46735.0</v>
      </c>
      <c r="R685" s="12"/>
      <c r="S685" s="12" t="s">
        <v>55</v>
      </c>
      <c r="T685" s="12" t="s">
        <v>104</v>
      </c>
      <c r="U685" s="17">
        <f t="shared" si="1"/>
        <v>2</v>
      </c>
    </row>
    <row r="686">
      <c r="A686" s="12" t="s">
        <v>1266</v>
      </c>
      <c r="B686" s="12" t="s">
        <v>351</v>
      </c>
      <c r="C686" s="17">
        <v>26.0</v>
      </c>
      <c r="D686" s="12" t="s">
        <v>35</v>
      </c>
      <c r="E686" s="12" t="s">
        <v>161</v>
      </c>
      <c r="F686" s="12" t="s">
        <v>62</v>
      </c>
      <c r="G686" s="12" t="s">
        <v>210</v>
      </c>
      <c r="H686" s="15">
        <v>45970.0</v>
      </c>
      <c r="I686" s="17">
        <v>40.0</v>
      </c>
      <c r="J686" s="12" t="s">
        <v>40</v>
      </c>
      <c r="K686" s="12" t="s">
        <v>65</v>
      </c>
      <c r="L686" s="17">
        <v>693.0</v>
      </c>
      <c r="M686" s="17">
        <v>4.0</v>
      </c>
      <c r="N686" s="17">
        <v>1.0</v>
      </c>
      <c r="O686" s="17">
        <v>10.1</v>
      </c>
      <c r="P686" s="17">
        <v>3.1</v>
      </c>
      <c r="Q686" s="15">
        <v>46328.0</v>
      </c>
      <c r="R686" s="12" t="s">
        <v>1267</v>
      </c>
      <c r="S686" s="12" t="s">
        <v>45</v>
      </c>
      <c r="T686" s="12" t="s">
        <v>47</v>
      </c>
      <c r="U686" s="17">
        <f t="shared" si="1"/>
        <v>1</v>
      </c>
    </row>
    <row r="687">
      <c r="A687" s="12" t="s">
        <v>530</v>
      </c>
      <c r="B687" s="12" t="s">
        <v>229</v>
      </c>
      <c r="C687" s="17">
        <v>33.0</v>
      </c>
      <c r="D687" s="12" t="s">
        <v>85</v>
      </c>
      <c r="E687" s="12" t="s">
        <v>87</v>
      </c>
      <c r="F687" s="12" t="s">
        <v>37</v>
      </c>
      <c r="G687" s="12" t="s">
        <v>80</v>
      </c>
      <c r="H687" s="15">
        <v>45642.0</v>
      </c>
      <c r="I687" s="17">
        <v>16.0</v>
      </c>
      <c r="J687" s="12" t="s">
        <v>40</v>
      </c>
      <c r="K687" s="12" t="s">
        <v>65</v>
      </c>
      <c r="L687" s="17">
        <v>1500.0</v>
      </c>
      <c r="M687" s="17">
        <v>0.0</v>
      </c>
      <c r="N687" s="17">
        <v>0.0</v>
      </c>
      <c r="O687" s="17">
        <v>32.5</v>
      </c>
      <c r="P687" s="17">
        <v>2.5</v>
      </c>
      <c r="Q687" s="15">
        <v>45795.0</v>
      </c>
      <c r="R687" s="12"/>
      <c r="S687" s="12" t="s">
        <v>55</v>
      </c>
      <c r="T687" s="12" t="s">
        <v>72</v>
      </c>
      <c r="U687" s="17">
        <f t="shared" si="1"/>
        <v>2</v>
      </c>
    </row>
    <row r="688">
      <c r="A688" s="12" t="s">
        <v>1268</v>
      </c>
      <c r="B688" s="12" t="s">
        <v>364</v>
      </c>
      <c r="C688" s="17">
        <v>32.0</v>
      </c>
      <c r="D688" s="12" t="s">
        <v>309</v>
      </c>
      <c r="E688" s="12" t="s">
        <v>161</v>
      </c>
      <c r="F688" s="12" t="s">
        <v>37</v>
      </c>
      <c r="G688" s="12" t="s">
        <v>93</v>
      </c>
      <c r="H688" s="15">
        <v>45058.0</v>
      </c>
      <c r="I688" s="17">
        <v>43.0</v>
      </c>
      <c r="J688" s="12" t="s">
        <v>40</v>
      </c>
      <c r="K688" s="12" t="s">
        <v>81</v>
      </c>
      <c r="L688" s="17">
        <v>1710.0</v>
      </c>
      <c r="M688" s="17">
        <v>2.0</v>
      </c>
      <c r="N688" s="17">
        <v>0.0</v>
      </c>
      <c r="O688" s="17">
        <v>18.6</v>
      </c>
      <c r="P688" s="17">
        <v>3.6</v>
      </c>
      <c r="Q688" s="15">
        <v>45221.0</v>
      </c>
      <c r="R688" s="12"/>
      <c r="S688" s="12" t="s">
        <v>55</v>
      </c>
      <c r="T688" s="12" t="s">
        <v>47</v>
      </c>
      <c r="U688" s="17">
        <f t="shared" si="1"/>
        <v>2</v>
      </c>
    </row>
    <row r="689">
      <c r="A689" s="12" t="s">
        <v>1269</v>
      </c>
      <c r="B689" s="12" t="s">
        <v>288</v>
      </c>
      <c r="C689" s="17">
        <v>27.0</v>
      </c>
      <c r="D689" s="12" t="s">
        <v>85</v>
      </c>
      <c r="E689" s="12" t="s">
        <v>111</v>
      </c>
      <c r="F689" s="12" t="s">
        <v>37</v>
      </c>
      <c r="G689" s="12" t="s">
        <v>210</v>
      </c>
      <c r="H689" s="15">
        <v>44989.0</v>
      </c>
      <c r="I689" s="17">
        <v>38.0</v>
      </c>
      <c r="J689" s="12" t="s">
        <v>40</v>
      </c>
      <c r="K689" s="12" t="s">
        <v>65</v>
      </c>
      <c r="L689" s="17">
        <v>1319.0</v>
      </c>
      <c r="M689" s="17">
        <v>1.0</v>
      </c>
      <c r="N689" s="17">
        <v>0.0</v>
      </c>
      <c r="O689" s="17">
        <v>24.7</v>
      </c>
      <c r="P689" s="17">
        <v>5.0</v>
      </c>
      <c r="Q689" s="15">
        <v>45637.0</v>
      </c>
      <c r="R689" s="12" t="s">
        <v>297</v>
      </c>
      <c r="S689" s="12" t="s">
        <v>45</v>
      </c>
      <c r="T689" s="12" t="s">
        <v>75</v>
      </c>
      <c r="U689" s="17">
        <f t="shared" si="1"/>
        <v>1</v>
      </c>
    </row>
    <row r="690">
      <c r="A690" s="12" t="s">
        <v>720</v>
      </c>
      <c r="B690" s="12" t="s">
        <v>235</v>
      </c>
      <c r="C690" s="17">
        <v>66.0</v>
      </c>
      <c r="D690" s="12" t="s">
        <v>69</v>
      </c>
      <c r="E690" s="12" t="s">
        <v>119</v>
      </c>
      <c r="F690" s="12" t="s">
        <v>62</v>
      </c>
      <c r="G690" s="12" t="s">
        <v>210</v>
      </c>
      <c r="H690" s="15">
        <v>45428.0</v>
      </c>
      <c r="I690" s="17">
        <v>11.0</v>
      </c>
      <c r="J690" s="12" t="s">
        <v>40</v>
      </c>
      <c r="K690" s="12" t="s">
        <v>42</v>
      </c>
      <c r="L690" s="17">
        <v>794.0</v>
      </c>
      <c r="M690" s="12"/>
      <c r="N690" s="17">
        <v>2.0</v>
      </c>
      <c r="O690" s="17">
        <v>28.5</v>
      </c>
      <c r="P690" s="17">
        <v>3.5</v>
      </c>
      <c r="Q690" s="15">
        <v>45513.0</v>
      </c>
      <c r="R690" s="12"/>
      <c r="S690" s="12" t="s">
        <v>230</v>
      </c>
      <c r="T690" s="12" t="s">
        <v>104</v>
      </c>
      <c r="U690" s="17">
        <f t="shared" si="1"/>
        <v>2</v>
      </c>
    </row>
    <row r="691">
      <c r="A691" s="12" t="s">
        <v>462</v>
      </c>
      <c r="B691" s="12" t="s">
        <v>801</v>
      </c>
      <c r="C691" s="17">
        <v>28.0</v>
      </c>
      <c r="D691" s="12" t="s">
        <v>69</v>
      </c>
      <c r="E691" s="12" t="s">
        <v>177</v>
      </c>
      <c r="F691" s="12" t="s">
        <v>62</v>
      </c>
      <c r="G691" s="12" t="s">
        <v>52</v>
      </c>
      <c r="H691" s="15">
        <v>45649.0</v>
      </c>
      <c r="I691" s="17">
        <v>29.0</v>
      </c>
      <c r="J691" s="12" t="s">
        <v>53</v>
      </c>
      <c r="K691" s="12" t="s">
        <v>81</v>
      </c>
      <c r="L691" s="17">
        <v>559.0</v>
      </c>
      <c r="M691" s="17">
        <v>6.0</v>
      </c>
      <c r="N691" s="17">
        <v>0.0</v>
      </c>
      <c r="O691" s="17">
        <v>16.6</v>
      </c>
      <c r="P691" s="17">
        <v>3.8</v>
      </c>
      <c r="Q691" s="15">
        <v>46021.0</v>
      </c>
      <c r="R691" s="12"/>
      <c r="S691" s="12" t="s">
        <v>55</v>
      </c>
      <c r="T691" s="12" t="s">
        <v>75</v>
      </c>
      <c r="U691" s="17">
        <f t="shared" si="1"/>
        <v>4</v>
      </c>
    </row>
    <row r="692">
      <c r="A692" s="12" t="s">
        <v>1270</v>
      </c>
      <c r="B692" s="12" t="s">
        <v>333</v>
      </c>
      <c r="C692" s="17">
        <v>30.0</v>
      </c>
      <c r="D692" s="12" t="s">
        <v>60</v>
      </c>
      <c r="E692" s="12" t="s">
        <v>61</v>
      </c>
      <c r="F692" s="12" t="s">
        <v>62</v>
      </c>
      <c r="G692" s="12" t="s">
        <v>1014</v>
      </c>
      <c r="H692" s="15">
        <v>44762.0</v>
      </c>
      <c r="I692" s="17">
        <v>4.0</v>
      </c>
      <c r="J692" s="12" t="s">
        <v>64</v>
      </c>
      <c r="K692" s="12" t="s">
        <v>65</v>
      </c>
      <c r="L692" s="17">
        <v>873.0</v>
      </c>
      <c r="M692" s="17">
        <v>3.0</v>
      </c>
      <c r="N692" s="17">
        <v>0.0</v>
      </c>
      <c r="O692" s="17">
        <v>26.1</v>
      </c>
      <c r="P692" s="17">
        <v>4.4</v>
      </c>
      <c r="Q692" s="15">
        <v>44847.0</v>
      </c>
      <c r="R692" s="12"/>
      <c r="S692" s="12" t="s">
        <v>55</v>
      </c>
      <c r="T692" s="12" t="s">
        <v>66</v>
      </c>
      <c r="U692" s="17">
        <f t="shared" si="1"/>
        <v>1</v>
      </c>
    </row>
    <row r="693">
      <c r="A693" s="12" t="s">
        <v>1271</v>
      </c>
      <c r="B693" s="12" t="s">
        <v>232</v>
      </c>
      <c r="C693" s="17">
        <v>34.0</v>
      </c>
      <c r="D693" s="12" t="s">
        <v>85</v>
      </c>
      <c r="E693" s="12" t="s">
        <v>87</v>
      </c>
      <c r="F693" s="12" t="s">
        <v>62</v>
      </c>
      <c r="G693" s="12" t="s">
        <v>63</v>
      </c>
      <c r="H693" s="15">
        <v>45885.0</v>
      </c>
      <c r="I693" s="17">
        <v>16.0</v>
      </c>
      <c r="J693" s="12" t="s">
        <v>40</v>
      </c>
      <c r="K693" s="12" t="s">
        <v>81</v>
      </c>
      <c r="L693" s="17">
        <v>611.0</v>
      </c>
      <c r="M693" s="17">
        <v>4.0</v>
      </c>
      <c r="N693" s="17">
        <v>1.0</v>
      </c>
      <c r="O693" s="17">
        <v>6.0</v>
      </c>
      <c r="P693" s="17">
        <v>3.0</v>
      </c>
      <c r="Q693" s="15">
        <v>46353.0</v>
      </c>
      <c r="R693" s="12" t="s">
        <v>1250</v>
      </c>
      <c r="S693" s="12" t="s">
        <v>45</v>
      </c>
      <c r="T693" s="12" t="s">
        <v>104</v>
      </c>
      <c r="U693" s="17">
        <f t="shared" si="1"/>
        <v>1</v>
      </c>
    </row>
    <row r="694">
      <c r="A694" s="12" t="s">
        <v>1128</v>
      </c>
      <c r="B694" s="12" t="s">
        <v>636</v>
      </c>
      <c r="C694" s="17">
        <v>59.0</v>
      </c>
      <c r="D694" s="12" t="s">
        <v>69</v>
      </c>
      <c r="E694" s="12" t="s">
        <v>119</v>
      </c>
      <c r="F694" s="12" t="s">
        <v>62</v>
      </c>
      <c r="G694" s="12" t="s">
        <v>63</v>
      </c>
      <c r="H694" s="15">
        <v>45012.0</v>
      </c>
      <c r="I694" s="17">
        <v>47.0</v>
      </c>
      <c r="J694" s="12" t="s">
        <v>53</v>
      </c>
      <c r="K694" s="12" t="s">
        <v>81</v>
      </c>
      <c r="L694" s="17">
        <v>853.0</v>
      </c>
      <c r="M694" s="17">
        <v>2.0</v>
      </c>
      <c r="N694" s="17">
        <v>0.0</v>
      </c>
      <c r="O694" s="17">
        <v>26.4</v>
      </c>
      <c r="P694" s="17">
        <v>3.5</v>
      </c>
      <c r="Q694" s="15">
        <v>45443.0</v>
      </c>
      <c r="R694" s="12" t="s">
        <v>1273</v>
      </c>
      <c r="S694" s="12" t="s">
        <v>45</v>
      </c>
      <c r="T694" s="12" t="s">
        <v>66</v>
      </c>
      <c r="U694" s="17">
        <f t="shared" si="1"/>
        <v>2</v>
      </c>
    </row>
    <row r="695">
      <c r="A695" s="12" t="s">
        <v>1129</v>
      </c>
      <c r="B695" s="12" t="s">
        <v>336</v>
      </c>
      <c r="C695" s="17">
        <v>30.0</v>
      </c>
      <c r="D695" s="12" t="s">
        <v>35</v>
      </c>
      <c r="E695" s="12" t="s">
        <v>36</v>
      </c>
      <c r="F695" s="12" t="s">
        <v>62</v>
      </c>
      <c r="G695" s="12" t="s">
        <v>52</v>
      </c>
      <c r="H695" s="15">
        <v>45836.0</v>
      </c>
      <c r="I695" s="17">
        <v>31.0</v>
      </c>
      <c r="J695" s="12" t="s">
        <v>53</v>
      </c>
      <c r="K695" s="12" t="s">
        <v>65</v>
      </c>
      <c r="L695" s="17">
        <v>851.0</v>
      </c>
      <c r="M695" s="17">
        <v>3.0</v>
      </c>
      <c r="N695" s="17">
        <v>0.0</v>
      </c>
      <c r="O695" s="17">
        <v>13.3</v>
      </c>
      <c r="P695" s="17">
        <v>5.0</v>
      </c>
      <c r="Q695" s="15">
        <v>46168.0</v>
      </c>
      <c r="R695" s="12" t="s">
        <v>1278</v>
      </c>
      <c r="S695" s="12" t="s">
        <v>45</v>
      </c>
      <c r="T695" s="12" t="s">
        <v>47</v>
      </c>
      <c r="U695" s="17">
        <f t="shared" si="1"/>
        <v>3</v>
      </c>
    </row>
    <row r="696">
      <c r="A696" s="12" t="s">
        <v>819</v>
      </c>
      <c r="B696" s="12" t="s">
        <v>364</v>
      </c>
      <c r="C696" s="17">
        <v>50.0</v>
      </c>
      <c r="D696" s="12" t="s">
        <v>85</v>
      </c>
      <c r="E696" s="12" t="s">
        <v>87</v>
      </c>
      <c r="F696" s="12" t="s">
        <v>62</v>
      </c>
      <c r="G696" s="12" t="s">
        <v>39</v>
      </c>
      <c r="H696" s="15">
        <v>45102.0</v>
      </c>
      <c r="I696" s="17">
        <v>5.0</v>
      </c>
      <c r="J696" s="12" t="s">
        <v>40</v>
      </c>
      <c r="K696" s="12" t="s">
        <v>65</v>
      </c>
      <c r="L696" s="17">
        <v>888.0</v>
      </c>
      <c r="M696" s="17">
        <v>1.0</v>
      </c>
      <c r="N696" s="17">
        <v>1.0</v>
      </c>
      <c r="O696" s="17">
        <v>16.1</v>
      </c>
      <c r="P696" s="17">
        <v>2.0</v>
      </c>
      <c r="Q696" s="15">
        <v>45202.0</v>
      </c>
      <c r="R696" s="12"/>
      <c r="S696" s="12" t="s">
        <v>55</v>
      </c>
      <c r="T696" s="12" t="s">
        <v>104</v>
      </c>
      <c r="U696" s="17">
        <f t="shared" si="1"/>
        <v>4</v>
      </c>
    </row>
    <row r="697">
      <c r="A697" s="12" t="s">
        <v>1284</v>
      </c>
      <c r="B697" s="12" t="s">
        <v>110</v>
      </c>
      <c r="C697" s="12"/>
      <c r="D697" s="12" t="s">
        <v>35</v>
      </c>
      <c r="E697" s="12" t="s">
        <v>161</v>
      </c>
      <c r="F697" s="12" t="s">
        <v>37</v>
      </c>
      <c r="G697" s="12" t="s">
        <v>80</v>
      </c>
      <c r="H697" s="15">
        <v>45592.0</v>
      </c>
      <c r="I697" s="17">
        <v>11.0</v>
      </c>
      <c r="J697" s="12" t="s">
        <v>53</v>
      </c>
      <c r="K697" s="12" t="s">
        <v>81</v>
      </c>
      <c r="L697" s="17">
        <v>1095.0</v>
      </c>
      <c r="M697" s="17">
        <v>1.0</v>
      </c>
      <c r="N697" s="17">
        <v>1.0</v>
      </c>
      <c r="O697" s="17">
        <v>35.7</v>
      </c>
      <c r="P697" s="17">
        <v>3.9</v>
      </c>
      <c r="Q697" s="15">
        <v>45757.0</v>
      </c>
      <c r="R697" s="12" t="s">
        <v>386</v>
      </c>
      <c r="S697" s="12" t="s">
        <v>45</v>
      </c>
      <c r="T697" s="12" t="s">
        <v>72</v>
      </c>
      <c r="U697" s="17">
        <f t="shared" si="1"/>
        <v>1</v>
      </c>
    </row>
    <row r="698">
      <c r="A698" s="12" t="s">
        <v>1289</v>
      </c>
      <c r="B698" s="12" t="s">
        <v>235</v>
      </c>
      <c r="C698" s="17">
        <v>36.0</v>
      </c>
      <c r="D698" s="12" t="s">
        <v>85</v>
      </c>
      <c r="E698" s="12" t="s">
        <v>92</v>
      </c>
      <c r="F698" s="12" t="s">
        <v>62</v>
      </c>
      <c r="G698" s="12" t="s">
        <v>63</v>
      </c>
      <c r="H698" s="15">
        <v>45284.0</v>
      </c>
      <c r="I698" s="17">
        <v>20.0</v>
      </c>
      <c r="J698" s="12" t="s">
        <v>64</v>
      </c>
      <c r="K698" s="12" t="s">
        <v>81</v>
      </c>
      <c r="L698" s="17">
        <v>764.0</v>
      </c>
      <c r="M698" s="17">
        <v>1.0</v>
      </c>
      <c r="N698" s="17">
        <v>2.0</v>
      </c>
      <c r="O698" s="17">
        <v>12.1</v>
      </c>
      <c r="P698" s="17">
        <v>5.0</v>
      </c>
      <c r="Q698" s="15">
        <v>45904.0</v>
      </c>
      <c r="R698" s="12"/>
      <c r="S698" s="12" t="s">
        <v>55</v>
      </c>
      <c r="T698" s="12" t="s">
        <v>104</v>
      </c>
      <c r="U698" s="17">
        <f t="shared" si="1"/>
        <v>1</v>
      </c>
    </row>
    <row r="699">
      <c r="A699" s="12" t="s">
        <v>1292</v>
      </c>
      <c r="B699" s="12" t="s">
        <v>312</v>
      </c>
      <c r="C699" s="17">
        <v>66.0</v>
      </c>
      <c r="D699" s="12" t="s">
        <v>85</v>
      </c>
      <c r="E699" s="12" t="s">
        <v>111</v>
      </c>
      <c r="F699" s="12" t="s">
        <v>37</v>
      </c>
      <c r="G699" s="12" t="s">
        <v>39</v>
      </c>
      <c r="H699" s="15">
        <v>45293.0</v>
      </c>
      <c r="I699" s="17">
        <v>32.0</v>
      </c>
      <c r="J699" s="12" t="s">
        <v>40</v>
      </c>
      <c r="K699" s="12" t="s">
        <v>42</v>
      </c>
      <c r="L699" s="17">
        <v>1757.0</v>
      </c>
      <c r="M699" s="17">
        <v>4.0</v>
      </c>
      <c r="N699" s="17">
        <v>2.0</v>
      </c>
      <c r="O699" s="17">
        <v>29.2</v>
      </c>
      <c r="P699" s="17">
        <v>3.7</v>
      </c>
      <c r="Q699" s="15">
        <v>45744.0</v>
      </c>
      <c r="R699" s="12"/>
      <c r="S699" s="12" t="s">
        <v>55</v>
      </c>
      <c r="T699" s="12" t="s">
        <v>75</v>
      </c>
      <c r="U699" s="17">
        <f t="shared" si="1"/>
        <v>2</v>
      </c>
    </row>
    <row r="700">
      <c r="A700" s="12" t="s">
        <v>1293</v>
      </c>
      <c r="B700" s="12" t="s">
        <v>633</v>
      </c>
      <c r="C700" s="17">
        <v>56.0</v>
      </c>
      <c r="D700" s="12" t="s">
        <v>35</v>
      </c>
      <c r="E700" s="12" t="s">
        <v>161</v>
      </c>
      <c r="F700" s="12" t="s">
        <v>947</v>
      </c>
      <c r="G700" s="12" t="s">
        <v>52</v>
      </c>
      <c r="H700" s="15">
        <v>45677.0</v>
      </c>
      <c r="I700" s="17">
        <v>29.0</v>
      </c>
      <c r="J700" s="12" t="s">
        <v>53</v>
      </c>
      <c r="K700" s="12" t="s">
        <v>326</v>
      </c>
      <c r="L700" s="17">
        <v>2542.0</v>
      </c>
      <c r="M700" s="17">
        <v>2.0</v>
      </c>
      <c r="N700" s="17">
        <v>2.0</v>
      </c>
      <c r="O700" s="17">
        <v>19.1</v>
      </c>
      <c r="P700" s="17">
        <v>3.2</v>
      </c>
      <c r="Q700" s="15">
        <v>46382.0</v>
      </c>
      <c r="R700" s="12" t="s">
        <v>1295</v>
      </c>
      <c r="S700" s="12" t="s">
        <v>45</v>
      </c>
      <c r="T700" s="12" t="s">
        <v>72</v>
      </c>
      <c r="U700" s="17">
        <f t="shared" si="1"/>
        <v>4</v>
      </c>
    </row>
    <row r="701">
      <c r="A701" s="12" t="s">
        <v>1296</v>
      </c>
      <c r="B701" s="12" t="s">
        <v>190</v>
      </c>
      <c r="C701" s="17">
        <v>48.0</v>
      </c>
      <c r="D701" s="12" t="s">
        <v>35</v>
      </c>
      <c r="E701" s="12" t="s">
        <v>161</v>
      </c>
      <c r="F701" s="12" t="s">
        <v>37</v>
      </c>
      <c r="G701" s="12" t="s">
        <v>586</v>
      </c>
      <c r="H701" s="15">
        <v>45449.0</v>
      </c>
      <c r="I701" s="17">
        <v>30.0</v>
      </c>
      <c r="J701" s="12" t="s">
        <v>64</v>
      </c>
      <c r="K701" s="12" t="s">
        <v>42</v>
      </c>
      <c r="L701" s="17">
        <v>1294.0</v>
      </c>
      <c r="M701" s="17">
        <v>3.0</v>
      </c>
      <c r="N701" s="17">
        <v>0.0</v>
      </c>
      <c r="O701" s="17">
        <v>10.4</v>
      </c>
      <c r="P701" s="17">
        <v>4.9</v>
      </c>
      <c r="Q701" s="15">
        <v>45467.0</v>
      </c>
      <c r="R701" s="12"/>
      <c r="S701" s="12" t="s">
        <v>55</v>
      </c>
      <c r="T701" s="12" t="s">
        <v>66</v>
      </c>
      <c r="U701" s="17">
        <f t="shared" si="1"/>
        <v>1</v>
      </c>
    </row>
    <row r="702">
      <c r="A702" s="12" t="s">
        <v>1297</v>
      </c>
      <c r="B702" s="12" t="s">
        <v>303</v>
      </c>
      <c r="C702" s="17">
        <v>50.0</v>
      </c>
      <c r="D702" s="12" t="s">
        <v>69</v>
      </c>
      <c r="E702" s="12" t="s">
        <v>177</v>
      </c>
      <c r="F702" s="12" t="s">
        <v>37</v>
      </c>
      <c r="G702" s="12" t="s">
        <v>63</v>
      </c>
      <c r="H702" s="15">
        <v>45165.0</v>
      </c>
      <c r="I702" s="17">
        <v>1.0</v>
      </c>
      <c r="J702" s="12" t="s">
        <v>53</v>
      </c>
      <c r="K702" s="12" t="s">
        <v>42</v>
      </c>
      <c r="L702" s="17">
        <v>1288.0</v>
      </c>
      <c r="M702" s="17">
        <v>2.0</v>
      </c>
      <c r="N702" s="17">
        <v>0.0</v>
      </c>
      <c r="O702" s="17">
        <v>28.1</v>
      </c>
      <c r="P702" s="17">
        <v>4.1</v>
      </c>
      <c r="Q702" s="15">
        <v>45212.0</v>
      </c>
      <c r="R702" s="12"/>
      <c r="S702" s="12" t="s">
        <v>55</v>
      </c>
      <c r="T702" s="12" t="s">
        <v>75</v>
      </c>
      <c r="U702" s="17">
        <f t="shared" si="1"/>
        <v>2</v>
      </c>
    </row>
    <row r="703">
      <c r="A703" s="12" t="s">
        <v>1298</v>
      </c>
      <c r="B703" s="12" t="s">
        <v>736</v>
      </c>
      <c r="C703" s="17">
        <v>28.0</v>
      </c>
      <c r="D703" s="12" t="s">
        <v>35</v>
      </c>
      <c r="E703" s="12" t="s">
        <v>36</v>
      </c>
      <c r="F703" s="12" t="s">
        <v>62</v>
      </c>
      <c r="G703" s="12" t="s">
        <v>210</v>
      </c>
      <c r="H703" s="15">
        <v>45142.0</v>
      </c>
      <c r="I703" s="17">
        <v>33.0</v>
      </c>
      <c r="J703" s="12" t="s">
        <v>64</v>
      </c>
      <c r="K703" s="12" t="s">
        <v>42</v>
      </c>
      <c r="L703" s="17">
        <v>892.0</v>
      </c>
      <c r="M703" s="17">
        <v>2.0</v>
      </c>
      <c r="N703" s="17">
        <v>0.0</v>
      </c>
      <c r="O703" s="17">
        <v>15.6</v>
      </c>
      <c r="P703" s="17">
        <v>3.5</v>
      </c>
      <c r="Q703" s="15">
        <v>46128.0</v>
      </c>
      <c r="R703" s="12"/>
      <c r="S703" s="12" t="s">
        <v>55</v>
      </c>
      <c r="T703" s="12" t="s">
        <v>75</v>
      </c>
      <c r="U703" s="17">
        <f t="shared" si="1"/>
        <v>2</v>
      </c>
    </row>
    <row r="704">
      <c r="A704" s="12" t="s">
        <v>1299</v>
      </c>
      <c r="B704" s="12" t="s">
        <v>736</v>
      </c>
      <c r="C704" s="17">
        <v>38.0</v>
      </c>
      <c r="D704" s="12" t="s">
        <v>35</v>
      </c>
      <c r="E704" s="12" t="s">
        <v>161</v>
      </c>
      <c r="F704" s="12" t="s">
        <v>62</v>
      </c>
      <c r="G704" s="12" t="s">
        <v>120</v>
      </c>
      <c r="H704" s="15">
        <v>45288.0</v>
      </c>
      <c r="I704" s="17">
        <v>16.0</v>
      </c>
      <c r="J704" s="12" t="s">
        <v>64</v>
      </c>
      <c r="K704" s="12" t="s">
        <v>65</v>
      </c>
      <c r="L704" s="12" t="s">
        <v>1300</v>
      </c>
      <c r="M704" s="17">
        <v>4.0</v>
      </c>
      <c r="N704" s="17">
        <v>2.0</v>
      </c>
      <c r="O704" s="17">
        <v>14.1</v>
      </c>
      <c r="P704" s="17">
        <v>2.8</v>
      </c>
      <c r="Q704" s="15">
        <v>45502.0</v>
      </c>
      <c r="R704" s="12" t="s">
        <v>1301</v>
      </c>
      <c r="S704" s="12" t="s">
        <v>45</v>
      </c>
      <c r="T704" s="12" t="s">
        <v>47</v>
      </c>
      <c r="U704" s="17">
        <f t="shared" si="1"/>
        <v>1</v>
      </c>
    </row>
    <row r="705">
      <c r="A705" s="12" t="s">
        <v>754</v>
      </c>
      <c r="B705" s="12" t="s">
        <v>398</v>
      </c>
      <c r="C705" s="17">
        <v>38.0</v>
      </c>
      <c r="D705" s="12" t="s">
        <v>85</v>
      </c>
      <c r="E705" s="12" t="s">
        <v>92</v>
      </c>
      <c r="F705" s="12" t="s">
        <v>37</v>
      </c>
      <c r="G705" s="12" t="s">
        <v>39</v>
      </c>
      <c r="H705" s="15">
        <v>45961.0</v>
      </c>
      <c r="I705" s="17">
        <v>13.0</v>
      </c>
      <c r="J705" s="12" t="s">
        <v>64</v>
      </c>
      <c r="K705" s="12" t="s">
        <v>81</v>
      </c>
      <c r="L705" s="17">
        <v>1566.0</v>
      </c>
      <c r="M705" s="17">
        <v>1.0</v>
      </c>
      <c r="N705" s="17">
        <v>0.0</v>
      </c>
      <c r="O705" s="17">
        <v>30.2</v>
      </c>
      <c r="P705" s="17">
        <v>3.2</v>
      </c>
      <c r="Q705" s="15">
        <v>46125.0</v>
      </c>
      <c r="R705" s="12"/>
      <c r="S705" s="12" t="s">
        <v>1125</v>
      </c>
      <c r="T705" s="12" t="s">
        <v>75</v>
      </c>
      <c r="U705" s="17">
        <f t="shared" si="1"/>
        <v>2</v>
      </c>
    </row>
    <row r="706">
      <c r="A706" s="12" t="s">
        <v>1302</v>
      </c>
      <c r="B706" s="12" t="s">
        <v>229</v>
      </c>
      <c r="C706" s="17">
        <v>41.0</v>
      </c>
      <c r="D706" s="12" t="s">
        <v>69</v>
      </c>
      <c r="E706" s="12" t="s">
        <v>119</v>
      </c>
      <c r="F706" s="12" t="s">
        <v>37</v>
      </c>
      <c r="G706" s="12" t="s">
        <v>93</v>
      </c>
      <c r="H706" s="15">
        <v>45456.0</v>
      </c>
      <c r="I706" s="17">
        <v>7.0</v>
      </c>
      <c r="J706" s="12" t="s">
        <v>53</v>
      </c>
      <c r="K706" s="12" t="s">
        <v>65</v>
      </c>
      <c r="L706" s="17">
        <v>1709.0</v>
      </c>
      <c r="M706" s="17">
        <v>2.0</v>
      </c>
      <c r="N706" s="17">
        <v>1.0</v>
      </c>
      <c r="O706" s="17">
        <v>27.2</v>
      </c>
      <c r="P706" s="17">
        <v>2.7</v>
      </c>
      <c r="Q706" s="15">
        <v>45594.0</v>
      </c>
      <c r="R706" s="12"/>
      <c r="S706" s="12" t="s">
        <v>55</v>
      </c>
      <c r="T706" s="12" t="s">
        <v>75</v>
      </c>
      <c r="U706" s="17">
        <f t="shared" si="1"/>
        <v>2</v>
      </c>
    </row>
    <row r="707">
      <c r="A707" s="12" t="s">
        <v>1303</v>
      </c>
      <c r="B707" s="12" t="s">
        <v>167</v>
      </c>
      <c r="C707" s="17">
        <v>27.0</v>
      </c>
      <c r="D707" s="12" t="s">
        <v>85</v>
      </c>
      <c r="E707" s="12" t="s">
        <v>292</v>
      </c>
      <c r="F707" s="12" t="s">
        <v>79</v>
      </c>
      <c r="G707" s="12" t="s">
        <v>63</v>
      </c>
      <c r="H707" s="15">
        <v>45424.0</v>
      </c>
      <c r="I707" s="17">
        <v>6.0</v>
      </c>
      <c r="J707" s="12" t="s">
        <v>64</v>
      </c>
      <c r="K707" s="12" t="s">
        <v>81</v>
      </c>
      <c r="L707" s="17">
        <v>3610.0</v>
      </c>
      <c r="M707" s="17">
        <v>2.0</v>
      </c>
      <c r="N707" s="17">
        <v>1.0</v>
      </c>
      <c r="O707" s="17">
        <v>41.2</v>
      </c>
      <c r="P707" s="17">
        <v>3.9</v>
      </c>
      <c r="Q707" s="15">
        <v>45496.0</v>
      </c>
      <c r="R707" s="12" t="s">
        <v>1304</v>
      </c>
      <c r="S707" s="12" t="s">
        <v>45</v>
      </c>
      <c r="T707" s="12" t="s">
        <v>66</v>
      </c>
      <c r="U707" s="17">
        <f t="shared" si="1"/>
        <v>3</v>
      </c>
    </row>
    <row r="708">
      <c r="A708" s="12" t="s">
        <v>379</v>
      </c>
      <c r="B708" s="12" t="s">
        <v>331</v>
      </c>
      <c r="C708" s="17">
        <v>60.0</v>
      </c>
      <c r="D708" s="12" t="s">
        <v>35</v>
      </c>
      <c r="E708" s="12" t="s">
        <v>140</v>
      </c>
      <c r="F708" s="12" t="s">
        <v>62</v>
      </c>
      <c r="G708" s="12" t="s">
        <v>52</v>
      </c>
      <c r="H708" s="15">
        <v>44574.0</v>
      </c>
      <c r="I708" s="17">
        <v>30.0</v>
      </c>
      <c r="J708" s="12" t="s">
        <v>40</v>
      </c>
      <c r="K708" s="12" t="s">
        <v>65</v>
      </c>
      <c r="L708" s="17">
        <v>764.0</v>
      </c>
      <c r="M708" s="17">
        <v>4.0</v>
      </c>
      <c r="N708" s="17">
        <v>0.0</v>
      </c>
      <c r="O708" s="17">
        <v>15.6</v>
      </c>
      <c r="P708" s="17">
        <v>4.4</v>
      </c>
      <c r="Q708" s="15">
        <v>44639.0</v>
      </c>
      <c r="R708" s="12" t="s">
        <v>1305</v>
      </c>
      <c r="S708" s="12" t="s">
        <v>45</v>
      </c>
      <c r="T708" s="12" t="s">
        <v>66</v>
      </c>
      <c r="U708" s="17">
        <f t="shared" si="1"/>
        <v>3</v>
      </c>
    </row>
    <row r="709">
      <c r="A709" s="12" t="s">
        <v>991</v>
      </c>
      <c r="B709" s="12" t="s">
        <v>459</v>
      </c>
      <c r="C709" s="17">
        <v>54.0</v>
      </c>
      <c r="D709" s="12" t="s">
        <v>60</v>
      </c>
      <c r="E709" s="12" t="s">
        <v>133</v>
      </c>
      <c r="F709" s="12" t="s">
        <v>37</v>
      </c>
      <c r="G709" s="12" t="s">
        <v>93</v>
      </c>
      <c r="H709" s="15">
        <v>44686.0</v>
      </c>
      <c r="I709" s="17">
        <v>8.0</v>
      </c>
      <c r="J709" s="12" t="s">
        <v>64</v>
      </c>
      <c r="K709" s="12" t="s">
        <v>65</v>
      </c>
      <c r="L709" s="17">
        <v>1522.0</v>
      </c>
      <c r="M709" s="17">
        <v>1.0</v>
      </c>
      <c r="N709" s="17">
        <v>1.0</v>
      </c>
      <c r="O709" s="17">
        <v>14.8</v>
      </c>
      <c r="P709" s="17">
        <v>4.2</v>
      </c>
      <c r="Q709" s="15">
        <v>44879.0</v>
      </c>
      <c r="R709" s="12" t="s">
        <v>1307</v>
      </c>
      <c r="S709" s="12" t="s">
        <v>45</v>
      </c>
      <c r="T709" s="12" t="s">
        <v>47</v>
      </c>
      <c r="U709" s="17">
        <f t="shared" si="1"/>
        <v>4</v>
      </c>
    </row>
    <row r="710">
      <c r="A710" s="12" t="s">
        <v>1308</v>
      </c>
      <c r="B710" s="12" t="s">
        <v>288</v>
      </c>
      <c r="C710" s="17">
        <v>52.0</v>
      </c>
      <c r="D710" s="12" t="s">
        <v>69</v>
      </c>
      <c r="E710" s="12" t="s">
        <v>177</v>
      </c>
      <c r="F710" s="12" t="s">
        <v>37</v>
      </c>
      <c r="G710" s="12" t="s">
        <v>52</v>
      </c>
      <c r="H710" s="15">
        <v>44575.0</v>
      </c>
      <c r="I710" s="17">
        <v>32.0</v>
      </c>
      <c r="J710" s="12" t="s">
        <v>40</v>
      </c>
      <c r="K710" s="12" t="s">
        <v>454</v>
      </c>
      <c r="L710" s="17">
        <v>1116.0</v>
      </c>
      <c r="M710" s="17">
        <v>1.0</v>
      </c>
      <c r="N710" s="17">
        <v>1.0</v>
      </c>
      <c r="O710" s="17">
        <v>21.6</v>
      </c>
      <c r="P710" s="17">
        <v>3.8</v>
      </c>
      <c r="Q710" s="15">
        <v>44585.0</v>
      </c>
      <c r="R710" s="12"/>
      <c r="S710" s="12" t="s">
        <v>55</v>
      </c>
      <c r="T710" s="12" t="s">
        <v>47</v>
      </c>
      <c r="U710" s="17">
        <f t="shared" si="1"/>
        <v>1</v>
      </c>
    </row>
    <row r="711">
      <c r="A711" s="12" t="s">
        <v>631</v>
      </c>
      <c r="B711" s="12" t="s">
        <v>380</v>
      </c>
      <c r="C711" s="17">
        <v>58.0</v>
      </c>
      <c r="D711" s="12" t="s">
        <v>85</v>
      </c>
      <c r="E711" s="12" t="s">
        <v>292</v>
      </c>
      <c r="F711" s="12" t="s">
        <v>37</v>
      </c>
      <c r="G711" s="12" t="s">
        <v>120</v>
      </c>
      <c r="H711" s="15">
        <v>45362.0</v>
      </c>
      <c r="I711" s="17">
        <v>4.0</v>
      </c>
      <c r="J711" s="12" t="s">
        <v>64</v>
      </c>
      <c r="K711" s="12" t="s">
        <v>65</v>
      </c>
      <c r="L711" s="17">
        <v>1413.0</v>
      </c>
      <c r="M711" s="17">
        <v>3.0</v>
      </c>
      <c r="N711" s="17">
        <v>2.0</v>
      </c>
      <c r="O711" s="17">
        <v>23.4</v>
      </c>
      <c r="P711" s="17">
        <v>3.5</v>
      </c>
      <c r="Q711" s="15">
        <v>45419.0</v>
      </c>
      <c r="R711" s="12" t="s">
        <v>1309</v>
      </c>
      <c r="S711" s="12" t="s">
        <v>45</v>
      </c>
      <c r="T711" s="12" t="s">
        <v>66</v>
      </c>
      <c r="U711" s="17">
        <f t="shared" si="1"/>
        <v>3</v>
      </c>
    </row>
    <row r="712">
      <c r="A712" s="12" t="s">
        <v>713</v>
      </c>
      <c r="B712" s="12" t="s">
        <v>395</v>
      </c>
      <c r="C712" s="17">
        <v>49.0</v>
      </c>
      <c r="D712" s="12" t="s">
        <v>85</v>
      </c>
      <c r="E712" s="12" t="s">
        <v>111</v>
      </c>
      <c r="F712" s="12" t="s">
        <v>37</v>
      </c>
      <c r="G712" s="12" t="s">
        <v>39</v>
      </c>
      <c r="H712" s="15">
        <v>44852.0</v>
      </c>
      <c r="I712" s="17">
        <v>48.0</v>
      </c>
      <c r="J712" s="12" t="s">
        <v>53</v>
      </c>
      <c r="K712" s="12" t="s">
        <v>65</v>
      </c>
      <c r="L712" s="17">
        <v>1522.0</v>
      </c>
      <c r="M712" s="17">
        <v>0.0</v>
      </c>
      <c r="N712" s="17">
        <v>0.0</v>
      </c>
      <c r="O712" s="17">
        <v>28.4</v>
      </c>
      <c r="P712" s="17">
        <v>4.2</v>
      </c>
      <c r="Q712" s="15">
        <v>46294.0</v>
      </c>
      <c r="R712" s="12"/>
      <c r="S712" s="12" t="s">
        <v>55</v>
      </c>
      <c r="T712" s="12" t="s">
        <v>72</v>
      </c>
      <c r="U712" s="17">
        <f t="shared" si="1"/>
        <v>3</v>
      </c>
    </row>
    <row r="713">
      <c r="A713" s="12" t="s">
        <v>1310</v>
      </c>
      <c r="B713" s="12" t="s">
        <v>96</v>
      </c>
      <c r="C713" s="17">
        <v>37.0</v>
      </c>
      <c r="D713" s="12" t="s">
        <v>35</v>
      </c>
      <c r="E713" s="12" t="s">
        <v>140</v>
      </c>
      <c r="F713" s="12" t="s">
        <v>62</v>
      </c>
      <c r="G713" s="12" t="s">
        <v>210</v>
      </c>
      <c r="H713" s="15">
        <v>45363.0</v>
      </c>
      <c r="I713" s="17">
        <v>25.0</v>
      </c>
      <c r="J713" s="12" t="s">
        <v>53</v>
      </c>
      <c r="K713" s="12" t="s">
        <v>42</v>
      </c>
      <c r="L713" s="12" t="s">
        <v>1311</v>
      </c>
      <c r="M713" s="17">
        <v>3.0</v>
      </c>
      <c r="N713" s="17">
        <v>1.0</v>
      </c>
      <c r="O713" s="17">
        <v>32.9</v>
      </c>
      <c r="P713" s="17">
        <v>3.3</v>
      </c>
      <c r="Q713" s="15">
        <v>45808.0</v>
      </c>
      <c r="R713" s="12"/>
      <c r="S713" s="12" t="s">
        <v>55</v>
      </c>
      <c r="T713" s="12" t="s">
        <v>66</v>
      </c>
      <c r="U713" s="17">
        <f t="shared" si="1"/>
        <v>2</v>
      </c>
    </row>
    <row r="714">
      <c r="A714" s="12" t="s">
        <v>1312</v>
      </c>
      <c r="B714" s="12" t="s">
        <v>152</v>
      </c>
      <c r="C714" s="17">
        <v>29.0</v>
      </c>
      <c r="D714" s="12" t="s">
        <v>35</v>
      </c>
      <c r="E714" s="12" t="s">
        <v>161</v>
      </c>
      <c r="F714" s="12" t="s">
        <v>62</v>
      </c>
      <c r="G714" s="12" t="s">
        <v>52</v>
      </c>
      <c r="H714" s="15">
        <v>45907.0</v>
      </c>
      <c r="I714" s="17">
        <v>40.0</v>
      </c>
      <c r="J714" s="12" t="s">
        <v>53</v>
      </c>
      <c r="K714" s="12" t="s">
        <v>81</v>
      </c>
      <c r="L714" s="17">
        <v>680.0</v>
      </c>
      <c r="M714" s="17">
        <v>2.0</v>
      </c>
      <c r="N714" s="17">
        <v>1.0</v>
      </c>
      <c r="O714" s="17">
        <v>18.0</v>
      </c>
      <c r="P714" s="17">
        <v>4.8</v>
      </c>
      <c r="Q714" s="15">
        <v>46855.0</v>
      </c>
      <c r="R714" s="12"/>
      <c r="S714" s="12" t="s">
        <v>55</v>
      </c>
      <c r="T714" s="12" t="s">
        <v>66</v>
      </c>
      <c r="U714" s="17">
        <f t="shared" si="1"/>
        <v>1</v>
      </c>
    </row>
    <row r="715">
      <c r="A715" s="12" t="s">
        <v>1313</v>
      </c>
      <c r="B715" s="12" t="s">
        <v>322</v>
      </c>
      <c r="C715" s="17">
        <v>67.0</v>
      </c>
      <c r="D715" s="12" t="s">
        <v>60</v>
      </c>
      <c r="E715" s="12" t="s">
        <v>133</v>
      </c>
      <c r="F715" s="12" t="s">
        <v>37</v>
      </c>
      <c r="G715" s="12" t="s">
        <v>39</v>
      </c>
      <c r="H715" s="15">
        <v>45905.0</v>
      </c>
      <c r="I715" s="17">
        <v>10.0</v>
      </c>
      <c r="J715" s="12" t="s">
        <v>64</v>
      </c>
      <c r="K715" s="12" t="s">
        <v>454</v>
      </c>
      <c r="L715" s="17">
        <v>1575.0</v>
      </c>
      <c r="M715" s="17">
        <v>1.0</v>
      </c>
      <c r="N715" s="17">
        <v>0.0</v>
      </c>
      <c r="O715" s="17">
        <v>38.3</v>
      </c>
      <c r="P715" s="17">
        <v>3.2</v>
      </c>
      <c r="Q715" s="15">
        <v>46150.0</v>
      </c>
      <c r="R715" s="12"/>
      <c r="S715" s="12" t="s">
        <v>55</v>
      </c>
      <c r="T715" s="12" t="s">
        <v>75</v>
      </c>
      <c r="U715" s="17">
        <f t="shared" si="1"/>
        <v>2</v>
      </c>
    </row>
    <row r="716">
      <c r="A716" s="12" t="s">
        <v>1314</v>
      </c>
      <c r="B716" s="12" t="s">
        <v>78</v>
      </c>
      <c r="C716" s="17">
        <v>63.0</v>
      </c>
      <c r="D716" s="12" t="s">
        <v>267</v>
      </c>
      <c r="E716" s="12" t="s">
        <v>87</v>
      </c>
      <c r="F716" s="12" t="s">
        <v>79</v>
      </c>
      <c r="G716" s="12" t="s">
        <v>80</v>
      </c>
      <c r="H716" s="15">
        <v>45911.0</v>
      </c>
      <c r="I716" s="17">
        <v>12.0</v>
      </c>
      <c r="J716" s="12" t="s">
        <v>53</v>
      </c>
      <c r="K716" s="12" t="s">
        <v>81</v>
      </c>
      <c r="L716" s="17">
        <v>3348.0</v>
      </c>
      <c r="M716" s="17">
        <v>3.0</v>
      </c>
      <c r="N716" s="17">
        <v>1.0</v>
      </c>
      <c r="O716" s="17">
        <v>49.5</v>
      </c>
      <c r="P716" s="17">
        <v>3.4</v>
      </c>
      <c r="Q716" s="15">
        <v>46190.0</v>
      </c>
      <c r="R716" s="12"/>
      <c r="S716" s="12" t="s">
        <v>55</v>
      </c>
      <c r="T716" s="12" t="s">
        <v>66</v>
      </c>
      <c r="U716" s="17">
        <f t="shared" si="1"/>
        <v>1</v>
      </c>
    </row>
    <row r="717">
      <c r="A717" s="12" t="s">
        <v>1315</v>
      </c>
      <c r="B717" s="12" t="s">
        <v>257</v>
      </c>
      <c r="C717" s="17">
        <v>67.0</v>
      </c>
      <c r="D717" s="12" t="s">
        <v>85</v>
      </c>
      <c r="E717" s="12" t="s">
        <v>292</v>
      </c>
      <c r="F717" s="12" t="s">
        <v>947</v>
      </c>
      <c r="G717" s="12" t="s">
        <v>93</v>
      </c>
      <c r="H717" s="15">
        <v>44887.0</v>
      </c>
      <c r="I717" s="17">
        <v>15.0</v>
      </c>
      <c r="J717" s="12" t="s">
        <v>40</v>
      </c>
      <c r="K717" s="12" t="s">
        <v>81</v>
      </c>
      <c r="L717" s="17">
        <v>553.0</v>
      </c>
      <c r="M717" s="17">
        <v>1.0</v>
      </c>
      <c r="N717" s="17">
        <v>1.0</v>
      </c>
      <c r="O717" s="17">
        <v>18.2</v>
      </c>
      <c r="P717" s="17">
        <v>2.3</v>
      </c>
      <c r="Q717" s="15">
        <v>45244.0</v>
      </c>
      <c r="R717" s="12"/>
      <c r="S717" s="12" t="s">
        <v>55</v>
      </c>
      <c r="T717" s="12" t="s">
        <v>47</v>
      </c>
      <c r="U717" s="17">
        <f t="shared" si="1"/>
        <v>1</v>
      </c>
    </row>
    <row r="718">
      <c r="A718" s="12" t="s">
        <v>1316</v>
      </c>
      <c r="B718" s="12" t="s">
        <v>257</v>
      </c>
      <c r="C718" s="17">
        <v>57.0</v>
      </c>
      <c r="D718" s="12" t="s">
        <v>69</v>
      </c>
      <c r="E718" s="12" t="s">
        <v>119</v>
      </c>
      <c r="F718" s="12" t="s">
        <v>37</v>
      </c>
      <c r="G718" s="12" t="s">
        <v>120</v>
      </c>
      <c r="H718" s="15">
        <v>44693.0</v>
      </c>
      <c r="I718" s="17">
        <v>4.0</v>
      </c>
      <c r="J718" s="12" t="s">
        <v>64</v>
      </c>
      <c r="K718" s="12" t="s">
        <v>42</v>
      </c>
      <c r="L718" s="17">
        <v>1037.0</v>
      </c>
      <c r="M718" s="17">
        <v>2.0</v>
      </c>
      <c r="N718" s="17">
        <v>2.0</v>
      </c>
      <c r="O718" s="17">
        <v>31.9</v>
      </c>
      <c r="P718" s="17">
        <v>3.6</v>
      </c>
      <c r="Q718" s="15">
        <v>44721.0</v>
      </c>
      <c r="R718" s="12"/>
      <c r="S718" s="12" t="s">
        <v>55</v>
      </c>
      <c r="T718" s="12" t="s">
        <v>47</v>
      </c>
      <c r="U718" s="17">
        <f t="shared" si="1"/>
        <v>2</v>
      </c>
    </row>
    <row r="719">
      <c r="A719" s="12" t="s">
        <v>875</v>
      </c>
      <c r="B719" s="12" t="s">
        <v>362</v>
      </c>
      <c r="C719" s="17">
        <v>66.0</v>
      </c>
      <c r="D719" s="12" t="s">
        <v>35</v>
      </c>
      <c r="E719" s="12" t="s">
        <v>140</v>
      </c>
      <c r="F719" s="12" t="s">
        <v>62</v>
      </c>
      <c r="G719" s="12" t="s">
        <v>52</v>
      </c>
      <c r="H719" s="15">
        <v>45737.0</v>
      </c>
      <c r="I719" s="17">
        <v>36.0</v>
      </c>
      <c r="J719" s="12" t="s">
        <v>40</v>
      </c>
      <c r="K719" s="12" t="s">
        <v>65</v>
      </c>
      <c r="L719" s="17">
        <v>628.0</v>
      </c>
      <c r="M719" s="17">
        <v>0.0</v>
      </c>
      <c r="N719" s="17">
        <v>1.0</v>
      </c>
      <c r="O719" s="17">
        <v>11.3</v>
      </c>
      <c r="P719" s="17">
        <v>5.0</v>
      </c>
      <c r="Q719" s="15">
        <v>46332.0</v>
      </c>
      <c r="R719" s="12"/>
      <c r="S719" s="12" t="s">
        <v>55</v>
      </c>
      <c r="T719" s="12" t="s">
        <v>66</v>
      </c>
      <c r="U719" s="17">
        <f t="shared" si="1"/>
        <v>3</v>
      </c>
    </row>
    <row r="720">
      <c r="A720" s="12" t="s">
        <v>1199</v>
      </c>
      <c r="B720" s="12" t="s">
        <v>135</v>
      </c>
      <c r="C720" s="17">
        <v>40.0</v>
      </c>
      <c r="D720" s="12" t="s">
        <v>35</v>
      </c>
      <c r="E720" s="12" t="s">
        <v>36</v>
      </c>
      <c r="F720" s="12" t="s">
        <v>37</v>
      </c>
      <c r="G720" s="12" t="s">
        <v>52</v>
      </c>
      <c r="H720" s="15">
        <v>44759.0</v>
      </c>
      <c r="I720" s="17">
        <v>14.0</v>
      </c>
      <c r="J720" s="12" t="s">
        <v>40</v>
      </c>
      <c r="K720" s="12" t="s">
        <v>81</v>
      </c>
      <c r="L720" s="17">
        <v>1004.0</v>
      </c>
      <c r="M720" s="17">
        <v>3.0</v>
      </c>
      <c r="N720" s="17">
        <v>3.0</v>
      </c>
      <c r="O720" s="17">
        <v>25.0</v>
      </c>
      <c r="P720" s="17">
        <v>4.2</v>
      </c>
      <c r="Q720" s="15">
        <v>45165.0</v>
      </c>
      <c r="R720" s="12"/>
      <c r="S720" s="12" t="s">
        <v>55</v>
      </c>
      <c r="T720" s="12" t="s">
        <v>66</v>
      </c>
      <c r="U720" s="17">
        <f t="shared" si="1"/>
        <v>3</v>
      </c>
    </row>
    <row r="721">
      <c r="A721" s="12" t="s">
        <v>697</v>
      </c>
      <c r="B721" s="12" t="s">
        <v>734</v>
      </c>
      <c r="C721" s="17">
        <v>59.0</v>
      </c>
      <c r="D721" s="12" t="s">
        <v>69</v>
      </c>
      <c r="E721" s="12" t="s">
        <v>187</v>
      </c>
      <c r="F721" s="12" t="s">
        <v>372</v>
      </c>
      <c r="G721" s="12" t="s">
        <v>120</v>
      </c>
      <c r="H721" s="15">
        <v>45587.0</v>
      </c>
      <c r="I721" s="17">
        <v>23.0</v>
      </c>
      <c r="J721" s="12" t="s">
        <v>53</v>
      </c>
      <c r="K721" s="12" t="s">
        <v>42</v>
      </c>
      <c r="L721" s="17">
        <v>1140.0</v>
      </c>
      <c r="M721" s="17">
        <v>2.0</v>
      </c>
      <c r="N721" s="17">
        <v>0.0</v>
      </c>
      <c r="O721" s="17">
        <v>43.6</v>
      </c>
      <c r="P721" s="17">
        <v>3.9</v>
      </c>
      <c r="Q721" s="15">
        <v>45665.0</v>
      </c>
      <c r="R721" s="12"/>
      <c r="S721" s="12" t="s">
        <v>55</v>
      </c>
      <c r="T721" s="12" t="s">
        <v>66</v>
      </c>
      <c r="U721" s="17">
        <f t="shared" si="1"/>
        <v>2</v>
      </c>
    </row>
    <row r="722">
      <c r="A722" s="12" t="s">
        <v>1317</v>
      </c>
      <c r="B722" s="12" t="s">
        <v>139</v>
      </c>
      <c r="C722" s="17">
        <v>64.0</v>
      </c>
      <c r="D722" s="12" t="s">
        <v>69</v>
      </c>
      <c r="E722" s="12" t="s">
        <v>177</v>
      </c>
      <c r="F722" s="12" t="s">
        <v>62</v>
      </c>
      <c r="G722" s="12" t="s">
        <v>120</v>
      </c>
      <c r="H722" s="15">
        <v>45034.0</v>
      </c>
      <c r="I722" s="17">
        <v>4.0</v>
      </c>
      <c r="J722" s="12" t="s">
        <v>53</v>
      </c>
      <c r="K722" s="12" t="s">
        <v>42</v>
      </c>
      <c r="L722" s="17">
        <v>668.0</v>
      </c>
      <c r="M722" s="17">
        <v>2.0</v>
      </c>
      <c r="N722" s="17">
        <v>0.0</v>
      </c>
      <c r="O722" s="17">
        <v>5.4</v>
      </c>
      <c r="P722" s="17">
        <v>2.6</v>
      </c>
      <c r="Q722" s="15">
        <v>45118.0</v>
      </c>
      <c r="R722" s="12"/>
      <c r="S722" s="12" t="s">
        <v>55</v>
      </c>
      <c r="T722" s="12" t="s">
        <v>47</v>
      </c>
      <c r="U722" s="17">
        <f t="shared" si="1"/>
        <v>1</v>
      </c>
    </row>
    <row r="723">
      <c r="A723" s="12" t="s">
        <v>1129</v>
      </c>
      <c r="B723" s="12" t="s">
        <v>351</v>
      </c>
      <c r="C723" s="17">
        <v>35.0</v>
      </c>
      <c r="D723" s="12" t="s">
        <v>35</v>
      </c>
      <c r="E723" s="12" t="s">
        <v>51</v>
      </c>
      <c r="F723" s="12" t="s">
        <v>947</v>
      </c>
      <c r="G723" s="12" t="s">
        <v>80</v>
      </c>
      <c r="H723" s="15">
        <v>45586.0</v>
      </c>
      <c r="I723" s="17">
        <v>20.0</v>
      </c>
      <c r="J723" s="12" t="s">
        <v>64</v>
      </c>
      <c r="K723" s="12" t="s">
        <v>42</v>
      </c>
      <c r="L723" s="17">
        <v>3427.0</v>
      </c>
      <c r="M723" s="17">
        <v>3.0</v>
      </c>
      <c r="N723" s="17">
        <v>2.0</v>
      </c>
      <c r="O723" s="17">
        <v>27.4</v>
      </c>
      <c r="P723" s="17">
        <v>1.8</v>
      </c>
      <c r="Q723" s="15">
        <v>45709.0</v>
      </c>
      <c r="R723" s="12"/>
      <c r="S723" s="12" t="s">
        <v>827</v>
      </c>
      <c r="T723" s="12" t="s">
        <v>104</v>
      </c>
      <c r="U723" s="17">
        <f t="shared" si="1"/>
        <v>3</v>
      </c>
    </row>
    <row r="724">
      <c r="A724" s="12" t="s">
        <v>113</v>
      </c>
      <c r="B724" s="12" t="s">
        <v>316</v>
      </c>
      <c r="C724" s="17">
        <v>23.0</v>
      </c>
      <c r="D724" s="12" t="s">
        <v>85</v>
      </c>
      <c r="E724" s="12" t="s">
        <v>92</v>
      </c>
      <c r="F724" s="12" t="s">
        <v>62</v>
      </c>
      <c r="G724" s="12" t="s">
        <v>93</v>
      </c>
      <c r="H724" s="15">
        <v>44683.0</v>
      </c>
      <c r="I724" s="17">
        <v>9.0</v>
      </c>
      <c r="J724" s="12" t="s">
        <v>64</v>
      </c>
      <c r="K724" s="12" t="s">
        <v>81</v>
      </c>
      <c r="L724" s="17">
        <v>874.0</v>
      </c>
      <c r="M724" s="17">
        <v>2.0</v>
      </c>
      <c r="N724" s="17">
        <v>1.0</v>
      </c>
      <c r="O724" s="17">
        <v>14.3</v>
      </c>
      <c r="P724" s="17">
        <v>3.9</v>
      </c>
      <c r="Q724" s="15">
        <v>44724.0</v>
      </c>
      <c r="R724" s="12"/>
      <c r="S724" s="12" t="s">
        <v>55</v>
      </c>
      <c r="T724" s="12" t="s">
        <v>104</v>
      </c>
      <c r="U724" s="17">
        <f t="shared" si="1"/>
        <v>3</v>
      </c>
    </row>
    <row r="725">
      <c r="A725" s="12" t="s">
        <v>1318</v>
      </c>
      <c r="B725" s="12" t="s">
        <v>303</v>
      </c>
      <c r="C725" s="17">
        <v>50.0</v>
      </c>
      <c r="D725" s="12" t="s">
        <v>35</v>
      </c>
      <c r="E725" s="12" t="s">
        <v>140</v>
      </c>
      <c r="F725" s="12" t="s">
        <v>37</v>
      </c>
      <c r="G725" s="12" t="s">
        <v>80</v>
      </c>
      <c r="H725" s="15">
        <v>44727.0</v>
      </c>
      <c r="I725" s="17">
        <v>36.0</v>
      </c>
      <c r="J725" s="12" t="s">
        <v>64</v>
      </c>
      <c r="K725" s="12" t="s">
        <v>42</v>
      </c>
      <c r="L725" s="17">
        <v>1276.0</v>
      </c>
      <c r="M725" s="17">
        <v>1.0</v>
      </c>
      <c r="N725" s="17">
        <v>1.0</v>
      </c>
      <c r="O725" s="17">
        <v>26.9</v>
      </c>
      <c r="P725" s="17">
        <v>4.8</v>
      </c>
      <c r="Q725" s="15">
        <v>44822.0</v>
      </c>
      <c r="R725" s="12"/>
      <c r="S725" s="12" t="s">
        <v>230</v>
      </c>
      <c r="T725" s="12" t="s">
        <v>72</v>
      </c>
      <c r="U725" s="17">
        <f t="shared" si="1"/>
        <v>1</v>
      </c>
    </row>
    <row r="726">
      <c r="A726" s="12" t="s">
        <v>1319</v>
      </c>
      <c r="B726" s="12" t="s">
        <v>345</v>
      </c>
      <c r="C726" s="17">
        <v>22.0</v>
      </c>
      <c r="D726" s="12" t="s">
        <v>85</v>
      </c>
      <c r="E726" s="12" t="s">
        <v>92</v>
      </c>
      <c r="F726" s="12" t="s">
        <v>37</v>
      </c>
      <c r="G726" s="12" t="s">
        <v>39</v>
      </c>
      <c r="H726" s="15">
        <v>44605.0</v>
      </c>
      <c r="I726" s="17">
        <v>4.0</v>
      </c>
      <c r="J726" s="12" t="s">
        <v>53</v>
      </c>
      <c r="K726" s="12" t="s">
        <v>65</v>
      </c>
      <c r="L726" s="17">
        <v>1199.0</v>
      </c>
      <c r="M726" s="17">
        <v>2.0</v>
      </c>
      <c r="N726" s="17">
        <v>0.0</v>
      </c>
      <c r="O726" s="17">
        <v>23.5</v>
      </c>
      <c r="P726" s="17">
        <v>2.7</v>
      </c>
      <c r="Q726" s="15">
        <v>44712.0</v>
      </c>
      <c r="R726" s="12"/>
      <c r="S726" s="12" t="s">
        <v>55</v>
      </c>
      <c r="T726" s="12" t="s">
        <v>47</v>
      </c>
      <c r="U726" s="17">
        <f t="shared" si="1"/>
        <v>1</v>
      </c>
    </row>
    <row r="727">
      <c r="A727" s="12" t="s">
        <v>1320</v>
      </c>
      <c r="B727" s="12" t="s">
        <v>362</v>
      </c>
      <c r="C727" s="17">
        <v>24.0</v>
      </c>
      <c r="D727" s="12" t="s">
        <v>85</v>
      </c>
      <c r="E727" s="12" t="s">
        <v>111</v>
      </c>
      <c r="F727" s="12" t="s">
        <v>62</v>
      </c>
      <c r="G727" s="12" t="s">
        <v>63</v>
      </c>
      <c r="H727" s="15">
        <v>45822.0</v>
      </c>
      <c r="I727" s="17">
        <v>24.0</v>
      </c>
      <c r="J727" s="12" t="s">
        <v>64</v>
      </c>
      <c r="K727" s="12" t="s">
        <v>42</v>
      </c>
      <c r="L727" s="17">
        <v>674.0</v>
      </c>
      <c r="M727" s="17">
        <v>2.0</v>
      </c>
      <c r="N727" s="17">
        <v>0.0</v>
      </c>
      <c r="O727" s="17">
        <v>12.0</v>
      </c>
      <c r="P727" s="17">
        <v>3.1</v>
      </c>
      <c r="Q727" s="15">
        <v>45891.0</v>
      </c>
      <c r="R727" s="12"/>
      <c r="S727" s="12" t="s">
        <v>55</v>
      </c>
      <c r="T727" s="12" t="s">
        <v>47</v>
      </c>
      <c r="U727" s="17">
        <f t="shared" si="1"/>
        <v>3</v>
      </c>
    </row>
    <row r="728">
      <c r="A728" s="12" t="s">
        <v>1321</v>
      </c>
      <c r="B728" s="12" t="s">
        <v>281</v>
      </c>
      <c r="C728" s="17">
        <v>57.0</v>
      </c>
      <c r="D728" s="12" t="s">
        <v>35</v>
      </c>
      <c r="E728" s="12" t="s">
        <v>36</v>
      </c>
      <c r="F728" s="12" t="s">
        <v>79</v>
      </c>
      <c r="G728" s="12" t="s">
        <v>39</v>
      </c>
      <c r="H728" s="15">
        <v>44678.0</v>
      </c>
      <c r="I728" s="17">
        <v>5.0</v>
      </c>
      <c r="J728" s="12" t="s">
        <v>64</v>
      </c>
      <c r="K728" s="12" t="s">
        <v>42</v>
      </c>
      <c r="L728" s="17">
        <v>2577.0</v>
      </c>
      <c r="M728" s="17">
        <v>3.0</v>
      </c>
      <c r="N728" s="17">
        <v>0.0</v>
      </c>
      <c r="O728" s="17">
        <v>40.3</v>
      </c>
      <c r="P728" s="17">
        <v>0.0</v>
      </c>
      <c r="Q728" s="15">
        <v>44699.0</v>
      </c>
      <c r="R728" s="12"/>
      <c r="S728" s="12" t="s">
        <v>55</v>
      </c>
      <c r="T728" s="12" t="s">
        <v>72</v>
      </c>
      <c r="U728" s="17">
        <f t="shared" si="1"/>
        <v>1</v>
      </c>
    </row>
    <row r="729">
      <c r="A729" s="12" t="s">
        <v>1232</v>
      </c>
      <c r="B729" s="12" t="s">
        <v>316</v>
      </c>
      <c r="C729" s="17">
        <v>64.0</v>
      </c>
      <c r="D729" s="12" t="s">
        <v>85</v>
      </c>
      <c r="E729" s="12" t="s">
        <v>87</v>
      </c>
      <c r="F729" s="12" t="s">
        <v>37</v>
      </c>
      <c r="G729" s="12" t="s">
        <v>52</v>
      </c>
      <c r="H729" s="15">
        <v>44719.0</v>
      </c>
      <c r="I729" s="17">
        <v>5.0</v>
      </c>
      <c r="J729" s="12" t="s">
        <v>53</v>
      </c>
      <c r="K729" s="12" t="s">
        <v>65</v>
      </c>
      <c r="L729" s="17">
        <v>1209.0</v>
      </c>
      <c r="M729" s="17">
        <v>5.0</v>
      </c>
      <c r="N729" s="17">
        <v>0.0</v>
      </c>
      <c r="O729" s="17">
        <v>28.4</v>
      </c>
      <c r="P729" s="17">
        <v>2.1</v>
      </c>
      <c r="Q729" s="15">
        <v>44820.0</v>
      </c>
      <c r="R729" s="12"/>
      <c r="S729" s="12" t="s">
        <v>55</v>
      </c>
      <c r="T729" s="12" t="s">
        <v>66</v>
      </c>
      <c r="U729" s="17">
        <f t="shared" si="1"/>
        <v>3</v>
      </c>
    </row>
    <row r="730">
      <c r="A730" s="12" t="s">
        <v>1322</v>
      </c>
      <c r="B730" s="12" t="s">
        <v>241</v>
      </c>
      <c r="C730" s="17">
        <v>24.0</v>
      </c>
      <c r="D730" s="12" t="s">
        <v>69</v>
      </c>
      <c r="E730" s="12" t="s">
        <v>177</v>
      </c>
      <c r="F730" s="12" t="s">
        <v>62</v>
      </c>
      <c r="G730" s="12" t="s">
        <v>80</v>
      </c>
      <c r="H730" s="15">
        <v>45593.0</v>
      </c>
      <c r="I730" s="17">
        <v>7.0</v>
      </c>
      <c r="J730" s="12" t="s">
        <v>40</v>
      </c>
      <c r="K730" s="12" t="s">
        <v>42</v>
      </c>
      <c r="L730" s="17">
        <v>709.0</v>
      </c>
      <c r="M730" s="17">
        <v>3.0</v>
      </c>
      <c r="N730" s="17">
        <v>0.0</v>
      </c>
      <c r="O730" s="17">
        <v>4.2</v>
      </c>
      <c r="P730" s="17">
        <v>2.9</v>
      </c>
      <c r="Q730" s="15">
        <v>45762.0</v>
      </c>
      <c r="R730" s="12"/>
      <c r="S730" s="12" t="s">
        <v>55</v>
      </c>
      <c r="T730" s="12" t="s">
        <v>66</v>
      </c>
      <c r="U730" s="17">
        <f t="shared" si="1"/>
        <v>2</v>
      </c>
    </row>
    <row r="731">
      <c r="A731" s="12" t="s">
        <v>1323</v>
      </c>
      <c r="B731" s="12" t="s">
        <v>303</v>
      </c>
      <c r="C731" s="17">
        <v>50.0</v>
      </c>
      <c r="D731" s="12" t="s">
        <v>60</v>
      </c>
      <c r="E731" s="12" t="s">
        <v>97</v>
      </c>
      <c r="F731" s="12" t="s">
        <v>62</v>
      </c>
      <c r="G731" s="12" t="s">
        <v>52</v>
      </c>
      <c r="H731" s="15">
        <v>44852.0</v>
      </c>
      <c r="I731" s="17">
        <v>3.0</v>
      </c>
      <c r="J731" s="12" t="s">
        <v>40</v>
      </c>
      <c r="K731" s="12" t="s">
        <v>65</v>
      </c>
      <c r="L731" s="17">
        <v>856.0</v>
      </c>
      <c r="M731" s="17">
        <v>3.0</v>
      </c>
      <c r="N731" s="17">
        <v>2.0</v>
      </c>
      <c r="O731" s="17">
        <v>31.6</v>
      </c>
      <c r="P731" s="17">
        <v>3.3</v>
      </c>
      <c r="Q731" s="15">
        <v>44959.0</v>
      </c>
      <c r="R731" s="12" t="s">
        <v>1324</v>
      </c>
      <c r="S731" s="12" t="s">
        <v>45</v>
      </c>
      <c r="T731" s="12" t="s">
        <v>72</v>
      </c>
      <c r="U731" s="17">
        <f t="shared" si="1"/>
        <v>1</v>
      </c>
    </row>
    <row r="732">
      <c r="A732" s="12" t="s">
        <v>1058</v>
      </c>
      <c r="B732" s="12" t="s">
        <v>364</v>
      </c>
      <c r="C732" s="17">
        <v>33.0</v>
      </c>
      <c r="D732" s="12" t="s">
        <v>85</v>
      </c>
      <c r="E732" s="12" t="s">
        <v>92</v>
      </c>
      <c r="F732" s="12" t="s">
        <v>37</v>
      </c>
      <c r="G732" s="12" t="s">
        <v>63</v>
      </c>
      <c r="H732" s="15">
        <v>44684.0</v>
      </c>
      <c r="I732" s="17">
        <v>18.0</v>
      </c>
      <c r="J732" s="12" t="s">
        <v>40</v>
      </c>
      <c r="K732" s="12" t="s">
        <v>65</v>
      </c>
      <c r="L732" s="17">
        <v>1506.0</v>
      </c>
      <c r="M732" s="17">
        <v>1.0</v>
      </c>
      <c r="N732" s="17">
        <v>0.0</v>
      </c>
      <c r="O732" s="17">
        <v>31.4</v>
      </c>
      <c r="P732" s="17">
        <v>5.0</v>
      </c>
      <c r="Q732" s="15">
        <v>45085.0</v>
      </c>
      <c r="R732" s="12" t="s">
        <v>1325</v>
      </c>
      <c r="S732" s="12" t="s">
        <v>45</v>
      </c>
      <c r="T732" s="12" t="s">
        <v>47</v>
      </c>
      <c r="U732" s="17">
        <f t="shared" si="1"/>
        <v>3</v>
      </c>
    </row>
    <row r="733">
      <c r="A733" s="12" t="s">
        <v>1326</v>
      </c>
      <c r="B733" s="12" t="s">
        <v>172</v>
      </c>
      <c r="C733" s="17">
        <v>67.0</v>
      </c>
      <c r="D733" s="12" t="s">
        <v>85</v>
      </c>
      <c r="E733" s="12" t="s">
        <v>292</v>
      </c>
      <c r="F733" s="12" t="s">
        <v>37</v>
      </c>
      <c r="G733" s="12" t="s">
        <v>63</v>
      </c>
      <c r="H733" s="15">
        <v>45671.0</v>
      </c>
      <c r="I733" s="17">
        <v>23.0</v>
      </c>
      <c r="J733" s="12" t="s">
        <v>40</v>
      </c>
      <c r="K733" s="12" t="s">
        <v>65</v>
      </c>
      <c r="L733" s="17">
        <v>1771.0</v>
      </c>
      <c r="M733" s="17">
        <v>3.0</v>
      </c>
      <c r="N733" s="17">
        <v>0.0</v>
      </c>
      <c r="O733" s="17">
        <v>35.5</v>
      </c>
      <c r="P733" s="17">
        <v>3.9</v>
      </c>
      <c r="Q733" s="15">
        <v>46025.0</v>
      </c>
      <c r="R733" s="12" t="s">
        <v>390</v>
      </c>
      <c r="S733" s="12" t="s">
        <v>45</v>
      </c>
      <c r="T733" s="12" t="s">
        <v>66</v>
      </c>
      <c r="U733" s="17">
        <f t="shared" si="1"/>
        <v>1</v>
      </c>
    </row>
    <row r="734">
      <c r="A734" s="12" t="s">
        <v>1327</v>
      </c>
      <c r="B734" s="12" t="s">
        <v>232</v>
      </c>
      <c r="C734" s="17">
        <v>29.0</v>
      </c>
      <c r="D734" s="12" t="s">
        <v>85</v>
      </c>
      <c r="E734" s="12" t="s">
        <v>292</v>
      </c>
      <c r="F734" s="12" t="s">
        <v>37</v>
      </c>
      <c r="G734" s="12" t="s">
        <v>80</v>
      </c>
      <c r="H734" s="15">
        <v>45356.0</v>
      </c>
      <c r="I734" s="17">
        <v>47.0</v>
      </c>
      <c r="J734" s="12" t="s">
        <v>53</v>
      </c>
      <c r="K734" s="12" t="s">
        <v>65</v>
      </c>
      <c r="L734" s="17">
        <v>1546.0</v>
      </c>
      <c r="M734" s="17">
        <v>1.0</v>
      </c>
      <c r="N734" s="17">
        <v>0.0</v>
      </c>
      <c r="O734" s="17">
        <v>12.3</v>
      </c>
      <c r="P734" s="17">
        <v>3.6</v>
      </c>
      <c r="Q734" s="15">
        <v>46234.0</v>
      </c>
      <c r="R734" s="12" t="s">
        <v>1328</v>
      </c>
      <c r="S734" s="12" t="s">
        <v>45</v>
      </c>
      <c r="T734" s="12" t="s">
        <v>47</v>
      </c>
      <c r="U734" s="17">
        <f t="shared" si="1"/>
        <v>1</v>
      </c>
    </row>
    <row r="735">
      <c r="A735" s="12" t="s">
        <v>677</v>
      </c>
      <c r="B735" s="12" t="s">
        <v>232</v>
      </c>
      <c r="C735" s="17">
        <v>42.0</v>
      </c>
      <c r="D735" s="12" t="s">
        <v>35</v>
      </c>
      <c r="E735" s="12" t="s">
        <v>161</v>
      </c>
      <c r="F735" s="12" t="s">
        <v>37</v>
      </c>
      <c r="G735" s="12" t="s">
        <v>210</v>
      </c>
      <c r="H735" s="15">
        <v>44737.0</v>
      </c>
      <c r="I735" s="17">
        <v>16.0</v>
      </c>
      <c r="J735" s="12" t="s">
        <v>53</v>
      </c>
      <c r="K735" s="12" t="s">
        <v>81</v>
      </c>
      <c r="L735" s="17">
        <v>1344.0</v>
      </c>
      <c r="M735" s="17">
        <v>0.0</v>
      </c>
      <c r="N735" s="17">
        <v>3.0</v>
      </c>
      <c r="O735" s="17">
        <v>26.0</v>
      </c>
      <c r="P735" s="17">
        <v>2.2</v>
      </c>
      <c r="Q735" s="15">
        <v>44949.0</v>
      </c>
      <c r="R735" s="12" t="s">
        <v>1329</v>
      </c>
      <c r="S735" s="12" t="s">
        <v>45</v>
      </c>
      <c r="T735" s="12" t="s">
        <v>72</v>
      </c>
      <c r="U735" s="17">
        <f t="shared" si="1"/>
        <v>5</v>
      </c>
    </row>
    <row r="736">
      <c r="A736" s="12" t="s">
        <v>1330</v>
      </c>
      <c r="B736" s="12" t="s">
        <v>364</v>
      </c>
      <c r="C736" s="17">
        <v>41.0</v>
      </c>
      <c r="D736" s="12" t="s">
        <v>35</v>
      </c>
      <c r="E736" s="12" t="s">
        <v>36</v>
      </c>
      <c r="F736" s="12" t="s">
        <v>62</v>
      </c>
      <c r="G736" s="12" t="s">
        <v>52</v>
      </c>
      <c r="H736" s="15">
        <v>45219.0</v>
      </c>
      <c r="I736" s="17">
        <v>17.0</v>
      </c>
      <c r="J736" s="12" t="s">
        <v>53</v>
      </c>
      <c r="K736" s="12" t="s">
        <v>81</v>
      </c>
      <c r="L736" s="17">
        <v>726.0</v>
      </c>
      <c r="M736" s="17">
        <v>1.0</v>
      </c>
      <c r="N736" s="17">
        <v>2.0</v>
      </c>
      <c r="O736" s="17">
        <v>23.2</v>
      </c>
      <c r="P736" s="17">
        <v>4.2</v>
      </c>
      <c r="Q736" s="15">
        <v>45679.0</v>
      </c>
      <c r="R736" s="12" t="s">
        <v>1331</v>
      </c>
      <c r="S736" s="12" t="s">
        <v>45</v>
      </c>
      <c r="T736" s="12" t="s">
        <v>66</v>
      </c>
      <c r="U736" s="17">
        <f t="shared" si="1"/>
        <v>2</v>
      </c>
    </row>
    <row r="737">
      <c r="A737" s="12" t="s">
        <v>1332</v>
      </c>
      <c r="B737" s="12" t="s">
        <v>420</v>
      </c>
      <c r="C737" s="17">
        <v>50.0</v>
      </c>
      <c r="D737" s="12" t="s">
        <v>85</v>
      </c>
      <c r="E737" s="12" t="s">
        <v>292</v>
      </c>
      <c r="F737" s="12" t="s">
        <v>37</v>
      </c>
      <c r="G737" s="12" t="s">
        <v>63</v>
      </c>
      <c r="H737" s="15">
        <v>45128.0</v>
      </c>
      <c r="I737" s="17">
        <v>40.0</v>
      </c>
      <c r="J737" s="12" t="s">
        <v>40</v>
      </c>
      <c r="K737" s="12" t="s">
        <v>42</v>
      </c>
      <c r="L737" s="17">
        <v>1450.0</v>
      </c>
      <c r="M737" s="17">
        <v>1.0</v>
      </c>
      <c r="N737" s="17">
        <v>1.0</v>
      </c>
      <c r="O737" s="17">
        <v>23.2</v>
      </c>
      <c r="P737" s="17">
        <v>5.0</v>
      </c>
      <c r="Q737" s="15">
        <v>45666.0</v>
      </c>
      <c r="R737" s="12"/>
      <c r="S737" s="12" t="s">
        <v>55</v>
      </c>
      <c r="T737" s="12" t="s">
        <v>47</v>
      </c>
      <c r="U737" s="17">
        <f t="shared" si="1"/>
        <v>2</v>
      </c>
    </row>
    <row r="738">
      <c r="A738" s="12" t="s">
        <v>1227</v>
      </c>
      <c r="B738" s="12" t="s">
        <v>395</v>
      </c>
      <c r="C738" s="17">
        <v>22.0</v>
      </c>
      <c r="D738" s="12" t="s">
        <v>35</v>
      </c>
      <c r="E738" s="12" t="s">
        <v>51</v>
      </c>
      <c r="F738" s="12" t="s">
        <v>192</v>
      </c>
      <c r="G738" s="12" t="s">
        <v>63</v>
      </c>
      <c r="H738" s="15">
        <v>44939.0</v>
      </c>
      <c r="I738" s="17">
        <v>44.0</v>
      </c>
      <c r="J738" s="12" t="s">
        <v>64</v>
      </c>
      <c r="K738" s="12" t="s">
        <v>65</v>
      </c>
      <c r="L738" s="17">
        <v>724.0</v>
      </c>
      <c r="M738" s="17">
        <v>1.0</v>
      </c>
      <c r="N738" s="17">
        <v>2.0</v>
      </c>
      <c r="O738" s="17">
        <v>4.1</v>
      </c>
      <c r="P738" s="17">
        <v>3.2</v>
      </c>
      <c r="Q738" s="15">
        <v>45034.0</v>
      </c>
      <c r="R738" s="12"/>
      <c r="S738" s="12" t="s">
        <v>55</v>
      </c>
      <c r="T738" s="12" t="s">
        <v>72</v>
      </c>
      <c r="U738" s="17">
        <f t="shared" si="1"/>
        <v>2</v>
      </c>
    </row>
    <row r="739">
      <c r="A739" s="12" t="s">
        <v>375</v>
      </c>
      <c r="B739" s="12" t="s">
        <v>636</v>
      </c>
      <c r="C739" s="17">
        <v>55.0</v>
      </c>
      <c r="D739" s="12" t="s">
        <v>60</v>
      </c>
      <c r="E739" s="12" t="s">
        <v>61</v>
      </c>
      <c r="F739" s="12" t="s">
        <v>37</v>
      </c>
      <c r="G739" s="12" t="s">
        <v>210</v>
      </c>
      <c r="H739" s="15">
        <v>44785.0</v>
      </c>
      <c r="I739" s="17">
        <v>5.0</v>
      </c>
      <c r="J739" s="12" t="s">
        <v>53</v>
      </c>
      <c r="K739" s="12" t="s">
        <v>81</v>
      </c>
      <c r="L739" s="17">
        <v>1522.0</v>
      </c>
      <c r="M739" s="17">
        <v>1.0</v>
      </c>
      <c r="N739" s="17">
        <v>3.0</v>
      </c>
      <c r="O739" s="17">
        <v>28.6</v>
      </c>
      <c r="P739" s="17">
        <v>4.6</v>
      </c>
      <c r="Q739" s="15">
        <v>44855.0</v>
      </c>
      <c r="R739" s="12"/>
      <c r="S739" s="12" t="s">
        <v>55</v>
      </c>
      <c r="T739" s="12" t="s">
        <v>75</v>
      </c>
      <c r="U739" s="17">
        <f t="shared" si="1"/>
        <v>2</v>
      </c>
    </row>
    <row r="740">
      <c r="A740" s="12" t="s">
        <v>1333</v>
      </c>
      <c r="B740" s="12" t="s">
        <v>152</v>
      </c>
      <c r="C740" s="17">
        <v>29.0</v>
      </c>
      <c r="D740" s="12" t="s">
        <v>85</v>
      </c>
      <c r="E740" s="12"/>
      <c r="F740" s="12" t="s">
        <v>62</v>
      </c>
      <c r="G740" s="12" t="s">
        <v>210</v>
      </c>
      <c r="H740" s="15">
        <v>45805.0</v>
      </c>
      <c r="I740" s="17">
        <v>24.0</v>
      </c>
      <c r="J740" s="12" t="s">
        <v>53</v>
      </c>
      <c r="K740" s="12" t="s">
        <v>42</v>
      </c>
      <c r="L740" s="17">
        <v>707.0</v>
      </c>
      <c r="M740" s="17">
        <v>4.0</v>
      </c>
      <c r="N740" s="17">
        <v>0.0</v>
      </c>
      <c r="O740" s="17">
        <v>14.8</v>
      </c>
      <c r="P740" s="17">
        <v>3.1</v>
      </c>
      <c r="Q740" s="15">
        <v>46296.0</v>
      </c>
      <c r="R740" s="12"/>
      <c r="S740" s="12" t="s">
        <v>55</v>
      </c>
      <c r="T740" s="12" t="s">
        <v>72</v>
      </c>
      <c r="U740" s="17">
        <f t="shared" si="1"/>
        <v>3</v>
      </c>
    </row>
    <row r="741">
      <c r="A741" s="12" t="s">
        <v>1334</v>
      </c>
      <c r="B741" s="12" t="s">
        <v>312</v>
      </c>
      <c r="C741" s="17">
        <v>43.0</v>
      </c>
      <c r="D741" s="12" t="s">
        <v>35</v>
      </c>
      <c r="E741" s="12" t="s">
        <v>36</v>
      </c>
      <c r="F741" s="12" t="s">
        <v>37</v>
      </c>
      <c r="G741" s="12" t="s">
        <v>93</v>
      </c>
      <c r="H741" s="15">
        <v>45203.0</v>
      </c>
      <c r="I741" s="17">
        <v>33.0</v>
      </c>
      <c r="J741" s="12" t="s">
        <v>64</v>
      </c>
      <c r="K741" s="12" t="s">
        <v>42</v>
      </c>
      <c r="L741" s="17">
        <v>1519.0</v>
      </c>
      <c r="M741" s="17">
        <v>3.0</v>
      </c>
      <c r="N741" s="17">
        <v>0.0</v>
      </c>
      <c r="O741" s="17">
        <v>20.8</v>
      </c>
      <c r="P741" s="17">
        <v>4.6</v>
      </c>
      <c r="Q741" s="15">
        <v>45808.0</v>
      </c>
      <c r="R741" s="12"/>
      <c r="S741" s="12" t="s">
        <v>55</v>
      </c>
      <c r="T741" s="12" t="s">
        <v>47</v>
      </c>
      <c r="U741" s="17">
        <f t="shared" si="1"/>
        <v>2</v>
      </c>
    </row>
    <row r="742">
      <c r="A742" s="12" t="s">
        <v>540</v>
      </c>
      <c r="B742" s="12" t="s">
        <v>303</v>
      </c>
      <c r="C742" s="17">
        <v>57.0</v>
      </c>
      <c r="D742" s="12" t="s">
        <v>35</v>
      </c>
      <c r="E742" s="12" t="s">
        <v>36</v>
      </c>
      <c r="F742" s="12" t="s">
        <v>79</v>
      </c>
      <c r="G742" s="12" t="s">
        <v>39</v>
      </c>
      <c r="H742" s="15">
        <v>45719.0</v>
      </c>
      <c r="I742" s="17">
        <v>33.0</v>
      </c>
      <c r="J742" s="12" t="s">
        <v>53</v>
      </c>
      <c r="K742" s="12" t="s">
        <v>81</v>
      </c>
      <c r="L742" s="17">
        <v>3502.0</v>
      </c>
      <c r="M742" s="17">
        <v>3.0</v>
      </c>
      <c r="N742" s="17">
        <v>2.0</v>
      </c>
      <c r="O742" s="17">
        <v>46.6</v>
      </c>
      <c r="P742" s="17">
        <v>4.5</v>
      </c>
      <c r="Q742" s="15">
        <v>46157.0</v>
      </c>
      <c r="R742" s="12" t="s">
        <v>1335</v>
      </c>
      <c r="S742" s="12" t="s">
        <v>45</v>
      </c>
      <c r="T742" s="12" t="s">
        <v>66</v>
      </c>
      <c r="U742" s="17">
        <f t="shared" si="1"/>
        <v>4</v>
      </c>
    </row>
    <row r="743">
      <c r="A743" s="12" t="s">
        <v>535</v>
      </c>
      <c r="B743" s="12" t="s">
        <v>257</v>
      </c>
      <c r="C743" s="17">
        <v>66.0</v>
      </c>
      <c r="D743" s="12" t="s">
        <v>85</v>
      </c>
      <c r="E743" s="12" t="s">
        <v>92</v>
      </c>
      <c r="F743" s="12" t="s">
        <v>62</v>
      </c>
      <c r="G743" s="12" t="s">
        <v>93</v>
      </c>
      <c r="H743" s="15">
        <v>45740.0</v>
      </c>
      <c r="I743" s="17">
        <v>19.0</v>
      </c>
      <c r="J743" s="12" t="s">
        <v>40</v>
      </c>
      <c r="K743" s="12" t="s">
        <v>81</v>
      </c>
      <c r="L743" s="17">
        <v>667.0</v>
      </c>
      <c r="M743" s="17">
        <v>3.0</v>
      </c>
      <c r="N743" s="17">
        <v>0.0</v>
      </c>
      <c r="O743" s="17">
        <v>20.8</v>
      </c>
      <c r="P743" s="17">
        <v>2.9</v>
      </c>
      <c r="Q743" s="15">
        <v>46120.0</v>
      </c>
      <c r="R743" s="12" t="s">
        <v>1336</v>
      </c>
      <c r="S743" s="12" t="s">
        <v>45</v>
      </c>
      <c r="T743" s="12" t="s">
        <v>47</v>
      </c>
      <c r="U743" s="17">
        <f t="shared" si="1"/>
        <v>3</v>
      </c>
    </row>
    <row r="744">
      <c r="A744" s="12" t="s">
        <v>1337</v>
      </c>
      <c r="B744" s="12" t="s">
        <v>801</v>
      </c>
      <c r="C744" s="17">
        <v>55.0</v>
      </c>
      <c r="D744" s="12" t="s">
        <v>85</v>
      </c>
      <c r="E744" s="12" t="s">
        <v>92</v>
      </c>
      <c r="F744" s="12" t="s">
        <v>62</v>
      </c>
      <c r="G744" s="12" t="s">
        <v>80</v>
      </c>
      <c r="H744" s="15">
        <v>45597.0</v>
      </c>
      <c r="I744" s="17">
        <v>5.0</v>
      </c>
      <c r="J744" s="12" t="s">
        <v>40</v>
      </c>
      <c r="K744" s="12" t="s">
        <v>81</v>
      </c>
      <c r="L744" s="17">
        <v>833.0</v>
      </c>
      <c r="M744" s="17">
        <v>1.0</v>
      </c>
      <c r="N744" s="17">
        <v>1.0</v>
      </c>
      <c r="O744" s="17">
        <v>22.3</v>
      </c>
      <c r="P744" s="17">
        <v>4.5</v>
      </c>
      <c r="Q744" s="15">
        <v>45665.0</v>
      </c>
      <c r="R744" s="12" t="s">
        <v>1338</v>
      </c>
      <c r="S744" s="12" t="s">
        <v>45</v>
      </c>
      <c r="T744" s="12" t="s">
        <v>47</v>
      </c>
      <c r="U744" s="17">
        <f t="shared" si="1"/>
        <v>3</v>
      </c>
    </row>
    <row r="745">
      <c r="A745" s="12" t="s">
        <v>1339</v>
      </c>
      <c r="B745" s="12" t="s">
        <v>383</v>
      </c>
      <c r="C745" s="17">
        <v>59.0</v>
      </c>
      <c r="D745" s="12" t="s">
        <v>85</v>
      </c>
      <c r="E745" s="12" t="s">
        <v>111</v>
      </c>
      <c r="F745" s="12" t="s">
        <v>37</v>
      </c>
      <c r="G745" s="12" t="s">
        <v>93</v>
      </c>
      <c r="H745" s="15">
        <v>45149.0</v>
      </c>
      <c r="I745" s="17">
        <v>22.0</v>
      </c>
      <c r="J745" s="12" t="s">
        <v>429</v>
      </c>
      <c r="K745" s="12" t="s">
        <v>42</v>
      </c>
      <c r="L745" s="17">
        <v>1417.0</v>
      </c>
      <c r="M745" s="17">
        <v>2.0</v>
      </c>
      <c r="N745" s="17">
        <v>1.0</v>
      </c>
      <c r="O745" s="17">
        <v>29.6</v>
      </c>
      <c r="P745" s="17">
        <v>4.2</v>
      </c>
      <c r="Q745" s="15">
        <v>45676.0</v>
      </c>
      <c r="R745" s="12"/>
      <c r="S745" s="12" t="s">
        <v>55</v>
      </c>
      <c r="T745" s="12" t="s">
        <v>75</v>
      </c>
      <c r="U745" s="17">
        <f t="shared" si="1"/>
        <v>1</v>
      </c>
    </row>
    <row r="746">
      <c r="A746" s="12" t="s">
        <v>1340</v>
      </c>
      <c r="B746" s="12" t="s">
        <v>126</v>
      </c>
      <c r="C746" s="17">
        <v>23.0</v>
      </c>
      <c r="D746" s="12" t="s">
        <v>69</v>
      </c>
      <c r="E746" s="12" t="s">
        <v>70</v>
      </c>
      <c r="F746" s="12" t="s">
        <v>62</v>
      </c>
      <c r="G746" s="12" t="s">
        <v>93</v>
      </c>
      <c r="H746" s="15">
        <v>45697.0</v>
      </c>
      <c r="I746" s="17">
        <v>46.0</v>
      </c>
      <c r="J746" s="12" t="s">
        <v>40</v>
      </c>
      <c r="K746" s="12" t="s">
        <v>81</v>
      </c>
      <c r="L746" s="17">
        <v>879.0</v>
      </c>
      <c r="M746" s="17">
        <v>3.0</v>
      </c>
      <c r="N746" s="17">
        <v>0.0</v>
      </c>
      <c r="O746" s="17">
        <v>1.0</v>
      </c>
      <c r="P746" s="17">
        <v>3.4</v>
      </c>
      <c r="Q746" s="15">
        <v>45776.0</v>
      </c>
      <c r="R746" s="12" t="s">
        <v>1341</v>
      </c>
      <c r="S746" s="12" t="s">
        <v>45</v>
      </c>
      <c r="T746" s="12" t="s">
        <v>66</v>
      </c>
      <c r="U746" s="17">
        <f t="shared" si="1"/>
        <v>2</v>
      </c>
    </row>
    <row r="747">
      <c r="A747" s="12" t="s">
        <v>1024</v>
      </c>
      <c r="B747" s="12" t="s">
        <v>91</v>
      </c>
      <c r="C747" s="17">
        <v>65.0</v>
      </c>
      <c r="D747" s="12" t="s">
        <v>85</v>
      </c>
      <c r="E747" s="12" t="s">
        <v>92</v>
      </c>
      <c r="F747" s="12" t="s">
        <v>62</v>
      </c>
      <c r="G747" s="12" t="s">
        <v>52</v>
      </c>
      <c r="H747" s="15">
        <v>45702.0</v>
      </c>
      <c r="I747" s="17">
        <v>16.0</v>
      </c>
      <c r="J747" s="12" t="s">
        <v>40</v>
      </c>
      <c r="K747" s="12" t="s">
        <v>42</v>
      </c>
      <c r="L747" s="17">
        <v>559.0</v>
      </c>
      <c r="M747" s="17">
        <v>0.0</v>
      </c>
      <c r="N747" s="17">
        <v>3.0</v>
      </c>
      <c r="O747" s="17">
        <v>20.8</v>
      </c>
      <c r="P747" s="17">
        <v>2.9</v>
      </c>
      <c r="Q747" s="15">
        <v>46134.0</v>
      </c>
      <c r="R747" s="12"/>
      <c r="S747" s="12" t="s">
        <v>55</v>
      </c>
      <c r="T747" s="12" t="s">
        <v>72</v>
      </c>
      <c r="U747" s="17">
        <f t="shared" si="1"/>
        <v>3</v>
      </c>
    </row>
    <row r="748">
      <c r="A748" s="12" t="s">
        <v>723</v>
      </c>
      <c r="B748" s="12" t="s">
        <v>340</v>
      </c>
      <c r="C748" s="12" t="s">
        <v>939</v>
      </c>
      <c r="D748" s="12" t="s">
        <v>85</v>
      </c>
      <c r="E748" s="12" t="s">
        <v>87</v>
      </c>
      <c r="F748" s="12" t="s">
        <v>37</v>
      </c>
      <c r="G748" s="12" t="s">
        <v>120</v>
      </c>
      <c r="H748" s="15">
        <v>45154.0</v>
      </c>
      <c r="I748" s="17">
        <v>31.0</v>
      </c>
      <c r="J748" s="12" t="s">
        <v>40</v>
      </c>
      <c r="K748" s="12" t="s">
        <v>81</v>
      </c>
      <c r="L748" s="17">
        <v>1186.0</v>
      </c>
      <c r="M748" s="17">
        <v>2.0</v>
      </c>
      <c r="N748" s="17">
        <v>1.0</v>
      </c>
      <c r="O748" s="17">
        <v>21.6</v>
      </c>
      <c r="P748" s="17">
        <v>3.6</v>
      </c>
      <c r="Q748" s="15">
        <v>45948.0</v>
      </c>
      <c r="R748" s="12"/>
      <c r="S748" s="12" t="s">
        <v>55</v>
      </c>
      <c r="T748" s="12" t="s">
        <v>66</v>
      </c>
      <c r="U748" s="17">
        <f t="shared" si="1"/>
        <v>3</v>
      </c>
    </row>
    <row r="749">
      <c r="A749" s="12" t="s">
        <v>1344</v>
      </c>
      <c r="B749" s="12" t="s">
        <v>257</v>
      </c>
      <c r="C749" s="17">
        <v>22.0</v>
      </c>
      <c r="D749" s="12" t="s">
        <v>85</v>
      </c>
      <c r="E749" s="12" t="s">
        <v>87</v>
      </c>
      <c r="F749" s="12" t="s">
        <v>62</v>
      </c>
      <c r="G749" s="12" t="s">
        <v>39</v>
      </c>
      <c r="H749" s="15">
        <v>45603.0</v>
      </c>
      <c r="I749" s="17">
        <v>47.0</v>
      </c>
      <c r="J749" s="12" t="s">
        <v>64</v>
      </c>
      <c r="K749" s="12" t="s">
        <v>81</v>
      </c>
      <c r="L749" s="17">
        <v>894.0</v>
      </c>
      <c r="M749" s="17">
        <v>1.0</v>
      </c>
      <c r="N749" s="17">
        <v>0.0</v>
      </c>
      <c r="O749" s="17">
        <v>15.3</v>
      </c>
      <c r="P749" s="17">
        <v>4.2</v>
      </c>
      <c r="Q749" s="15">
        <v>46221.0</v>
      </c>
      <c r="R749" s="12"/>
      <c r="S749" s="12" t="s">
        <v>55</v>
      </c>
      <c r="T749" s="12" t="s">
        <v>66</v>
      </c>
      <c r="U749" s="17">
        <f t="shared" si="1"/>
        <v>3</v>
      </c>
    </row>
    <row r="750">
      <c r="A750" s="12" t="s">
        <v>183</v>
      </c>
      <c r="B750" s="12" t="s">
        <v>176</v>
      </c>
      <c r="C750" s="17">
        <v>55.0</v>
      </c>
      <c r="D750" s="12" t="s">
        <v>306</v>
      </c>
      <c r="E750" s="12" t="s">
        <v>92</v>
      </c>
      <c r="F750" s="12" t="s">
        <v>62</v>
      </c>
      <c r="G750" s="12" t="s">
        <v>210</v>
      </c>
      <c r="H750" s="15">
        <v>44927.0</v>
      </c>
      <c r="I750" s="17">
        <v>10.0</v>
      </c>
      <c r="J750" s="12" t="s">
        <v>64</v>
      </c>
      <c r="K750" s="12" t="s">
        <v>65</v>
      </c>
      <c r="L750" s="17">
        <v>875.0</v>
      </c>
      <c r="M750" s="17">
        <v>2.0</v>
      </c>
      <c r="N750" s="17">
        <v>2.0</v>
      </c>
      <c r="O750" s="17">
        <v>16.3</v>
      </c>
      <c r="P750" s="17">
        <v>4.8</v>
      </c>
      <c r="Q750" s="15">
        <v>45157.0</v>
      </c>
      <c r="R750" s="12"/>
      <c r="S750" s="12" t="s">
        <v>55</v>
      </c>
      <c r="T750" s="12" t="s">
        <v>104</v>
      </c>
      <c r="U750" s="17">
        <f t="shared" si="1"/>
        <v>2</v>
      </c>
    </row>
    <row r="751">
      <c r="A751" s="12" t="s">
        <v>1355</v>
      </c>
      <c r="B751" s="12" t="s">
        <v>340</v>
      </c>
      <c r="C751" s="17">
        <v>33.0</v>
      </c>
      <c r="D751" s="12" t="s">
        <v>60</v>
      </c>
      <c r="E751" s="12" t="s">
        <v>97</v>
      </c>
      <c r="F751" s="12" t="s">
        <v>62</v>
      </c>
      <c r="G751" s="12" t="s">
        <v>210</v>
      </c>
      <c r="H751" s="15">
        <v>45558.0</v>
      </c>
      <c r="I751" s="17">
        <v>29.0</v>
      </c>
      <c r="J751" s="12" t="s">
        <v>64</v>
      </c>
      <c r="K751" s="12" t="s">
        <v>65</v>
      </c>
      <c r="L751" s="17">
        <v>585.0</v>
      </c>
      <c r="M751" s="17">
        <v>0.0</v>
      </c>
      <c r="N751" s="17">
        <v>2.0</v>
      </c>
      <c r="O751" s="17">
        <v>14.1</v>
      </c>
      <c r="P751" s="17">
        <v>3.3</v>
      </c>
      <c r="Q751" s="15">
        <v>45833.0</v>
      </c>
      <c r="R751" s="12"/>
      <c r="S751" s="12" t="s">
        <v>55</v>
      </c>
      <c r="T751" s="12" t="s">
        <v>47</v>
      </c>
      <c r="U751" s="17">
        <f t="shared" si="1"/>
        <v>3</v>
      </c>
    </row>
    <row r="752">
      <c r="A752" s="12" t="s">
        <v>1358</v>
      </c>
      <c r="B752" s="12" t="s">
        <v>380</v>
      </c>
      <c r="C752" s="17">
        <v>55.0</v>
      </c>
      <c r="D752" s="12" t="s">
        <v>69</v>
      </c>
      <c r="E752" s="12" t="s">
        <v>187</v>
      </c>
      <c r="F752" s="12" t="s">
        <v>62</v>
      </c>
      <c r="G752" s="12" t="s">
        <v>63</v>
      </c>
      <c r="H752" s="15">
        <v>45667.0</v>
      </c>
      <c r="I752" s="17">
        <v>35.0</v>
      </c>
      <c r="J752" s="12" t="s">
        <v>53</v>
      </c>
      <c r="K752" s="12" t="s">
        <v>81</v>
      </c>
      <c r="L752" s="17">
        <v>502.0</v>
      </c>
      <c r="M752" s="17">
        <v>2.0</v>
      </c>
      <c r="N752" s="17">
        <v>1.0</v>
      </c>
      <c r="O752" s="17">
        <v>18.8</v>
      </c>
      <c r="P752" s="17">
        <v>3.2</v>
      </c>
      <c r="Q752" s="15">
        <v>45729.0</v>
      </c>
      <c r="R752" s="12" t="s">
        <v>1360</v>
      </c>
      <c r="S752" s="12" t="s">
        <v>45</v>
      </c>
      <c r="T752" s="12" t="s">
        <v>75</v>
      </c>
      <c r="U752" s="17">
        <f t="shared" si="1"/>
        <v>1</v>
      </c>
    </row>
    <row r="753">
      <c r="A753" s="12" t="s">
        <v>786</v>
      </c>
      <c r="B753" s="12" t="s">
        <v>322</v>
      </c>
      <c r="C753" s="17">
        <v>65.0</v>
      </c>
      <c r="D753" s="12" t="s">
        <v>69</v>
      </c>
      <c r="E753" s="12" t="s">
        <v>119</v>
      </c>
      <c r="F753" s="12" t="s">
        <v>62</v>
      </c>
      <c r="G753" s="12" t="s">
        <v>63</v>
      </c>
      <c r="H753" s="15">
        <v>46008.0</v>
      </c>
      <c r="I753" s="17">
        <v>8.0</v>
      </c>
      <c r="J753" s="12" t="s">
        <v>64</v>
      </c>
      <c r="K753" s="12" t="s">
        <v>42</v>
      </c>
      <c r="L753" s="17">
        <v>720.0</v>
      </c>
      <c r="M753" s="17">
        <v>2.0</v>
      </c>
      <c r="N753" s="17">
        <v>0.0</v>
      </c>
      <c r="O753" s="17">
        <v>27.5</v>
      </c>
      <c r="P753" s="17">
        <v>5.0</v>
      </c>
      <c r="Q753" s="15">
        <v>46040.0</v>
      </c>
      <c r="R753" s="12"/>
      <c r="S753" s="12" t="s">
        <v>55</v>
      </c>
      <c r="T753" s="12" t="s">
        <v>72</v>
      </c>
      <c r="U753" s="17">
        <f t="shared" si="1"/>
        <v>2</v>
      </c>
    </row>
    <row r="754">
      <c r="A754" s="12" t="s">
        <v>1361</v>
      </c>
      <c r="B754" s="12" t="s">
        <v>74</v>
      </c>
      <c r="C754" s="17">
        <v>46.0</v>
      </c>
      <c r="D754" s="12" t="s">
        <v>69</v>
      </c>
      <c r="E754" s="12" t="s">
        <v>70</v>
      </c>
      <c r="F754" s="12" t="s">
        <v>62</v>
      </c>
      <c r="G754" s="12" t="s">
        <v>571</v>
      </c>
      <c r="H754" s="15">
        <v>45248.0</v>
      </c>
      <c r="I754" s="17">
        <v>18.0</v>
      </c>
      <c r="J754" s="12" t="s">
        <v>40</v>
      </c>
      <c r="K754" s="12" t="s">
        <v>81</v>
      </c>
      <c r="L754" s="17">
        <v>875.0</v>
      </c>
      <c r="M754" s="17">
        <v>2.0</v>
      </c>
      <c r="N754" s="17">
        <v>0.0</v>
      </c>
      <c r="O754" s="17">
        <v>24.8</v>
      </c>
      <c r="P754" s="17">
        <v>4.1</v>
      </c>
      <c r="Q754" s="15">
        <v>45333.0</v>
      </c>
      <c r="R754" s="12"/>
      <c r="S754" s="12" t="s">
        <v>55</v>
      </c>
      <c r="T754" s="12" t="s">
        <v>66</v>
      </c>
      <c r="U754" s="17">
        <f t="shared" si="1"/>
        <v>2</v>
      </c>
    </row>
    <row r="755">
      <c r="A755" s="12" t="s">
        <v>1362</v>
      </c>
      <c r="B755" s="12" t="s">
        <v>169</v>
      </c>
      <c r="C755" s="17">
        <v>28.0</v>
      </c>
      <c r="D755" s="12" t="s">
        <v>69</v>
      </c>
      <c r="E755" s="12" t="s">
        <v>70</v>
      </c>
      <c r="F755" s="12" t="s">
        <v>79</v>
      </c>
      <c r="G755" s="12" t="s">
        <v>52</v>
      </c>
      <c r="H755" s="15">
        <v>44578.0</v>
      </c>
      <c r="I755" s="17">
        <v>16.0</v>
      </c>
      <c r="J755" s="12" t="s">
        <v>53</v>
      </c>
      <c r="K755" s="12" t="s">
        <v>42</v>
      </c>
      <c r="L755" s="17">
        <v>3378.0</v>
      </c>
      <c r="M755" s="17">
        <v>4.0</v>
      </c>
      <c r="N755" s="17">
        <v>2.0</v>
      </c>
      <c r="O755" s="17">
        <v>40.6</v>
      </c>
      <c r="P755" s="17">
        <v>4.9</v>
      </c>
      <c r="Q755" s="12"/>
      <c r="R755" s="12"/>
      <c r="S755" s="12" t="s">
        <v>55</v>
      </c>
      <c r="T755" s="12" t="s">
        <v>75</v>
      </c>
      <c r="U755" s="17">
        <f t="shared" si="1"/>
        <v>2</v>
      </c>
    </row>
    <row r="756">
      <c r="A756" s="12" t="s">
        <v>1363</v>
      </c>
      <c r="B756" s="12" t="s">
        <v>172</v>
      </c>
      <c r="C756" s="17">
        <v>64.0</v>
      </c>
      <c r="D756" s="12" t="s">
        <v>69</v>
      </c>
      <c r="E756" s="12" t="s">
        <v>187</v>
      </c>
      <c r="F756" s="12" t="s">
        <v>37</v>
      </c>
      <c r="G756" s="12" t="s">
        <v>63</v>
      </c>
      <c r="H756" s="15">
        <v>45619.0</v>
      </c>
      <c r="I756" s="17">
        <v>47.0</v>
      </c>
      <c r="J756" s="12" t="s">
        <v>40</v>
      </c>
      <c r="K756" s="12" t="s">
        <v>42</v>
      </c>
      <c r="L756" s="17">
        <v>1443.0</v>
      </c>
      <c r="M756" s="17">
        <v>1.0</v>
      </c>
      <c r="N756" s="17">
        <v>1.0</v>
      </c>
      <c r="O756" s="17">
        <v>16.8</v>
      </c>
      <c r="P756" s="17">
        <v>4.6</v>
      </c>
      <c r="Q756" s="15">
        <v>46633.0</v>
      </c>
      <c r="R756" s="12" t="s">
        <v>1364</v>
      </c>
      <c r="S756" s="12" t="s">
        <v>45</v>
      </c>
      <c r="T756" s="12" t="s">
        <v>75</v>
      </c>
      <c r="U756" s="17">
        <f t="shared" si="1"/>
        <v>2</v>
      </c>
    </row>
    <row r="757">
      <c r="A757" s="12" t="s">
        <v>1365</v>
      </c>
      <c r="B757" s="12" t="s">
        <v>380</v>
      </c>
      <c r="C757" s="17">
        <v>61.0</v>
      </c>
      <c r="D757" s="12" t="s">
        <v>60</v>
      </c>
      <c r="E757" s="12" t="s">
        <v>133</v>
      </c>
      <c r="F757" s="12" t="s">
        <v>37</v>
      </c>
      <c r="G757" s="12" t="s">
        <v>39</v>
      </c>
      <c r="H757" s="15">
        <v>45868.0</v>
      </c>
      <c r="I757" s="17">
        <v>23.0</v>
      </c>
      <c r="J757" s="12" t="s">
        <v>53</v>
      </c>
      <c r="K757" s="12" t="s">
        <v>81</v>
      </c>
      <c r="L757" s="17">
        <v>1183.0</v>
      </c>
      <c r="M757" s="17">
        <v>1.0</v>
      </c>
      <c r="N757" s="17">
        <v>1.0</v>
      </c>
      <c r="O757" s="17">
        <v>21.2</v>
      </c>
      <c r="P757" s="17">
        <v>4.2</v>
      </c>
      <c r="Q757" s="15">
        <v>46185.0</v>
      </c>
      <c r="R757" s="12"/>
      <c r="S757" s="12" t="s">
        <v>55</v>
      </c>
      <c r="T757" s="12" t="s">
        <v>75</v>
      </c>
      <c r="U757" s="17">
        <f t="shared" si="1"/>
        <v>2</v>
      </c>
    </row>
    <row r="758">
      <c r="A758" s="12" t="s">
        <v>1366</v>
      </c>
      <c r="B758" s="12" t="s">
        <v>336</v>
      </c>
      <c r="C758" s="17">
        <v>48.0</v>
      </c>
      <c r="D758" s="12" t="s">
        <v>60</v>
      </c>
      <c r="E758" s="12" t="s">
        <v>133</v>
      </c>
      <c r="F758" s="12" t="s">
        <v>62</v>
      </c>
      <c r="G758" s="12" t="s">
        <v>39</v>
      </c>
      <c r="H758" s="15">
        <v>44792.0</v>
      </c>
      <c r="I758" s="17">
        <v>19.0</v>
      </c>
      <c r="J758" s="12" t="s">
        <v>53</v>
      </c>
      <c r="K758" s="12" t="s">
        <v>81</v>
      </c>
      <c r="L758" s="17">
        <v>727.0</v>
      </c>
      <c r="M758" s="17">
        <v>2.0</v>
      </c>
      <c r="N758" s="17">
        <v>1.0</v>
      </c>
      <c r="O758" s="17">
        <v>21.4</v>
      </c>
      <c r="P758" s="17">
        <v>3.2</v>
      </c>
      <c r="Q758" s="15">
        <v>45237.0</v>
      </c>
      <c r="R758" s="12"/>
      <c r="S758" s="12" t="s">
        <v>55</v>
      </c>
      <c r="T758" s="12" t="s">
        <v>104</v>
      </c>
      <c r="U758" s="17">
        <f t="shared" si="1"/>
        <v>3</v>
      </c>
    </row>
    <row r="759">
      <c r="A759" s="12" t="s">
        <v>1355</v>
      </c>
      <c r="B759" s="12" t="s">
        <v>395</v>
      </c>
      <c r="C759" s="17">
        <v>45.0</v>
      </c>
      <c r="D759" s="12" t="s">
        <v>85</v>
      </c>
      <c r="E759" s="12" t="s">
        <v>111</v>
      </c>
      <c r="F759" s="12" t="s">
        <v>37</v>
      </c>
      <c r="G759" s="12" t="s">
        <v>120</v>
      </c>
      <c r="H759" s="15">
        <v>45563.0</v>
      </c>
      <c r="I759" s="17">
        <v>39.0</v>
      </c>
      <c r="J759" s="12" t="s">
        <v>40</v>
      </c>
      <c r="K759" s="12" t="s">
        <v>81</v>
      </c>
      <c r="L759" s="17">
        <v>1028.0</v>
      </c>
      <c r="M759" s="17">
        <v>3.0</v>
      </c>
      <c r="N759" s="17">
        <v>2.0</v>
      </c>
      <c r="O759" s="17">
        <v>31.8</v>
      </c>
      <c r="P759" s="17">
        <v>2.9</v>
      </c>
      <c r="Q759" s="15">
        <v>46121.0</v>
      </c>
      <c r="R759" s="12"/>
      <c r="S759" s="12" t="s">
        <v>55</v>
      </c>
      <c r="T759" s="12" t="s">
        <v>72</v>
      </c>
      <c r="U759" s="17">
        <f t="shared" si="1"/>
        <v>3</v>
      </c>
    </row>
    <row r="760">
      <c r="A760" s="12" t="s">
        <v>1367</v>
      </c>
      <c r="B760" s="12" t="s">
        <v>636</v>
      </c>
      <c r="C760" s="17">
        <v>59.0</v>
      </c>
      <c r="D760" s="12" t="s">
        <v>60</v>
      </c>
      <c r="E760" s="12" t="s">
        <v>133</v>
      </c>
      <c r="F760" s="12" t="s">
        <v>62</v>
      </c>
      <c r="G760" s="12" t="s">
        <v>120</v>
      </c>
      <c r="H760" s="15">
        <v>45432.0</v>
      </c>
      <c r="I760" s="17">
        <v>26.0</v>
      </c>
      <c r="J760" s="12" t="s">
        <v>40</v>
      </c>
      <c r="K760" s="12" t="s">
        <v>65</v>
      </c>
      <c r="L760" s="17">
        <v>526.0</v>
      </c>
      <c r="M760" s="17">
        <v>2.0</v>
      </c>
      <c r="N760" s="17">
        <v>0.0</v>
      </c>
      <c r="O760" s="17">
        <v>10.3</v>
      </c>
      <c r="P760" s="17">
        <v>2.5</v>
      </c>
      <c r="Q760" s="15">
        <v>46187.0</v>
      </c>
      <c r="R760" s="12"/>
      <c r="S760" s="12" t="s">
        <v>55</v>
      </c>
      <c r="T760" s="12" t="s">
        <v>75</v>
      </c>
      <c r="U760" s="17">
        <f t="shared" si="1"/>
        <v>2</v>
      </c>
    </row>
    <row r="761">
      <c r="A761" s="12" t="s">
        <v>1368</v>
      </c>
      <c r="B761" s="12" t="s">
        <v>179</v>
      </c>
      <c r="C761" s="17">
        <v>65.0</v>
      </c>
      <c r="D761" s="12" t="s">
        <v>69</v>
      </c>
      <c r="E761" s="12" t="s">
        <v>187</v>
      </c>
      <c r="F761" s="12" t="s">
        <v>37</v>
      </c>
      <c r="G761" s="12" t="s">
        <v>93</v>
      </c>
      <c r="H761" s="15">
        <v>45842.0</v>
      </c>
      <c r="I761" s="17">
        <v>8.0</v>
      </c>
      <c r="J761" s="12" t="s">
        <v>40</v>
      </c>
      <c r="K761" s="12" t="s">
        <v>65</v>
      </c>
      <c r="L761" s="17">
        <v>1624.0</v>
      </c>
      <c r="M761" s="17">
        <v>2.0</v>
      </c>
      <c r="N761" s="17">
        <v>2.0</v>
      </c>
      <c r="O761" s="17">
        <v>33.5</v>
      </c>
      <c r="P761" s="17">
        <v>3.9</v>
      </c>
      <c r="Q761" s="15">
        <v>45885.0</v>
      </c>
      <c r="R761" s="12" t="s">
        <v>1194</v>
      </c>
      <c r="S761" s="12" t="s">
        <v>45</v>
      </c>
      <c r="T761" s="12" t="s">
        <v>104</v>
      </c>
      <c r="U761" s="17">
        <f t="shared" si="1"/>
        <v>3</v>
      </c>
    </row>
    <row r="762">
      <c r="A762" s="12" t="s">
        <v>542</v>
      </c>
      <c r="B762" s="12" t="s">
        <v>50</v>
      </c>
      <c r="C762" s="17">
        <v>64.0</v>
      </c>
      <c r="D762" s="12" t="s">
        <v>60</v>
      </c>
      <c r="E762" s="12" t="s">
        <v>107</v>
      </c>
      <c r="F762" s="12" t="s">
        <v>37</v>
      </c>
      <c r="G762" s="12" t="s">
        <v>80</v>
      </c>
      <c r="H762" s="15">
        <v>44691.0</v>
      </c>
      <c r="I762" s="17">
        <v>42.0</v>
      </c>
      <c r="J762" s="12" t="s">
        <v>40</v>
      </c>
      <c r="K762" s="12" t="s">
        <v>65</v>
      </c>
      <c r="L762" s="12" t="s">
        <v>1369</v>
      </c>
      <c r="M762" s="17">
        <v>0.0</v>
      </c>
      <c r="N762" s="17">
        <v>0.0</v>
      </c>
      <c r="O762" s="17">
        <v>23.3</v>
      </c>
      <c r="P762" s="17">
        <v>2.9</v>
      </c>
      <c r="Q762" s="15">
        <v>45107.0</v>
      </c>
      <c r="R762" s="12"/>
      <c r="S762" s="12" t="s">
        <v>55</v>
      </c>
      <c r="T762" s="12" t="s">
        <v>47</v>
      </c>
      <c r="U762" s="17">
        <f t="shared" si="1"/>
        <v>2</v>
      </c>
    </row>
    <row r="763">
      <c r="A763" s="12" t="s">
        <v>1370</v>
      </c>
      <c r="B763" s="12" t="s">
        <v>59</v>
      </c>
      <c r="C763" s="17">
        <v>50.0</v>
      </c>
      <c r="D763" s="12" t="s">
        <v>60</v>
      </c>
      <c r="E763" s="12" t="s">
        <v>133</v>
      </c>
      <c r="F763" s="12" t="s">
        <v>62</v>
      </c>
      <c r="G763" s="12" t="s">
        <v>52</v>
      </c>
      <c r="H763" s="15">
        <v>45071.0</v>
      </c>
      <c r="I763" s="17">
        <v>1.0</v>
      </c>
      <c r="J763" s="12" t="s">
        <v>40</v>
      </c>
      <c r="K763" s="12" t="s">
        <v>42</v>
      </c>
      <c r="L763" s="17">
        <v>509.0</v>
      </c>
      <c r="M763" s="17">
        <v>1.0</v>
      </c>
      <c r="N763" s="17">
        <v>0.0</v>
      </c>
      <c r="O763" s="17">
        <v>16.6</v>
      </c>
      <c r="P763" s="17">
        <v>2.9</v>
      </c>
      <c r="Q763" s="15">
        <v>45114.0</v>
      </c>
      <c r="R763" s="12"/>
      <c r="S763" s="12" t="s">
        <v>529</v>
      </c>
      <c r="T763" s="12" t="s">
        <v>72</v>
      </c>
      <c r="U763" s="17">
        <f t="shared" si="1"/>
        <v>2</v>
      </c>
    </row>
    <row r="764">
      <c r="A764" s="12" t="s">
        <v>1371</v>
      </c>
      <c r="B764" s="12" t="s">
        <v>322</v>
      </c>
      <c r="C764" s="17">
        <v>24.0</v>
      </c>
      <c r="D764" s="12" t="s">
        <v>35</v>
      </c>
      <c r="E764" s="12" t="s">
        <v>51</v>
      </c>
      <c r="F764" s="12" t="s">
        <v>37</v>
      </c>
      <c r="G764" s="12" t="s">
        <v>52</v>
      </c>
      <c r="H764" s="15">
        <v>45068.0</v>
      </c>
      <c r="I764" s="17">
        <v>3.0</v>
      </c>
      <c r="J764" s="12" t="s">
        <v>40</v>
      </c>
      <c r="K764" s="12" t="s">
        <v>42</v>
      </c>
      <c r="L764" s="17">
        <v>1385.0</v>
      </c>
      <c r="M764" s="17">
        <v>0.0</v>
      </c>
      <c r="N764" s="17">
        <v>0.0</v>
      </c>
      <c r="O764" s="17">
        <v>18.9</v>
      </c>
      <c r="P764" s="17">
        <v>4.2</v>
      </c>
      <c r="Q764" s="15">
        <v>45129.0</v>
      </c>
      <c r="R764" s="12"/>
      <c r="S764" s="12" t="s">
        <v>55</v>
      </c>
      <c r="T764" s="12" t="s">
        <v>66</v>
      </c>
      <c r="U764" s="17">
        <f t="shared" si="1"/>
        <v>2</v>
      </c>
    </row>
    <row r="765">
      <c r="A765" s="12" t="s">
        <v>659</v>
      </c>
      <c r="B765" s="12" t="s">
        <v>232</v>
      </c>
      <c r="C765" s="17">
        <v>39.0</v>
      </c>
      <c r="D765" s="12" t="s">
        <v>85</v>
      </c>
      <c r="E765" s="12"/>
      <c r="F765" s="12" t="s">
        <v>62</v>
      </c>
      <c r="G765" s="12" t="s">
        <v>93</v>
      </c>
      <c r="H765" s="15">
        <v>45671.0</v>
      </c>
      <c r="I765" s="17">
        <v>39.0</v>
      </c>
      <c r="J765" s="12" t="s">
        <v>53</v>
      </c>
      <c r="K765" s="12" t="s">
        <v>81</v>
      </c>
      <c r="L765" s="17">
        <v>547.0</v>
      </c>
      <c r="M765" s="17">
        <v>4.0</v>
      </c>
      <c r="N765" s="17">
        <v>0.0</v>
      </c>
      <c r="O765" s="17">
        <v>28.8</v>
      </c>
      <c r="P765" s="17">
        <v>2.6</v>
      </c>
      <c r="Q765" s="15">
        <v>46482.0</v>
      </c>
      <c r="R765" s="12" t="s">
        <v>1372</v>
      </c>
      <c r="S765" s="12" t="s">
        <v>45</v>
      </c>
      <c r="T765" s="12" t="s">
        <v>104</v>
      </c>
      <c r="U765" s="17">
        <f t="shared" si="1"/>
        <v>2</v>
      </c>
    </row>
    <row r="766">
      <c r="A766" s="12" t="s">
        <v>1373</v>
      </c>
      <c r="B766" s="12" t="s">
        <v>222</v>
      </c>
      <c r="C766" s="17">
        <v>49.0</v>
      </c>
      <c r="D766" s="12" t="s">
        <v>60</v>
      </c>
      <c r="E766" s="12" t="s">
        <v>133</v>
      </c>
      <c r="F766" s="12" t="s">
        <v>62</v>
      </c>
      <c r="G766" s="12" t="s">
        <v>210</v>
      </c>
      <c r="H766" s="15">
        <v>45905.0</v>
      </c>
      <c r="I766" s="17">
        <v>37.0</v>
      </c>
      <c r="J766" s="12" t="s">
        <v>53</v>
      </c>
      <c r="K766" s="12" t="s">
        <v>81</v>
      </c>
      <c r="L766" s="17">
        <v>648.0</v>
      </c>
      <c r="M766" s="17">
        <v>3.0</v>
      </c>
      <c r="N766" s="17">
        <v>4.0</v>
      </c>
      <c r="O766" s="17">
        <v>25.8</v>
      </c>
      <c r="P766" s="17">
        <v>3.6</v>
      </c>
      <c r="Q766" s="15">
        <v>46370.0</v>
      </c>
      <c r="R766" s="12"/>
      <c r="S766" s="12" t="s">
        <v>55</v>
      </c>
      <c r="T766" s="12" t="s">
        <v>66</v>
      </c>
      <c r="U766" s="17">
        <f t="shared" si="1"/>
        <v>2</v>
      </c>
    </row>
    <row r="767">
      <c r="A767" s="12" t="s">
        <v>1374</v>
      </c>
      <c r="B767" s="12" t="s">
        <v>202</v>
      </c>
      <c r="C767" s="17">
        <v>68.0</v>
      </c>
      <c r="D767" s="12" t="s">
        <v>69</v>
      </c>
      <c r="E767" s="12" t="s">
        <v>119</v>
      </c>
      <c r="F767" s="12" t="s">
        <v>62</v>
      </c>
      <c r="G767" s="12" t="s">
        <v>120</v>
      </c>
      <c r="H767" s="15">
        <v>45368.0</v>
      </c>
      <c r="I767" s="17">
        <v>24.0</v>
      </c>
      <c r="J767" s="12" t="s">
        <v>40</v>
      </c>
      <c r="K767" s="12" t="s">
        <v>65</v>
      </c>
      <c r="L767" s="17">
        <v>864.0</v>
      </c>
      <c r="M767" s="17">
        <v>0.0</v>
      </c>
      <c r="N767" s="17">
        <v>2.0</v>
      </c>
      <c r="O767" s="17">
        <v>23.9</v>
      </c>
      <c r="P767" s="17">
        <v>3.1</v>
      </c>
      <c r="Q767" s="15">
        <v>45607.0</v>
      </c>
      <c r="R767" s="12" t="s">
        <v>1375</v>
      </c>
      <c r="S767" s="12" t="s">
        <v>45</v>
      </c>
      <c r="T767" s="12" t="s">
        <v>72</v>
      </c>
      <c r="U767" s="17">
        <f t="shared" si="1"/>
        <v>1</v>
      </c>
    </row>
    <row r="768">
      <c r="A768" s="12" t="s">
        <v>1376</v>
      </c>
      <c r="B768" s="12" t="s">
        <v>172</v>
      </c>
      <c r="C768" s="17">
        <v>24.0</v>
      </c>
      <c r="D768" s="12" t="s">
        <v>35</v>
      </c>
      <c r="E768" s="12" t="s">
        <v>161</v>
      </c>
      <c r="F768" s="12" t="s">
        <v>62</v>
      </c>
      <c r="G768" s="12" t="s">
        <v>93</v>
      </c>
      <c r="H768" s="15">
        <v>45852.0</v>
      </c>
      <c r="I768" s="17">
        <v>6.0</v>
      </c>
      <c r="J768" s="12" t="s">
        <v>40</v>
      </c>
      <c r="K768" s="12" t="s">
        <v>65</v>
      </c>
      <c r="L768" s="17">
        <v>585.0</v>
      </c>
      <c r="M768" s="17">
        <v>2.0</v>
      </c>
      <c r="N768" s="17">
        <v>2.0</v>
      </c>
      <c r="O768" s="17">
        <v>9.7</v>
      </c>
      <c r="P768" s="17">
        <v>5.0</v>
      </c>
      <c r="Q768" s="15">
        <v>45987.0</v>
      </c>
      <c r="R768" s="12"/>
      <c r="S768" s="12" t="s">
        <v>55</v>
      </c>
      <c r="T768" s="12" t="s">
        <v>66</v>
      </c>
      <c r="U768" s="17">
        <f t="shared" si="1"/>
        <v>2</v>
      </c>
    </row>
    <row r="769">
      <c r="A769" s="12" t="s">
        <v>1236</v>
      </c>
      <c r="B769" s="12" t="s">
        <v>331</v>
      </c>
      <c r="C769" s="17">
        <v>63.0</v>
      </c>
      <c r="D769" s="12" t="s">
        <v>69</v>
      </c>
      <c r="E769" s="12" t="s">
        <v>70</v>
      </c>
      <c r="F769" s="12" t="s">
        <v>37</v>
      </c>
      <c r="G769" s="12" t="s">
        <v>210</v>
      </c>
      <c r="H769" s="15">
        <v>45405.0</v>
      </c>
      <c r="I769" s="17">
        <v>20.0</v>
      </c>
      <c r="J769" s="12" t="s">
        <v>40</v>
      </c>
      <c r="K769" s="12" t="s">
        <v>81</v>
      </c>
      <c r="L769" s="17">
        <v>1036.0</v>
      </c>
      <c r="M769" s="17">
        <v>1.0</v>
      </c>
      <c r="N769" s="17">
        <v>0.0</v>
      </c>
      <c r="O769" s="17">
        <v>31.0</v>
      </c>
      <c r="P769" s="17">
        <v>4.2</v>
      </c>
      <c r="Q769" s="15">
        <v>45993.0</v>
      </c>
      <c r="R769" s="12" t="s">
        <v>1377</v>
      </c>
      <c r="S769" s="12" t="s">
        <v>45</v>
      </c>
      <c r="T769" s="12" t="s">
        <v>75</v>
      </c>
      <c r="U769" s="17">
        <f t="shared" si="1"/>
        <v>3</v>
      </c>
    </row>
    <row r="770">
      <c r="A770" s="12" t="s">
        <v>1302</v>
      </c>
      <c r="B770" s="12" t="s">
        <v>325</v>
      </c>
      <c r="C770" s="17">
        <v>46.0</v>
      </c>
      <c r="D770" s="12" t="s">
        <v>85</v>
      </c>
      <c r="E770" s="12" t="s">
        <v>92</v>
      </c>
      <c r="F770" s="12" t="s">
        <v>79</v>
      </c>
      <c r="G770" s="12" t="s">
        <v>39</v>
      </c>
      <c r="H770" s="15">
        <v>45221.0</v>
      </c>
      <c r="I770" s="17">
        <v>30.0</v>
      </c>
      <c r="J770" s="12" t="s">
        <v>64</v>
      </c>
      <c r="K770" s="12" t="s">
        <v>42</v>
      </c>
      <c r="L770" s="17">
        <v>3757.0</v>
      </c>
      <c r="M770" s="17">
        <v>2.0</v>
      </c>
      <c r="N770" s="17">
        <v>0.0</v>
      </c>
      <c r="O770" s="17">
        <v>39.9</v>
      </c>
      <c r="P770" s="17">
        <v>4.3</v>
      </c>
      <c r="Q770" s="15">
        <v>45988.0</v>
      </c>
      <c r="R770" s="12"/>
      <c r="S770" s="12" t="s">
        <v>55</v>
      </c>
      <c r="T770" s="12" t="s">
        <v>75</v>
      </c>
      <c r="U770" s="17">
        <f t="shared" si="1"/>
        <v>2</v>
      </c>
    </row>
    <row r="771">
      <c r="A771" s="12" t="s">
        <v>444</v>
      </c>
      <c r="B771" s="12" t="s">
        <v>190</v>
      </c>
      <c r="C771" s="17">
        <v>59.0</v>
      </c>
      <c r="D771" s="12" t="s">
        <v>35</v>
      </c>
      <c r="E771" s="12" t="s">
        <v>51</v>
      </c>
      <c r="F771" s="12" t="s">
        <v>37</v>
      </c>
      <c r="G771" s="12" t="s">
        <v>63</v>
      </c>
      <c r="H771" s="15">
        <v>44902.0</v>
      </c>
      <c r="I771" s="17">
        <v>13.0</v>
      </c>
      <c r="J771" s="12" t="s">
        <v>64</v>
      </c>
      <c r="K771" s="12" t="s">
        <v>65</v>
      </c>
      <c r="L771" s="17">
        <v>1038.0</v>
      </c>
      <c r="M771" s="17">
        <v>1.0</v>
      </c>
      <c r="N771" s="17">
        <v>0.0</v>
      </c>
      <c r="O771" s="17">
        <v>39.6</v>
      </c>
      <c r="P771" s="17">
        <v>2.4</v>
      </c>
      <c r="Q771" s="15">
        <v>45129.0</v>
      </c>
      <c r="R771" s="12"/>
      <c r="S771" s="12" t="s">
        <v>55</v>
      </c>
      <c r="T771" s="12" t="s">
        <v>47</v>
      </c>
      <c r="U771" s="17">
        <f t="shared" si="1"/>
        <v>2</v>
      </c>
    </row>
    <row r="772">
      <c r="A772" s="12" t="s">
        <v>1378</v>
      </c>
      <c r="B772" s="12" t="s">
        <v>448</v>
      </c>
      <c r="C772" s="17">
        <v>55.0</v>
      </c>
      <c r="D772" s="12" t="s">
        <v>85</v>
      </c>
      <c r="E772" s="12" t="s">
        <v>87</v>
      </c>
      <c r="F772" s="12" t="s">
        <v>62</v>
      </c>
      <c r="G772" s="12" t="s">
        <v>63</v>
      </c>
      <c r="H772" s="15">
        <v>45453.0</v>
      </c>
      <c r="I772" s="17">
        <v>19.0</v>
      </c>
      <c r="J772" s="12" t="s">
        <v>64</v>
      </c>
      <c r="K772" s="12" t="s">
        <v>42</v>
      </c>
      <c r="L772" s="17">
        <v>845.0</v>
      </c>
      <c r="M772" s="17">
        <v>1.0</v>
      </c>
      <c r="N772" s="17">
        <v>0.0</v>
      </c>
      <c r="O772" s="17">
        <v>9.4</v>
      </c>
      <c r="P772" s="17">
        <v>5.0</v>
      </c>
      <c r="Q772" s="15">
        <v>45793.0</v>
      </c>
      <c r="R772" s="12"/>
      <c r="S772" s="12" t="s">
        <v>55</v>
      </c>
      <c r="T772" s="12" t="s">
        <v>47</v>
      </c>
      <c r="U772" s="17">
        <f t="shared" si="1"/>
        <v>1</v>
      </c>
    </row>
    <row r="773">
      <c r="A773" s="12" t="s">
        <v>389</v>
      </c>
      <c r="B773" s="12" t="s">
        <v>106</v>
      </c>
      <c r="C773" s="17">
        <v>52.0</v>
      </c>
      <c r="D773" s="12" t="s">
        <v>69</v>
      </c>
      <c r="E773" s="12" t="s">
        <v>177</v>
      </c>
      <c r="F773" s="12" t="s">
        <v>37</v>
      </c>
      <c r="G773" s="12" t="s">
        <v>210</v>
      </c>
      <c r="H773" s="15">
        <v>45528.0</v>
      </c>
      <c r="I773" s="17">
        <v>30.0</v>
      </c>
      <c r="J773" s="12" t="s">
        <v>64</v>
      </c>
      <c r="K773" s="12" t="s">
        <v>65</v>
      </c>
      <c r="L773" s="17">
        <v>1763.0</v>
      </c>
      <c r="M773" s="17">
        <v>3.0</v>
      </c>
      <c r="N773" s="17">
        <v>3.0</v>
      </c>
      <c r="O773" s="17">
        <v>26.0</v>
      </c>
      <c r="P773" s="17">
        <v>4.1</v>
      </c>
      <c r="Q773" s="15">
        <v>46410.0</v>
      </c>
      <c r="R773" s="12"/>
      <c r="S773" s="12" t="s">
        <v>55</v>
      </c>
      <c r="T773" s="12" t="s">
        <v>104</v>
      </c>
      <c r="U773" s="17">
        <f t="shared" si="1"/>
        <v>3</v>
      </c>
    </row>
    <row r="774">
      <c r="A774" s="12" t="s">
        <v>1362</v>
      </c>
      <c r="B774" s="12" t="s">
        <v>257</v>
      </c>
      <c r="C774" s="17">
        <v>12.0</v>
      </c>
      <c r="D774" s="12" t="s">
        <v>85</v>
      </c>
      <c r="E774" s="12" t="s">
        <v>111</v>
      </c>
      <c r="F774" s="12" t="s">
        <v>62</v>
      </c>
      <c r="G774" s="12" t="s">
        <v>63</v>
      </c>
      <c r="H774" s="15">
        <v>44573.0</v>
      </c>
      <c r="I774" s="17">
        <v>20.0</v>
      </c>
      <c r="J774" s="12" t="s">
        <v>40</v>
      </c>
      <c r="K774" s="12" t="s">
        <v>81</v>
      </c>
      <c r="L774" s="17">
        <v>601.0</v>
      </c>
      <c r="M774" s="17">
        <v>3.0</v>
      </c>
      <c r="N774" s="17">
        <v>0.0</v>
      </c>
      <c r="O774" s="17">
        <v>14.8</v>
      </c>
      <c r="P774" s="17">
        <v>4.0</v>
      </c>
      <c r="Q774" s="15">
        <v>45133.0</v>
      </c>
      <c r="R774" s="12"/>
      <c r="S774" s="12" t="s">
        <v>55</v>
      </c>
      <c r="T774" s="12" t="s">
        <v>75</v>
      </c>
      <c r="U774" s="17">
        <f t="shared" si="1"/>
        <v>2</v>
      </c>
    </row>
    <row r="775">
      <c r="A775" s="12" t="s">
        <v>1379</v>
      </c>
      <c r="B775" s="12" t="s">
        <v>232</v>
      </c>
      <c r="C775" s="17">
        <v>42.0</v>
      </c>
      <c r="D775" s="12" t="s">
        <v>69</v>
      </c>
      <c r="E775" s="12" t="s">
        <v>70</v>
      </c>
      <c r="F775" s="12" t="s">
        <v>62</v>
      </c>
      <c r="G775" s="12" t="s">
        <v>80</v>
      </c>
      <c r="H775" s="15">
        <v>45024.0</v>
      </c>
      <c r="I775" s="17">
        <v>23.0</v>
      </c>
      <c r="J775" s="12" t="s">
        <v>64</v>
      </c>
      <c r="K775" s="12" t="s">
        <v>65</v>
      </c>
      <c r="L775" s="17">
        <v>597.0</v>
      </c>
      <c r="M775" s="17">
        <v>1.0</v>
      </c>
      <c r="N775" s="17">
        <v>0.0</v>
      </c>
      <c r="O775" s="17">
        <v>24.5</v>
      </c>
      <c r="P775" s="17">
        <v>3.2</v>
      </c>
      <c r="Q775" s="15">
        <v>45470.0</v>
      </c>
      <c r="R775" s="12"/>
      <c r="S775" s="12" t="s">
        <v>55</v>
      </c>
      <c r="T775" s="12" t="s">
        <v>72</v>
      </c>
      <c r="U775" s="17">
        <f t="shared" si="1"/>
        <v>1</v>
      </c>
    </row>
    <row r="776">
      <c r="A776" s="12" t="s">
        <v>835</v>
      </c>
      <c r="B776" s="12" t="s">
        <v>34</v>
      </c>
      <c r="C776" s="17">
        <v>40.0</v>
      </c>
      <c r="D776" s="12" t="s">
        <v>69</v>
      </c>
      <c r="E776" s="12" t="s">
        <v>70</v>
      </c>
      <c r="F776" s="12" t="s">
        <v>37</v>
      </c>
      <c r="G776" s="12" t="s">
        <v>63</v>
      </c>
      <c r="H776" s="15">
        <v>45005.0</v>
      </c>
      <c r="I776" s="17">
        <v>18.0</v>
      </c>
      <c r="J776" s="12" t="s">
        <v>64</v>
      </c>
      <c r="K776" s="12" t="s">
        <v>81</v>
      </c>
      <c r="L776" s="17">
        <v>1103.0</v>
      </c>
      <c r="M776" s="17">
        <v>1.0</v>
      </c>
      <c r="N776" s="17">
        <v>2.0</v>
      </c>
      <c r="O776" s="17">
        <v>28.2</v>
      </c>
      <c r="P776" s="17">
        <v>3.8</v>
      </c>
      <c r="Q776" s="15">
        <v>45549.0</v>
      </c>
      <c r="R776" s="12"/>
      <c r="S776" s="12" t="s">
        <v>55</v>
      </c>
      <c r="T776" s="12" t="s">
        <v>66</v>
      </c>
      <c r="U776" s="17">
        <f t="shared" si="1"/>
        <v>2</v>
      </c>
    </row>
    <row r="777">
      <c r="A777" s="12" t="s">
        <v>681</v>
      </c>
      <c r="B777" s="12" t="s">
        <v>364</v>
      </c>
      <c r="C777" s="17">
        <v>39.0</v>
      </c>
      <c r="D777" s="12" t="s">
        <v>85</v>
      </c>
      <c r="E777" s="12" t="s">
        <v>111</v>
      </c>
      <c r="F777" s="12" t="s">
        <v>62</v>
      </c>
      <c r="G777" s="12" t="s">
        <v>93</v>
      </c>
      <c r="H777" s="15">
        <v>45036.0</v>
      </c>
      <c r="I777" s="17">
        <v>14.0</v>
      </c>
      <c r="J777" s="12" t="s">
        <v>40</v>
      </c>
      <c r="K777" s="12" t="s">
        <v>42</v>
      </c>
      <c r="L777" s="17">
        <v>813.0</v>
      </c>
      <c r="M777" s="17">
        <v>4.0</v>
      </c>
      <c r="N777" s="17">
        <v>1.0</v>
      </c>
      <c r="O777" s="17">
        <v>19.7</v>
      </c>
      <c r="P777" s="17">
        <v>2.8</v>
      </c>
      <c r="Q777" s="15">
        <v>45130.0</v>
      </c>
      <c r="R777" s="12"/>
      <c r="S777" s="12" t="s">
        <v>55</v>
      </c>
      <c r="T777" s="12" t="s">
        <v>47</v>
      </c>
      <c r="U777" s="17">
        <f t="shared" si="1"/>
        <v>2</v>
      </c>
    </row>
    <row r="778">
      <c r="A778" s="12" t="s">
        <v>1380</v>
      </c>
      <c r="B778" s="12" t="s">
        <v>118</v>
      </c>
      <c r="C778" s="17">
        <v>41.0</v>
      </c>
      <c r="D778" s="12" t="s">
        <v>85</v>
      </c>
      <c r="E778" s="12" t="s">
        <v>87</v>
      </c>
      <c r="F778" s="12" t="s">
        <v>37</v>
      </c>
      <c r="G778" s="12" t="s">
        <v>210</v>
      </c>
      <c r="H778" s="15">
        <v>45181.0</v>
      </c>
      <c r="I778" s="17">
        <v>33.0</v>
      </c>
      <c r="J778" s="12" t="s">
        <v>53</v>
      </c>
      <c r="K778" s="12" t="s">
        <v>81</v>
      </c>
      <c r="L778" s="17">
        <v>1572.0</v>
      </c>
      <c r="M778" s="17">
        <v>0.0</v>
      </c>
      <c r="N778" s="17">
        <v>0.0</v>
      </c>
      <c r="O778" s="17">
        <v>38.9</v>
      </c>
      <c r="P778" s="17">
        <v>2.5</v>
      </c>
      <c r="Q778" s="15">
        <v>45577.0</v>
      </c>
      <c r="R778" s="12" t="s">
        <v>1381</v>
      </c>
      <c r="S778" s="12" t="s">
        <v>45</v>
      </c>
      <c r="T778" s="12" t="s">
        <v>72</v>
      </c>
      <c r="U778" s="17">
        <f t="shared" si="1"/>
        <v>1</v>
      </c>
    </row>
    <row r="779">
      <c r="A779" s="12" t="s">
        <v>728</v>
      </c>
      <c r="B779" s="12" t="s">
        <v>398</v>
      </c>
      <c r="C779" s="17">
        <v>54.0</v>
      </c>
      <c r="D779" s="12" t="s">
        <v>35</v>
      </c>
      <c r="E779" s="12" t="s">
        <v>51</v>
      </c>
      <c r="F779" s="12" t="s">
        <v>79</v>
      </c>
      <c r="G779" s="12" t="s">
        <v>52</v>
      </c>
      <c r="H779" s="15">
        <v>45130.0</v>
      </c>
      <c r="I779" s="17">
        <v>46.0</v>
      </c>
      <c r="J779" s="12" t="s">
        <v>53</v>
      </c>
      <c r="K779" s="12" t="s">
        <v>81</v>
      </c>
      <c r="L779" s="17">
        <v>2903.0</v>
      </c>
      <c r="M779" s="17">
        <v>3.0</v>
      </c>
      <c r="N779" s="17">
        <v>2.0</v>
      </c>
      <c r="O779" s="17">
        <v>39.1</v>
      </c>
      <c r="P779" s="17">
        <v>3.7</v>
      </c>
      <c r="Q779" s="15">
        <v>46143.0</v>
      </c>
      <c r="R779" s="12"/>
      <c r="S779" s="12" t="s">
        <v>55</v>
      </c>
      <c r="T779" s="12" t="s">
        <v>72</v>
      </c>
      <c r="U779" s="17">
        <f t="shared" si="1"/>
        <v>3</v>
      </c>
    </row>
    <row r="780">
      <c r="A780" s="12" t="s">
        <v>1382</v>
      </c>
      <c r="B780" s="12" t="s">
        <v>68</v>
      </c>
      <c r="C780" s="17">
        <v>66.0</v>
      </c>
      <c r="D780" s="12" t="s">
        <v>35</v>
      </c>
      <c r="E780" s="12" t="s">
        <v>161</v>
      </c>
      <c r="F780" s="12" t="s">
        <v>79</v>
      </c>
      <c r="G780" s="12" t="s">
        <v>93</v>
      </c>
      <c r="H780" s="15">
        <v>45934.0</v>
      </c>
      <c r="I780" s="17">
        <v>23.0</v>
      </c>
      <c r="J780" s="12" t="s">
        <v>40</v>
      </c>
      <c r="K780" s="12" t="s">
        <v>42</v>
      </c>
      <c r="L780" s="17">
        <v>3145.0</v>
      </c>
      <c r="M780" s="17">
        <v>1.0</v>
      </c>
      <c r="N780" s="17">
        <v>0.0</v>
      </c>
      <c r="O780" s="17">
        <v>51.1</v>
      </c>
      <c r="P780" s="17">
        <v>4.9</v>
      </c>
      <c r="Q780" s="15">
        <v>46139.0</v>
      </c>
      <c r="R780" s="12" t="s">
        <v>1383</v>
      </c>
      <c r="S780" s="12" t="s">
        <v>45</v>
      </c>
      <c r="T780" s="12" t="s">
        <v>75</v>
      </c>
      <c r="U780" s="17">
        <f t="shared" si="1"/>
        <v>2</v>
      </c>
    </row>
    <row r="781">
      <c r="A781" s="12" t="s">
        <v>234</v>
      </c>
      <c r="B781" s="12" t="s">
        <v>169</v>
      </c>
      <c r="C781" s="17">
        <v>44.0</v>
      </c>
      <c r="D781" s="12" t="s">
        <v>69</v>
      </c>
      <c r="E781" s="12" t="s">
        <v>70</v>
      </c>
      <c r="F781" s="12" t="s">
        <v>37</v>
      </c>
      <c r="G781" s="12" t="s">
        <v>210</v>
      </c>
      <c r="H781" s="15">
        <v>44754.0</v>
      </c>
      <c r="I781" s="17">
        <v>24.0</v>
      </c>
      <c r="J781" s="12" t="s">
        <v>40</v>
      </c>
      <c r="K781" s="12" t="s">
        <v>81</v>
      </c>
      <c r="L781" s="17">
        <v>1012.0</v>
      </c>
      <c r="M781" s="17">
        <v>2.0</v>
      </c>
      <c r="N781" s="17">
        <v>0.0</v>
      </c>
      <c r="O781" s="17">
        <v>22.1</v>
      </c>
      <c r="P781" s="17">
        <v>3.1</v>
      </c>
      <c r="Q781" s="15">
        <v>45043.0</v>
      </c>
      <c r="R781" s="12" t="s">
        <v>1384</v>
      </c>
      <c r="S781" s="12" t="s">
        <v>45</v>
      </c>
      <c r="T781" s="12" t="s">
        <v>72</v>
      </c>
      <c r="U781" s="17">
        <f t="shared" si="1"/>
        <v>3</v>
      </c>
    </row>
    <row r="782">
      <c r="A782" s="12" t="s">
        <v>1385</v>
      </c>
      <c r="B782" s="12" t="s">
        <v>303</v>
      </c>
      <c r="C782" s="17">
        <v>42.0</v>
      </c>
      <c r="D782" s="12" t="s">
        <v>35</v>
      </c>
      <c r="E782" s="12" t="s">
        <v>36</v>
      </c>
      <c r="F782" s="12" t="s">
        <v>79</v>
      </c>
      <c r="G782" s="12" t="s">
        <v>120</v>
      </c>
      <c r="H782" s="15">
        <v>45806.0</v>
      </c>
      <c r="I782" s="17">
        <v>41.0</v>
      </c>
      <c r="J782" s="12" t="s">
        <v>40</v>
      </c>
      <c r="K782" s="12" t="s">
        <v>81</v>
      </c>
      <c r="L782" s="17">
        <v>3534.0</v>
      </c>
      <c r="M782" s="17">
        <v>1.0</v>
      </c>
      <c r="N782" s="17">
        <v>0.0</v>
      </c>
      <c r="O782" s="17">
        <v>35.9</v>
      </c>
      <c r="P782" s="17">
        <v>4.6</v>
      </c>
      <c r="Q782" s="15">
        <v>46933.0</v>
      </c>
      <c r="R782" s="12"/>
      <c r="S782" s="12" t="s">
        <v>55</v>
      </c>
      <c r="T782" s="12" t="s">
        <v>47</v>
      </c>
      <c r="U782" s="17">
        <f t="shared" si="1"/>
        <v>1</v>
      </c>
    </row>
    <row r="783">
      <c r="A783" s="12" t="s">
        <v>1386</v>
      </c>
      <c r="B783" s="12" t="s">
        <v>176</v>
      </c>
      <c r="C783" s="17">
        <v>31.0</v>
      </c>
      <c r="D783" s="12" t="s">
        <v>69</v>
      </c>
      <c r="E783" s="12" t="s">
        <v>187</v>
      </c>
      <c r="F783" s="12" t="s">
        <v>62</v>
      </c>
      <c r="G783" s="12" t="s">
        <v>93</v>
      </c>
      <c r="H783" s="15">
        <v>44806.0</v>
      </c>
      <c r="I783" s="17">
        <v>4.0</v>
      </c>
      <c r="J783" s="12" t="s">
        <v>64</v>
      </c>
      <c r="K783" s="12" t="s">
        <v>81</v>
      </c>
      <c r="L783" s="17">
        <v>862.0</v>
      </c>
      <c r="M783" s="17">
        <v>2.0</v>
      </c>
      <c r="N783" s="17">
        <v>1.0</v>
      </c>
      <c r="O783" s="17">
        <v>18.4</v>
      </c>
      <c r="P783" s="17">
        <v>3.4</v>
      </c>
      <c r="Q783" s="15">
        <v>44840.0</v>
      </c>
      <c r="R783" s="12"/>
      <c r="S783" s="12" t="s">
        <v>55</v>
      </c>
      <c r="T783" s="12" t="s">
        <v>104</v>
      </c>
      <c r="U783" s="17">
        <f t="shared" si="1"/>
        <v>1</v>
      </c>
    </row>
    <row r="784">
      <c r="A784" s="12" t="s">
        <v>1120</v>
      </c>
      <c r="B784" s="12" t="s">
        <v>349</v>
      </c>
      <c r="C784" s="17">
        <v>67.0</v>
      </c>
      <c r="D784" s="12" t="s">
        <v>445</v>
      </c>
      <c r="E784" s="12" t="s">
        <v>97</v>
      </c>
      <c r="F784" s="12" t="s">
        <v>79</v>
      </c>
      <c r="G784" s="12" t="s">
        <v>80</v>
      </c>
      <c r="H784" s="15">
        <v>45312.0</v>
      </c>
      <c r="I784" s="17">
        <v>34.0</v>
      </c>
      <c r="J784" s="12" t="s">
        <v>64</v>
      </c>
      <c r="K784" s="12" t="s">
        <v>42</v>
      </c>
      <c r="L784" s="17">
        <v>2851.0</v>
      </c>
      <c r="M784" s="17">
        <v>2.0</v>
      </c>
      <c r="N784" s="17">
        <v>0.0</v>
      </c>
      <c r="O784" s="17">
        <v>51.3</v>
      </c>
      <c r="P784" s="17">
        <v>3.3</v>
      </c>
      <c r="Q784" s="15">
        <v>45447.0</v>
      </c>
      <c r="R784" s="12"/>
      <c r="S784" s="12" t="s">
        <v>55</v>
      </c>
      <c r="T784" s="12" t="s">
        <v>72</v>
      </c>
      <c r="U784" s="17">
        <f t="shared" si="1"/>
        <v>4</v>
      </c>
    </row>
    <row r="785">
      <c r="A785" s="12" t="s">
        <v>1160</v>
      </c>
      <c r="B785" s="12" t="s">
        <v>420</v>
      </c>
      <c r="C785" s="17">
        <v>54.0</v>
      </c>
      <c r="D785" s="12" t="s">
        <v>69</v>
      </c>
      <c r="E785" s="12" t="s">
        <v>119</v>
      </c>
      <c r="F785" s="12" t="s">
        <v>62</v>
      </c>
      <c r="G785" s="12" t="s">
        <v>647</v>
      </c>
      <c r="H785" s="15">
        <v>44968.0</v>
      </c>
      <c r="I785" s="17">
        <v>45.0</v>
      </c>
      <c r="J785" s="12" t="s">
        <v>53</v>
      </c>
      <c r="K785" s="12" t="s">
        <v>42</v>
      </c>
      <c r="L785" s="17">
        <v>587.0</v>
      </c>
      <c r="M785" s="17">
        <v>2.0</v>
      </c>
      <c r="N785" s="17">
        <v>2.0</v>
      </c>
      <c r="O785" s="17">
        <v>23.1</v>
      </c>
      <c r="P785" s="17">
        <v>2.5</v>
      </c>
      <c r="Q785" s="15">
        <v>44984.0</v>
      </c>
      <c r="R785" s="12"/>
      <c r="S785" s="12" t="s">
        <v>55</v>
      </c>
      <c r="T785" s="12" t="s">
        <v>72</v>
      </c>
      <c r="U785" s="17">
        <f t="shared" si="1"/>
        <v>1</v>
      </c>
    </row>
    <row r="786">
      <c r="A786" s="12" t="s">
        <v>1387</v>
      </c>
      <c r="B786" s="12" t="s">
        <v>96</v>
      </c>
      <c r="C786" s="17">
        <v>32.0</v>
      </c>
      <c r="D786" s="12" t="s">
        <v>35</v>
      </c>
      <c r="E786" s="12" t="s">
        <v>140</v>
      </c>
      <c r="F786" s="12" t="s">
        <v>62</v>
      </c>
      <c r="G786" s="12" t="s">
        <v>63</v>
      </c>
      <c r="H786" s="15">
        <v>44935.0</v>
      </c>
      <c r="I786" s="17">
        <v>47.0</v>
      </c>
      <c r="J786" s="12" t="s">
        <v>64</v>
      </c>
      <c r="K786" s="12" t="s">
        <v>65</v>
      </c>
      <c r="L786" s="17">
        <v>661.0</v>
      </c>
      <c r="M786" s="17">
        <v>3.0</v>
      </c>
      <c r="N786" s="17">
        <v>1.0</v>
      </c>
      <c r="O786" s="17">
        <v>6.4</v>
      </c>
      <c r="P786" s="17">
        <v>3.6</v>
      </c>
      <c r="Q786" s="15">
        <v>44986.0</v>
      </c>
      <c r="R786" s="12"/>
      <c r="S786" s="12" t="s">
        <v>55</v>
      </c>
      <c r="T786" s="12" t="s">
        <v>75</v>
      </c>
      <c r="U786" s="17">
        <f t="shared" si="1"/>
        <v>1</v>
      </c>
    </row>
    <row r="787">
      <c r="A787" s="12" t="s">
        <v>1388</v>
      </c>
      <c r="B787" s="12" t="s">
        <v>322</v>
      </c>
      <c r="C787" s="17">
        <v>27.0</v>
      </c>
      <c r="D787" s="12" t="s">
        <v>69</v>
      </c>
      <c r="E787" s="12" t="s">
        <v>177</v>
      </c>
      <c r="F787" s="12" t="s">
        <v>37</v>
      </c>
      <c r="G787" s="12" t="s">
        <v>52</v>
      </c>
      <c r="H787" s="15">
        <v>44953.0</v>
      </c>
      <c r="I787" s="17">
        <v>48.0</v>
      </c>
      <c r="J787" s="12" t="s">
        <v>64</v>
      </c>
      <c r="K787" s="12" t="s">
        <v>65</v>
      </c>
      <c r="L787" s="17">
        <v>1316.0</v>
      </c>
      <c r="M787" s="17">
        <v>2.0</v>
      </c>
      <c r="N787" s="17">
        <v>1.0</v>
      </c>
      <c r="O787" s="17">
        <v>42.0</v>
      </c>
      <c r="P787" s="17">
        <v>3.3</v>
      </c>
      <c r="Q787" s="15">
        <v>45739.0</v>
      </c>
      <c r="R787" s="12" t="s">
        <v>1389</v>
      </c>
      <c r="S787" s="12" t="s">
        <v>45</v>
      </c>
      <c r="T787" s="12" t="s">
        <v>75</v>
      </c>
      <c r="U787" s="17">
        <f t="shared" si="1"/>
        <v>3</v>
      </c>
    </row>
    <row r="788">
      <c r="A788" s="12" t="s">
        <v>1390</v>
      </c>
      <c r="B788" s="12" t="s">
        <v>448</v>
      </c>
      <c r="C788" s="17">
        <v>41.0</v>
      </c>
      <c r="D788" s="12" t="s">
        <v>69</v>
      </c>
      <c r="E788" s="12" t="s">
        <v>177</v>
      </c>
      <c r="F788" s="12" t="s">
        <v>79</v>
      </c>
      <c r="G788" s="12" t="s">
        <v>39</v>
      </c>
      <c r="H788" s="15">
        <v>45166.0</v>
      </c>
      <c r="I788" s="17">
        <v>17.0</v>
      </c>
      <c r="J788" s="12" t="s">
        <v>64</v>
      </c>
      <c r="K788" s="12" t="s">
        <v>81</v>
      </c>
      <c r="L788" s="17">
        <v>3002.0</v>
      </c>
      <c r="M788" s="17">
        <v>4.0</v>
      </c>
      <c r="N788" s="17">
        <v>1.0</v>
      </c>
      <c r="O788" s="17">
        <v>36.0</v>
      </c>
      <c r="P788" s="17">
        <v>4.3</v>
      </c>
      <c r="Q788" s="15">
        <v>45539.0</v>
      </c>
      <c r="R788" s="12"/>
      <c r="S788" s="12" t="s">
        <v>55</v>
      </c>
      <c r="T788" s="12" t="s">
        <v>75</v>
      </c>
      <c r="U788" s="17">
        <f t="shared" si="1"/>
        <v>3</v>
      </c>
    </row>
    <row r="789">
      <c r="A789" s="12" t="s">
        <v>689</v>
      </c>
      <c r="B789" s="12" t="s">
        <v>250</v>
      </c>
      <c r="C789" s="17">
        <v>40.0</v>
      </c>
      <c r="D789" s="12" t="s">
        <v>69</v>
      </c>
      <c r="E789" s="12" t="s">
        <v>70</v>
      </c>
      <c r="F789" s="12" t="s">
        <v>79</v>
      </c>
      <c r="G789" s="12" t="s">
        <v>80</v>
      </c>
      <c r="H789" s="15">
        <v>45351.0</v>
      </c>
      <c r="I789" s="17">
        <v>10.0</v>
      </c>
      <c r="J789" s="12" t="s">
        <v>64</v>
      </c>
      <c r="K789" s="12" t="s">
        <v>81</v>
      </c>
      <c r="L789" s="17">
        <v>2887.0</v>
      </c>
      <c r="M789" s="17">
        <v>2.0</v>
      </c>
      <c r="N789" s="17">
        <v>2.0</v>
      </c>
      <c r="O789" s="17">
        <v>30.7</v>
      </c>
      <c r="P789" s="17">
        <v>5.0</v>
      </c>
      <c r="Q789" s="15">
        <v>45538.0</v>
      </c>
      <c r="R789" s="12"/>
      <c r="S789" s="12" t="s">
        <v>55</v>
      </c>
      <c r="T789" s="12" t="s">
        <v>66</v>
      </c>
      <c r="U789" s="17">
        <f t="shared" si="1"/>
        <v>5</v>
      </c>
    </row>
    <row r="790">
      <c r="A790" s="12" t="s">
        <v>1391</v>
      </c>
      <c r="B790" s="12" t="s">
        <v>383</v>
      </c>
      <c r="C790" s="17">
        <v>27.0</v>
      </c>
      <c r="D790" s="12" t="s">
        <v>60</v>
      </c>
      <c r="E790" s="12" t="s">
        <v>61</v>
      </c>
      <c r="F790" s="12" t="s">
        <v>37</v>
      </c>
      <c r="G790" s="12" t="s">
        <v>39</v>
      </c>
      <c r="H790" s="15">
        <v>45090.0</v>
      </c>
      <c r="I790" s="17">
        <v>14.0</v>
      </c>
      <c r="J790" s="12" t="s">
        <v>53</v>
      </c>
      <c r="K790" s="12" t="s">
        <v>81</v>
      </c>
      <c r="L790" s="12" t="s">
        <v>1392</v>
      </c>
      <c r="M790" s="17">
        <v>0.0</v>
      </c>
      <c r="N790" s="17">
        <v>2.0</v>
      </c>
      <c r="O790" s="17">
        <v>32.5</v>
      </c>
      <c r="P790" s="17">
        <v>1.3</v>
      </c>
      <c r="Q790" s="15">
        <v>45437.0</v>
      </c>
      <c r="R790" s="12"/>
      <c r="S790" s="12" t="s">
        <v>55</v>
      </c>
      <c r="T790" s="12" t="s">
        <v>72</v>
      </c>
      <c r="U790" s="17">
        <f t="shared" si="1"/>
        <v>2</v>
      </c>
    </row>
    <row r="791">
      <c r="A791" s="12" t="s">
        <v>668</v>
      </c>
      <c r="B791" s="12" t="s">
        <v>91</v>
      </c>
      <c r="C791" s="17">
        <v>30.0</v>
      </c>
      <c r="D791" s="12" t="s">
        <v>85</v>
      </c>
      <c r="E791" s="12" t="s">
        <v>292</v>
      </c>
      <c r="F791" s="12" t="s">
        <v>716</v>
      </c>
      <c r="G791" s="12" t="s">
        <v>63</v>
      </c>
      <c r="H791" s="15">
        <v>45851.0</v>
      </c>
      <c r="I791" s="17">
        <v>23.0</v>
      </c>
      <c r="J791" s="12" t="s">
        <v>53</v>
      </c>
      <c r="K791" s="12" t="s">
        <v>65</v>
      </c>
      <c r="L791" s="17">
        <v>503.0</v>
      </c>
      <c r="M791" s="17">
        <v>2.0</v>
      </c>
      <c r="N791" s="17">
        <v>0.0</v>
      </c>
      <c r="O791" s="17">
        <v>10.6</v>
      </c>
      <c r="P791" s="17">
        <v>3.9</v>
      </c>
      <c r="Q791" s="15">
        <v>46347.0</v>
      </c>
      <c r="R791" s="12" t="s">
        <v>1393</v>
      </c>
      <c r="S791" s="12" t="s">
        <v>45</v>
      </c>
      <c r="T791" s="12" t="s">
        <v>47</v>
      </c>
      <c r="U791" s="17">
        <f t="shared" si="1"/>
        <v>4</v>
      </c>
    </row>
    <row r="792">
      <c r="A792" s="12" t="s">
        <v>1394</v>
      </c>
      <c r="B792" s="12" t="s">
        <v>380</v>
      </c>
      <c r="C792" s="17">
        <v>65.0</v>
      </c>
      <c r="D792" s="12" t="s">
        <v>69</v>
      </c>
      <c r="E792" s="12" t="s">
        <v>70</v>
      </c>
      <c r="F792" s="12" t="s">
        <v>62</v>
      </c>
      <c r="G792" s="12" t="s">
        <v>80</v>
      </c>
      <c r="H792" s="15">
        <v>45496.0</v>
      </c>
      <c r="I792" s="17">
        <v>38.0</v>
      </c>
      <c r="J792" s="12" t="s">
        <v>53</v>
      </c>
      <c r="K792" s="12" t="s">
        <v>81</v>
      </c>
      <c r="L792" s="17">
        <v>721.0</v>
      </c>
      <c r="M792" s="17">
        <v>3.0</v>
      </c>
      <c r="N792" s="17">
        <v>0.0</v>
      </c>
      <c r="O792" s="17">
        <v>25.5</v>
      </c>
      <c r="P792" s="17">
        <v>4.4</v>
      </c>
      <c r="Q792" s="15">
        <v>46475.0</v>
      </c>
      <c r="R792" s="12"/>
      <c r="S792" s="12" t="s">
        <v>55</v>
      </c>
      <c r="T792" s="12" t="s">
        <v>72</v>
      </c>
      <c r="U792" s="17">
        <f t="shared" si="1"/>
        <v>2</v>
      </c>
    </row>
    <row r="793">
      <c r="A793" s="12" t="s">
        <v>1395</v>
      </c>
      <c r="B793" s="12" t="s">
        <v>308</v>
      </c>
      <c r="C793" s="17">
        <v>29.0</v>
      </c>
      <c r="D793" s="12" t="s">
        <v>85</v>
      </c>
      <c r="E793" s="12" t="s">
        <v>92</v>
      </c>
      <c r="F793" s="12" t="s">
        <v>62</v>
      </c>
      <c r="G793" s="12" t="s">
        <v>39</v>
      </c>
      <c r="H793" s="15">
        <v>45600.0</v>
      </c>
      <c r="I793" s="17">
        <v>7.0</v>
      </c>
      <c r="J793" s="12" t="s">
        <v>64</v>
      </c>
      <c r="K793" s="12" t="s">
        <v>42</v>
      </c>
      <c r="L793" s="17">
        <v>895.0</v>
      </c>
      <c r="M793" s="17">
        <v>2.0</v>
      </c>
      <c r="N793" s="17">
        <v>0.0</v>
      </c>
      <c r="O793" s="17">
        <v>29.8</v>
      </c>
      <c r="P793" s="17">
        <v>3.1</v>
      </c>
      <c r="Q793" s="15">
        <v>45757.0</v>
      </c>
      <c r="R793" s="12"/>
      <c r="S793" s="12" t="s">
        <v>55</v>
      </c>
      <c r="T793" s="12" t="s">
        <v>72</v>
      </c>
      <c r="U793" s="17">
        <f t="shared" si="1"/>
        <v>1</v>
      </c>
    </row>
    <row r="794">
      <c r="A794" s="12" t="s">
        <v>1396</v>
      </c>
      <c r="B794" s="12" t="s">
        <v>734</v>
      </c>
      <c r="C794" s="17">
        <v>29.0</v>
      </c>
      <c r="D794" s="12" t="s">
        <v>69</v>
      </c>
      <c r="E794" s="12" t="s">
        <v>187</v>
      </c>
      <c r="F794" s="12" t="s">
        <v>62</v>
      </c>
      <c r="G794" s="12" t="s">
        <v>210</v>
      </c>
      <c r="H794" s="15">
        <v>44672.0</v>
      </c>
      <c r="I794" s="17">
        <v>6.0</v>
      </c>
      <c r="J794" s="12" t="s">
        <v>53</v>
      </c>
      <c r="K794" s="12" t="s">
        <v>42</v>
      </c>
      <c r="L794" s="17">
        <v>891.0</v>
      </c>
      <c r="M794" s="17">
        <v>0.0</v>
      </c>
      <c r="N794" s="17">
        <v>2.0</v>
      </c>
      <c r="O794" s="17">
        <v>6.5</v>
      </c>
      <c r="P794" s="17">
        <v>3.3</v>
      </c>
      <c r="Q794" s="15">
        <v>44770.0</v>
      </c>
      <c r="R794" s="12"/>
      <c r="S794" s="12" t="s">
        <v>55</v>
      </c>
      <c r="T794" s="12" t="s">
        <v>47</v>
      </c>
      <c r="U794" s="17">
        <f t="shared" si="1"/>
        <v>1</v>
      </c>
    </row>
    <row r="795">
      <c r="A795" s="12" t="s">
        <v>1398</v>
      </c>
      <c r="B795" s="12" t="s">
        <v>167</v>
      </c>
      <c r="C795" s="17">
        <v>19.0</v>
      </c>
      <c r="D795" s="12" t="s">
        <v>69</v>
      </c>
      <c r="E795" s="12" t="s">
        <v>177</v>
      </c>
      <c r="F795" s="12" t="s">
        <v>62</v>
      </c>
      <c r="G795" s="12" t="s">
        <v>39</v>
      </c>
      <c r="H795" s="15">
        <v>45045.0</v>
      </c>
      <c r="I795" s="17">
        <v>14.0</v>
      </c>
      <c r="J795" s="12" t="s">
        <v>53</v>
      </c>
      <c r="K795" s="12" t="s">
        <v>42</v>
      </c>
      <c r="L795" s="17">
        <v>869.0</v>
      </c>
      <c r="M795" s="17">
        <v>1.0</v>
      </c>
      <c r="N795" s="17">
        <v>2.0</v>
      </c>
      <c r="O795" s="17">
        <v>25.6</v>
      </c>
      <c r="P795" s="17">
        <v>4.2</v>
      </c>
      <c r="Q795" s="15">
        <v>45405.0</v>
      </c>
      <c r="R795" s="12"/>
      <c r="S795" s="12" t="s">
        <v>55</v>
      </c>
      <c r="T795" s="12" t="s">
        <v>72</v>
      </c>
      <c r="U795" s="17">
        <f t="shared" si="1"/>
        <v>2</v>
      </c>
    </row>
    <row r="796">
      <c r="A796" s="12" t="s">
        <v>1400</v>
      </c>
      <c r="B796" s="12" t="s">
        <v>405</v>
      </c>
      <c r="C796" s="17">
        <v>67.0</v>
      </c>
      <c r="D796" s="12" t="s">
        <v>85</v>
      </c>
      <c r="E796" s="12" t="s">
        <v>87</v>
      </c>
      <c r="F796" s="12" t="s">
        <v>37</v>
      </c>
      <c r="G796" s="12" t="s">
        <v>120</v>
      </c>
      <c r="H796" s="15">
        <v>45930.0</v>
      </c>
      <c r="I796" s="17">
        <v>25.0</v>
      </c>
      <c r="J796" s="12" t="s">
        <v>40</v>
      </c>
      <c r="K796" s="12" t="s">
        <v>65</v>
      </c>
      <c r="L796" s="17">
        <v>1247.0</v>
      </c>
      <c r="M796" s="17">
        <v>3.0</v>
      </c>
      <c r="N796" s="17">
        <v>2.0</v>
      </c>
      <c r="O796" s="17">
        <v>16.0</v>
      </c>
      <c r="P796" s="17">
        <v>4.6</v>
      </c>
      <c r="Q796" s="15">
        <v>46038.0</v>
      </c>
      <c r="R796" s="12" t="s">
        <v>1401</v>
      </c>
      <c r="S796" s="12" t="s">
        <v>45</v>
      </c>
      <c r="T796" s="12" t="s">
        <v>72</v>
      </c>
      <c r="U796" s="17">
        <f t="shared" si="1"/>
        <v>3</v>
      </c>
    </row>
    <row r="797">
      <c r="A797" s="12" t="s">
        <v>1403</v>
      </c>
      <c r="B797" s="12" t="s">
        <v>636</v>
      </c>
      <c r="C797" s="17">
        <v>42.0</v>
      </c>
      <c r="D797" s="12" t="s">
        <v>85</v>
      </c>
      <c r="E797" s="12" t="s">
        <v>87</v>
      </c>
      <c r="F797" s="12" t="s">
        <v>37</v>
      </c>
      <c r="G797" s="12" t="s">
        <v>210</v>
      </c>
      <c r="H797" s="15">
        <v>45562.0</v>
      </c>
      <c r="I797" s="17">
        <v>43.0</v>
      </c>
      <c r="J797" s="12" t="s">
        <v>53</v>
      </c>
      <c r="K797" s="12" t="s">
        <v>81</v>
      </c>
      <c r="L797" s="17">
        <v>1026.0</v>
      </c>
      <c r="M797" s="17">
        <v>1.0</v>
      </c>
      <c r="N797" s="17">
        <v>3.0</v>
      </c>
      <c r="O797" s="17">
        <v>35.6</v>
      </c>
      <c r="P797" s="17">
        <v>3.7</v>
      </c>
      <c r="Q797" s="15">
        <v>46818.0</v>
      </c>
      <c r="R797" s="12" t="s">
        <v>1405</v>
      </c>
      <c r="S797" s="12" t="s">
        <v>45</v>
      </c>
      <c r="T797" s="12" t="s">
        <v>104</v>
      </c>
      <c r="U797" s="17">
        <f t="shared" si="1"/>
        <v>2</v>
      </c>
    </row>
    <row r="798">
      <c r="A798" s="12" t="s">
        <v>900</v>
      </c>
      <c r="B798" s="12" t="s">
        <v>206</v>
      </c>
      <c r="C798" s="17">
        <v>46.0</v>
      </c>
      <c r="D798" s="12" t="s">
        <v>85</v>
      </c>
      <c r="E798" s="12" t="s">
        <v>292</v>
      </c>
      <c r="F798" s="12" t="s">
        <v>37</v>
      </c>
      <c r="G798" s="12" t="s">
        <v>39</v>
      </c>
      <c r="H798" s="15">
        <v>45585.0</v>
      </c>
      <c r="I798" s="17">
        <v>13.0</v>
      </c>
      <c r="J798" s="12" t="s">
        <v>40</v>
      </c>
      <c r="K798" s="12" t="s">
        <v>65</v>
      </c>
      <c r="L798" s="17">
        <v>1444.0</v>
      </c>
      <c r="M798" s="17">
        <v>2.0</v>
      </c>
      <c r="N798" s="17">
        <v>0.0</v>
      </c>
      <c r="O798" s="17">
        <v>31.3</v>
      </c>
      <c r="P798" s="17">
        <v>4.0</v>
      </c>
      <c r="Q798" s="15">
        <v>45768.0</v>
      </c>
      <c r="R798" s="12"/>
      <c r="S798" s="12" t="s">
        <v>55</v>
      </c>
      <c r="T798" s="12" t="s">
        <v>72</v>
      </c>
      <c r="U798" s="17">
        <f t="shared" si="1"/>
        <v>2</v>
      </c>
    </row>
    <row r="799">
      <c r="A799" s="12" t="s">
        <v>1406</v>
      </c>
      <c r="B799" s="12" t="s">
        <v>91</v>
      </c>
      <c r="C799" s="17">
        <v>60.0</v>
      </c>
      <c r="D799" s="12" t="s">
        <v>85</v>
      </c>
      <c r="E799" s="12" t="s">
        <v>292</v>
      </c>
      <c r="F799" s="12" t="s">
        <v>62</v>
      </c>
      <c r="G799" s="12" t="s">
        <v>120</v>
      </c>
      <c r="H799" s="15">
        <v>44929.0</v>
      </c>
      <c r="I799" s="17">
        <v>11.0</v>
      </c>
      <c r="J799" s="12" t="s">
        <v>53</v>
      </c>
      <c r="K799" s="12" t="s">
        <v>42</v>
      </c>
      <c r="L799" s="17">
        <v>763.0</v>
      </c>
      <c r="M799" s="17">
        <v>1.0</v>
      </c>
      <c r="N799" s="17">
        <v>1.0</v>
      </c>
      <c r="O799" s="17">
        <v>37.1</v>
      </c>
      <c r="P799" s="17">
        <v>4.8</v>
      </c>
      <c r="Q799" s="15">
        <v>44981.0</v>
      </c>
      <c r="R799" s="12"/>
      <c r="S799" s="12" t="s">
        <v>55</v>
      </c>
      <c r="T799" s="12" t="s">
        <v>47</v>
      </c>
      <c r="U799" s="17">
        <f t="shared" si="1"/>
        <v>1</v>
      </c>
    </row>
    <row r="800">
      <c r="A800" s="12" t="s">
        <v>502</v>
      </c>
      <c r="B800" s="12" t="s">
        <v>222</v>
      </c>
      <c r="C800" s="17">
        <v>66.0</v>
      </c>
      <c r="D800" s="12" t="s">
        <v>69</v>
      </c>
      <c r="E800" s="12" t="s">
        <v>119</v>
      </c>
      <c r="F800" s="12" t="s">
        <v>37</v>
      </c>
      <c r="G800" s="12" t="s">
        <v>63</v>
      </c>
      <c r="H800" s="15">
        <v>45557.0</v>
      </c>
      <c r="I800" s="17">
        <v>42.0</v>
      </c>
      <c r="J800" s="12" t="s">
        <v>64</v>
      </c>
      <c r="K800" s="12" t="s">
        <v>42</v>
      </c>
      <c r="L800" s="12" t="s">
        <v>1407</v>
      </c>
      <c r="M800" s="17">
        <v>2.0</v>
      </c>
      <c r="N800" s="17">
        <v>1.0</v>
      </c>
      <c r="O800" s="17">
        <v>33.8</v>
      </c>
      <c r="P800" s="17">
        <v>3.8</v>
      </c>
      <c r="Q800" s="15">
        <v>45678.0</v>
      </c>
      <c r="R800" s="12" t="s">
        <v>1408</v>
      </c>
      <c r="S800" s="12" t="s">
        <v>45</v>
      </c>
      <c r="T800" s="12" t="s">
        <v>66</v>
      </c>
      <c r="U800" s="17">
        <f t="shared" si="1"/>
        <v>2</v>
      </c>
    </row>
    <row r="801">
      <c r="A801" s="12" t="s">
        <v>1409</v>
      </c>
      <c r="B801" s="12" t="s">
        <v>336</v>
      </c>
      <c r="C801" s="17">
        <v>19.0</v>
      </c>
      <c r="D801" s="12" t="s">
        <v>60</v>
      </c>
      <c r="E801" s="12" t="s">
        <v>133</v>
      </c>
      <c r="F801" s="12" t="s">
        <v>37</v>
      </c>
      <c r="G801" s="12" t="s">
        <v>93</v>
      </c>
      <c r="H801" s="15">
        <v>45657.0</v>
      </c>
      <c r="I801" s="17">
        <v>24.0</v>
      </c>
      <c r="J801" s="12" t="s">
        <v>53</v>
      </c>
      <c r="K801" s="12" t="s">
        <v>81</v>
      </c>
      <c r="L801" s="17">
        <v>1433.0</v>
      </c>
      <c r="M801" s="17">
        <v>3.0</v>
      </c>
      <c r="N801" s="17">
        <v>0.0</v>
      </c>
      <c r="O801" s="17">
        <v>21.7</v>
      </c>
      <c r="P801" s="17">
        <v>3.7</v>
      </c>
      <c r="Q801" s="15">
        <v>46059.0</v>
      </c>
      <c r="R801" s="12"/>
      <c r="S801" s="12" t="s">
        <v>55</v>
      </c>
      <c r="T801" s="12" t="s">
        <v>66</v>
      </c>
      <c r="U801" s="17">
        <f t="shared" si="1"/>
        <v>2</v>
      </c>
    </row>
    <row r="802">
      <c r="A802" s="12" t="s">
        <v>882</v>
      </c>
      <c r="B802" s="12" t="s">
        <v>448</v>
      </c>
      <c r="C802" s="12"/>
      <c r="D802" s="12" t="s">
        <v>69</v>
      </c>
      <c r="E802" s="12" t="s">
        <v>119</v>
      </c>
      <c r="F802" s="12" t="s">
        <v>62</v>
      </c>
      <c r="G802" s="12" t="s">
        <v>120</v>
      </c>
      <c r="H802" s="15">
        <v>45138.0</v>
      </c>
      <c r="I802" s="17">
        <v>3.0</v>
      </c>
      <c r="J802" s="12" t="s">
        <v>53</v>
      </c>
      <c r="K802" s="12" t="s">
        <v>65</v>
      </c>
      <c r="L802" s="17">
        <v>749.0</v>
      </c>
      <c r="M802" s="17">
        <v>2.0</v>
      </c>
      <c r="N802" s="17">
        <v>2.0</v>
      </c>
      <c r="O802" s="17">
        <v>9.6</v>
      </c>
      <c r="P802" s="17">
        <v>4.1</v>
      </c>
      <c r="Q802" s="15">
        <v>45154.0</v>
      </c>
      <c r="R802" s="12"/>
      <c r="S802" s="12" t="s">
        <v>55</v>
      </c>
      <c r="T802" s="12" t="s">
        <v>72</v>
      </c>
      <c r="U802" s="17">
        <f t="shared" si="1"/>
        <v>2</v>
      </c>
    </row>
    <row r="803">
      <c r="A803" s="12" t="s">
        <v>1006</v>
      </c>
      <c r="B803" s="12" t="s">
        <v>74</v>
      </c>
      <c r="C803" s="17">
        <v>53.0</v>
      </c>
      <c r="D803" s="12" t="s">
        <v>35</v>
      </c>
      <c r="E803" s="12" t="s">
        <v>161</v>
      </c>
      <c r="F803" s="12" t="s">
        <v>62</v>
      </c>
      <c r="G803" s="12" t="s">
        <v>210</v>
      </c>
      <c r="H803" s="15">
        <v>45416.0</v>
      </c>
      <c r="I803" s="17">
        <v>2.0</v>
      </c>
      <c r="J803" s="12" t="s">
        <v>64</v>
      </c>
      <c r="K803" s="12" t="s">
        <v>65</v>
      </c>
      <c r="L803" s="17">
        <v>651.0</v>
      </c>
      <c r="M803" s="17">
        <v>5.0</v>
      </c>
      <c r="N803" s="17">
        <v>0.0</v>
      </c>
      <c r="O803" s="17">
        <v>7.1</v>
      </c>
      <c r="P803" s="17">
        <v>4.3</v>
      </c>
      <c r="Q803" s="15">
        <v>45440.0</v>
      </c>
      <c r="R803" s="12"/>
      <c r="S803" s="12" t="s">
        <v>55</v>
      </c>
      <c r="T803" s="12" t="s">
        <v>47</v>
      </c>
      <c r="U803" s="17">
        <f t="shared" si="1"/>
        <v>3</v>
      </c>
    </row>
    <row r="804">
      <c r="A804" s="12" t="s">
        <v>1002</v>
      </c>
      <c r="B804" s="12" t="s">
        <v>172</v>
      </c>
      <c r="C804" s="17">
        <v>65.0</v>
      </c>
      <c r="D804" s="12" t="s">
        <v>35</v>
      </c>
      <c r="E804" s="12" t="s">
        <v>36</v>
      </c>
      <c r="F804" s="12" t="s">
        <v>62</v>
      </c>
      <c r="G804" s="12" t="s">
        <v>39</v>
      </c>
      <c r="H804" s="15">
        <v>45858.0</v>
      </c>
      <c r="I804" s="17">
        <v>32.0</v>
      </c>
      <c r="J804" s="12" t="s">
        <v>64</v>
      </c>
      <c r="K804" s="12" t="s">
        <v>81</v>
      </c>
      <c r="L804" s="17">
        <v>639.0</v>
      </c>
      <c r="M804" s="17">
        <v>0.0</v>
      </c>
      <c r="N804" s="17">
        <v>1.0</v>
      </c>
      <c r="O804" s="17">
        <v>34.0</v>
      </c>
      <c r="P804" s="17">
        <v>5.0</v>
      </c>
      <c r="Q804" s="15">
        <v>46337.0</v>
      </c>
      <c r="R804" s="12"/>
      <c r="S804" s="12" t="s">
        <v>55</v>
      </c>
      <c r="T804" s="12" t="s">
        <v>75</v>
      </c>
      <c r="U804" s="17">
        <f t="shared" si="1"/>
        <v>2</v>
      </c>
    </row>
    <row r="805">
      <c r="A805" s="12" t="s">
        <v>1410</v>
      </c>
      <c r="B805" s="12" t="s">
        <v>224</v>
      </c>
      <c r="C805" s="17">
        <v>46.0</v>
      </c>
      <c r="D805" s="12" t="s">
        <v>35</v>
      </c>
      <c r="E805" s="12" t="s">
        <v>161</v>
      </c>
      <c r="F805" s="12" t="s">
        <v>62</v>
      </c>
      <c r="G805" s="12" t="s">
        <v>39</v>
      </c>
      <c r="H805" s="15">
        <v>45809.0</v>
      </c>
      <c r="I805" s="17">
        <v>47.0</v>
      </c>
      <c r="J805" s="12" t="s">
        <v>53</v>
      </c>
      <c r="K805" s="12" t="s">
        <v>42</v>
      </c>
      <c r="L805" s="17">
        <v>550.0</v>
      </c>
      <c r="M805" s="17">
        <v>1.0</v>
      </c>
      <c r="N805" s="17">
        <v>1.0</v>
      </c>
      <c r="O805" s="17">
        <v>16.1</v>
      </c>
      <c r="P805" s="17">
        <v>3.3</v>
      </c>
      <c r="Q805" s="15">
        <v>45980.0</v>
      </c>
      <c r="R805" s="12"/>
      <c r="S805" s="12" t="s">
        <v>55</v>
      </c>
      <c r="T805" s="12" t="s">
        <v>47</v>
      </c>
      <c r="U805" s="17">
        <f t="shared" si="1"/>
        <v>1</v>
      </c>
    </row>
    <row r="806">
      <c r="A806" s="12" t="s">
        <v>455</v>
      </c>
      <c r="B806" s="12" t="s">
        <v>424</v>
      </c>
      <c r="C806" s="17">
        <v>42.0</v>
      </c>
      <c r="D806" s="12" t="s">
        <v>60</v>
      </c>
      <c r="E806" s="12" t="s">
        <v>61</v>
      </c>
      <c r="F806" s="12" t="s">
        <v>37</v>
      </c>
      <c r="G806" s="12" t="s">
        <v>120</v>
      </c>
      <c r="H806" s="15">
        <v>44800.0</v>
      </c>
      <c r="I806" s="17">
        <v>13.0</v>
      </c>
      <c r="J806" s="12" t="s">
        <v>64</v>
      </c>
      <c r="K806" s="12" t="s">
        <v>65</v>
      </c>
      <c r="L806" s="17">
        <v>1629.0</v>
      </c>
      <c r="M806" s="17">
        <v>2.0</v>
      </c>
      <c r="N806" s="17">
        <v>0.0</v>
      </c>
      <c r="O806" s="17">
        <v>16.0</v>
      </c>
      <c r="P806" s="17">
        <v>4.9</v>
      </c>
      <c r="Q806" s="15">
        <v>45086.0</v>
      </c>
      <c r="R806" s="12"/>
      <c r="S806" s="12" t="s">
        <v>55</v>
      </c>
      <c r="T806" s="12" t="s">
        <v>47</v>
      </c>
      <c r="U806" s="17">
        <f t="shared" si="1"/>
        <v>5</v>
      </c>
    </row>
    <row r="807">
      <c r="A807" s="12" t="s">
        <v>909</v>
      </c>
      <c r="B807" s="12" t="s">
        <v>420</v>
      </c>
      <c r="C807" s="17">
        <v>19.0</v>
      </c>
      <c r="D807" s="12" t="s">
        <v>85</v>
      </c>
      <c r="E807" s="12" t="s">
        <v>92</v>
      </c>
      <c r="F807" s="12" t="s">
        <v>37</v>
      </c>
      <c r="G807" s="12" t="s">
        <v>93</v>
      </c>
      <c r="H807" s="15">
        <v>44942.0</v>
      </c>
      <c r="I807" s="17">
        <v>18.0</v>
      </c>
      <c r="J807" s="12" t="s">
        <v>53</v>
      </c>
      <c r="K807" s="12" t="s">
        <v>42</v>
      </c>
      <c r="L807" s="17">
        <v>1618.0</v>
      </c>
      <c r="M807" s="17">
        <v>0.0</v>
      </c>
      <c r="N807" s="17">
        <v>2.0</v>
      </c>
      <c r="O807" s="17">
        <v>33.4</v>
      </c>
      <c r="P807" s="17">
        <v>4.0</v>
      </c>
      <c r="Q807" s="15">
        <v>45137.0</v>
      </c>
      <c r="R807" s="12"/>
      <c r="S807" s="12" t="s">
        <v>55</v>
      </c>
      <c r="T807" s="12" t="s">
        <v>104</v>
      </c>
      <c r="U807" s="17">
        <f t="shared" si="1"/>
        <v>4</v>
      </c>
    </row>
    <row r="808">
      <c r="A808" s="12" t="s">
        <v>945</v>
      </c>
      <c r="B808" s="12" t="s">
        <v>215</v>
      </c>
      <c r="C808" s="17">
        <v>58.0</v>
      </c>
      <c r="D808" s="12" t="s">
        <v>267</v>
      </c>
      <c r="E808" s="12" t="s">
        <v>177</v>
      </c>
      <c r="F808" s="12" t="s">
        <v>62</v>
      </c>
      <c r="G808" s="12" t="s">
        <v>80</v>
      </c>
      <c r="H808" s="15">
        <v>45862.0</v>
      </c>
      <c r="I808" s="17">
        <v>21.0</v>
      </c>
      <c r="J808" s="12" t="s">
        <v>53</v>
      </c>
      <c r="K808" s="12" t="s">
        <v>81</v>
      </c>
      <c r="L808" s="17">
        <v>614.0</v>
      </c>
      <c r="M808" s="17">
        <v>2.0</v>
      </c>
      <c r="N808" s="17">
        <v>3.0</v>
      </c>
      <c r="O808" s="17">
        <v>8.5</v>
      </c>
      <c r="P808" s="17">
        <v>3.5</v>
      </c>
      <c r="Q808" s="15">
        <v>46204.0</v>
      </c>
      <c r="R808" s="12"/>
      <c r="S808" s="12" t="s">
        <v>55</v>
      </c>
      <c r="T808" s="12" t="s">
        <v>66</v>
      </c>
      <c r="U808" s="17">
        <f t="shared" si="1"/>
        <v>3</v>
      </c>
    </row>
    <row r="809">
      <c r="A809" s="12" t="s">
        <v>462</v>
      </c>
      <c r="B809" s="12" t="s">
        <v>383</v>
      </c>
      <c r="C809" s="17">
        <v>66.0</v>
      </c>
      <c r="D809" s="12" t="s">
        <v>85</v>
      </c>
      <c r="E809" s="12" t="s">
        <v>92</v>
      </c>
      <c r="F809" s="12" t="s">
        <v>37</v>
      </c>
      <c r="G809" s="12" t="s">
        <v>120</v>
      </c>
      <c r="H809" s="15">
        <v>45704.0</v>
      </c>
      <c r="I809" s="17">
        <v>1.0</v>
      </c>
      <c r="J809" s="12" t="s">
        <v>53</v>
      </c>
      <c r="K809" s="12" t="s">
        <v>42</v>
      </c>
      <c r="L809" s="17">
        <v>1353.0</v>
      </c>
      <c r="M809" s="17">
        <v>3.0</v>
      </c>
      <c r="N809" s="17">
        <v>2.0</v>
      </c>
      <c r="O809" s="17">
        <v>28.4</v>
      </c>
      <c r="P809" s="17">
        <v>4.3</v>
      </c>
      <c r="Q809" s="15">
        <v>45742.0</v>
      </c>
      <c r="R809" s="12"/>
      <c r="S809" s="12" t="s">
        <v>55</v>
      </c>
      <c r="T809" s="12" t="s">
        <v>66</v>
      </c>
      <c r="U809" s="17">
        <f t="shared" si="1"/>
        <v>4</v>
      </c>
    </row>
    <row r="810">
      <c r="A810" s="12" t="s">
        <v>1411</v>
      </c>
      <c r="B810" s="12" t="s">
        <v>636</v>
      </c>
      <c r="C810" s="17">
        <v>38.0</v>
      </c>
      <c r="D810" s="12" t="s">
        <v>69</v>
      </c>
      <c r="E810" s="12" t="s">
        <v>119</v>
      </c>
      <c r="F810" s="12" t="s">
        <v>62</v>
      </c>
      <c r="G810" s="12" t="s">
        <v>63</v>
      </c>
      <c r="H810" s="15">
        <v>45915.0</v>
      </c>
      <c r="I810" s="17">
        <v>37.0</v>
      </c>
      <c r="J810" s="12" t="s">
        <v>53</v>
      </c>
      <c r="K810" s="12" t="s">
        <v>65</v>
      </c>
      <c r="L810" s="17">
        <v>822.0</v>
      </c>
      <c r="M810" s="17">
        <v>2.0</v>
      </c>
      <c r="N810" s="17">
        <v>2.0</v>
      </c>
      <c r="O810" s="17">
        <v>4.5</v>
      </c>
      <c r="P810" s="17">
        <v>2.8</v>
      </c>
      <c r="Q810" s="15">
        <v>46632.0</v>
      </c>
      <c r="R810" s="12" t="s">
        <v>1412</v>
      </c>
      <c r="S810" s="12" t="s">
        <v>45</v>
      </c>
      <c r="T810" s="12" t="s">
        <v>75</v>
      </c>
      <c r="U810" s="17">
        <f t="shared" si="1"/>
        <v>1</v>
      </c>
    </row>
    <row r="811">
      <c r="A811" s="12" t="s">
        <v>1413</v>
      </c>
      <c r="B811" s="12" t="s">
        <v>169</v>
      </c>
      <c r="C811" s="17">
        <v>34.0</v>
      </c>
      <c r="D811" s="12" t="s">
        <v>85</v>
      </c>
      <c r="E811" s="12" t="s">
        <v>292</v>
      </c>
      <c r="F811" s="12" t="s">
        <v>62</v>
      </c>
      <c r="G811" s="12" t="s">
        <v>80</v>
      </c>
      <c r="H811" s="15">
        <v>44903.0</v>
      </c>
      <c r="I811" s="17">
        <v>40.0</v>
      </c>
      <c r="J811" s="12" t="s">
        <v>53</v>
      </c>
      <c r="K811" s="12" t="s">
        <v>81</v>
      </c>
      <c r="L811" s="17">
        <v>719.0</v>
      </c>
      <c r="M811" s="17">
        <v>2.0</v>
      </c>
      <c r="N811" s="17">
        <v>1.0</v>
      </c>
      <c r="O811" s="17">
        <v>15.9</v>
      </c>
      <c r="P811" s="17">
        <v>3.3</v>
      </c>
      <c r="Q811" s="15">
        <v>44960.0</v>
      </c>
      <c r="R811" s="12"/>
      <c r="S811" s="12" t="s">
        <v>55</v>
      </c>
      <c r="T811" s="12" t="s">
        <v>47</v>
      </c>
      <c r="U811" s="17">
        <f t="shared" si="1"/>
        <v>1</v>
      </c>
    </row>
    <row r="812">
      <c r="A812" s="12" t="s">
        <v>1414</v>
      </c>
      <c r="B812" s="12" t="s">
        <v>1415</v>
      </c>
      <c r="C812" s="17">
        <v>41.0</v>
      </c>
      <c r="D812" s="12" t="s">
        <v>35</v>
      </c>
      <c r="E812" s="12" t="s">
        <v>36</v>
      </c>
      <c r="F812" s="12" t="s">
        <v>62</v>
      </c>
      <c r="G812" s="12" t="s">
        <v>39</v>
      </c>
      <c r="H812" s="15">
        <v>44788.0</v>
      </c>
      <c r="I812" s="17">
        <v>37.0</v>
      </c>
      <c r="J812" s="12" t="s">
        <v>146</v>
      </c>
      <c r="K812" s="12" t="s">
        <v>65</v>
      </c>
      <c r="L812" s="17">
        <v>580.0</v>
      </c>
      <c r="M812" s="17">
        <v>2.0</v>
      </c>
      <c r="N812" s="17">
        <v>2.0</v>
      </c>
      <c r="O812" s="17">
        <v>17.6</v>
      </c>
      <c r="P812" s="17">
        <v>3.6</v>
      </c>
      <c r="Q812" s="15">
        <v>45619.0</v>
      </c>
      <c r="R812" s="12"/>
      <c r="S812" s="12" t="s">
        <v>55</v>
      </c>
      <c r="T812" s="12" t="s">
        <v>66</v>
      </c>
      <c r="U812" s="17">
        <f t="shared" si="1"/>
        <v>1</v>
      </c>
    </row>
    <row r="813">
      <c r="A813" s="12" t="s">
        <v>1133</v>
      </c>
      <c r="B813" s="12" t="s">
        <v>333</v>
      </c>
      <c r="C813" s="12" t="s">
        <v>1416</v>
      </c>
      <c r="D813" s="12" t="s">
        <v>60</v>
      </c>
      <c r="E813" s="12" t="s">
        <v>107</v>
      </c>
      <c r="F813" s="12" t="s">
        <v>413</v>
      </c>
      <c r="G813" s="12" t="s">
        <v>52</v>
      </c>
      <c r="H813" s="15">
        <v>45968.0</v>
      </c>
      <c r="I813" s="17">
        <v>41.0</v>
      </c>
      <c r="J813" s="12" t="s">
        <v>53</v>
      </c>
      <c r="K813" s="12" t="s">
        <v>65</v>
      </c>
      <c r="L813" s="17">
        <v>1513.0</v>
      </c>
      <c r="M813" s="17">
        <v>2.0</v>
      </c>
      <c r="N813" s="17">
        <v>1.0</v>
      </c>
      <c r="O813" s="17">
        <v>21.1</v>
      </c>
      <c r="P813" s="12"/>
      <c r="Q813" s="15">
        <v>47068.0</v>
      </c>
      <c r="R813" s="12" t="s">
        <v>1417</v>
      </c>
      <c r="S813" s="12" t="s">
        <v>45</v>
      </c>
      <c r="T813" s="12" t="s">
        <v>75</v>
      </c>
      <c r="U813" s="17">
        <f t="shared" si="1"/>
        <v>2</v>
      </c>
    </row>
    <row r="814">
      <c r="A814" s="12" t="s">
        <v>1418</v>
      </c>
      <c r="B814" s="12" t="s">
        <v>393</v>
      </c>
      <c r="C814" s="17">
        <v>45.0</v>
      </c>
      <c r="D814" s="12" t="s">
        <v>69</v>
      </c>
      <c r="E814" s="12" t="s">
        <v>119</v>
      </c>
      <c r="F814" s="12" t="s">
        <v>192</v>
      </c>
      <c r="G814" s="12" t="s">
        <v>80</v>
      </c>
      <c r="H814" s="15">
        <v>45246.0</v>
      </c>
      <c r="I814" s="17">
        <v>30.0</v>
      </c>
      <c r="J814" s="12" t="s">
        <v>40</v>
      </c>
      <c r="K814" s="12" t="s">
        <v>81</v>
      </c>
      <c r="L814" s="17">
        <v>848.0</v>
      </c>
      <c r="M814" s="17">
        <v>2.0</v>
      </c>
      <c r="N814" s="17">
        <v>1.0</v>
      </c>
      <c r="O814" s="17">
        <v>29.4</v>
      </c>
      <c r="P814" s="17">
        <v>3.3</v>
      </c>
      <c r="Q814" s="15">
        <v>45850.0</v>
      </c>
      <c r="R814" s="12"/>
      <c r="S814" s="12" t="s">
        <v>217</v>
      </c>
      <c r="T814" s="12" t="s">
        <v>104</v>
      </c>
      <c r="U814" s="17">
        <f t="shared" si="1"/>
        <v>3</v>
      </c>
    </row>
    <row r="815">
      <c r="A815" s="12" t="s">
        <v>1419</v>
      </c>
      <c r="B815" s="12" t="s">
        <v>383</v>
      </c>
      <c r="C815" s="12" t="s">
        <v>1420</v>
      </c>
      <c r="D815" s="12" t="s">
        <v>69</v>
      </c>
      <c r="E815" s="12" t="s">
        <v>187</v>
      </c>
      <c r="F815" s="12" t="s">
        <v>37</v>
      </c>
      <c r="G815" s="12" t="s">
        <v>80</v>
      </c>
      <c r="H815" s="15">
        <v>44726.0</v>
      </c>
      <c r="I815" s="17">
        <v>39.0</v>
      </c>
      <c r="J815" s="12" t="s">
        <v>40</v>
      </c>
      <c r="K815" s="12" t="s">
        <v>65</v>
      </c>
      <c r="L815" s="17">
        <v>1022.0</v>
      </c>
      <c r="M815" s="17">
        <v>3.0</v>
      </c>
      <c r="N815" s="17">
        <v>1.0</v>
      </c>
      <c r="O815" s="17">
        <v>25.2</v>
      </c>
      <c r="P815" s="17">
        <v>4.1</v>
      </c>
      <c r="Q815" s="15">
        <v>45247.0</v>
      </c>
      <c r="R815" s="12"/>
      <c r="S815" s="12" t="s">
        <v>55</v>
      </c>
      <c r="T815" s="12" t="s">
        <v>104</v>
      </c>
      <c r="U815" s="17">
        <f t="shared" si="1"/>
        <v>1</v>
      </c>
    </row>
    <row r="816">
      <c r="A816" s="12" t="s">
        <v>1391</v>
      </c>
      <c r="B816" s="12" t="s">
        <v>68</v>
      </c>
      <c r="C816" s="17">
        <v>37.0</v>
      </c>
      <c r="D816" s="12" t="s">
        <v>85</v>
      </c>
      <c r="E816" s="12" t="s">
        <v>111</v>
      </c>
      <c r="F816" s="12" t="s">
        <v>79</v>
      </c>
      <c r="G816" s="12" t="s">
        <v>39</v>
      </c>
      <c r="H816" s="15">
        <v>45499.0</v>
      </c>
      <c r="I816" s="17">
        <v>24.0</v>
      </c>
      <c r="J816" s="12" t="s">
        <v>40</v>
      </c>
      <c r="K816" s="12" t="s">
        <v>42</v>
      </c>
      <c r="L816" s="17">
        <v>2966.0</v>
      </c>
      <c r="M816" s="17">
        <v>0.0</v>
      </c>
      <c r="N816" s="17">
        <v>0.0</v>
      </c>
      <c r="O816" s="17">
        <v>37.8</v>
      </c>
      <c r="P816" s="17">
        <v>2.5</v>
      </c>
      <c r="Q816" s="15">
        <v>46238.0</v>
      </c>
      <c r="R816" s="12" t="s">
        <v>1421</v>
      </c>
      <c r="S816" s="12" t="s">
        <v>45</v>
      </c>
      <c r="T816" s="12" t="s">
        <v>47</v>
      </c>
      <c r="U816" s="17">
        <f t="shared" si="1"/>
        <v>2</v>
      </c>
    </row>
    <row r="817">
      <c r="A817" s="12" t="s">
        <v>1422</v>
      </c>
      <c r="B817" s="12" t="s">
        <v>448</v>
      </c>
      <c r="C817" s="17">
        <v>29.0</v>
      </c>
      <c r="D817" s="12" t="s">
        <v>85</v>
      </c>
      <c r="E817" s="12" t="s">
        <v>87</v>
      </c>
      <c r="F817" s="12" t="s">
        <v>62</v>
      </c>
      <c r="G817" s="12" t="s">
        <v>80</v>
      </c>
      <c r="H817" s="15">
        <v>45470.0</v>
      </c>
      <c r="I817" s="17">
        <v>16.0</v>
      </c>
      <c r="J817" s="12" t="s">
        <v>40</v>
      </c>
      <c r="K817" s="12" t="s">
        <v>65</v>
      </c>
      <c r="L817" s="17">
        <v>735.0</v>
      </c>
      <c r="M817" s="17">
        <v>2.0</v>
      </c>
      <c r="N817" s="17">
        <v>2.0</v>
      </c>
      <c r="O817" s="17">
        <v>23.4</v>
      </c>
      <c r="P817" s="17">
        <v>3.5</v>
      </c>
      <c r="Q817" s="15">
        <v>45536.0</v>
      </c>
      <c r="R817" s="12" t="s">
        <v>1423</v>
      </c>
      <c r="S817" s="12" t="s">
        <v>45</v>
      </c>
      <c r="T817" s="12" t="s">
        <v>104</v>
      </c>
      <c r="U817" s="17">
        <f t="shared" si="1"/>
        <v>1</v>
      </c>
    </row>
    <row r="818">
      <c r="A818" s="12" t="s">
        <v>1424</v>
      </c>
      <c r="B818" s="12" t="s">
        <v>345</v>
      </c>
      <c r="C818" s="17">
        <v>49.0</v>
      </c>
      <c r="D818" s="12" t="s">
        <v>35</v>
      </c>
      <c r="E818" s="12" t="s">
        <v>140</v>
      </c>
      <c r="F818" s="12" t="s">
        <v>79</v>
      </c>
      <c r="G818" s="12" t="s">
        <v>120</v>
      </c>
      <c r="H818" s="15">
        <v>45351.0</v>
      </c>
      <c r="I818" s="17">
        <v>5.0</v>
      </c>
      <c r="J818" s="12" t="s">
        <v>64</v>
      </c>
      <c r="K818" s="12" t="s">
        <v>42</v>
      </c>
      <c r="L818" s="17">
        <v>3099.0</v>
      </c>
      <c r="M818" s="17">
        <v>0.0</v>
      </c>
      <c r="N818" s="17">
        <v>0.0</v>
      </c>
      <c r="O818" s="17">
        <v>35.0</v>
      </c>
      <c r="P818" s="17">
        <v>3.8</v>
      </c>
      <c r="Q818" s="15">
        <v>45391.0</v>
      </c>
      <c r="R818" s="12" t="s">
        <v>1425</v>
      </c>
      <c r="S818" s="12" t="s">
        <v>45</v>
      </c>
      <c r="T818" s="12" t="s">
        <v>72</v>
      </c>
      <c r="U818" s="17">
        <f t="shared" si="1"/>
        <v>1</v>
      </c>
    </row>
    <row r="819">
      <c r="A819" s="12" t="s">
        <v>531</v>
      </c>
      <c r="B819" s="12" t="s">
        <v>340</v>
      </c>
      <c r="C819" s="17">
        <v>65.0</v>
      </c>
      <c r="D819" s="12" t="s">
        <v>35</v>
      </c>
      <c r="E819" s="12" t="s">
        <v>161</v>
      </c>
      <c r="F819" s="12" t="s">
        <v>62</v>
      </c>
      <c r="G819" s="12" t="s">
        <v>80</v>
      </c>
      <c r="H819" s="15">
        <v>45850.0</v>
      </c>
      <c r="I819" s="17">
        <v>42.0</v>
      </c>
      <c r="J819" s="12" t="s">
        <v>40</v>
      </c>
      <c r="K819" s="12" t="s">
        <v>65</v>
      </c>
      <c r="L819" s="17">
        <v>562.0</v>
      </c>
      <c r="M819" s="17">
        <v>1.0</v>
      </c>
      <c r="N819" s="17">
        <v>0.0</v>
      </c>
      <c r="O819" s="17">
        <v>18.4</v>
      </c>
      <c r="P819" s="17">
        <v>5.0</v>
      </c>
      <c r="Q819" s="15">
        <v>46397.0</v>
      </c>
      <c r="R819" s="12"/>
      <c r="S819" s="12" t="s">
        <v>55</v>
      </c>
      <c r="T819" s="12" t="s">
        <v>75</v>
      </c>
      <c r="U819" s="17">
        <f t="shared" si="1"/>
        <v>3</v>
      </c>
    </row>
    <row r="820">
      <c r="A820" s="12" t="s">
        <v>1426</v>
      </c>
      <c r="B820" s="12" t="s">
        <v>110</v>
      </c>
      <c r="C820" s="17">
        <v>67.0</v>
      </c>
      <c r="D820" s="12" t="s">
        <v>60</v>
      </c>
      <c r="E820" s="12" t="s">
        <v>97</v>
      </c>
      <c r="F820" s="12" t="s">
        <v>79</v>
      </c>
      <c r="G820" s="12" t="s">
        <v>93</v>
      </c>
      <c r="H820" s="15">
        <v>45550.0</v>
      </c>
      <c r="I820" s="17">
        <v>14.0</v>
      </c>
      <c r="J820" s="12" t="s">
        <v>40</v>
      </c>
      <c r="K820" s="12" t="s">
        <v>65</v>
      </c>
      <c r="L820" s="17">
        <v>3419.0</v>
      </c>
      <c r="M820" s="17">
        <v>1.0</v>
      </c>
      <c r="N820" s="17">
        <v>0.0</v>
      </c>
      <c r="O820" s="17">
        <v>48.8</v>
      </c>
      <c r="P820" s="17">
        <v>3.1</v>
      </c>
      <c r="Q820" s="15">
        <v>45597.0</v>
      </c>
      <c r="R820" s="12"/>
      <c r="S820" s="12" t="s">
        <v>55</v>
      </c>
      <c r="T820" s="12" t="s">
        <v>72</v>
      </c>
      <c r="U820" s="17">
        <f t="shared" si="1"/>
        <v>1</v>
      </c>
    </row>
    <row r="821">
      <c r="A821" s="12" t="s">
        <v>1427</v>
      </c>
      <c r="B821" s="12" t="s">
        <v>176</v>
      </c>
      <c r="C821" s="17">
        <v>20.0</v>
      </c>
      <c r="D821" s="12" t="s">
        <v>85</v>
      </c>
      <c r="E821" s="12" t="s">
        <v>92</v>
      </c>
      <c r="F821" s="12" t="s">
        <v>37</v>
      </c>
      <c r="G821" s="12" t="s">
        <v>52</v>
      </c>
      <c r="H821" s="15">
        <v>45090.0</v>
      </c>
      <c r="I821" s="17">
        <v>37.0</v>
      </c>
      <c r="J821" s="12" t="s">
        <v>40</v>
      </c>
      <c r="K821" s="12" t="s">
        <v>65</v>
      </c>
      <c r="L821" s="17">
        <v>1778.0</v>
      </c>
      <c r="M821" s="17">
        <v>4.0</v>
      </c>
      <c r="N821" s="17">
        <v>0.0</v>
      </c>
      <c r="O821" s="17">
        <v>26.4</v>
      </c>
      <c r="P821" s="17">
        <v>2.9</v>
      </c>
      <c r="Q821" s="15">
        <v>45403.0</v>
      </c>
      <c r="R821" s="12"/>
      <c r="S821" s="12" t="s">
        <v>55</v>
      </c>
      <c r="T821" s="12" t="s">
        <v>66</v>
      </c>
      <c r="U821" s="17">
        <f t="shared" si="1"/>
        <v>2</v>
      </c>
    </row>
    <row r="822">
      <c r="A822" s="12" t="s">
        <v>1230</v>
      </c>
      <c r="B822" s="12" t="s">
        <v>106</v>
      </c>
      <c r="C822" s="17">
        <v>28.0</v>
      </c>
      <c r="D822" s="12" t="s">
        <v>60</v>
      </c>
      <c r="E822" s="12" t="s">
        <v>107</v>
      </c>
      <c r="F822" s="12" t="s">
        <v>79</v>
      </c>
      <c r="G822" s="12" t="s">
        <v>39</v>
      </c>
      <c r="H822" s="15">
        <v>45724.0</v>
      </c>
      <c r="I822" s="17">
        <v>41.0</v>
      </c>
      <c r="J822" s="12" t="s">
        <v>64</v>
      </c>
      <c r="K822" s="12" t="s">
        <v>65</v>
      </c>
      <c r="L822" s="17">
        <v>3377.0</v>
      </c>
      <c r="M822" s="17">
        <v>1.0</v>
      </c>
      <c r="N822" s="17">
        <v>1.0</v>
      </c>
      <c r="O822" s="17">
        <v>40.4</v>
      </c>
      <c r="P822" s="17">
        <v>4.1</v>
      </c>
      <c r="Q822" s="15">
        <v>46337.0</v>
      </c>
      <c r="R822" s="12"/>
      <c r="S822" s="12" t="s">
        <v>55</v>
      </c>
      <c r="T822" s="12" t="s">
        <v>75</v>
      </c>
      <c r="U822" s="17">
        <f t="shared" si="1"/>
        <v>4</v>
      </c>
    </row>
    <row r="823">
      <c r="A823" s="12" t="s">
        <v>1428</v>
      </c>
      <c r="B823" s="12" t="s">
        <v>476</v>
      </c>
      <c r="C823" s="17">
        <v>49.0</v>
      </c>
      <c r="D823" s="12" t="s">
        <v>69</v>
      </c>
      <c r="E823" s="12" t="s">
        <v>70</v>
      </c>
      <c r="F823" s="12" t="s">
        <v>79</v>
      </c>
      <c r="G823" s="12" t="s">
        <v>80</v>
      </c>
      <c r="H823" s="15">
        <v>45182.0</v>
      </c>
      <c r="I823" s="17">
        <v>10.0</v>
      </c>
      <c r="J823" s="12" t="s">
        <v>64</v>
      </c>
      <c r="K823" s="12" t="s">
        <v>42</v>
      </c>
      <c r="L823" s="17">
        <v>3475.0</v>
      </c>
      <c r="M823" s="17">
        <v>1.0</v>
      </c>
      <c r="N823" s="17">
        <v>0.0</v>
      </c>
      <c r="O823" s="17">
        <v>38.9</v>
      </c>
      <c r="P823" s="17">
        <v>4.3</v>
      </c>
      <c r="Q823" s="15">
        <v>45452.0</v>
      </c>
      <c r="R823" s="12"/>
      <c r="S823" s="12" t="s">
        <v>55</v>
      </c>
      <c r="T823" s="12" t="s">
        <v>72</v>
      </c>
      <c r="U823" s="17">
        <f t="shared" si="1"/>
        <v>1</v>
      </c>
    </row>
    <row r="824">
      <c r="A824" s="12" t="s">
        <v>1162</v>
      </c>
      <c r="B824" s="12" t="s">
        <v>308</v>
      </c>
      <c r="C824" s="17">
        <v>61.0</v>
      </c>
      <c r="D824" s="12" t="s">
        <v>69</v>
      </c>
      <c r="E824" s="12" t="s">
        <v>177</v>
      </c>
      <c r="F824" s="12" t="s">
        <v>37</v>
      </c>
      <c r="G824" s="12" t="s">
        <v>120</v>
      </c>
      <c r="H824" s="15">
        <v>45555.0</v>
      </c>
      <c r="I824" s="17">
        <v>42.0</v>
      </c>
      <c r="J824" s="12" t="s">
        <v>40</v>
      </c>
      <c r="K824" s="12" t="s">
        <v>65</v>
      </c>
      <c r="L824" s="17">
        <v>1492.0</v>
      </c>
      <c r="M824" s="17">
        <v>1.0</v>
      </c>
      <c r="N824" s="17">
        <v>0.0</v>
      </c>
      <c r="O824" s="17">
        <v>35.0</v>
      </c>
      <c r="P824" s="17">
        <v>4.6</v>
      </c>
      <c r="Q824" s="15">
        <v>46556.0</v>
      </c>
      <c r="R824" s="12"/>
      <c r="S824" s="12" t="s">
        <v>55</v>
      </c>
      <c r="T824" s="12" t="s">
        <v>47</v>
      </c>
      <c r="U824" s="17">
        <f t="shared" si="1"/>
        <v>3</v>
      </c>
    </row>
    <row r="825">
      <c r="A825" s="12" t="s">
        <v>1429</v>
      </c>
      <c r="B825" s="12" t="s">
        <v>395</v>
      </c>
      <c r="C825" s="17">
        <v>66.0</v>
      </c>
      <c r="D825" s="12" t="s">
        <v>69</v>
      </c>
      <c r="E825" s="12" t="s">
        <v>187</v>
      </c>
      <c r="F825" s="12" t="s">
        <v>62</v>
      </c>
      <c r="G825" s="12" t="s">
        <v>80</v>
      </c>
      <c r="H825" s="15">
        <v>44806.0</v>
      </c>
      <c r="I825" s="17">
        <v>42.0</v>
      </c>
      <c r="J825" s="12" t="s">
        <v>40</v>
      </c>
      <c r="K825" s="12" t="s">
        <v>65</v>
      </c>
      <c r="L825" s="17">
        <v>754.0</v>
      </c>
      <c r="M825" s="17">
        <v>1.0</v>
      </c>
      <c r="N825" s="17">
        <v>1.0</v>
      </c>
      <c r="O825" s="17">
        <v>9.6</v>
      </c>
      <c r="P825" s="17">
        <v>3.0</v>
      </c>
      <c r="Q825" s="15">
        <v>44840.0</v>
      </c>
      <c r="R825" s="12"/>
      <c r="S825" s="12" t="s">
        <v>55</v>
      </c>
      <c r="T825" s="12" t="s">
        <v>104</v>
      </c>
      <c r="U825" s="17">
        <f t="shared" si="1"/>
        <v>1</v>
      </c>
    </row>
    <row r="826">
      <c r="A826" s="12" t="s">
        <v>1430</v>
      </c>
      <c r="B826" s="12" t="s">
        <v>172</v>
      </c>
      <c r="C826" s="17">
        <v>34.0</v>
      </c>
      <c r="D826" s="12" t="s">
        <v>35</v>
      </c>
      <c r="E826" s="12" t="s">
        <v>161</v>
      </c>
      <c r="F826" s="12" t="s">
        <v>37</v>
      </c>
      <c r="G826" s="12" t="s">
        <v>210</v>
      </c>
      <c r="H826" s="15">
        <v>45695.0</v>
      </c>
      <c r="I826" s="17">
        <v>35.0</v>
      </c>
      <c r="J826" s="12" t="s">
        <v>53</v>
      </c>
      <c r="K826" s="12" t="s">
        <v>81</v>
      </c>
      <c r="L826" s="17">
        <v>1080.0</v>
      </c>
      <c r="M826" s="17">
        <v>3.0</v>
      </c>
      <c r="N826" s="17">
        <v>0.0</v>
      </c>
      <c r="O826" s="17">
        <v>23.7</v>
      </c>
      <c r="P826" s="17">
        <v>3.8</v>
      </c>
      <c r="Q826" s="15">
        <v>45819.0</v>
      </c>
      <c r="R826" s="12" t="s">
        <v>1431</v>
      </c>
      <c r="S826" s="12" t="s">
        <v>45</v>
      </c>
      <c r="T826" s="12" t="s">
        <v>47</v>
      </c>
      <c r="U826" s="17">
        <f t="shared" si="1"/>
        <v>1</v>
      </c>
    </row>
    <row r="827">
      <c r="A827" s="12" t="s">
        <v>1432</v>
      </c>
      <c r="B827" s="12" t="s">
        <v>336</v>
      </c>
      <c r="C827" s="17">
        <v>52.0</v>
      </c>
      <c r="D827" s="12" t="s">
        <v>69</v>
      </c>
      <c r="E827" s="12" t="s">
        <v>187</v>
      </c>
      <c r="F827" s="12" t="s">
        <v>37</v>
      </c>
      <c r="G827" s="12" t="s">
        <v>120</v>
      </c>
      <c r="H827" s="15">
        <v>44925.0</v>
      </c>
      <c r="I827" s="17">
        <v>3.0</v>
      </c>
      <c r="J827" s="12" t="s">
        <v>53</v>
      </c>
      <c r="K827" s="12" t="s">
        <v>42</v>
      </c>
      <c r="L827" s="17">
        <v>1564.0</v>
      </c>
      <c r="M827" s="17">
        <v>1.0</v>
      </c>
      <c r="N827" s="17">
        <v>0.0</v>
      </c>
      <c r="O827" s="17">
        <v>23.1</v>
      </c>
      <c r="P827" s="17">
        <v>2.8</v>
      </c>
      <c r="Q827" s="15">
        <v>44946.0</v>
      </c>
      <c r="R827" s="12" t="s">
        <v>1433</v>
      </c>
      <c r="S827" s="12" t="s">
        <v>45</v>
      </c>
      <c r="T827" s="12" t="s">
        <v>47</v>
      </c>
      <c r="U827" s="17">
        <f t="shared" si="1"/>
        <v>2</v>
      </c>
    </row>
    <row r="828">
      <c r="A828" s="12" t="s">
        <v>165</v>
      </c>
      <c r="B828" s="12" t="s">
        <v>639</v>
      </c>
      <c r="C828" s="17">
        <v>31.0</v>
      </c>
      <c r="D828" s="12" t="s">
        <v>69</v>
      </c>
      <c r="E828" s="12" t="s">
        <v>119</v>
      </c>
      <c r="F828" s="12" t="s">
        <v>37</v>
      </c>
      <c r="G828" s="12" t="s">
        <v>80</v>
      </c>
      <c r="H828" s="15">
        <v>44666.0</v>
      </c>
      <c r="I828" s="17">
        <v>21.0</v>
      </c>
      <c r="J828" s="12" t="s">
        <v>40</v>
      </c>
      <c r="K828" s="12" t="s">
        <v>81</v>
      </c>
      <c r="L828" s="17">
        <v>1200.0</v>
      </c>
      <c r="M828" s="17">
        <v>1.0</v>
      </c>
      <c r="N828" s="17">
        <v>0.0</v>
      </c>
      <c r="O828" s="17">
        <v>32.7</v>
      </c>
      <c r="P828" s="17">
        <v>4.3</v>
      </c>
      <c r="Q828" s="15">
        <v>44795.0</v>
      </c>
      <c r="R828" s="12" t="s">
        <v>1233</v>
      </c>
      <c r="S828" s="12" t="s">
        <v>45</v>
      </c>
      <c r="T828" s="12" t="s">
        <v>66</v>
      </c>
      <c r="U828" s="17">
        <f t="shared" si="1"/>
        <v>2</v>
      </c>
    </row>
    <row r="829">
      <c r="A829" s="12" t="s">
        <v>1434</v>
      </c>
      <c r="B829" s="12" t="s">
        <v>351</v>
      </c>
      <c r="C829" s="17">
        <v>19.0</v>
      </c>
      <c r="D829" s="12" t="s">
        <v>85</v>
      </c>
      <c r="E829" s="12" t="s">
        <v>92</v>
      </c>
      <c r="F829" s="12" t="s">
        <v>37</v>
      </c>
      <c r="G829" s="12" t="s">
        <v>80</v>
      </c>
      <c r="H829" s="15">
        <v>45442.0</v>
      </c>
      <c r="I829" s="17">
        <v>8.0</v>
      </c>
      <c r="J829" s="12" t="s">
        <v>53</v>
      </c>
      <c r="K829" s="12" t="s">
        <v>65</v>
      </c>
      <c r="L829" s="17">
        <v>1795.0</v>
      </c>
      <c r="M829" s="17">
        <v>3.0</v>
      </c>
      <c r="N829" s="17">
        <v>0.0</v>
      </c>
      <c r="O829" s="17">
        <v>36.0</v>
      </c>
      <c r="P829" s="17">
        <v>4.9</v>
      </c>
      <c r="Q829" s="15">
        <v>45501.0</v>
      </c>
      <c r="R829" s="12"/>
      <c r="S829" s="12" t="s">
        <v>55</v>
      </c>
      <c r="T829" s="12" t="s">
        <v>66</v>
      </c>
      <c r="U829" s="17">
        <f t="shared" si="1"/>
        <v>1</v>
      </c>
    </row>
    <row r="830">
      <c r="A830" s="12" t="s">
        <v>1435</v>
      </c>
      <c r="B830" s="12" t="s">
        <v>224</v>
      </c>
      <c r="C830" s="17">
        <v>62.0</v>
      </c>
      <c r="D830" s="12" t="s">
        <v>85</v>
      </c>
      <c r="E830" s="12" t="s">
        <v>111</v>
      </c>
      <c r="F830" s="12" t="s">
        <v>62</v>
      </c>
      <c r="G830" s="12" t="s">
        <v>120</v>
      </c>
      <c r="H830" s="15">
        <v>45615.0</v>
      </c>
      <c r="I830" s="17">
        <v>19.0</v>
      </c>
      <c r="J830" s="12" t="s">
        <v>64</v>
      </c>
      <c r="K830" s="12" t="s">
        <v>81</v>
      </c>
      <c r="L830" s="17">
        <v>652.0</v>
      </c>
      <c r="M830" s="17">
        <v>0.0</v>
      </c>
      <c r="N830" s="17">
        <v>1.0</v>
      </c>
      <c r="O830" s="17">
        <v>14.6</v>
      </c>
      <c r="P830" s="17">
        <v>4.1</v>
      </c>
      <c r="Q830" s="15">
        <v>46169.0</v>
      </c>
      <c r="R830" s="12" t="s">
        <v>1436</v>
      </c>
      <c r="S830" s="12" t="s">
        <v>45</v>
      </c>
      <c r="T830" s="12" t="s">
        <v>72</v>
      </c>
      <c r="U830" s="17">
        <f t="shared" si="1"/>
        <v>1</v>
      </c>
    </row>
    <row r="831">
      <c r="A831" s="12" t="s">
        <v>1438</v>
      </c>
      <c r="B831" s="12" t="s">
        <v>288</v>
      </c>
      <c r="C831" s="17">
        <v>67.0</v>
      </c>
      <c r="D831" s="12" t="s">
        <v>306</v>
      </c>
      <c r="E831" s="12" t="s">
        <v>292</v>
      </c>
      <c r="F831" s="12" t="s">
        <v>79</v>
      </c>
      <c r="G831" s="12" t="s">
        <v>39</v>
      </c>
      <c r="H831" s="15">
        <v>45560.0</v>
      </c>
      <c r="I831" s="17">
        <v>1.0</v>
      </c>
      <c r="J831" s="12" t="s">
        <v>53</v>
      </c>
      <c r="K831" s="12" t="s">
        <v>81</v>
      </c>
      <c r="L831" s="17">
        <v>3014.0</v>
      </c>
      <c r="M831" s="17">
        <v>0.0</v>
      </c>
      <c r="N831" s="17">
        <v>1.0</v>
      </c>
      <c r="O831" s="17">
        <v>39.8</v>
      </c>
      <c r="P831" s="17">
        <v>4.3</v>
      </c>
      <c r="Q831" s="15">
        <v>45580.0</v>
      </c>
      <c r="R831" s="12"/>
      <c r="S831" s="12" t="s">
        <v>55</v>
      </c>
      <c r="T831" s="12" t="s">
        <v>72</v>
      </c>
      <c r="U831" s="17">
        <f t="shared" si="1"/>
        <v>1</v>
      </c>
    </row>
    <row r="832">
      <c r="A832" s="12" t="s">
        <v>1439</v>
      </c>
      <c r="B832" s="12" t="s">
        <v>184</v>
      </c>
      <c r="C832" s="17">
        <v>68.0</v>
      </c>
      <c r="D832" s="12" t="s">
        <v>85</v>
      </c>
      <c r="E832" s="12" t="s">
        <v>92</v>
      </c>
      <c r="F832" s="12" t="s">
        <v>37</v>
      </c>
      <c r="G832" s="12" t="s">
        <v>80</v>
      </c>
      <c r="H832" s="15">
        <v>44936.0</v>
      </c>
      <c r="I832" s="17">
        <v>13.0</v>
      </c>
      <c r="J832" s="12" t="s">
        <v>64</v>
      </c>
      <c r="K832" s="12" t="s">
        <v>65</v>
      </c>
      <c r="L832" s="17">
        <v>1236.0</v>
      </c>
      <c r="M832" s="17">
        <v>0.0</v>
      </c>
      <c r="N832" s="17">
        <v>1.0</v>
      </c>
      <c r="O832" s="17">
        <v>19.9</v>
      </c>
      <c r="P832" s="17">
        <v>2.2</v>
      </c>
      <c r="Q832" s="15">
        <v>45103.0</v>
      </c>
      <c r="R832" s="12" t="s">
        <v>1440</v>
      </c>
      <c r="S832" s="12" t="s">
        <v>45</v>
      </c>
      <c r="T832" s="12" t="s">
        <v>104</v>
      </c>
      <c r="U832" s="17">
        <f t="shared" si="1"/>
        <v>1</v>
      </c>
    </row>
    <row r="833">
      <c r="A833" s="12" t="s">
        <v>1441</v>
      </c>
      <c r="B833" s="12" t="s">
        <v>605</v>
      </c>
      <c r="C833" s="17">
        <v>39.0</v>
      </c>
      <c r="D833" s="12" t="s">
        <v>60</v>
      </c>
      <c r="E833" s="12" t="s">
        <v>97</v>
      </c>
      <c r="F833" s="12" t="s">
        <v>37</v>
      </c>
      <c r="G833" s="12" t="s">
        <v>39</v>
      </c>
      <c r="H833" s="15">
        <v>45225.0</v>
      </c>
      <c r="I833" s="17">
        <v>11.0</v>
      </c>
      <c r="J833" s="12" t="s">
        <v>64</v>
      </c>
      <c r="K833" s="12" t="s">
        <v>65</v>
      </c>
      <c r="L833" s="17">
        <v>1174.0</v>
      </c>
      <c r="M833" s="17">
        <v>2.0</v>
      </c>
      <c r="N833" s="17">
        <v>0.0</v>
      </c>
      <c r="O833" s="17">
        <v>14.5</v>
      </c>
      <c r="P833" s="17">
        <v>2.7</v>
      </c>
      <c r="Q833" s="15">
        <v>45315.0</v>
      </c>
      <c r="R833" s="12"/>
      <c r="S833" s="12" t="s">
        <v>55</v>
      </c>
      <c r="T833" s="12" t="s">
        <v>66</v>
      </c>
      <c r="U833" s="17">
        <f t="shared" si="1"/>
        <v>2</v>
      </c>
    </row>
    <row r="834">
      <c r="A834" s="12" t="s">
        <v>415</v>
      </c>
      <c r="B834" s="12" t="s">
        <v>241</v>
      </c>
      <c r="C834" s="17">
        <v>46.0</v>
      </c>
      <c r="D834" s="12" t="s">
        <v>60</v>
      </c>
      <c r="E834" s="12"/>
      <c r="F834" s="12" t="s">
        <v>79</v>
      </c>
      <c r="G834" s="12" t="s">
        <v>120</v>
      </c>
      <c r="H834" s="15">
        <v>45183.0</v>
      </c>
      <c r="I834" s="17">
        <v>24.0</v>
      </c>
      <c r="J834" s="12" t="s">
        <v>64</v>
      </c>
      <c r="K834" s="12" t="s">
        <v>65</v>
      </c>
      <c r="L834" s="17">
        <v>2723.0</v>
      </c>
      <c r="M834" s="17">
        <v>2.0</v>
      </c>
      <c r="N834" s="17">
        <v>0.0</v>
      </c>
      <c r="O834" s="17">
        <v>29.8</v>
      </c>
      <c r="P834" s="17">
        <v>3.4</v>
      </c>
      <c r="Q834" s="15">
        <v>45515.0</v>
      </c>
      <c r="R834" s="12"/>
      <c r="S834" s="12" t="s">
        <v>55</v>
      </c>
      <c r="T834" s="12" t="s">
        <v>75</v>
      </c>
      <c r="U834" s="17">
        <f t="shared" si="1"/>
        <v>2</v>
      </c>
    </row>
    <row r="835">
      <c r="A835" s="12" t="s">
        <v>1442</v>
      </c>
      <c r="B835" s="12" t="s">
        <v>420</v>
      </c>
      <c r="C835" s="17">
        <v>42.0</v>
      </c>
      <c r="D835" s="12" t="s">
        <v>85</v>
      </c>
      <c r="E835" s="12" t="s">
        <v>292</v>
      </c>
      <c r="F835" s="12" t="s">
        <v>79</v>
      </c>
      <c r="G835" s="12" t="s">
        <v>210</v>
      </c>
      <c r="H835" s="15">
        <v>45884.0</v>
      </c>
      <c r="I835" s="17">
        <v>9.0</v>
      </c>
      <c r="J835" s="12" t="s">
        <v>40</v>
      </c>
      <c r="K835" s="12" t="s">
        <v>65</v>
      </c>
      <c r="L835" s="17">
        <v>2038.0</v>
      </c>
      <c r="M835" s="17">
        <v>0.0</v>
      </c>
      <c r="N835" s="17">
        <v>2.0</v>
      </c>
      <c r="O835" s="17">
        <v>40.1</v>
      </c>
      <c r="P835" s="17">
        <v>3.0</v>
      </c>
      <c r="Q835" s="15">
        <v>45997.0</v>
      </c>
      <c r="R835" s="12" t="s">
        <v>1443</v>
      </c>
      <c r="S835" s="12" t="s">
        <v>45</v>
      </c>
      <c r="T835" s="12" t="s">
        <v>75</v>
      </c>
      <c r="U835" s="17">
        <f t="shared" si="1"/>
        <v>2</v>
      </c>
    </row>
    <row r="836">
      <c r="A836" s="12" t="s">
        <v>1444</v>
      </c>
      <c r="B836" s="12" t="s">
        <v>110</v>
      </c>
      <c r="C836" s="17">
        <v>21.0</v>
      </c>
      <c r="D836" s="12" t="s">
        <v>60</v>
      </c>
      <c r="E836" s="12" t="s">
        <v>97</v>
      </c>
      <c r="F836" s="12" t="s">
        <v>37</v>
      </c>
      <c r="G836" s="12" t="s">
        <v>80</v>
      </c>
      <c r="H836" s="15">
        <v>45592.0</v>
      </c>
      <c r="I836" s="17">
        <v>29.0</v>
      </c>
      <c r="J836" s="12" t="s">
        <v>64</v>
      </c>
      <c r="K836" s="12" t="s">
        <v>65</v>
      </c>
      <c r="L836" s="17">
        <v>1075.0</v>
      </c>
      <c r="M836" s="17">
        <v>1.0</v>
      </c>
      <c r="N836" s="17">
        <v>1.0</v>
      </c>
      <c r="O836" s="17">
        <v>34.6</v>
      </c>
      <c r="P836" s="17">
        <v>3.8</v>
      </c>
      <c r="Q836" s="15">
        <v>45766.0</v>
      </c>
      <c r="R836" s="12" t="s">
        <v>1445</v>
      </c>
      <c r="S836" s="12" t="s">
        <v>45</v>
      </c>
      <c r="T836" s="12" t="s">
        <v>75</v>
      </c>
      <c r="U836" s="17">
        <f t="shared" si="1"/>
        <v>1</v>
      </c>
    </row>
    <row r="837">
      <c r="A837" s="12" t="s">
        <v>657</v>
      </c>
      <c r="B837" s="12" t="s">
        <v>639</v>
      </c>
      <c r="C837" s="17">
        <v>27.0</v>
      </c>
      <c r="D837" s="12" t="s">
        <v>60</v>
      </c>
      <c r="E837" s="12" t="s">
        <v>133</v>
      </c>
      <c r="F837" s="12" t="s">
        <v>62</v>
      </c>
      <c r="G837" s="12" t="s">
        <v>63</v>
      </c>
      <c r="H837" s="15">
        <v>45871.0</v>
      </c>
      <c r="I837" s="17">
        <v>22.0</v>
      </c>
      <c r="J837" s="12" t="s">
        <v>64</v>
      </c>
      <c r="K837" s="12" t="s">
        <v>42</v>
      </c>
      <c r="L837" s="17">
        <v>688.0</v>
      </c>
      <c r="M837" s="17">
        <v>3.0</v>
      </c>
      <c r="N837" s="17">
        <v>2.0</v>
      </c>
      <c r="O837" s="17">
        <v>28.8</v>
      </c>
      <c r="P837" s="17">
        <v>4.9</v>
      </c>
      <c r="Q837" s="15">
        <v>46172.0</v>
      </c>
      <c r="R837" s="12"/>
      <c r="S837" s="12" t="s">
        <v>55</v>
      </c>
      <c r="T837" s="12" t="s">
        <v>72</v>
      </c>
      <c r="U837" s="17">
        <f t="shared" si="1"/>
        <v>3</v>
      </c>
    </row>
    <row r="838">
      <c r="A838" s="12" t="s">
        <v>1447</v>
      </c>
      <c r="B838" s="12" t="s">
        <v>232</v>
      </c>
      <c r="C838" s="17">
        <v>54.0</v>
      </c>
      <c r="D838" s="12" t="s">
        <v>85</v>
      </c>
      <c r="E838" s="12" t="s">
        <v>111</v>
      </c>
      <c r="F838" s="12" t="s">
        <v>79</v>
      </c>
      <c r="G838" s="12" t="s">
        <v>80</v>
      </c>
      <c r="H838" s="15">
        <v>45174.0</v>
      </c>
      <c r="I838" s="17">
        <v>37.0</v>
      </c>
      <c r="J838" s="12" t="s">
        <v>429</v>
      </c>
      <c r="K838" s="12" t="s">
        <v>65</v>
      </c>
      <c r="L838" s="17">
        <v>2501.0</v>
      </c>
      <c r="M838" s="17">
        <v>2.0</v>
      </c>
      <c r="N838" s="17">
        <v>1.0</v>
      </c>
      <c r="O838" s="17">
        <v>28.9</v>
      </c>
      <c r="P838" s="17">
        <v>4.0</v>
      </c>
      <c r="Q838" s="15">
        <v>45855.0</v>
      </c>
      <c r="R838" s="12"/>
      <c r="S838" s="12" t="s">
        <v>55</v>
      </c>
      <c r="T838" s="12" t="s">
        <v>104</v>
      </c>
      <c r="U838" s="17">
        <f t="shared" si="1"/>
        <v>2</v>
      </c>
    </row>
    <row r="839">
      <c r="A839" s="12" t="s">
        <v>1448</v>
      </c>
      <c r="B839" s="12" t="s">
        <v>281</v>
      </c>
      <c r="C839" s="17">
        <v>31.0</v>
      </c>
      <c r="D839" s="12" t="s">
        <v>35</v>
      </c>
      <c r="E839" s="12" t="s">
        <v>161</v>
      </c>
      <c r="F839" s="12" t="s">
        <v>79</v>
      </c>
      <c r="G839" s="12" t="s">
        <v>210</v>
      </c>
      <c r="H839" s="15">
        <v>45475.0</v>
      </c>
      <c r="I839" s="17">
        <v>48.0</v>
      </c>
      <c r="J839" s="12" t="s">
        <v>64</v>
      </c>
      <c r="K839" s="12" t="s">
        <v>81</v>
      </c>
      <c r="L839" s="17">
        <v>2958.0</v>
      </c>
      <c r="M839" s="17">
        <v>3.0</v>
      </c>
      <c r="N839" s="17">
        <v>0.0</v>
      </c>
      <c r="O839" s="17">
        <v>46.8</v>
      </c>
      <c r="P839" s="17">
        <v>1.7</v>
      </c>
      <c r="Q839" s="15">
        <v>45951.0</v>
      </c>
      <c r="R839" s="12" t="s">
        <v>1449</v>
      </c>
      <c r="S839" s="12" t="s">
        <v>45</v>
      </c>
      <c r="T839" s="12" t="s">
        <v>72</v>
      </c>
      <c r="U839" s="17">
        <f t="shared" si="1"/>
        <v>1</v>
      </c>
    </row>
    <row r="840">
      <c r="A840" s="12" t="s">
        <v>1451</v>
      </c>
      <c r="B840" s="12" t="s">
        <v>202</v>
      </c>
      <c r="C840" s="17">
        <v>21.0</v>
      </c>
      <c r="D840" s="12" t="s">
        <v>35</v>
      </c>
      <c r="E840" s="12" t="s">
        <v>51</v>
      </c>
      <c r="F840" s="12" t="s">
        <v>62</v>
      </c>
      <c r="G840" s="12" t="s">
        <v>120</v>
      </c>
      <c r="H840" s="15">
        <v>45437.0</v>
      </c>
      <c r="I840" s="17">
        <v>26.0</v>
      </c>
      <c r="J840" s="12" t="s">
        <v>64</v>
      </c>
      <c r="K840" s="12" t="s">
        <v>65</v>
      </c>
      <c r="L840" s="17">
        <v>523.0</v>
      </c>
      <c r="M840" s="17">
        <v>4.0</v>
      </c>
      <c r="N840" s="17">
        <v>0.0</v>
      </c>
      <c r="O840" s="17">
        <v>16.5</v>
      </c>
      <c r="P840" s="17">
        <v>3.9</v>
      </c>
      <c r="Q840" s="15">
        <v>45971.0</v>
      </c>
      <c r="R840" s="12" t="s">
        <v>211</v>
      </c>
      <c r="S840" s="12" t="s">
        <v>45</v>
      </c>
      <c r="T840" s="12" t="s">
        <v>66</v>
      </c>
      <c r="U840" s="17">
        <f t="shared" si="1"/>
        <v>2</v>
      </c>
    </row>
    <row r="841">
      <c r="A841" s="12" t="s">
        <v>804</v>
      </c>
      <c r="B841" s="12" t="s">
        <v>288</v>
      </c>
      <c r="C841" s="17">
        <v>55.0</v>
      </c>
      <c r="D841" s="12" t="s">
        <v>60</v>
      </c>
      <c r="E841" s="12" t="s">
        <v>107</v>
      </c>
      <c r="F841" s="12" t="s">
        <v>37</v>
      </c>
      <c r="G841" s="12" t="s">
        <v>52</v>
      </c>
      <c r="H841" s="15">
        <v>44716.0</v>
      </c>
      <c r="I841" s="17">
        <v>37.0</v>
      </c>
      <c r="J841" s="12" t="s">
        <v>53</v>
      </c>
      <c r="K841" s="12" t="s">
        <v>81</v>
      </c>
      <c r="L841" s="17">
        <v>1798.0</v>
      </c>
      <c r="M841" s="17">
        <v>1.0</v>
      </c>
      <c r="N841" s="17">
        <v>1.0</v>
      </c>
      <c r="O841" s="17">
        <v>16.9</v>
      </c>
      <c r="P841" s="17">
        <v>4.9</v>
      </c>
      <c r="Q841" s="15">
        <v>45815.0</v>
      </c>
      <c r="R841" s="12"/>
      <c r="S841" s="12" t="s">
        <v>55</v>
      </c>
      <c r="T841" s="12" t="s">
        <v>47</v>
      </c>
      <c r="U841" s="17">
        <f t="shared" si="1"/>
        <v>2</v>
      </c>
    </row>
    <row r="842">
      <c r="A842" s="12" t="s">
        <v>1455</v>
      </c>
      <c r="B842" s="12" t="s">
        <v>448</v>
      </c>
      <c r="C842" s="17">
        <v>48.0</v>
      </c>
      <c r="D842" s="12" t="s">
        <v>35</v>
      </c>
      <c r="E842" s="12" t="s">
        <v>140</v>
      </c>
      <c r="F842" s="12" t="s">
        <v>37</v>
      </c>
      <c r="G842" s="12" t="s">
        <v>120</v>
      </c>
      <c r="H842" s="15">
        <v>45486.0</v>
      </c>
      <c r="I842" s="17">
        <v>48.0</v>
      </c>
      <c r="J842" s="12" t="s">
        <v>64</v>
      </c>
      <c r="K842" s="12" t="s">
        <v>81</v>
      </c>
      <c r="L842" s="17">
        <v>1073.0</v>
      </c>
      <c r="M842" s="17">
        <v>2.0</v>
      </c>
      <c r="N842" s="17">
        <v>2.0</v>
      </c>
      <c r="O842" s="17">
        <v>17.9</v>
      </c>
      <c r="P842" s="17">
        <v>4.4</v>
      </c>
      <c r="Q842" s="15">
        <v>46822.0</v>
      </c>
      <c r="R842" s="12"/>
      <c r="S842" s="12" t="s">
        <v>55</v>
      </c>
      <c r="T842" s="12" t="s">
        <v>75</v>
      </c>
      <c r="U842" s="17">
        <f t="shared" si="1"/>
        <v>3</v>
      </c>
    </row>
    <row r="843">
      <c r="A843" s="12" t="s">
        <v>1457</v>
      </c>
      <c r="B843" s="12" t="s">
        <v>636</v>
      </c>
      <c r="C843" s="17">
        <v>53.0</v>
      </c>
      <c r="D843" s="12" t="s">
        <v>85</v>
      </c>
      <c r="E843" s="12" t="s">
        <v>92</v>
      </c>
      <c r="F843" s="12" t="s">
        <v>62</v>
      </c>
      <c r="G843" s="12" t="s">
        <v>93</v>
      </c>
      <c r="H843" s="15">
        <v>45360.0</v>
      </c>
      <c r="I843" s="17">
        <v>2.0</v>
      </c>
      <c r="J843" s="12" t="s">
        <v>53</v>
      </c>
      <c r="K843" s="12" t="s">
        <v>81</v>
      </c>
      <c r="L843" s="17">
        <v>664.0</v>
      </c>
      <c r="M843" s="17">
        <v>4.0</v>
      </c>
      <c r="N843" s="17">
        <v>0.0</v>
      </c>
      <c r="O843" s="17">
        <v>10.7</v>
      </c>
      <c r="P843" s="17">
        <v>4.3</v>
      </c>
      <c r="Q843" s="15">
        <v>45403.0</v>
      </c>
      <c r="R843" s="12"/>
      <c r="S843" s="12" t="s">
        <v>55</v>
      </c>
      <c r="T843" s="12" t="s">
        <v>47</v>
      </c>
      <c r="U843" s="17">
        <f t="shared" si="1"/>
        <v>1</v>
      </c>
    </row>
    <row r="844">
      <c r="A844" s="12" t="s">
        <v>1458</v>
      </c>
      <c r="B844" s="12" t="s">
        <v>405</v>
      </c>
      <c r="C844" s="17">
        <v>23.0</v>
      </c>
      <c r="D844" s="12" t="s">
        <v>60</v>
      </c>
      <c r="E844" s="12" t="s">
        <v>97</v>
      </c>
      <c r="F844" s="12" t="s">
        <v>62</v>
      </c>
      <c r="G844" s="12" t="s">
        <v>39</v>
      </c>
      <c r="H844" s="15">
        <v>44984.0</v>
      </c>
      <c r="I844" s="17">
        <v>20.0</v>
      </c>
      <c r="J844" s="12" t="s">
        <v>53</v>
      </c>
      <c r="K844" s="12" t="s">
        <v>65</v>
      </c>
      <c r="L844" s="12" t="s">
        <v>1459</v>
      </c>
      <c r="M844" s="17">
        <v>3.0</v>
      </c>
      <c r="N844" s="17">
        <v>0.0</v>
      </c>
      <c r="O844" s="17">
        <v>22.2</v>
      </c>
      <c r="P844" s="17">
        <v>3.6</v>
      </c>
      <c r="Q844" s="15">
        <v>45034.0</v>
      </c>
      <c r="R844" s="12"/>
      <c r="S844" s="12" t="s">
        <v>55</v>
      </c>
      <c r="T844" s="12" t="s">
        <v>47</v>
      </c>
      <c r="U844" s="17">
        <f t="shared" si="1"/>
        <v>1</v>
      </c>
    </row>
    <row r="845">
      <c r="A845" s="12" t="s">
        <v>1460</v>
      </c>
      <c r="B845" s="12" t="s">
        <v>235</v>
      </c>
      <c r="C845" s="17">
        <v>43.0</v>
      </c>
      <c r="D845" s="12" t="s">
        <v>69</v>
      </c>
      <c r="E845" s="12" t="s">
        <v>187</v>
      </c>
      <c r="F845" s="12" t="s">
        <v>62</v>
      </c>
      <c r="G845" s="12" t="s">
        <v>120</v>
      </c>
      <c r="H845" s="15">
        <v>45117.0</v>
      </c>
      <c r="I845" s="17">
        <v>0.0</v>
      </c>
      <c r="J845" s="12" t="s">
        <v>40</v>
      </c>
      <c r="K845" s="12" t="s">
        <v>65</v>
      </c>
      <c r="L845" s="17">
        <v>610.0</v>
      </c>
      <c r="M845" s="17">
        <v>3.0</v>
      </c>
      <c r="N845" s="17">
        <v>1.0</v>
      </c>
      <c r="O845" s="17">
        <v>10.5</v>
      </c>
      <c r="P845" s="17">
        <v>4.7</v>
      </c>
      <c r="Q845" s="15">
        <v>45140.0</v>
      </c>
      <c r="R845" s="12" t="s">
        <v>1461</v>
      </c>
      <c r="S845" s="12" t="s">
        <v>602</v>
      </c>
      <c r="T845" s="12" t="s">
        <v>47</v>
      </c>
      <c r="U845" s="17">
        <f t="shared" si="1"/>
        <v>1</v>
      </c>
    </row>
    <row r="846">
      <c r="A846" s="12" t="s">
        <v>1462</v>
      </c>
      <c r="B846" s="12" t="s">
        <v>247</v>
      </c>
      <c r="C846" s="17">
        <v>29.0</v>
      </c>
      <c r="D846" s="12" t="s">
        <v>35</v>
      </c>
      <c r="E846" s="12" t="s">
        <v>140</v>
      </c>
      <c r="F846" s="12" t="s">
        <v>62</v>
      </c>
      <c r="G846" s="12" t="s">
        <v>39</v>
      </c>
      <c r="H846" s="15">
        <v>44983.0</v>
      </c>
      <c r="I846" s="17">
        <v>25.0</v>
      </c>
      <c r="J846" s="12" t="s">
        <v>64</v>
      </c>
      <c r="K846" s="12" t="s">
        <v>42</v>
      </c>
      <c r="L846" s="12" t="s">
        <v>1463</v>
      </c>
      <c r="M846" s="17">
        <v>3.0</v>
      </c>
      <c r="N846" s="17">
        <v>1.0</v>
      </c>
      <c r="O846" s="17">
        <v>6.2</v>
      </c>
      <c r="P846" s="17">
        <v>2.5</v>
      </c>
      <c r="Q846" s="15">
        <v>45172.0</v>
      </c>
      <c r="R846" s="12"/>
      <c r="S846" s="12" t="s">
        <v>55</v>
      </c>
      <c r="T846" s="12" t="s">
        <v>75</v>
      </c>
      <c r="U846" s="17">
        <f t="shared" si="1"/>
        <v>1</v>
      </c>
    </row>
    <row r="847">
      <c r="A847" s="12" t="s">
        <v>521</v>
      </c>
      <c r="B847" s="12" t="s">
        <v>364</v>
      </c>
      <c r="C847" s="17">
        <v>19.0</v>
      </c>
      <c r="D847" s="12" t="s">
        <v>309</v>
      </c>
      <c r="E847" s="12" t="s">
        <v>107</v>
      </c>
      <c r="F847" s="12" t="s">
        <v>62</v>
      </c>
      <c r="G847" s="12" t="s">
        <v>39</v>
      </c>
      <c r="H847" s="15">
        <v>44747.0</v>
      </c>
      <c r="I847" s="17">
        <v>33.0</v>
      </c>
      <c r="J847" s="12" t="s">
        <v>53</v>
      </c>
      <c r="K847" s="12" t="s">
        <v>65</v>
      </c>
      <c r="L847" s="17">
        <v>629.0</v>
      </c>
      <c r="M847" s="17">
        <v>3.0</v>
      </c>
      <c r="N847" s="17">
        <v>1.0</v>
      </c>
      <c r="O847" s="17">
        <v>20.3</v>
      </c>
      <c r="P847" s="17">
        <v>3.6</v>
      </c>
      <c r="Q847" s="15">
        <v>45872.0</v>
      </c>
      <c r="R847" s="12"/>
      <c r="S847" s="12" t="s">
        <v>55</v>
      </c>
      <c r="T847" s="12" t="s">
        <v>75</v>
      </c>
      <c r="U847" s="17">
        <f t="shared" si="1"/>
        <v>4</v>
      </c>
    </row>
    <row r="848">
      <c r="A848" s="12" t="s">
        <v>1400</v>
      </c>
      <c r="B848" s="12" t="s">
        <v>118</v>
      </c>
      <c r="C848" s="17">
        <v>20.0</v>
      </c>
      <c r="D848" s="12" t="s">
        <v>60</v>
      </c>
      <c r="E848" s="12" t="s">
        <v>107</v>
      </c>
      <c r="F848" s="12" t="s">
        <v>79</v>
      </c>
      <c r="G848" s="12" t="s">
        <v>93</v>
      </c>
      <c r="H848" s="15">
        <v>44695.0</v>
      </c>
      <c r="I848" s="17">
        <v>28.0</v>
      </c>
      <c r="J848" s="12" t="s">
        <v>53</v>
      </c>
      <c r="K848" s="12" t="s">
        <v>81</v>
      </c>
      <c r="L848" s="17">
        <v>2468.0</v>
      </c>
      <c r="M848" s="17">
        <v>0.0</v>
      </c>
      <c r="N848" s="17">
        <v>0.0</v>
      </c>
      <c r="O848" s="17">
        <v>21.2</v>
      </c>
      <c r="P848" s="17">
        <v>4.3</v>
      </c>
      <c r="Q848" s="15">
        <v>45423.0</v>
      </c>
      <c r="R848" s="12" t="s">
        <v>1464</v>
      </c>
      <c r="S848" s="12" t="s">
        <v>45</v>
      </c>
      <c r="T848" s="12" t="s">
        <v>72</v>
      </c>
      <c r="U848" s="17">
        <f t="shared" si="1"/>
        <v>3</v>
      </c>
    </row>
    <row r="849">
      <c r="A849" s="12" t="s">
        <v>1465</v>
      </c>
      <c r="B849" s="12" t="s">
        <v>470</v>
      </c>
      <c r="C849" s="17">
        <v>66.0</v>
      </c>
      <c r="D849" s="12" t="s">
        <v>69</v>
      </c>
      <c r="E849" s="12" t="s">
        <v>187</v>
      </c>
      <c r="F849" s="12" t="s">
        <v>62</v>
      </c>
      <c r="G849" s="12" t="s">
        <v>63</v>
      </c>
      <c r="H849" s="15">
        <v>44824.0</v>
      </c>
      <c r="I849" s="17">
        <v>34.0</v>
      </c>
      <c r="J849" s="12" t="s">
        <v>64</v>
      </c>
      <c r="K849" s="12" t="s">
        <v>65</v>
      </c>
      <c r="L849" s="17">
        <v>854.0</v>
      </c>
      <c r="M849" s="17">
        <v>1.0</v>
      </c>
      <c r="N849" s="17">
        <v>0.0</v>
      </c>
      <c r="O849" s="17">
        <v>17.1</v>
      </c>
      <c r="P849" s="17">
        <v>4.2</v>
      </c>
      <c r="Q849" s="15">
        <v>44913.0</v>
      </c>
      <c r="R849" s="12"/>
      <c r="S849" s="12" t="s">
        <v>55</v>
      </c>
      <c r="T849" s="12" t="s">
        <v>72</v>
      </c>
      <c r="U849" s="17">
        <f t="shared" si="1"/>
        <v>1</v>
      </c>
    </row>
    <row r="850">
      <c r="A850" s="12" t="s">
        <v>1082</v>
      </c>
      <c r="B850" s="12" t="s">
        <v>345</v>
      </c>
      <c r="C850" s="17">
        <v>32.0</v>
      </c>
      <c r="D850" s="12" t="s">
        <v>85</v>
      </c>
      <c r="E850" s="12" t="s">
        <v>111</v>
      </c>
      <c r="F850" s="12" t="s">
        <v>62</v>
      </c>
      <c r="G850" s="12" t="s">
        <v>39</v>
      </c>
      <c r="H850" s="15">
        <v>45624.0</v>
      </c>
      <c r="I850" s="17">
        <v>10.0</v>
      </c>
      <c r="J850" s="12" t="s">
        <v>53</v>
      </c>
      <c r="K850" s="12" t="s">
        <v>65</v>
      </c>
      <c r="L850" s="17">
        <v>841.0</v>
      </c>
      <c r="M850" s="17">
        <v>1.0</v>
      </c>
      <c r="N850" s="17">
        <v>1.0</v>
      </c>
      <c r="O850" s="17">
        <v>20.5</v>
      </c>
      <c r="P850" s="17">
        <v>5.0</v>
      </c>
      <c r="Q850" s="15">
        <v>45690.0</v>
      </c>
      <c r="R850" s="12" t="s">
        <v>1466</v>
      </c>
      <c r="S850" s="12" t="s">
        <v>45</v>
      </c>
      <c r="T850" s="12" t="s">
        <v>72</v>
      </c>
      <c r="U850" s="17">
        <f t="shared" si="1"/>
        <v>3</v>
      </c>
    </row>
    <row r="851">
      <c r="A851" s="12" t="s">
        <v>1467</v>
      </c>
      <c r="B851" s="12" t="s">
        <v>206</v>
      </c>
      <c r="C851" s="17">
        <v>29.0</v>
      </c>
      <c r="D851" s="12" t="s">
        <v>60</v>
      </c>
      <c r="E851" s="12" t="s">
        <v>61</v>
      </c>
      <c r="F851" s="12" t="s">
        <v>37</v>
      </c>
      <c r="G851" s="12" t="s">
        <v>210</v>
      </c>
      <c r="H851" s="15">
        <v>44620.0</v>
      </c>
      <c r="I851" s="17">
        <v>31.0</v>
      </c>
      <c r="J851" s="12" t="s">
        <v>40</v>
      </c>
      <c r="K851" s="12" t="s">
        <v>42</v>
      </c>
      <c r="L851" s="17">
        <v>1416.0</v>
      </c>
      <c r="M851" s="17">
        <v>1.0</v>
      </c>
      <c r="N851" s="17">
        <v>2.0</v>
      </c>
      <c r="O851" s="17">
        <v>26.6</v>
      </c>
      <c r="P851" s="17">
        <v>2.5</v>
      </c>
      <c r="Q851" s="15">
        <v>45182.0</v>
      </c>
      <c r="R851" s="12"/>
      <c r="S851" s="12" t="s">
        <v>55</v>
      </c>
      <c r="T851" s="12" t="s">
        <v>72</v>
      </c>
      <c r="U851" s="17">
        <f t="shared" si="1"/>
        <v>1</v>
      </c>
    </row>
    <row r="852">
      <c r="A852" s="12" t="s">
        <v>1468</v>
      </c>
      <c r="B852" s="12" t="s">
        <v>331</v>
      </c>
      <c r="C852" s="17">
        <v>49.0</v>
      </c>
      <c r="D852" s="12" t="s">
        <v>35</v>
      </c>
      <c r="E852" s="12" t="s">
        <v>140</v>
      </c>
      <c r="F852" s="12" t="s">
        <v>79</v>
      </c>
      <c r="G852" s="12" t="s">
        <v>63</v>
      </c>
      <c r="H852" s="15">
        <v>45536.0</v>
      </c>
      <c r="I852" s="17">
        <v>30.0</v>
      </c>
      <c r="J852" s="12" t="s">
        <v>53</v>
      </c>
      <c r="K852" s="12" t="s">
        <v>65</v>
      </c>
      <c r="L852" s="17">
        <v>2274.0</v>
      </c>
      <c r="M852" s="17">
        <v>3.0</v>
      </c>
      <c r="N852" s="17">
        <v>0.0</v>
      </c>
      <c r="O852" s="17">
        <v>32.1</v>
      </c>
      <c r="P852" s="17">
        <v>3.6</v>
      </c>
      <c r="Q852" s="15">
        <v>46423.0</v>
      </c>
      <c r="R852" s="12" t="s">
        <v>1469</v>
      </c>
      <c r="S852" s="12" t="s">
        <v>45</v>
      </c>
      <c r="T852" s="12" t="s">
        <v>47</v>
      </c>
      <c r="U852" s="17">
        <f t="shared" si="1"/>
        <v>1</v>
      </c>
    </row>
    <row r="853">
      <c r="A853" s="12" t="s">
        <v>353</v>
      </c>
      <c r="B853" s="12" t="s">
        <v>215</v>
      </c>
      <c r="C853" s="17">
        <v>66.0</v>
      </c>
      <c r="D853" s="12" t="s">
        <v>60</v>
      </c>
      <c r="E853" s="12" t="s">
        <v>61</v>
      </c>
      <c r="F853" s="12" t="s">
        <v>37</v>
      </c>
      <c r="G853" s="12" t="s">
        <v>52</v>
      </c>
      <c r="H853" s="15">
        <v>45731.0</v>
      </c>
      <c r="I853" s="17">
        <v>13.0</v>
      </c>
      <c r="J853" s="12" t="s">
        <v>40</v>
      </c>
      <c r="K853" s="12" t="s">
        <v>81</v>
      </c>
      <c r="L853" s="17">
        <v>1131.0</v>
      </c>
      <c r="M853" s="17">
        <v>4.0</v>
      </c>
      <c r="N853" s="17">
        <v>2.0</v>
      </c>
      <c r="O853" s="17">
        <v>23.6</v>
      </c>
      <c r="P853" s="17">
        <v>3.7</v>
      </c>
      <c r="Q853" s="15">
        <v>45814.0</v>
      </c>
      <c r="R853" s="12"/>
      <c r="S853" s="12" t="s">
        <v>55</v>
      </c>
      <c r="T853" s="12" t="s">
        <v>75</v>
      </c>
      <c r="U853" s="17">
        <f t="shared" si="1"/>
        <v>3</v>
      </c>
    </row>
    <row r="854">
      <c r="A854" s="12" t="s">
        <v>1363</v>
      </c>
      <c r="B854" s="12" t="s">
        <v>176</v>
      </c>
      <c r="C854" s="17">
        <v>67.0</v>
      </c>
      <c r="D854" s="12" t="s">
        <v>309</v>
      </c>
      <c r="E854" s="12" t="s">
        <v>51</v>
      </c>
      <c r="F854" s="12" t="s">
        <v>62</v>
      </c>
      <c r="G854" s="12" t="s">
        <v>39</v>
      </c>
      <c r="H854" s="15">
        <v>45912.0</v>
      </c>
      <c r="I854" s="17">
        <v>20.0</v>
      </c>
      <c r="J854" s="12" t="s">
        <v>40</v>
      </c>
      <c r="K854" s="12" t="s">
        <v>65</v>
      </c>
      <c r="L854" s="17">
        <v>735.0</v>
      </c>
      <c r="M854" s="17">
        <v>2.0</v>
      </c>
      <c r="N854" s="17">
        <v>0.0</v>
      </c>
      <c r="O854" s="17">
        <v>5.2</v>
      </c>
      <c r="P854" s="17">
        <v>3.5</v>
      </c>
      <c r="Q854" s="15">
        <v>46454.0</v>
      </c>
      <c r="R854" s="12"/>
      <c r="S854" s="12" t="s">
        <v>55</v>
      </c>
      <c r="T854" s="12" t="s">
        <v>75</v>
      </c>
      <c r="U854" s="17">
        <f t="shared" si="1"/>
        <v>2</v>
      </c>
    </row>
    <row r="855">
      <c r="A855" s="12" t="s">
        <v>1121</v>
      </c>
      <c r="B855" s="12" t="s">
        <v>470</v>
      </c>
      <c r="C855" s="17">
        <v>29.0</v>
      </c>
      <c r="D855" s="12" t="s">
        <v>69</v>
      </c>
      <c r="E855" s="12" t="s">
        <v>70</v>
      </c>
      <c r="F855" s="12" t="s">
        <v>37</v>
      </c>
      <c r="G855" s="12" t="s">
        <v>93</v>
      </c>
      <c r="H855" s="15">
        <v>45350.0</v>
      </c>
      <c r="I855" s="17">
        <v>41.0</v>
      </c>
      <c r="J855" s="12" t="s">
        <v>53</v>
      </c>
      <c r="K855" s="12" t="s">
        <v>65</v>
      </c>
      <c r="L855" s="17">
        <v>1185.0</v>
      </c>
      <c r="M855" s="17">
        <v>5.0</v>
      </c>
      <c r="N855" s="17">
        <v>0.0</v>
      </c>
      <c r="O855" s="17">
        <v>28.1</v>
      </c>
      <c r="P855" s="17">
        <v>2.6</v>
      </c>
      <c r="Q855" s="12"/>
      <c r="R855" s="12"/>
      <c r="S855" s="12" t="s">
        <v>55</v>
      </c>
      <c r="T855" s="12" t="s">
        <v>104</v>
      </c>
      <c r="U855" s="17">
        <f t="shared" si="1"/>
        <v>3</v>
      </c>
    </row>
    <row r="856">
      <c r="A856" s="12" t="s">
        <v>667</v>
      </c>
      <c r="B856" s="12" t="s">
        <v>645</v>
      </c>
      <c r="C856" s="17">
        <v>26.0</v>
      </c>
      <c r="D856" s="12" t="s">
        <v>85</v>
      </c>
      <c r="E856" s="12" t="s">
        <v>87</v>
      </c>
      <c r="F856" s="12" t="s">
        <v>79</v>
      </c>
      <c r="G856" s="12" t="s">
        <v>39</v>
      </c>
      <c r="H856" s="15">
        <v>45849.0</v>
      </c>
      <c r="I856" s="17">
        <v>0.0</v>
      </c>
      <c r="J856" s="12" t="s">
        <v>64</v>
      </c>
      <c r="K856" s="12" t="s">
        <v>65</v>
      </c>
      <c r="L856" s="17">
        <v>3271.0</v>
      </c>
      <c r="M856" s="17">
        <v>4.0</v>
      </c>
      <c r="N856" s="17">
        <v>0.0</v>
      </c>
      <c r="O856" s="17">
        <v>43.8</v>
      </c>
      <c r="P856" s="17">
        <v>4.2</v>
      </c>
      <c r="Q856" s="15">
        <v>46397.0</v>
      </c>
      <c r="R856" s="12"/>
      <c r="S856" s="12" t="s">
        <v>55</v>
      </c>
      <c r="T856" s="12" t="s">
        <v>66</v>
      </c>
      <c r="U856" s="17">
        <f t="shared" si="1"/>
        <v>4</v>
      </c>
    </row>
    <row r="857">
      <c r="A857" s="12" t="s">
        <v>1470</v>
      </c>
      <c r="B857" s="12" t="s">
        <v>176</v>
      </c>
      <c r="C857" s="17">
        <v>23.0</v>
      </c>
      <c r="D857" s="12" t="s">
        <v>60</v>
      </c>
      <c r="E857" s="12" t="s">
        <v>97</v>
      </c>
      <c r="F857" s="12" t="s">
        <v>62</v>
      </c>
      <c r="G857" s="12" t="s">
        <v>93</v>
      </c>
      <c r="H857" s="15">
        <v>45560.0</v>
      </c>
      <c r="I857" s="17">
        <v>36.0</v>
      </c>
      <c r="J857" s="12" t="s">
        <v>53</v>
      </c>
      <c r="K857" s="12" t="s">
        <v>65</v>
      </c>
      <c r="L857" s="17">
        <v>548.0</v>
      </c>
      <c r="M857" s="17">
        <v>2.0</v>
      </c>
      <c r="N857" s="17">
        <v>1.0</v>
      </c>
      <c r="O857" s="17">
        <v>35.5</v>
      </c>
      <c r="P857" s="17">
        <v>3.1</v>
      </c>
      <c r="Q857" s="15">
        <v>46271.0</v>
      </c>
      <c r="R857" s="12"/>
      <c r="S857" s="12" t="s">
        <v>55</v>
      </c>
      <c r="T857" s="12" t="s">
        <v>104</v>
      </c>
      <c r="U857" s="17">
        <f t="shared" si="1"/>
        <v>3</v>
      </c>
    </row>
    <row r="858">
      <c r="A858" s="12" t="s">
        <v>1471</v>
      </c>
      <c r="B858" s="12" t="s">
        <v>169</v>
      </c>
      <c r="C858" s="17">
        <v>46.0</v>
      </c>
      <c r="D858" s="12" t="s">
        <v>69</v>
      </c>
      <c r="E858" s="12" t="s">
        <v>70</v>
      </c>
      <c r="F858" s="12" t="s">
        <v>62</v>
      </c>
      <c r="G858" s="12" t="s">
        <v>120</v>
      </c>
      <c r="H858" s="15">
        <v>44789.0</v>
      </c>
      <c r="I858" s="17">
        <v>8.0</v>
      </c>
      <c r="J858" s="12" t="s">
        <v>64</v>
      </c>
      <c r="K858" s="12" t="s">
        <v>42</v>
      </c>
      <c r="L858" s="17">
        <v>650.0</v>
      </c>
      <c r="M858" s="17">
        <v>3.0</v>
      </c>
      <c r="N858" s="17">
        <v>0.0</v>
      </c>
      <c r="O858" s="17">
        <v>30.1</v>
      </c>
      <c r="P858" s="17">
        <v>3.2</v>
      </c>
      <c r="Q858" s="15">
        <v>44887.0</v>
      </c>
      <c r="R858" s="12"/>
      <c r="S858" s="12" t="s">
        <v>55</v>
      </c>
      <c r="T858" s="12"/>
      <c r="U858" s="17">
        <f t="shared" si="1"/>
        <v>1</v>
      </c>
    </row>
    <row r="859">
      <c r="A859" s="12" t="s">
        <v>1472</v>
      </c>
      <c r="B859" s="12" t="s">
        <v>239</v>
      </c>
      <c r="C859" s="17">
        <v>53.0</v>
      </c>
      <c r="D859" s="12" t="s">
        <v>85</v>
      </c>
      <c r="E859" s="12" t="s">
        <v>111</v>
      </c>
      <c r="F859" s="12" t="s">
        <v>62</v>
      </c>
      <c r="G859" s="12" t="s">
        <v>52</v>
      </c>
      <c r="H859" s="15">
        <v>45016.0</v>
      </c>
      <c r="I859" s="17">
        <v>2.0</v>
      </c>
      <c r="J859" s="12" t="s">
        <v>53</v>
      </c>
      <c r="K859" s="12" t="s">
        <v>81</v>
      </c>
      <c r="L859" s="17">
        <v>880.0</v>
      </c>
      <c r="M859" s="17">
        <v>2.0</v>
      </c>
      <c r="N859" s="17">
        <v>1.0</v>
      </c>
      <c r="O859" s="17">
        <v>27.0</v>
      </c>
      <c r="P859" s="17">
        <v>3.5</v>
      </c>
      <c r="Q859" s="15">
        <v>45045.0</v>
      </c>
      <c r="R859" s="12"/>
      <c r="S859" s="12" t="s">
        <v>55</v>
      </c>
      <c r="T859" s="12" t="s">
        <v>47</v>
      </c>
      <c r="U859" s="17">
        <f t="shared" si="1"/>
        <v>1</v>
      </c>
    </row>
    <row r="860">
      <c r="A860" s="12" t="s">
        <v>691</v>
      </c>
      <c r="B860" s="12" t="s">
        <v>476</v>
      </c>
      <c r="C860" s="17">
        <v>31.0</v>
      </c>
      <c r="D860" s="12" t="s">
        <v>69</v>
      </c>
      <c r="E860" s="12" t="s">
        <v>177</v>
      </c>
      <c r="F860" s="12" t="s">
        <v>62</v>
      </c>
      <c r="G860" s="12" t="s">
        <v>52</v>
      </c>
      <c r="H860" s="15">
        <v>44901.0</v>
      </c>
      <c r="I860" s="17">
        <v>41.0</v>
      </c>
      <c r="J860" s="12" t="s">
        <v>53</v>
      </c>
      <c r="K860" s="12" t="s">
        <v>42</v>
      </c>
      <c r="L860" s="17">
        <v>815.0</v>
      </c>
      <c r="M860" s="17">
        <v>3.0</v>
      </c>
      <c r="N860" s="17">
        <v>0.0</v>
      </c>
      <c r="O860" s="17">
        <v>15.4</v>
      </c>
      <c r="P860" s="17">
        <v>4.4</v>
      </c>
      <c r="Q860" s="15">
        <v>45222.0</v>
      </c>
      <c r="R860" s="12"/>
      <c r="S860" s="12" t="s">
        <v>55</v>
      </c>
      <c r="T860" s="12" t="s">
        <v>75</v>
      </c>
      <c r="U860" s="17">
        <f t="shared" si="1"/>
        <v>2</v>
      </c>
    </row>
    <row r="861">
      <c r="A861" s="12" t="s">
        <v>926</v>
      </c>
      <c r="B861" s="12" t="s">
        <v>215</v>
      </c>
      <c r="C861" s="17">
        <v>22.0</v>
      </c>
      <c r="D861" s="12" t="s">
        <v>85</v>
      </c>
      <c r="E861" s="12" t="s">
        <v>87</v>
      </c>
      <c r="F861" s="12" t="s">
        <v>79</v>
      </c>
      <c r="G861" s="12" t="s">
        <v>120</v>
      </c>
      <c r="H861" s="15">
        <v>45221.0</v>
      </c>
      <c r="I861" s="17">
        <v>9.0</v>
      </c>
      <c r="J861" s="12" t="s">
        <v>53</v>
      </c>
      <c r="K861" s="12" t="s">
        <v>42</v>
      </c>
      <c r="L861" s="17">
        <v>2152.0</v>
      </c>
      <c r="M861" s="17">
        <v>1.0</v>
      </c>
      <c r="N861" s="17">
        <v>1.0</v>
      </c>
      <c r="O861" s="17">
        <v>35.6</v>
      </c>
      <c r="P861" s="17">
        <v>4.6</v>
      </c>
      <c r="Q861" s="15">
        <v>45359.0</v>
      </c>
      <c r="R861" s="12" t="s">
        <v>1473</v>
      </c>
      <c r="S861" s="12" t="s">
        <v>45</v>
      </c>
      <c r="T861" s="12" t="s">
        <v>47</v>
      </c>
      <c r="U861" s="17">
        <f t="shared" si="1"/>
        <v>2</v>
      </c>
    </row>
    <row r="862">
      <c r="A862" s="12" t="s">
        <v>1474</v>
      </c>
      <c r="B862" s="12" t="s">
        <v>349</v>
      </c>
      <c r="C862" s="17">
        <v>36.0</v>
      </c>
      <c r="D862" s="12" t="s">
        <v>69</v>
      </c>
      <c r="E862" s="12" t="s">
        <v>187</v>
      </c>
      <c r="F862" s="12" t="s">
        <v>62</v>
      </c>
      <c r="G862" s="12" t="s">
        <v>586</v>
      </c>
      <c r="H862" s="15">
        <v>45885.0</v>
      </c>
      <c r="I862" s="17">
        <v>27.0</v>
      </c>
      <c r="J862" s="12" t="s">
        <v>40</v>
      </c>
      <c r="K862" s="12" t="s">
        <v>65</v>
      </c>
      <c r="L862" s="17">
        <v>598.0</v>
      </c>
      <c r="M862" s="17">
        <v>2.0</v>
      </c>
      <c r="N862" s="17">
        <v>0.0</v>
      </c>
      <c r="O862" s="17">
        <v>18.3</v>
      </c>
      <c r="P862" s="17">
        <v>5.0</v>
      </c>
      <c r="Q862" s="15">
        <v>46253.0</v>
      </c>
      <c r="R862" s="12"/>
      <c r="S862" s="12" t="s">
        <v>55</v>
      </c>
      <c r="T862" s="12" t="s">
        <v>104</v>
      </c>
      <c r="U862" s="17">
        <f t="shared" si="1"/>
        <v>1</v>
      </c>
    </row>
    <row r="863">
      <c r="A863" s="12" t="s">
        <v>1475</v>
      </c>
      <c r="B863" s="12" t="s">
        <v>639</v>
      </c>
      <c r="C863" s="17">
        <v>33.0</v>
      </c>
      <c r="D863" s="12" t="s">
        <v>69</v>
      </c>
      <c r="E863" s="12" t="s">
        <v>187</v>
      </c>
      <c r="F863" s="12" t="s">
        <v>62</v>
      </c>
      <c r="G863" s="12" t="s">
        <v>52</v>
      </c>
      <c r="H863" s="15">
        <v>45126.0</v>
      </c>
      <c r="I863" s="17">
        <v>21.0</v>
      </c>
      <c r="J863" s="12" t="s">
        <v>64</v>
      </c>
      <c r="K863" s="12" t="s">
        <v>65</v>
      </c>
      <c r="L863" s="17">
        <v>559.0</v>
      </c>
      <c r="M863" s="17">
        <v>3.0</v>
      </c>
      <c r="N863" s="17">
        <v>3.0</v>
      </c>
      <c r="O863" s="17">
        <v>8.6</v>
      </c>
      <c r="P863" s="17">
        <v>3.5</v>
      </c>
      <c r="Q863" s="15">
        <v>45672.0</v>
      </c>
      <c r="R863" s="12"/>
      <c r="S863" s="12" t="s">
        <v>55</v>
      </c>
      <c r="T863" s="12" t="s">
        <v>72</v>
      </c>
      <c r="U863" s="17">
        <f t="shared" si="1"/>
        <v>2</v>
      </c>
    </row>
    <row r="864">
      <c r="A864" s="12" t="s">
        <v>1476</v>
      </c>
      <c r="B864" s="12" t="s">
        <v>734</v>
      </c>
      <c r="C864" s="17">
        <v>56.0</v>
      </c>
      <c r="D864" s="12" t="s">
        <v>85</v>
      </c>
      <c r="E864" s="12" t="s">
        <v>111</v>
      </c>
      <c r="F864" s="12" t="s">
        <v>62</v>
      </c>
      <c r="G864" s="12" t="s">
        <v>93</v>
      </c>
      <c r="H864" s="15">
        <v>45261.0</v>
      </c>
      <c r="I864" s="17">
        <v>18.0</v>
      </c>
      <c r="J864" s="12" t="s">
        <v>40</v>
      </c>
      <c r="K864" s="12" t="s">
        <v>81</v>
      </c>
      <c r="L864" s="17">
        <v>519.0</v>
      </c>
      <c r="M864" s="17">
        <v>1.0</v>
      </c>
      <c r="N864" s="17">
        <v>0.0</v>
      </c>
      <c r="O864" s="17">
        <v>20.7</v>
      </c>
      <c r="P864" s="17">
        <v>5.0</v>
      </c>
      <c r="Q864" s="15">
        <v>45532.0</v>
      </c>
      <c r="R864" s="12" t="s">
        <v>1477</v>
      </c>
      <c r="S864" s="12" t="s">
        <v>45</v>
      </c>
      <c r="T864" s="12" t="s">
        <v>75</v>
      </c>
      <c r="U864" s="17">
        <f t="shared" si="1"/>
        <v>1</v>
      </c>
    </row>
    <row r="865">
      <c r="A865" s="12" t="s">
        <v>1478</v>
      </c>
      <c r="B865" s="12" t="s">
        <v>651</v>
      </c>
      <c r="C865" s="17">
        <v>68.0</v>
      </c>
      <c r="D865" s="12" t="s">
        <v>60</v>
      </c>
      <c r="E865" s="12" t="s">
        <v>97</v>
      </c>
      <c r="F865" s="12" t="s">
        <v>37</v>
      </c>
      <c r="G865" s="12" t="s">
        <v>63</v>
      </c>
      <c r="H865" s="15">
        <v>45797.0</v>
      </c>
      <c r="I865" s="17">
        <v>39.0</v>
      </c>
      <c r="J865" s="12" t="s">
        <v>53</v>
      </c>
      <c r="K865" s="12" t="s">
        <v>81</v>
      </c>
      <c r="L865" s="17">
        <v>1679.0</v>
      </c>
      <c r="M865" s="17">
        <v>0.0</v>
      </c>
      <c r="N865" s="17">
        <v>1.0</v>
      </c>
      <c r="O865" s="17">
        <v>14.1</v>
      </c>
      <c r="P865" s="17">
        <v>3.9</v>
      </c>
      <c r="Q865" s="15">
        <v>46692.0</v>
      </c>
      <c r="R865" s="12" t="s">
        <v>1479</v>
      </c>
      <c r="S865" s="12" t="s">
        <v>45</v>
      </c>
      <c r="T865" s="12" t="s">
        <v>72</v>
      </c>
      <c r="U865" s="17">
        <f t="shared" si="1"/>
        <v>1</v>
      </c>
    </row>
    <row r="866">
      <c r="A866" s="12" t="s">
        <v>750</v>
      </c>
      <c r="B866" s="12" t="s">
        <v>163</v>
      </c>
      <c r="C866" s="17">
        <v>56.0</v>
      </c>
      <c r="D866" s="12" t="s">
        <v>60</v>
      </c>
      <c r="E866" s="12" t="s">
        <v>133</v>
      </c>
      <c r="F866" s="12" t="s">
        <v>37</v>
      </c>
      <c r="G866" s="12" t="s">
        <v>210</v>
      </c>
      <c r="H866" s="15">
        <v>45292.0</v>
      </c>
      <c r="I866" s="17">
        <v>6.0</v>
      </c>
      <c r="J866" s="12" t="s">
        <v>53</v>
      </c>
      <c r="K866" s="12" t="s">
        <v>81</v>
      </c>
      <c r="L866" s="17">
        <v>1496.0</v>
      </c>
      <c r="M866" s="17">
        <v>2.0</v>
      </c>
      <c r="N866" s="17">
        <v>3.0</v>
      </c>
      <c r="O866" s="17">
        <v>35.7</v>
      </c>
      <c r="P866" s="17">
        <v>5.0</v>
      </c>
      <c r="Q866" s="15">
        <v>45451.0</v>
      </c>
      <c r="R866" s="12"/>
      <c r="S866" s="12" t="s">
        <v>55</v>
      </c>
      <c r="T866" s="12" t="s">
        <v>72</v>
      </c>
      <c r="U866" s="17">
        <f t="shared" si="1"/>
        <v>2</v>
      </c>
    </row>
    <row r="867">
      <c r="A867" s="12" t="s">
        <v>1480</v>
      </c>
      <c r="B867" s="12" t="s">
        <v>325</v>
      </c>
      <c r="C867" s="17">
        <v>26.0</v>
      </c>
      <c r="D867" s="12" t="s">
        <v>85</v>
      </c>
      <c r="E867" s="12" t="s">
        <v>87</v>
      </c>
      <c r="F867" s="12" t="s">
        <v>37</v>
      </c>
      <c r="G867" s="12" t="s">
        <v>93</v>
      </c>
      <c r="H867" s="15">
        <v>45929.0</v>
      </c>
      <c r="I867" s="17">
        <v>25.0</v>
      </c>
      <c r="J867" s="12" t="s">
        <v>40</v>
      </c>
      <c r="K867" s="12" t="s">
        <v>65</v>
      </c>
      <c r="L867" s="17">
        <v>1603.0</v>
      </c>
      <c r="M867" s="17">
        <v>1.0</v>
      </c>
      <c r="N867" s="17">
        <v>1.0</v>
      </c>
      <c r="O867" s="17">
        <v>33.0</v>
      </c>
      <c r="P867" s="17">
        <v>3.5</v>
      </c>
      <c r="Q867" s="15">
        <v>46597.0</v>
      </c>
      <c r="R867" s="12"/>
      <c r="S867" s="12" t="s">
        <v>55</v>
      </c>
      <c r="T867" s="12" t="s">
        <v>66</v>
      </c>
      <c r="U867" s="17">
        <f t="shared" si="1"/>
        <v>1</v>
      </c>
    </row>
    <row r="868">
      <c r="A868" s="12" t="s">
        <v>1481</v>
      </c>
      <c r="B868" s="12" t="s">
        <v>393</v>
      </c>
      <c r="C868" s="17">
        <v>61.0</v>
      </c>
      <c r="D868" s="12" t="s">
        <v>85</v>
      </c>
      <c r="E868" s="12" t="s">
        <v>87</v>
      </c>
      <c r="F868" s="12" t="s">
        <v>37</v>
      </c>
      <c r="G868" s="12" t="s">
        <v>63</v>
      </c>
      <c r="H868" s="15">
        <v>45273.0</v>
      </c>
      <c r="I868" s="17">
        <v>42.0</v>
      </c>
      <c r="J868" s="12" t="s">
        <v>40</v>
      </c>
      <c r="K868" s="12" t="s">
        <v>42</v>
      </c>
      <c r="L868" s="17">
        <v>1586.0</v>
      </c>
      <c r="M868" s="17">
        <v>4.0</v>
      </c>
      <c r="N868" s="17">
        <v>1.0</v>
      </c>
      <c r="O868" s="17">
        <v>17.8</v>
      </c>
      <c r="P868" s="17">
        <v>3.0</v>
      </c>
      <c r="Q868" s="15">
        <v>46353.0</v>
      </c>
      <c r="R868" s="12" t="s">
        <v>1482</v>
      </c>
      <c r="S868" s="12" t="s">
        <v>45</v>
      </c>
      <c r="T868" s="12" t="s">
        <v>66</v>
      </c>
      <c r="U868" s="17">
        <f t="shared" si="1"/>
        <v>2</v>
      </c>
    </row>
    <row r="869">
      <c r="A869" s="12" t="s">
        <v>684</v>
      </c>
      <c r="B869" s="12" t="s">
        <v>281</v>
      </c>
      <c r="C869" s="17">
        <v>34.0</v>
      </c>
      <c r="D869" s="12" t="s">
        <v>35</v>
      </c>
      <c r="E869" s="12" t="s">
        <v>161</v>
      </c>
      <c r="F869" s="12" t="s">
        <v>62</v>
      </c>
      <c r="G869" s="12" t="s">
        <v>120</v>
      </c>
      <c r="H869" s="15">
        <v>44620.0</v>
      </c>
      <c r="I869" s="17">
        <v>120.0</v>
      </c>
      <c r="J869" s="12" t="s">
        <v>53</v>
      </c>
      <c r="K869" s="12" t="s">
        <v>65</v>
      </c>
      <c r="L869" s="17">
        <v>628.0</v>
      </c>
      <c r="M869" s="17">
        <v>5.0</v>
      </c>
      <c r="N869" s="17">
        <v>1.0</v>
      </c>
      <c r="O869" s="17">
        <v>26.2</v>
      </c>
      <c r="P869" s="17">
        <v>4.2</v>
      </c>
      <c r="Q869" s="15">
        <v>46028.0</v>
      </c>
      <c r="R869" s="12"/>
      <c r="S869" s="12" t="s">
        <v>55</v>
      </c>
      <c r="T869" s="12" t="s">
        <v>104</v>
      </c>
      <c r="U869" s="17">
        <f t="shared" si="1"/>
        <v>2</v>
      </c>
    </row>
    <row r="870">
      <c r="A870" s="12" t="s">
        <v>1483</v>
      </c>
      <c r="B870" s="12" t="s">
        <v>383</v>
      </c>
      <c r="C870" s="17">
        <v>24.0</v>
      </c>
      <c r="D870" s="12" t="s">
        <v>85</v>
      </c>
      <c r="E870" s="12" t="s">
        <v>92</v>
      </c>
      <c r="F870" s="12" t="s">
        <v>37</v>
      </c>
      <c r="G870" s="12" t="s">
        <v>39</v>
      </c>
      <c r="H870" s="15">
        <v>45049.0</v>
      </c>
      <c r="I870" s="17">
        <v>36.0</v>
      </c>
      <c r="J870" s="12" t="s">
        <v>53</v>
      </c>
      <c r="K870" s="12" t="s">
        <v>65</v>
      </c>
      <c r="L870" s="17">
        <v>1662.0</v>
      </c>
      <c r="M870" s="17">
        <v>1.0</v>
      </c>
      <c r="N870" s="17">
        <v>0.0</v>
      </c>
      <c r="O870" s="17">
        <v>24.2</v>
      </c>
      <c r="P870" s="17">
        <v>5.0</v>
      </c>
      <c r="Q870" s="15">
        <v>45821.0</v>
      </c>
      <c r="R870" s="12" t="s">
        <v>1421</v>
      </c>
      <c r="S870" s="12" t="s">
        <v>45</v>
      </c>
      <c r="T870" s="12" t="s">
        <v>66</v>
      </c>
      <c r="U870" s="17">
        <f t="shared" si="1"/>
        <v>1</v>
      </c>
    </row>
    <row r="871">
      <c r="A871" s="12" t="s">
        <v>1484</v>
      </c>
      <c r="B871" s="12" t="s">
        <v>801</v>
      </c>
      <c r="C871" s="17">
        <v>35.0</v>
      </c>
      <c r="D871" s="12" t="s">
        <v>69</v>
      </c>
      <c r="E871" s="12" t="s">
        <v>177</v>
      </c>
      <c r="F871" s="12" t="s">
        <v>37</v>
      </c>
      <c r="G871" s="12" t="s">
        <v>63</v>
      </c>
      <c r="H871" s="15">
        <v>44747.0</v>
      </c>
      <c r="I871" s="17">
        <v>41.0</v>
      </c>
      <c r="J871" s="12" t="s">
        <v>64</v>
      </c>
      <c r="K871" s="12" t="s">
        <v>65</v>
      </c>
      <c r="L871" s="17">
        <v>1508.0</v>
      </c>
      <c r="M871" s="17">
        <v>2.0</v>
      </c>
      <c r="N871" s="17">
        <v>1.0</v>
      </c>
      <c r="O871" s="17">
        <v>33.2</v>
      </c>
      <c r="P871" s="17">
        <v>3.7</v>
      </c>
      <c r="Q871" s="15">
        <v>45138.0</v>
      </c>
      <c r="R871" s="12"/>
      <c r="S871" s="12" t="s">
        <v>55</v>
      </c>
      <c r="T871" s="12" t="s">
        <v>72</v>
      </c>
      <c r="U871" s="17">
        <f t="shared" si="1"/>
        <v>1</v>
      </c>
    </row>
    <row r="872">
      <c r="A872" s="12" t="s">
        <v>1470</v>
      </c>
      <c r="B872" s="12" t="s">
        <v>176</v>
      </c>
      <c r="C872" s="17">
        <v>67.0</v>
      </c>
      <c r="D872" s="12" t="s">
        <v>85</v>
      </c>
      <c r="E872" s="12" t="s">
        <v>92</v>
      </c>
      <c r="F872" s="12" t="s">
        <v>37</v>
      </c>
      <c r="G872" s="12" t="s">
        <v>39</v>
      </c>
      <c r="H872" s="15">
        <v>45223.0</v>
      </c>
      <c r="I872" s="17">
        <v>2.0</v>
      </c>
      <c r="J872" s="12" t="s">
        <v>64</v>
      </c>
      <c r="K872" s="12" t="s">
        <v>81</v>
      </c>
      <c r="L872" s="17">
        <v>1316.0</v>
      </c>
      <c r="M872" s="17">
        <v>1.0</v>
      </c>
      <c r="N872" s="17">
        <v>1.0</v>
      </c>
      <c r="O872" s="17">
        <v>17.0</v>
      </c>
      <c r="P872" s="17">
        <v>3.3</v>
      </c>
      <c r="Q872" s="15">
        <v>45297.0</v>
      </c>
      <c r="R872" s="12"/>
      <c r="S872" s="12" t="s">
        <v>55</v>
      </c>
      <c r="T872" s="12" t="s">
        <v>47</v>
      </c>
      <c r="U872" s="17">
        <f t="shared" si="1"/>
        <v>3</v>
      </c>
    </row>
    <row r="873">
      <c r="A873" s="12" t="s">
        <v>531</v>
      </c>
      <c r="B873" s="12" t="s">
        <v>167</v>
      </c>
      <c r="C873" s="17">
        <v>44.0</v>
      </c>
      <c r="D873" s="12" t="s">
        <v>35</v>
      </c>
      <c r="E873" s="12" t="s">
        <v>51</v>
      </c>
      <c r="F873" s="12" t="s">
        <v>62</v>
      </c>
      <c r="G873" s="12" t="s">
        <v>52</v>
      </c>
      <c r="H873" s="15">
        <v>45786.0</v>
      </c>
      <c r="I873" s="17">
        <v>43.0</v>
      </c>
      <c r="J873" s="12" t="s">
        <v>40</v>
      </c>
      <c r="K873" s="12" t="s">
        <v>65</v>
      </c>
      <c r="L873" s="17">
        <v>633.0</v>
      </c>
      <c r="M873" s="17">
        <v>1.0</v>
      </c>
      <c r="N873" s="17">
        <v>1.0</v>
      </c>
      <c r="O873" s="17">
        <v>23.5</v>
      </c>
      <c r="P873" s="17">
        <v>3.1</v>
      </c>
      <c r="Q873" s="15">
        <v>46492.0</v>
      </c>
      <c r="R873" s="12"/>
      <c r="S873" s="12" t="s">
        <v>55</v>
      </c>
      <c r="T873" s="12" t="s">
        <v>104</v>
      </c>
      <c r="U873" s="17">
        <f t="shared" si="1"/>
        <v>3</v>
      </c>
    </row>
    <row r="874">
      <c r="A874" s="12" t="s">
        <v>543</v>
      </c>
      <c r="B874" s="12" t="s">
        <v>163</v>
      </c>
      <c r="C874" s="17">
        <v>63.0</v>
      </c>
      <c r="D874" s="12" t="s">
        <v>60</v>
      </c>
      <c r="E874" s="12" t="s">
        <v>61</v>
      </c>
      <c r="F874" s="12" t="s">
        <v>62</v>
      </c>
      <c r="G874" s="12" t="s">
        <v>39</v>
      </c>
      <c r="H874" s="15">
        <v>45468.0</v>
      </c>
      <c r="I874" s="17">
        <v>3.0</v>
      </c>
      <c r="J874" s="12" t="s">
        <v>40</v>
      </c>
      <c r="K874" s="12" t="s">
        <v>42</v>
      </c>
      <c r="L874" s="17">
        <v>578.0</v>
      </c>
      <c r="M874" s="17">
        <v>2.0</v>
      </c>
      <c r="N874" s="17">
        <v>3.0</v>
      </c>
      <c r="O874" s="17">
        <v>19.2</v>
      </c>
      <c r="P874" s="17">
        <v>3.8</v>
      </c>
      <c r="Q874" s="15">
        <v>45481.0</v>
      </c>
      <c r="R874" s="12"/>
      <c r="S874" s="12" t="s">
        <v>55</v>
      </c>
      <c r="T874" s="12" t="s">
        <v>47</v>
      </c>
      <c r="U874" s="17">
        <f t="shared" si="1"/>
        <v>3</v>
      </c>
    </row>
    <row r="875">
      <c r="A875" s="12" t="s">
        <v>1485</v>
      </c>
      <c r="B875" s="12" t="s">
        <v>172</v>
      </c>
      <c r="C875" s="17">
        <v>45.0</v>
      </c>
      <c r="D875" s="12" t="s">
        <v>69</v>
      </c>
      <c r="E875" s="12" t="s">
        <v>187</v>
      </c>
      <c r="F875" s="12" t="s">
        <v>62</v>
      </c>
      <c r="G875" s="12" t="s">
        <v>39</v>
      </c>
      <c r="H875" s="15">
        <v>44604.0</v>
      </c>
      <c r="I875" s="17">
        <v>40.0</v>
      </c>
      <c r="J875" s="12" t="s">
        <v>40</v>
      </c>
      <c r="K875" s="12" t="s">
        <v>81</v>
      </c>
      <c r="L875" s="17">
        <v>723.0</v>
      </c>
      <c r="M875" s="17">
        <v>2.0</v>
      </c>
      <c r="N875" s="17">
        <v>0.0</v>
      </c>
      <c r="O875" s="17">
        <v>22.7</v>
      </c>
      <c r="P875" s="17">
        <v>3.3</v>
      </c>
      <c r="Q875" s="15">
        <v>45742.0</v>
      </c>
      <c r="R875" s="12"/>
      <c r="S875" s="12" t="s">
        <v>55</v>
      </c>
      <c r="T875" s="12" t="s">
        <v>66</v>
      </c>
      <c r="U875" s="17">
        <f t="shared" si="1"/>
        <v>1</v>
      </c>
    </row>
    <row r="876">
      <c r="A876" s="12" t="s">
        <v>1486</v>
      </c>
      <c r="B876" s="12" t="s">
        <v>336</v>
      </c>
      <c r="C876" s="17">
        <v>39.0</v>
      </c>
      <c r="D876" s="12" t="s">
        <v>85</v>
      </c>
      <c r="E876" s="12" t="s">
        <v>92</v>
      </c>
      <c r="F876" s="12" t="s">
        <v>37</v>
      </c>
      <c r="G876" s="12" t="s">
        <v>210</v>
      </c>
      <c r="H876" s="15">
        <v>45101.0</v>
      </c>
      <c r="I876" s="17">
        <v>28.0</v>
      </c>
      <c r="J876" s="12" t="s">
        <v>64</v>
      </c>
      <c r="K876" s="12" t="s">
        <v>42</v>
      </c>
      <c r="L876" s="17">
        <v>1326.0</v>
      </c>
      <c r="M876" s="17">
        <v>1.0</v>
      </c>
      <c r="N876" s="17">
        <v>1.0</v>
      </c>
      <c r="O876" s="17">
        <v>33.1</v>
      </c>
      <c r="P876" s="17">
        <v>3.1</v>
      </c>
      <c r="Q876" s="15">
        <v>45476.0</v>
      </c>
      <c r="R876" s="12"/>
      <c r="S876" s="12" t="s">
        <v>55</v>
      </c>
      <c r="T876" s="12" t="s">
        <v>66</v>
      </c>
      <c r="U876" s="17">
        <f t="shared" si="1"/>
        <v>1</v>
      </c>
    </row>
    <row r="877">
      <c r="A877" s="12" t="s">
        <v>1487</v>
      </c>
      <c r="B877" s="12" t="s">
        <v>636</v>
      </c>
      <c r="C877" s="17">
        <v>64.0</v>
      </c>
      <c r="D877" s="12" t="s">
        <v>69</v>
      </c>
      <c r="E877" s="12" t="s">
        <v>70</v>
      </c>
      <c r="F877" s="12" t="s">
        <v>79</v>
      </c>
      <c r="G877" s="12" t="s">
        <v>93</v>
      </c>
      <c r="H877" s="15">
        <v>45601.0</v>
      </c>
      <c r="I877" s="17">
        <v>46.0</v>
      </c>
      <c r="J877" s="12" t="s">
        <v>64</v>
      </c>
      <c r="K877" s="12" t="s">
        <v>81</v>
      </c>
      <c r="L877" s="17">
        <v>3652.0</v>
      </c>
      <c r="M877" s="17">
        <v>4.0</v>
      </c>
      <c r="N877" s="17">
        <v>0.0</v>
      </c>
      <c r="O877" s="17">
        <v>34.6</v>
      </c>
      <c r="P877" s="17">
        <v>4.7</v>
      </c>
      <c r="Q877" s="15">
        <v>46848.0</v>
      </c>
      <c r="R877" s="12"/>
      <c r="S877" s="12" t="s">
        <v>55</v>
      </c>
      <c r="T877" s="12" t="s">
        <v>66</v>
      </c>
      <c r="U877" s="17">
        <f t="shared" si="1"/>
        <v>1</v>
      </c>
    </row>
    <row r="878">
      <c r="A878" s="12" t="s">
        <v>1265</v>
      </c>
      <c r="B878" s="12" t="s">
        <v>345</v>
      </c>
      <c r="C878" s="17">
        <v>54.0</v>
      </c>
      <c r="D878" s="12" t="s">
        <v>85</v>
      </c>
      <c r="E878" s="12" t="s">
        <v>92</v>
      </c>
      <c r="F878" s="12" t="s">
        <v>37</v>
      </c>
      <c r="G878" s="12" t="s">
        <v>63</v>
      </c>
      <c r="H878" s="15">
        <v>45504.0</v>
      </c>
      <c r="I878" s="17">
        <v>40.0</v>
      </c>
      <c r="J878" s="12" t="s">
        <v>64</v>
      </c>
      <c r="K878" s="12" t="s">
        <v>42</v>
      </c>
      <c r="L878" s="17">
        <v>1445.0</v>
      </c>
      <c r="M878" s="17">
        <v>3.0</v>
      </c>
      <c r="N878" s="17">
        <v>2.0</v>
      </c>
      <c r="O878" s="17">
        <v>34.4</v>
      </c>
      <c r="P878" s="17">
        <v>2.6</v>
      </c>
      <c r="Q878" s="15">
        <v>45864.0</v>
      </c>
      <c r="R878" s="12"/>
      <c r="S878" s="12" t="s">
        <v>55</v>
      </c>
      <c r="T878" s="12" t="s">
        <v>72</v>
      </c>
      <c r="U878" s="17">
        <f t="shared" si="1"/>
        <v>2</v>
      </c>
    </row>
    <row r="879">
      <c r="A879" s="12" t="s">
        <v>1376</v>
      </c>
      <c r="B879" s="12" t="s">
        <v>206</v>
      </c>
      <c r="C879" s="17">
        <v>44.0</v>
      </c>
      <c r="D879" s="12" t="s">
        <v>69</v>
      </c>
      <c r="E879" s="12" t="s">
        <v>70</v>
      </c>
      <c r="F879" s="12" t="s">
        <v>37</v>
      </c>
      <c r="G879" s="12" t="s">
        <v>63</v>
      </c>
      <c r="H879" s="15">
        <v>45127.0</v>
      </c>
      <c r="I879" s="17">
        <v>37.0</v>
      </c>
      <c r="J879" s="12" t="s">
        <v>40</v>
      </c>
      <c r="K879" s="12" t="s">
        <v>81</v>
      </c>
      <c r="L879" s="17">
        <v>1027.0</v>
      </c>
      <c r="M879" s="17">
        <v>2.0</v>
      </c>
      <c r="N879" s="17">
        <v>1.0</v>
      </c>
      <c r="O879" s="17">
        <v>21.0</v>
      </c>
      <c r="P879" s="17">
        <v>3.7</v>
      </c>
      <c r="Q879" s="15">
        <v>46142.0</v>
      </c>
      <c r="R879" s="12"/>
      <c r="S879" s="12" t="s">
        <v>55</v>
      </c>
      <c r="T879" s="12" t="s">
        <v>75</v>
      </c>
      <c r="U879" s="17">
        <f t="shared" si="1"/>
        <v>2</v>
      </c>
    </row>
    <row r="880">
      <c r="A880" s="12" t="s">
        <v>1488</v>
      </c>
      <c r="B880" s="12" t="s">
        <v>132</v>
      </c>
      <c r="C880" s="17">
        <v>64.0</v>
      </c>
      <c r="D880" s="12" t="s">
        <v>60</v>
      </c>
      <c r="E880" s="12" t="s">
        <v>107</v>
      </c>
      <c r="F880" s="12" t="s">
        <v>62</v>
      </c>
      <c r="G880" s="12" t="s">
        <v>93</v>
      </c>
      <c r="H880" s="15">
        <v>45454.0</v>
      </c>
      <c r="I880" s="17">
        <v>27.0</v>
      </c>
      <c r="J880" s="12" t="s">
        <v>53</v>
      </c>
      <c r="K880" s="12" t="s">
        <v>81</v>
      </c>
      <c r="L880" s="17">
        <v>775.0</v>
      </c>
      <c r="M880" s="17">
        <v>0.0</v>
      </c>
      <c r="N880" s="17">
        <v>2.0</v>
      </c>
      <c r="O880" s="17">
        <v>38.4</v>
      </c>
      <c r="P880" s="17">
        <v>4.3</v>
      </c>
      <c r="Q880" s="15">
        <v>45934.0</v>
      </c>
      <c r="R880" s="12"/>
      <c r="S880" s="12" t="s">
        <v>55</v>
      </c>
      <c r="T880" s="12" t="s">
        <v>104</v>
      </c>
      <c r="U880" s="17">
        <f t="shared" si="1"/>
        <v>1</v>
      </c>
    </row>
    <row r="881">
      <c r="A881" s="12" t="s">
        <v>1489</v>
      </c>
      <c r="B881" s="12" t="s">
        <v>96</v>
      </c>
      <c r="C881" s="17">
        <v>60.0</v>
      </c>
      <c r="D881" s="12" t="s">
        <v>35</v>
      </c>
      <c r="E881" s="12" t="s">
        <v>36</v>
      </c>
      <c r="F881" s="12" t="s">
        <v>37</v>
      </c>
      <c r="G881" s="12" t="s">
        <v>52</v>
      </c>
      <c r="H881" s="15">
        <v>44892.0</v>
      </c>
      <c r="I881" s="17">
        <v>47.0</v>
      </c>
      <c r="J881" s="12" t="s">
        <v>53</v>
      </c>
      <c r="K881" s="12" t="s">
        <v>81</v>
      </c>
      <c r="L881" s="17">
        <v>1791.0</v>
      </c>
      <c r="M881" s="17">
        <v>1.0</v>
      </c>
      <c r="N881" s="17">
        <v>0.0</v>
      </c>
      <c r="O881" s="17">
        <v>20.1</v>
      </c>
      <c r="P881" s="17">
        <v>3.2</v>
      </c>
      <c r="Q881" s="15">
        <v>45269.0</v>
      </c>
      <c r="R881" s="12"/>
      <c r="S881" s="12" t="s">
        <v>55</v>
      </c>
      <c r="T881" s="12" t="s">
        <v>104</v>
      </c>
      <c r="U881" s="17">
        <f t="shared" si="1"/>
        <v>1</v>
      </c>
    </row>
    <row r="882">
      <c r="A882" s="12" t="s">
        <v>1490</v>
      </c>
      <c r="B882" s="12" t="s">
        <v>405</v>
      </c>
      <c r="C882" s="17">
        <v>30.0</v>
      </c>
      <c r="D882" s="12" t="s">
        <v>35</v>
      </c>
      <c r="E882" s="12" t="s">
        <v>36</v>
      </c>
      <c r="F882" s="12" t="s">
        <v>79</v>
      </c>
      <c r="G882" s="12" t="s">
        <v>80</v>
      </c>
      <c r="H882" s="15">
        <v>45997.0</v>
      </c>
      <c r="I882" s="17">
        <v>44.0</v>
      </c>
      <c r="J882" s="12" t="s">
        <v>40</v>
      </c>
      <c r="K882" s="12" t="s">
        <v>65</v>
      </c>
      <c r="L882" s="17">
        <v>3425.0</v>
      </c>
      <c r="M882" s="17">
        <v>2.0</v>
      </c>
      <c r="N882" s="17">
        <v>0.0</v>
      </c>
      <c r="O882" s="17">
        <v>42.4</v>
      </c>
      <c r="P882" s="17">
        <v>5.0</v>
      </c>
      <c r="Q882" s="15">
        <v>46978.0</v>
      </c>
      <c r="R882" s="12"/>
      <c r="S882" s="12" t="s">
        <v>55</v>
      </c>
      <c r="T882" s="12" t="s">
        <v>72</v>
      </c>
      <c r="U882" s="17">
        <f t="shared" si="1"/>
        <v>2</v>
      </c>
    </row>
    <row r="883">
      <c r="A883" s="12" t="s">
        <v>1491</v>
      </c>
      <c r="B883" s="12" t="s">
        <v>229</v>
      </c>
      <c r="C883" s="17">
        <v>67.0</v>
      </c>
      <c r="D883" s="12" t="s">
        <v>85</v>
      </c>
      <c r="E883" s="12" t="s">
        <v>92</v>
      </c>
      <c r="F883" s="12" t="s">
        <v>37</v>
      </c>
      <c r="G883" s="12" t="s">
        <v>39</v>
      </c>
      <c r="H883" s="15">
        <v>45095.0</v>
      </c>
      <c r="I883" s="17">
        <v>26.0</v>
      </c>
      <c r="J883" s="12" t="s">
        <v>40</v>
      </c>
      <c r="K883" s="12" t="s">
        <v>81</v>
      </c>
      <c r="L883" s="17">
        <v>1661.0</v>
      </c>
      <c r="M883" s="17">
        <v>2.0</v>
      </c>
      <c r="N883" s="17">
        <v>3.0</v>
      </c>
      <c r="O883" s="17">
        <v>29.7</v>
      </c>
      <c r="P883" s="17">
        <v>3.3</v>
      </c>
      <c r="Q883" s="15">
        <v>45188.0</v>
      </c>
      <c r="R883" s="12"/>
      <c r="S883" s="12" t="s">
        <v>55</v>
      </c>
      <c r="T883" s="12" t="s">
        <v>72</v>
      </c>
      <c r="U883" s="17">
        <f t="shared" si="1"/>
        <v>1</v>
      </c>
    </row>
    <row r="884">
      <c r="A884" s="12" t="s">
        <v>1492</v>
      </c>
      <c r="B884" s="12" t="s">
        <v>152</v>
      </c>
      <c r="C884" s="17">
        <v>55.0</v>
      </c>
      <c r="D884" s="12" t="s">
        <v>35</v>
      </c>
      <c r="E884" s="12" t="s">
        <v>36</v>
      </c>
      <c r="F884" s="12" t="s">
        <v>37</v>
      </c>
      <c r="G884" s="12" t="s">
        <v>647</v>
      </c>
      <c r="H884" s="15">
        <v>44907.0</v>
      </c>
      <c r="I884" s="17">
        <v>1.0</v>
      </c>
      <c r="J884" s="12" t="s">
        <v>64</v>
      </c>
      <c r="K884" s="12" t="s">
        <v>65</v>
      </c>
      <c r="L884" s="17">
        <v>1011.0</v>
      </c>
      <c r="M884" s="17">
        <v>2.0</v>
      </c>
      <c r="N884" s="17">
        <v>0.0</v>
      </c>
      <c r="O884" s="17">
        <v>30.0</v>
      </c>
      <c r="P884" s="17">
        <v>3.1</v>
      </c>
      <c r="Q884" s="15">
        <v>44937.0</v>
      </c>
      <c r="R884" s="12" t="s">
        <v>1493</v>
      </c>
      <c r="S884" s="12" t="s">
        <v>45</v>
      </c>
      <c r="T884" s="12" t="s">
        <v>104</v>
      </c>
      <c r="U884" s="17">
        <f t="shared" si="1"/>
        <v>1</v>
      </c>
    </row>
    <row r="885">
      <c r="A885" s="12" t="s">
        <v>1494</v>
      </c>
      <c r="B885" s="12" t="s">
        <v>190</v>
      </c>
      <c r="C885" s="17">
        <v>51.0</v>
      </c>
      <c r="D885" s="12" t="s">
        <v>69</v>
      </c>
      <c r="E885" s="12" t="s">
        <v>119</v>
      </c>
      <c r="F885" s="12" t="s">
        <v>62</v>
      </c>
      <c r="G885" s="12" t="s">
        <v>39</v>
      </c>
      <c r="H885" s="15">
        <v>45269.0</v>
      </c>
      <c r="I885" s="17">
        <v>7.0</v>
      </c>
      <c r="J885" s="12" t="s">
        <v>40</v>
      </c>
      <c r="K885" s="12" t="s">
        <v>65</v>
      </c>
      <c r="L885" s="17">
        <v>578.0</v>
      </c>
      <c r="M885" s="17">
        <v>1.0</v>
      </c>
      <c r="N885" s="17">
        <v>2.0</v>
      </c>
      <c r="O885" s="17">
        <v>16.2</v>
      </c>
      <c r="P885" s="17">
        <v>5.0</v>
      </c>
      <c r="Q885" s="15">
        <v>45425.0</v>
      </c>
      <c r="R885" s="12" t="s">
        <v>1495</v>
      </c>
      <c r="S885" s="12" t="s">
        <v>45</v>
      </c>
      <c r="T885" s="12" t="s">
        <v>104</v>
      </c>
      <c r="U885" s="17">
        <f t="shared" si="1"/>
        <v>1</v>
      </c>
    </row>
    <row r="886">
      <c r="A886" s="12" t="s">
        <v>1496</v>
      </c>
      <c r="B886" s="12" t="s">
        <v>639</v>
      </c>
      <c r="C886" s="17">
        <v>31.0</v>
      </c>
      <c r="D886" s="12" t="s">
        <v>35</v>
      </c>
      <c r="E886" s="12" t="s">
        <v>36</v>
      </c>
      <c r="F886" s="12" t="s">
        <v>37</v>
      </c>
      <c r="G886" s="12" t="s">
        <v>210</v>
      </c>
      <c r="H886" s="15">
        <v>45158.0</v>
      </c>
      <c r="I886" s="17">
        <v>7.0</v>
      </c>
      <c r="J886" s="12" t="s">
        <v>64</v>
      </c>
      <c r="K886" s="12" t="s">
        <v>805</v>
      </c>
      <c r="L886" s="17">
        <v>1603.0</v>
      </c>
      <c r="M886" s="17">
        <v>4.0</v>
      </c>
      <c r="N886" s="17">
        <v>2.0</v>
      </c>
      <c r="O886" s="17">
        <v>25.4</v>
      </c>
      <c r="P886" s="17">
        <v>3.2</v>
      </c>
      <c r="Q886" s="15">
        <v>45210.0</v>
      </c>
      <c r="R886" s="12"/>
      <c r="S886" s="12" t="s">
        <v>55</v>
      </c>
      <c r="T886" s="12" t="s">
        <v>66</v>
      </c>
      <c r="U886" s="17">
        <f t="shared" si="1"/>
        <v>1</v>
      </c>
    </row>
    <row r="887">
      <c r="A887" s="12" t="s">
        <v>1470</v>
      </c>
      <c r="B887" s="12" t="s">
        <v>163</v>
      </c>
      <c r="C887" s="17">
        <v>44.0</v>
      </c>
      <c r="D887" s="12" t="s">
        <v>85</v>
      </c>
      <c r="E887" s="12" t="s">
        <v>87</v>
      </c>
      <c r="F887" s="12" t="s">
        <v>37</v>
      </c>
      <c r="G887" s="12" t="s">
        <v>63</v>
      </c>
      <c r="H887" s="15">
        <v>45931.0</v>
      </c>
      <c r="I887" s="17">
        <v>36.0</v>
      </c>
      <c r="J887" s="12" t="s">
        <v>40</v>
      </c>
      <c r="K887" s="12" t="s">
        <v>65</v>
      </c>
      <c r="L887" s="17">
        <v>1373.0</v>
      </c>
      <c r="M887" s="17">
        <v>4.0</v>
      </c>
      <c r="N887" s="17">
        <v>0.0</v>
      </c>
      <c r="O887" s="17">
        <v>28.9</v>
      </c>
      <c r="P887" s="12"/>
      <c r="Q887" s="15">
        <v>46431.0</v>
      </c>
      <c r="R887" s="12"/>
      <c r="S887" s="12" t="s">
        <v>55</v>
      </c>
      <c r="T887" s="12" t="s">
        <v>104</v>
      </c>
      <c r="U887" s="17">
        <f t="shared" si="1"/>
        <v>3</v>
      </c>
    </row>
    <row r="888">
      <c r="A888" s="12" t="s">
        <v>660</v>
      </c>
      <c r="B888" s="12" t="s">
        <v>380</v>
      </c>
      <c r="C888" s="17">
        <v>39.0</v>
      </c>
      <c r="D888" s="12" t="s">
        <v>35</v>
      </c>
      <c r="E888" s="12" t="s">
        <v>36</v>
      </c>
      <c r="F888" s="12" t="s">
        <v>37</v>
      </c>
      <c r="G888" s="12" t="s">
        <v>210</v>
      </c>
      <c r="H888" s="15">
        <v>45641.0</v>
      </c>
      <c r="I888" s="17">
        <v>37.0</v>
      </c>
      <c r="J888" s="12" t="s">
        <v>64</v>
      </c>
      <c r="K888" s="12" t="s">
        <v>65</v>
      </c>
      <c r="L888" s="17">
        <v>1533.0</v>
      </c>
      <c r="M888" s="17">
        <v>1.0</v>
      </c>
      <c r="N888" s="17">
        <v>1.0</v>
      </c>
      <c r="O888" s="17">
        <v>30.3</v>
      </c>
      <c r="P888" s="17">
        <v>3.2</v>
      </c>
      <c r="Q888" s="15">
        <v>46769.0</v>
      </c>
      <c r="R888" s="12"/>
      <c r="S888" s="12" t="s">
        <v>55</v>
      </c>
      <c r="T888" s="12" t="s">
        <v>47</v>
      </c>
      <c r="U888" s="17">
        <f t="shared" si="1"/>
        <v>6</v>
      </c>
    </row>
    <row r="889">
      <c r="A889" s="12" t="s">
        <v>1322</v>
      </c>
      <c r="B889" s="12" t="s">
        <v>169</v>
      </c>
      <c r="C889" s="17">
        <v>68.0</v>
      </c>
      <c r="D889" s="12" t="s">
        <v>85</v>
      </c>
      <c r="E889" s="12" t="s">
        <v>87</v>
      </c>
      <c r="F889" s="12" t="s">
        <v>62</v>
      </c>
      <c r="G889" s="12" t="s">
        <v>63</v>
      </c>
      <c r="H889" s="15">
        <v>45566.0</v>
      </c>
      <c r="I889" s="17">
        <v>2.0</v>
      </c>
      <c r="J889" s="12" t="s">
        <v>53</v>
      </c>
      <c r="K889" s="12" t="s">
        <v>81</v>
      </c>
      <c r="L889" s="17">
        <v>663.0</v>
      </c>
      <c r="M889" s="17">
        <v>3.0</v>
      </c>
      <c r="N889" s="17">
        <v>2.0</v>
      </c>
      <c r="O889" s="17">
        <v>16.2</v>
      </c>
      <c r="P889" s="17">
        <v>2.9</v>
      </c>
      <c r="Q889" s="15">
        <v>45625.0</v>
      </c>
      <c r="R889" s="12"/>
      <c r="S889" s="12" t="s">
        <v>55</v>
      </c>
      <c r="T889" s="12" t="s">
        <v>104</v>
      </c>
      <c r="U889" s="17">
        <f t="shared" si="1"/>
        <v>2</v>
      </c>
    </row>
    <row r="890">
      <c r="A890" s="12" t="s">
        <v>1497</v>
      </c>
      <c r="B890" s="12" t="s">
        <v>179</v>
      </c>
      <c r="C890" s="17">
        <v>22.0</v>
      </c>
      <c r="D890" s="12" t="s">
        <v>309</v>
      </c>
      <c r="E890" s="12" t="s">
        <v>51</v>
      </c>
      <c r="F890" s="12" t="s">
        <v>79</v>
      </c>
      <c r="G890" s="12" t="s">
        <v>421</v>
      </c>
      <c r="H890" s="15">
        <v>45765.0</v>
      </c>
      <c r="I890" s="17">
        <v>48.0</v>
      </c>
      <c r="J890" s="12" t="s">
        <v>53</v>
      </c>
      <c r="K890" s="12" t="s">
        <v>65</v>
      </c>
      <c r="L890" s="17">
        <v>3311.0</v>
      </c>
      <c r="M890" s="17">
        <v>1.0</v>
      </c>
      <c r="N890" s="17">
        <v>1.0</v>
      </c>
      <c r="O890" s="17">
        <v>32.1</v>
      </c>
      <c r="P890" s="17">
        <v>5.0</v>
      </c>
      <c r="Q890" s="15">
        <v>46417.0</v>
      </c>
      <c r="R890" s="12" t="s">
        <v>1498</v>
      </c>
      <c r="S890" s="12" t="s">
        <v>45</v>
      </c>
      <c r="T890" s="12" t="s">
        <v>47</v>
      </c>
      <c r="U890" s="17">
        <f t="shared" si="1"/>
        <v>1</v>
      </c>
    </row>
    <row r="891">
      <c r="A891" s="12" t="s">
        <v>1008</v>
      </c>
      <c r="B891" s="12" t="s">
        <v>639</v>
      </c>
      <c r="C891" s="17">
        <v>30.0</v>
      </c>
      <c r="D891" s="12" t="s">
        <v>309</v>
      </c>
      <c r="E891" s="12" t="s">
        <v>140</v>
      </c>
      <c r="F891" s="12" t="s">
        <v>37</v>
      </c>
      <c r="G891" s="12" t="s">
        <v>80</v>
      </c>
      <c r="H891" s="15">
        <v>44927.0</v>
      </c>
      <c r="I891" s="17">
        <v>33.0</v>
      </c>
      <c r="J891" s="12" t="s">
        <v>40</v>
      </c>
      <c r="K891" s="12" t="s">
        <v>81</v>
      </c>
      <c r="L891" s="17">
        <v>1044.0</v>
      </c>
      <c r="M891" s="17">
        <v>1.0</v>
      </c>
      <c r="N891" s="17">
        <v>1.0</v>
      </c>
      <c r="O891" s="17">
        <v>33.4</v>
      </c>
      <c r="P891" s="17">
        <v>3.5</v>
      </c>
      <c r="Q891" s="15">
        <v>45156.0</v>
      </c>
      <c r="R891" s="12"/>
      <c r="S891" s="12" t="s">
        <v>55</v>
      </c>
      <c r="T891" s="12" t="s">
        <v>72</v>
      </c>
      <c r="U891" s="17">
        <f t="shared" si="1"/>
        <v>3</v>
      </c>
    </row>
    <row r="892">
      <c r="A892" s="12" t="s">
        <v>1499</v>
      </c>
      <c r="B892" s="12" t="s">
        <v>152</v>
      </c>
      <c r="C892" s="17">
        <v>34.0</v>
      </c>
      <c r="D892" s="12" t="s">
        <v>658</v>
      </c>
      <c r="E892" s="12" t="s">
        <v>119</v>
      </c>
      <c r="F892" s="12" t="s">
        <v>62</v>
      </c>
      <c r="G892" s="12" t="s">
        <v>52</v>
      </c>
      <c r="H892" s="15">
        <v>45817.0</v>
      </c>
      <c r="I892" s="17">
        <v>1.0</v>
      </c>
      <c r="J892" s="12" t="s">
        <v>429</v>
      </c>
      <c r="K892" s="12" t="s">
        <v>65</v>
      </c>
      <c r="L892" s="17">
        <v>694.0</v>
      </c>
      <c r="M892" s="17">
        <v>2.0</v>
      </c>
      <c r="N892" s="17">
        <v>4.0</v>
      </c>
      <c r="O892" s="17">
        <v>17.8</v>
      </c>
      <c r="P892" s="17">
        <v>5.0</v>
      </c>
      <c r="Q892" s="15">
        <v>45834.0</v>
      </c>
      <c r="R892" s="12"/>
      <c r="S892" s="12" t="s">
        <v>55</v>
      </c>
      <c r="T892" s="12" t="s">
        <v>47</v>
      </c>
      <c r="U892" s="17">
        <f t="shared" si="1"/>
        <v>2</v>
      </c>
    </row>
    <row r="893">
      <c r="A893" s="12" t="s">
        <v>1500</v>
      </c>
      <c r="B893" s="12" t="s">
        <v>222</v>
      </c>
      <c r="C893" s="17">
        <v>32.0</v>
      </c>
      <c r="D893" s="12" t="s">
        <v>69</v>
      </c>
      <c r="E893" s="12" t="s">
        <v>177</v>
      </c>
      <c r="F893" s="12" t="s">
        <v>79</v>
      </c>
      <c r="G893" s="12" t="s">
        <v>120</v>
      </c>
      <c r="H893" s="15">
        <v>44653.0</v>
      </c>
      <c r="I893" s="17">
        <v>10.0</v>
      </c>
      <c r="J893" s="12" t="s">
        <v>64</v>
      </c>
      <c r="K893" s="12" t="s">
        <v>81</v>
      </c>
      <c r="L893" s="17">
        <v>3368.0</v>
      </c>
      <c r="M893" s="17">
        <v>1.0</v>
      </c>
      <c r="N893" s="17">
        <v>1.0</v>
      </c>
      <c r="O893" s="17">
        <v>34.8</v>
      </c>
      <c r="P893" s="17">
        <v>4.4</v>
      </c>
      <c r="Q893" s="15">
        <v>44795.0</v>
      </c>
      <c r="R893" s="12"/>
      <c r="S893" s="12" t="s">
        <v>55</v>
      </c>
      <c r="T893" s="12" t="s">
        <v>72</v>
      </c>
      <c r="U893" s="17">
        <f t="shared" si="1"/>
        <v>2</v>
      </c>
    </row>
    <row r="894">
      <c r="A894" s="12" t="s">
        <v>1501</v>
      </c>
      <c r="B894" s="12" t="s">
        <v>308</v>
      </c>
      <c r="C894" s="17">
        <v>63.0</v>
      </c>
      <c r="D894" s="12" t="s">
        <v>35</v>
      </c>
      <c r="E894" s="12" t="s">
        <v>140</v>
      </c>
      <c r="F894" s="12" t="s">
        <v>716</v>
      </c>
      <c r="G894" s="12" t="s">
        <v>120</v>
      </c>
      <c r="H894" s="15">
        <v>45131.0</v>
      </c>
      <c r="I894" s="17">
        <v>13.0</v>
      </c>
      <c r="J894" s="12" t="s">
        <v>53</v>
      </c>
      <c r="K894" s="12" t="s">
        <v>42</v>
      </c>
      <c r="L894" s="17">
        <v>1258.0</v>
      </c>
      <c r="M894" s="17">
        <v>2.0</v>
      </c>
      <c r="N894" s="17">
        <v>0.0</v>
      </c>
      <c r="O894" s="17">
        <v>21.5</v>
      </c>
      <c r="P894" s="17">
        <v>3.3</v>
      </c>
      <c r="Q894" s="15">
        <v>45146.0</v>
      </c>
      <c r="R894" s="12" t="s">
        <v>1502</v>
      </c>
      <c r="S894" s="12" t="s">
        <v>45</v>
      </c>
      <c r="T894" s="12" t="s">
        <v>47</v>
      </c>
      <c r="U894" s="17">
        <f t="shared" si="1"/>
        <v>2</v>
      </c>
    </row>
    <row r="895">
      <c r="A895" s="12" t="s">
        <v>1503</v>
      </c>
      <c r="B895" s="12" t="s">
        <v>222</v>
      </c>
      <c r="C895" s="17">
        <v>53.0</v>
      </c>
      <c r="D895" s="12" t="s">
        <v>306</v>
      </c>
      <c r="E895" s="12" t="s">
        <v>36</v>
      </c>
      <c r="F895" s="12" t="s">
        <v>62</v>
      </c>
      <c r="G895" s="12" t="s">
        <v>93</v>
      </c>
      <c r="H895" s="15">
        <v>45562.0</v>
      </c>
      <c r="I895" s="17">
        <v>5.0</v>
      </c>
      <c r="J895" s="12" t="s">
        <v>53</v>
      </c>
      <c r="K895" s="12" t="s">
        <v>65</v>
      </c>
      <c r="L895" s="12" t="s">
        <v>1504</v>
      </c>
      <c r="M895" s="17">
        <v>3.0</v>
      </c>
      <c r="N895" s="17">
        <v>0.0</v>
      </c>
      <c r="O895" s="17">
        <v>21.7</v>
      </c>
      <c r="P895" s="17">
        <v>4.0</v>
      </c>
      <c r="Q895" s="15">
        <v>45637.0</v>
      </c>
      <c r="R895" s="12"/>
      <c r="S895" s="12" t="s">
        <v>55</v>
      </c>
      <c r="T895" s="12" t="s">
        <v>66</v>
      </c>
      <c r="U895" s="17">
        <f t="shared" si="1"/>
        <v>1</v>
      </c>
    </row>
    <row r="896">
      <c r="A896" s="12" t="s">
        <v>1367</v>
      </c>
      <c r="B896" s="12" t="s">
        <v>235</v>
      </c>
      <c r="C896" s="17">
        <v>26.0</v>
      </c>
      <c r="D896" s="12" t="s">
        <v>35</v>
      </c>
      <c r="E896" s="12" t="s">
        <v>36</v>
      </c>
      <c r="F896" s="12" t="s">
        <v>62</v>
      </c>
      <c r="G896" s="12" t="s">
        <v>39</v>
      </c>
      <c r="H896" s="15">
        <v>44739.0</v>
      </c>
      <c r="I896" s="17">
        <v>36.0</v>
      </c>
      <c r="J896" s="12" t="s">
        <v>40</v>
      </c>
      <c r="K896" s="12" t="s">
        <v>42</v>
      </c>
      <c r="L896" s="17">
        <v>601.0</v>
      </c>
      <c r="M896" s="17">
        <v>1.0</v>
      </c>
      <c r="N896" s="17">
        <v>0.0</v>
      </c>
      <c r="O896" s="17">
        <v>26.7</v>
      </c>
      <c r="P896" s="17">
        <v>3.2</v>
      </c>
      <c r="Q896" s="15">
        <v>44822.0</v>
      </c>
      <c r="R896" s="12" t="s">
        <v>1505</v>
      </c>
      <c r="S896" s="12" t="s">
        <v>45</v>
      </c>
      <c r="T896" s="12" t="s">
        <v>75</v>
      </c>
      <c r="U896" s="17">
        <f t="shared" si="1"/>
        <v>2</v>
      </c>
    </row>
    <row r="897">
      <c r="A897" s="12" t="s">
        <v>1087</v>
      </c>
      <c r="B897" s="12" t="s">
        <v>395</v>
      </c>
      <c r="C897" s="17">
        <v>68.0</v>
      </c>
      <c r="D897" s="12" t="s">
        <v>35</v>
      </c>
      <c r="E897" s="12" t="s">
        <v>36</v>
      </c>
      <c r="F897" s="12" t="s">
        <v>62</v>
      </c>
      <c r="G897" s="12" t="s">
        <v>80</v>
      </c>
      <c r="H897" s="15">
        <v>45321.0</v>
      </c>
      <c r="I897" s="17">
        <v>29.0</v>
      </c>
      <c r="J897" s="12" t="s">
        <v>40</v>
      </c>
      <c r="K897" s="12" t="s">
        <v>81</v>
      </c>
      <c r="L897" s="17">
        <v>725.0</v>
      </c>
      <c r="M897" s="17">
        <v>2.0</v>
      </c>
      <c r="N897" s="17">
        <v>1.0</v>
      </c>
      <c r="O897" s="17">
        <v>20.9</v>
      </c>
      <c r="P897" s="17">
        <v>4.6</v>
      </c>
      <c r="Q897" s="15">
        <v>45373.0</v>
      </c>
      <c r="R897" s="12" t="s">
        <v>1506</v>
      </c>
      <c r="S897" s="12" t="s">
        <v>45</v>
      </c>
      <c r="T897" s="12" t="s">
        <v>72</v>
      </c>
      <c r="U897" s="17">
        <f t="shared" si="1"/>
        <v>3</v>
      </c>
    </row>
    <row r="898">
      <c r="A898" s="12" t="s">
        <v>1507</v>
      </c>
      <c r="B898" s="12" t="s">
        <v>322</v>
      </c>
      <c r="C898" s="17">
        <v>51.0</v>
      </c>
      <c r="D898" s="12" t="s">
        <v>35</v>
      </c>
      <c r="E898" s="12" t="s">
        <v>51</v>
      </c>
      <c r="F898" s="12" t="s">
        <v>62</v>
      </c>
      <c r="G898" s="12" t="s">
        <v>210</v>
      </c>
      <c r="H898" s="15">
        <v>44921.0</v>
      </c>
      <c r="I898" s="17">
        <v>23.0</v>
      </c>
      <c r="J898" s="12" t="s">
        <v>40</v>
      </c>
      <c r="K898" s="12" t="s">
        <v>42</v>
      </c>
      <c r="L898" s="17">
        <v>828.0</v>
      </c>
      <c r="M898" s="17">
        <v>1.0</v>
      </c>
      <c r="N898" s="17">
        <v>1.0</v>
      </c>
      <c r="O898" s="17">
        <v>14.7</v>
      </c>
      <c r="P898" s="17">
        <v>4.4</v>
      </c>
      <c r="Q898" s="15">
        <v>45320.0</v>
      </c>
      <c r="R898" s="12"/>
      <c r="S898" s="12" t="s">
        <v>55</v>
      </c>
      <c r="T898" s="12" t="s">
        <v>47</v>
      </c>
      <c r="U898" s="17">
        <f t="shared" si="1"/>
        <v>3</v>
      </c>
    </row>
    <row r="899">
      <c r="A899" s="12" t="s">
        <v>665</v>
      </c>
      <c r="B899" s="12" t="s">
        <v>145</v>
      </c>
      <c r="C899" s="17">
        <v>28.0</v>
      </c>
      <c r="D899" s="12" t="s">
        <v>69</v>
      </c>
      <c r="E899" s="12" t="s">
        <v>177</v>
      </c>
      <c r="F899" s="12" t="s">
        <v>37</v>
      </c>
      <c r="G899" s="12" t="s">
        <v>120</v>
      </c>
      <c r="H899" s="15">
        <v>44613.0</v>
      </c>
      <c r="I899" s="17">
        <v>29.0</v>
      </c>
      <c r="J899" s="12" t="s">
        <v>64</v>
      </c>
      <c r="K899" s="12" t="s">
        <v>65</v>
      </c>
      <c r="L899" s="17">
        <v>1615.0</v>
      </c>
      <c r="M899" s="17">
        <v>2.0</v>
      </c>
      <c r="N899" s="17">
        <v>2.0</v>
      </c>
      <c r="O899" s="17">
        <v>21.8</v>
      </c>
      <c r="P899" s="17">
        <v>3.8</v>
      </c>
      <c r="Q899" s="15">
        <v>44917.0</v>
      </c>
      <c r="R899" s="12"/>
      <c r="S899" s="12" t="s">
        <v>55</v>
      </c>
      <c r="T899" s="12" t="s">
        <v>104</v>
      </c>
      <c r="U899" s="17">
        <f t="shared" si="1"/>
        <v>2</v>
      </c>
    </row>
    <row r="900">
      <c r="A900" s="12" t="s">
        <v>1508</v>
      </c>
      <c r="B900" s="12" t="s">
        <v>349</v>
      </c>
      <c r="C900" s="17">
        <v>19.0</v>
      </c>
      <c r="D900" s="12" t="s">
        <v>35</v>
      </c>
      <c r="E900" s="12" t="s">
        <v>140</v>
      </c>
      <c r="F900" s="12" t="s">
        <v>37</v>
      </c>
      <c r="G900" s="12" t="s">
        <v>63</v>
      </c>
      <c r="H900" s="15">
        <v>45828.0</v>
      </c>
      <c r="I900" s="17">
        <v>47.0</v>
      </c>
      <c r="J900" s="12" t="s">
        <v>53</v>
      </c>
      <c r="K900" s="12" t="s">
        <v>42</v>
      </c>
      <c r="L900" s="17">
        <v>1378.0</v>
      </c>
      <c r="M900" s="17">
        <v>3.0</v>
      </c>
      <c r="N900" s="17">
        <v>1.0</v>
      </c>
      <c r="O900" s="17">
        <v>18.3</v>
      </c>
      <c r="P900" s="17">
        <v>4.9</v>
      </c>
      <c r="Q900" s="15">
        <v>46131.0</v>
      </c>
      <c r="R900" s="12"/>
      <c r="S900" s="12" t="s">
        <v>55</v>
      </c>
      <c r="T900" s="12" t="s">
        <v>66</v>
      </c>
      <c r="U900" s="17">
        <f t="shared" si="1"/>
        <v>1</v>
      </c>
    </row>
    <row r="901">
      <c r="A901" s="12" t="s">
        <v>1509</v>
      </c>
      <c r="B901" s="12" t="s">
        <v>34</v>
      </c>
      <c r="C901" s="17">
        <v>37.0</v>
      </c>
      <c r="D901" s="12" t="s">
        <v>85</v>
      </c>
      <c r="E901" s="12" t="s">
        <v>292</v>
      </c>
      <c r="F901" s="12" t="s">
        <v>79</v>
      </c>
      <c r="G901" s="12" t="s">
        <v>93</v>
      </c>
      <c r="H901" s="15">
        <v>45848.0</v>
      </c>
      <c r="I901" s="17">
        <v>3.0</v>
      </c>
      <c r="J901" s="12" t="s">
        <v>64</v>
      </c>
      <c r="K901" s="12" t="s">
        <v>81</v>
      </c>
      <c r="L901" s="17">
        <v>3327.0</v>
      </c>
      <c r="M901" s="17">
        <v>4.0</v>
      </c>
      <c r="N901" s="17">
        <v>0.0</v>
      </c>
      <c r="O901" s="17">
        <v>48.6</v>
      </c>
      <c r="P901" s="17">
        <v>3.5</v>
      </c>
      <c r="Q901" s="15">
        <v>45918.0</v>
      </c>
      <c r="R901" s="12"/>
      <c r="S901" s="12" t="s">
        <v>55</v>
      </c>
      <c r="T901" s="12" t="s">
        <v>75</v>
      </c>
      <c r="U901" s="17">
        <f t="shared" si="1"/>
        <v>2</v>
      </c>
    </row>
    <row r="902">
      <c r="A902" s="12" t="s">
        <v>369</v>
      </c>
      <c r="B902" s="12" t="s">
        <v>312</v>
      </c>
      <c r="C902" s="17">
        <v>28.0</v>
      </c>
      <c r="D902" s="12" t="s">
        <v>69</v>
      </c>
      <c r="E902" s="12" t="s">
        <v>119</v>
      </c>
      <c r="F902" s="12" t="s">
        <v>37</v>
      </c>
      <c r="G902" s="12" t="s">
        <v>210</v>
      </c>
      <c r="H902" s="15">
        <v>45865.0</v>
      </c>
      <c r="I902" s="17">
        <v>30.0</v>
      </c>
      <c r="J902" s="12" t="s">
        <v>53</v>
      </c>
      <c r="K902" s="12" t="s">
        <v>81</v>
      </c>
      <c r="L902" s="17">
        <v>1464.0</v>
      </c>
      <c r="M902" s="17">
        <v>2.0</v>
      </c>
      <c r="N902" s="17">
        <v>1.0</v>
      </c>
      <c r="O902" s="17">
        <v>34.9</v>
      </c>
      <c r="P902" s="17">
        <v>4.2</v>
      </c>
      <c r="Q902" s="15">
        <v>46775.0</v>
      </c>
      <c r="R902" s="12"/>
      <c r="S902" s="12" t="s">
        <v>55</v>
      </c>
      <c r="T902" s="12" t="s">
        <v>47</v>
      </c>
      <c r="U902" s="17">
        <f t="shared" si="1"/>
        <v>3</v>
      </c>
    </row>
    <row r="903">
      <c r="A903" s="12" t="s">
        <v>1510</v>
      </c>
      <c r="B903" s="12" t="s">
        <v>333</v>
      </c>
      <c r="C903" s="17">
        <v>27.0</v>
      </c>
      <c r="D903" s="12" t="s">
        <v>60</v>
      </c>
      <c r="E903" s="12" t="s">
        <v>97</v>
      </c>
      <c r="F903" s="12" t="s">
        <v>62</v>
      </c>
      <c r="G903" s="12" t="s">
        <v>63</v>
      </c>
      <c r="H903" s="15">
        <v>45446.0</v>
      </c>
      <c r="I903" s="17">
        <v>20.0</v>
      </c>
      <c r="J903" s="12" t="s">
        <v>64</v>
      </c>
      <c r="K903" s="12" t="s">
        <v>65</v>
      </c>
      <c r="L903" s="17">
        <v>734.0</v>
      </c>
      <c r="M903" s="17">
        <v>0.0</v>
      </c>
      <c r="N903" s="17">
        <v>1.0</v>
      </c>
      <c r="O903" s="17">
        <v>25.8</v>
      </c>
      <c r="P903" s="17">
        <v>3.0</v>
      </c>
      <c r="Q903" s="15">
        <v>46010.0</v>
      </c>
      <c r="R903" s="12"/>
      <c r="S903" s="12" t="s">
        <v>55</v>
      </c>
      <c r="T903" s="12" t="s">
        <v>47</v>
      </c>
      <c r="U903" s="17">
        <f t="shared" si="1"/>
        <v>2</v>
      </c>
    </row>
    <row r="904">
      <c r="A904" s="12" t="s">
        <v>1511</v>
      </c>
      <c r="B904" s="12" t="s">
        <v>160</v>
      </c>
      <c r="C904" s="17">
        <v>34.0</v>
      </c>
      <c r="D904" s="12" t="s">
        <v>85</v>
      </c>
      <c r="E904" s="12" t="s">
        <v>87</v>
      </c>
      <c r="F904" s="12" t="s">
        <v>37</v>
      </c>
      <c r="G904" s="12" t="s">
        <v>571</v>
      </c>
      <c r="H904" s="15">
        <v>45471.0</v>
      </c>
      <c r="I904" s="17">
        <v>25.0</v>
      </c>
      <c r="J904" s="12" t="s">
        <v>40</v>
      </c>
      <c r="K904" s="12" t="s">
        <v>81</v>
      </c>
      <c r="L904" s="17">
        <v>1332.0</v>
      </c>
      <c r="M904" s="17">
        <v>1.0</v>
      </c>
      <c r="N904" s="17">
        <v>2.0</v>
      </c>
      <c r="O904" s="17">
        <v>21.6</v>
      </c>
      <c r="P904" s="17">
        <v>3.9</v>
      </c>
      <c r="Q904" s="15">
        <v>45889.0</v>
      </c>
      <c r="R904" s="12"/>
      <c r="S904" s="12" t="s">
        <v>55</v>
      </c>
      <c r="T904" s="12" t="s">
        <v>47</v>
      </c>
      <c r="U904" s="17">
        <f t="shared" si="1"/>
        <v>3</v>
      </c>
    </row>
    <row r="905">
      <c r="A905" s="12" t="s">
        <v>588</v>
      </c>
      <c r="B905" s="12" t="s">
        <v>639</v>
      </c>
      <c r="C905" s="17">
        <v>38.0</v>
      </c>
      <c r="D905" s="12" t="s">
        <v>69</v>
      </c>
      <c r="E905" s="12" t="s">
        <v>177</v>
      </c>
      <c r="F905" s="12" t="s">
        <v>79</v>
      </c>
      <c r="G905" s="12" t="s">
        <v>80</v>
      </c>
      <c r="H905" s="15">
        <v>45398.0</v>
      </c>
      <c r="I905" s="17">
        <v>24.0</v>
      </c>
      <c r="J905" s="12" t="s">
        <v>64</v>
      </c>
      <c r="K905" s="12" t="s">
        <v>65</v>
      </c>
      <c r="L905" s="17">
        <v>2288.0</v>
      </c>
      <c r="M905" s="17">
        <v>2.0</v>
      </c>
      <c r="N905" s="12"/>
      <c r="O905" s="17">
        <v>30.1</v>
      </c>
      <c r="P905" s="17">
        <v>3.3</v>
      </c>
      <c r="Q905" s="15">
        <v>45889.0</v>
      </c>
      <c r="R905" s="12"/>
      <c r="S905" s="12" t="s">
        <v>55</v>
      </c>
      <c r="T905" s="12" t="s">
        <v>104</v>
      </c>
      <c r="U905" s="17">
        <f t="shared" si="1"/>
        <v>2</v>
      </c>
    </row>
    <row r="906">
      <c r="A906" s="12" t="s">
        <v>1512</v>
      </c>
      <c r="B906" s="12" t="s">
        <v>333</v>
      </c>
      <c r="C906" s="17">
        <v>55.0</v>
      </c>
      <c r="D906" s="12" t="s">
        <v>69</v>
      </c>
      <c r="E906" s="12" t="s">
        <v>177</v>
      </c>
      <c r="F906" s="12" t="s">
        <v>37</v>
      </c>
      <c r="G906" s="12" t="s">
        <v>39</v>
      </c>
      <c r="H906" s="15">
        <v>45912.0</v>
      </c>
      <c r="I906" s="17">
        <v>25.0</v>
      </c>
      <c r="J906" s="12" t="s">
        <v>64</v>
      </c>
      <c r="K906" s="12" t="s">
        <v>42</v>
      </c>
      <c r="L906" s="12"/>
      <c r="M906" s="17">
        <v>4.0</v>
      </c>
      <c r="N906" s="17">
        <v>2.0</v>
      </c>
      <c r="O906" s="17">
        <v>29.4</v>
      </c>
      <c r="P906" s="12"/>
      <c r="Q906" s="15">
        <v>46375.0</v>
      </c>
      <c r="R906" s="12" t="s">
        <v>1513</v>
      </c>
      <c r="S906" s="12" t="s">
        <v>45</v>
      </c>
      <c r="T906" s="12" t="s">
        <v>72</v>
      </c>
      <c r="U906" s="17">
        <f t="shared" si="1"/>
        <v>1</v>
      </c>
    </row>
    <row r="907">
      <c r="A907" s="12" t="s">
        <v>1514</v>
      </c>
      <c r="B907" s="12" t="s">
        <v>257</v>
      </c>
      <c r="C907" s="17">
        <v>58.0</v>
      </c>
      <c r="D907" s="12" t="s">
        <v>69</v>
      </c>
      <c r="E907" s="12" t="s">
        <v>119</v>
      </c>
      <c r="F907" s="12" t="s">
        <v>37</v>
      </c>
      <c r="G907" s="12" t="s">
        <v>93</v>
      </c>
      <c r="H907" s="15">
        <v>44967.0</v>
      </c>
      <c r="I907" s="17">
        <v>10.0</v>
      </c>
      <c r="J907" s="12" t="s">
        <v>64</v>
      </c>
      <c r="K907" s="12" t="s">
        <v>81</v>
      </c>
      <c r="L907" s="17">
        <v>1250.0</v>
      </c>
      <c r="M907" s="17">
        <v>0.0</v>
      </c>
      <c r="N907" s="17">
        <v>0.0</v>
      </c>
      <c r="O907" s="17">
        <v>13.5</v>
      </c>
      <c r="P907" s="17">
        <v>4.2</v>
      </c>
      <c r="Q907" s="15">
        <v>45043.0</v>
      </c>
      <c r="R907" s="12"/>
      <c r="S907" s="12" t="s">
        <v>55</v>
      </c>
      <c r="T907" s="12" t="s">
        <v>104</v>
      </c>
      <c r="U907" s="17">
        <f t="shared" si="1"/>
        <v>3</v>
      </c>
    </row>
    <row r="908">
      <c r="A908" s="12" t="s">
        <v>1515</v>
      </c>
      <c r="B908" s="12" t="s">
        <v>398</v>
      </c>
      <c r="C908" s="17">
        <v>42.0</v>
      </c>
      <c r="D908" s="12" t="s">
        <v>35</v>
      </c>
      <c r="E908" s="12" t="s">
        <v>36</v>
      </c>
      <c r="F908" s="12" t="s">
        <v>62</v>
      </c>
      <c r="G908" s="12" t="s">
        <v>63</v>
      </c>
      <c r="H908" s="15">
        <v>44670.0</v>
      </c>
      <c r="I908" s="17">
        <v>22.0</v>
      </c>
      <c r="J908" s="12" t="s">
        <v>64</v>
      </c>
      <c r="K908" s="12" t="s">
        <v>65</v>
      </c>
      <c r="L908" s="17">
        <v>659.0</v>
      </c>
      <c r="M908" s="17">
        <v>3.0</v>
      </c>
      <c r="N908" s="17">
        <v>0.0</v>
      </c>
      <c r="O908" s="17">
        <v>27.8</v>
      </c>
      <c r="P908" s="17">
        <v>3.5</v>
      </c>
      <c r="Q908" s="15">
        <v>44834.0</v>
      </c>
      <c r="R908" s="12" t="s">
        <v>1516</v>
      </c>
      <c r="S908" s="12" t="s">
        <v>45</v>
      </c>
      <c r="T908" s="12" t="s">
        <v>66</v>
      </c>
      <c r="U908" s="17">
        <f t="shared" si="1"/>
        <v>1</v>
      </c>
    </row>
    <row r="909">
      <c r="A909" s="12" t="s">
        <v>438</v>
      </c>
      <c r="B909" s="12" t="s">
        <v>476</v>
      </c>
      <c r="C909" s="17">
        <v>29.0</v>
      </c>
      <c r="D909" s="12" t="s">
        <v>85</v>
      </c>
      <c r="E909" s="12" t="s">
        <v>92</v>
      </c>
      <c r="F909" s="12" t="s">
        <v>37</v>
      </c>
      <c r="G909" s="12" t="s">
        <v>210</v>
      </c>
      <c r="H909" s="15">
        <v>45183.0</v>
      </c>
      <c r="I909" s="17">
        <v>7.0</v>
      </c>
      <c r="J909" s="12" t="s">
        <v>64</v>
      </c>
      <c r="K909" s="12" t="s">
        <v>81</v>
      </c>
      <c r="L909" s="17">
        <v>1154.0</v>
      </c>
      <c r="M909" s="17">
        <v>5.0</v>
      </c>
      <c r="N909" s="17">
        <v>0.0</v>
      </c>
      <c r="O909" s="17">
        <v>23.9</v>
      </c>
      <c r="P909" s="17">
        <v>3.0</v>
      </c>
      <c r="Q909" s="15">
        <v>45299.0</v>
      </c>
      <c r="R909" s="12" t="s">
        <v>1517</v>
      </c>
      <c r="S909" s="12" t="s">
        <v>45</v>
      </c>
      <c r="T909" s="12" t="s">
        <v>75</v>
      </c>
      <c r="U909" s="17">
        <f t="shared" si="1"/>
        <v>3</v>
      </c>
    </row>
    <row r="910">
      <c r="A910" s="12" t="s">
        <v>1518</v>
      </c>
      <c r="B910" s="12" t="s">
        <v>734</v>
      </c>
      <c r="C910" s="17">
        <v>49.0</v>
      </c>
      <c r="D910" s="12" t="s">
        <v>445</v>
      </c>
      <c r="E910" s="12" t="s">
        <v>97</v>
      </c>
      <c r="F910" s="12" t="s">
        <v>79</v>
      </c>
      <c r="G910" s="12" t="s">
        <v>52</v>
      </c>
      <c r="H910" s="15">
        <v>44862.0</v>
      </c>
      <c r="I910" s="17">
        <v>29.0</v>
      </c>
      <c r="J910" s="12" t="s">
        <v>40</v>
      </c>
      <c r="K910" s="12" t="s">
        <v>42</v>
      </c>
      <c r="L910" s="17">
        <v>3801.0</v>
      </c>
      <c r="M910" s="17">
        <v>1.0</v>
      </c>
      <c r="N910" s="17">
        <v>0.0</v>
      </c>
      <c r="O910" s="17">
        <v>40.7</v>
      </c>
      <c r="P910" s="17">
        <v>4.5</v>
      </c>
      <c r="Q910" s="15">
        <v>45262.0</v>
      </c>
      <c r="R910" s="12"/>
      <c r="S910" s="12" t="s">
        <v>55</v>
      </c>
      <c r="T910" s="12" t="s">
        <v>66</v>
      </c>
      <c r="U910" s="17">
        <f t="shared" si="1"/>
        <v>1</v>
      </c>
    </row>
    <row r="911">
      <c r="A911" s="12" t="s">
        <v>1519</v>
      </c>
      <c r="B911" s="12" t="s">
        <v>91</v>
      </c>
      <c r="C911" s="17">
        <v>30.0</v>
      </c>
      <c r="D911" s="12" t="s">
        <v>60</v>
      </c>
      <c r="E911" s="12" t="s">
        <v>133</v>
      </c>
      <c r="F911" s="12" t="s">
        <v>37</v>
      </c>
      <c r="G911" s="12" t="s">
        <v>39</v>
      </c>
      <c r="H911" s="15">
        <v>45478.0</v>
      </c>
      <c r="I911" s="17">
        <v>2.0</v>
      </c>
      <c r="J911" s="12" t="s">
        <v>40</v>
      </c>
      <c r="K911" s="12" t="s">
        <v>81</v>
      </c>
      <c r="L911" s="17">
        <v>1579.0</v>
      </c>
      <c r="M911" s="17">
        <v>1.0</v>
      </c>
      <c r="N911" s="17">
        <v>0.0</v>
      </c>
      <c r="O911" s="17">
        <v>25.4</v>
      </c>
      <c r="P911" s="17">
        <v>5.0</v>
      </c>
      <c r="Q911" s="15">
        <v>45531.0</v>
      </c>
      <c r="R911" s="12" t="s">
        <v>1520</v>
      </c>
      <c r="S911" s="12" t="s">
        <v>45</v>
      </c>
      <c r="T911" s="12" t="s">
        <v>72</v>
      </c>
      <c r="U911" s="17">
        <f t="shared" si="1"/>
        <v>2</v>
      </c>
    </row>
    <row r="912">
      <c r="A912" s="12" t="s">
        <v>1521</v>
      </c>
      <c r="B912" s="12" t="s">
        <v>351</v>
      </c>
      <c r="C912" s="17">
        <v>20.0</v>
      </c>
      <c r="D912" s="12" t="s">
        <v>85</v>
      </c>
      <c r="E912" s="12" t="s">
        <v>111</v>
      </c>
      <c r="F912" s="12" t="s">
        <v>62</v>
      </c>
      <c r="G912" s="12" t="s">
        <v>93</v>
      </c>
      <c r="H912" s="15">
        <v>45931.0</v>
      </c>
      <c r="I912" s="17">
        <v>13.0</v>
      </c>
      <c r="J912" s="12" t="s">
        <v>64</v>
      </c>
      <c r="K912" s="12" t="s">
        <v>81</v>
      </c>
      <c r="L912" s="17">
        <v>663.0</v>
      </c>
      <c r="M912" s="17">
        <v>5.0</v>
      </c>
      <c r="N912" s="17">
        <v>2.0</v>
      </c>
      <c r="O912" s="17">
        <v>23.0</v>
      </c>
      <c r="P912" s="17">
        <v>1.0</v>
      </c>
      <c r="Q912" s="15">
        <v>45983.0</v>
      </c>
      <c r="R912" s="12" t="s">
        <v>1522</v>
      </c>
      <c r="S912" s="12" t="s">
        <v>45</v>
      </c>
      <c r="T912" s="12" t="s">
        <v>75</v>
      </c>
      <c r="U912" s="17">
        <f t="shared" si="1"/>
        <v>1</v>
      </c>
    </row>
    <row r="913">
      <c r="A913" s="12" t="s">
        <v>1523</v>
      </c>
      <c r="B913" s="12" t="s">
        <v>420</v>
      </c>
      <c r="C913" s="17">
        <v>47.0</v>
      </c>
      <c r="D913" s="12" t="s">
        <v>60</v>
      </c>
      <c r="E913" s="12" t="s">
        <v>107</v>
      </c>
      <c r="F913" s="12" t="s">
        <v>62</v>
      </c>
      <c r="G913" s="12" t="s">
        <v>210</v>
      </c>
      <c r="H913" s="15">
        <v>45627.0</v>
      </c>
      <c r="I913" s="17">
        <v>2.0</v>
      </c>
      <c r="J913" s="12" t="s">
        <v>53</v>
      </c>
      <c r="K913" s="12" t="s">
        <v>65</v>
      </c>
      <c r="L913" s="17">
        <v>584.0</v>
      </c>
      <c r="M913" s="17">
        <v>1.0</v>
      </c>
      <c r="N913" s="17">
        <v>1.0</v>
      </c>
      <c r="O913" s="17">
        <v>4.9</v>
      </c>
      <c r="P913" s="17">
        <v>2.9</v>
      </c>
      <c r="Q913" s="15">
        <v>45667.0</v>
      </c>
      <c r="R913" s="12"/>
      <c r="S913" s="12" t="s">
        <v>55</v>
      </c>
      <c r="T913" s="12" t="s">
        <v>104</v>
      </c>
      <c r="U913" s="17">
        <f t="shared" si="1"/>
        <v>1</v>
      </c>
    </row>
    <row r="914">
      <c r="A914" s="12" t="s">
        <v>1524</v>
      </c>
      <c r="B914" s="12" t="s">
        <v>316</v>
      </c>
      <c r="C914" s="17">
        <v>43.0</v>
      </c>
      <c r="D914" s="12" t="s">
        <v>85</v>
      </c>
      <c r="E914" s="12" t="s">
        <v>292</v>
      </c>
      <c r="F914" s="12" t="s">
        <v>62</v>
      </c>
      <c r="G914" s="12" t="s">
        <v>63</v>
      </c>
      <c r="H914" s="15">
        <v>44829.0</v>
      </c>
      <c r="I914" s="17">
        <v>40.0</v>
      </c>
      <c r="J914" s="12" t="s">
        <v>53</v>
      </c>
      <c r="K914" s="12" t="s">
        <v>42</v>
      </c>
      <c r="L914" s="17">
        <v>792.0</v>
      </c>
      <c r="M914" s="17">
        <v>0.0</v>
      </c>
      <c r="N914" s="17">
        <v>0.0</v>
      </c>
      <c r="O914" s="17">
        <v>18.5</v>
      </c>
      <c r="P914" s="17">
        <v>2.9</v>
      </c>
      <c r="Q914" s="15">
        <v>45618.0</v>
      </c>
      <c r="R914" s="12"/>
      <c r="S914" s="12" t="s">
        <v>55</v>
      </c>
      <c r="T914" s="12" t="s">
        <v>72</v>
      </c>
      <c r="U914" s="17">
        <f t="shared" si="1"/>
        <v>1</v>
      </c>
    </row>
    <row r="915">
      <c r="A915" s="12" t="s">
        <v>178</v>
      </c>
      <c r="B915" s="12" t="s">
        <v>395</v>
      </c>
      <c r="C915" s="17">
        <v>50.0</v>
      </c>
      <c r="D915" s="12" t="s">
        <v>85</v>
      </c>
      <c r="E915" s="12" t="s">
        <v>92</v>
      </c>
      <c r="F915" s="12" t="s">
        <v>62</v>
      </c>
      <c r="G915" s="12" t="s">
        <v>80</v>
      </c>
      <c r="H915" s="15">
        <v>45431.0</v>
      </c>
      <c r="I915" s="17">
        <v>27.0</v>
      </c>
      <c r="J915" s="12" t="s">
        <v>53</v>
      </c>
      <c r="K915" s="12" t="s">
        <v>65</v>
      </c>
      <c r="L915" s="17">
        <v>566.0</v>
      </c>
      <c r="M915" s="17">
        <v>3.0</v>
      </c>
      <c r="N915" s="17">
        <v>0.0</v>
      </c>
      <c r="O915" s="17">
        <v>16.5</v>
      </c>
      <c r="P915" s="17">
        <v>2.4</v>
      </c>
      <c r="Q915" s="15">
        <v>45708.0</v>
      </c>
      <c r="R915" s="12"/>
      <c r="S915" s="12" t="s">
        <v>55</v>
      </c>
      <c r="T915" s="12" t="s">
        <v>104</v>
      </c>
      <c r="U915" s="17">
        <f t="shared" si="1"/>
        <v>2</v>
      </c>
    </row>
    <row r="916">
      <c r="A916" s="12" t="s">
        <v>1525</v>
      </c>
      <c r="B916" s="12" t="s">
        <v>336</v>
      </c>
      <c r="C916" s="17">
        <v>55.0</v>
      </c>
      <c r="D916" s="12" t="s">
        <v>35</v>
      </c>
      <c r="E916" s="12" t="s">
        <v>161</v>
      </c>
      <c r="F916" s="12" t="s">
        <v>79</v>
      </c>
      <c r="G916" s="12" t="s">
        <v>63</v>
      </c>
      <c r="H916" s="15">
        <v>44609.0</v>
      </c>
      <c r="I916" s="17">
        <v>9.0</v>
      </c>
      <c r="J916" s="12" t="s">
        <v>40</v>
      </c>
      <c r="K916" s="12" t="s">
        <v>42</v>
      </c>
      <c r="L916" s="17">
        <v>2151.0</v>
      </c>
      <c r="M916" s="17">
        <v>0.0</v>
      </c>
      <c r="N916" s="17">
        <v>0.0</v>
      </c>
      <c r="O916" s="17">
        <v>46.6</v>
      </c>
      <c r="P916" s="17">
        <v>3.1</v>
      </c>
      <c r="Q916" s="15">
        <v>44709.0</v>
      </c>
      <c r="R916" s="12" t="s">
        <v>1526</v>
      </c>
      <c r="S916" s="12" t="s">
        <v>45</v>
      </c>
      <c r="T916" s="12" t="s">
        <v>104</v>
      </c>
      <c r="U916" s="17">
        <f t="shared" si="1"/>
        <v>2</v>
      </c>
    </row>
    <row r="917">
      <c r="A917" s="12" t="s">
        <v>1187</v>
      </c>
      <c r="B917" s="12" t="s">
        <v>325</v>
      </c>
      <c r="C917" s="17">
        <v>22.0</v>
      </c>
      <c r="D917" s="12" t="s">
        <v>35</v>
      </c>
      <c r="E917" s="12" t="s">
        <v>161</v>
      </c>
      <c r="F917" s="12" t="s">
        <v>79</v>
      </c>
      <c r="G917" s="12" t="s">
        <v>80</v>
      </c>
      <c r="H917" s="15">
        <v>44706.0</v>
      </c>
      <c r="I917" s="17">
        <v>10.0</v>
      </c>
      <c r="J917" s="12" t="s">
        <v>64</v>
      </c>
      <c r="K917" s="12" t="s">
        <v>42</v>
      </c>
      <c r="L917" s="17">
        <v>3787.0</v>
      </c>
      <c r="M917" s="17">
        <v>0.0</v>
      </c>
      <c r="N917" s="17">
        <v>0.0</v>
      </c>
      <c r="O917" s="17">
        <v>37.1</v>
      </c>
      <c r="P917" s="17">
        <v>5.0</v>
      </c>
      <c r="Q917" s="15">
        <v>44885.0</v>
      </c>
      <c r="R917" s="12"/>
      <c r="S917" s="12" t="s">
        <v>55</v>
      </c>
      <c r="T917" s="12" t="s">
        <v>47</v>
      </c>
      <c r="U917" s="17">
        <f t="shared" si="1"/>
        <v>2</v>
      </c>
    </row>
    <row r="918">
      <c r="A918" s="12" t="s">
        <v>1514</v>
      </c>
      <c r="B918" s="12" t="s">
        <v>411</v>
      </c>
      <c r="C918" s="17">
        <v>59.0</v>
      </c>
      <c r="D918" s="12" t="s">
        <v>35</v>
      </c>
      <c r="E918" s="12" t="s">
        <v>51</v>
      </c>
      <c r="F918" s="12" t="s">
        <v>62</v>
      </c>
      <c r="G918" s="12" t="s">
        <v>63</v>
      </c>
      <c r="H918" s="15">
        <v>44569.0</v>
      </c>
      <c r="I918" s="17">
        <v>28.0</v>
      </c>
      <c r="J918" s="12" t="s">
        <v>64</v>
      </c>
      <c r="K918" s="12" t="s">
        <v>42</v>
      </c>
      <c r="L918" s="17">
        <v>618.0</v>
      </c>
      <c r="M918" s="17">
        <v>3.0</v>
      </c>
      <c r="N918" s="17">
        <v>1.0</v>
      </c>
      <c r="O918" s="17">
        <v>16.7</v>
      </c>
      <c r="P918" s="17">
        <v>5.0</v>
      </c>
      <c r="Q918" s="15">
        <v>45313.0</v>
      </c>
      <c r="R918" s="12" t="s">
        <v>1527</v>
      </c>
      <c r="S918" s="12" t="s">
        <v>45</v>
      </c>
      <c r="T918" s="12" t="s">
        <v>75</v>
      </c>
      <c r="U918" s="17">
        <f t="shared" si="1"/>
        <v>3</v>
      </c>
    </row>
    <row r="919">
      <c r="A919" s="12" t="s">
        <v>1528</v>
      </c>
      <c r="B919" s="12" t="s">
        <v>336</v>
      </c>
      <c r="C919" s="17">
        <v>31.0</v>
      </c>
      <c r="D919" s="12" t="s">
        <v>85</v>
      </c>
      <c r="E919" s="12" t="s">
        <v>111</v>
      </c>
      <c r="F919" s="12" t="s">
        <v>79</v>
      </c>
      <c r="G919" s="12" t="s">
        <v>52</v>
      </c>
      <c r="H919" s="15">
        <v>45946.0</v>
      </c>
      <c r="I919" s="17">
        <v>38.0</v>
      </c>
      <c r="J919" s="12" t="s">
        <v>53</v>
      </c>
      <c r="K919" s="12" t="s">
        <v>42</v>
      </c>
      <c r="L919" s="17">
        <v>1452.0</v>
      </c>
      <c r="M919" s="17">
        <v>2.0</v>
      </c>
      <c r="N919" s="17">
        <v>3.0</v>
      </c>
      <c r="O919" s="17">
        <v>33.3</v>
      </c>
      <c r="P919" s="17">
        <v>2.7</v>
      </c>
      <c r="Q919" s="12"/>
      <c r="R919" s="12" t="s">
        <v>1529</v>
      </c>
      <c r="S919" s="12" t="s">
        <v>45</v>
      </c>
      <c r="T919" s="12" t="s">
        <v>66</v>
      </c>
      <c r="U919" s="17">
        <f t="shared" si="1"/>
        <v>2</v>
      </c>
    </row>
    <row r="920">
      <c r="A920" s="12" t="s">
        <v>1530</v>
      </c>
      <c r="B920" s="12" t="s">
        <v>232</v>
      </c>
      <c r="C920" s="17">
        <v>57.0</v>
      </c>
      <c r="D920" s="12" t="s">
        <v>69</v>
      </c>
      <c r="E920" s="12" t="s">
        <v>70</v>
      </c>
      <c r="F920" s="12" t="s">
        <v>37</v>
      </c>
      <c r="G920" s="12" t="s">
        <v>63</v>
      </c>
      <c r="H920" s="15">
        <v>44947.0</v>
      </c>
      <c r="I920" s="17">
        <v>12.0</v>
      </c>
      <c r="J920" s="12" t="s">
        <v>53</v>
      </c>
      <c r="K920" s="12" t="s">
        <v>81</v>
      </c>
      <c r="L920" s="17">
        <v>1232.0</v>
      </c>
      <c r="M920" s="17">
        <v>3.0</v>
      </c>
      <c r="N920" s="17">
        <v>0.0</v>
      </c>
      <c r="O920" s="17">
        <v>38.8</v>
      </c>
      <c r="P920" s="17">
        <v>2.3</v>
      </c>
      <c r="Q920" s="15">
        <v>45159.0</v>
      </c>
      <c r="R920" s="12" t="s">
        <v>1073</v>
      </c>
      <c r="S920" s="12" t="s">
        <v>45</v>
      </c>
      <c r="T920" s="12" t="s">
        <v>72</v>
      </c>
      <c r="U920" s="17">
        <f t="shared" si="1"/>
        <v>3</v>
      </c>
    </row>
    <row r="921">
      <c r="A921" s="12" t="s">
        <v>1332</v>
      </c>
      <c r="B921" s="12" t="s">
        <v>303</v>
      </c>
      <c r="C921" s="17">
        <v>23.0</v>
      </c>
      <c r="D921" s="12" t="s">
        <v>85</v>
      </c>
      <c r="E921" s="12" t="s">
        <v>92</v>
      </c>
      <c r="F921" s="12" t="s">
        <v>37</v>
      </c>
      <c r="G921" s="12" t="s">
        <v>52</v>
      </c>
      <c r="H921" s="15">
        <v>45055.0</v>
      </c>
      <c r="I921" s="17">
        <v>34.0</v>
      </c>
      <c r="J921" s="12" t="s">
        <v>53</v>
      </c>
      <c r="K921" s="12" t="s">
        <v>65</v>
      </c>
      <c r="L921" s="17">
        <v>1256.0</v>
      </c>
      <c r="M921" s="17">
        <v>2.0</v>
      </c>
      <c r="N921" s="17">
        <v>0.0</v>
      </c>
      <c r="O921" s="17">
        <v>25.2</v>
      </c>
      <c r="P921" s="17">
        <v>2.5</v>
      </c>
      <c r="Q921" s="15">
        <v>45395.0</v>
      </c>
      <c r="R921" s="12"/>
      <c r="S921" s="12" t="s">
        <v>55</v>
      </c>
      <c r="T921" s="12" t="s">
        <v>104</v>
      </c>
      <c r="U921" s="17">
        <f t="shared" si="1"/>
        <v>2</v>
      </c>
    </row>
    <row r="922">
      <c r="A922" s="12" t="s">
        <v>466</v>
      </c>
      <c r="B922" s="12" t="s">
        <v>91</v>
      </c>
      <c r="C922" s="17">
        <v>55.0</v>
      </c>
      <c r="D922" s="12" t="s">
        <v>85</v>
      </c>
      <c r="E922" s="12" t="s">
        <v>292</v>
      </c>
      <c r="F922" s="12" t="s">
        <v>37</v>
      </c>
      <c r="G922" s="12" t="s">
        <v>52</v>
      </c>
      <c r="H922" s="15">
        <v>45475.0</v>
      </c>
      <c r="I922" s="17">
        <v>1.0</v>
      </c>
      <c r="J922" s="12" t="s">
        <v>64</v>
      </c>
      <c r="K922" s="12" t="s">
        <v>81</v>
      </c>
      <c r="L922" s="17">
        <v>1089.0</v>
      </c>
      <c r="M922" s="17">
        <v>3.0</v>
      </c>
      <c r="N922" s="17">
        <v>2.0</v>
      </c>
      <c r="O922" s="17">
        <v>36.7</v>
      </c>
      <c r="P922" s="17">
        <v>2.4</v>
      </c>
      <c r="Q922" s="15">
        <v>45522.0</v>
      </c>
      <c r="R922" s="12" t="s">
        <v>1531</v>
      </c>
      <c r="S922" s="12" t="s">
        <v>45</v>
      </c>
      <c r="T922" s="12" t="s">
        <v>72</v>
      </c>
      <c r="U922" s="17">
        <f t="shared" si="1"/>
        <v>3</v>
      </c>
    </row>
    <row r="923">
      <c r="A923" s="12" t="s">
        <v>223</v>
      </c>
      <c r="B923" s="12" t="s">
        <v>96</v>
      </c>
      <c r="C923" s="17">
        <v>63.0</v>
      </c>
      <c r="D923" s="12" t="s">
        <v>60</v>
      </c>
      <c r="E923" s="12" t="s">
        <v>133</v>
      </c>
      <c r="F923" s="12" t="s">
        <v>62</v>
      </c>
      <c r="G923" s="12" t="s">
        <v>210</v>
      </c>
      <c r="H923" s="15">
        <v>45563.0</v>
      </c>
      <c r="I923" s="17">
        <v>21.0</v>
      </c>
      <c r="J923" s="12" t="s">
        <v>53</v>
      </c>
      <c r="K923" s="12" t="s">
        <v>65</v>
      </c>
      <c r="L923" s="17">
        <v>880.0</v>
      </c>
      <c r="M923" s="17">
        <v>1.0</v>
      </c>
      <c r="N923" s="17">
        <v>2.0</v>
      </c>
      <c r="O923" s="17">
        <v>2.9</v>
      </c>
      <c r="P923" s="17">
        <v>4.0</v>
      </c>
      <c r="Q923" s="15">
        <v>46174.0</v>
      </c>
      <c r="R923" s="12"/>
      <c r="S923" s="12" t="s">
        <v>55</v>
      </c>
      <c r="T923" s="12" t="s">
        <v>75</v>
      </c>
      <c r="U923" s="17">
        <f t="shared" si="1"/>
        <v>2</v>
      </c>
    </row>
    <row r="924">
      <c r="A924" s="12" t="s">
        <v>1532</v>
      </c>
      <c r="B924" s="12" t="s">
        <v>405</v>
      </c>
      <c r="C924" s="17">
        <v>43.0</v>
      </c>
      <c r="D924" s="12" t="s">
        <v>60</v>
      </c>
      <c r="E924" s="12" t="s">
        <v>133</v>
      </c>
      <c r="F924" s="12" t="s">
        <v>37</v>
      </c>
      <c r="G924" s="12" t="s">
        <v>120</v>
      </c>
      <c r="H924" s="15">
        <v>45488.0</v>
      </c>
      <c r="I924" s="17">
        <v>10.0</v>
      </c>
      <c r="J924" s="12" t="s">
        <v>64</v>
      </c>
      <c r="K924" s="12" t="s">
        <v>805</v>
      </c>
      <c r="L924" s="17">
        <v>1393.0</v>
      </c>
      <c r="M924" s="17">
        <v>2.0</v>
      </c>
      <c r="N924" s="17">
        <v>0.0</v>
      </c>
      <c r="O924" s="17">
        <v>29.7</v>
      </c>
      <c r="P924" s="17">
        <v>3.0</v>
      </c>
      <c r="Q924" s="15">
        <v>45510.0</v>
      </c>
      <c r="R924" s="12"/>
      <c r="S924" s="12" t="s">
        <v>55</v>
      </c>
      <c r="T924" s="12" t="s">
        <v>75</v>
      </c>
      <c r="U924" s="17">
        <f t="shared" si="1"/>
        <v>2</v>
      </c>
    </row>
    <row r="925">
      <c r="A925" s="12" t="s">
        <v>1533</v>
      </c>
      <c r="B925" s="12" t="s">
        <v>118</v>
      </c>
      <c r="C925" s="17">
        <v>28.0</v>
      </c>
      <c r="D925" s="12" t="s">
        <v>35</v>
      </c>
      <c r="E925" s="12" t="s">
        <v>140</v>
      </c>
      <c r="F925" s="12" t="s">
        <v>37</v>
      </c>
      <c r="G925" s="12" t="s">
        <v>52</v>
      </c>
      <c r="H925" s="15">
        <v>44915.0</v>
      </c>
      <c r="I925" s="17">
        <v>10.0</v>
      </c>
      <c r="J925" s="12" t="s">
        <v>53</v>
      </c>
      <c r="K925" s="12" t="s">
        <v>65</v>
      </c>
      <c r="L925" s="17">
        <v>1221.0</v>
      </c>
      <c r="M925" s="17">
        <v>2.0</v>
      </c>
      <c r="N925" s="17">
        <v>0.0</v>
      </c>
      <c r="O925" s="17">
        <v>32.7</v>
      </c>
      <c r="P925" s="17">
        <v>3.1</v>
      </c>
      <c r="Q925" s="15">
        <v>44933.0</v>
      </c>
      <c r="R925" s="12"/>
      <c r="S925" s="12" t="s">
        <v>55</v>
      </c>
      <c r="T925" s="12" t="s">
        <v>47</v>
      </c>
      <c r="U925" s="17">
        <f t="shared" si="1"/>
        <v>1</v>
      </c>
    </row>
    <row r="926">
      <c r="A926" s="12" t="s">
        <v>828</v>
      </c>
      <c r="B926" s="12" t="s">
        <v>393</v>
      </c>
      <c r="C926" s="17">
        <v>29.0</v>
      </c>
      <c r="D926" s="12" t="s">
        <v>85</v>
      </c>
      <c r="E926" s="12" t="s">
        <v>87</v>
      </c>
      <c r="F926" s="12" t="s">
        <v>62</v>
      </c>
      <c r="G926" s="12" t="s">
        <v>93</v>
      </c>
      <c r="H926" s="15">
        <v>45687.0</v>
      </c>
      <c r="I926" s="17">
        <v>18.0</v>
      </c>
      <c r="J926" s="12" t="s">
        <v>53</v>
      </c>
      <c r="K926" s="12" t="s">
        <v>81</v>
      </c>
      <c r="L926" s="17">
        <v>748.0</v>
      </c>
      <c r="M926" s="17">
        <v>2.0</v>
      </c>
      <c r="N926" s="17">
        <v>0.0</v>
      </c>
      <c r="O926" s="17">
        <v>23.5</v>
      </c>
      <c r="P926" s="17">
        <v>3.7</v>
      </c>
      <c r="Q926" s="15">
        <v>46208.0</v>
      </c>
      <c r="R926" s="12"/>
      <c r="S926" s="12" t="s">
        <v>55</v>
      </c>
      <c r="T926" s="12" t="s">
        <v>104</v>
      </c>
      <c r="U926" s="17">
        <f t="shared" si="1"/>
        <v>4</v>
      </c>
    </row>
    <row r="927">
      <c r="A927" s="12" t="s">
        <v>769</v>
      </c>
      <c r="B927" s="12" t="s">
        <v>333</v>
      </c>
      <c r="C927" s="17">
        <v>50.0</v>
      </c>
      <c r="D927" s="12" t="s">
        <v>35</v>
      </c>
      <c r="E927" s="12" t="s">
        <v>36</v>
      </c>
      <c r="F927" s="12" t="s">
        <v>79</v>
      </c>
      <c r="G927" s="12" t="s">
        <v>52</v>
      </c>
      <c r="H927" s="15">
        <v>45538.0</v>
      </c>
      <c r="I927" s="17">
        <v>39.0</v>
      </c>
      <c r="J927" s="12" t="s">
        <v>40</v>
      </c>
      <c r="K927" s="12" t="s">
        <v>65</v>
      </c>
      <c r="L927" s="17">
        <v>3930.0</v>
      </c>
      <c r="M927" s="17">
        <v>5.0</v>
      </c>
      <c r="N927" s="17">
        <v>0.0</v>
      </c>
      <c r="O927" s="17">
        <v>13.4</v>
      </c>
      <c r="P927" s="17">
        <v>4.4</v>
      </c>
      <c r="Q927" s="15">
        <v>46560.0</v>
      </c>
      <c r="R927" s="12"/>
      <c r="S927" s="12" t="s">
        <v>55</v>
      </c>
      <c r="T927" s="12" t="s">
        <v>47</v>
      </c>
      <c r="U927" s="17">
        <f t="shared" si="1"/>
        <v>2</v>
      </c>
    </row>
    <row r="928">
      <c r="A928" s="12" t="s">
        <v>1534</v>
      </c>
      <c r="B928" s="12" t="s">
        <v>229</v>
      </c>
      <c r="C928" s="17">
        <v>23.0</v>
      </c>
      <c r="D928" s="12" t="s">
        <v>60</v>
      </c>
      <c r="E928" s="12" t="s">
        <v>133</v>
      </c>
      <c r="F928" s="12" t="s">
        <v>413</v>
      </c>
      <c r="G928" s="12" t="s">
        <v>80</v>
      </c>
      <c r="H928" s="15">
        <v>44827.0</v>
      </c>
      <c r="I928" s="17">
        <v>34.0</v>
      </c>
      <c r="J928" s="12" t="s">
        <v>40</v>
      </c>
      <c r="K928" s="12" t="s">
        <v>65</v>
      </c>
      <c r="L928" s="17">
        <v>1381.0</v>
      </c>
      <c r="M928" s="17">
        <v>1.0</v>
      </c>
      <c r="N928" s="17">
        <v>0.0</v>
      </c>
      <c r="O928" s="17">
        <v>21.8</v>
      </c>
      <c r="P928" s="17">
        <v>2.1</v>
      </c>
      <c r="Q928" s="15">
        <v>45099.0</v>
      </c>
      <c r="R928" s="12"/>
      <c r="S928" s="12" t="s">
        <v>55</v>
      </c>
      <c r="T928" s="12" t="s">
        <v>72</v>
      </c>
      <c r="U928" s="17">
        <f t="shared" si="1"/>
        <v>1</v>
      </c>
    </row>
    <row r="929">
      <c r="A929" s="12" t="s">
        <v>1535</v>
      </c>
      <c r="B929" s="12" t="s">
        <v>448</v>
      </c>
      <c r="C929" s="17">
        <v>63.0</v>
      </c>
      <c r="D929" s="12" t="s">
        <v>69</v>
      </c>
      <c r="E929" s="12" t="s">
        <v>187</v>
      </c>
      <c r="F929" s="12" t="s">
        <v>79</v>
      </c>
      <c r="G929" s="12" t="s">
        <v>52</v>
      </c>
      <c r="H929" s="15">
        <v>45040.0</v>
      </c>
      <c r="I929" s="17">
        <v>21.0</v>
      </c>
      <c r="J929" s="12" t="s">
        <v>40</v>
      </c>
      <c r="K929" s="12" t="s">
        <v>326</v>
      </c>
      <c r="L929" s="17">
        <v>3135.0</v>
      </c>
      <c r="M929" s="17">
        <v>0.0</v>
      </c>
      <c r="N929" s="17">
        <v>0.0</v>
      </c>
      <c r="O929" s="17">
        <v>27.5</v>
      </c>
      <c r="P929" s="17">
        <v>4.4</v>
      </c>
      <c r="Q929" s="15">
        <v>45398.0</v>
      </c>
      <c r="R929" s="12"/>
      <c r="S929" s="12" t="s">
        <v>55</v>
      </c>
      <c r="T929" s="12" t="s">
        <v>72</v>
      </c>
      <c r="U929" s="17">
        <f t="shared" si="1"/>
        <v>1</v>
      </c>
    </row>
    <row r="930">
      <c r="A930" s="12" t="s">
        <v>1536</v>
      </c>
      <c r="B930" s="12" t="s">
        <v>206</v>
      </c>
      <c r="C930" s="17">
        <v>58.0</v>
      </c>
      <c r="D930" s="12" t="s">
        <v>69</v>
      </c>
      <c r="E930" s="12" t="s">
        <v>187</v>
      </c>
      <c r="F930" s="12" t="s">
        <v>37</v>
      </c>
      <c r="G930" s="12" t="s">
        <v>39</v>
      </c>
      <c r="H930" s="15">
        <v>45562.0</v>
      </c>
      <c r="I930" s="17">
        <v>37.0</v>
      </c>
      <c r="J930" s="12" t="s">
        <v>53</v>
      </c>
      <c r="K930" s="12" t="s">
        <v>42</v>
      </c>
      <c r="L930" s="17">
        <v>1319.0</v>
      </c>
      <c r="M930" s="17">
        <v>3.0</v>
      </c>
      <c r="N930" s="17">
        <v>0.0</v>
      </c>
      <c r="O930" s="17">
        <v>31.3</v>
      </c>
      <c r="P930" s="17">
        <v>4.0</v>
      </c>
      <c r="Q930" s="15">
        <v>45767.0</v>
      </c>
      <c r="R930" s="12"/>
      <c r="S930" s="12" t="s">
        <v>55</v>
      </c>
      <c r="T930" s="12" t="s">
        <v>66</v>
      </c>
      <c r="U930" s="17">
        <f t="shared" si="1"/>
        <v>1</v>
      </c>
    </row>
    <row r="931">
      <c r="A931" s="12" t="s">
        <v>1537</v>
      </c>
      <c r="B931" s="12" t="s">
        <v>362</v>
      </c>
      <c r="C931" s="17">
        <v>59.0</v>
      </c>
      <c r="D931" s="12" t="s">
        <v>85</v>
      </c>
      <c r="E931" s="12" t="s">
        <v>92</v>
      </c>
      <c r="F931" s="12" t="s">
        <v>62</v>
      </c>
      <c r="G931" s="12" t="s">
        <v>120</v>
      </c>
      <c r="H931" s="15">
        <v>44957.0</v>
      </c>
      <c r="I931" s="17">
        <v>18.0</v>
      </c>
      <c r="J931" s="12" t="s">
        <v>40</v>
      </c>
      <c r="K931" s="12" t="s">
        <v>65</v>
      </c>
      <c r="L931" s="17">
        <v>685.0</v>
      </c>
      <c r="M931" s="17">
        <v>3.0</v>
      </c>
      <c r="N931" s="17">
        <v>1.0</v>
      </c>
      <c r="O931" s="17">
        <v>11.2</v>
      </c>
      <c r="P931" s="17">
        <v>3.2</v>
      </c>
      <c r="Q931" s="15">
        <v>45452.0</v>
      </c>
      <c r="R931" s="12"/>
      <c r="S931" s="12" t="s">
        <v>55</v>
      </c>
      <c r="T931" s="12" t="s">
        <v>72</v>
      </c>
      <c r="U931" s="17">
        <f t="shared" si="1"/>
        <v>3</v>
      </c>
    </row>
    <row r="932">
      <c r="A932" s="12" t="s">
        <v>245</v>
      </c>
      <c r="B932" s="12" t="s">
        <v>340</v>
      </c>
      <c r="C932" s="17">
        <v>37.0</v>
      </c>
      <c r="D932" s="12" t="s">
        <v>85</v>
      </c>
      <c r="E932" s="12" t="s">
        <v>111</v>
      </c>
      <c r="F932" s="12" t="s">
        <v>37</v>
      </c>
      <c r="G932" s="12" t="s">
        <v>210</v>
      </c>
      <c r="H932" s="15">
        <v>45554.0</v>
      </c>
      <c r="I932" s="17">
        <v>21.0</v>
      </c>
      <c r="J932" s="12" t="s">
        <v>64</v>
      </c>
      <c r="K932" s="12" t="s">
        <v>42</v>
      </c>
      <c r="L932" s="17">
        <v>1203.0</v>
      </c>
      <c r="M932" s="17">
        <v>1.0</v>
      </c>
      <c r="N932" s="17">
        <v>1.0</v>
      </c>
      <c r="O932" s="17">
        <v>30.6</v>
      </c>
      <c r="P932" s="17">
        <v>2.4</v>
      </c>
      <c r="Q932" s="15">
        <v>45756.0</v>
      </c>
      <c r="R932" s="12"/>
      <c r="S932" s="12" t="s">
        <v>55</v>
      </c>
      <c r="T932" s="12" t="s">
        <v>47</v>
      </c>
      <c r="U932" s="17">
        <f t="shared" si="1"/>
        <v>4</v>
      </c>
    </row>
    <row r="933">
      <c r="A933" s="12" t="s">
        <v>1538</v>
      </c>
      <c r="B933" s="12" t="s">
        <v>202</v>
      </c>
      <c r="C933" s="17">
        <v>24.0</v>
      </c>
      <c r="D933" s="12" t="s">
        <v>60</v>
      </c>
      <c r="E933" s="12" t="s">
        <v>97</v>
      </c>
      <c r="F933" s="12" t="s">
        <v>37</v>
      </c>
      <c r="G933" s="12" t="s">
        <v>120</v>
      </c>
      <c r="H933" s="15">
        <v>45996.0</v>
      </c>
      <c r="I933" s="17">
        <v>1.0</v>
      </c>
      <c r="J933" s="12" t="s">
        <v>53</v>
      </c>
      <c r="K933" s="12" t="s">
        <v>65</v>
      </c>
      <c r="L933" s="17">
        <v>1146.0</v>
      </c>
      <c r="M933" s="17">
        <v>1.0</v>
      </c>
      <c r="N933" s="17">
        <v>1.0</v>
      </c>
      <c r="O933" s="17">
        <v>35.8</v>
      </c>
      <c r="P933" s="17">
        <v>5.0</v>
      </c>
      <c r="Q933" s="15">
        <v>46007.0</v>
      </c>
      <c r="R933" s="12"/>
      <c r="S933" s="12" t="s">
        <v>55</v>
      </c>
      <c r="T933" s="12" t="s">
        <v>47</v>
      </c>
      <c r="U933" s="17">
        <f t="shared" si="1"/>
        <v>2</v>
      </c>
    </row>
    <row r="934">
      <c r="A934" s="12" t="s">
        <v>438</v>
      </c>
      <c r="B934" s="12" t="s">
        <v>241</v>
      </c>
      <c r="C934" s="17">
        <v>29.0</v>
      </c>
      <c r="D934" s="12" t="s">
        <v>85</v>
      </c>
      <c r="E934" s="12" t="s">
        <v>111</v>
      </c>
      <c r="F934" s="12" t="s">
        <v>497</v>
      </c>
      <c r="G934" s="12" t="s">
        <v>93</v>
      </c>
      <c r="H934" s="15">
        <v>45205.0</v>
      </c>
      <c r="I934" s="17">
        <v>7.0</v>
      </c>
      <c r="J934" s="12" t="s">
        <v>64</v>
      </c>
      <c r="K934" s="12" t="s">
        <v>42</v>
      </c>
      <c r="L934" s="17">
        <v>1281.0</v>
      </c>
      <c r="M934" s="17">
        <v>2.0</v>
      </c>
      <c r="N934" s="17">
        <v>0.0</v>
      </c>
      <c r="O934" s="17">
        <v>27.7</v>
      </c>
      <c r="P934" s="17">
        <v>4.3</v>
      </c>
      <c r="Q934" s="15">
        <v>45395.0</v>
      </c>
      <c r="R934" s="12" t="s">
        <v>1539</v>
      </c>
      <c r="S934" s="12" t="s">
        <v>45</v>
      </c>
      <c r="T934" s="12" t="s">
        <v>72</v>
      </c>
      <c r="U934" s="17">
        <f t="shared" si="1"/>
        <v>3</v>
      </c>
    </row>
    <row r="935">
      <c r="A935" s="12" t="s">
        <v>1157</v>
      </c>
      <c r="B935" s="12" t="s">
        <v>411</v>
      </c>
      <c r="C935" s="17">
        <v>44.0</v>
      </c>
      <c r="D935" s="12" t="s">
        <v>35</v>
      </c>
      <c r="E935" s="12" t="s">
        <v>36</v>
      </c>
      <c r="F935" s="12" t="s">
        <v>79</v>
      </c>
      <c r="G935" s="12" t="s">
        <v>80</v>
      </c>
      <c r="H935" s="15">
        <v>45539.0</v>
      </c>
      <c r="I935" s="17">
        <v>24.0</v>
      </c>
      <c r="J935" s="12" t="s">
        <v>40</v>
      </c>
      <c r="K935" s="12" t="s">
        <v>65</v>
      </c>
      <c r="L935" s="17">
        <v>3125.0</v>
      </c>
      <c r="M935" s="17">
        <v>1.0</v>
      </c>
      <c r="N935" s="17">
        <v>2.0</v>
      </c>
      <c r="O935" s="17">
        <v>40.3</v>
      </c>
      <c r="P935" s="17">
        <v>3.9</v>
      </c>
      <c r="Q935" s="15">
        <v>45575.0</v>
      </c>
      <c r="R935" s="12"/>
      <c r="S935" s="12" t="s">
        <v>55</v>
      </c>
      <c r="T935" s="12" t="s">
        <v>66</v>
      </c>
      <c r="U935" s="17">
        <f t="shared" si="1"/>
        <v>3</v>
      </c>
    </row>
    <row r="936">
      <c r="A936" s="12" t="s">
        <v>909</v>
      </c>
      <c r="B936" s="12" t="s">
        <v>235</v>
      </c>
      <c r="C936" s="17">
        <v>23.0</v>
      </c>
      <c r="D936" s="12" t="s">
        <v>35</v>
      </c>
      <c r="E936" s="12" t="s">
        <v>161</v>
      </c>
      <c r="F936" s="12" t="s">
        <v>62</v>
      </c>
      <c r="G936" s="12" t="s">
        <v>93</v>
      </c>
      <c r="H936" s="15">
        <v>45726.0</v>
      </c>
      <c r="I936" s="17">
        <v>3.0</v>
      </c>
      <c r="J936" s="12" t="s">
        <v>40</v>
      </c>
      <c r="K936" s="12" t="s">
        <v>42</v>
      </c>
      <c r="L936" s="17">
        <v>527.0</v>
      </c>
      <c r="M936" s="17">
        <v>0.0</v>
      </c>
      <c r="N936" s="17">
        <v>1.0</v>
      </c>
      <c r="O936" s="17">
        <v>21.3</v>
      </c>
      <c r="P936" s="17">
        <v>3.4</v>
      </c>
      <c r="Q936" s="15">
        <v>45827.0</v>
      </c>
      <c r="R936" s="12" t="s">
        <v>1540</v>
      </c>
      <c r="S936" s="12" t="s">
        <v>45</v>
      </c>
      <c r="T936" s="12" t="s">
        <v>104</v>
      </c>
      <c r="U936" s="17">
        <f t="shared" si="1"/>
        <v>4</v>
      </c>
    </row>
    <row r="937">
      <c r="A937" s="12" t="s">
        <v>666</v>
      </c>
      <c r="B937" s="12" t="s">
        <v>308</v>
      </c>
      <c r="C937" s="17">
        <v>52.0</v>
      </c>
      <c r="D937" s="12" t="s">
        <v>69</v>
      </c>
      <c r="E937" s="12" t="s">
        <v>187</v>
      </c>
      <c r="F937" s="12" t="s">
        <v>62</v>
      </c>
      <c r="G937" s="12" t="s">
        <v>210</v>
      </c>
      <c r="H937" s="15">
        <v>45293.0</v>
      </c>
      <c r="I937" s="17">
        <v>22.0</v>
      </c>
      <c r="J937" s="12" t="s">
        <v>53</v>
      </c>
      <c r="K937" s="12" t="s">
        <v>81</v>
      </c>
      <c r="L937" s="17">
        <v>674.0</v>
      </c>
      <c r="M937" s="17">
        <v>3.0</v>
      </c>
      <c r="N937" s="17">
        <v>2.0</v>
      </c>
      <c r="O937" s="17">
        <v>16.5</v>
      </c>
      <c r="P937" s="17">
        <v>3.7</v>
      </c>
      <c r="Q937" s="15">
        <v>45807.0</v>
      </c>
      <c r="R937" s="12"/>
      <c r="S937" s="12" t="s">
        <v>55</v>
      </c>
      <c r="T937" s="12" t="s">
        <v>75</v>
      </c>
      <c r="U937" s="17">
        <f t="shared" si="1"/>
        <v>3</v>
      </c>
    </row>
    <row r="938">
      <c r="A938" s="12" t="s">
        <v>862</v>
      </c>
      <c r="B938" s="12" t="s">
        <v>179</v>
      </c>
      <c r="C938" s="17">
        <v>22.0</v>
      </c>
      <c r="D938" s="12" t="s">
        <v>69</v>
      </c>
      <c r="E938" s="12" t="s">
        <v>70</v>
      </c>
      <c r="F938" s="12" t="s">
        <v>192</v>
      </c>
      <c r="G938" s="12" t="s">
        <v>120</v>
      </c>
      <c r="H938" s="15">
        <v>44887.0</v>
      </c>
      <c r="I938" s="17">
        <v>8.0</v>
      </c>
      <c r="J938" s="12" t="s">
        <v>64</v>
      </c>
      <c r="K938" s="12" t="s">
        <v>81</v>
      </c>
      <c r="L938" s="17">
        <v>1231.0</v>
      </c>
      <c r="M938" s="17">
        <v>2.0</v>
      </c>
      <c r="N938" s="17">
        <v>1.0</v>
      </c>
      <c r="O938" s="17">
        <v>32.2</v>
      </c>
      <c r="P938" s="17">
        <v>3.6</v>
      </c>
      <c r="Q938" s="15">
        <v>44911.0</v>
      </c>
      <c r="R938" s="12" t="s">
        <v>1541</v>
      </c>
      <c r="S938" s="12" t="s">
        <v>45</v>
      </c>
      <c r="T938" s="12" t="s">
        <v>47</v>
      </c>
      <c r="U938" s="17">
        <f t="shared" si="1"/>
        <v>6</v>
      </c>
    </row>
    <row r="939">
      <c r="A939" s="12" t="s">
        <v>318</v>
      </c>
      <c r="B939" s="12" t="s">
        <v>331</v>
      </c>
      <c r="C939" s="17">
        <v>50.0</v>
      </c>
      <c r="D939" s="12" t="s">
        <v>35</v>
      </c>
      <c r="E939" s="12" t="s">
        <v>36</v>
      </c>
      <c r="F939" s="12" t="s">
        <v>62</v>
      </c>
      <c r="G939" s="12" t="s">
        <v>39</v>
      </c>
      <c r="H939" s="15">
        <v>44874.0</v>
      </c>
      <c r="I939" s="17">
        <v>9.0</v>
      </c>
      <c r="J939" s="12" t="s">
        <v>40</v>
      </c>
      <c r="K939" s="12" t="s">
        <v>81</v>
      </c>
      <c r="L939" s="17">
        <v>664.0</v>
      </c>
      <c r="M939" s="17">
        <v>1.0</v>
      </c>
      <c r="N939" s="17">
        <v>0.0</v>
      </c>
      <c r="O939" s="17">
        <v>15.0</v>
      </c>
      <c r="P939" s="17">
        <v>5.0</v>
      </c>
      <c r="Q939" s="15">
        <v>45086.0</v>
      </c>
      <c r="R939" s="12"/>
      <c r="S939" s="12" t="s">
        <v>55</v>
      </c>
      <c r="T939" s="12" t="s">
        <v>75</v>
      </c>
      <c r="U939" s="17">
        <f t="shared" si="1"/>
        <v>3</v>
      </c>
    </row>
    <row r="940">
      <c r="A940" s="12" t="s">
        <v>1542</v>
      </c>
      <c r="B940" s="12" t="s">
        <v>448</v>
      </c>
      <c r="C940" s="17">
        <v>51.0</v>
      </c>
      <c r="D940" s="12" t="s">
        <v>658</v>
      </c>
      <c r="E940" s="12" t="s">
        <v>36</v>
      </c>
      <c r="F940" s="12" t="s">
        <v>62</v>
      </c>
      <c r="G940" s="12" t="s">
        <v>63</v>
      </c>
      <c r="H940" s="15">
        <v>44989.0</v>
      </c>
      <c r="I940" s="17">
        <v>15.0</v>
      </c>
      <c r="J940" s="12" t="s">
        <v>40</v>
      </c>
      <c r="K940" s="12" t="s">
        <v>65</v>
      </c>
      <c r="L940" s="12" t="s">
        <v>1543</v>
      </c>
      <c r="M940" s="17">
        <v>4.0</v>
      </c>
      <c r="N940" s="17">
        <v>0.0</v>
      </c>
      <c r="O940" s="17">
        <v>27.7</v>
      </c>
      <c r="P940" s="17">
        <v>1.7</v>
      </c>
      <c r="Q940" s="15">
        <v>45040.0</v>
      </c>
      <c r="R940" s="12"/>
      <c r="S940" s="12" t="s">
        <v>55</v>
      </c>
      <c r="T940" s="12" t="s">
        <v>47</v>
      </c>
      <c r="U940" s="17">
        <f t="shared" si="1"/>
        <v>2</v>
      </c>
    </row>
    <row r="941">
      <c r="A941" s="12" t="s">
        <v>1544</v>
      </c>
      <c r="B941" s="12" t="s">
        <v>312</v>
      </c>
      <c r="C941" s="17">
        <v>39.0</v>
      </c>
      <c r="D941" s="12" t="s">
        <v>35</v>
      </c>
      <c r="E941" s="12" t="s">
        <v>161</v>
      </c>
      <c r="F941" s="12" t="s">
        <v>62</v>
      </c>
      <c r="G941" s="12" t="s">
        <v>210</v>
      </c>
      <c r="H941" s="15">
        <v>45608.0</v>
      </c>
      <c r="I941" s="17">
        <v>25.0</v>
      </c>
      <c r="J941" s="12" t="s">
        <v>53</v>
      </c>
      <c r="K941" s="12" t="s">
        <v>65</v>
      </c>
      <c r="L941" s="17">
        <v>602.0</v>
      </c>
      <c r="M941" s="17">
        <v>3.0</v>
      </c>
      <c r="N941" s="17">
        <v>1.0</v>
      </c>
      <c r="O941" s="17">
        <v>23.9</v>
      </c>
      <c r="P941" s="17">
        <v>3.8</v>
      </c>
      <c r="Q941" s="15">
        <v>45880.0</v>
      </c>
      <c r="R941" s="12"/>
      <c r="S941" s="12" t="s">
        <v>55</v>
      </c>
      <c r="T941" s="12" t="s">
        <v>104</v>
      </c>
      <c r="U941" s="17">
        <f t="shared" si="1"/>
        <v>1</v>
      </c>
    </row>
    <row r="942">
      <c r="A942" s="12" t="s">
        <v>1545</v>
      </c>
      <c r="B942" s="12" t="s">
        <v>202</v>
      </c>
      <c r="C942" s="17">
        <v>25.0</v>
      </c>
      <c r="D942" s="12" t="s">
        <v>60</v>
      </c>
      <c r="E942" s="12" t="s">
        <v>133</v>
      </c>
      <c r="F942" s="12" t="s">
        <v>62</v>
      </c>
      <c r="G942" s="12" t="s">
        <v>80</v>
      </c>
      <c r="H942" s="15">
        <v>45896.0</v>
      </c>
      <c r="I942" s="17">
        <v>43.0</v>
      </c>
      <c r="J942" s="12" t="s">
        <v>64</v>
      </c>
      <c r="K942" s="12" t="s">
        <v>42</v>
      </c>
      <c r="L942" s="12" t="s">
        <v>1546</v>
      </c>
      <c r="M942" s="17">
        <v>0.0</v>
      </c>
      <c r="N942" s="17">
        <v>2.0</v>
      </c>
      <c r="O942" s="17">
        <v>11.7</v>
      </c>
      <c r="P942" s="17">
        <v>3.0</v>
      </c>
      <c r="Q942" s="15">
        <v>46136.0</v>
      </c>
      <c r="R942" s="12"/>
      <c r="S942" s="12" t="s">
        <v>55</v>
      </c>
      <c r="T942" s="12" t="s">
        <v>47</v>
      </c>
      <c r="U942" s="17">
        <f t="shared" si="1"/>
        <v>1</v>
      </c>
    </row>
    <row r="943">
      <c r="A943" s="12" t="s">
        <v>1547</v>
      </c>
      <c r="B943" s="12" t="s">
        <v>250</v>
      </c>
      <c r="C943" s="17">
        <v>51.0</v>
      </c>
      <c r="D943" s="12" t="s">
        <v>60</v>
      </c>
      <c r="E943" s="12" t="s">
        <v>97</v>
      </c>
      <c r="F943" s="12" t="s">
        <v>79</v>
      </c>
      <c r="G943" s="12" t="s">
        <v>93</v>
      </c>
      <c r="H943" s="15">
        <v>45183.0</v>
      </c>
      <c r="I943" s="17">
        <v>24.0</v>
      </c>
      <c r="J943" s="12" t="s">
        <v>40</v>
      </c>
      <c r="K943" s="12" t="s">
        <v>65</v>
      </c>
      <c r="L943" s="17">
        <v>2469.0</v>
      </c>
      <c r="M943" s="17">
        <v>1.0</v>
      </c>
      <c r="N943" s="12"/>
      <c r="O943" s="17">
        <v>36.0</v>
      </c>
      <c r="P943" s="17">
        <v>4.3</v>
      </c>
      <c r="Q943" s="15">
        <v>45773.0</v>
      </c>
      <c r="R943" s="12"/>
      <c r="S943" s="12" t="s">
        <v>55</v>
      </c>
      <c r="T943" s="12" t="s">
        <v>104</v>
      </c>
      <c r="U943" s="17">
        <f t="shared" si="1"/>
        <v>1</v>
      </c>
    </row>
    <row r="944">
      <c r="A944" s="12" t="s">
        <v>1548</v>
      </c>
      <c r="B944" s="12" t="s">
        <v>110</v>
      </c>
      <c r="C944" s="17">
        <v>54.0</v>
      </c>
      <c r="D944" s="12" t="s">
        <v>69</v>
      </c>
      <c r="E944" s="12" t="s">
        <v>177</v>
      </c>
      <c r="F944" s="12" t="s">
        <v>62</v>
      </c>
      <c r="G944" s="12" t="s">
        <v>52</v>
      </c>
      <c r="H944" s="15">
        <v>45357.0</v>
      </c>
      <c r="I944" s="17">
        <v>47.0</v>
      </c>
      <c r="J944" s="12" t="s">
        <v>64</v>
      </c>
      <c r="K944" s="12" t="s">
        <v>65</v>
      </c>
      <c r="L944" s="17">
        <v>699.0</v>
      </c>
      <c r="M944" s="17">
        <v>1.0</v>
      </c>
      <c r="N944" s="17">
        <v>1.0</v>
      </c>
      <c r="O944" s="17">
        <v>22.0</v>
      </c>
      <c r="P944" s="17">
        <v>4.3</v>
      </c>
      <c r="Q944" s="15">
        <v>45705.0</v>
      </c>
      <c r="R944" s="12"/>
      <c r="S944" s="12" t="s">
        <v>55</v>
      </c>
      <c r="T944" s="12" t="s">
        <v>47</v>
      </c>
      <c r="U944" s="17">
        <f t="shared" si="1"/>
        <v>2</v>
      </c>
    </row>
    <row r="945">
      <c r="A945" s="12" t="s">
        <v>1550</v>
      </c>
      <c r="B945" s="12" t="s">
        <v>605</v>
      </c>
      <c r="C945" s="17">
        <v>25.0</v>
      </c>
      <c r="D945" s="12" t="s">
        <v>35</v>
      </c>
      <c r="E945" s="12" t="s">
        <v>36</v>
      </c>
      <c r="F945" s="12" t="s">
        <v>79</v>
      </c>
      <c r="G945" s="12" t="s">
        <v>80</v>
      </c>
      <c r="H945" s="15">
        <v>44664.0</v>
      </c>
      <c r="I945" s="17">
        <v>1.0</v>
      </c>
      <c r="J945" s="12" t="s">
        <v>40</v>
      </c>
      <c r="K945" s="12" t="s">
        <v>65</v>
      </c>
      <c r="L945" s="17">
        <v>2910.0</v>
      </c>
      <c r="M945" s="17">
        <v>2.0</v>
      </c>
      <c r="N945" s="17">
        <v>0.0</v>
      </c>
      <c r="O945" s="17">
        <v>32.0</v>
      </c>
      <c r="P945" s="17">
        <v>3.1</v>
      </c>
      <c r="Q945" s="15">
        <v>44698.0</v>
      </c>
      <c r="R945" s="12" t="s">
        <v>1551</v>
      </c>
      <c r="S945" s="12" t="s">
        <v>45</v>
      </c>
      <c r="T945" s="12" t="s">
        <v>47</v>
      </c>
      <c r="U945" s="17">
        <f t="shared" si="1"/>
        <v>1</v>
      </c>
    </row>
    <row r="946">
      <c r="A946" s="12" t="s">
        <v>1552</v>
      </c>
      <c r="B946" s="12" t="s">
        <v>736</v>
      </c>
      <c r="C946" s="17">
        <v>28.0</v>
      </c>
      <c r="D946" s="12" t="s">
        <v>69</v>
      </c>
      <c r="E946" s="12" t="s">
        <v>119</v>
      </c>
      <c r="F946" s="12" t="s">
        <v>37</v>
      </c>
      <c r="G946" s="12" t="s">
        <v>210</v>
      </c>
      <c r="H946" s="15">
        <v>44717.0</v>
      </c>
      <c r="I946" s="17">
        <v>18.0</v>
      </c>
      <c r="J946" s="12" t="s">
        <v>53</v>
      </c>
      <c r="K946" s="12" t="s">
        <v>81</v>
      </c>
      <c r="L946" s="17">
        <v>1303.0</v>
      </c>
      <c r="M946" s="17">
        <v>1.0</v>
      </c>
      <c r="N946" s="17">
        <v>0.0</v>
      </c>
      <c r="O946" s="17">
        <v>36.9</v>
      </c>
      <c r="P946" s="17">
        <v>3.7</v>
      </c>
      <c r="Q946" s="15">
        <v>44762.0</v>
      </c>
      <c r="R946" s="12"/>
      <c r="S946" s="12" t="s">
        <v>55</v>
      </c>
      <c r="T946" s="12" t="s">
        <v>47</v>
      </c>
      <c r="U946" s="17">
        <f t="shared" si="1"/>
        <v>3</v>
      </c>
    </row>
    <row r="947">
      <c r="A947" s="12" t="s">
        <v>1553</v>
      </c>
      <c r="B947" s="12" t="s">
        <v>152</v>
      </c>
      <c r="C947" s="17">
        <v>63.0</v>
      </c>
      <c r="D947" s="12" t="s">
        <v>35</v>
      </c>
      <c r="E947" s="12" t="s">
        <v>140</v>
      </c>
      <c r="F947" s="12" t="s">
        <v>62</v>
      </c>
      <c r="G947" s="12" t="s">
        <v>63</v>
      </c>
      <c r="H947" s="15">
        <v>44738.0</v>
      </c>
      <c r="I947" s="17">
        <v>47.0</v>
      </c>
      <c r="J947" s="12" t="s">
        <v>64</v>
      </c>
      <c r="K947" s="12" t="s">
        <v>65</v>
      </c>
      <c r="L947" s="12"/>
      <c r="M947" s="17">
        <v>5.0</v>
      </c>
      <c r="N947" s="17">
        <v>2.0</v>
      </c>
      <c r="O947" s="17">
        <v>20.6</v>
      </c>
      <c r="P947" s="17">
        <v>5.0</v>
      </c>
      <c r="Q947" s="15">
        <v>45307.0</v>
      </c>
      <c r="R947" s="12"/>
      <c r="S947" s="12" t="s">
        <v>55</v>
      </c>
      <c r="T947" s="12" t="s">
        <v>104</v>
      </c>
      <c r="U947" s="17">
        <f t="shared" si="1"/>
        <v>2</v>
      </c>
    </row>
    <row r="948">
      <c r="A948" s="12" t="s">
        <v>1554</v>
      </c>
      <c r="B948" s="12" t="s">
        <v>132</v>
      </c>
      <c r="C948" s="17">
        <v>61.0</v>
      </c>
      <c r="D948" s="12" t="s">
        <v>267</v>
      </c>
      <c r="E948" s="12" t="s">
        <v>187</v>
      </c>
      <c r="F948" s="12" t="s">
        <v>62</v>
      </c>
      <c r="G948" s="12" t="s">
        <v>52</v>
      </c>
      <c r="H948" s="15">
        <v>45334.0</v>
      </c>
      <c r="I948" s="17">
        <v>2.0</v>
      </c>
      <c r="J948" s="12" t="s">
        <v>40</v>
      </c>
      <c r="K948" s="12" t="s">
        <v>65</v>
      </c>
      <c r="L948" s="17">
        <v>720.0</v>
      </c>
      <c r="M948" s="17">
        <v>3.0</v>
      </c>
      <c r="N948" s="17">
        <v>0.0</v>
      </c>
      <c r="O948" s="17">
        <v>8.1</v>
      </c>
      <c r="P948" s="17">
        <v>4.6</v>
      </c>
      <c r="Q948" s="15">
        <v>45366.0</v>
      </c>
      <c r="R948" s="12"/>
      <c r="S948" s="12" t="s">
        <v>55</v>
      </c>
      <c r="T948" s="12" t="s">
        <v>72</v>
      </c>
      <c r="U948" s="17">
        <f t="shared" si="1"/>
        <v>2</v>
      </c>
    </row>
    <row r="949">
      <c r="A949" s="12" t="s">
        <v>1555</v>
      </c>
      <c r="B949" s="12" t="s">
        <v>202</v>
      </c>
      <c r="C949" s="17">
        <v>54.0</v>
      </c>
      <c r="D949" s="12" t="s">
        <v>85</v>
      </c>
      <c r="E949" s="12" t="s">
        <v>111</v>
      </c>
      <c r="F949" s="12" t="s">
        <v>37</v>
      </c>
      <c r="G949" s="12" t="s">
        <v>63</v>
      </c>
      <c r="H949" s="15">
        <v>45936.0</v>
      </c>
      <c r="I949" s="17">
        <v>18.0</v>
      </c>
      <c r="J949" s="12" t="s">
        <v>64</v>
      </c>
      <c r="K949" s="12" t="s">
        <v>65</v>
      </c>
      <c r="L949" s="17">
        <v>1239.0</v>
      </c>
      <c r="M949" s="17">
        <v>3.0</v>
      </c>
      <c r="N949" s="17">
        <v>0.0</v>
      </c>
      <c r="O949" s="17">
        <v>41.6</v>
      </c>
      <c r="P949" s="17">
        <v>1.6</v>
      </c>
      <c r="Q949" s="15">
        <v>46404.0</v>
      </c>
      <c r="R949" s="12" t="s">
        <v>1556</v>
      </c>
      <c r="S949" s="12" t="s">
        <v>45</v>
      </c>
      <c r="T949" s="12" t="s">
        <v>47</v>
      </c>
      <c r="U949" s="17">
        <f t="shared" si="1"/>
        <v>2</v>
      </c>
    </row>
    <row r="950">
      <c r="A950" s="12" t="s">
        <v>989</v>
      </c>
      <c r="B950" s="12" t="s">
        <v>145</v>
      </c>
      <c r="C950" s="17">
        <v>39.0</v>
      </c>
      <c r="D950" s="12" t="s">
        <v>35</v>
      </c>
      <c r="E950" s="12" t="s">
        <v>161</v>
      </c>
      <c r="F950" s="12" t="s">
        <v>62</v>
      </c>
      <c r="G950" s="12" t="s">
        <v>630</v>
      </c>
      <c r="H950" s="15">
        <v>45314.0</v>
      </c>
      <c r="I950" s="17">
        <v>30.0</v>
      </c>
      <c r="J950" s="12" t="s">
        <v>64</v>
      </c>
      <c r="K950" s="12" t="s">
        <v>81</v>
      </c>
      <c r="L950" s="17">
        <v>777.0</v>
      </c>
      <c r="M950" s="17">
        <v>1.0</v>
      </c>
      <c r="N950" s="17">
        <v>0.0</v>
      </c>
      <c r="O950" s="17">
        <v>16.6</v>
      </c>
      <c r="P950" s="17">
        <v>4.3</v>
      </c>
      <c r="Q950" s="15">
        <v>45998.0</v>
      </c>
      <c r="R950" s="12" t="s">
        <v>1557</v>
      </c>
      <c r="S950" s="12" t="s">
        <v>45</v>
      </c>
      <c r="T950" s="12" t="s">
        <v>72</v>
      </c>
      <c r="U950" s="17">
        <f t="shared" si="1"/>
        <v>3</v>
      </c>
    </row>
    <row r="951">
      <c r="A951" s="12" t="s">
        <v>1559</v>
      </c>
      <c r="B951" s="12" t="s">
        <v>633</v>
      </c>
      <c r="C951" s="17">
        <v>24.0</v>
      </c>
      <c r="D951" s="12" t="s">
        <v>69</v>
      </c>
      <c r="E951" s="12" t="s">
        <v>119</v>
      </c>
      <c r="F951" s="12" t="s">
        <v>62</v>
      </c>
      <c r="G951" s="12" t="s">
        <v>210</v>
      </c>
      <c r="H951" s="15">
        <v>45160.0</v>
      </c>
      <c r="I951" s="17">
        <v>10.0</v>
      </c>
      <c r="J951" s="12" t="s">
        <v>64</v>
      </c>
      <c r="K951" s="12" t="s">
        <v>65</v>
      </c>
      <c r="L951" s="17">
        <v>883.0</v>
      </c>
      <c r="M951" s="17">
        <v>3.0</v>
      </c>
      <c r="N951" s="17">
        <v>0.0</v>
      </c>
      <c r="O951" s="17">
        <v>26.4</v>
      </c>
      <c r="P951" s="17">
        <v>3.7</v>
      </c>
      <c r="Q951" s="15">
        <v>45447.0</v>
      </c>
      <c r="R951" s="12" t="s">
        <v>1560</v>
      </c>
      <c r="S951" s="12" t="s">
        <v>230</v>
      </c>
      <c r="T951" s="12" t="s">
        <v>47</v>
      </c>
      <c r="U951" s="17">
        <f t="shared" si="1"/>
        <v>3</v>
      </c>
    </row>
    <row r="952">
      <c r="A952" s="12" t="s">
        <v>1120</v>
      </c>
      <c r="B952" s="12" t="s">
        <v>448</v>
      </c>
      <c r="C952" s="17">
        <v>53.0</v>
      </c>
      <c r="D952" s="12" t="s">
        <v>60</v>
      </c>
      <c r="E952" s="12" t="s">
        <v>133</v>
      </c>
      <c r="F952" s="12" t="s">
        <v>37</v>
      </c>
      <c r="G952" s="12" t="s">
        <v>80</v>
      </c>
      <c r="H952" s="15">
        <v>45955.0</v>
      </c>
      <c r="I952" s="17">
        <v>11.0</v>
      </c>
      <c r="J952" s="12" t="s">
        <v>64</v>
      </c>
      <c r="K952" s="12" t="s">
        <v>81</v>
      </c>
      <c r="L952" s="17">
        <v>1517.0</v>
      </c>
      <c r="M952" s="17">
        <v>6.0</v>
      </c>
      <c r="N952" s="17">
        <v>1.0</v>
      </c>
      <c r="O952" s="17">
        <v>23.0</v>
      </c>
      <c r="P952" s="17">
        <v>4.4</v>
      </c>
      <c r="Q952" s="15">
        <v>46285.0</v>
      </c>
      <c r="R952" s="12" t="s">
        <v>1561</v>
      </c>
      <c r="S952" s="12" t="s">
        <v>45</v>
      </c>
      <c r="T952" s="12" t="s">
        <v>47</v>
      </c>
      <c r="U952" s="17">
        <f t="shared" si="1"/>
        <v>4</v>
      </c>
    </row>
    <row r="953">
      <c r="A953" s="12" t="s">
        <v>347</v>
      </c>
      <c r="B953" s="12" t="s">
        <v>239</v>
      </c>
      <c r="C953" s="17">
        <v>35.0</v>
      </c>
      <c r="D953" s="12" t="s">
        <v>69</v>
      </c>
      <c r="E953" s="12" t="s">
        <v>187</v>
      </c>
      <c r="F953" s="12" t="s">
        <v>37</v>
      </c>
      <c r="G953" s="12" t="s">
        <v>120</v>
      </c>
      <c r="H953" s="15">
        <v>44729.0</v>
      </c>
      <c r="I953" s="17">
        <v>27.0</v>
      </c>
      <c r="J953" s="12" t="s">
        <v>64</v>
      </c>
      <c r="K953" s="12" t="s">
        <v>81</v>
      </c>
      <c r="L953" s="17">
        <v>1556.0</v>
      </c>
      <c r="M953" s="17">
        <v>1.0</v>
      </c>
      <c r="N953" s="17">
        <v>1.0</v>
      </c>
      <c r="O953" s="17">
        <v>18.3</v>
      </c>
      <c r="P953" s="17">
        <v>3.7</v>
      </c>
      <c r="Q953" s="15">
        <v>45271.0</v>
      </c>
      <c r="R953" s="12" t="s">
        <v>1562</v>
      </c>
      <c r="S953" s="12" t="s">
        <v>45</v>
      </c>
      <c r="T953" s="12" t="s">
        <v>47</v>
      </c>
      <c r="U953" s="17">
        <f t="shared" si="1"/>
        <v>5</v>
      </c>
    </row>
    <row r="954">
      <c r="A954" s="12" t="s">
        <v>887</v>
      </c>
      <c r="B954" s="12" t="s">
        <v>448</v>
      </c>
      <c r="C954" s="17">
        <v>66.0</v>
      </c>
      <c r="D954" s="12" t="s">
        <v>69</v>
      </c>
      <c r="E954" s="12" t="s">
        <v>177</v>
      </c>
      <c r="F954" s="12" t="s">
        <v>37</v>
      </c>
      <c r="G954" s="12" t="s">
        <v>210</v>
      </c>
      <c r="H954" s="15">
        <v>45326.0</v>
      </c>
      <c r="I954" s="17">
        <v>36.0</v>
      </c>
      <c r="J954" s="12" t="s">
        <v>53</v>
      </c>
      <c r="K954" s="12" t="s">
        <v>81</v>
      </c>
      <c r="L954" s="17">
        <v>1671.0</v>
      </c>
      <c r="M954" s="17">
        <v>1.0</v>
      </c>
      <c r="N954" s="17">
        <v>1.0</v>
      </c>
      <c r="O954" s="17">
        <v>28.1</v>
      </c>
      <c r="P954" s="17">
        <v>3.0</v>
      </c>
      <c r="Q954" s="15">
        <v>46140.0</v>
      </c>
      <c r="R954" s="12" t="s">
        <v>1563</v>
      </c>
      <c r="S954" s="12" t="s">
        <v>45</v>
      </c>
      <c r="T954" s="12" t="s">
        <v>104</v>
      </c>
      <c r="U954" s="17">
        <f t="shared" si="1"/>
        <v>2</v>
      </c>
    </row>
    <row r="955">
      <c r="A955" s="12" t="s">
        <v>1390</v>
      </c>
      <c r="B955" s="12" t="s">
        <v>736</v>
      </c>
      <c r="C955" s="17">
        <v>34.0</v>
      </c>
      <c r="D955" s="12" t="s">
        <v>85</v>
      </c>
      <c r="E955" s="12" t="s">
        <v>111</v>
      </c>
      <c r="F955" s="12" t="s">
        <v>37</v>
      </c>
      <c r="G955" s="12" t="s">
        <v>93</v>
      </c>
      <c r="H955" s="15">
        <v>44947.0</v>
      </c>
      <c r="I955" s="17">
        <v>46.0</v>
      </c>
      <c r="J955" s="12" t="s">
        <v>53</v>
      </c>
      <c r="K955" s="12" t="s">
        <v>65</v>
      </c>
      <c r="L955" s="17">
        <v>1109.0</v>
      </c>
      <c r="M955" s="17">
        <v>3.0</v>
      </c>
      <c r="N955" s="17">
        <v>0.0</v>
      </c>
      <c r="O955" s="17">
        <v>21.3</v>
      </c>
      <c r="P955" s="17">
        <v>4.8</v>
      </c>
      <c r="Q955" s="15">
        <v>45252.0</v>
      </c>
      <c r="R955" s="12"/>
      <c r="S955" s="12" t="s">
        <v>55</v>
      </c>
      <c r="T955" s="12" t="s">
        <v>47</v>
      </c>
      <c r="U955" s="17">
        <f t="shared" si="1"/>
        <v>3</v>
      </c>
    </row>
    <row r="956">
      <c r="A956" s="12" t="s">
        <v>1066</v>
      </c>
      <c r="B956" s="12" t="s">
        <v>169</v>
      </c>
      <c r="C956" s="17">
        <v>26.0</v>
      </c>
      <c r="D956" s="12" t="s">
        <v>35</v>
      </c>
      <c r="E956" s="12" t="s">
        <v>51</v>
      </c>
      <c r="F956" s="12" t="s">
        <v>62</v>
      </c>
      <c r="G956" s="12" t="s">
        <v>63</v>
      </c>
      <c r="H956" s="15">
        <v>45167.0</v>
      </c>
      <c r="I956" s="17">
        <v>8.0</v>
      </c>
      <c r="J956" s="12" t="s">
        <v>53</v>
      </c>
      <c r="K956" s="12" t="s">
        <v>65</v>
      </c>
      <c r="L956" s="17">
        <v>896.0</v>
      </c>
      <c r="M956" s="17">
        <v>1.0</v>
      </c>
      <c r="N956" s="17">
        <v>0.0</v>
      </c>
      <c r="O956" s="17">
        <v>27.5</v>
      </c>
      <c r="P956" s="17">
        <v>5.0</v>
      </c>
      <c r="Q956" s="15">
        <v>45194.0</v>
      </c>
      <c r="R956" s="12"/>
      <c r="S956" s="12" t="s">
        <v>55</v>
      </c>
      <c r="T956" s="12" t="s">
        <v>75</v>
      </c>
      <c r="U956" s="17">
        <f t="shared" si="1"/>
        <v>2</v>
      </c>
    </row>
    <row r="957">
      <c r="A957" s="12" t="s">
        <v>797</v>
      </c>
      <c r="B957" s="12" t="s">
        <v>345</v>
      </c>
      <c r="C957" s="17">
        <v>21.0</v>
      </c>
      <c r="D957" s="12" t="s">
        <v>60</v>
      </c>
      <c r="E957" s="12" t="s">
        <v>107</v>
      </c>
      <c r="F957" s="12" t="s">
        <v>62</v>
      </c>
      <c r="G957" s="12" t="s">
        <v>39</v>
      </c>
      <c r="H957" s="15">
        <v>45184.0</v>
      </c>
      <c r="I957" s="17">
        <v>28.0</v>
      </c>
      <c r="J957" s="12" t="s">
        <v>53</v>
      </c>
      <c r="K957" s="12" t="s">
        <v>65</v>
      </c>
      <c r="L957" s="12" t="s">
        <v>1564</v>
      </c>
      <c r="M957" s="17">
        <v>0.0</v>
      </c>
      <c r="N957" s="12"/>
      <c r="O957" s="17">
        <v>19.8</v>
      </c>
      <c r="P957" s="17">
        <v>4.2</v>
      </c>
      <c r="Q957" s="15">
        <v>45801.0</v>
      </c>
      <c r="R957" s="12"/>
      <c r="S957" s="12" t="s">
        <v>55</v>
      </c>
      <c r="T957" s="12" t="s">
        <v>72</v>
      </c>
      <c r="U957" s="17">
        <f t="shared" si="1"/>
        <v>5</v>
      </c>
    </row>
    <row r="958">
      <c r="A958" s="12" t="s">
        <v>1565</v>
      </c>
      <c r="B958" s="12" t="s">
        <v>364</v>
      </c>
      <c r="C958" s="17">
        <v>43.0</v>
      </c>
      <c r="D958" s="12" t="s">
        <v>60</v>
      </c>
      <c r="E958" s="12" t="s">
        <v>133</v>
      </c>
      <c r="F958" s="12" t="s">
        <v>79</v>
      </c>
      <c r="G958" s="12" t="s">
        <v>120</v>
      </c>
      <c r="H958" s="15">
        <v>45665.0</v>
      </c>
      <c r="I958" s="17">
        <v>7.0</v>
      </c>
      <c r="J958" s="12" t="s">
        <v>40</v>
      </c>
      <c r="K958" s="12" t="s">
        <v>65</v>
      </c>
      <c r="L958" s="17">
        <v>3802.0</v>
      </c>
      <c r="M958" s="17">
        <v>0.0</v>
      </c>
      <c r="N958" s="17">
        <v>0.0</v>
      </c>
      <c r="O958" s="17">
        <v>47.3</v>
      </c>
      <c r="P958" s="17">
        <v>4.0</v>
      </c>
      <c r="Q958" s="15">
        <v>45764.0</v>
      </c>
      <c r="R958" s="12"/>
      <c r="S958" s="12" t="s">
        <v>55</v>
      </c>
      <c r="T958" s="12" t="s">
        <v>104</v>
      </c>
      <c r="U958" s="17">
        <f t="shared" si="1"/>
        <v>1</v>
      </c>
    </row>
    <row r="959">
      <c r="A959" s="12" t="s">
        <v>1126</v>
      </c>
      <c r="B959" s="12" t="s">
        <v>364</v>
      </c>
      <c r="C959" s="17">
        <v>39.0</v>
      </c>
      <c r="D959" s="12" t="s">
        <v>60</v>
      </c>
      <c r="E959" s="12" t="s">
        <v>61</v>
      </c>
      <c r="F959" s="12" t="s">
        <v>62</v>
      </c>
      <c r="G959" s="12" t="s">
        <v>52</v>
      </c>
      <c r="H959" s="15">
        <v>45854.0</v>
      </c>
      <c r="I959" s="17">
        <v>7.0</v>
      </c>
      <c r="J959" s="12" t="s">
        <v>53</v>
      </c>
      <c r="K959" s="12" t="s">
        <v>81</v>
      </c>
      <c r="L959" s="17">
        <v>882.0</v>
      </c>
      <c r="M959" s="17">
        <v>0.0</v>
      </c>
      <c r="N959" s="17">
        <v>0.0</v>
      </c>
      <c r="O959" s="17">
        <v>6.5</v>
      </c>
      <c r="P959" s="17">
        <v>4.3</v>
      </c>
      <c r="Q959" s="15">
        <v>46018.0</v>
      </c>
      <c r="R959" s="12"/>
      <c r="S959" s="12" t="s">
        <v>55</v>
      </c>
      <c r="T959" s="12" t="s">
        <v>75</v>
      </c>
      <c r="U959" s="17">
        <f t="shared" si="1"/>
        <v>2</v>
      </c>
    </row>
    <row r="960">
      <c r="A960" s="12" t="s">
        <v>1548</v>
      </c>
      <c r="B960" s="12" t="s">
        <v>241</v>
      </c>
      <c r="C960" s="17">
        <v>63.0</v>
      </c>
      <c r="D960" s="12" t="s">
        <v>85</v>
      </c>
      <c r="E960" s="12" t="s">
        <v>292</v>
      </c>
      <c r="F960" s="12" t="s">
        <v>62</v>
      </c>
      <c r="G960" s="12" t="s">
        <v>39</v>
      </c>
      <c r="H960" s="15">
        <v>45777.0</v>
      </c>
      <c r="I960" s="17">
        <v>44.0</v>
      </c>
      <c r="J960" s="12" t="s">
        <v>64</v>
      </c>
      <c r="K960" s="12" t="s">
        <v>65</v>
      </c>
      <c r="L960" s="17">
        <v>758.0</v>
      </c>
      <c r="M960" s="17">
        <v>3.0</v>
      </c>
      <c r="N960" s="17">
        <v>0.0</v>
      </c>
      <c r="O960" s="17">
        <v>21.9</v>
      </c>
      <c r="P960" s="17">
        <v>3.4</v>
      </c>
      <c r="Q960" s="15">
        <v>46815.0</v>
      </c>
      <c r="R960" s="12" t="s">
        <v>1566</v>
      </c>
      <c r="S960" s="12" t="s">
        <v>45</v>
      </c>
      <c r="T960" s="12" t="s">
        <v>66</v>
      </c>
      <c r="U960" s="17">
        <f t="shared" si="1"/>
        <v>2</v>
      </c>
    </row>
    <row r="961">
      <c r="A961" s="12" t="s">
        <v>1567</v>
      </c>
      <c r="B961" s="12" t="s">
        <v>331</v>
      </c>
      <c r="C961" s="17">
        <v>57.0</v>
      </c>
      <c r="D961" s="12" t="s">
        <v>35</v>
      </c>
      <c r="E961" s="12" t="s">
        <v>161</v>
      </c>
      <c r="F961" s="12" t="s">
        <v>37</v>
      </c>
      <c r="G961" s="12" t="s">
        <v>52</v>
      </c>
      <c r="H961" s="15">
        <v>45620.0</v>
      </c>
      <c r="I961" s="17">
        <v>32.0</v>
      </c>
      <c r="J961" s="12" t="s">
        <v>146</v>
      </c>
      <c r="K961" s="12" t="s">
        <v>65</v>
      </c>
      <c r="L961" s="17">
        <v>1299.0</v>
      </c>
      <c r="M961" s="17">
        <v>1.0</v>
      </c>
      <c r="N961" s="17">
        <v>2.0</v>
      </c>
      <c r="O961" s="17">
        <v>35.2</v>
      </c>
      <c r="P961" s="17">
        <v>3.7</v>
      </c>
      <c r="Q961" s="15">
        <v>45796.0</v>
      </c>
      <c r="R961" s="12"/>
      <c r="S961" s="12" t="s">
        <v>55</v>
      </c>
      <c r="T961" s="12" t="s">
        <v>104</v>
      </c>
      <c r="U961" s="17">
        <f t="shared" si="1"/>
        <v>1</v>
      </c>
    </row>
    <row r="962">
      <c r="A962" s="12" t="s">
        <v>1568</v>
      </c>
      <c r="B962" s="12" t="s">
        <v>308</v>
      </c>
      <c r="C962" s="17">
        <v>38.0</v>
      </c>
      <c r="D962" s="12" t="s">
        <v>69</v>
      </c>
      <c r="E962" s="12" t="s">
        <v>70</v>
      </c>
      <c r="F962" s="12" t="s">
        <v>62</v>
      </c>
      <c r="G962" s="12" t="s">
        <v>120</v>
      </c>
      <c r="H962" s="15">
        <v>45072.0</v>
      </c>
      <c r="I962" s="17">
        <v>1.0</v>
      </c>
      <c r="J962" s="12" t="s">
        <v>40</v>
      </c>
      <c r="K962" s="12" t="s">
        <v>42</v>
      </c>
      <c r="L962" s="17">
        <v>880.0</v>
      </c>
      <c r="M962" s="17">
        <v>3.0</v>
      </c>
      <c r="N962" s="17">
        <v>0.0</v>
      </c>
      <c r="O962" s="17">
        <v>18.8</v>
      </c>
      <c r="P962" s="17">
        <v>2.8</v>
      </c>
      <c r="Q962" s="15">
        <v>45093.0</v>
      </c>
      <c r="R962" s="12"/>
      <c r="S962" s="12" t="s">
        <v>55</v>
      </c>
      <c r="T962" s="12" t="s">
        <v>72</v>
      </c>
      <c r="U962" s="17">
        <f t="shared" si="1"/>
        <v>2</v>
      </c>
    </row>
    <row r="963">
      <c r="A963" s="12" t="s">
        <v>1569</v>
      </c>
      <c r="B963" s="12" t="s">
        <v>239</v>
      </c>
      <c r="C963" s="17">
        <v>47.0</v>
      </c>
      <c r="D963" s="12" t="s">
        <v>85</v>
      </c>
      <c r="E963" s="12" t="s">
        <v>111</v>
      </c>
      <c r="F963" s="12" t="s">
        <v>37</v>
      </c>
      <c r="G963" s="12" t="s">
        <v>93</v>
      </c>
      <c r="H963" s="15">
        <v>45997.0</v>
      </c>
      <c r="I963" s="17">
        <v>8.0</v>
      </c>
      <c r="J963" s="12" t="s">
        <v>53</v>
      </c>
      <c r="K963" s="12" t="s">
        <v>65</v>
      </c>
      <c r="L963" s="17">
        <v>1134.0</v>
      </c>
      <c r="M963" s="17">
        <v>1.0</v>
      </c>
      <c r="N963" s="17">
        <v>1.0</v>
      </c>
      <c r="O963" s="17">
        <v>31.1</v>
      </c>
      <c r="P963" s="17">
        <v>3.6</v>
      </c>
      <c r="Q963" s="15">
        <v>46257.0</v>
      </c>
      <c r="R963" s="12"/>
      <c r="S963" s="12" t="s">
        <v>55</v>
      </c>
      <c r="T963" s="12" t="s">
        <v>75</v>
      </c>
      <c r="U963" s="17">
        <f t="shared" si="1"/>
        <v>1</v>
      </c>
    </row>
    <row r="964">
      <c r="A964" s="12" t="s">
        <v>1570</v>
      </c>
      <c r="B964" s="12" t="s">
        <v>184</v>
      </c>
      <c r="C964" s="17">
        <v>49.0</v>
      </c>
      <c r="D964" s="12" t="s">
        <v>60</v>
      </c>
      <c r="E964" s="12" t="s">
        <v>61</v>
      </c>
      <c r="F964" s="12" t="s">
        <v>62</v>
      </c>
      <c r="G964" s="12" t="s">
        <v>63</v>
      </c>
      <c r="H964" s="15">
        <v>45133.0</v>
      </c>
      <c r="I964" s="17">
        <v>28.0</v>
      </c>
      <c r="J964" s="12" t="s">
        <v>429</v>
      </c>
      <c r="K964" s="12" t="s">
        <v>81</v>
      </c>
      <c r="L964" s="17">
        <v>715.0</v>
      </c>
      <c r="M964" s="17">
        <v>3.0</v>
      </c>
      <c r="N964" s="17">
        <v>1.0</v>
      </c>
      <c r="O964" s="17">
        <v>31.7</v>
      </c>
      <c r="P964" s="17">
        <v>3.6</v>
      </c>
      <c r="Q964" s="15">
        <v>45232.0</v>
      </c>
      <c r="R964" s="12"/>
      <c r="S964" s="12" t="s">
        <v>55</v>
      </c>
      <c r="T964" s="12" t="s">
        <v>47</v>
      </c>
      <c r="U964" s="17">
        <f t="shared" si="1"/>
        <v>3</v>
      </c>
    </row>
    <row r="965">
      <c r="A965" s="12" t="s">
        <v>646</v>
      </c>
      <c r="B965" s="12" t="s">
        <v>169</v>
      </c>
      <c r="C965" s="17">
        <v>23.0</v>
      </c>
      <c r="D965" s="12" t="s">
        <v>35</v>
      </c>
      <c r="E965" s="12" t="s">
        <v>36</v>
      </c>
      <c r="F965" s="12" t="s">
        <v>62</v>
      </c>
      <c r="G965" s="12" t="s">
        <v>80</v>
      </c>
      <c r="H965" s="15">
        <v>44944.0</v>
      </c>
      <c r="I965" s="17">
        <v>43.0</v>
      </c>
      <c r="J965" s="12" t="s">
        <v>64</v>
      </c>
      <c r="K965" s="12" t="s">
        <v>42</v>
      </c>
      <c r="L965" s="17">
        <v>836.0</v>
      </c>
      <c r="M965" s="17">
        <v>3.0</v>
      </c>
      <c r="N965" s="17">
        <v>1.0</v>
      </c>
      <c r="O965" s="17">
        <v>12.1</v>
      </c>
      <c r="P965" s="17">
        <v>4.5</v>
      </c>
      <c r="Q965" s="15">
        <v>46095.0</v>
      </c>
      <c r="R965" s="12"/>
      <c r="S965" s="12" t="s">
        <v>55</v>
      </c>
      <c r="T965" s="12" t="s">
        <v>66</v>
      </c>
      <c r="U965" s="17">
        <f t="shared" si="1"/>
        <v>3</v>
      </c>
    </row>
    <row r="966">
      <c r="A966" s="12" t="s">
        <v>1571</v>
      </c>
      <c r="B966" s="12" t="s">
        <v>651</v>
      </c>
      <c r="C966" s="17">
        <v>52.0</v>
      </c>
      <c r="D966" s="12" t="s">
        <v>35</v>
      </c>
      <c r="E966" s="12" t="s">
        <v>36</v>
      </c>
      <c r="F966" s="12" t="s">
        <v>62</v>
      </c>
      <c r="G966" s="12" t="s">
        <v>39</v>
      </c>
      <c r="H966" s="15">
        <v>45177.0</v>
      </c>
      <c r="I966" s="17">
        <v>9.0</v>
      </c>
      <c r="J966" s="12" t="s">
        <v>64</v>
      </c>
      <c r="K966" s="12" t="s">
        <v>65</v>
      </c>
      <c r="L966" s="17">
        <v>699.0</v>
      </c>
      <c r="M966" s="17">
        <v>4.0</v>
      </c>
      <c r="N966" s="17">
        <v>1.0</v>
      </c>
      <c r="O966" s="17">
        <v>15.3</v>
      </c>
      <c r="P966" s="17">
        <v>3.9</v>
      </c>
      <c r="Q966" s="15">
        <v>45217.0</v>
      </c>
      <c r="R966" s="12" t="s">
        <v>1572</v>
      </c>
      <c r="S966" s="12" t="s">
        <v>45</v>
      </c>
      <c r="T966" s="12" t="s">
        <v>66</v>
      </c>
      <c r="U966" s="17">
        <f t="shared" si="1"/>
        <v>1</v>
      </c>
    </row>
    <row r="967">
      <c r="A967" s="12" t="s">
        <v>728</v>
      </c>
      <c r="B967" s="12" t="s">
        <v>163</v>
      </c>
      <c r="C967" s="17">
        <v>25.0</v>
      </c>
      <c r="D967" s="12" t="s">
        <v>35</v>
      </c>
      <c r="E967" s="12" t="s">
        <v>161</v>
      </c>
      <c r="F967" s="12" t="s">
        <v>79</v>
      </c>
      <c r="G967" s="12" t="s">
        <v>39</v>
      </c>
      <c r="H967" s="15">
        <v>45216.0</v>
      </c>
      <c r="I967" s="17">
        <v>16.0</v>
      </c>
      <c r="J967" s="12" t="s">
        <v>40</v>
      </c>
      <c r="K967" s="12" t="s">
        <v>805</v>
      </c>
      <c r="L967" s="17">
        <v>3358.0</v>
      </c>
      <c r="M967" s="17">
        <v>3.0</v>
      </c>
      <c r="N967" s="17">
        <v>0.0</v>
      </c>
      <c r="O967" s="17">
        <v>50.8</v>
      </c>
      <c r="P967" s="17">
        <v>4.2</v>
      </c>
      <c r="Q967" s="15">
        <v>45469.0</v>
      </c>
      <c r="R967" s="12" t="s">
        <v>1573</v>
      </c>
      <c r="S967" s="12" t="s">
        <v>45</v>
      </c>
      <c r="T967" s="12" t="s">
        <v>66</v>
      </c>
      <c r="U967" s="17">
        <f t="shared" si="1"/>
        <v>3</v>
      </c>
    </row>
    <row r="968">
      <c r="A968" s="12" t="s">
        <v>1574</v>
      </c>
      <c r="B968" s="12" t="s">
        <v>160</v>
      </c>
      <c r="C968" s="17">
        <v>59.0</v>
      </c>
      <c r="D968" s="12" t="s">
        <v>35</v>
      </c>
      <c r="E968" s="12" t="s">
        <v>51</v>
      </c>
      <c r="F968" s="12" t="s">
        <v>413</v>
      </c>
      <c r="G968" s="12" t="s">
        <v>93</v>
      </c>
      <c r="H968" s="15">
        <v>45606.0</v>
      </c>
      <c r="I968" s="17">
        <v>10.0</v>
      </c>
      <c r="J968" s="12" t="s">
        <v>53</v>
      </c>
      <c r="K968" s="12" t="s">
        <v>81</v>
      </c>
      <c r="L968" s="17">
        <v>1488.0</v>
      </c>
      <c r="M968" s="17">
        <v>1.0</v>
      </c>
      <c r="N968" s="17">
        <v>2.0</v>
      </c>
      <c r="O968" s="17">
        <v>27.0</v>
      </c>
      <c r="P968" s="17">
        <v>4.7</v>
      </c>
      <c r="Q968" s="15">
        <v>45653.0</v>
      </c>
      <c r="R968" s="12" t="s">
        <v>1575</v>
      </c>
      <c r="S968" s="12" t="s">
        <v>45</v>
      </c>
      <c r="T968" s="12" t="s">
        <v>72</v>
      </c>
      <c r="U968" s="17">
        <f t="shared" si="1"/>
        <v>2</v>
      </c>
    </row>
    <row r="969">
      <c r="A969" s="12" t="s">
        <v>1576</v>
      </c>
      <c r="B969" s="12" t="s">
        <v>163</v>
      </c>
      <c r="C969" s="17">
        <v>66.0</v>
      </c>
      <c r="D969" s="12" t="s">
        <v>60</v>
      </c>
      <c r="E969" s="12" t="s">
        <v>133</v>
      </c>
      <c r="F969" s="12" t="s">
        <v>62</v>
      </c>
      <c r="G969" s="12" t="s">
        <v>630</v>
      </c>
      <c r="H969" s="15">
        <v>44649.0</v>
      </c>
      <c r="I969" s="17">
        <v>21.0</v>
      </c>
      <c r="J969" s="12" t="s">
        <v>40</v>
      </c>
      <c r="K969" s="12" t="s">
        <v>65</v>
      </c>
      <c r="L969" s="17">
        <v>513.0</v>
      </c>
      <c r="M969" s="17">
        <v>3.0</v>
      </c>
      <c r="N969" s="17">
        <v>1.0</v>
      </c>
      <c r="O969" s="17">
        <v>14.9</v>
      </c>
      <c r="P969" s="17">
        <v>3.9</v>
      </c>
      <c r="Q969" s="15">
        <v>45041.0</v>
      </c>
      <c r="R969" s="12" t="s">
        <v>1577</v>
      </c>
      <c r="S969" s="12" t="s">
        <v>1125</v>
      </c>
      <c r="T969" s="12" t="s">
        <v>66</v>
      </c>
      <c r="U969" s="17">
        <f t="shared" si="1"/>
        <v>2</v>
      </c>
    </row>
    <row r="970">
      <c r="A970" s="12" t="s">
        <v>1578</v>
      </c>
      <c r="B970" s="12" t="s">
        <v>247</v>
      </c>
      <c r="C970" s="17">
        <v>64.0</v>
      </c>
      <c r="D970" s="12" t="s">
        <v>85</v>
      </c>
      <c r="E970" s="12" t="s">
        <v>111</v>
      </c>
      <c r="F970" s="12" t="s">
        <v>62</v>
      </c>
      <c r="G970" s="12" t="s">
        <v>80</v>
      </c>
      <c r="H970" s="15">
        <v>45151.0</v>
      </c>
      <c r="I970" s="17">
        <v>32.0</v>
      </c>
      <c r="J970" s="12" t="s">
        <v>40</v>
      </c>
      <c r="K970" s="12" t="s">
        <v>81</v>
      </c>
      <c r="L970" s="17">
        <v>720.0</v>
      </c>
      <c r="M970" s="17">
        <v>3.0</v>
      </c>
      <c r="N970" s="17">
        <v>1.0</v>
      </c>
      <c r="O970" s="17">
        <v>29.1</v>
      </c>
      <c r="P970" s="17">
        <v>3.3</v>
      </c>
      <c r="Q970" s="15">
        <v>45588.0</v>
      </c>
      <c r="R970" s="12" t="s">
        <v>1579</v>
      </c>
      <c r="S970" s="12" t="s">
        <v>827</v>
      </c>
      <c r="T970" s="12" t="s">
        <v>104</v>
      </c>
      <c r="U970" s="17">
        <f t="shared" si="1"/>
        <v>2</v>
      </c>
    </row>
    <row r="971">
      <c r="A971" s="12" t="s">
        <v>1580</v>
      </c>
      <c r="B971" s="12" t="s">
        <v>645</v>
      </c>
      <c r="C971" s="17">
        <v>43.0</v>
      </c>
      <c r="D971" s="12" t="s">
        <v>60</v>
      </c>
      <c r="E971" s="12" t="s">
        <v>133</v>
      </c>
      <c r="F971" s="12" t="s">
        <v>62</v>
      </c>
      <c r="G971" s="12" t="s">
        <v>52</v>
      </c>
      <c r="H971" s="15">
        <v>45261.0</v>
      </c>
      <c r="I971" s="17">
        <v>20.0</v>
      </c>
      <c r="J971" s="12" t="s">
        <v>64</v>
      </c>
      <c r="K971" s="12" t="s">
        <v>81</v>
      </c>
      <c r="L971" s="17">
        <v>808.0</v>
      </c>
      <c r="M971" s="17">
        <v>2.0</v>
      </c>
      <c r="N971" s="17">
        <v>2.0</v>
      </c>
      <c r="O971" s="17">
        <v>27.4</v>
      </c>
      <c r="P971" s="17">
        <v>5.0</v>
      </c>
      <c r="Q971" s="15">
        <v>45586.0</v>
      </c>
      <c r="R971" s="12" t="s">
        <v>1540</v>
      </c>
      <c r="S971" s="12" t="s">
        <v>45</v>
      </c>
      <c r="T971" s="12" t="s">
        <v>66</v>
      </c>
      <c r="U971" s="17">
        <f t="shared" si="1"/>
        <v>1</v>
      </c>
    </row>
    <row r="972">
      <c r="A972" s="12" t="s">
        <v>1581</v>
      </c>
      <c r="B972" s="12" t="s">
        <v>420</v>
      </c>
      <c r="C972" s="17">
        <v>37.0</v>
      </c>
      <c r="D972" s="12" t="s">
        <v>69</v>
      </c>
      <c r="E972" s="12" t="s">
        <v>119</v>
      </c>
      <c r="F972" s="12" t="s">
        <v>62</v>
      </c>
      <c r="G972" s="12" t="s">
        <v>630</v>
      </c>
      <c r="H972" s="15">
        <v>45564.0</v>
      </c>
      <c r="I972" s="17">
        <v>22.0</v>
      </c>
      <c r="J972" s="12" t="s">
        <v>64</v>
      </c>
      <c r="K972" s="12" t="s">
        <v>81</v>
      </c>
      <c r="L972" s="17">
        <v>814.0</v>
      </c>
      <c r="M972" s="17">
        <v>1.0</v>
      </c>
      <c r="N972" s="17">
        <v>0.0</v>
      </c>
      <c r="O972" s="17">
        <v>16.8</v>
      </c>
      <c r="P972" s="17">
        <v>4.2</v>
      </c>
      <c r="Q972" s="15">
        <v>45831.0</v>
      </c>
      <c r="R972" s="12"/>
      <c r="S972" s="12" t="s">
        <v>55</v>
      </c>
      <c r="T972" s="12" t="s">
        <v>47</v>
      </c>
      <c r="U972" s="17">
        <f t="shared" si="1"/>
        <v>1</v>
      </c>
    </row>
    <row r="973">
      <c r="A973" s="12" t="s">
        <v>901</v>
      </c>
      <c r="B973" s="12" t="s">
        <v>34</v>
      </c>
      <c r="C973" s="17">
        <v>61.0</v>
      </c>
      <c r="D973" s="12" t="s">
        <v>445</v>
      </c>
      <c r="E973" s="12" t="s">
        <v>97</v>
      </c>
      <c r="F973" s="12" t="s">
        <v>37</v>
      </c>
      <c r="G973" s="12" t="s">
        <v>210</v>
      </c>
      <c r="H973" s="15">
        <v>45189.0</v>
      </c>
      <c r="I973" s="17">
        <v>13.0</v>
      </c>
      <c r="J973" s="12" t="s">
        <v>64</v>
      </c>
      <c r="K973" s="12" t="s">
        <v>42</v>
      </c>
      <c r="L973" s="17">
        <v>1691.0</v>
      </c>
      <c r="M973" s="17">
        <v>3.0</v>
      </c>
      <c r="N973" s="17">
        <v>0.0</v>
      </c>
      <c r="O973" s="17">
        <v>23.5</v>
      </c>
      <c r="P973" s="17">
        <v>2.4</v>
      </c>
      <c r="Q973" s="15">
        <v>45341.0</v>
      </c>
      <c r="R973" s="12" t="s">
        <v>1582</v>
      </c>
      <c r="S973" s="12" t="s">
        <v>45</v>
      </c>
      <c r="T973" s="12" t="s">
        <v>66</v>
      </c>
      <c r="U973" s="17">
        <f t="shared" si="1"/>
        <v>4</v>
      </c>
    </row>
    <row r="974">
      <c r="A974" s="12" t="s">
        <v>1583</v>
      </c>
      <c r="B974" s="12" t="s">
        <v>736</v>
      </c>
      <c r="C974" s="17">
        <v>59.0</v>
      </c>
      <c r="D974" s="12" t="s">
        <v>60</v>
      </c>
      <c r="E974" s="12" t="s">
        <v>97</v>
      </c>
      <c r="F974" s="12" t="s">
        <v>37</v>
      </c>
      <c r="G974" s="12" t="s">
        <v>210</v>
      </c>
      <c r="H974" s="15">
        <v>45673.0</v>
      </c>
      <c r="I974" s="17">
        <v>36.0</v>
      </c>
      <c r="J974" s="12" t="s">
        <v>40</v>
      </c>
      <c r="K974" s="12" t="s">
        <v>42</v>
      </c>
      <c r="L974" s="17">
        <v>1594.0</v>
      </c>
      <c r="M974" s="17">
        <v>6.0</v>
      </c>
      <c r="N974" s="17">
        <v>0.0</v>
      </c>
      <c r="O974" s="17">
        <v>18.5</v>
      </c>
      <c r="P974" s="17">
        <v>3.7</v>
      </c>
      <c r="Q974" s="15">
        <v>46038.0</v>
      </c>
      <c r="R974" s="12"/>
      <c r="S974" s="12" t="s">
        <v>55</v>
      </c>
      <c r="T974" s="12" t="s">
        <v>66</v>
      </c>
      <c r="U974" s="17">
        <f t="shared" si="1"/>
        <v>2</v>
      </c>
    </row>
    <row r="975">
      <c r="A975" s="12" t="s">
        <v>1574</v>
      </c>
      <c r="B975" s="12" t="s">
        <v>257</v>
      </c>
      <c r="C975" s="17">
        <v>28.0</v>
      </c>
      <c r="D975" s="12" t="s">
        <v>60</v>
      </c>
      <c r="E975" s="12" t="s">
        <v>97</v>
      </c>
      <c r="F975" s="12" t="s">
        <v>79</v>
      </c>
      <c r="G975" s="12" t="s">
        <v>93</v>
      </c>
      <c r="H975" s="15">
        <v>45579.0</v>
      </c>
      <c r="I975" s="17">
        <v>24.0</v>
      </c>
      <c r="J975" s="12" t="s">
        <v>53</v>
      </c>
      <c r="K975" s="12" t="s">
        <v>81</v>
      </c>
      <c r="L975" s="17">
        <v>2553.0</v>
      </c>
      <c r="M975" s="17">
        <v>2.0</v>
      </c>
      <c r="N975" s="17">
        <v>2.0</v>
      </c>
      <c r="O975" s="17">
        <v>43.0</v>
      </c>
      <c r="P975" s="17">
        <v>3.4</v>
      </c>
      <c r="Q975" s="15">
        <v>46170.0</v>
      </c>
      <c r="R975" s="12"/>
      <c r="S975" s="12" t="s">
        <v>55</v>
      </c>
      <c r="T975" s="12" t="s">
        <v>104</v>
      </c>
      <c r="U975" s="17">
        <f t="shared" si="1"/>
        <v>2</v>
      </c>
    </row>
    <row r="976">
      <c r="A976" s="12" t="s">
        <v>1584</v>
      </c>
      <c r="B976" s="12" t="s">
        <v>232</v>
      </c>
      <c r="C976" s="17">
        <v>51.0</v>
      </c>
      <c r="D976" s="12" t="s">
        <v>35</v>
      </c>
      <c r="E976" s="12" t="s">
        <v>140</v>
      </c>
      <c r="F976" s="12" t="s">
        <v>37</v>
      </c>
      <c r="G976" s="12" t="s">
        <v>120</v>
      </c>
      <c r="H976" s="15">
        <v>44568.0</v>
      </c>
      <c r="I976" s="17">
        <v>5.0</v>
      </c>
      <c r="J976" s="12" t="s">
        <v>64</v>
      </c>
      <c r="K976" s="12" t="s">
        <v>65</v>
      </c>
      <c r="L976" s="17">
        <v>1505.0</v>
      </c>
      <c r="M976" s="17">
        <v>2.0</v>
      </c>
      <c r="N976" s="17">
        <v>2.0</v>
      </c>
      <c r="O976" s="17">
        <v>23.3</v>
      </c>
      <c r="P976" s="17">
        <v>3.6</v>
      </c>
      <c r="Q976" s="15">
        <v>44718.0</v>
      </c>
      <c r="R976" s="12"/>
      <c r="S976" s="12" t="s">
        <v>55</v>
      </c>
      <c r="T976" s="12" t="s">
        <v>47</v>
      </c>
      <c r="U976" s="17">
        <f t="shared" si="1"/>
        <v>1</v>
      </c>
    </row>
    <row r="977">
      <c r="A977" s="12" t="s">
        <v>1585</v>
      </c>
      <c r="B977" s="12" t="s">
        <v>288</v>
      </c>
      <c r="C977" s="17">
        <v>42.0</v>
      </c>
      <c r="D977" s="12" t="s">
        <v>35</v>
      </c>
      <c r="E977" s="12" t="s">
        <v>140</v>
      </c>
      <c r="F977" s="12" t="s">
        <v>37</v>
      </c>
      <c r="G977" s="12" t="s">
        <v>120</v>
      </c>
      <c r="H977" s="15">
        <v>45781.0</v>
      </c>
      <c r="I977" s="17">
        <v>7.0</v>
      </c>
      <c r="J977" s="12" t="s">
        <v>40</v>
      </c>
      <c r="K977" s="12" t="s">
        <v>42</v>
      </c>
      <c r="L977" s="17">
        <v>1319.0</v>
      </c>
      <c r="M977" s="12"/>
      <c r="N977" s="17">
        <v>1.0</v>
      </c>
      <c r="O977" s="17">
        <v>38.2</v>
      </c>
      <c r="P977" s="12"/>
      <c r="Q977" s="15">
        <v>45826.0</v>
      </c>
      <c r="R977" s="12"/>
      <c r="S977" s="12" t="s">
        <v>55</v>
      </c>
      <c r="T977" s="12" t="s">
        <v>104</v>
      </c>
      <c r="U977" s="17">
        <f t="shared" si="1"/>
        <v>1</v>
      </c>
    </row>
    <row r="978">
      <c r="A978" s="12" t="s">
        <v>1209</v>
      </c>
      <c r="B978" s="12" t="s">
        <v>342</v>
      </c>
      <c r="C978" s="17">
        <v>58.0</v>
      </c>
      <c r="D978" s="12" t="s">
        <v>35</v>
      </c>
      <c r="E978" s="12" t="s">
        <v>161</v>
      </c>
      <c r="F978" s="12" t="s">
        <v>62</v>
      </c>
      <c r="G978" s="12" t="s">
        <v>63</v>
      </c>
      <c r="H978" s="15">
        <v>45968.0</v>
      </c>
      <c r="I978" s="17">
        <v>28.0</v>
      </c>
      <c r="J978" s="12" t="s">
        <v>64</v>
      </c>
      <c r="K978" s="12" t="s">
        <v>65</v>
      </c>
      <c r="L978" s="17">
        <v>837.0</v>
      </c>
      <c r="M978" s="17">
        <v>2.0</v>
      </c>
      <c r="N978" s="17">
        <v>2.0</v>
      </c>
      <c r="O978" s="17">
        <v>19.0</v>
      </c>
      <c r="P978" s="17">
        <v>3.4</v>
      </c>
      <c r="Q978" s="15">
        <v>45988.0</v>
      </c>
      <c r="R978" s="12"/>
      <c r="S978" s="12" t="s">
        <v>55</v>
      </c>
      <c r="T978" s="12" t="s">
        <v>72</v>
      </c>
      <c r="U978" s="17">
        <f t="shared" si="1"/>
        <v>3</v>
      </c>
    </row>
    <row r="979">
      <c r="A979" s="12" t="s">
        <v>1320</v>
      </c>
      <c r="B979" s="12" t="s">
        <v>459</v>
      </c>
      <c r="C979" s="17">
        <v>43.0</v>
      </c>
      <c r="D979" s="12" t="s">
        <v>69</v>
      </c>
      <c r="E979" s="12" t="s">
        <v>187</v>
      </c>
      <c r="F979" s="12" t="s">
        <v>62</v>
      </c>
      <c r="G979" s="12" t="s">
        <v>80</v>
      </c>
      <c r="H979" s="15">
        <v>45730.0</v>
      </c>
      <c r="I979" s="17">
        <v>18.0</v>
      </c>
      <c r="J979" s="12" t="s">
        <v>40</v>
      </c>
      <c r="K979" s="12" t="s">
        <v>81</v>
      </c>
      <c r="L979" s="17">
        <v>680.0</v>
      </c>
      <c r="M979" s="17">
        <v>1.0</v>
      </c>
      <c r="N979" s="17">
        <v>0.0</v>
      </c>
      <c r="O979" s="17">
        <v>15.7</v>
      </c>
      <c r="P979" s="17">
        <v>4.3</v>
      </c>
      <c r="Q979" s="15">
        <v>45763.0</v>
      </c>
      <c r="R979" s="12" t="s">
        <v>1586</v>
      </c>
      <c r="S979" s="12" t="s">
        <v>45</v>
      </c>
      <c r="T979" s="12" t="s">
        <v>66</v>
      </c>
      <c r="U979" s="17">
        <f t="shared" si="1"/>
        <v>3</v>
      </c>
    </row>
    <row r="980">
      <c r="A980" s="12" t="s">
        <v>962</v>
      </c>
      <c r="B980" s="12" t="s">
        <v>190</v>
      </c>
      <c r="C980" s="17">
        <v>30.0</v>
      </c>
      <c r="D980" s="12" t="s">
        <v>69</v>
      </c>
      <c r="E980" s="12" t="s">
        <v>70</v>
      </c>
      <c r="F980" s="12" t="s">
        <v>37</v>
      </c>
      <c r="G980" s="12" t="s">
        <v>80</v>
      </c>
      <c r="H980" s="15">
        <v>45114.0</v>
      </c>
      <c r="I980" s="17">
        <v>32.0</v>
      </c>
      <c r="J980" s="12" t="s">
        <v>40</v>
      </c>
      <c r="K980" s="12" t="s">
        <v>65</v>
      </c>
      <c r="L980" s="12" t="s">
        <v>1587</v>
      </c>
      <c r="M980" s="12"/>
      <c r="N980" s="17">
        <v>1.0</v>
      </c>
      <c r="O980" s="17">
        <v>24.5</v>
      </c>
      <c r="P980" s="17">
        <v>5.0</v>
      </c>
      <c r="Q980" s="15">
        <v>45371.0</v>
      </c>
      <c r="R980" s="12"/>
      <c r="S980" s="12" t="s">
        <v>55</v>
      </c>
      <c r="T980" s="12" t="s">
        <v>104</v>
      </c>
      <c r="U980" s="17">
        <f t="shared" si="1"/>
        <v>3</v>
      </c>
    </row>
    <row r="981">
      <c r="A981" s="12" t="s">
        <v>95</v>
      </c>
      <c r="B981" s="12" t="s">
        <v>118</v>
      </c>
      <c r="C981" s="17">
        <v>47.0</v>
      </c>
      <c r="D981" s="12" t="s">
        <v>300</v>
      </c>
      <c r="E981" s="12" t="s">
        <v>177</v>
      </c>
      <c r="F981" s="12" t="s">
        <v>62</v>
      </c>
      <c r="G981" s="12" t="s">
        <v>93</v>
      </c>
      <c r="H981" s="15">
        <v>45790.0</v>
      </c>
      <c r="I981" s="17">
        <v>25.0</v>
      </c>
      <c r="J981" s="12" t="s">
        <v>40</v>
      </c>
      <c r="K981" s="12" t="s">
        <v>81</v>
      </c>
      <c r="L981" s="17">
        <v>617.0</v>
      </c>
      <c r="M981" s="17">
        <v>2.0</v>
      </c>
      <c r="N981" s="17">
        <v>2.0</v>
      </c>
      <c r="O981" s="17">
        <v>14.4</v>
      </c>
      <c r="P981" s="17">
        <v>2.6</v>
      </c>
      <c r="Q981" s="15">
        <v>45883.0</v>
      </c>
      <c r="R981" s="12"/>
      <c r="S981" s="12" t="s">
        <v>1125</v>
      </c>
      <c r="T981" s="12" t="s">
        <v>75</v>
      </c>
      <c r="U981" s="17">
        <f t="shared" si="1"/>
        <v>4</v>
      </c>
    </row>
    <row r="982">
      <c r="A982" s="12" t="s">
        <v>385</v>
      </c>
      <c r="B982" s="12" t="s">
        <v>734</v>
      </c>
      <c r="C982" s="17">
        <v>47.0</v>
      </c>
      <c r="D982" s="12" t="s">
        <v>85</v>
      </c>
      <c r="E982" s="12" t="s">
        <v>292</v>
      </c>
      <c r="F982" s="12" t="s">
        <v>37</v>
      </c>
      <c r="G982" s="12" t="s">
        <v>210</v>
      </c>
      <c r="H982" s="15">
        <v>44982.0</v>
      </c>
      <c r="I982" s="17">
        <v>44.0</v>
      </c>
      <c r="J982" s="12" t="s">
        <v>64</v>
      </c>
      <c r="K982" s="12" t="s">
        <v>42</v>
      </c>
      <c r="L982" s="17">
        <v>1349.0</v>
      </c>
      <c r="M982" s="17">
        <v>1.0</v>
      </c>
      <c r="N982" s="17">
        <v>2.0</v>
      </c>
      <c r="O982" s="17">
        <v>36.2</v>
      </c>
      <c r="P982" s="17">
        <v>3.5</v>
      </c>
      <c r="Q982" s="15">
        <v>45034.0</v>
      </c>
      <c r="R982" s="12"/>
      <c r="S982" s="12" t="s">
        <v>55</v>
      </c>
      <c r="T982" s="12" t="s">
        <v>72</v>
      </c>
      <c r="U982" s="17">
        <f t="shared" si="1"/>
        <v>2</v>
      </c>
    </row>
    <row r="983">
      <c r="A983" s="12" t="s">
        <v>1588</v>
      </c>
      <c r="B983" s="12" t="s">
        <v>250</v>
      </c>
      <c r="C983" s="17">
        <v>43.0</v>
      </c>
      <c r="D983" s="12" t="s">
        <v>35</v>
      </c>
      <c r="E983" s="12" t="s">
        <v>140</v>
      </c>
      <c r="F983" s="12" t="s">
        <v>62</v>
      </c>
      <c r="G983" s="12" t="s">
        <v>120</v>
      </c>
      <c r="H983" s="15">
        <v>44986.0</v>
      </c>
      <c r="I983" s="17">
        <v>14.0</v>
      </c>
      <c r="J983" s="12" t="s">
        <v>64</v>
      </c>
      <c r="K983" s="12" t="s">
        <v>65</v>
      </c>
      <c r="L983" s="17">
        <v>706.0</v>
      </c>
      <c r="M983" s="17">
        <v>2.0</v>
      </c>
      <c r="N983" s="17">
        <v>3.0</v>
      </c>
      <c r="O983" s="17">
        <v>8.0</v>
      </c>
      <c r="P983" s="17">
        <v>4.2</v>
      </c>
      <c r="Q983" s="15">
        <v>45362.0</v>
      </c>
      <c r="R983" s="12"/>
      <c r="S983" s="12" t="s">
        <v>55</v>
      </c>
      <c r="T983" s="12" t="s">
        <v>104</v>
      </c>
      <c r="U983" s="17">
        <f t="shared" si="1"/>
        <v>1</v>
      </c>
    </row>
    <row r="984">
      <c r="A984" s="12" t="s">
        <v>1589</v>
      </c>
      <c r="B984" s="12" t="s">
        <v>1590</v>
      </c>
      <c r="C984" s="17">
        <v>46.0</v>
      </c>
      <c r="D984" s="12" t="s">
        <v>69</v>
      </c>
      <c r="E984" s="12" t="s">
        <v>70</v>
      </c>
      <c r="F984" s="12" t="s">
        <v>37</v>
      </c>
      <c r="G984" s="12" t="s">
        <v>93</v>
      </c>
      <c r="H984" s="15">
        <v>44606.0</v>
      </c>
      <c r="I984" s="17">
        <v>25.0</v>
      </c>
      <c r="J984" s="12" t="s">
        <v>40</v>
      </c>
      <c r="K984" s="12" t="s">
        <v>65</v>
      </c>
      <c r="L984" s="17">
        <v>1389.0</v>
      </c>
      <c r="M984" s="17">
        <v>2.0</v>
      </c>
      <c r="N984" s="17">
        <v>1.0</v>
      </c>
      <c r="O984" s="17">
        <v>27.9</v>
      </c>
      <c r="P984" s="17">
        <v>2.8</v>
      </c>
      <c r="Q984" s="15">
        <v>45118.0</v>
      </c>
      <c r="R984" s="12"/>
      <c r="S984" s="12" t="s">
        <v>55</v>
      </c>
      <c r="T984" s="12" t="s">
        <v>72</v>
      </c>
      <c r="U984" s="17">
        <f t="shared" si="1"/>
        <v>1</v>
      </c>
    </row>
    <row r="985">
      <c r="A985" s="12" t="s">
        <v>1591</v>
      </c>
      <c r="B985" s="12" t="s">
        <v>395</v>
      </c>
      <c r="C985" s="17">
        <v>21.0</v>
      </c>
      <c r="D985" s="12" t="s">
        <v>69</v>
      </c>
      <c r="E985" s="12" t="s">
        <v>177</v>
      </c>
      <c r="F985" s="12" t="s">
        <v>62</v>
      </c>
      <c r="G985" s="12" t="s">
        <v>210</v>
      </c>
      <c r="H985" s="15">
        <v>45542.0</v>
      </c>
      <c r="I985" s="17">
        <v>11.0</v>
      </c>
      <c r="J985" s="12" t="s">
        <v>53</v>
      </c>
      <c r="K985" s="12" t="s">
        <v>65</v>
      </c>
      <c r="L985" s="17">
        <v>798.0</v>
      </c>
      <c r="M985" s="17">
        <v>1.0</v>
      </c>
      <c r="N985" s="17">
        <v>1.0</v>
      </c>
      <c r="O985" s="17">
        <v>10.8</v>
      </c>
      <c r="P985" s="17">
        <v>4.0</v>
      </c>
      <c r="Q985" s="15">
        <v>45858.0</v>
      </c>
      <c r="R985" s="12"/>
      <c r="S985" s="12" t="s">
        <v>55</v>
      </c>
      <c r="T985" s="12" t="s">
        <v>104</v>
      </c>
      <c r="U985" s="17">
        <f t="shared" si="1"/>
        <v>1</v>
      </c>
    </row>
    <row r="986">
      <c r="A986" s="12" t="s">
        <v>909</v>
      </c>
      <c r="B986" s="12" t="s">
        <v>169</v>
      </c>
      <c r="C986" s="17">
        <v>28.0</v>
      </c>
      <c r="D986" s="12" t="s">
        <v>69</v>
      </c>
      <c r="E986" s="12" t="s">
        <v>70</v>
      </c>
      <c r="F986" s="12" t="s">
        <v>37</v>
      </c>
      <c r="G986" s="12" t="s">
        <v>39</v>
      </c>
      <c r="H986" s="15">
        <v>44751.0</v>
      </c>
      <c r="I986" s="17">
        <v>40.0</v>
      </c>
      <c r="J986" s="12" t="s">
        <v>53</v>
      </c>
      <c r="K986" s="12" t="s">
        <v>42</v>
      </c>
      <c r="L986" s="17">
        <v>1255.0</v>
      </c>
      <c r="M986" s="17">
        <v>0.0</v>
      </c>
      <c r="N986" s="17">
        <v>2.0</v>
      </c>
      <c r="O986" s="17">
        <v>35.7</v>
      </c>
      <c r="P986" s="17">
        <v>3.1</v>
      </c>
      <c r="Q986" s="15">
        <v>45836.0</v>
      </c>
      <c r="R986" s="12"/>
      <c r="S986" s="12" t="s">
        <v>55</v>
      </c>
      <c r="T986" s="12" t="s">
        <v>75</v>
      </c>
      <c r="U986" s="17">
        <f t="shared" si="1"/>
        <v>4</v>
      </c>
    </row>
    <row r="987">
      <c r="A987" s="12" t="s">
        <v>985</v>
      </c>
      <c r="B987" s="12" t="s">
        <v>322</v>
      </c>
      <c r="C987" s="17">
        <v>54.0</v>
      </c>
      <c r="D987" s="12" t="s">
        <v>69</v>
      </c>
      <c r="E987" s="12" t="s">
        <v>187</v>
      </c>
      <c r="F987" s="12" t="s">
        <v>62</v>
      </c>
      <c r="G987" s="12" t="s">
        <v>39</v>
      </c>
      <c r="H987" s="15">
        <v>45628.0</v>
      </c>
      <c r="I987" s="17">
        <v>5.0</v>
      </c>
      <c r="J987" s="12" t="s">
        <v>53</v>
      </c>
      <c r="K987" s="12" t="s">
        <v>65</v>
      </c>
      <c r="L987" s="17">
        <v>546.0</v>
      </c>
      <c r="M987" s="17">
        <v>1.0</v>
      </c>
      <c r="N987" s="17">
        <v>1.0</v>
      </c>
      <c r="O987" s="17">
        <v>13.3</v>
      </c>
      <c r="P987" s="17">
        <v>3.5</v>
      </c>
      <c r="Q987" s="15">
        <v>45784.0</v>
      </c>
      <c r="R987" s="12"/>
      <c r="S987" s="12" t="s">
        <v>55</v>
      </c>
      <c r="T987" s="12" t="s">
        <v>47</v>
      </c>
      <c r="U987" s="17">
        <f t="shared" si="1"/>
        <v>3</v>
      </c>
    </row>
    <row r="988">
      <c r="A988" s="12" t="s">
        <v>350</v>
      </c>
      <c r="B988" s="12" t="s">
        <v>257</v>
      </c>
      <c r="C988" s="17">
        <v>65.0</v>
      </c>
      <c r="D988" s="12" t="s">
        <v>35</v>
      </c>
      <c r="E988" s="12" t="s">
        <v>51</v>
      </c>
      <c r="F988" s="12" t="s">
        <v>37</v>
      </c>
      <c r="G988" s="12" t="s">
        <v>63</v>
      </c>
      <c r="H988" s="15">
        <v>44699.0</v>
      </c>
      <c r="I988" s="17">
        <v>7.0</v>
      </c>
      <c r="J988" s="12" t="s">
        <v>40</v>
      </c>
      <c r="K988" s="12" t="s">
        <v>42</v>
      </c>
      <c r="L988" s="17">
        <v>1182.0</v>
      </c>
      <c r="M988" s="17">
        <v>1.0</v>
      </c>
      <c r="N988" s="17">
        <v>0.0</v>
      </c>
      <c r="O988" s="17">
        <v>15.5</v>
      </c>
      <c r="P988" s="17">
        <v>5.0</v>
      </c>
      <c r="Q988" s="15">
        <v>44740.0</v>
      </c>
      <c r="R988" s="12"/>
      <c r="S988" s="12" t="s">
        <v>55</v>
      </c>
      <c r="T988" s="12" t="s">
        <v>66</v>
      </c>
      <c r="U988" s="17">
        <f t="shared" si="1"/>
        <v>4</v>
      </c>
    </row>
    <row r="989">
      <c r="A989" s="12" t="s">
        <v>1254</v>
      </c>
      <c r="B989" s="12" t="s">
        <v>106</v>
      </c>
      <c r="C989" s="17">
        <v>22.0</v>
      </c>
      <c r="D989" s="12" t="s">
        <v>69</v>
      </c>
      <c r="E989" s="12" t="s">
        <v>70</v>
      </c>
      <c r="F989" s="12" t="s">
        <v>62</v>
      </c>
      <c r="G989" s="12" t="s">
        <v>39</v>
      </c>
      <c r="H989" s="15">
        <v>45119.0</v>
      </c>
      <c r="I989" s="17">
        <v>33.0</v>
      </c>
      <c r="J989" s="12" t="s">
        <v>53</v>
      </c>
      <c r="K989" s="12" t="s">
        <v>42</v>
      </c>
      <c r="L989" s="17">
        <v>755.0</v>
      </c>
      <c r="M989" s="17">
        <v>1.0</v>
      </c>
      <c r="N989" s="17">
        <v>0.0</v>
      </c>
      <c r="O989" s="17">
        <v>23.6</v>
      </c>
      <c r="P989" s="17">
        <v>2.9</v>
      </c>
      <c r="Q989" s="15">
        <v>45187.0</v>
      </c>
      <c r="R989" s="12" t="s">
        <v>1592</v>
      </c>
      <c r="S989" s="12" t="s">
        <v>45</v>
      </c>
      <c r="T989" s="12" t="s">
        <v>47</v>
      </c>
      <c r="U989" s="17">
        <f t="shared" si="1"/>
        <v>4</v>
      </c>
    </row>
    <row r="990">
      <c r="A990" s="12" t="s">
        <v>407</v>
      </c>
      <c r="B990" s="12" t="s">
        <v>651</v>
      </c>
      <c r="C990" s="17">
        <v>43.0</v>
      </c>
      <c r="D990" s="12" t="s">
        <v>60</v>
      </c>
      <c r="E990" s="12" t="s">
        <v>107</v>
      </c>
      <c r="F990" s="12" t="s">
        <v>37</v>
      </c>
      <c r="G990" s="12" t="s">
        <v>120</v>
      </c>
      <c r="H990" s="15">
        <v>44920.0</v>
      </c>
      <c r="I990" s="17">
        <v>46.0</v>
      </c>
      <c r="J990" s="12" t="s">
        <v>40</v>
      </c>
      <c r="K990" s="12" t="s">
        <v>42</v>
      </c>
      <c r="L990" s="17">
        <v>1164.0</v>
      </c>
      <c r="M990" s="17">
        <v>1.0</v>
      </c>
      <c r="N990" s="17">
        <v>0.0</v>
      </c>
      <c r="O990" s="17">
        <v>10.5</v>
      </c>
      <c r="P990" s="17">
        <v>3.9</v>
      </c>
      <c r="Q990" s="15">
        <v>46171.0</v>
      </c>
      <c r="R990" s="12"/>
      <c r="S990" s="12" t="s">
        <v>55</v>
      </c>
      <c r="T990" s="12" t="s">
        <v>72</v>
      </c>
      <c r="U990" s="17">
        <f t="shared" si="1"/>
        <v>4</v>
      </c>
    </row>
    <row r="991">
      <c r="A991" s="12" t="s">
        <v>462</v>
      </c>
      <c r="B991" s="12" t="s">
        <v>139</v>
      </c>
      <c r="C991" s="17">
        <v>29.0</v>
      </c>
      <c r="D991" s="12" t="s">
        <v>85</v>
      </c>
      <c r="E991" s="12" t="s">
        <v>87</v>
      </c>
      <c r="F991" s="12" t="s">
        <v>37</v>
      </c>
      <c r="G991" s="12" t="s">
        <v>52</v>
      </c>
      <c r="H991" s="15">
        <v>45389.0</v>
      </c>
      <c r="I991" s="17">
        <v>34.0</v>
      </c>
      <c r="J991" s="12" t="s">
        <v>64</v>
      </c>
      <c r="K991" s="12" t="s">
        <v>65</v>
      </c>
      <c r="L991" s="17">
        <v>1531.0</v>
      </c>
      <c r="M991" s="17">
        <v>3.0</v>
      </c>
      <c r="N991" s="17">
        <v>1.0</v>
      </c>
      <c r="O991" s="17">
        <v>31.7</v>
      </c>
      <c r="P991" s="17">
        <v>5.0</v>
      </c>
      <c r="Q991" s="15">
        <v>46228.0</v>
      </c>
      <c r="R991" s="12"/>
      <c r="S991" s="12" t="s">
        <v>55</v>
      </c>
      <c r="T991" s="12" t="s">
        <v>47</v>
      </c>
      <c r="U991" s="17">
        <f t="shared" si="1"/>
        <v>4</v>
      </c>
    </row>
    <row r="992">
      <c r="A992" s="12" t="s">
        <v>1593</v>
      </c>
      <c r="B992" s="12" t="s">
        <v>74</v>
      </c>
      <c r="C992" s="17">
        <v>39.0</v>
      </c>
      <c r="D992" s="12" t="s">
        <v>69</v>
      </c>
      <c r="E992" s="12" t="s">
        <v>70</v>
      </c>
      <c r="F992" s="12" t="s">
        <v>37</v>
      </c>
      <c r="G992" s="12" t="s">
        <v>210</v>
      </c>
      <c r="H992" s="15">
        <v>45173.0</v>
      </c>
      <c r="I992" s="17">
        <v>8.0</v>
      </c>
      <c r="J992" s="12" t="s">
        <v>53</v>
      </c>
      <c r="K992" s="12" t="s">
        <v>42</v>
      </c>
      <c r="L992" s="17">
        <v>1390.0</v>
      </c>
      <c r="M992" s="17">
        <v>3.0</v>
      </c>
      <c r="N992" s="17">
        <v>1.0</v>
      </c>
      <c r="O992" s="17">
        <v>15.0</v>
      </c>
      <c r="P992" s="17">
        <v>1.4</v>
      </c>
      <c r="Q992" s="15">
        <v>45259.0</v>
      </c>
      <c r="R992" s="12"/>
      <c r="S992" s="12" t="s">
        <v>55</v>
      </c>
      <c r="T992" s="12" t="s">
        <v>104</v>
      </c>
      <c r="U992" s="17">
        <f t="shared" si="1"/>
        <v>1</v>
      </c>
    </row>
    <row r="993">
      <c r="A993" s="12" t="s">
        <v>1594</v>
      </c>
      <c r="B993" s="12" t="s">
        <v>241</v>
      </c>
      <c r="C993" s="17">
        <v>50.0</v>
      </c>
      <c r="D993" s="12" t="s">
        <v>85</v>
      </c>
      <c r="E993" s="12" t="s">
        <v>111</v>
      </c>
      <c r="F993" s="12" t="s">
        <v>62</v>
      </c>
      <c r="G993" s="12" t="s">
        <v>80</v>
      </c>
      <c r="H993" s="15">
        <v>44848.0</v>
      </c>
      <c r="I993" s="17">
        <v>42.0</v>
      </c>
      <c r="J993" s="12" t="s">
        <v>53</v>
      </c>
      <c r="K993" s="12" t="s">
        <v>65</v>
      </c>
      <c r="L993" s="17">
        <v>701.0</v>
      </c>
      <c r="M993" s="17">
        <v>4.0</v>
      </c>
      <c r="N993" s="17">
        <v>1.0</v>
      </c>
      <c r="O993" s="17">
        <v>22.1</v>
      </c>
      <c r="P993" s="17">
        <v>3.1</v>
      </c>
      <c r="Q993" s="15">
        <v>44891.0</v>
      </c>
      <c r="R993" s="12" t="s">
        <v>304</v>
      </c>
      <c r="S993" s="12" t="s">
        <v>45</v>
      </c>
      <c r="T993" s="12" t="s">
        <v>75</v>
      </c>
      <c r="U993" s="17">
        <f t="shared" si="1"/>
        <v>1</v>
      </c>
    </row>
    <row r="994">
      <c r="A994" s="12" t="s">
        <v>1595</v>
      </c>
      <c r="B994" s="12" t="s">
        <v>734</v>
      </c>
      <c r="C994" s="17">
        <v>60.0</v>
      </c>
      <c r="D994" s="12" t="s">
        <v>69</v>
      </c>
      <c r="E994" s="12" t="s">
        <v>119</v>
      </c>
      <c r="F994" s="12" t="s">
        <v>716</v>
      </c>
      <c r="G994" s="12" t="s">
        <v>63</v>
      </c>
      <c r="H994" s="15">
        <v>45064.0</v>
      </c>
      <c r="I994" s="17">
        <v>10.0</v>
      </c>
      <c r="J994" s="12" t="s">
        <v>146</v>
      </c>
      <c r="K994" s="12" t="s">
        <v>42</v>
      </c>
      <c r="L994" s="17">
        <v>550.0</v>
      </c>
      <c r="M994" s="17">
        <v>2.0</v>
      </c>
      <c r="N994" s="17">
        <v>0.0</v>
      </c>
      <c r="O994" s="17">
        <v>17.5</v>
      </c>
      <c r="P994" s="17">
        <v>4.8</v>
      </c>
      <c r="Q994" s="15">
        <v>45101.0</v>
      </c>
      <c r="R994" s="12" t="s">
        <v>1596</v>
      </c>
      <c r="S994" s="12" t="s">
        <v>45</v>
      </c>
      <c r="T994" s="12" t="s">
        <v>66</v>
      </c>
      <c r="U994" s="17">
        <f t="shared" si="1"/>
        <v>3</v>
      </c>
    </row>
    <row r="995">
      <c r="A995" s="12" t="s">
        <v>893</v>
      </c>
      <c r="B995" s="12" t="s">
        <v>96</v>
      </c>
      <c r="C995" s="17">
        <v>25.0</v>
      </c>
      <c r="D995" s="12" t="s">
        <v>60</v>
      </c>
      <c r="E995" s="12" t="s">
        <v>133</v>
      </c>
      <c r="F995" s="12" t="s">
        <v>62</v>
      </c>
      <c r="G995" s="12" t="s">
        <v>93</v>
      </c>
      <c r="H995" s="15">
        <v>45543.0</v>
      </c>
      <c r="I995" s="17">
        <v>5.0</v>
      </c>
      <c r="J995" s="12" t="s">
        <v>40</v>
      </c>
      <c r="K995" s="12" t="s">
        <v>81</v>
      </c>
      <c r="L995" s="17">
        <v>598.0</v>
      </c>
      <c r="M995" s="17">
        <v>1.0</v>
      </c>
      <c r="N995" s="17">
        <v>1.0</v>
      </c>
      <c r="O995" s="17">
        <v>20.3</v>
      </c>
      <c r="P995" s="17">
        <v>4.3</v>
      </c>
      <c r="Q995" s="15">
        <v>45682.0</v>
      </c>
      <c r="R995" s="12"/>
      <c r="S995" s="12" t="s">
        <v>55</v>
      </c>
      <c r="T995" s="12" t="s">
        <v>66</v>
      </c>
      <c r="U995" s="17">
        <f t="shared" si="1"/>
        <v>2</v>
      </c>
    </row>
    <row r="996">
      <c r="A996" s="12" t="s">
        <v>1597</v>
      </c>
      <c r="B996" s="12" t="s">
        <v>257</v>
      </c>
      <c r="C996" s="17">
        <v>58.0</v>
      </c>
      <c r="D996" s="12" t="s">
        <v>35</v>
      </c>
      <c r="E996" s="12" t="s">
        <v>36</v>
      </c>
      <c r="F996" s="12" t="s">
        <v>37</v>
      </c>
      <c r="G996" s="12" t="s">
        <v>52</v>
      </c>
      <c r="H996" s="15">
        <v>45629.0</v>
      </c>
      <c r="I996" s="17">
        <v>24.0</v>
      </c>
      <c r="J996" s="12" t="s">
        <v>53</v>
      </c>
      <c r="K996" s="12" t="s">
        <v>65</v>
      </c>
      <c r="L996" s="17">
        <v>1341.0</v>
      </c>
      <c r="M996" s="17">
        <v>2.0</v>
      </c>
      <c r="N996" s="17">
        <v>1.0</v>
      </c>
      <c r="O996" s="17">
        <v>28.4</v>
      </c>
      <c r="P996" s="17">
        <v>3.0</v>
      </c>
      <c r="Q996" s="15">
        <v>46266.0</v>
      </c>
      <c r="R996" s="12"/>
      <c r="S996" s="12" t="s">
        <v>55</v>
      </c>
      <c r="T996" s="12" t="s">
        <v>72</v>
      </c>
      <c r="U996" s="17">
        <f t="shared" si="1"/>
        <v>1</v>
      </c>
    </row>
    <row r="997">
      <c r="A997" s="12" t="s">
        <v>1598</v>
      </c>
      <c r="B997" s="12" t="s">
        <v>247</v>
      </c>
      <c r="C997" s="17">
        <v>28.0</v>
      </c>
      <c r="D997" s="12" t="s">
        <v>35</v>
      </c>
      <c r="E997" s="12" t="s">
        <v>140</v>
      </c>
      <c r="F997" s="12" t="s">
        <v>37</v>
      </c>
      <c r="G997" s="12" t="s">
        <v>120</v>
      </c>
      <c r="H997" s="15">
        <v>45614.0</v>
      </c>
      <c r="I997" s="17">
        <v>3.0</v>
      </c>
      <c r="J997" s="12" t="s">
        <v>53</v>
      </c>
      <c r="K997" s="12" t="s">
        <v>65</v>
      </c>
      <c r="L997" s="12" t="s">
        <v>1599</v>
      </c>
      <c r="M997" s="17">
        <v>2.0</v>
      </c>
      <c r="N997" s="17">
        <v>1.0</v>
      </c>
      <c r="O997" s="17">
        <v>28.3</v>
      </c>
      <c r="P997" s="17">
        <v>3.9</v>
      </c>
      <c r="Q997" s="15">
        <v>45696.0</v>
      </c>
      <c r="R997" s="12"/>
      <c r="S997" s="12" t="s">
        <v>55</v>
      </c>
      <c r="T997" s="12" t="s">
        <v>75</v>
      </c>
      <c r="U997" s="17">
        <f t="shared" si="1"/>
        <v>1</v>
      </c>
    </row>
    <row r="998">
      <c r="A998" s="12" t="s">
        <v>1600</v>
      </c>
      <c r="B998" s="12" t="s">
        <v>152</v>
      </c>
      <c r="C998" s="17">
        <v>27.0</v>
      </c>
      <c r="D998" s="12" t="s">
        <v>60</v>
      </c>
      <c r="E998" s="12" t="s">
        <v>97</v>
      </c>
      <c r="F998" s="12" t="s">
        <v>62</v>
      </c>
      <c r="G998" s="12" t="s">
        <v>39</v>
      </c>
      <c r="H998" s="15">
        <v>44752.0</v>
      </c>
      <c r="I998" s="17">
        <v>40.0</v>
      </c>
      <c r="J998" s="12" t="s">
        <v>40</v>
      </c>
      <c r="K998" s="12" t="s">
        <v>65</v>
      </c>
      <c r="L998" s="17">
        <v>700.0</v>
      </c>
      <c r="M998" s="17">
        <v>0.0</v>
      </c>
      <c r="N998" s="17">
        <v>2.0</v>
      </c>
      <c r="O998" s="17">
        <v>32.9</v>
      </c>
      <c r="P998" s="17">
        <v>2.8</v>
      </c>
      <c r="Q998" s="15">
        <v>44852.0</v>
      </c>
      <c r="R998" s="12"/>
      <c r="S998" s="12" t="s">
        <v>55</v>
      </c>
      <c r="T998" s="12" t="s">
        <v>66</v>
      </c>
      <c r="U998" s="17">
        <f t="shared" si="1"/>
        <v>1</v>
      </c>
    </row>
    <row r="999">
      <c r="A999" s="12" t="s">
        <v>1601</v>
      </c>
      <c r="B999" s="12" t="s">
        <v>169</v>
      </c>
      <c r="C999" s="12" t="s">
        <v>976</v>
      </c>
      <c r="D999" s="12" t="s">
        <v>85</v>
      </c>
      <c r="E999" s="12" t="s">
        <v>111</v>
      </c>
      <c r="F999" s="12" t="s">
        <v>62</v>
      </c>
      <c r="G999" s="12" t="s">
        <v>80</v>
      </c>
      <c r="H999" s="15">
        <v>45084.0</v>
      </c>
      <c r="I999" s="17">
        <v>14.0</v>
      </c>
      <c r="J999" s="12" t="s">
        <v>40</v>
      </c>
      <c r="K999" s="12" t="s">
        <v>65</v>
      </c>
      <c r="L999" s="17">
        <v>532.0</v>
      </c>
      <c r="M999" s="17">
        <v>1.0</v>
      </c>
      <c r="N999" s="17">
        <v>2.0</v>
      </c>
      <c r="O999" s="17">
        <v>20.5</v>
      </c>
      <c r="P999" s="17">
        <v>4.3</v>
      </c>
      <c r="Q999" s="15">
        <v>45113.0</v>
      </c>
      <c r="R999" s="12"/>
      <c r="S999" s="12" t="s">
        <v>55</v>
      </c>
      <c r="T999" s="12" t="s">
        <v>47</v>
      </c>
      <c r="U999" s="17">
        <f t="shared" si="1"/>
        <v>2</v>
      </c>
    </row>
    <row r="1000">
      <c r="A1000" s="12" t="s">
        <v>1481</v>
      </c>
      <c r="B1000" s="12" t="s">
        <v>167</v>
      </c>
      <c r="C1000" s="17">
        <v>59.0</v>
      </c>
      <c r="D1000" s="12" t="s">
        <v>85</v>
      </c>
      <c r="E1000" s="12" t="s">
        <v>292</v>
      </c>
      <c r="F1000" s="12" t="s">
        <v>716</v>
      </c>
      <c r="G1000" s="12" t="s">
        <v>120</v>
      </c>
      <c r="H1000" s="15">
        <v>45263.0</v>
      </c>
      <c r="I1000" s="17">
        <v>40.0</v>
      </c>
      <c r="J1000" s="12" t="s">
        <v>64</v>
      </c>
      <c r="K1000" s="12" t="s">
        <v>326</v>
      </c>
      <c r="L1000" s="17">
        <v>689.0</v>
      </c>
      <c r="M1000" s="17">
        <v>2.0</v>
      </c>
      <c r="N1000" s="17">
        <v>1.0</v>
      </c>
      <c r="O1000" s="17">
        <v>8.2</v>
      </c>
      <c r="P1000" s="12"/>
      <c r="Q1000" s="15">
        <v>45801.0</v>
      </c>
      <c r="R1000" s="12" t="s">
        <v>1602</v>
      </c>
      <c r="S1000" s="12" t="s">
        <v>45</v>
      </c>
      <c r="T1000" s="12" t="s">
        <v>66</v>
      </c>
      <c r="U1000" s="17">
        <f t="shared" si="1"/>
        <v>2</v>
      </c>
    </row>
    <row r="1001">
      <c r="A1001" s="12" t="s">
        <v>1603</v>
      </c>
      <c r="B1001" s="12" t="s">
        <v>308</v>
      </c>
      <c r="C1001" s="17">
        <v>56.0</v>
      </c>
      <c r="D1001" s="12" t="s">
        <v>60</v>
      </c>
      <c r="E1001" s="12" t="s">
        <v>97</v>
      </c>
      <c r="F1001" s="12" t="s">
        <v>62</v>
      </c>
      <c r="G1001" s="12" t="s">
        <v>63</v>
      </c>
      <c r="H1001" s="15">
        <v>45450.0</v>
      </c>
      <c r="I1001" s="17">
        <v>31.0</v>
      </c>
      <c r="J1001" s="12" t="s">
        <v>53</v>
      </c>
      <c r="K1001" s="12" t="s">
        <v>65</v>
      </c>
      <c r="L1001" s="17">
        <v>759.0</v>
      </c>
      <c r="M1001" s="17">
        <v>3.0</v>
      </c>
      <c r="N1001" s="17">
        <v>0.0</v>
      </c>
      <c r="O1001" s="17">
        <v>5.0</v>
      </c>
      <c r="P1001" s="17">
        <v>3.4</v>
      </c>
      <c r="Q1001" s="15">
        <v>46201.0</v>
      </c>
      <c r="R1001" s="12"/>
      <c r="S1001" s="12" t="s">
        <v>55</v>
      </c>
      <c r="T1001" s="12" t="s">
        <v>104</v>
      </c>
      <c r="U1001" s="17">
        <f t="shared" si="1"/>
        <v>2</v>
      </c>
    </row>
    <row r="1002">
      <c r="A1002" s="12" t="s">
        <v>1604</v>
      </c>
      <c r="B1002" s="12" t="s">
        <v>393</v>
      </c>
      <c r="C1002" s="17">
        <v>55.0</v>
      </c>
      <c r="D1002" s="12" t="s">
        <v>69</v>
      </c>
      <c r="E1002" s="12" t="s">
        <v>187</v>
      </c>
      <c r="F1002" s="12" t="s">
        <v>79</v>
      </c>
      <c r="G1002" s="12" t="s">
        <v>39</v>
      </c>
      <c r="H1002" s="15">
        <v>45512.0</v>
      </c>
      <c r="I1002" s="17">
        <v>10.0</v>
      </c>
      <c r="J1002" s="12" t="s">
        <v>429</v>
      </c>
      <c r="K1002" s="12" t="s">
        <v>65</v>
      </c>
      <c r="L1002" s="17">
        <v>3034.0</v>
      </c>
      <c r="M1002" s="17">
        <v>2.0</v>
      </c>
      <c r="N1002" s="17">
        <v>1.0</v>
      </c>
      <c r="O1002" s="17">
        <v>39.9</v>
      </c>
      <c r="P1002" s="17">
        <v>3.3</v>
      </c>
      <c r="Q1002" s="15">
        <v>45707.0</v>
      </c>
      <c r="R1002" s="12" t="s">
        <v>1605</v>
      </c>
      <c r="S1002" s="12" t="s">
        <v>45</v>
      </c>
      <c r="T1002" s="12" t="s">
        <v>104</v>
      </c>
      <c r="U1002" s="17">
        <f t="shared" si="1"/>
        <v>2</v>
      </c>
    </row>
    <row r="1003">
      <c r="A1003" s="12" t="s">
        <v>1606</v>
      </c>
      <c r="B1003" s="12" t="s">
        <v>118</v>
      </c>
      <c r="C1003" s="17">
        <v>20.0</v>
      </c>
      <c r="D1003" s="12" t="s">
        <v>69</v>
      </c>
      <c r="E1003" s="12" t="s">
        <v>119</v>
      </c>
      <c r="F1003" s="12" t="s">
        <v>79</v>
      </c>
      <c r="G1003" s="12" t="s">
        <v>52</v>
      </c>
      <c r="H1003" s="15">
        <v>44697.0</v>
      </c>
      <c r="I1003" s="17">
        <v>21.0</v>
      </c>
      <c r="J1003" s="12" t="s">
        <v>53</v>
      </c>
      <c r="K1003" s="12" t="s">
        <v>65</v>
      </c>
      <c r="L1003" s="17">
        <v>2830.0</v>
      </c>
      <c r="M1003" s="17">
        <v>3.0</v>
      </c>
      <c r="N1003" s="17">
        <v>1.0</v>
      </c>
      <c r="O1003" s="17">
        <v>31.7</v>
      </c>
      <c r="P1003" s="17">
        <v>3.5</v>
      </c>
      <c r="Q1003" s="15">
        <v>45149.0</v>
      </c>
      <c r="R1003" s="12" t="s">
        <v>1607</v>
      </c>
      <c r="S1003" s="12" t="s">
        <v>45</v>
      </c>
      <c r="T1003" s="12" t="s">
        <v>104</v>
      </c>
      <c r="U1003" s="17">
        <f t="shared" si="1"/>
        <v>1</v>
      </c>
    </row>
    <row r="1004">
      <c r="A1004" s="12" t="s">
        <v>1608</v>
      </c>
      <c r="B1004" s="12" t="s">
        <v>605</v>
      </c>
      <c r="C1004" s="17">
        <v>40.0</v>
      </c>
      <c r="D1004" s="12" t="s">
        <v>69</v>
      </c>
      <c r="E1004" s="12" t="s">
        <v>119</v>
      </c>
      <c r="F1004" s="12" t="s">
        <v>79</v>
      </c>
      <c r="G1004" s="12" t="s">
        <v>120</v>
      </c>
      <c r="H1004" s="15">
        <v>45373.0</v>
      </c>
      <c r="I1004" s="17">
        <v>38.0</v>
      </c>
      <c r="J1004" s="12" t="s">
        <v>40</v>
      </c>
      <c r="K1004" s="12" t="s">
        <v>81</v>
      </c>
      <c r="L1004" s="17">
        <v>2585.0</v>
      </c>
      <c r="M1004" s="17">
        <v>1.0</v>
      </c>
      <c r="N1004" s="17">
        <v>0.0</v>
      </c>
      <c r="O1004" s="17">
        <v>36.7</v>
      </c>
      <c r="P1004" s="17">
        <v>3.9</v>
      </c>
      <c r="Q1004" s="15">
        <v>45881.0</v>
      </c>
      <c r="R1004" s="12"/>
      <c r="S1004" s="12" t="s">
        <v>55</v>
      </c>
      <c r="T1004" s="12" t="s">
        <v>72</v>
      </c>
      <c r="U1004" s="17">
        <f t="shared" si="1"/>
        <v>2</v>
      </c>
    </row>
    <row r="1005">
      <c r="A1005" s="12" t="s">
        <v>1609</v>
      </c>
      <c r="B1005" s="12" t="s">
        <v>132</v>
      </c>
      <c r="C1005" s="17">
        <v>49.0</v>
      </c>
      <c r="D1005" s="12" t="s">
        <v>85</v>
      </c>
      <c r="E1005" s="12" t="s">
        <v>292</v>
      </c>
      <c r="F1005" s="12" t="s">
        <v>716</v>
      </c>
      <c r="G1005" s="12" t="s">
        <v>63</v>
      </c>
      <c r="H1005" s="15">
        <v>44579.0</v>
      </c>
      <c r="I1005" s="17">
        <v>10.0</v>
      </c>
      <c r="J1005" s="12" t="s">
        <v>40</v>
      </c>
      <c r="K1005" s="12" t="s">
        <v>42</v>
      </c>
      <c r="L1005" s="17">
        <v>751.0</v>
      </c>
      <c r="M1005" s="17">
        <v>0.0</v>
      </c>
      <c r="N1005" s="17">
        <v>1.0</v>
      </c>
      <c r="O1005" s="17">
        <v>12.9</v>
      </c>
      <c r="P1005" s="17">
        <v>3.9</v>
      </c>
      <c r="Q1005" s="15">
        <v>44666.0</v>
      </c>
      <c r="R1005" s="12"/>
      <c r="S1005" s="12" t="s">
        <v>55</v>
      </c>
      <c r="T1005" s="12" t="s">
        <v>47</v>
      </c>
      <c r="U1005" s="17">
        <f t="shared" si="1"/>
        <v>3</v>
      </c>
    </row>
    <row r="1006">
      <c r="A1006" s="12" t="s">
        <v>1610</v>
      </c>
      <c r="B1006" s="12" t="s">
        <v>132</v>
      </c>
      <c r="C1006" s="17">
        <v>31.0</v>
      </c>
      <c r="D1006" s="12" t="s">
        <v>60</v>
      </c>
      <c r="E1006" s="12" t="s">
        <v>107</v>
      </c>
      <c r="F1006" s="12" t="s">
        <v>37</v>
      </c>
      <c r="G1006" s="12" t="s">
        <v>63</v>
      </c>
      <c r="H1006" s="15">
        <v>44644.0</v>
      </c>
      <c r="I1006" s="17">
        <v>11.0</v>
      </c>
      <c r="J1006" s="12" t="s">
        <v>40</v>
      </c>
      <c r="K1006" s="12" t="s">
        <v>65</v>
      </c>
      <c r="L1006" s="17">
        <v>1101.0</v>
      </c>
      <c r="M1006" s="17">
        <v>2.0</v>
      </c>
      <c r="N1006" s="17">
        <v>1.0</v>
      </c>
      <c r="O1006" s="17">
        <v>31.9</v>
      </c>
      <c r="P1006" s="17">
        <v>5.0</v>
      </c>
      <c r="Q1006" s="15">
        <v>44952.0</v>
      </c>
      <c r="R1006" s="12" t="s">
        <v>1611</v>
      </c>
      <c r="S1006" s="12" t="s">
        <v>45</v>
      </c>
      <c r="T1006" s="12" t="s">
        <v>75</v>
      </c>
      <c r="U1006" s="17">
        <f t="shared" si="1"/>
        <v>1</v>
      </c>
    </row>
    <row r="1007">
      <c r="A1007" s="12" t="s">
        <v>1612</v>
      </c>
      <c r="B1007" s="12" t="s">
        <v>288</v>
      </c>
      <c r="C1007" s="17">
        <v>50.0</v>
      </c>
      <c r="D1007" s="12" t="s">
        <v>60</v>
      </c>
      <c r="E1007" s="12" t="s">
        <v>107</v>
      </c>
      <c r="F1007" s="12" t="s">
        <v>37</v>
      </c>
      <c r="G1007" s="12" t="s">
        <v>80</v>
      </c>
      <c r="H1007" s="15">
        <v>44708.0</v>
      </c>
      <c r="I1007" s="17">
        <v>40.0</v>
      </c>
      <c r="J1007" s="12" t="s">
        <v>64</v>
      </c>
      <c r="K1007" s="12" t="s">
        <v>42</v>
      </c>
      <c r="L1007" s="17">
        <v>1472.0</v>
      </c>
      <c r="M1007" s="17">
        <v>4.0</v>
      </c>
      <c r="N1007" s="17">
        <v>0.0</v>
      </c>
      <c r="O1007" s="17">
        <v>33.4</v>
      </c>
      <c r="P1007" s="17">
        <v>2.3</v>
      </c>
      <c r="Q1007" s="15">
        <v>45250.0</v>
      </c>
      <c r="R1007" s="12"/>
      <c r="S1007" s="12" t="s">
        <v>55</v>
      </c>
      <c r="T1007" s="12" t="s">
        <v>72</v>
      </c>
      <c r="U1007" s="17">
        <f t="shared" si="1"/>
        <v>1</v>
      </c>
    </row>
    <row r="1008">
      <c r="A1008" s="12" t="s">
        <v>1123</v>
      </c>
      <c r="B1008" s="12" t="s">
        <v>393</v>
      </c>
      <c r="C1008" s="17">
        <v>34.0</v>
      </c>
      <c r="D1008" s="12" t="s">
        <v>85</v>
      </c>
      <c r="E1008" s="12" t="s">
        <v>92</v>
      </c>
      <c r="F1008" s="12" t="s">
        <v>37</v>
      </c>
      <c r="G1008" s="12" t="s">
        <v>52</v>
      </c>
      <c r="H1008" s="15">
        <v>45530.0</v>
      </c>
      <c r="I1008" s="17">
        <v>29.0</v>
      </c>
      <c r="J1008" s="12" t="s">
        <v>53</v>
      </c>
      <c r="K1008" s="12" t="s">
        <v>81</v>
      </c>
      <c r="L1008" s="17">
        <v>1312.0</v>
      </c>
      <c r="M1008" s="17">
        <v>2.0</v>
      </c>
      <c r="N1008" s="17">
        <v>1.0</v>
      </c>
      <c r="O1008" s="17">
        <v>9.9</v>
      </c>
      <c r="P1008" s="17">
        <v>3.4</v>
      </c>
      <c r="Q1008" s="15">
        <v>46209.0</v>
      </c>
      <c r="R1008" s="12"/>
      <c r="S1008" s="12" t="s">
        <v>55</v>
      </c>
      <c r="T1008" s="12" t="s">
        <v>72</v>
      </c>
      <c r="U1008" s="17">
        <f t="shared" si="1"/>
        <v>2</v>
      </c>
    </row>
    <row r="1009">
      <c r="A1009" s="12" t="s">
        <v>1313</v>
      </c>
      <c r="B1009" s="12" t="s">
        <v>106</v>
      </c>
      <c r="C1009" s="17">
        <v>65.0</v>
      </c>
      <c r="D1009" s="12" t="s">
        <v>69</v>
      </c>
      <c r="E1009" s="12" t="s">
        <v>119</v>
      </c>
      <c r="F1009" s="12" t="s">
        <v>62</v>
      </c>
      <c r="G1009" s="12" t="s">
        <v>39</v>
      </c>
      <c r="H1009" s="15">
        <v>44637.0</v>
      </c>
      <c r="I1009" s="17">
        <v>6.0</v>
      </c>
      <c r="J1009" s="12" t="s">
        <v>40</v>
      </c>
      <c r="K1009" s="12" t="s">
        <v>65</v>
      </c>
      <c r="L1009" s="17">
        <v>559.0</v>
      </c>
      <c r="M1009" s="17">
        <v>2.0</v>
      </c>
      <c r="N1009" s="17">
        <v>2.0</v>
      </c>
      <c r="O1009" s="17">
        <v>27.5</v>
      </c>
      <c r="P1009" s="17">
        <v>5.0</v>
      </c>
      <c r="Q1009" s="15">
        <v>44761.0</v>
      </c>
      <c r="R1009" s="12"/>
      <c r="S1009" s="12" t="s">
        <v>55</v>
      </c>
      <c r="T1009" s="12" t="s">
        <v>72</v>
      </c>
      <c r="U1009" s="17">
        <f t="shared" si="1"/>
        <v>2</v>
      </c>
    </row>
    <row r="1010">
      <c r="A1010" s="12" t="s">
        <v>1365</v>
      </c>
      <c r="B1010" s="12" t="s">
        <v>250</v>
      </c>
      <c r="C1010" s="17">
        <v>49.0</v>
      </c>
      <c r="D1010" s="12" t="s">
        <v>60</v>
      </c>
      <c r="E1010" s="12" t="s">
        <v>97</v>
      </c>
      <c r="F1010" s="12" t="s">
        <v>37</v>
      </c>
      <c r="G1010" s="12" t="s">
        <v>120</v>
      </c>
      <c r="H1010" s="15">
        <v>45401.0</v>
      </c>
      <c r="I1010" s="17">
        <v>8.0</v>
      </c>
      <c r="J1010" s="12" t="s">
        <v>64</v>
      </c>
      <c r="K1010" s="12" t="s">
        <v>42</v>
      </c>
      <c r="L1010" s="17">
        <v>1686.0</v>
      </c>
      <c r="M1010" s="17">
        <v>0.0</v>
      </c>
      <c r="N1010" s="17">
        <v>2.0</v>
      </c>
      <c r="O1010" s="17">
        <v>44.7</v>
      </c>
      <c r="P1010" s="17">
        <v>3.7</v>
      </c>
      <c r="Q1010" s="15">
        <v>45597.0</v>
      </c>
      <c r="R1010" s="12" t="s">
        <v>1613</v>
      </c>
      <c r="S1010" s="12" t="s">
        <v>230</v>
      </c>
      <c r="T1010" s="12" t="s">
        <v>72</v>
      </c>
      <c r="U1010" s="17">
        <f t="shared" si="1"/>
        <v>2</v>
      </c>
    </row>
    <row r="1011">
      <c r="A1011" s="12" t="s">
        <v>1614</v>
      </c>
      <c r="B1011" s="12" t="s">
        <v>229</v>
      </c>
      <c r="C1011" s="17">
        <v>27.0</v>
      </c>
      <c r="D1011" s="12" t="s">
        <v>85</v>
      </c>
      <c r="E1011" s="12" t="s">
        <v>111</v>
      </c>
      <c r="F1011" s="12" t="s">
        <v>62</v>
      </c>
      <c r="G1011" s="12" t="s">
        <v>63</v>
      </c>
      <c r="H1011" s="15">
        <v>44626.0</v>
      </c>
      <c r="I1011" s="17">
        <v>17.0</v>
      </c>
      <c r="J1011" s="12" t="s">
        <v>53</v>
      </c>
      <c r="K1011" s="12" t="s">
        <v>81</v>
      </c>
      <c r="L1011" s="17">
        <v>753.0</v>
      </c>
      <c r="M1011" s="17">
        <v>3.0</v>
      </c>
      <c r="N1011" s="17">
        <v>3.0</v>
      </c>
      <c r="O1011" s="17">
        <v>16.5</v>
      </c>
      <c r="P1011" s="17">
        <v>2.7</v>
      </c>
      <c r="Q1011" s="15">
        <v>45043.0</v>
      </c>
      <c r="R1011" s="12"/>
      <c r="S1011" s="12" t="s">
        <v>55</v>
      </c>
      <c r="T1011" s="12" t="s">
        <v>75</v>
      </c>
      <c r="U1011" s="17">
        <f t="shared" si="1"/>
        <v>1</v>
      </c>
    </row>
    <row r="1012">
      <c r="A1012" s="12" t="s">
        <v>1615</v>
      </c>
      <c r="B1012" s="12" t="s">
        <v>160</v>
      </c>
      <c r="C1012" s="12" t="s">
        <v>1616</v>
      </c>
      <c r="D1012" s="12" t="s">
        <v>60</v>
      </c>
      <c r="E1012" s="12" t="s">
        <v>97</v>
      </c>
      <c r="F1012" s="12" t="s">
        <v>62</v>
      </c>
      <c r="G1012" s="12" t="s">
        <v>93</v>
      </c>
      <c r="H1012" s="15">
        <v>44898.0</v>
      </c>
      <c r="I1012" s="17">
        <v>17.0</v>
      </c>
      <c r="J1012" s="12" t="s">
        <v>64</v>
      </c>
      <c r="K1012" s="12" t="s">
        <v>65</v>
      </c>
      <c r="L1012" s="17">
        <v>748.0</v>
      </c>
      <c r="M1012" s="17">
        <v>2.0</v>
      </c>
      <c r="N1012" s="17">
        <v>0.0</v>
      </c>
      <c r="O1012" s="17">
        <v>4.8</v>
      </c>
      <c r="P1012" s="17">
        <v>2.8</v>
      </c>
      <c r="Q1012" s="15">
        <v>44951.0</v>
      </c>
      <c r="R1012" s="12"/>
      <c r="S1012" s="12" t="s">
        <v>55</v>
      </c>
      <c r="T1012" s="12" t="s">
        <v>72</v>
      </c>
      <c r="U1012" s="17">
        <f t="shared" si="1"/>
        <v>1</v>
      </c>
    </row>
    <row r="1013">
      <c r="A1013" s="12" t="s">
        <v>1617</v>
      </c>
      <c r="B1013" s="12" t="s">
        <v>639</v>
      </c>
      <c r="C1013" s="17">
        <v>68.0</v>
      </c>
      <c r="D1013" s="12" t="s">
        <v>69</v>
      </c>
      <c r="E1013" s="12" t="s">
        <v>119</v>
      </c>
      <c r="F1013" s="12" t="s">
        <v>62</v>
      </c>
      <c r="G1013" s="12" t="s">
        <v>63</v>
      </c>
      <c r="H1013" s="15">
        <v>45855.0</v>
      </c>
      <c r="I1013" s="17">
        <v>24.0</v>
      </c>
      <c r="J1013" s="12" t="s">
        <v>64</v>
      </c>
      <c r="K1013" s="12" t="s">
        <v>42</v>
      </c>
      <c r="L1013" s="17">
        <v>813.0</v>
      </c>
      <c r="M1013" s="17">
        <v>3.0</v>
      </c>
      <c r="N1013" s="17">
        <v>0.0</v>
      </c>
      <c r="O1013" s="17">
        <v>14.8</v>
      </c>
      <c r="P1013" s="17">
        <v>4.1</v>
      </c>
      <c r="Q1013" s="15">
        <v>45867.0</v>
      </c>
      <c r="R1013" s="12"/>
      <c r="S1013" s="12" t="s">
        <v>55</v>
      </c>
      <c r="T1013" s="12" t="s">
        <v>47</v>
      </c>
      <c r="U1013" s="17">
        <f t="shared" si="1"/>
        <v>2</v>
      </c>
    </row>
    <row r="1014">
      <c r="A1014" s="12" t="s">
        <v>1292</v>
      </c>
      <c r="B1014" s="12" t="s">
        <v>232</v>
      </c>
      <c r="C1014" s="17">
        <v>12.0</v>
      </c>
      <c r="D1014" s="12" t="s">
        <v>60</v>
      </c>
      <c r="E1014" s="12" t="s">
        <v>107</v>
      </c>
      <c r="F1014" s="12" t="s">
        <v>37</v>
      </c>
      <c r="G1014" s="12" t="s">
        <v>80</v>
      </c>
      <c r="H1014" s="15">
        <v>45771.0</v>
      </c>
      <c r="I1014" s="17">
        <v>40.0</v>
      </c>
      <c r="J1014" s="12" t="s">
        <v>53</v>
      </c>
      <c r="K1014" s="12" t="s">
        <v>42</v>
      </c>
      <c r="L1014" s="17">
        <v>1444.0</v>
      </c>
      <c r="M1014" s="17">
        <v>2.0</v>
      </c>
      <c r="N1014" s="17">
        <v>3.0</v>
      </c>
      <c r="O1014" s="17">
        <v>33.2</v>
      </c>
      <c r="P1014" s="17">
        <v>3.8</v>
      </c>
      <c r="Q1014" s="15">
        <v>45861.0</v>
      </c>
      <c r="R1014" s="12" t="s">
        <v>1618</v>
      </c>
      <c r="S1014" s="12" t="s">
        <v>45</v>
      </c>
      <c r="T1014" s="12" t="s">
        <v>72</v>
      </c>
      <c r="U1014" s="17">
        <f t="shared" si="1"/>
        <v>2</v>
      </c>
    </row>
    <row r="1015">
      <c r="A1015" s="12" t="s">
        <v>1120</v>
      </c>
      <c r="B1015" s="12" t="s">
        <v>172</v>
      </c>
      <c r="C1015" s="17">
        <v>39.0</v>
      </c>
      <c r="D1015" s="12" t="s">
        <v>35</v>
      </c>
      <c r="E1015" s="12" t="s">
        <v>140</v>
      </c>
      <c r="F1015" s="12" t="s">
        <v>37</v>
      </c>
      <c r="G1015" s="12" t="s">
        <v>93</v>
      </c>
      <c r="H1015" s="15">
        <v>44690.0</v>
      </c>
      <c r="I1015" s="17">
        <v>31.0</v>
      </c>
      <c r="J1015" s="12" t="s">
        <v>64</v>
      </c>
      <c r="K1015" s="12" t="s">
        <v>42</v>
      </c>
      <c r="L1015" s="17">
        <v>1473.0</v>
      </c>
      <c r="M1015" s="17">
        <v>2.0</v>
      </c>
      <c r="N1015" s="17">
        <v>1.0</v>
      </c>
      <c r="O1015" s="17">
        <v>30.0</v>
      </c>
      <c r="P1015" s="17">
        <v>2.9</v>
      </c>
      <c r="Q1015" s="15">
        <v>45605.0</v>
      </c>
      <c r="R1015" s="12" t="s">
        <v>304</v>
      </c>
      <c r="S1015" s="12" t="s">
        <v>45</v>
      </c>
      <c r="T1015" s="12" t="s">
        <v>75</v>
      </c>
      <c r="U1015" s="17">
        <f t="shared" si="1"/>
        <v>4</v>
      </c>
    </row>
    <row r="1016">
      <c r="A1016" s="12" t="s">
        <v>109</v>
      </c>
      <c r="B1016" s="12" t="s">
        <v>316</v>
      </c>
      <c r="C1016" s="17">
        <v>34.0</v>
      </c>
      <c r="D1016" s="12" t="s">
        <v>60</v>
      </c>
      <c r="E1016" s="12" t="s">
        <v>61</v>
      </c>
      <c r="F1016" s="12" t="s">
        <v>37</v>
      </c>
      <c r="G1016" s="12" t="s">
        <v>52</v>
      </c>
      <c r="H1016" s="15">
        <v>45748.0</v>
      </c>
      <c r="I1016" s="17">
        <v>17.0</v>
      </c>
      <c r="J1016" s="12" t="s">
        <v>53</v>
      </c>
      <c r="K1016" s="12" t="s">
        <v>42</v>
      </c>
      <c r="L1016" s="17">
        <v>1542.0</v>
      </c>
      <c r="M1016" s="17">
        <v>3.0</v>
      </c>
      <c r="N1016" s="17">
        <v>1.0</v>
      </c>
      <c r="O1016" s="17">
        <v>28.8</v>
      </c>
      <c r="P1016" s="17">
        <v>1.6</v>
      </c>
      <c r="Q1016" s="15">
        <v>45799.0</v>
      </c>
      <c r="R1016" s="12"/>
      <c r="S1016" s="12" t="s">
        <v>55</v>
      </c>
      <c r="T1016" s="12" t="s">
        <v>75</v>
      </c>
      <c r="U1016" s="17">
        <f t="shared" si="1"/>
        <v>5</v>
      </c>
    </row>
    <row r="1017">
      <c r="A1017" s="12" t="s">
        <v>1619</v>
      </c>
      <c r="B1017" s="12" t="s">
        <v>239</v>
      </c>
      <c r="C1017" s="17">
        <v>50.0</v>
      </c>
      <c r="D1017" s="12" t="s">
        <v>306</v>
      </c>
      <c r="E1017" s="12" t="s">
        <v>161</v>
      </c>
      <c r="F1017" s="12" t="s">
        <v>37</v>
      </c>
      <c r="G1017" s="12" t="s">
        <v>80</v>
      </c>
      <c r="H1017" s="15">
        <v>45356.0</v>
      </c>
      <c r="I1017" s="17">
        <v>2.0</v>
      </c>
      <c r="J1017" s="12" t="s">
        <v>64</v>
      </c>
      <c r="K1017" s="12" t="s">
        <v>42</v>
      </c>
      <c r="L1017" s="17">
        <v>1784.0</v>
      </c>
      <c r="M1017" s="17">
        <v>0.0</v>
      </c>
      <c r="N1017" s="17">
        <v>0.0</v>
      </c>
      <c r="O1017" s="17">
        <v>17.4</v>
      </c>
      <c r="P1017" s="17">
        <v>4.4</v>
      </c>
      <c r="Q1017" s="15">
        <v>45464.0</v>
      </c>
      <c r="R1017" s="12"/>
      <c r="S1017" s="12" t="s">
        <v>55</v>
      </c>
      <c r="T1017" s="12" t="s">
        <v>66</v>
      </c>
      <c r="U1017" s="17">
        <f t="shared" si="1"/>
        <v>2</v>
      </c>
    </row>
    <row r="1018">
      <c r="A1018" s="12" t="s">
        <v>1620</v>
      </c>
      <c r="B1018" s="12" t="s">
        <v>135</v>
      </c>
      <c r="C1018" s="17">
        <v>40.0</v>
      </c>
      <c r="D1018" s="12" t="s">
        <v>60</v>
      </c>
      <c r="E1018" s="12" t="s">
        <v>61</v>
      </c>
      <c r="F1018" s="12" t="s">
        <v>79</v>
      </c>
      <c r="G1018" s="12" t="s">
        <v>120</v>
      </c>
      <c r="H1018" s="15">
        <v>45710.0</v>
      </c>
      <c r="I1018" s="17">
        <v>47.0</v>
      </c>
      <c r="J1018" s="12" t="s">
        <v>64</v>
      </c>
      <c r="K1018" s="12" t="s">
        <v>42</v>
      </c>
      <c r="L1018" s="17">
        <v>2409.0</v>
      </c>
      <c r="M1018" s="17">
        <v>4.0</v>
      </c>
      <c r="N1018" s="17">
        <v>1.0</v>
      </c>
      <c r="O1018" s="17">
        <v>38.0</v>
      </c>
      <c r="P1018" s="17">
        <v>2.3</v>
      </c>
      <c r="Q1018" s="15">
        <v>45749.0</v>
      </c>
      <c r="R1018" s="12"/>
      <c r="S1018" s="12" t="s">
        <v>55</v>
      </c>
      <c r="T1018" s="12" t="s">
        <v>75</v>
      </c>
      <c r="U1018" s="17">
        <f t="shared" si="1"/>
        <v>1</v>
      </c>
    </row>
    <row r="1019">
      <c r="A1019" s="12" t="s">
        <v>1570</v>
      </c>
      <c r="B1019" s="12" t="s">
        <v>801</v>
      </c>
      <c r="C1019" s="17">
        <v>65.0</v>
      </c>
      <c r="D1019" s="12" t="s">
        <v>35</v>
      </c>
      <c r="E1019" s="12" t="s">
        <v>51</v>
      </c>
      <c r="F1019" s="12" t="s">
        <v>79</v>
      </c>
      <c r="G1019" s="12" t="s">
        <v>52</v>
      </c>
      <c r="H1019" s="15">
        <v>45090.0</v>
      </c>
      <c r="I1019" s="17">
        <v>11.0</v>
      </c>
      <c r="J1019" s="12" t="s">
        <v>40</v>
      </c>
      <c r="K1019" s="12" t="s">
        <v>65</v>
      </c>
      <c r="L1019" s="17">
        <v>2850.0</v>
      </c>
      <c r="M1019" s="17">
        <v>2.0</v>
      </c>
      <c r="N1019" s="17">
        <v>1.0</v>
      </c>
      <c r="O1019" s="17">
        <v>39.1</v>
      </c>
      <c r="P1019" s="17">
        <v>3.1</v>
      </c>
      <c r="Q1019" s="15">
        <v>45182.0</v>
      </c>
      <c r="R1019" s="12"/>
      <c r="S1019" s="12" t="s">
        <v>55</v>
      </c>
      <c r="T1019" s="12" t="s">
        <v>104</v>
      </c>
      <c r="U1019" s="17">
        <f t="shared" si="1"/>
        <v>3</v>
      </c>
    </row>
    <row r="1020">
      <c r="A1020" s="12" t="s">
        <v>1621</v>
      </c>
      <c r="B1020" s="12" t="s">
        <v>215</v>
      </c>
      <c r="C1020" s="17">
        <v>68.0</v>
      </c>
      <c r="D1020" s="12" t="s">
        <v>60</v>
      </c>
      <c r="E1020" s="12" t="s">
        <v>107</v>
      </c>
      <c r="F1020" s="12" t="s">
        <v>79</v>
      </c>
      <c r="G1020" s="12" t="s">
        <v>52</v>
      </c>
      <c r="H1020" s="15">
        <v>45685.0</v>
      </c>
      <c r="I1020" s="17">
        <v>41.0</v>
      </c>
      <c r="J1020" s="12" t="s">
        <v>53</v>
      </c>
      <c r="K1020" s="12" t="s">
        <v>454</v>
      </c>
      <c r="L1020" s="17">
        <v>3746.0</v>
      </c>
      <c r="M1020" s="17">
        <v>3.0</v>
      </c>
      <c r="N1020" s="17">
        <v>1.0</v>
      </c>
      <c r="O1020" s="17">
        <v>42.2</v>
      </c>
      <c r="P1020" s="17">
        <v>4.5</v>
      </c>
      <c r="Q1020" s="15">
        <v>45701.0</v>
      </c>
      <c r="R1020" s="12"/>
      <c r="S1020" s="12" t="s">
        <v>827</v>
      </c>
      <c r="T1020" s="12" t="s">
        <v>104</v>
      </c>
      <c r="U1020" s="17">
        <f t="shared" si="1"/>
        <v>2</v>
      </c>
    </row>
    <row r="1021">
      <c r="A1021" s="12" t="s">
        <v>1621</v>
      </c>
      <c r="B1021" s="12" t="s">
        <v>342</v>
      </c>
      <c r="C1021" s="17">
        <v>24.0</v>
      </c>
      <c r="D1021" s="12" t="s">
        <v>85</v>
      </c>
      <c r="E1021" s="12" t="s">
        <v>92</v>
      </c>
      <c r="F1021" s="12" t="s">
        <v>62</v>
      </c>
      <c r="G1021" s="12" t="s">
        <v>93</v>
      </c>
      <c r="H1021" s="15">
        <v>45656.0</v>
      </c>
      <c r="I1021" s="17">
        <v>30.0</v>
      </c>
      <c r="J1021" s="12" t="s">
        <v>53</v>
      </c>
      <c r="K1021" s="12" t="s">
        <v>42</v>
      </c>
      <c r="L1021" s="17">
        <v>745.0</v>
      </c>
      <c r="M1021" s="17">
        <v>4.0</v>
      </c>
      <c r="N1021" s="17">
        <v>1.0</v>
      </c>
      <c r="O1021" s="17">
        <v>18.3</v>
      </c>
      <c r="P1021" s="17">
        <v>2.5</v>
      </c>
      <c r="Q1021" s="15">
        <v>45950.0</v>
      </c>
      <c r="R1021" s="12"/>
      <c r="S1021" s="12" t="s">
        <v>55</v>
      </c>
      <c r="T1021" s="12" t="s">
        <v>75</v>
      </c>
      <c r="U1021" s="17">
        <f t="shared" si="1"/>
        <v>2</v>
      </c>
    </row>
    <row r="1022">
      <c r="A1022" s="12" t="s">
        <v>1622</v>
      </c>
      <c r="B1022" s="12" t="s">
        <v>316</v>
      </c>
      <c r="C1022" s="17">
        <v>67.0</v>
      </c>
      <c r="D1022" s="12" t="s">
        <v>60</v>
      </c>
      <c r="E1022" s="12" t="s">
        <v>61</v>
      </c>
      <c r="F1022" s="12" t="s">
        <v>413</v>
      </c>
      <c r="G1022" s="12" t="s">
        <v>80</v>
      </c>
      <c r="H1022" s="15">
        <v>44738.0</v>
      </c>
      <c r="I1022" s="17">
        <v>5.0</v>
      </c>
      <c r="J1022" s="12" t="s">
        <v>64</v>
      </c>
      <c r="K1022" s="12" t="s">
        <v>65</v>
      </c>
      <c r="L1022" s="17">
        <v>3068.0</v>
      </c>
      <c r="M1022" s="17">
        <v>1.0</v>
      </c>
      <c r="N1022" s="17">
        <v>1.0</v>
      </c>
      <c r="O1022" s="17">
        <v>37.1</v>
      </c>
      <c r="P1022" s="17">
        <v>3.4</v>
      </c>
      <c r="Q1022" s="15">
        <v>44884.0</v>
      </c>
      <c r="R1022" s="12"/>
      <c r="S1022" s="12" t="s">
        <v>55</v>
      </c>
      <c r="T1022" s="12" t="s">
        <v>104</v>
      </c>
      <c r="U1022" s="17">
        <f t="shared" si="1"/>
        <v>1</v>
      </c>
    </row>
    <row r="1023">
      <c r="A1023" s="12" t="s">
        <v>1623</v>
      </c>
      <c r="B1023" s="12" t="s">
        <v>340</v>
      </c>
      <c r="C1023" s="17">
        <v>66.0</v>
      </c>
      <c r="D1023" s="12" t="s">
        <v>85</v>
      </c>
      <c r="E1023" s="12" t="s">
        <v>87</v>
      </c>
      <c r="F1023" s="12" t="s">
        <v>62</v>
      </c>
      <c r="G1023" s="12" t="s">
        <v>80</v>
      </c>
      <c r="H1023" s="15">
        <v>45386.0</v>
      </c>
      <c r="I1023" s="17">
        <v>14.0</v>
      </c>
      <c r="J1023" s="12" t="s">
        <v>40</v>
      </c>
      <c r="K1023" s="12" t="s">
        <v>81</v>
      </c>
      <c r="L1023" s="17">
        <v>816.0</v>
      </c>
      <c r="M1023" s="17">
        <v>4.0</v>
      </c>
      <c r="N1023" s="17">
        <v>0.0</v>
      </c>
      <c r="O1023" s="17">
        <v>20.3</v>
      </c>
      <c r="P1023" s="17">
        <v>2.6</v>
      </c>
      <c r="Q1023" s="15">
        <v>45792.0</v>
      </c>
      <c r="R1023" s="12"/>
      <c r="S1023" s="12" t="s">
        <v>529</v>
      </c>
      <c r="T1023" s="12" t="s">
        <v>75</v>
      </c>
      <c r="U1023" s="17">
        <f t="shared" si="1"/>
        <v>2</v>
      </c>
    </row>
    <row r="1024">
      <c r="A1024" s="12" t="s">
        <v>1624</v>
      </c>
      <c r="B1024" s="12" t="s">
        <v>295</v>
      </c>
      <c r="C1024" s="17">
        <v>60.0</v>
      </c>
      <c r="D1024" s="12" t="s">
        <v>85</v>
      </c>
      <c r="E1024" s="12" t="s">
        <v>87</v>
      </c>
      <c r="F1024" s="12" t="s">
        <v>62</v>
      </c>
      <c r="G1024" s="12" t="s">
        <v>210</v>
      </c>
      <c r="H1024" s="15">
        <v>44969.0</v>
      </c>
      <c r="I1024" s="17">
        <v>3.0</v>
      </c>
      <c r="J1024" s="12" t="s">
        <v>53</v>
      </c>
      <c r="K1024" s="12" t="s">
        <v>65</v>
      </c>
      <c r="L1024" s="17">
        <v>595.0</v>
      </c>
      <c r="M1024" s="17">
        <v>3.0</v>
      </c>
      <c r="N1024" s="17">
        <v>0.0</v>
      </c>
      <c r="O1024" s="17">
        <v>18.8</v>
      </c>
      <c r="P1024" s="17">
        <v>2.8</v>
      </c>
      <c r="Q1024" s="15">
        <v>45024.0</v>
      </c>
      <c r="R1024" s="12"/>
      <c r="S1024" s="12" t="s">
        <v>55</v>
      </c>
      <c r="T1024" s="12" t="s">
        <v>104</v>
      </c>
      <c r="U1024" s="17">
        <f t="shared" si="1"/>
        <v>2</v>
      </c>
    </row>
    <row r="1025">
      <c r="A1025" s="12" t="s">
        <v>1625</v>
      </c>
      <c r="B1025" s="12" t="s">
        <v>257</v>
      </c>
      <c r="C1025" s="17">
        <v>26.0</v>
      </c>
      <c r="D1025" s="12" t="s">
        <v>85</v>
      </c>
      <c r="E1025" s="12" t="s">
        <v>292</v>
      </c>
      <c r="F1025" s="12" t="s">
        <v>62</v>
      </c>
      <c r="G1025" s="12" t="s">
        <v>63</v>
      </c>
      <c r="H1025" s="15">
        <v>45779.0</v>
      </c>
      <c r="I1025" s="17">
        <v>34.0</v>
      </c>
      <c r="J1025" s="12" t="s">
        <v>64</v>
      </c>
      <c r="K1025" s="12" t="s">
        <v>42</v>
      </c>
      <c r="L1025" s="17">
        <v>558.0</v>
      </c>
      <c r="M1025" s="17">
        <v>2.0</v>
      </c>
      <c r="N1025" s="17">
        <v>1.0</v>
      </c>
      <c r="O1025" s="17">
        <v>21.5</v>
      </c>
      <c r="P1025" s="17">
        <v>3.3</v>
      </c>
      <c r="Q1025" s="15">
        <v>46758.0</v>
      </c>
      <c r="R1025" s="12"/>
      <c r="S1025" s="12" t="s">
        <v>55</v>
      </c>
      <c r="T1025" s="12" t="s">
        <v>72</v>
      </c>
      <c r="U1025" s="17">
        <f t="shared" si="1"/>
        <v>2</v>
      </c>
    </row>
    <row r="1026">
      <c r="A1026" s="12" t="s">
        <v>1072</v>
      </c>
      <c r="B1026" s="12" t="s">
        <v>206</v>
      </c>
      <c r="C1026" s="17">
        <v>36.0</v>
      </c>
      <c r="D1026" s="12" t="s">
        <v>60</v>
      </c>
      <c r="E1026" s="12" t="s">
        <v>133</v>
      </c>
      <c r="F1026" s="12" t="s">
        <v>62</v>
      </c>
      <c r="G1026" s="12" t="s">
        <v>93</v>
      </c>
      <c r="H1026" s="15">
        <v>44780.0</v>
      </c>
      <c r="I1026" s="17">
        <v>4.0</v>
      </c>
      <c r="J1026" s="12" t="s">
        <v>53</v>
      </c>
      <c r="K1026" s="12" t="s">
        <v>65</v>
      </c>
      <c r="L1026" s="17">
        <v>839.0</v>
      </c>
      <c r="M1026" s="17">
        <v>1.0</v>
      </c>
      <c r="N1026" s="17">
        <v>1.0</v>
      </c>
      <c r="O1026" s="17">
        <v>25.5</v>
      </c>
      <c r="P1026" s="17">
        <v>2.6</v>
      </c>
      <c r="Q1026" s="15">
        <v>44856.0</v>
      </c>
      <c r="R1026" s="12" t="s">
        <v>1626</v>
      </c>
      <c r="S1026" s="12" t="s">
        <v>45</v>
      </c>
      <c r="T1026" s="12" t="s">
        <v>104</v>
      </c>
      <c r="U1026" s="17">
        <f t="shared" si="1"/>
        <v>3</v>
      </c>
    </row>
    <row r="1027">
      <c r="A1027" s="12" t="s">
        <v>1627</v>
      </c>
      <c r="B1027" s="12" t="s">
        <v>336</v>
      </c>
      <c r="C1027" s="17">
        <v>52.0</v>
      </c>
      <c r="D1027" s="12" t="s">
        <v>60</v>
      </c>
      <c r="E1027" s="12" t="s">
        <v>61</v>
      </c>
      <c r="F1027" s="12" t="s">
        <v>37</v>
      </c>
      <c r="G1027" s="12" t="s">
        <v>52</v>
      </c>
      <c r="H1027" s="15">
        <v>45176.0</v>
      </c>
      <c r="I1027" s="17">
        <v>27.0</v>
      </c>
      <c r="J1027" s="12" t="s">
        <v>64</v>
      </c>
      <c r="K1027" s="12" t="s">
        <v>81</v>
      </c>
      <c r="L1027" s="17">
        <v>1334.0</v>
      </c>
      <c r="M1027" s="17">
        <v>2.0</v>
      </c>
      <c r="N1027" s="17">
        <v>0.0</v>
      </c>
      <c r="O1027" s="17">
        <v>19.8</v>
      </c>
      <c r="P1027" s="17">
        <v>4.2</v>
      </c>
      <c r="Q1027" s="15">
        <v>45914.0</v>
      </c>
      <c r="R1027" s="12"/>
      <c r="S1027" s="12" t="s">
        <v>55</v>
      </c>
      <c r="T1027" s="12" t="s">
        <v>104</v>
      </c>
      <c r="U1027" s="17">
        <f t="shared" si="1"/>
        <v>1</v>
      </c>
    </row>
    <row r="1028">
      <c r="A1028" s="12" t="s">
        <v>1230</v>
      </c>
      <c r="B1028" s="12" t="s">
        <v>424</v>
      </c>
      <c r="C1028" s="17">
        <v>36.0</v>
      </c>
      <c r="D1028" s="12" t="s">
        <v>35</v>
      </c>
      <c r="E1028" s="12" t="s">
        <v>36</v>
      </c>
      <c r="F1028" s="12" t="s">
        <v>79</v>
      </c>
      <c r="G1028" s="12" t="s">
        <v>93</v>
      </c>
      <c r="H1028" s="15">
        <v>45245.0</v>
      </c>
      <c r="I1028" s="17">
        <v>21.0</v>
      </c>
      <c r="J1028" s="12" t="s">
        <v>53</v>
      </c>
      <c r="K1028" s="12" t="s">
        <v>81</v>
      </c>
      <c r="L1028" s="17">
        <v>2433.0</v>
      </c>
      <c r="M1028" s="17">
        <v>2.0</v>
      </c>
      <c r="N1028" s="17">
        <v>2.0</v>
      </c>
      <c r="O1028" s="17">
        <v>26.5</v>
      </c>
      <c r="P1028" s="17">
        <v>3.2</v>
      </c>
      <c r="Q1028" s="15">
        <v>45851.0</v>
      </c>
      <c r="R1028" s="12" t="s">
        <v>1628</v>
      </c>
      <c r="S1028" s="12" t="s">
        <v>45</v>
      </c>
      <c r="T1028" s="12" t="s">
        <v>66</v>
      </c>
      <c r="U1028" s="17">
        <f t="shared" si="1"/>
        <v>4</v>
      </c>
    </row>
    <row r="1029">
      <c r="A1029" s="12" t="s">
        <v>1629</v>
      </c>
      <c r="B1029" s="12" t="s">
        <v>126</v>
      </c>
      <c r="C1029" s="17">
        <v>23.0</v>
      </c>
      <c r="D1029" s="12" t="s">
        <v>60</v>
      </c>
      <c r="E1029" s="12" t="s">
        <v>107</v>
      </c>
      <c r="F1029" s="12" t="s">
        <v>497</v>
      </c>
      <c r="G1029" s="12" t="s">
        <v>120</v>
      </c>
      <c r="H1029" s="15">
        <v>44645.0</v>
      </c>
      <c r="I1029" s="17">
        <v>20.0</v>
      </c>
      <c r="J1029" s="12" t="s">
        <v>40</v>
      </c>
      <c r="K1029" s="12" t="s">
        <v>81</v>
      </c>
      <c r="L1029" s="17">
        <v>714.0</v>
      </c>
      <c r="M1029" s="17">
        <v>4.0</v>
      </c>
      <c r="N1029" s="17">
        <v>2.0</v>
      </c>
      <c r="O1029" s="17">
        <v>8.6</v>
      </c>
      <c r="P1029" s="17">
        <v>3.9</v>
      </c>
      <c r="Q1029" s="15">
        <v>44996.0</v>
      </c>
      <c r="R1029" s="12" t="s">
        <v>1630</v>
      </c>
      <c r="S1029" s="12" t="s">
        <v>45</v>
      </c>
      <c r="T1029" s="12" t="s">
        <v>104</v>
      </c>
      <c r="U1029" s="17">
        <f t="shared" si="1"/>
        <v>3</v>
      </c>
    </row>
    <row r="1030">
      <c r="A1030" s="12" t="s">
        <v>1631</v>
      </c>
      <c r="B1030" s="12" t="s">
        <v>342</v>
      </c>
      <c r="C1030" s="17">
        <v>29.0</v>
      </c>
      <c r="D1030" s="12" t="s">
        <v>85</v>
      </c>
      <c r="E1030" s="12" t="s">
        <v>292</v>
      </c>
      <c r="F1030" s="12" t="s">
        <v>37</v>
      </c>
      <c r="G1030" s="12" t="s">
        <v>210</v>
      </c>
      <c r="H1030" s="15">
        <v>45393.0</v>
      </c>
      <c r="I1030" s="17">
        <v>35.0</v>
      </c>
      <c r="J1030" s="12" t="s">
        <v>40</v>
      </c>
      <c r="K1030" s="12" t="s">
        <v>81</v>
      </c>
      <c r="L1030" s="17">
        <v>1604.0</v>
      </c>
      <c r="M1030" s="17">
        <v>2.0</v>
      </c>
      <c r="N1030" s="17">
        <v>0.0</v>
      </c>
      <c r="O1030" s="17">
        <v>14.9</v>
      </c>
      <c r="P1030" s="17">
        <v>4.6</v>
      </c>
      <c r="Q1030" s="15">
        <v>45910.0</v>
      </c>
      <c r="R1030" s="12"/>
      <c r="S1030" s="12" t="s">
        <v>55</v>
      </c>
      <c r="T1030" s="12" t="s">
        <v>66</v>
      </c>
      <c r="U1030" s="17">
        <f t="shared" si="1"/>
        <v>1</v>
      </c>
    </row>
    <row r="1031">
      <c r="A1031" s="12" t="s">
        <v>313</v>
      </c>
      <c r="B1031" s="12" t="s">
        <v>331</v>
      </c>
      <c r="C1031" s="17">
        <v>55.0</v>
      </c>
      <c r="D1031" s="12" t="s">
        <v>35</v>
      </c>
      <c r="E1031" s="12" t="s">
        <v>36</v>
      </c>
      <c r="F1031" s="12" t="s">
        <v>37</v>
      </c>
      <c r="G1031" s="12" t="s">
        <v>52</v>
      </c>
      <c r="H1031" s="15">
        <v>46012.0</v>
      </c>
      <c r="I1031" s="17">
        <v>9.0</v>
      </c>
      <c r="J1031" s="12" t="s">
        <v>64</v>
      </c>
      <c r="K1031" s="12" t="s">
        <v>42</v>
      </c>
      <c r="L1031" s="12" t="s">
        <v>1632</v>
      </c>
      <c r="M1031" s="17">
        <v>0.0</v>
      </c>
      <c r="N1031" s="17">
        <v>1.0</v>
      </c>
      <c r="O1031" s="17">
        <v>23.6</v>
      </c>
      <c r="P1031" s="17">
        <v>3.8</v>
      </c>
      <c r="Q1031" s="15">
        <v>46230.0</v>
      </c>
      <c r="R1031" s="12"/>
      <c r="S1031" s="12" t="s">
        <v>55</v>
      </c>
      <c r="T1031" s="12" t="s">
        <v>75</v>
      </c>
      <c r="U1031" s="17">
        <f t="shared" si="1"/>
        <v>2</v>
      </c>
    </row>
    <row r="1032">
      <c r="A1032" s="12" t="s">
        <v>1633</v>
      </c>
      <c r="B1032" s="12" t="s">
        <v>393</v>
      </c>
      <c r="C1032" s="17">
        <v>56.0</v>
      </c>
      <c r="D1032" s="12" t="s">
        <v>69</v>
      </c>
      <c r="E1032" s="12" t="s">
        <v>70</v>
      </c>
      <c r="F1032" s="12" t="s">
        <v>62</v>
      </c>
      <c r="G1032" s="12" t="s">
        <v>80</v>
      </c>
      <c r="H1032" s="15">
        <v>45927.0</v>
      </c>
      <c r="I1032" s="17">
        <v>25.0</v>
      </c>
      <c r="J1032" s="12" t="s">
        <v>53</v>
      </c>
      <c r="K1032" s="12" t="s">
        <v>65</v>
      </c>
      <c r="L1032" s="17">
        <v>769.0</v>
      </c>
      <c r="M1032" s="17">
        <v>1.0</v>
      </c>
      <c r="N1032" s="17">
        <v>1.0</v>
      </c>
      <c r="O1032" s="17">
        <v>4.9</v>
      </c>
      <c r="P1032" s="17">
        <v>3.3</v>
      </c>
      <c r="Q1032" s="15">
        <v>46076.0</v>
      </c>
      <c r="R1032" s="12"/>
      <c r="S1032" s="12" t="s">
        <v>55</v>
      </c>
      <c r="T1032" s="12" t="s">
        <v>47</v>
      </c>
      <c r="U1032" s="17">
        <f t="shared" si="1"/>
        <v>1</v>
      </c>
    </row>
    <row r="1033">
      <c r="A1033" s="12" t="s">
        <v>1634</v>
      </c>
      <c r="B1033" s="12" t="s">
        <v>106</v>
      </c>
      <c r="C1033" s="17">
        <v>60.0</v>
      </c>
      <c r="D1033" s="12" t="s">
        <v>35</v>
      </c>
      <c r="E1033" s="12" t="s">
        <v>140</v>
      </c>
      <c r="F1033" s="12" t="s">
        <v>62</v>
      </c>
      <c r="G1033" s="12" t="s">
        <v>80</v>
      </c>
      <c r="H1033" s="15">
        <v>45581.0</v>
      </c>
      <c r="I1033" s="17">
        <v>1.0</v>
      </c>
      <c r="J1033" s="12" t="s">
        <v>64</v>
      </c>
      <c r="K1033" s="12" t="s">
        <v>42</v>
      </c>
      <c r="L1033" s="17">
        <v>706.0</v>
      </c>
      <c r="M1033" s="17">
        <v>0.0</v>
      </c>
      <c r="N1033" s="17">
        <v>0.0</v>
      </c>
      <c r="O1033" s="17">
        <v>24.9</v>
      </c>
      <c r="P1033" s="17">
        <v>2.2</v>
      </c>
      <c r="Q1033" s="15">
        <v>45607.0</v>
      </c>
      <c r="R1033" s="12" t="s">
        <v>1635</v>
      </c>
      <c r="S1033" s="12" t="s">
        <v>827</v>
      </c>
      <c r="T1033" s="12" t="s">
        <v>47</v>
      </c>
      <c r="U1033" s="17">
        <f t="shared" si="1"/>
        <v>1</v>
      </c>
    </row>
    <row r="1034">
      <c r="A1034" s="12" t="s">
        <v>1636</v>
      </c>
      <c r="B1034" s="12" t="s">
        <v>398</v>
      </c>
      <c r="C1034" s="17">
        <v>55.0</v>
      </c>
      <c r="D1034" s="12" t="s">
        <v>35</v>
      </c>
      <c r="E1034" s="12" t="s">
        <v>51</v>
      </c>
      <c r="F1034" s="12" t="s">
        <v>79</v>
      </c>
      <c r="G1034" s="12" t="s">
        <v>52</v>
      </c>
      <c r="H1034" s="15">
        <v>44657.0</v>
      </c>
      <c r="I1034" s="17">
        <v>47.0</v>
      </c>
      <c r="J1034" s="12" t="s">
        <v>40</v>
      </c>
      <c r="K1034" s="12" t="s">
        <v>81</v>
      </c>
      <c r="L1034" s="17">
        <v>3975.0</v>
      </c>
      <c r="M1034" s="17">
        <v>4.0</v>
      </c>
      <c r="N1034" s="17">
        <v>2.0</v>
      </c>
      <c r="O1034" s="17">
        <v>44.6</v>
      </c>
      <c r="P1034" s="17">
        <v>4.4</v>
      </c>
      <c r="Q1034" s="15">
        <v>45113.0</v>
      </c>
      <c r="R1034" s="12"/>
      <c r="S1034" s="12" t="s">
        <v>55</v>
      </c>
      <c r="T1034" s="12" t="s">
        <v>47</v>
      </c>
      <c r="U1034" s="17">
        <f t="shared" si="1"/>
        <v>1</v>
      </c>
    </row>
    <row r="1035">
      <c r="A1035" s="12" t="s">
        <v>1637</v>
      </c>
      <c r="B1035" s="12" t="s">
        <v>281</v>
      </c>
      <c r="C1035" s="17">
        <v>45.0</v>
      </c>
      <c r="D1035" s="12" t="s">
        <v>35</v>
      </c>
      <c r="E1035" s="12" t="s">
        <v>36</v>
      </c>
      <c r="F1035" s="12" t="s">
        <v>62</v>
      </c>
      <c r="G1035" s="12" t="s">
        <v>210</v>
      </c>
      <c r="H1035" s="15">
        <v>44984.0</v>
      </c>
      <c r="I1035" s="17">
        <v>29.0</v>
      </c>
      <c r="J1035" s="12" t="s">
        <v>53</v>
      </c>
      <c r="K1035" s="12" t="s">
        <v>81</v>
      </c>
      <c r="L1035" s="17">
        <v>869.0</v>
      </c>
      <c r="M1035" s="17">
        <v>3.0</v>
      </c>
      <c r="N1035" s="17">
        <v>3.0</v>
      </c>
      <c r="O1035" s="17">
        <v>7.2</v>
      </c>
      <c r="P1035" s="17">
        <v>2.9</v>
      </c>
      <c r="Q1035" s="15">
        <v>45120.0</v>
      </c>
      <c r="R1035" s="12"/>
      <c r="S1035" s="12" t="s">
        <v>55</v>
      </c>
      <c r="T1035" s="12" t="s">
        <v>66</v>
      </c>
      <c r="U1035" s="17">
        <f t="shared" si="1"/>
        <v>1</v>
      </c>
    </row>
    <row r="1036">
      <c r="A1036" s="12" t="s">
        <v>1638</v>
      </c>
      <c r="B1036" s="12" t="s">
        <v>110</v>
      </c>
      <c r="C1036" s="17">
        <v>36.0</v>
      </c>
      <c r="D1036" s="12" t="s">
        <v>60</v>
      </c>
      <c r="E1036" s="12" t="s">
        <v>133</v>
      </c>
      <c r="F1036" s="12" t="s">
        <v>37</v>
      </c>
      <c r="G1036" s="12" t="s">
        <v>93</v>
      </c>
      <c r="H1036" s="15">
        <v>45862.0</v>
      </c>
      <c r="I1036" s="17">
        <v>10.0</v>
      </c>
      <c r="J1036" s="12" t="s">
        <v>53</v>
      </c>
      <c r="K1036" s="12" t="s">
        <v>42</v>
      </c>
      <c r="L1036" s="17">
        <v>1191.0</v>
      </c>
      <c r="M1036" s="17">
        <v>2.0</v>
      </c>
      <c r="N1036" s="17">
        <v>0.0</v>
      </c>
      <c r="O1036" s="17">
        <v>49.1</v>
      </c>
      <c r="P1036" s="17">
        <v>4.2</v>
      </c>
      <c r="Q1036" s="15">
        <v>45996.0</v>
      </c>
      <c r="R1036" s="12"/>
      <c r="S1036" s="12" t="s">
        <v>55</v>
      </c>
      <c r="T1036" s="12" t="s">
        <v>72</v>
      </c>
      <c r="U1036" s="17">
        <f t="shared" si="1"/>
        <v>2</v>
      </c>
    </row>
    <row r="1037">
      <c r="A1037" s="12" t="s">
        <v>95</v>
      </c>
      <c r="B1037" s="12" t="s">
        <v>78</v>
      </c>
      <c r="C1037" s="17">
        <v>37.0</v>
      </c>
      <c r="D1037" s="12" t="s">
        <v>85</v>
      </c>
      <c r="E1037" s="12" t="s">
        <v>87</v>
      </c>
      <c r="F1037" s="12" t="s">
        <v>62</v>
      </c>
      <c r="G1037" s="12" t="s">
        <v>93</v>
      </c>
      <c r="H1037" s="15">
        <v>44684.0</v>
      </c>
      <c r="I1037" s="17">
        <v>48.0</v>
      </c>
      <c r="J1037" s="12" t="s">
        <v>53</v>
      </c>
      <c r="K1037" s="12" t="s">
        <v>42</v>
      </c>
      <c r="L1037" s="17">
        <v>647.0</v>
      </c>
      <c r="M1037" s="17">
        <v>2.0</v>
      </c>
      <c r="N1037" s="17">
        <v>2.0</v>
      </c>
      <c r="O1037" s="17">
        <v>18.4</v>
      </c>
      <c r="P1037" s="17">
        <v>4.4</v>
      </c>
      <c r="Q1037" s="15">
        <v>44920.0</v>
      </c>
      <c r="R1037" s="12"/>
      <c r="S1037" s="12" t="s">
        <v>55</v>
      </c>
      <c r="T1037" s="12" t="s">
        <v>75</v>
      </c>
      <c r="U1037" s="17">
        <f t="shared" si="1"/>
        <v>4</v>
      </c>
    </row>
    <row r="1038">
      <c r="A1038" s="12" t="s">
        <v>1639</v>
      </c>
      <c r="B1038" s="12" t="s">
        <v>380</v>
      </c>
      <c r="C1038" s="17">
        <v>49.0</v>
      </c>
      <c r="D1038" s="12" t="s">
        <v>35</v>
      </c>
      <c r="E1038" s="12" t="s">
        <v>140</v>
      </c>
      <c r="F1038" s="12" t="s">
        <v>37</v>
      </c>
      <c r="G1038" s="12" t="s">
        <v>80</v>
      </c>
      <c r="H1038" s="15">
        <v>44695.0</v>
      </c>
      <c r="I1038" s="17">
        <v>38.0</v>
      </c>
      <c r="J1038" s="12" t="s">
        <v>53</v>
      </c>
      <c r="K1038" s="12" t="s">
        <v>65</v>
      </c>
      <c r="L1038" s="17">
        <v>1658.0</v>
      </c>
      <c r="M1038" s="17">
        <v>0.0</v>
      </c>
      <c r="N1038" s="17">
        <v>1.0</v>
      </c>
      <c r="O1038" s="17">
        <v>34.9</v>
      </c>
      <c r="P1038" s="17">
        <v>3.3</v>
      </c>
      <c r="Q1038" s="15">
        <v>45625.0</v>
      </c>
      <c r="R1038" s="12"/>
      <c r="S1038" s="12" t="s">
        <v>217</v>
      </c>
      <c r="T1038" s="12" t="s">
        <v>47</v>
      </c>
      <c r="U1038" s="17">
        <f t="shared" si="1"/>
        <v>1</v>
      </c>
    </row>
    <row r="1039">
      <c r="A1039" s="12" t="s">
        <v>660</v>
      </c>
      <c r="B1039" s="12" t="s">
        <v>736</v>
      </c>
      <c r="C1039" s="17">
        <v>65.0</v>
      </c>
      <c r="D1039" s="12" t="s">
        <v>69</v>
      </c>
      <c r="E1039" s="12" t="s">
        <v>119</v>
      </c>
      <c r="F1039" s="12" t="s">
        <v>79</v>
      </c>
      <c r="G1039" s="12" t="s">
        <v>63</v>
      </c>
      <c r="H1039" s="15">
        <v>45042.0</v>
      </c>
      <c r="I1039" s="17">
        <v>42.0</v>
      </c>
      <c r="J1039" s="12" t="s">
        <v>53</v>
      </c>
      <c r="K1039" s="12" t="s">
        <v>81</v>
      </c>
      <c r="L1039" s="17">
        <v>3042.0</v>
      </c>
      <c r="M1039" s="17">
        <v>3.0</v>
      </c>
      <c r="N1039" s="17">
        <v>0.0</v>
      </c>
      <c r="O1039" s="17">
        <v>43.3</v>
      </c>
      <c r="P1039" s="17">
        <v>3.8</v>
      </c>
      <c r="Q1039" s="15">
        <v>45348.0</v>
      </c>
      <c r="R1039" s="12"/>
      <c r="S1039" s="12" t="s">
        <v>55</v>
      </c>
      <c r="T1039" s="12" t="s">
        <v>72</v>
      </c>
      <c r="U1039" s="17">
        <f t="shared" si="1"/>
        <v>6</v>
      </c>
    </row>
    <row r="1040">
      <c r="A1040" s="12" t="s">
        <v>1432</v>
      </c>
      <c r="B1040" s="12" t="s">
        <v>380</v>
      </c>
      <c r="C1040" s="17">
        <v>35.0</v>
      </c>
      <c r="D1040" s="12" t="s">
        <v>35</v>
      </c>
      <c r="E1040" s="12" t="s">
        <v>161</v>
      </c>
      <c r="F1040" s="12" t="s">
        <v>79</v>
      </c>
      <c r="G1040" s="12" t="s">
        <v>80</v>
      </c>
      <c r="H1040" s="15">
        <v>45197.0</v>
      </c>
      <c r="I1040" s="17">
        <v>48.0</v>
      </c>
      <c r="J1040" s="12" t="s">
        <v>40</v>
      </c>
      <c r="K1040" s="12" t="s">
        <v>81</v>
      </c>
      <c r="L1040" s="17">
        <v>3959.0</v>
      </c>
      <c r="M1040" s="17">
        <v>0.0</v>
      </c>
      <c r="N1040" s="17">
        <v>0.0</v>
      </c>
      <c r="O1040" s="17">
        <v>27.3</v>
      </c>
      <c r="P1040" s="17">
        <v>4.9</v>
      </c>
      <c r="Q1040" s="15">
        <v>45426.0</v>
      </c>
      <c r="R1040" s="12"/>
      <c r="S1040" s="12" t="s">
        <v>55</v>
      </c>
      <c r="T1040" s="12" t="s">
        <v>66</v>
      </c>
      <c r="U1040" s="17">
        <f t="shared" si="1"/>
        <v>2</v>
      </c>
    </row>
    <row r="1041">
      <c r="A1041" s="12" t="s">
        <v>1640</v>
      </c>
      <c r="B1041" s="12" t="s">
        <v>448</v>
      </c>
      <c r="C1041" s="17">
        <v>19.0</v>
      </c>
      <c r="D1041" s="12" t="s">
        <v>69</v>
      </c>
      <c r="E1041" s="12" t="s">
        <v>119</v>
      </c>
      <c r="F1041" s="12" t="s">
        <v>79</v>
      </c>
      <c r="G1041" s="12" t="s">
        <v>63</v>
      </c>
      <c r="H1041" s="15">
        <v>44867.0</v>
      </c>
      <c r="I1041" s="17">
        <v>2.0</v>
      </c>
      <c r="J1041" s="12" t="s">
        <v>53</v>
      </c>
      <c r="K1041" s="12" t="s">
        <v>42</v>
      </c>
      <c r="L1041" s="17">
        <v>3133.0</v>
      </c>
      <c r="M1041" s="17">
        <v>2.0</v>
      </c>
      <c r="N1041" s="17">
        <v>0.0</v>
      </c>
      <c r="O1041" s="17">
        <v>50.4</v>
      </c>
      <c r="P1041" s="17">
        <v>4.0</v>
      </c>
      <c r="Q1041" s="15">
        <v>44930.0</v>
      </c>
      <c r="R1041" s="12"/>
      <c r="S1041" s="12" t="s">
        <v>55</v>
      </c>
      <c r="T1041" s="12" t="s">
        <v>47</v>
      </c>
      <c r="U1041" s="17">
        <f t="shared" si="1"/>
        <v>1</v>
      </c>
    </row>
    <row r="1042">
      <c r="A1042" s="12" t="s">
        <v>1196</v>
      </c>
      <c r="B1042" s="12" t="s">
        <v>59</v>
      </c>
      <c r="C1042" s="17">
        <v>49.0</v>
      </c>
      <c r="D1042" s="12" t="s">
        <v>60</v>
      </c>
      <c r="E1042" s="12" t="s">
        <v>133</v>
      </c>
      <c r="F1042" s="12" t="s">
        <v>62</v>
      </c>
      <c r="G1042" s="12" t="s">
        <v>93</v>
      </c>
      <c r="H1042" s="15">
        <v>45118.0</v>
      </c>
      <c r="I1042" s="17">
        <v>38.0</v>
      </c>
      <c r="J1042" s="12" t="s">
        <v>64</v>
      </c>
      <c r="K1042" s="12" t="s">
        <v>42</v>
      </c>
      <c r="L1042" s="17">
        <v>704.0</v>
      </c>
      <c r="M1042" s="17">
        <v>0.0</v>
      </c>
      <c r="N1042" s="17">
        <v>1.0</v>
      </c>
      <c r="O1042" s="17">
        <v>15.5</v>
      </c>
      <c r="P1042" s="17">
        <v>2.3</v>
      </c>
      <c r="Q1042" s="15">
        <v>45858.0</v>
      </c>
      <c r="R1042" s="12"/>
      <c r="S1042" s="12" t="s">
        <v>230</v>
      </c>
      <c r="T1042" s="12" t="s">
        <v>47</v>
      </c>
      <c r="U1042" s="17">
        <f t="shared" si="1"/>
        <v>2</v>
      </c>
    </row>
    <row r="1043">
      <c r="A1043" s="12" t="s">
        <v>1642</v>
      </c>
      <c r="B1043" s="12" t="s">
        <v>325</v>
      </c>
      <c r="C1043" s="17">
        <v>55.0</v>
      </c>
      <c r="D1043" s="12" t="s">
        <v>35</v>
      </c>
      <c r="E1043" s="12" t="s">
        <v>161</v>
      </c>
      <c r="F1043" s="12" t="s">
        <v>62</v>
      </c>
      <c r="G1043" s="12" t="s">
        <v>93</v>
      </c>
      <c r="H1043" s="15">
        <v>45055.0</v>
      </c>
      <c r="I1043" s="17">
        <v>35.0</v>
      </c>
      <c r="J1043" s="12" t="s">
        <v>40</v>
      </c>
      <c r="K1043" s="12" t="s">
        <v>42</v>
      </c>
      <c r="L1043" s="17">
        <v>615.0</v>
      </c>
      <c r="M1043" s="17">
        <v>3.0</v>
      </c>
      <c r="N1043" s="17">
        <v>2.0</v>
      </c>
      <c r="O1043" s="17">
        <v>16.9</v>
      </c>
      <c r="P1043" s="17">
        <v>4.4</v>
      </c>
      <c r="Q1043" s="15">
        <v>45098.0</v>
      </c>
      <c r="R1043" s="12"/>
      <c r="S1043" s="12" t="s">
        <v>55</v>
      </c>
      <c r="T1043" s="12" t="s">
        <v>75</v>
      </c>
      <c r="U1043" s="17">
        <f t="shared" si="1"/>
        <v>1</v>
      </c>
    </row>
    <row r="1044">
      <c r="A1044" s="12" t="s">
        <v>1507</v>
      </c>
      <c r="B1044" s="12" t="s">
        <v>362</v>
      </c>
      <c r="C1044" s="17">
        <v>32.0</v>
      </c>
      <c r="D1044" s="12" t="s">
        <v>69</v>
      </c>
      <c r="E1044" s="12" t="s">
        <v>119</v>
      </c>
      <c r="F1044" s="12" t="s">
        <v>62</v>
      </c>
      <c r="G1044" s="12" t="s">
        <v>52</v>
      </c>
      <c r="H1044" s="15">
        <v>44710.0</v>
      </c>
      <c r="I1044" s="17">
        <v>7.0</v>
      </c>
      <c r="J1044" s="12" t="s">
        <v>53</v>
      </c>
      <c r="K1044" s="12" t="s">
        <v>42</v>
      </c>
      <c r="L1044" s="17">
        <v>779.0</v>
      </c>
      <c r="M1044" s="17">
        <v>3.0</v>
      </c>
      <c r="N1044" s="17">
        <v>0.0</v>
      </c>
      <c r="O1044" s="17">
        <v>16.7</v>
      </c>
      <c r="P1044" s="17">
        <v>2.9</v>
      </c>
      <c r="Q1044" s="15">
        <v>44754.0</v>
      </c>
      <c r="R1044" s="12"/>
      <c r="S1044" s="12" t="s">
        <v>55</v>
      </c>
      <c r="T1044" s="12" t="s">
        <v>104</v>
      </c>
      <c r="U1044" s="17">
        <f t="shared" si="1"/>
        <v>3</v>
      </c>
    </row>
    <row r="1045">
      <c r="A1045" s="12" t="s">
        <v>1643</v>
      </c>
      <c r="B1045" s="12" t="s">
        <v>736</v>
      </c>
      <c r="C1045" s="17">
        <v>57.0</v>
      </c>
      <c r="D1045" s="12" t="s">
        <v>35</v>
      </c>
      <c r="E1045" s="12" t="s">
        <v>140</v>
      </c>
      <c r="F1045" s="12" t="s">
        <v>62</v>
      </c>
      <c r="G1045" s="12" t="s">
        <v>210</v>
      </c>
      <c r="H1045" s="15">
        <v>45878.0</v>
      </c>
      <c r="I1045" s="17">
        <v>38.0</v>
      </c>
      <c r="J1045" s="12" t="s">
        <v>64</v>
      </c>
      <c r="K1045" s="12" t="s">
        <v>81</v>
      </c>
      <c r="L1045" s="17">
        <v>606.0</v>
      </c>
      <c r="M1045" s="17">
        <v>2.0</v>
      </c>
      <c r="N1045" s="17">
        <v>1.0</v>
      </c>
      <c r="O1045" s="17">
        <v>23.6</v>
      </c>
      <c r="P1045" s="17">
        <v>3.9</v>
      </c>
      <c r="Q1045" s="15">
        <v>46372.0</v>
      </c>
      <c r="R1045" s="12" t="s">
        <v>1644</v>
      </c>
      <c r="S1045" s="12" t="s">
        <v>45</v>
      </c>
      <c r="T1045" s="12" t="s">
        <v>47</v>
      </c>
      <c r="U1045" s="17">
        <f t="shared" si="1"/>
        <v>1</v>
      </c>
    </row>
    <row r="1046">
      <c r="A1046" s="12" t="s">
        <v>1645</v>
      </c>
      <c r="B1046" s="12" t="s">
        <v>91</v>
      </c>
      <c r="C1046" s="17">
        <v>24.0</v>
      </c>
      <c r="D1046" s="12" t="s">
        <v>85</v>
      </c>
      <c r="E1046" s="12" t="s">
        <v>92</v>
      </c>
      <c r="F1046" s="12" t="s">
        <v>37</v>
      </c>
      <c r="G1046" s="12" t="s">
        <v>52</v>
      </c>
      <c r="H1046" s="15">
        <v>45987.0</v>
      </c>
      <c r="I1046" s="17">
        <v>47.0</v>
      </c>
      <c r="J1046" s="12" t="s">
        <v>64</v>
      </c>
      <c r="K1046" s="12" t="s">
        <v>81</v>
      </c>
      <c r="L1046" s="17">
        <v>1220.0</v>
      </c>
      <c r="M1046" s="17">
        <v>2.0</v>
      </c>
      <c r="N1046" s="17">
        <v>1.0</v>
      </c>
      <c r="O1046" s="17">
        <v>20.8</v>
      </c>
      <c r="P1046" s="17">
        <v>4.7</v>
      </c>
      <c r="Q1046" s="15">
        <v>46840.0</v>
      </c>
      <c r="R1046" s="12"/>
      <c r="S1046" s="12" t="s">
        <v>55</v>
      </c>
      <c r="T1046" s="12" t="s">
        <v>47</v>
      </c>
      <c r="U1046" s="17">
        <f t="shared" si="1"/>
        <v>1</v>
      </c>
    </row>
    <row r="1047">
      <c r="A1047" s="12" t="s">
        <v>1530</v>
      </c>
      <c r="B1047" s="12" t="s">
        <v>239</v>
      </c>
      <c r="C1047" s="17">
        <v>61.0</v>
      </c>
      <c r="D1047" s="12" t="s">
        <v>60</v>
      </c>
      <c r="E1047" s="12" t="s">
        <v>61</v>
      </c>
      <c r="F1047" s="12" t="s">
        <v>62</v>
      </c>
      <c r="G1047" s="12" t="s">
        <v>210</v>
      </c>
      <c r="H1047" s="15">
        <v>45292.0</v>
      </c>
      <c r="I1047" s="17">
        <v>29.0</v>
      </c>
      <c r="J1047" s="12" t="s">
        <v>53</v>
      </c>
      <c r="K1047" s="12" t="s">
        <v>42</v>
      </c>
      <c r="L1047" s="17">
        <v>583.0</v>
      </c>
      <c r="M1047" s="17">
        <v>1.0</v>
      </c>
      <c r="N1047" s="17">
        <v>1.0</v>
      </c>
      <c r="O1047" s="17">
        <v>10.4</v>
      </c>
      <c r="P1047" s="17">
        <v>4.1</v>
      </c>
      <c r="Q1047" s="15">
        <v>45401.0</v>
      </c>
      <c r="R1047" s="12"/>
      <c r="S1047" s="12" t="s">
        <v>55</v>
      </c>
      <c r="T1047" s="12" t="s">
        <v>47</v>
      </c>
      <c r="U1047" s="17">
        <f t="shared" si="1"/>
        <v>3</v>
      </c>
    </row>
    <row r="1048">
      <c r="A1048" s="12" t="s">
        <v>1418</v>
      </c>
      <c r="B1048" s="12" t="s">
        <v>459</v>
      </c>
      <c r="C1048" s="12"/>
      <c r="D1048" s="12" t="s">
        <v>69</v>
      </c>
      <c r="E1048" s="12" t="s">
        <v>70</v>
      </c>
      <c r="F1048" s="12" t="s">
        <v>37</v>
      </c>
      <c r="G1048" s="12" t="s">
        <v>39</v>
      </c>
      <c r="H1048" s="15">
        <v>44990.0</v>
      </c>
      <c r="I1048" s="17">
        <v>13.0</v>
      </c>
      <c r="J1048" s="12" t="s">
        <v>40</v>
      </c>
      <c r="K1048" s="12" t="s">
        <v>337</v>
      </c>
      <c r="L1048" s="17">
        <v>1061.0</v>
      </c>
      <c r="M1048" s="17">
        <v>3.0</v>
      </c>
      <c r="N1048" s="17">
        <v>0.0</v>
      </c>
      <c r="O1048" s="17">
        <v>21.2</v>
      </c>
      <c r="P1048" s="17">
        <v>4.5</v>
      </c>
      <c r="Q1048" s="15">
        <v>45230.0</v>
      </c>
      <c r="R1048" s="12"/>
      <c r="S1048" s="12" t="s">
        <v>55</v>
      </c>
      <c r="T1048" s="12" t="s">
        <v>47</v>
      </c>
      <c r="U1048" s="17">
        <f t="shared" si="1"/>
        <v>3</v>
      </c>
    </row>
    <row r="1049">
      <c r="A1049" s="12" t="s">
        <v>1646</v>
      </c>
      <c r="B1049" s="12" t="s">
        <v>50</v>
      </c>
      <c r="C1049" s="17">
        <v>25.0</v>
      </c>
      <c r="D1049" s="12" t="s">
        <v>60</v>
      </c>
      <c r="E1049" s="12" t="s">
        <v>133</v>
      </c>
      <c r="F1049" s="12" t="s">
        <v>62</v>
      </c>
      <c r="G1049" s="12" t="s">
        <v>63</v>
      </c>
      <c r="H1049" s="15">
        <v>44887.0</v>
      </c>
      <c r="I1049" s="17">
        <v>31.0</v>
      </c>
      <c r="J1049" s="12" t="s">
        <v>40</v>
      </c>
      <c r="K1049" s="12" t="s">
        <v>42</v>
      </c>
      <c r="L1049" s="17">
        <v>586.0</v>
      </c>
      <c r="M1049" s="17">
        <v>2.0</v>
      </c>
      <c r="N1049" s="17">
        <v>1.0</v>
      </c>
      <c r="O1049" s="17">
        <v>30.2</v>
      </c>
      <c r="P1049" s="17">
        <v>3.0</v>
      </c>
      <c r="Q1049" s="15">
        <v>45442.0</v>
      </c>
      <c r="R1049" s="12"/>
      <c r="S1049" s="12" t="s">
        <v>827</v>
      </c>
      <c r="T1049" s="12" t="s">
        <v>47</v>
      </c>
      <c r="U1049" s="17">
        <f t="shared" si="1"/>
        <v>2</v>
      </c>
    </row>
    <row r="1050">
      <c r="A1050" s="12" t="s">
        <v>1499</v>
      </c>
      <c r="B1050" s="12" t="s">
        <v>448</v>
      </c>
      <c r="C1050" s="17">
        <v>47.0</v>
      </c>
      <c r="D1050" s="12" t="s">
        <v>69</v>
      </c>
      <c r="E1050" s="12" t="s">
        <v>119</v>
      </c>
      <c r="F1050" s="12" t="s">
        <v>62</v>
      </c>
      <c r="G1050" s="12" t="s">
        <v>630</v>
      </c>
      <c r="H1050" s="15">
        <v>45994.0</v>
      </c>
      <c r="I1050" s="17">
        <v>11.0</v>
      </c>
      <c r="J1050" s="12" t="s">
        <v>40</v>
      </c>
      <c r="K1050" s="12" t="s">
        <v>81</v>
      </c>
      <c r="L1050" s="17">
        <v>765.0</v>
      </c>
      <c r="M1050" s="17">
        <v>2.0</v>
      </c>
      <c r="N1050" s="17">
        <v>0.0</v>
      </c>
      <c r="O1050" s="17">
        <v>18.3</v>
      </c>
      <c r="P1050" s="17">
        <v>5.0</v>
      </c>
      <c r="Q1050" s="15">
        <v>46275.0</v>
      </c>
      <c r="R1050" s="12"/>
      <c r="S1050" s="12" t="s">
        <v>55</v>
      </c>
      <c r="T1050" s="12" t="s">
        <v>66</v>
      </c>
      <c r="U1050" s="17">
        <f t="shared" si="1"/>
        <v>2</v>
      </c>
    </row>
    <row r="1051">
      <c r="A1051" s="12" t="s">
        <v>1647</v>
      </c>
      <c r="B1051" s="12" t="s">
        <v>333</v>
      </c>
      <c r="C1051" s="17">
        <v>37.0</v>
      </c>
      <c r="D1051" s="12" t="s">
        <v>69</v>
      </c>
      <c r="E1051" s="12" t="s">
        <v>119</v>
      </c>
      <c r="F1051" s="12" t="s">
        <v>62</v>
      </c>
      <c r="G1051" s="12" t="s">
        <v>80</v>
      </c>
      <c r="H1051" s="15">
        <v>45473.0</v>
      </c>
      <c r="I1051" s="17">
        <v>18.0</v>
      </c>
      <c r="J1051" s="12" t="s">
        <v>53</v>
      </c>
      <c r="K1051" s="12" t="s">
        <v>81</v>
      </c>
      <c r="L1051" s="17">
        <v>809.0</v>
      </c>
      <c r="M1051" s="17">
        <v>2.0</v>
      </c>
      <c r="N1051" s="17">
        <v>1.0</v>
      </c>
      <c r="O1051" s="17">
        <v>18.2</v>
      </c>
      <c r="P1051" s="17">
        <v>3.7</v>
      </c>
      <c r="Q1051" s="15">
        <v>45503.0</v>
      </c>
      <c r="R1051" s="12"/>
      <c r="S1051" s="12" t="s">
        <v>55</v>
      </c>
      <c r="T1051" s="12" t="s">
        <v>75</v>
      </c>
      <c r="U1051" s="17">
        <f t="shared" si="1"/>
        <v>1</v>
      </c>
    </row>
    <row r="1052">
      <c r="A1052" s="12" t="s">
        <v>1648</v>
      </c>
      <c r="B1052" s="12" t="s">
        <v>126</v>
      </c>
      <c r="C1052" s="17">
        <v>53.0</v>
      </c>
      <c r="D1052" s="12" t="s">
        <v>35</v>
      </c>
      <c r="E1052" s="12" t="s">
        <v>51</v>
      </c>
      <c r="F1052" s="12" t="s">
        <v>79</v>
      </c>
      <c r="G1052" s="12" t="s">
        <v>39</v>
      </c>
      <c r="H1052" s="15">
        <v>45996.0</v>
      </c>
      <c r="I1052" s="17">
        <v>35.0</v>
      </c>
      <c r="J1052" s="12" t="s">
        <v>40</v>
      </c>
      <c r="K1052" s="12" t="s">
        <v>42</v>
      </c>
      <c r="L1052" s="17">
        <v>2980.0</v>
      </c>
      <c r="M1052" s="17">
        <v>2.0</v>
      </c>
      <c r="N1052" s="17">
        <v>1.0</v>
      </c>
      <c r="O1052" s="17">
        <v>37.9</v>
      </c>
      <c r="P1052" s="17">
        <v>4.3</v>
      </c>
      <c r="Q1052" s="15">
        <v>46814.0</v>
      </c>
      <c r="R1052" s="12" t="s">
        <v>1649</v>
      </c>
      <c r="S1052" s="12" t="s">
        <v>45</v>
      </c>
      <c r="T1052" s="12" t="s">
        <v>47</v>
      </c>
      <c r="U1052" s="17">
        <f t="shared" si="1"/>
        <v>2</v>
      </c>
    </row>
    <row r="1053">
      <c r="A1053" s="12" t="s">
        <v>1650</v>
      </c>
      <c r="B1053" s="12" t="s">
        <v>96</v>
      </c>
      <c r="C1053" s="17">
        <v>46.0</v>
      </c>
      <c r="D1053" s="12" t="s">
        <v>35</v>
      </c>
      <c r="E1053" s="12" t="s">
        <v>51</v>
      </c>
      <c r="F1053" s="12" t="s">
        <v>37</v>
      </c>
      <c r="G1053" s="12" t="s">
        <v>63</v>
      </c>
      <c r="H1053" s="15">
        <v>45256.0</v>
      </c>
      <c r="I1053" s="17">
        <v>34.0</v>
      </c>
      <c r="J1053" s="12" t="s">
        <v>53</v>
      </c>
      <c r="K1053" s="12" t="s">
        <v>42</v>
      </c>
      <c r="L1053" s="17">
        <v>1266.0</v>
      </c>
      <c r="M1053" s="17">
        <v>2.0</v>
      </c>
      <c r="N1053" s="17">
        <v>1.0</v>
      </c>
      <c r="O1053" s="17">
        <v>25.1</v>
      </c>
      <c r="P1053" s="17">
        <v>2.4</v>
      </c>
      <c r="Q1053" s="15">
        <v>45544.0</v>
      </c>
      <c r="R1053" s="12"/>
      <c r="S1053" s="12" t="s">
        <v>55</v>
      </c>
      <c r="T1053" s="12" t="s">
        <v>47</v>
      </c>
      <c r="U1053" s="17">
        <f t="shared" si="1"/>
        <v>1</v>
      </c>
    </row>
    <row r="1054">
      <c r="A1054" s="12" t="s">
        <v>1136</v>
      </c>
      <c r="B1054" s="12" t="s">
        <v>190</v>
      </c>
      <c r="C1054" s="17">
        <v>62.0</v>
      </c>
      <c r="D1054" s="12" t="s">
        <v>35</v>
      </c>
      <c r="E1054" s="12" t="s">
        <v>51</v>
      </c>
      <c r="F1054" s="12" t="s">
        <v>37</v>
      </c>
      <c r="G1054" s="12" t="s">
        <v>63</v>
      </c>
      <c r="H1054" s="15">
        <v>45426.0</v>
      </c>
      <c r="I1054" s="17">
        <v>47.0</v>
      </c>
      <c r="J1054" s="12" t="s">
        <v>53</v>
      </c>
      <c r="K1054" s="12" t="s">
        <v>65</v>
      </c>
      <c r="L1054" s="17">
        <v>1754.0</v>
      </c>
      <c r="M1054" s="17">
        <v>0.0</v>
      </c>
      <c r="N1054" s="17">
        <v>0.0</v>
      </c>
      <c r="O1054" s="17">
        <v>21.8</v>
      </c>
      <c r="P1054" s="17">
        <v>2.9</v>
      </c>
      <c r="Q1054" s="15">
        <v>46095.0</v>
      </c>
      <c r="R1054" s="12"/>
      <c r="S1054" s="12" t="s">
        <v>55</v>
      </c>
      <c r="T1054" s="12" t="s">
        <v>104</v>
      </c>
      <c r="U1054" s="17">
        <f t="shared" si="1"/>
        <v>3</v>
      </c>
    </row>
    <row r="1055">
      <c r="A1055" s="12" t="s">
        <v>1651</v>
      </c>
      <c r="B1055" s="12" t="s">
        <v>340</v>
      </c>
      <c r="C1055" s="17">
        <v>24.0</v>
      </c>
      <c r="D1055" s="12" t="s">
        <v>35</v>
      </c>
      <c r="E1055" s="12" t="s">
        <v>36</v>
      </c>
      <c r="F1055" s="12" t="s">
        <v>37</v>
      </c>
      <c r="G1055" s="12" t="s">
        <v>52</v>
      </c>
      <c r="H1055" s="15">
        <v>44611.0</v>
      </c>
      <c r="I1055" s="17">
        <v>47.0</v>
      </c>
      <c r="J1055" s="12" t="s">
        <v>64</v>
      </c>
      <c r="K1055" s="12" t="s">
        <v>42</v>
      </c>
      <c r="L1055" s="17">
        <v>1167.0</v>
      </c>
      <c r="M1055" s="17">
        <v>1.0</v>
      </c>
      <c r="N1055" s="17">
        <v>0.0</v>
      </c>
      <c r="O1055" s="17">
        <v>33.8</v>
      </c>
      <c r="P1055" s="17">
        <v>4.1</v>
      </c>
      <c r="Q1055" s="15">
        <v>45925.0</v>
      </c>
      <c r="R1055" s="12"/>
      <c r="S1055" s="12" t="s">
        <v>55</v>
      </c>
      <c r="T1055" s="12" t="s">
        <v>75</v>
      </c>
      <c r="U1055" s="17">
        <f t="shared" si="1"/>
        <v>1</v>
      </c>
    </row>
    <row r="1056">
      <c r="A1056" s="12" t="s">
        <v>1652</v>
      </c>
      <c r="B1056" s="12" t="s">
        <v>176</v>
      </c>
      <c r="C1056" s="17">
        <v>67.0</v>
      </c>
      <c r="D1056" s="12" t="s">
        <v>85</v>
      </c>
      <c r="E1056" s="12" t="s">
        <v>92</v>
      </c>
      <c r="F1056" s="12" t="s">
        <v>62</v>
      </c>
      <c r="G1056" s="12" t="s">
        <v>52</v>
      </c>
      <c r="H1056" s="15">
        <v>45800.0</v>
      </c>
      <c r="I1056" s="17">
        <v>2.0</v>
      </c>
      <c r="J1056" s="12" t="s">
        <v>53</v>
      </c>
      <c r="K1056" s="12" t="s">
        <v>65</v>
      </c>
      <c r="L1056" s="17">
        <v>679.0</v>
      </c>
      <c r="M1056" s="12"/>
      <c r="N1056" s="17">
        <v>3.0</v>
      </c>
      <c r="O1056" s="17">
        <v>6.1</v>
      </c>
      <c r="P1056" s="17">
        <v>3.4</v>
      </c>
      <c r="Q1056" s="15">
        <v>45824.0</v>
      </c>
      <c r="R1056" s="12"/>
      <c r="S1056" s="12" t="s">
        <v>55</v>
      </c>
      <c r="T1056" s="12" t="s">
        <v>47</v>
      </c>
      <c r="U1056" s="17">
        <f t="shared" si="1"/>
        <v>1</v>
      </c>
    </row>
    <row r="1057">
      <c r="A1057" s="12" t="s">
        <v>240</v>
      </c>
      <c r="B1057" s="12" t="s">
        <v>633</v>
      </c>
      <c r="C1057" s="17">
        <v>49.0</v>
      </c>
      <c r="D1057" s="12" t="s">
        <v>69</v>
      </c>
      <c r="E1057" s="12" t="s">
        <v>119</v>
      </c>
      <c r="F1057" s="12" t="s">
        <v>62</v>
      </c>
      <c r="G1057" s="12" t="s">
        <v>80</v>
      </c>
      <c r="H1057" s="15">
        <v>44718.0</v>
      </c>
      <c r="I1057" s="17">
        <v>10.0</v>
      </c>
      <c r="J1057" s="12" t="s">
        <v>40</v>
      </c>
      <c r="K1057" s="12" t="s">
        <v>81</v>
      </c>
      <c r="L1057" s="17">
        <v>889.0</v>
      </c>
      <c r="M1057" s="17">
        <v>4.0</v>
      </c>
      <c r="N1057" s="17">
        <v>1.0</v>
      </c>
      <c r="O1057" s="17">
        <v>7.5</v>
      </c>
      <c r="P1057" s="17">
        <v>2.1</v>
      </c>
      <c r="Q1057" s="15">
        <v>44749.0</v>
      </c>
      <c r="R1057" s="12"/>
      <c r="S1057" s="12" t="s">
        <v>55</v>
      </c>
      <c r="T1057" s="12" t="s">
        <v>75</v>
      </c>
      <c r="U1057" s="17">
        <f t="shared" si="1"/>
        <v>3</v>
      </c>
    </row>
    <row r="1058">
      <c r="A1058" s="12" t="s">
        <v>533</v>
      </c>
      <c r="B1058" s="12" t="s">
        <v>224</v>
      </c>
      <c r="C1058" s="17">
        <v>52.0</v>
      </c>
      <c r="D1058" s="12" t="s">
        <v>35</v>
      </c>
      <c r="E1058" s="12" t="s">
        <v>36</v>
      </c>
      <c r="F1058" s="12" t="s">
        <v>37</v>
      </c>
      <c r="G1058" s="12" t="s">
        <v>63</v>
      </c>
      <c r="H1058" s="15">
        <v>45917.0</v>
      </c>
      <c r="I1058" s="17">
        <v>17.0</v>
      </c>
      <c r="J1058" s="12" t="s">
        <v>40</v>
      </c>
      <c r="K1058" s="12" t="s">
        <v>65</v>
      </c>
      <c r="L1058" s="17">
        <v>1352.0</v>
      </c>
      <c r="M1058" s="17">
        <v>2.0</v>
      </c>
      <c r="N1058" s="17">
        <v>1.0</v>
      </c>
      <c r="O1058" s="17">
        <v>24.9</v>
      </c>
      <c r="P1058" s="17">
        <v>2.5</v>
      </c>
      <c r="Q1058" s="15">
        <v>46276.0</v>
      </c>
      <c r="R1058" s="12" t="s">
        <v>1653</v>
      </c>
      <c r="S1058" s="12" t="s">
        <v>45</v>
      </c>
      <c r="T1058" s="12" t="s">
        <v>75</v>
      </c>
      <c r="U1058" s="17">
        <f t="shared" si="1"/>
        <v>2</v>
      </c>
    </row>
    <row r="1059">
      <c r="A1059" s="12" t="s">
        <v>1070</v>
      </c>
      <c r="B1059" s="12" t="s">
        <v>224</v>
      </c>
      <c r="C1059" s="17">
        <v>29.0</v>
      </c>
      <c r="D1059" s="12" t="s">
        <v>35</v>
      </c>
      <c r="E1059" s="12" t="s">
        <v>51</v>
      </c>
      <c r="F1059" s="12" t="s">
        <v>62</v>
      </c>
      <c r="G1059" s="12" t="s">
        <v>571</v>
      </c>
      <c r="H1059" s="15">
        <v>45113.0</v>
      </c>
      <c r="I1059" s="17">
        <v>33.0</v>
      </c>
      <c r="J1059" s="12" t="s">
        <v>64</v>
      </c>
      <c r="K1059" s="12" t="s">
        <v>65</v>
      </c>
      <c r="L1059" s="17">
        <v>663.0</v>
      </c>
      <c r="M1059" s="17">
        <v>3.0</v>
      </c>
      <c r="N1059" s="17">
        <v>2.0</v>
      </c>
      <c r="O1059" s="17">
        <v>10.6</v>
      </c>
      <c r="P1059" s="17">
        <v>5.0</v>
      </c>
      <c r="Q1059" s="15">
        <v>45173.0</v>
      </c>
      <c r="R1059" s="12"/>
      <c r="S1059" s="12" t="s">
        <v>55</v>
      </c>
      <c r="T1059" s="12" t="s">
        <v>104</v>
      </c>
      <c r="U1059" s="17">
        <f t="shared" si="1"/>
        <v>2</v>
      </c>
    </row>
    <row r="1060">
      <c r="A1060" s="12" t="s">
        <v>1654</v>
      </c>
      <c r="B1060" s="12" t="s">
        <v>74</v>
      </c>
      <c r="C1060" s="17">
        <v>68.0</v>
      </c>
      <c r="D1060" s="12" t="s">
        <v>35</v>
      </c>
      <c r="E1060" s="12" t="s">
        <v>140</v>
      </c>
      <c r="F1060" s="12" t="s">
        <v>62</v>
      </c>
      <c r="G1060" s="12" t="s">
        <v>39</v>
      </c>
      <c r="H1060" s="15">
        <v>45054.0</v>
      </c>
      <c r="I1060" s="17">
        <v>27.0</v>
      </c>
      <c r="J1060" s="12" t="s">
        <v>64</v>
      </c>
      <c r="K1060" s="12" t="s">
        <v>81</v>
      </c>
      <c r="L1060" s="17">
        <v>813.0</v>
      </c>
      <c r="M1060" s="17">
        <v>0.0</v>
      </c>
      <c r="N1060" s="17">
        <v>0.0</v>
      </c>
      <c r="O1060" s="17">
        <v>17.8</v>
      </c>
      <c r="P1060" s="17">
        <v>4.9</v>
      </c>
      <c r="Q1060" s="15">
        <v>45696.0</v>
      </c>
      <c r="R1060" s="12"/>
      <c r="S1060" s="12" t="s">
        <v>55</v>
      </c>
      <c r="T1060" s="12" t="s">
        <v>66</v>
      </c>
      <c r="U1060" s="17">
        <f t="shared" si="1"/>
        <v>1</v>
      </c>
    </row>
    <row r="1061">
      <c r="A1061" s="12" t="s">
        <v>434</v>
      </c>
      <c r="B1061" s="12" t="s">
        <v>179</v>
      </c>
      <c r="C1061" s="17">
        <v>35.0</v>
      </c>
      <c r="D1061" s="12" t="s">
        <v>69</v>
      </c>
      <c r="E1061" s="12" t="s">
        <v>70</v>
      </c>
      <c r="F1061" s="12" t="s">
        <v>62</v>
      </c>
      <c r="G1061" s="12" t="s">
        <v>93</v>
      </c>
      <c r="H1061" s="15">
        <v>44658.0</v>
      </c>
      <c r="I1061" s="17">
        <v>8.0</v>
      </c>
      <c r="J1061" s="12" t="s">
        <v>64</v>
      </c>
      <c r="K1061" s="12" t="s">
        <v>81</v>
      </c>
      <c r="L1061" s="17">
        <v>628.0</v>
      </c>
      <c r="M1061" s="17">
        <v>2.0</v>
      </c>
      <c r="N1061" s="17">
        <v>1.0</v>
      </c>
      <c r="O1061" s="17">
        <v>26.7</v>
      </c>
      <c r="P1061" s="17">
        <v>2.7</v>
      </c>
      <c r="Q1061" s="15">
        <v>44895.0</v>
      </c>
      <c r="R1061" s="12" t="s">
        <v>1526</v>
      </c>
      <c r="S1061" s="12" t="s">
        <v>45</v>
      </c>
      <c r="T1061" s="12" t="s">
        <v>72</v>
      </c>
      <c r="U1061" s="17">
        <f t="shared" si="1"/>
        <v>4</v>
      </c>
    </row>
    <row r="1062">
      <c r="A1062" s="12" t="s">
        <v>1162</v>
      </c>
      <c r="B1062" s="12" t="s">
        <v>59</v>
      </c>
      <c r="C1062" s="17">
        <v>36.0</v>
      </c>
      <c r="D1062" s="12" t="s">
        <v>69</v>
      </c>
      <c r="E1062" s="12" t="s">
        <v>119</v>
      </c>
      <c r="F1062" s="12" t="s">
        <v>716</v>
      </c>
      <c r="G1062" s="12" t="s">
        <v>39</v>
      </c>
      <c r="H1062" s="15">
        <v>45618.0</v>
      </c>
      <c r="I1062" s="17">
        <v>13.0</v>
      </c>
      <c r="J1062" s="12" t="s">
        <v>40</v>
      </c>
      <c r="K1062" s="12" t="s">
        <v>42</v>
      </c>
      <c r="L1062" s="17">
        <v>1191.0</v>
      </c>
      <c r="M1062" s="17">
        <v>1.0</v>
      </c>
      <c r="N1062" s="17">
        <v>0.0</v>
      </c>
      <c r="O1062" s="17">
        <v>23.9</v>
      </c>
      <c r="P1062" s="17">
        <v>3.4</v>
      </c>
      <c r="Q1062" s="15">
        <v>45959.0</v>
      </c>
      <c r="R1062" s="12"/>
      <c r="S1062" s="12" t="s">
        <v>55</v>
      </c>
      <c r="T1062" s="12" t="s">
        <v>104</v>
      </c>
      <c r="U1062" s="17">
        <f t="shared" si="1"/>
        <v>3</v>
      </c>
    </row>
    <row r="1063">
      <c r="A1063" s="12" t="s">
        <v>1655</v>
      </c>
      <c r="B1063" s="12" t="s">
        <v>96</v>
      </c>
      <c r="C1063" s="17">
        <v>34.0</v>
      </c>
      <c r="D1063" s="12" t="s">
        <v>85</v>
      </c>
      <c r="E1063" s="12" t="s">
        <v>92</v>
      </c>
      <c r="F1063" s="12" t="s">
        <v>37</v>
      </c>
      <c r="G1063" s="12" t="s">
        <v>630</v>
      </c>
      <c r="H1063" s="15">
        <v>45732.0</v>
      </c>
      <c r="I1063" s="17">
        <v>42.0</v>
      </c>
      <c r="J1063" s="12" t="s">
        <v>53</v>
      </c>
      <c r="K1063" s="12" t="s">
        <v>81</v>
      </c>
      <c r="L1063" s="17">
        <v>1313.0</v>
      </c>
      <c r="M1063" s="17">
        <v>1.0</v>
      </c>
      <c r="N1063" s="17">
        <v>1.0</v>
      </c>
      <c r="O1063" s="17">
        <v>23.6</v>
      </c>
      <c r="P1063" s="17">
        <v>2.7</v>
      </c>
      <c r="Q1063" s="15">
        <v>46351.0</v>
      </c>
      <c r="R1063" s="12"/>
      <c r="S1063" s="12" t="s">
        <v>55</v>
      </c>
      <c r="T1063" s="12" t="s">
        <v>47</v>
      </c>
      <c r="U1063" s="17">
        <f t="shared" si="1"/>
        <v>1</v>
      </c>
    </row>
    <row r="1064">
      <c r="A1064" s="12" t="s">
        <v>311</v>
      </c>
      <c r="B1064" s="12" t="s">
        <v>206</v>
      </c>
      <c r="C1064" s="17">
        <v>41.0</v>
      </c>
      <c r="D1064" s="12" t="s">
        <v>658</v>
      </c>
      <c r="E1064" s="12" t="s">
        <v>111</v>
      </c>
      <c r="F1064" s="12" t="s">
        <v>62</v>
      </c>
      <c r="G1064" s="12" t="s">
        <v>93</v>
      </c>
      <c r="H1064" s="15">
        <v>45077.0</v>
      </c>
      <c r="I1064" s="17">
        <v>6.0</v>
      </c>
      <c r="J1064" s="12" t="s">
        <v>53</v>
      </c>
      <c r="K1064" s="12" t="s">
        <v>65</v>
      </c>
      <c r="L1064" s="17">
        <v>519.0</v>
      </c>
      <c r="M1064" s="17">
        <v>3.0</v>
      </c>
      <c r="N1064" s="17">
        <v>0.0</v>
      </c>
      <c r="O1064" s="17">
        <v>36.3</v>
      </c>
      <c r="P1064" s="17">
        <v>5.0</v>
      </c>
      <c r="Q1064" s="15">
        <v>45248.0</v>
      </c>
      <c r="R1064" s="12"/>
      <c r="S1064" s="12" t="s">
        <v>55</v>
      </c>
      <c r="T1064" s="12" t="s">
        <v>104</v>
      </c>
      <c r="U1064" s="17">
        <f t="shared" si="1"/>
        <v>3</v>
      </c>
    </row>
    <row r="1065">
      <c r="A1065" s="12" t="s">
        <v>1254</v>
      </c>
      <c r="B1065" s="12" t="s">
        <v>639</v>
      </c>
      <c r="C1065" s="17">
        <v>43.0</v>
      </c>
      <c r="D1065" s="12" t="s">
        <v>85</v>
      </c>
      <c r="E1065" s="12" t="s">
        <v>111</v>
      </c>
      <c r="F1065" s="12" t="s">
        <v>37</v>
      </c>
      <c r="G1065" s="12" t="s">
        <v>210</v>
      </c>
      <c r="H1065" s="15">
        <v>45258.0</v>
      </c>
      <c r="I1065" s="17">
        <v>35.0</v>
      </c>
      <c r="J1065" s="12" t="s">
        <v>53</v>
      </c>
      <c r="K1065" s="12" t="s">
        <v>65</v>
      </c>
      <c r="L1065" s="17">
        <v>1195.0</v>
      </c>
      <c r="M1065" s="17">
        <v>1.0</v>
      </c>
      <c r="N1065" s="17">
        <v>1.0</v>
      </c>
      <c r="O1065" s="17">
        <v>45.3</v>
      </c>
      <c r="P1065" s="17">
        <v>2.0</v>
      </c>
      <c r="Q1065" s="15">
        <v>45315.0</v>
      </c>
      <c r="R1065" s="12"/>
      <c r="S1065" s="12" t="s">
        <v>55</v>
      </c>
      <c r="T1065" s="12" t="s">
        <v>72</v>
      </c>
      <c r="U1065" s="17">
        <f t="shared" si="1"/>
        <v>4</v>
      </c>
    </row>
    <row r="1066">
      <c r="A1066" s="12" t="s">
        <v>1656</v>
      </c>
      <c r="B1066" s="12" t="s">
        <v>68</v>
      </c>
      <c r="C1066" s="12" t="s">
        <v>932</v>
      </c>
      <c r="D1066" s="12" t="s">
        <v>60</v>
      </c>
      <c r="E1066" s="12" t="s">
        <v>51</v>
      </c>
      <c r="F1066" s="12" t="s">
        <v>37</v>
      </c>
      <c r="G1066" s="12" t="s">
        <v>210</v>
      </c>
      <c r="H1066" s="15">
        <v>45056.0</v>
      </c>
      <c r="I1066" s="17">
        <v>36.0</v>
      </c>
      <c r="J1066" s="12" t="s">
        <v>64</v>
      </c>
      <c r="K1066" s="12" t="s">
        <v>81</v>
      </c>
      <c r="L1066" s="17">
        <v>1181.0</v>
      </c>
      <c r="M1066" s="17">
        <v>1.0</v>
      </c>
      <c r="N1066" s="17">
        <v>2.0</v>
      </c>
      <c r="O1066" s="17">
        <v>15.2</v>
      </c>
      <c r="P1066" s="17">
        <v>2.9</v>
      </c>
      <c r="Q1066" s="15">
        <v>45630.0</v>
      </c>
      <c r="R1066" s="12"/>
      <c r="S1066" s="12" t="s">
        <v>55</v>
      </c>
      <c r="T1066" s="12" t="s">
        <v>104</v>
      </c>
      <c r="U1066" s="17">
        <f t="shared" si="1"/>
        <v>1</v>
      </c>
    </row>
    <row r="1067">
      <c r="A1067" s="12" t="s">
        <v>1657</v>
      </c>
      <c r="B1067" s="12" t="s">
        <v>380</v>
      </c>
      <c r="C1067" s="17">
        <v>56.0</v>
      </c>
      <c r="D1067" s="12" t="s">
        <v>60</v>
      </c>
      <c r="E1067" s="12" t="s">
        <v>61</v>
      </c>
      <c r="F1067" s="12" t="s">
        <v>62</v>
      </c>
      <c r="G1067" s="12" t="s">
        <v>52</v>
      </c>
      <c r="H1067" s="15">
        <v>44679.0</v>
      </c>
      <c r="I1067" s="17">
        <v>19.0</v>
      </c>
      <c r="J1067" s="12" t="s">
        <v>53</v>
      </c>
      <c r="K1067" s="12" t="s">
        <v>81</v>
      </c>
      <c r="L1067" s="17">
        <v>609.0</v>
      </c>
      <c r="M1067" s="17">
        <v>2.0</v>
      </c>
      <c r="N1067" s="17">
        <v>2.0</v>
      </c>
      <c r="O1067" s="17">
        <v>27.6</v>
      </c>
      <c r="P1067" s="17">
        <v>3.7</v>
      </c>
      <c r="Q1067" s="15">
        <v>45052.0</v>
      </c>
      <c r="R1067" s="12"/>
      <c r="S1067" s="12" t="s">
        <v>55</v>
      </c>
      <c r="T1067" s="12" t="s">
        <v>104</v>
      </c>
      <c r="U1067" s="17">
        <f t="shared" si="1"/>
        <v>1</v>
      </c>
    </row>
    <row r="1068">
      <c r="A1068" s="12" t="s">
        <v>1658</v>
      </c>
      <c r="B1068" s="12" t="s">
        <v>179</v>
      </c>
      <c r="C1068" s="17">
        <v>57.0</v>
      </c>
      <c r="D1068" s="12" t="s">
        <v>69</v>
      </c>
      <c r="E1068" s="12" t="s">
        <v>187</v>
      </c>
      <c r="F1068" s="12" t="s">
        <v>37</v>
      </c>
      <c r="G1068" s="12" t="s">
        <v>63</v>
      </c>
      <c r="H1068" s="15">
        <v>44755.0</v>
      </c>
      <c r="I1068" s="17">
        <v>46.0</v>
      </c>
      <c r="J1068" s="12" t="s">
        <v>40</v>
      </c>
      <c r="K1068" s="12" t="s">
        <v>42</v>
      </c>
      <c r="L1068" s="17">
        <v>1476.0</v>
      </c>
      <c r="M1068" s="17">
        <v>0.0</v>
      </c>
      <c r="N1068" s="17">
        <v>1.0</v>
      </c>
      <c r="O1068" s="17">
        <v>34.6</v>
      </c>
      <c r="P1068" s="17">
        <v>3.1</v>
      </c>
      <c r="Q1068" s="15">
        <v>45018.0</v>
      </c>
      <c r="R1068" s="12"/>
      <c r="S1068" s="12" t="s">
        <v>55</v>
      </c>
      <c r="T1068" s="12" t="s">
        <v>66</v>
      </c>
      <c r="U1068" s="17">
        <f t="shared" si="1"/>
        <v>1</v>
      </c>
    </row>
    <row r="1069">
      <c r="A1069" s="12" t="s">
        <v>1659</v>
      </c>
      <c r="B1069" s="12" t="s">
        <v>639</v>
      </c>
      <c r="C1069" s="17">
        <v>67.0</v>
      </c>
      <c r="D1069" s="12" t="s">
        <v>69</v>
      </c>
      <c r="E1069" s="12" t="s">
        <v>119</v>
      </c>
      <c r="F1069" s="12" t="s">
        <v>62</v>
      </c>
      <c r="G1069" s="12" t="s">
        <v>120</v>
      </c>
      <c r="H1069" s="15">
        <v>45880.0</v>
      </c>
      <c r="I1069" s="17">
        <v>21.0</v>
      </c>
      <c r="J1069" s="12" t="s">
        <v>53</v>
      </c>
      <c r="K1069" s="12" t="s">
        <v>65</v>
      </c>
      <c r="L1069" s="17">
        <v>519.0</v>
      </c>
      <c r="M1069" s="17">
        <v>3.0</v>
      </c>
      <c r="N1069" s="17">
        <v>0.0</v>
      </c>
      <c r="O1069" s="17">
        <v>14.3</v>
      </c>
      <c r="P1069" s="17">
        <v>4.9</v>
      </c>
      <c r="Q1069" s="15">
        <v>45925.0</v>
      </c>
      <c r="R1069" s="12" t="s">
        <v>1529</v>
      </c>
      <c r="S1069" s="12" t="s">
        <v>45</v>
      </c>
      <c r="T1069" s="12" t="s">
        <v>104</v>
      </c>
      <c r="U1069" s="17">
        <f t="shared" si="1"/>
        <v>1</v>
      </c>
    </row>
    <row r="1070">
      <c r="A1070" s="12" t="s">
        <v>1532</v>
      </c>
      <c r="B1070" s="12" t="s">
        <v>135</v>
      </c>
      <c r="C1070" s="17">
        <v>54.0</v>
      </c>
      <c r="D1070" s="12" t="s">
        <v>85</v>
      </c>
      <c r="E1070" s="12" t="s">
        <v>292</v>
      </c>
      <c r="F1070" s="12" t="s">
        <v>62</v>
      </c>
      <c r="G1070" s="12" t="s">
        <v>39</v>
      </c>
      <c r="H1070" s="15">
        <v>44989.0</v>
      </c>
      <c r="I1070" s="17">
        <v>2.0</v>
      </c>
      <c r="J1070" s="12" t="s">
        <v>40</v>
      </c>
      <c r="K1070" s="12" t="s">
        <v>81</v>
      </c>
      <c r="L1070" s="17">
        <v>514.0</v>
      </c>
      <c r="M1070" s="17">
        <v>0.0</v>
      </c>
      <c r="N1070" s="17">
        <v>1.0</v>
      </c>
      <c r="O1070" s="17">
        <v>12.0</v>
      </c>
      <c r="P1070" s="17">
        <v>4.0</v>
      </c>
      <c r="Q1070" s="15">
        <v>45041.0</v>
      </c>
      <c r="R1070" s="12" t="s">
        <v>1660</v>
      </c>
      <c r="S1070" s="12" t="s">
        <v>45</v>
      </c>
      <c r="T1070" s="12" t="s">
        <v>66</v>
      </c>
      <c r="U1070" s="17">
        <f t="shared" si="1"/>
        <v>2</v>
      </c>
    </row>
    <row r="1071">
      <c r="A1071" s="12" t="s">
        <v>819</v>
      </c>
      <c r="B1071" s="12" t="s">
        <v>308</v>
      </c>
      <c r="C1071" s="17">
        <v>58.0</v>
      </c>
      <c r="D1071" s="12" t="s">
        <v>69</v>
      </c>
      <c r="E1071" s="12" t="s">
        <v>119</v>
      </c>
      <c r="F1071" s="12" t="s">
        <v>62</v>
      </c>
      <c r="G1071" s="12" t="s">
        <v>52</v>
      </c>
      <c r="H1071" s="15">
        <v>46001.0</v>
      </c>
      <c r="I1071" s="17">
        <v>32.0</v>
      </c>
      <c r="J1071" s="12" t="s">
        <v>64</v>
      </c>
      <c r="K1071" s="12" t="s">
        <v>42</v>
      </c>
      <c r="L1071" s="17">
        <v>644.0</v>
      </c>
      <c r="M1071" s="17">
        <v>0.0</v>
      </c>
      <c r="N1071" s="17">
        <v>1.0</v>
      </c>
      <c r="O1071" s="17">
        <v>11.2</v>
      </c>
      <c r="P1071" s="17">
        <v>4.2</v>
      </c>
      <c r="Q1071" s="15">
        <v>46753.0</v>
      </c>
      <c r="R1071" s="12"/>
      <c r="S1071" s="12" t="s">
        <v>55</v>
      </c>
      <c r="T1071" s="12" t="s">
        <v>75</v>
      </c>
      <c r="U1071" s="17">
        <f t="shared" si="1"/>
        <v>4</v>
      </c>
    </row>
    <row r="1072">
      <c r="A1072" s="12" t="s">
        <v>1661</v>
      </c>
      <c r="B1072" s="12" t="s">
        <v>398</v>
      </c>
      <c r="C1072" s="17">
        <v>53.0</v>
      </c>
      <c r="D1072" s="12" t="s">
        <v>60</v>
      </c>
      <c r="E1072" s="12" t="s">
        <v>97</v>
      </c>
      <c r="F1072" s="12" t="s">
        <v>79</v>
      </c>
      <c r="G1072" s="12" t="s">
        <v>63</v>
      </c>
      <c r="H1072" s="15">
        <v>45199.0</v>
      </c>
      <c r="I1072" s="17">
        <v>39.0</v>
      </c>
      <c r="J1072" s="12" t="s">
        <v>53</v>
      </c>
      <c r="K1072" s="12" t="s">
        <v>42</v>
      </c>
      <c r="L1072" s="17">
        <v>3308.0</v>
      </c>
      <c r="M1072" s="17">
        <v>3.0</v>
      </c>
      <c r="N1072" s="17">
        <v>0.0</v>
      </c>
      <c r="O1072" s="17">
        <v>33.2</v>
      </c>
      <c r="P1072" s="17">
        <v>4.1</v>
      </c>
      <c r="Q1072" s="15">
        <v>46386.0</v>
      </c>
      <c r="R1072" s="12"/>
      <c r="S1072" s="12" t="s">
        <v>55</v>
      </c>
      <c r="T1072" s="12" t="s">
        <v>47</v>
      </c>
      <c r="U1072" s="17">
        <f t="shared" si="1"/>
        <v>3</v>
      </c>
    </row>
    <row r="1073">
      <c r="A1073" s="12" t="s">
        <v>1662</v>
      </c>
      <c r="B1073" s="12" t="s">
        <v>605</v>
      </c>
      <c r="C1073" s="17">
        <v>23.0</v>
      </c>
      <c r="D1073" s="12" t="s">
        <v>85</v>
      </c>
      <c r="E1073" s="12" t="s">
        <v>92</v>
      </c>
      <c r="F1073" s="12" t="s">
        <v>37</v>
      </c>
      <c r="G1073" s="12" t="s">
        <v>80</v>
      </c>
      <c r="H1073" s="15">
        <v>44847.0</v>
      </c>
      <c r="I1073" s="17">
        <v>27.0</v>
      </c>
      <c r="J1073" s="12" t="s">
        <v>40</v>
      </c>
      <c r="K1073" s="12" t="s">
        <v>65</v>
      </c>
      <c r="L1073" s="17">
        <v>1160.0</v>
      </c>
      <c r="M1073" s="17">
        <v>2.0</v>
      </c>
      <c r="N1073" s="17">
        <v>0.0</v>
      </c>
      <c r="O1073" s="17">
        <v>28.2</v>
      </c>
      <c r="P1073" s="17">
        <v>2.7</v>
      </c>
      <c r="Q1073" s="15">
        <v>45077.0</v>
      </c>
      <c r="R1073" s="12"/>
      <c r="S1073" s="12" t="s">
        <v>55</v>
      </c>
      <c r="T1073" s="12" t="s">
        <v>72</v>
      </c>
      <c r="U1073" s="17">
        <f t="shared" si="1"/>
        <v>3</v>
      </c>
    </row>
    <row r="1074">
      <c r="A1074" s="12" t="s">
        <v>431</v>
      </c>
      <c r="B1074" s="12" t="s">
        <v>308</v>
      </c>
      <c r="C1074" s="17">
        <v>42.0</v>
      </c>
      <c r="D1074" s="12" t="s">
        <v>60</v>
      </c>
      <c r="E1074" s="12" t="s">
        <v>133</v>
      </c>
      <c r="F1074" s="12" t="s">
        <v>62</v>
      </c>
      <c r="G1074" s="12" t="s">
        <v>210</v>
      </c>
      <c r="H1074" s="15">
        <v>44636.0</v>
      </c>
      <c r="I1074" s="17">
        <v>45.0</v>
      </c>
      <c r="J1074" s="12" t="s">
        <v>64</v>
      </c>
      <c r="K1074" s="12" t="s">
        <v>42</v>
      </c>
      <c r="L1074" s="17">
        <v>873.0</v>
      </c>
      <c r="M1074" s="17">
        <v>1.0</v>
      </c>
      <c r="N1074" s="17">
        <v>0.0</v>
      </c>
      <c r="O1074" s="17">
        <v>24.1</v>
      </c>
      <c r="P1074" s="17">
        <v>3.9</v>
      </c>
      <c r="Q1074" s="15">
        <v>45710.0</v>
      </c>
      <c r="R1074" s="12" t="s">
        <v>1663</v>
      </c>
      <c r="S1074" s="12" t="s">
        <v>45</v>
      </c>
      <c r="T1074" s="12" t="s">
        <v>72</v>
      </c>
      <c r="U1074" s="17">
        <f t="shared" si="1"/>
        <v>4</v>
      </c>
    </row>
    <row r="1075">
      <c r="A1075" s="12" t="s">
        <v>869</v>
      </c>
      <c r="B1075" s="12" t="s">
        <v>132</v>
      </c>
      <c r="C1075" s="17">
        <v>31.0</v>
      </c>
      <c r="D1075" s="12" t="s">
        <v>85</v>
      </c>
      <c r="E1075" s="12" t="s">
        <v>87</v>
      </c>
      <c r="F1075" s="12" t="s">
        <v>62</v>
      </c>
      <c r="G1075" s="12" t="s">
        <v>93</v>
      </c>
      <c r="H1075" s="15">
        <v>44656.0</v>
      </c>
      <c r="I1075" s="17">
        <v>34.0</v>
      </c>
      <c r="J1075" s="12" t="s">
        <v>40</v>
      </c>
      <c r="K1075" s="12" t="s">
        <v>81</v>
      </c>
      <c r="L1075" s="17">
        <v>558.0</v>
      </c>
      <c r="M1075" s="17">
        <v>3.0</v>
      </c>
      <c r="N1075" s="17">
        <v>1.0</v>
      </c>
      <c r="O1075" s="17">
        <v>29.3</v>
      </c>
      <c r="P1075" s="17">
        <v>4.4</v>
      </c>
      <c r="Q1075" s="15">
        <v>45539.0</v>
      </c>
      <c r="R1075" s="12"/>
      <c r="S1075" s="12" t="s">
        <v>55</v>
      </c>
      <c r="T1075" s="12" t="s">
        <v>47</v>
      </c>
      <c r="U1075" s="17">
        <f t="shared" si="1"/>
        <v>2</v>
      </c>
    </row>
    <row r="1076">
      <c r="A1076" s="12" t="s">
        <v>234</v>
      </c>
      <c r="B1076" s="12" t="s">
        <v>336</v>
      </c>
      <c r="C1076" s="17">
        <v>68.0</v>
      </c>
      <c r="D1076" s="12" t="s">
        <v>85</v>
      </c>
      <c r="E1076" s="12" t="s">
        <v>87</v>
      </c>
      <c r="F1076" s="12" t="s">
        <v>79</v>
      </c>
      <c r="G1076" s="12" t="s">
        <v>63</v>
      </c>
      <c r="H1076" s="15">
        <v>44617.0</v>
      </c>
      <c r="I1076" s="17">
        <v>25.0</v>
      </c>
      <c r="J1076" s="12" t="s">
        <v>40</v>
      </c>
      <c r="K1076" s="12" t="s">
        <v>65</v>
      </c>
      <c r="L1076" s="17">
        <v>2655.0</v>
      </c>
      <c r="M1076" s="17">
        <v>2.0</v>
      </c>
      <c r="N1076" s="17">
        <v>0.0</v>
      </c>
      <c r="O1076" s="17">
        <v>38.6</v>
      </c>
      <c r="P1076" s="17">
        <v>4.6</v>
      </c>
      <c r="Q1076" s="15">
        <v>44844.0</v>
      </c>
      <c r="R1076" s="12"/>
      <c r="S1076" s="12" t="s">
        <v>55</v>
      </c>
      <c r="T1076" s="12" t="s">
        <v>72</v>
      </c>
      <c r="U1076" s="17">
        <f t="shared" si="1"/>
        <v>3</v>
      </c>
    </row>
    <row r="1077">
      <c r="A1077" s="12" t="s">
        <v>638</v>
      </c>
      <c r="B1077" s="12" t="s">
        <v>172</v>
      </c>
      <c r="C1077" s="17">
        <v>52.0</v>
      </c>
      <c r="D1077" s="12" t="s">
        <v>35</v>
      </c>
      <c r="E1077" s="12" t="s">
        <v>140</v>
      </c>
      <c r="F1077" s="12" t="s">
        <v>37</v>
      </c>
      <c r="G1077" s="12" t="s">
        <v>39</v>
      </c>
      <c r="H1077" s="15">
        <v>45455.0</v>
      </c>
      <c r="I1077" s="17">
        <v>37.0</v>
      </c>
      <c r="J1077" s="12" t="s">
        <v>53</v>
      </c>
      <c r="K1077" s="12" t="s">
        <v>65</v>
      </c>
      <c r="L1077" s="17">
        <v>1495.0</v>
      </c>
      <c r="M1077" s="17">
        <v>0.0</v>
      </c>
      <c r="N1077" s="17">
        <v>1.0</v>
      </c>
      <c r="O1077" s="17">
        <v>25.1</v>
      </c>
      <c r="P1077" s="17">
        <v>4.4</v>
      </c>
      <c r="Q1077" s="15">
        <v>45757.0</v>
      </c>
      <c r="R1077" s="12"/>
      <c r="S1077" s="12" t="s">
        <v>55</v>
      </c>
      <c r="T1077" s="12" t="s">
        <v>104</v>
      </c>
      <c r="U1077" s="17">
        <f t="shared" si="1"/>
        <v>3</v>
      </c>
    </row>
    <row r="1078">
      <c r="A1078" s="12" t="s">
        <v>1664</v>
      </c>
      <c r="B1078" s="12" t="s">
        <v>145</v>
      </c>
      <c r="C1078" s="17">
        <v>45.0</v>
      </c>
      <c r="D1078" s="12" t="s">
        <v>69</v>
      </c>
      <c r="E1078" s="12"/>
      <c r="F1078" s="12" t="s">
        <v>79</v>
      </c>
      <c r="G1078" s="12" t="s">
        <v>63</v>
      </c>
      <c r="H1078" s="15">
        <v>45642.0</v>
      </c>
      <c r="I1078" s="17">
        <v>29.0</v>
      </c>
      <c r="J1078" s="12" t="s">
        <v>40</v>
      </c>
      <c r="K1078" s="12" t="s">
        <v>42</v>
      </c>
      <c r="L1078" s="17">
        <v>2485.0</v>
      </c>
      <c r="M1078" s="17">
        <v>3.0</v>
      </c>
      <c r="N1078" s="17">
        <v>2.0</v>
      </c>
      <c r="O1078" s="17">
        <v>37.4</v>
      </c>
      <c r="P1078" s="17">
        <v>3.3</v>
      </c>
      <c r="Q1078" s="15">
        <v>46140.0</v>
      </c>
      <c r="R1078" s="12" t="s">
        <v>1383</v>
      </c>
      <c r="S1078" s="12" t="s">
        <v>45</v>
      </c>
      <c r="T1078" s="12" t="s">
        <v>47</v>
      </c>
      <c r="U1078" s="17">
        <f t="shared" si="1"/>
        <v>1</v>
      </c>
    </row>
    <row r="1079">
      <c r="A1079" s="12" t="s">
        <v>1665</v>
      </c>
      <c r="B1079" s="12" t="s">
        <v>167</v>
      </c>
      <c r="C1079" s="17">
        <v>55.0</v>
      </c>
      <c r="D1079" s="12" t="s">
        <v>60</v>
      </c>
      <c r="E1079" s="12" t="s">
        <v>61</v>
      </c>
      <c r="F1079" s="12" t="s">
        <v>62</v>
      </c>
      <c r="G1079" s="12" t="s">
        <v>52</v>
      </c>
      <c r="H1079" s="15">
        <v>45320.0</v>
      </c>
      <c r="I1079" s="17">
        <v>29.0</v>
      </c>
      <c r="J1079" s="12" t="s">
        <v>64</v>
      </c>
      <c r="K1079" s="12" t="s">
        <v>81</v>
      </c>
      <c r="L1079" s="17">
        <v>508.0</v>
      </c>
      <c r="M1079" s="17">
        <v>2.0</v>
      </c>
      <c r="N1079" s="17">
        <v>0.0</v>
      </c>
      <c r="O1079" s="17">
        <v>18.9</v>
      </c>
      <c r="P1079" s="17">
        <v>3.9</v>
      </c>
      <c r="Q1079" s="15">
        <v>45378.0</v>
      </c>
      <c r="R1079" s="12"/>
      <c r="S1079" s="12" t="s">
        <v>55</v>
      </c>
      <c r="T1079" s="12" t="s">
        <v>104</v>
      </c>
      <c r="U1079" s="17">
        <f t="shared" si="1"/>
        <v>2</v>
      </c>
    </row>
    <row r="1080">
      <c r="A1080" s="12" t="s">
        <v>1666</v>
      </c>
      <c r="B1080" s="12" t="s">
        <v>34</v>
      </c>
      <c r="C1080" s="17">
        <v>68.0</v>
      </c>
      <c r="D1080" s="12" t="s">
        <v>60</v>
      </c>
      <c r="E1080" s="12" t="s">
        <v>97</v>
      </c>
      <c r="F1080" s="12" t="s">
        <v>79</v>
      </c>
      <c r="G1080" s="12" t="s">
        <v>52</v>
      </c>
      <c r="H1080" s="15">
        <v>45489.0</v>
      </c>
      <c r="I1080" s="17">
        <v>17.0</v>
      </c>
      <c r="J1080" s="12" t="s">
        <v>64</v>
      </c>
      <c r="K1080" s="12" t="s">
        <v>65</v>
      </c>
      <c r="L1080" s="17">
        <v>3547.0</v>
      </c>
      <c r="M1080" s="17">
        <v>3.0</v>
      </c>
      <c r="N1080" s="17">
        <v>3.0</v>
      </c>
      <c r="O1080" s="17">
        <v>29.7</v>
      </c>
      <c r="P1080" s="17">
        <v>4.3</v>
      </c>
      <c r="Q1080" s="15">
        <v>45929.0</v>
      </c>
      <c r="R1080" s="12"/>
      <c r="S1080" s="12" t="s">
        <v>55</v>
      </c>
      <c r="T1080" s="12" t="s">
        <v>66</v>
      </c>
      <c r="U1080" s="17">
        <f t="shared" si="1"/>
        <v>2</v>
      </c>
    </row>
    <row r="1081">
      <c r="A1081" s="12" t="s">
        <v>1667</v>
      </c>
      <c r="B1081" s="12" t="s">
        <v>91</v>
      </c>
      <c r="C1081" s="17">
        <v>37.0</v>
      </c>
      <c r="D1081" s="12" t="s">
        <v>85</v>
      </c>
      <c r="E1081" s="12" t="s">
        <v>292</v>
      </c>
      <c r="F1081" s="12" t="s">
        <v>79</v>
      </c>
      <c r="G1081" s="12" t="s">
        <v>210</v>
      </c>
      <c r="H1081" s="15">
        <v>44859.0</v>
      </c>
      <c r="I1081" s="17">
        <v>35.0</v>
      </c>
      <c r="J1081" s="12" t="s">
        <v>40</v>
      </c>
      <c r="K1081" s="12" t="s">
        <v>81</v>
      </c>
      <c r="L1081" s="17">
        <v>3303.0</v>
      </c>
      <c r="M1081" s="17">
        <v>0.0</v>
      </c>
      <c r="N1081" s="17">
        <v>0.0</v>
      </c>
      <c r="O1081" s="17">
        <v>30.6</v>
      </c>
      <c r="P1081" s="17">
        <v>2.7</v>
      </c>
      <c r="Q1081" s="15">
        <v>45377.0</v>
      </c>
      <c r="R1081" s="12" t="s">
        <v>1668</v>
      </c>
      <c r="S1081" s="12" t="s">
        <v>45</v>
      </c>
      <c r="T1081" s="12" t="s">
        <v>72</v>
      </c>
      <c r="U1081" s="17">
        <f t="shared" si="1"/>
        <v>1</v>
      </c>
    </row>
    <row r="1082">
      <c r="A1082" s="12" t="s">
        <v>1669</v>
      </c>
      <c r="B1082" s="12" t="s">
        <v>308</v>
      </c>
      <c r="C1082" s="17">
        <v>45.0</v>
      </c>
      <c r="D1082" s="12" t="s">
        <v>69</v>
      </c>
      <c r="E1082" s="12" t="s">
        <v>187</v>
      </c>
      <c r="F1082" s="12" t="s">
        <v>79</v>
      </c>
      <c r="G1082" s="12" t="s">
        <v>63</v>
      </c>
      <c r="H1082" s="15">
        <v>44940.0</v>
      </c>
      <c r="I1082" s="17">
        <v>15.0</v>
      </c>
      <c r="J1082" s="12" t="s">
        <v>64</v>
      </c>
      <c r="K1082" s="12" t="s">
        <v>81</v>
      </c>
      <c r="L1082" s="17">
        <v>3983.0</v>
      </c>
      <c r="M1082" s="17">
        <v>1.0</v>
      </c>
      <c r="N1082" s="17">
        <v>2.0</v>
      </c>
      <c r="O1082" s="17">
        <v>36.2</v>
      </c>
      <c r="P1082" s="17">
        <v>2.4</v>
      </c>
      <c r="Q1082" s="15">
        <v>45170.0</v>
      </c>
      <c r="R1082" s="12"/>
      <c r="S1082" s="12" t="s">
        <v>55</v>
      </c>
      <c r="T1082" s="12" t="s">
        <v>104</v>
      </c>
      <c r="U1082" s="17">
        <f t="shared" si="1"/>
        <v>1</v>
      </c>
    </row>
    <row r="1083">
      <c r="A1083" s="12" t="s">
        <v>1670</v>
      </c>
      <c r="B1083" s="12" t="s">
        <v>380</v>
      </c>
      <c r="C1083" s="17">
        <v>54.0</v>
      </c>
      <c r="D1083" s="12" t="s">
        <v>85</v>
      </c>
      <c r="E1083" s="12" t="s">
        <v>111</v>
      </c>
      <c r="F1083" s="12" t="s">
        <v>79</v>
      </c>
      <c r="G1083" s="12" t="s">
        <v>63</v>
      </c>
      <c r="H1083" s="15">
        <v>45498.0</v>
      </c>
      <c r="I1083" s="17">
        <v>27.0</v>
      </c>
      <c r="J1083" s="12" t="s">
        <v>64</v>
      </c>
      <c r="K1083" s="12" t="s">
        <v>42</v>
      </c>
      <c r="L1083" s="17">
        <v>514.0</v>
      </c>
      <c r="M1083" s="17">
        <v>2.0</v>
      </c>
      <c r="N1083" s="17">
        <v>1.0</v>
      </c>
      <c r="O1083" s="17">
        <v>19.0</v>
      </c>
      <c r="P1083" s="17">
        <v>4.4</v>
      </c>
      <c r="Q1083" s="15">
        <v>45686.0</v>
      </c>
      <c r="R1083" s="12" t="s">
        <v>1671</v>
      </c>
      <c r="S1083" s="12" t="s">
        <v>45</v>
      </c>
      <c r="T1083" s="12" t="s">
        <v>66</v>
      </c>
      <c r="U1083" s="17">
        <f t="shared" si="1"/>
        <v>1</v>
      </c>
    </row>
    <row r="1084">
      <c r="A1084" s="12" t="s">
        <v>1672</v>
      </c>
      <c r="B1084" s="12" t="s">
        <v>331</v>
      </c>
      <c r="C1084" s="17">
        <v>19.0</v>
      </c>
      <c r="D1084" s="12" t="s">
        <v>69</v>
      </c>
      <c r="E1084" s="12" t="s">
        <v>177</v>
      </c>
      <c r="F1084" s="12" t="s">
        <v>37</v>
      </c>
      <c r="G1084" s="12" t="s">
        <v>80</v>
      </c>
      <c r="H1084" s="15">
        <v>45302.0</v>
      </c>
      <c r="I1084" s="17">
        <v>42.0</v>
      </c>
      <c r="J1084" s="12" t="s">
        <v>53</v>
      </c>
      <c r="K1084" s="12" t="s">
        <v>65</v>
      </c>
      <c r="L1084" s="17">
        <v>1140.0</v>
      </c>
      <c r="M1084" s="17">
        <v>2.0</v>
      </c>
      <c r="N1084" s="17">
        <v>1.0</v>
      </c>
      <c r="O1084" s="17">
        <v>26.5</v>
      </c>
      <c r="P1084" s="17">
        <v>4.8</v>
      </c>
      <c r="Q1084" s="15">
        <v>46461.0</v>
      </c>
      <c r="R1084" s="12"/>
      <c r="S1084" s="12" t="s">
        <v>55</v>
      </c>
      <c r="T1084" s="12" t="s">
        <v>104</v>
      </c>
      <c r="U1084" s="17">
        <f t="shared" si="1"/>
        <v>2</v>
      </c>
    </row>
    <row r="1085">
      <c r="A1085" s="12" t="s">
        <v>549</v>
      </c>
      <c r="B1085" s="12" t="s">
        <v>222</v>
      </c>
      <c r="C1085" s="17">
        <v>24.0</v>
      </c>
      <c r="D1085" s="12" t="s">
        <v>85</v>
      </c>
      <c r="E1085" s="12" t="s">
        <v>92</v>
      </c>
      <c r="F1085" s="12" t="s">
        <v>497</v>
      </c>
      <c r="G1085" s="12" t="s">
        <v>93</v>
      </c>
      <c r="H1085" s="15">
        <v>44863.0</v>
      </c>
      <c r="I1085" s="17">
        <v>26.0</v>
      </c>
      <c r="J1085" s="12" t="s">
        <v>64</v>
      </c>
      <c r="K1085" s="12" t="s">
        <v>65</v>
      </c>
      <c r="L1085" s="17">
        <v>682.0</v>
      </c>
      <c r="M1085" s="17">
        <v>4.0</v>
      </c>
      <c r="N1085" s="17">
        <v>0.0</v>
      </c>
      <c r="O1085" s="17">
        <v>11.5</v>
      </c>
      <c r="P1085" s="17">
        <v>5.0</v>
      </c>
      <c r="Q1085" s="15">
        <v>45023.0</v>
      </c>
      <c r="R1085" s="12"/>
      <c r="S1085" s="12" t="s">
        <v>55</v>
      </c>
      <c r="T1085" s="12" t="s">
        <v>66</v>
      </c>
      <c r="U1085" s="17">
        <f t="shared" si="1"/>
        <v>3</v>
      </c>
    </row>
    <row r="1086">
      <c r="A1086" s="12" t="s">
        <v>1673</v>
      </c>
      <c r="B1086" s="12" t="s">
        <v>636</v>
      </c>
      <c r="C1086" s="17">
        <v>55.0</v>
      </c>
      <c r="D1086" s="12" t="s">
        <v>60</v>
      </c>
      <c r="E1086" s="12" t="s">
        <v>133</v>
      </c>
      <c r="F1086" s="12" t="s">
        <v>37</v>
      </c>
      <c r="G1086" s="12" t="s">
        <v>93</v>
      </c>
      <c r="H1086" s="15">
        <v>45005.0</v>
      </c>
      <c r="I1086" s="17">
        <v>1.0</v>
      </c>
      <c r="J1086" s="12" t="s">
        <v>53</v>
      </c>
      <c r="K1086" s="12" t="s">
        <v>42</v>
      </c>
      <c r="L1086" s="17">
        <v>1099.0</v>
      </c>
      <c r="M1086" s="17">
        <v>1.0</v>
      </c>
      <c r="N1086" s="17">
        <v>1.0</v>
      </c>
      <c r="O1086" s="17">
        <v>37.6</v>
      </c>
      <c r="P1086" s="17">
        <v>3.4</v>
      </c>
      <c r="Q1086" s="15">
        <v>45024.0</v>
      </c>
      <c r="R1086" s="12"/>
      <c r="S1086" s="12" t="s">
        <v>55</v>
      </c>
      <c r="T1086" s="12" t="s">
        <v>72</v>
      </c>
      <c r="U1086" s="17">
        <f t="shared" si="1"/>
        <v>1</v>
      </c>
    </row>
    <row r="1087">
      <c r="A1087" s="12" t="s">
        <v>1199</v>
      </c>
      <c r="B1087" s="12" t="s">
        <v>383</v>
      </c>
      <c r="C1087" s="17">
        <v>67.0</v>
      </c>
      <c r="D1087" s="12" t="s">
        <v>60</v>
      </c>
      <c r="E1087" s="12" t="s">
        <v>133</v>
      </c>
      <c r="F1087" s="12" t="s">
        <v>37</v>
      </c>
      <c r="G1087" s="12" t="s">
        <v>39</v>
      </c>
      <c r="H1087" s="15">
        <v>45765.0</v>
      </c>
      <c r="I1087" s="17">
        <v>20.0</v>
      </c>
      <c r="J1087" s="12" t="s">
        <v>40</v>
      </c>
      <c r="K1087" s="12" t="s">
        <v>42</v>
      </c>
      <c r="L1087" s="17">
        <v>1640.0</v>
      </c>
      <c r="M1087" s="17">
        <v>0.0</v>
      </c>
      <c r="N1087" s="17">
        <v>1.0</v>
      </c>
      <c r="O1087" s="17">
        <v>17.7</v>
      </c>
      <c r="P1087" s="17">
        <v>4.3</v>
      </c>
      <c r="Q1087" s="15">
        <v>45816.0</v>
      </c>
      <c r="R1087" s="12" t="s">
        <v>1674</v>
      </c>
      <c r="S1087" s="12" t="s">
        <v>45</v>
      </c>
      <c r="T1087" s="12" t="s">
        <v>104</v>
      </c>
      <c r="U1087" s="17">
        <f t="shared" si="1"/>
        <v>3</v>
      </c>
    </row>
    <row r="1088">
      <c r="A1088" s="12" t="s">
        <v>1310</v>
      </c>
      <c r="B1088" s="12" t="s">
        <v>325</v>
      </c>
      <c r="C1088" s="17">
        <v>61.0</v>
      </c>
      <c r="D1088" s="12" t="s">
        <v>85</v>
      </c>
      <c r="E1088" s="12" t="s">
        <v>87</v>
      </c>
      <c r="F1088" s="12" t="s">
        <v>79</v>
      </c>
      <c r="G1088" s="12" t="s">
        <v>120</v>
      </c>
      <c r="H1088" s="15">
        <v>44690.0</v>
      </c>
      <c r="I1088" s="17">
        <v>4.0</v>
      </c>
      <c r="J1088" s="12" t="s">
        <v>40</v>
      </c>
      <c r="K1088" s="12" t="s">
        <v>81</v>
      </c>
      <c r="L1088" s="17">
        <v>3030.0</v>
      </c>
      <c r="M1088" s="17">
        <v>3.0</v>
      </c>
      <c r="N1088" s="17">
        <v>0.0</v>
      </c>
      <c r="O1088" s="17">
        <v>43.5</v>
      </c>
      <c r="P1088" s="17">
        <v>3.3</v>
      </c>
      <c r="Q1088" s="15">
        <v>44751.0</v>
      </c>
      <c r="R1088" s="12"/>
      <c r="S1088" s="12" t="s">
        <v>55</v>
      </c>
      <c r="T1088" s="12" t="s">
        <v>72</v>
      </c>
      <c r="U1088" s="17">
        <f t="shared" si="1"/>
        <v>2</v>
      </c>
    </row>
    <row r="1089">
      <c r="A1089" s="12" t="s">
        <v>1155</v>
      </c>
      <c r="B1089" s="12" t="s">
        <v>74</v>
      </c>
      <c r="C1089" s="17">
        <v>48.0</v>
      </c>
      <c r="D1089" s="12" t="s">
        <v>35</v>
      </c>
      <c r="E1089" s="12" t="s">
        <v>36</v>
      </c>
      <c r="F1089" s="12" t="s">
        <v>62</v>
      </c>
      <c r="G1089" s="12" t="s">
        <v>63</v>
      </c>
      <c r="H1089" s="15">
        <v>45815.0</v>
      </c>
      <c r="I1089" s="17">
        <v>42.0</v>
      </c>
      <c r="J1089" s="12" t="s">
        <v>53</v>
      </c>
      <c r="K1089" s="12" t="s">
        <v>42</v>
      </c>
      <c r="L1089" s="12" t="s">
        <v>1675</v>
      </c>
      <c r="M1089" s="17">
        <v>0.0</v>
      </c>
      <c r="N1089" s="17">
        <v>1.0</v>
      </c>
      <c r="O1089" s="17">
        <v>14.5</v>
      </c>
      <c r="P1089" s="17">
        <v>5.0</v>
      </c>
      <c r="Q1089" s="15">
        <v>45974.0</v>
      </c>
      <c r="R1089" s="12"/>
      <c r="S1089" s="12" t="s">
        <v>55</v>
      </c>
      <c r="T1089" s="12" t="s">
        <v>66</v>
      </c>
      <c r="U1089" s="17">
        <f t="shared" si="1"/>
        <v>3</v>
      </c>
    </row>
    <row r="1090">
      <c r="A1090" s="12" t="s">
        <v>1676</v>
      </c>
      <c r="B1090" s="12" t="s">
        <v>110</v>
      </c>
      <c r="C1090" s="17">
        <v>57.0</v>
      </c>
      <c r="D1090" s="12" t="s">
        <v>85</v>
      </c>
      <c r="E1090" s="12" t="s">
        <v>87</v>
      </c>
      <c r="F1090" s="12" t="s">
        <v>37</v>
      </c>
      <c r="G1090" s="12" t="s">
        <v>63</v>
      </c>
      <c r="H1090" s="15">
        <v>45316.0</v>
      </c>
      <c r="I1090" s="17">
        <v>15.0</v>
      </c>
      <c r="J1090" s="12" t="s">
        <v>53</v>
      </c>
      <c r="K1090" s="12" t="s">
        <v>65</v>
      </c>
      <c r="L1090" s="17">
        <v>1016.0</v>
      </c>
      <c r="M1090" s="17">
        <v>4.0</v>
      </c>
      <c r="N1090" s="17">
        <v>0.0</v>
      </c>
      <c r="O1090" s="17">
        <v>26.9</v>
      </c>
      <c r="P1090" s="17">
        <v>3.6</v>
      </c>
      <c r="Q1090" s="15">
        <v>45579.0</v>
      </c>
      <c r="R1090" s="12"/>
      <c r="S1090" s="12" t="s">
        <v>55</v>
      </c>
      <c r="T1090" s="12" t="s">
        <v>47</v>
      </c>
      <c r="U1090" s="17">
        <f t="shared" si="1"/>
        <v>1</v>
      </c>
    </row>
    <row r="1091">
      <c r="A1091" s="12" t="s">
        <v>1509</v>
      </c>
      <c r="B1091" s="12" t="s">
        <v>639</v>
      </c>
      <c r="C1091" s="17">
        <v>65.0</v>
      </c>
      <c r="D1091" s="12" t="s">
        <v>85</v>
      </c>
      <c r="E1091" s="12" t="s">
        <v>111</v>
      </c>
      <c r="F1091" s="12" t="s">
        <v>37</v>
      </c>
      <c r="G1091" s="12" t="s">
        <v>93</v>
      </c>
      <c r="H1091" s="15">
        <v>45405.0</v>
      </c>
      <c r="I1091" s="17">
        <v>43.0</v>
      </c>
      <c r="J1091" s="12" t="s">
        <v>64</v>
      </c>
      <c r="K1091" s="12" t="s">
        <v>81</v>
      </c>
      <c r="L1091" s="17">
        <v>1351.0</v>
      </c>
      <c r="M1091" s="17">
        <v>3.0</v>
      </c>
      <c r="N1091" s="17">
        <v>1.0</v>
      </c>
      <c r="O1091" s="17">
        <v>50.2</v>
      </c>
      <c r="P1091" s="17">
        <v>2.8</v>
      </c>
      <c r="Q1091" s="15">
        <v>46552.0</v>
      </c>
      <c r="R1091" s="12"/>
      <c r="S1091" s="12" t="s">
        <v>55</v>
      </c>
      <c r="T1091" s="12" t="s">
        <v>75</v>
      </c>
      <c r="U1091" s="17">
        <f t="shared" si="1"/>
        <v>2</v>
      </c>
    </row>
    <row r="1092">
      <c r="A1092" s="12" t="s">
        <v>1619</v>
      </c>
      <c r="B1092" s="12" t="s">
        <v>362</v>
      </c>
      <c r="C1092" s="17">
        <v>48.0</v>
      </c>
      <c r="D1092" s="12" t="s">
        <v>69</v>
      </c>
      <c r="E1092" s="12" t="s">
        <v>70</v>
      </c>
      <c r="F1092" s="12" t="s">
        <v>37</v>
      </c>
      <c r="G1092" s="12" t="s">
        <v>210</v>
      </c>
      <c r="H1092" s="15">
        <v>44608.0</v>
      </c>
      <c r="I1092" s="17">
        <v>26.0</v>
      </c>
      <c r="J1092" s="12" t="s">
        <v>40</v>
      </c>
      <c r="K1092" s="12" t="s">
        <v>42</v>
      </c>
      <c r="L1092" s="17">
        <v>1545.0</v>
      </c>
      <c r="M1092" s="17">
        <v>2.0</v>
      </c>
      <c r="N1092" s="17">
        <v>1.0</v>
      </c>
      <c r="O1092" s="17">
        <v>11.4</v>
      </c>
      <c r="P1092" s="17">
        <v>3.5</v>
      </c>
      <c r="Q1092" s="15">
        <v>44686.0</v>
      </c>
      <c r="R1092" s="12" t="s">
        <v>1677</v>
      </c>
      <c r="S1092" s="12" t="s">
        <v>45</v>
      </c>
      <c r="T1092" s="12" t="s">
        <v>47</v>
      </c>
      <c r="U1092" s="17">
        <f t="shared" si="1"/>
        <v>2</v>
      </c>
    </row>
    <row r="1093">
      <c r="A1093" s="12" t="s">
        <v>1678</v>
      </c>
      <c r="B1093" s="12" t="s">
        <v>288</v>
      </c>
      <c r="C1093" s="17">
        <v>99.0</v>
      </c>
      <c r="D1093" s="12" t="s">
        <v>60</v>
      </c>
      <c r="E1093" s="12" t="s">
        <v>97</v>
      </c>
      <c r="F1093" s="12" t="s">
        <v>62</v>
      </c>
      <c r="G1093" s="12" t="s">
        <v>120</v>
      </c>
      <c r="H1093" s="15">
        <v>44784.0</v>
      </c>
      <c r="I1093" s="17">
        <v>30.0</v>
      </c>
      <c r="J1093" s="12" t="s">
        <v>64</v>
      </c>
      <c r="K1093" s="12" t="s">
        <v>42</v>
      </c>
      <c r="L1093" s="12" t="s">
        <v>1679</v>
      </c>
      <c r="M1093" s="17">
        <v>2.0</v>
      </c>
      <c r="N1093" s="17">
        <v>1.0</v>
      </c>
      <c r="O1093" s="17">
        <v>25.3</v>
      </c>
      <c r="P1093" s="17">
        <v>4.2</v>
      </c>
      <c r="Q1093" s="15">
        <v>45003.0</v>
      </c>
      <c r="R1093" s="12"/>
      <c r="S1093" s="12" t="s">
        <v>55</v>
      </c>
      <c r="T1093" s="12" t="s">
        <v>104</v>
      </c>
      <c r="U1093" s="17">
        <f t="shared" si="1"/>
        <v>1</v>
      </c>
    </row>
    <row r="1094">
      <c r="A1094" s="12" t="s">
        <v>422</v>
      </c>
      <c r="B1094" s="12" t="s">
        <v>633</v>
      </c>
      <c r="C1094" s="17">
        <v>26.0</v>
      </c>
      <c r="D1094" s="12" t="s">
        <v>35</v>
      </c>
      <c r="E1094" s="12" t="s">
        <v>51</v>
      </c>
      <c r="F1094" s="12" t="s">
        <v>37</v>
      </c>
      <c r="G1094" s="12" t="s">
        <v>39</v>
      </c>
      <c r="H1094" s="15">
        <v>45613.0</v>
      </c>
      <c r="I1094" s="17">
        <v>43.0</v>
      </c>
      <c r="J1094" s="12" t="s">
        <v>40</v>
      </c>
      <c r="K1094" s="12" t="s">
        <v>42</v>
      </c>
      <c r="L1094" s="17">
        <v>1506.0</v>
      </c>
      <c r="M1094" s="17">
        <v>1.0</v>
      </c>
      <c r="N1094" s="17">
        <v>3.0</v>
      </c>
      <c r="O1094" s="17">
        <v>21.4</v>
      </c>
      <c r="P1094" s="17">
        <v>3.3</v>
      </c>
      <c r="Q1094" s="15">
        <v>46797.0</v>
      </c>
      <c r="R1094" s="12"/>
      <c r="S1094" s="12" t="s">
        <v>55</v>
      </c>
      <c r="T1094" s="12" t="s">
        <v>75</v>
      </c>
      <c r="U1094" s="17">
        <f t="shared" si="1"/>
        <v>2</v>
      </c>
    </row>
    <row r="1095">
      <c r="A1095" s="12" t="s">
        <v>1080</v>
      </c>
      <c r="B1095" s="12" t="s">
        <v>651</v>
      </c>
      <c r="C1095" s="17">
        <v>46.0</v>
      </c>
      <c r="D1095" s="12" t="s">
        <v>60</v>
      </c>
      <c r="E1095" s="12" t="s">
        <v>107</v>
      </c>
      <c r="F1095" s="12" t="s">
        <v>62</v>
      </c>
      <c r="G1095" s="12" t="s">
        <v>63</v>
      </c>
      <c r="H1095" s="15">
        <v>44907.0</v>
      </c>
      <c r="I1095" s="17">
        <v>38.0</v>
      </c>
      <c r="J1095" s="12" t="s">
        <v>53</v>
      </c>
      <c r="K1095" s="12" t="s">
        <v>65</v>
      </c>
      <c r="L1095" s="17">
        <v>571.0</v>
      </c>
      <c r="M1095" s="17">
        <v>4.0</v>
      </c>
      <c r="N1095" s="17">
        <v>0.0</v>
      </c>
      <c r="O1095" s="17">
        <v>16.6</v>
      </c>
      <c r="P1095" s="17">
        <v>4.7</v>
      </c>
      <c r="Q1095" s="15">
        <v>45962.0</v>
      </c>
      <c r="R1095" s="12"/>
      <c r="S1095" s="12" t="s">
        <v>55</v>
      </c>
      <c r="T1095" s="12" t="s">
        <v>104</v>
      </c>
      <c r="U1095" s="17">
        <f t="shared" si="1"/>
        <v>2</v>
      </c>
    </row>
    <row r="1096">
      <c r="A1096" s="12" t="s">
        <v>1680</v>
      </c>
      <c r="B1096" s="12" t="s">
        <v>190</v>
      </c>
      <c r="C1096" s="17">
        <v>30.0</v>
      </c>
      <c r="D1096" s="12" t="s">
        <v>85</v>
      </c>
      <c r="E1096" s="12" t="s">
        <v>111</v>
      </c>
      <c r="F1096" s="12" t="s">
        <v>37</v>
      </c>
      <c r="G1096" s="12" t="s">
        <v>93</v>
      </c>
      <c r="H1096" s="15">
        <v>44770.0</v>
      </c>
      <c r="I1096" s="17">
        <v>26.0</v>
      </c>
      <c r="J1096" s="12" t="s">
        <v>40</v>
      </c>
      <c r="K1096" s="12" t="s">
        <v>42</v>
      </c>
      <c r="L1096" s="17">
        <v>1144.0</v>
      </c>
      <c r="M1096" s="17">
        <v>3.0</v>
      </c>
      <c r="N1096" s="17">
        <v>2.0</v>
      </c>
      <c r="O1096" s="17">
        <v>44.5</v>
      </c>
      <c r="P1096" s="17">
        <v>2.4</v>
      </c>
      <c r="Q1096" s="15">
        <v>45254.0</v>
      </c>
      <c r="R1096" s="12"/>
      <c r="S1096" s="12" t="s">
        <v>55</v>
      </c>
      <c r="T1096" s="12" t="s">
        <v>47</v>
      </c>
      <c r="U1096" s="17">
        <f t="shared" si="1"/>
        <v>1</v>
      </c>
    </row>
    <row r="1097">
      <c r="A1097" s="12" t="s">
        <v>1293</v>
      </c>
      <c r="B1097" s="12" t="s">
        <v>405</v>
      </c>
      <c r="C1097" s="17">
        <v>66.0</v>
      </c>
      <c r="D1097" s="12" t="s">
        <v>35</v>
      </c>
      <c r="E1097" s="12" t="s">
        <v>140</v>
      </c>
      <c r="F1097" s="12" t="s">
        <v>79</v>
      </c>
      <c r="G1097" s="12" t="s">
        <v>80</v>
      </c>
      <c r="H1097" s="15">
        <v>45660.0</v>
      </c>
      <c r="I1097" s="17">
        <v>12.0</v>
      </c>
      <c r="J1097" s="12" t="s">
        <v>53</v>
      </c>
      <c r="K1097" s="12" t="s">
        <v>81</v>
      </c>
      <c r="L1097" s="17">
        <v>3062.0</v>
      </c>
      <c r="M1097" s="17">
        <v>2.0</v>
      </c>
      <c r="N1097" s="17">
        <v>2.0</v>
      </c>
      <c r="O1097" s="17">
        <v>51.6</v>
      </c>
      <c r="P1097" s="17">
        <v>3.7</v>
      </c>
      <c r="Q1097" s="15">
        <v>45884.0</v>
      </c>
      <c r="R1097" s="12"/>
      <c r="S1097" s="12" t="s">
        <v>55</v>
      </c>
      <c r="T1097" s="12" t="s">
        <v>66</v>
      </c>
      <c r="U1097" s="17">
        <f t="shared" si="1"/>
        <v>4</v>
      </c>
    </row>
    <row r="1098">
      <c r="A1098" s="12" t="s">
        <v>1681</v>
      </c>
      <c r="B1098" s="12" t="s">
        <v>308</v>
      </c>
      <c r="C1098" s="17">
        <v>40.0</v>
      </c>
      <c r="D1098" s="12" t="s">
        <v>69</v>
      </c>
      <c r="E1098" s="12" t="s">
        <v>119</v>
      </c>
      <c r="F1098" s="12" t="s">
        <v>79</v>
      </c>
      <c r="G1098" s="12" t="s">
        <v>39</v>
      </c>
      <c r="H1098" s="15">
        <v>45666.0</v>
      </c>
      <c r="I1098" s="17">
        <v>16.0</v>
      </c>
      <c r="J1098" s="12" t="s">
        <v>40</v>
      </c>
      <c r="K1098" s="12" t="s">
        <v>81</v>
      </c>
      <c r="L1098" s="17">
        <v>3112.0</v>
      </c>
      <c r="M1098" s="17">
        <v>1.0</v>
      </c>
      <c r="N1098" s="17">
        <v>1.0</v>
      </c>
      <c r="O1098" s="17">
        <v>45.8</v>
      </c>
      <c r="P1098" s="17">
        <v>2.9</v>
      </c>
      <c r="Q1098" s="15">
        <v>46024.0</v>
      </c>
      <c r="R1098" s="12" t="s">
        <v>1682</v>
      </c>
      <c r="S1098" s="12" t="s">
        <v>45</v>
      </c>
      <c r="T1098" s="12" t="s">
        <v>75</v>
      </c>
      <c r="U1098" s="17">
        <f t="shared" si="1"/>
        <v>2</v>
      </c>
    </row>
    <row r="1099">
      <c r="A1099" s="12" t="s">
        <v>1683</v>
      </c>
      <c r="B1099" s="12" t="s">
        <v>110</v>
      </c>
      <c r="C1099" s="17">
        <v>63.0</v>
      </c>
      <c r="D1099" s="12" t="s">
        <v>35</v>
      </c>
      <c r="E1099" s="12" t="s">
        <v>140</v>
      </c>
      <c r="F1099" s="12" t="s">
        <v>37</v>
      </c>
      <c r="G1099" s="12" t="s">
        <v>80</v>
      </c>
      <c r="H1099" s="15">
        <v>45677.0</v>
      </c>
      <c r="I1099" s="17">
        <v>47.0</v>
      </c>
      <c r="J1099" s="12" t="s">
        <v>40</v>
      </c>
      <c r="K1099" s="12" t="s">
        <v>65</v>
      </c>
      <c r="L1099" s="17">
        <v>1696.0</v>
      </c>
      <c r="M1099" s="17">
        <v>2.0</v>
      </c>
      <c r="N1099" s="17">
        <v>0.0</v>
      </c>
      <c r="O1099" s="17">
        <v>21.0</v>
      </c>
      <c r="P1099" s="17">
        <v>4.0</v>
      </c>
      <c r="Q1099" s="15">
        <v>45930.0</v>
      </c>
      <c r="R1099" s="12"/>
      <c r="S1099" s="12" t="s">
        <v>55</v>
      </c>
      <c r="T1099" s="12" t="s">
        <v>75</v>
      </c>
      <c r="U1099" s="17">
        <f t="shared" si="1"/>
        <v>1</v>
      </c>
    </row>
    <row r="1100">
      <c r="A1100" s="12" t="s">
        <v>350</v>
      </c>
      <c r="B1100" s="12" t="s">
        <v>160</v>
      </c>
      <c r="C1100" s="17">
        <v>59.0</v>
      </c>
      <c r="D1100" s="12" t="s">
        <v>85</v>
      </c>
      <c r="E1100" s="12" t="s">
        <v>111</v>
      </c>
      <c r="F1100" s="12" t="s">
        <v>79</v>
      </c>
      <c r="G1100" s="12" t="s">
        <v>63</v>
      </c>
      <c r="H1100" s="15">
        <v>45309.0</v>
      </c>
      <c r="I1100" s="17">
        <v>1.0</v>
      </c>
      <c r="J1100" s="12" t="s">
        <v>53</v>
      </c>
      <c r="K1100" s="12" t="s">
        <v>65</v>
      </c>
      <c r="L1100" s="17">
        <v>3348.0</v>
      </c>
      <c r="M1100" s="17">
        <v>4.0</v>
      </c>
      <c r="N1100" s="17">
        <v>2.0</v>
      </c>
      <c r="O1100" s="17">
        <v>43.9</v>
      </c>
      <c r="P1100" s="17">
        <v>3.1</v>
      </c>
      <c r="Q1100" s="15">
        <v>45329.0</v>
      </c>
      <c r="R1100" s="12"/>
      <c r="S1100" s="12" t="s">
        <v>55</v>
      </c>
      <c r="T1100" s="12" t="s">
        <v>47</v>
      </c>
      <c r="U1100" s="17">
        <f t="shared" si="1"/>
        <v>4</v>
      </c>
    </row>
    <row r="1101">
      <c r="A1101" s="12" t="s">
        <v>1684</v>
      </c>
      <c r="B1101" s="12" t="s">
        <v>336</v>
      </c>
      <c r="C1101" s="17">
        <v>23.0</v>
      </c>
      <c r="D1101" s="12" t="s">
        <v>85</v>
      </c>
      <c r="E1101" s="12" t="s">
        <v>92</v>
      </c>
      <c r="F1101" s="12" t="s">
        <v>62</v>
      </c>
      <c r="G1101" s="12" t="s">
        <v>210</v>
      </c>
      <c r="H1101" s="15">
        <v>45666.0</v>
      </c>
      <c r="I1101" s="17">
        <v>29.0</v>
      </c>
      <c r="J1101" s="12" t="s">
        <v>64</v>
      </c>
      <c r="K1101" s="12" t="s">
        <v>42</v>
      </c>
      <c r="L1101" s="17">
        <v>850.0</v>
      </c>
      <c r="M1101" s="17">
        <v>4.0</v>
      </c>
      <c r="N1101" s="17">
        <v>0.0</v>
      </c>
      <c r="O1101" s="17">
        <v>12.8</v>
      </c>
      <c r="P1101" s="17">
        <v>3.4</v>
      </c>
      <c r="Q1101" s="15">
        <v>46259.0</v>
      </c>
      <c r="R1101" s="12" t="s">
        <v>211</v>
      </c>
      <c r="S1101" s="12" t="s">
        <v>45</v>
      </c>
      <c r="T1101" s="12" t="s">
        <v>72</v>
      </c>
      <c r="U1101" s="17">
        <f t="shared" si="1"/>
        <v>2</v>
      </c>
    </row>
    <row r="1102">
      <c r="A1102" s="12" t="s">
        <v>1685</v>
      </c>
      <c r="B1102" s="12" t="s">
        <v>232</v>
      </c>
      <c r="C1102" s="17">
        <v>53.0</v>
      </c>
      <c r="D1102" s="12" t="s">
        <v>85</v>
      </c>
      <c r="E1102" s="12" t="s">
        <v>87</v>
      </c>
      <c r="F1102" s="12" t="s">
        <v>37</v>
      </c>
      <c r="G1102" s="12" t="s">
        <v>63</v>
      </c>
      <c r="H1102" s="15">
        <v>45703.0</v>
      </c>
      <c r="I1102" s="17">
        <v>120.0</v>
      </c>
      <c r="J1102" s="12" t="s">
        <v>40</v>
      </c>
      <c r="K1102" s="12" t="s">
        <v>42</v>
      </c>
      <c r="L1102" s="17">
        <v>1273.0</v>
      </c>
      <c r="M1102" s="17">
        <v>1.0</v>
      </c>
      <c r="N1102" s="17">
        <v>1.0</v>
      </c>
      <c r="O1102" s="17">
        <v>26.1</v>
      </c>
      <c r="P1102" s="17">
        <v>4.2</v>
      </c>
      <c r="Q1102" s="15">
        <v>46593.0</v>
      </c>
      <c r="R1102" s="12"/>
      <c r="S1102" s="12" t="s">
        <v>55</v>
      </c>
      <c r="T1102" s="12" t="s">
        <v>47</v>
      </c>
      <c r="U1102" s="17">
        <f t="shared" si="1"/>
        <v>1</v>
      </c>
    </row>
    <row r="1103">
      <c r="A1103" s="12" t="s">
        <v>733</v>
      </c>
      <c r="B1103" s="12" t="s">
        <v>78</v>
      </c>
      <c r="C1103" s="17">
        <v>38.0</v>
      </c>
      <c r="D1103" s="12" t="s">
        <v>60</v>
      </c>
      <c r="E1103" s="12" t="s">
        <v>61</v>
      </c>
      <c r="F1103" s="12" t="s">
        <v>79</v>
      </c>
      <c r="G1103" s="12" t="s">
        <v>52</v>
      </c>
      <c r="H1103" s="15">
        <v>45032.0</v>
      </c>
      <c r="I1103" s="17">
        <v>43.0</v>
      </c>
      <c r="J1103" s="12" t="s">
        <v>64</v>
      </c>
      <c r="K1103" s="12" t="s">
        <v>65</v>
      </c>
      <c r="L1103" s="17">
        <v>3224.0</v>
      </c>
      <c r="M1103" s="17">
        <v>2.0</v>
      </c>
      <c r="N1103" s="17">
        <v>1.0</v>
      </c>
      <c r="O1103" s="17">
        <v>42.6</v>
      </c>
      <c r="P1103" s="17">
        <v>2.9</v>
      </c>
      <c r="Q1103" s="15">
        <v>45555.0</v>
      </c>
      <c r="R1103" s="12" t="s">
        <v>1686</v>
      </c>
      <c r="S1103" s="12" t="s">
        <v>45</v>
      </c>
      <c r="T1103" s="12"/>
      <c r="U1103" s="17">
        <f t="shared" si="1"/>
        <v>4</v>
      </c>
    </row>
    <row r="1104">
      <c r="A1104" s="12" t="s">
        <v>1687</v>
      </c>
      <c r="B1104" s="12" t="s">
        <v>342</v>
      </c>
      <c r="C1104" s="17">
        <v>30.0</v>
      </c>
      <c r="D1104" s="12" t="s">
        <v>35</v>
      </c>
      <c r="E1104" s="12" t="s">
        <v>36</v>
      </c>
      <c r="F1104" s="12" t="s">
        <v>79</v>
      </c>
      <c r="G1104" s="12" t="s">
        <v>120</v>
      </c>
      <c r="H1104" s="15">
        <v>45844.0</v>
      </c>
      <c r="I1104" s="17">
        <v>35.0</v>
      </c>
      <c r="J1104" s="12" t="s">
        <v>40</v>
      </c>
      <c r="K1104" s="12" t="s">
        <v>81</v>
      </c>
      <c r="L1104" s="17">
        <v>883.0</v>
      </c>
      <c r="M1104" s="17">
        <v>2.0</v>
      </c>
      <c r="N1104" s="17">
        <v>1.0</v>
      </c>
      <c r="O1104" s="17">
        <v>13.0</v>
      </c>
      <c r="P1104" s="17">
        <v>1.3</v>
      </c>
      <c r="Q1104" s="15">
        <v>46757.0</v>
      </c>
      <c r="R1104" s="12"/>
      <c r="S1104" s="12" t="s">
        <v>55</v>
      </c>
      <c r="T1104" s="12" t="s">
        <v>75</v>
      </c>
      <c r="U1104" s="17">
        <f t="shared" si="1"/>
        <v>1</v>
      </c>
    </row>
    <row r="1105">
      <c r="A1105" s="12" t="s">
        <v>1688</v>
      </c>
      <c r="B1105" s="12" t="s">
        <v>325</v>
      </c>
      <c r="C1105" s="17">
        <v>65.0</v>
      </c>
      <c r="D1105" s="12" t="s">
        <v>85</v>
      </c>
      <c r="E1105" s="12" t="s">
        <v>87</v>
      </c>
      <c r="F1105" s="12" t="s">
        <v>192</v>
      </c>
      <c r="G1105" s="12" t="s">
        <v>93</v>
      </c>
      <c r="H1105" s="15">
        <v>45906.0</v>
      </c>
      <c r="I1105" s="17">
        <v>12.0</v>
      </c>
      <c r="J1105" s="12" t="s">
        <v>64</v>
      </c>
      <c r="K1105" s="12" t="s">
        <v>81</v>
      </c>
      <c r="L1105" s="17">
        <v>814.0</v>
      </c>
      <c r="M1105" s="17">
        <v>2.0</v>
      </c>
      <c r="N1105" s="17">
        <v>1.0</v>
      </c>
      <c r="O1105" s="17">
        <v>22.1</v>
      </c>
      <c r="P1105" s="17">
        <v>3.3</v>
      </c>
      <c r="Q1105" s="15">
        <v>46110.0</v>
      </c>
      <c r="R1105" s="12"/>
      <c r="S1105" s="12" t="s">
        <v>55</v>
      </c>
      <c r="T1105" s="12" t="s">
        <v>75</v>
      </c>
      <c r="U1105" s="17">
        <f t="shared" si="1"/>
        <v>1</v>
      </c>
    </row>
    <row r="1106">
      <c r="A1106" s="12" t="s">
        <v>990</v>
      </c>
      <c r="B1106" s="12" t="s">
        <v>312</v>
      </c>
      <c r="C1106" s="17">
        <v>50.0</v>
      </c>
      <c r="D1106" s="12" t="s">
        <v>85</v>
      </c>
      <c r="E1106" s="12" t="s">
        <v>87</v>
      </c>
      <c r="F1106" s="12" t="s">
        <v>37</v>
      </c>
      <c r="G1106" s="12" t="s">
        <v>93</v>
      </c>
      <c r="H1106" s="15">
        <v>45839.0</v>
      </c>
      <c r="I1106" s="17">
        <v>37.0</v>
      </c>
      <c r="J1106" s="12" t="s">
        <v>64</v>
      </c>
      <c r="K1106" s="12" t="s">
        <v>42</v>
      </c>
      <c r="L1106" s="17">
        <v>1508.0</v>
      </c>
      <c r="M1106" s="17">
        <v>0.0</v>
      </c>
      <c r="N1106" s="17">
        <v>0.0</v>
      </c>
      <c r="O1106" s="17">
        <v>34.3</v>
      </c>
      <c r="P1106" s="17">
        <v>2.9</v>
      </c>
      <c r="Q1106" s="15">
        <v>46164.0</v>
      </c>
      <c r="R1106" s="12" t="s">
        <v>1689</v>
      </c>
      <c r="S1106" s="12" t="s">
        <v>45</v>
      </c>
      <c r="T1106" s="12" t="s">
        <v>66</v>
      </c>
      <c r="U1106" s="17">
        <f t="shared" si="1"/>
        <v>3</v>
      </c>
    </row>
    <row r="1107">
      <c r="A1107" s="12" t="s">
        <v>1690</v>
      </c>
      <c r="B1107" s="12" t="s">
        <v>633</v>
      </c>
      <c r="C1107" s="17">
        <v>43.0</v>
      </c>
      <c r="D1107" s="12" t="s">
        <v>35</v>
      </c>
      <c r="E1107" s="12" t="s">
        <v>140</v>
      </c>
      <c r="F1107" s="12" t="s">
        <v>37</v>
      </c>
      <c r="G1107" s="12" t="s">
        <v>52</v>
      </c>
      <c r="H1107" s="15">
        <v>45842.0</v>
      </c>
      <c r="I1107" s="17">
        <v>16.0</v>
      </c>
      <c r="J1107" s="12" t="s">
        <v>53</v>
      </c>
      <c r="K1107" s="12" t="s">
        <v>81</v>
      </c>
      <c r="L1107" s="17">
        <v>1274.0</v>
      </c>
      <c r="M1107" s="17">
        <v>2.0</v>
      </c>
      <c r="N1107" s="17">
        <v>0.0</v>
      </c>
      <c r="O1107" s="17">
        <v>21.9</v>
      </c>
      <c r="P1107" s="17">
        <v>3.3</v>
      </c>
      <c r="Q1107" s="15">
        <v>45867.0</v>
      </c>
      <c r="R1107" s="12"/>
      <c r="S1107" s="12" t="s">
        <v>55</v>
      </c>
      <c r="T1107" s="12" t="s">
        <v>72</v>
      </c>
      <c r="U1107" s="17">
        <f t="shared" si="1"/>
        <v>2</v>
      </c>
    </row>
    <row r="1108">
      <c r="A1108" s="12" t="s">
        <v>317</v>
      </c>
      <c r="B1108" s="12" t="s">
        <v>420</v>
      </c>
      <c r="C1108" s="17">
        <v>30.0</v>
      </c>
      <c r="D1108" s="12" t="s">
        <v>85</v>
      </c>
      <c r="E1108" s="12" t="s">
        <v>292</v>
      </c>
      <c r="F1108" s="12" t="s">
        <v>62</v>
      </c>
      <c r="G1108" s="12" t="s">
        <v>63</v>
      </c>
      <c r="H1108" s="15">
        <v>44905.0</v>
      </c>
      <c r="I1108" s="17">
        <v>18.0</v>
      </c>
      <c r="J1108" s="12" t="s">
        <v>64</v>
      </c>
      <c r="K1108" s="12" t="s">
        <v>65</v>
      </c>
      <c r="L1108" s="17">
        <v>589.0</v>
      </c>
      <c r="M1108" s="17">
        <v>1.0</v>
      </c>
      <c r="N1108" s="17">
        <v>1.0</v>
      </c>
      <c r="O1108" s="17">
        <v>15.8</v>
      </c>
      <c r="P1108" s="17">
        <v>4.6</v>
      </c>
      <c r="Q1108" s="15">
        <v>45265.0</v>
      </c>
      <c r="R1108" s="12" t="s">
        <v>1691</v>
      </c>
      <c r="S1108" s="12" t="s">
        <v>45</v>
      </c>
      <c r="T1108" s="12" t="s">
        <v>75</v>
      </c>
      <c r="U1108" s="17">
        <f t="shared" si="1"/>
        <v>2</v>
      </c>
    </row>
    <row r="1109">
      <c r="A1109" s="12" t="s">
        <v>1609</v>
      </c>
      <c r="B1109" s="12" t="s">
        <v>176</v>
      </c>
      <c r="C1109" s="17">
        <v>44.0</v>
      </c>
      <c r="D1109" s="12" t="s">
        <v>85</v>
      </c>
      <c r="E1109" s="12" t="s">
        <v>111</v>
      </c>
      <c r="F1109" s="12" t="s">
        <v>192</v>
      </c>
      <c r="G1109" s="12" t="s">
        <v>93</v>
      </c>
      <c r="H1109" s="15">
        <v>45814.0</v>
      </c>
      <c r="I1109" s="17">
        <v>19.0</v>
      </c>
      <c r="J1109" s="12" t="s">
        <v>40</v>
      </c>
      <c r="K1109" s="12" t="s">
        <v>42</v>
      </c>
      <c r="L1109" s="17">
        <v>625.0</v>
      </c>
      <c r="M1109" s="17">
        <v>1.0</v>
      </c>
      <c r="N1109" s="17">
        <v>0.0</v>
      </c>
      <c r="O1109" s="17">
        <v>8.5</v>
      </c>
      <c r="P1109" s="17">
        <v>4.6</v>
      </c>
      <c r="Q1109" s="15">
        <v>45960.0</v>
      </c>
      <c r="R1109" s="12"/>
      <c r="S1109" s="12" t="s">
        <v>55</v>
      </c>
      <c r="T1109" s="12" t="s">
        <v>66</v>
      </c>
      <c r="U1109" s="17">
        <f t="shared" si="1"/>
        <v>3</v>
      </c>
    </row>
    <row r="1110">
      <c r="A1110" s="12" t="s">
        <v>546</v>
      </c>
      <c r="B1110" s="12" t="s">
        <v>190</v>
      </c>
      <c r="C1110" s="17">
        <v>40.0</v>
      </c>
      <c r="D1110" s="12" t="s">
        <v>35</v>
      </c>
      <c r="E1110" s="12" t="s">
        <v>161</v>
      </c>
      <c r="F1110" s="12" t="s">
        <v>62</v>
      </c>
      <c r="G1110" s="12" t="s">
        <v>210</v>
      </c>
      <c r="H1110" s="15">
        <v>44725.0</v>
      </c>
      <c r="I1110" s="17">
        <v>44.0</v>
      </c>
      <c r="J1110" s="12" t="s">
        <v>53</v>
      </c>
      <c r="K1110" s="12" t="s">
        <v>42</v>
      </c>
      <c r="L1110" s="17">
        <v>666.0</v>
      </c>
      <c r="M1110" s="17">
        <v>2.0</v>
      </c>
      <c r="N1110" s="17">
        <v>0.0</v>
      </c>
      <c r="O1110" s="17">
        <v>23.3</v>
      </c>
      <c r="P1110" s="17">
        <v>3.6</v>
      </c>
      <c r="Q1110" s="15">
        <v>45426.0</v>
      </c>
      <c r="R1110" s="12"/>
      <c r="S1110" s="12" t="s">
        <v>55</v>
      </c>
      <c r="T1110" s="12" t="s">
        <v>66</v>
      </c>
      <c r="U1110" s="17">
        <f t="shared" si="1"/>
        <v>4</v>
      </c>
    </row>
    <row r="1111">
      <c r="A1111" s="12" t="s">
        <v>1692</v>
      </c>
      <c r="B1111" s="12" t="s">
        <v>247</v>
      </c>
      <c r="C1111" s="17">
        <v>54.0</v>
      </c>
      <c r="D1111" s="12" t="s">
        <v>85</v>
      </c>
      <c r="E1111" s="12" t="s">
        <v>111</v>
      </c>
      <c r="F1111" s="12" t="s">
        <v>79</v>
      </c>
      <c r="G1111" s="12" t="s">
        <v>39</v>
      </c>
      <c r="H1111" s="15">
        <v>45265.0</v>
      </c>
      <c r="I1111" s="17">
        <v>34.0</v>
      </c>
      <c r="J1111" s="12" t="s">
        <v>64</v>
      </c>
      <c r="K1111" s="12" t="s">
        <v>65</v>
      </c>
      <c r="L1111" s="17">
        <v>2208.0</v>
      </c>
      <c r="M1111" s="17">
        <v>1.0</v>
      </c>
      <c r="N1111" s="17">
        <v>1.0</v>
      </c>
      <c r="O1111" s="17">
        <v>36.8</v>
      </c>
      <c r="P1111" s="17">
        <v>3.4</v>
      </c>
      <c r="Q1111" s="15">
        <v>45732.0</v>
      </c>
      <c r="R1111" s="12"/>
      <c r="S1111" s="12" t="s">
        <v>55</v>
      </c>
      <c r="T1111" s="12" t="s">
        <v>72</v>
      </c>
      <c r="U1111" s="17">
        <f t="shared" si="1"/>
        <v>1</v>
      </c>
    </row>
    <row r="1112">
      <c r="A1112" s="12" t="s">
        <v>1693</v>
      </c>
      <c r="B1112" s="12" t="s">
        <v>250</v>
      </c>
      <c r="C1112" s="17">
        <v>19.0</v>
      </c>
      <c r="D1112" s="12" t="s">
        <v>35</v>
      </c>
      <c r="E1112" s="12" t="s">
        <v>140</v>
      </c>
      <c r="F1112" s="12" t="s">
        <v>37</v>
      </c>
      <c r="G1112" s="12" t="s">
        <v>586</v>
      </c>
      <c r="H1112" s="15">
        <v>45706.0</v>
      </c>
      <c r="I1112" s="17">
        <v>21.0</v>
      </c>
      <c r="J1112" s="12" t="s">
        <v>40</v>
      </c>
      <c r="K1112" s="12" t="s">
        <v>65</v>
      </c>
      <c r="L1112" s="12" t="s">
        <v>1694</v>
      </c>
      <c r="M1112" s="17">
        <v>2.0</v>
      </c>
      <c r="N1112" s="17">
        <v>0.0</v>
      </c>
      <c r="O1112" s="17">
        <v>11.4</v>
      </c>
      <c r="P1112" s="17">
        <v>4.6</v>
      </c>
      <c r="Q1112" s="15">
        <v>46010.0</v>
      </c>
      <c r="R1112" s="12"/>
      <c r="S1112" s="12" t="s">
        <v>55</v>
      </c>
      <c r="T1112" s="12" t="s">
        <v>66</v>
      </c>
      <c r="U1112" s="17">
        <f t="shared" si="1"/>
        <v>1</v>
      </c>
    </row>
    <row r="1113">
      <c r="A1113" s="12" t="s">
        <v>1695</v>
      </c>
      <c r="B1113" s="12" t="s">
        <v>380</v>
      </c>
      <c r="C1113" s="17">
        <v>21.0</v>
      </c>
      <c r="D1113" s="12" t="s">
        <v>35</v>
      </c>
      <c r="E1113" s="12" t="s">
        <v>36</v>
      </c>
      <c r="F1113" s="12" t="s">
        <v>79</v>
      </c>
      <c r="G1113" s="12" t="s">
        <v>80</v>
      </c>
      <c r="H1113" s="15">
        <v>45553.0</v>
      </c>
      <c r="I1113" s="17">
        <v>11.0</v>
      </c>
      <c r="J1113" s="12" t="s">
        <v>40</v>
      </c>
      <c r="K1113" s="12" t="s">
        <v>65</v>
      </c>
      <c r="L1113" s="17">
        <v>2682.0</v>
      </c>
      <c r="M1113" s="17">
        <v>1.0</v>
      </c>
      <c r="N1113" s="17">
        <v>1.0</v>
      </c>
      <c r="O1113" s="17">
        <v>42.9</v>
      </c>
      <c r="P1113" s="17">
        <v>4.0</v>
      </c>
      <c r="Q1113" s="15">
        <v>45860.0</v>
      </c>
      <c r="R1113" s="12"/>
      <c r="S1113" s="12" t="s">
        <v>55</v>
      </c>
      <c r="T1113" s="12" t="s">
        <v>47</v>
      </c>
      <c r="U1113" s="17">
        <f t="shared" si="1"/>
        <v>1</v>
      </c>
    </row>
    <row r="1114">
      <c r="A1114" s="12" t="s">
        <v>1696</v>
      </c>
      <c r="B1114" s="12" t="s">
        <v>172</v>
      </c>
      <c r="C1114" s="17">
        <v>45.0</v>
      </c>
      <c r="D1114" s="12" t="s">
        <v>60</v>
      </c>
      <c r="E1114" s="12" t="s">
        <v>61</v>
      </c>
      <c r="F1114" s="12" t="s">
        <v>62</v>
      </c>
      <c r="G1114" s="12" t="s">
        <v>120</v>
      </c>
      <c r="H1114" s="15">
        <v>44782.0</v>
      </c>
      <c r="I1114" s="17">
        <v>21.0</v>
      </c>
      <c r="J1114" s="12" t="s">
        <v>53</v>
      </c>
      <c r="K1114" s="12" t="s">
        <v>81</v>
      </c>
      <c r="L1114" s="17">
        <v>602.0</v>
      </c>
      <c r="M1114" s="17">
        <v>0.0</v>
      </c>
      <c r="N1114" s="17">
        <v>1.0</v>
      </c>
      <c r="O1114" s="17">
        <v>1.5</v>
      </c>
      <c r="P1114" s="17">
        <v>4.4</v>
      </c>
      <c r="Q1114" s="15">
        <v>44969.0</v>
      </c>
      <c r="R1114" s="12" t="s">
        <v>1697</v>
      </c>
      <c r="S1114" s="12" t="s">
        <v>602</v>
      </c>
      <c r="T1114" s="12" t="s">
        <v>66</v>
      </c>
      <c r="U1114" s="17">
        <f t="shared" si="1"/>
        <v>1</v>
      </c>
    </row>
    <row r="1115">
      <c r="A1115" s="12" t="s">
        <v>991</v>
      </c>
      <c r="B1115" s="12" t="s">
        <v>303</v>
      </c>
      <c r="C1115" s="17">
        <v>68.0</v>
      </c>
      <c r="D1115" s="12" t="s">
        <v>69</v>
      </c>
      <c r="E1115" s="12" t="s">
        <v>119</v>
      </c>
      <c r="F1115" s="12" t="s">
        <v>62</v>
      </c>
      <c r="G1115" s="12" t="s">
        <v>210</v>
      </c>
      <c r="H1115" s="15">
        <v>44655.0</v>
      </c>
      <c r="I1115" s="17">
        <v>2.0</v>
      </c>
      <c r="J1115" s="12" t="s">
        <v>53</v>
      </c>
      <c r="K1115" s="12" t="s">
        <v>42</v>
      </c>
      <c r="L1115" s="17">
        <v>635.0</v>
      </c>
      <c r="M1115" s="12"/>
      <c r="N1115" s="17">
        <v>2.0</v>
      </c>
      <c r="O1115" s="17">
        <v>16.2</v>
      </c>
      <c r="P1115" s="17">
        <v>2.4</v>
      </c>
      <c r="Q1115" s="15">
        <v>44678.0</v>
      </c>
      <c r="R1115" s="12" t="s">
        <v>1698</v>
      </c>
      <c r="S1115" s="12" t="s">
        <v>45</v>
      </c>
      <c r="T1115" s="12" t="s">
        <v>75</v>
      </c>
      <c r="U1115" s="17">
        <f t="shared" si="1"/>
        <v>4</v>
      </c>
    </row>
    <row r="1116">
      <c r="A1116" s="12" t="s">
        <v>1699</v>
      </c>
      <c r="B1116" s="12" t="s">
        <v>167</v>
      </c>
      <c r="C1116" s="17">
        <v>44.0</v>
      </c>
      <c r="D1116" s="12" t="s">
        <v>35</v>
      </c>
      <c r="E1116" s="12" t="s">
        <v>140</v>
      </c>
      <c r="F1116" s="12" t="s">
        <v>37</v>
      </c>
      <c r="G1116" s="12" t="s">
        <v>80</v>
      </c>
      <c r="H1116" s="15">
        <v>44831.0</v>
      </c>
      <c r="I1116" s="17">
        <v>31.0</v>
      </c>
      <c r="J1116" s="12" t="s">
        <v>40</v>
      </c>
      <c r="K1116" s="12" t="s">
        <v>42</v>
      </c>
      <c r="L1116" s="17">
        <v>1131.0</v>
      </c>
      <c r="M1116" s="17">
        <v>2.0</v>
      </c>
      <c r="N1116" s="17">
        <v>1.0</v>
      </c>
      <c r="O1116" s="17">
        <v>19.8</v>
      </c>
      <c r="P1116" s="17">
        <v>4.0</v>
      </c>
      <c r="Q1116" s="15">
        <v>45705.0</v>
      </c>
      <c r="R1116" s="12"/>
      <c r="S1116" s="12" t="s">
        <v>55</v>
      </c>
      <c r="T1116" s="12" t="s">
        <v>72</v>
      </c>
      <c r="U1116" s="17">
        <f t="shared" si="1"/>
        <v>1</v>
      </c>
    </row>
    <row r="1117">
      <c r="A1117" s="12" t="s">
        <v>1624</v>
      </c>
      <c r="B1117" s="12" t="s">
        <v>420</v>
      </c>
      <c r="C1117" s="17">
        <v>29.0</v>
      </c>
      <c r="D1117" s="12" t="s">
        <v>85</v>
      </c>
      <c r="E1117" s="12" t="s">
        <v>87</v>
      </c>
      <c r="F1117" s="12" t="s">
        <v>62</v>
      </c>
      <c r="G1117" s="12" t="s">
        <v>210</v>
      </c>
      <c r="H1117" s="15">
        <v>45757.0</v>
      </c>
      <c r="I1117" s="17">
        <v>33.0</v>
      </c>
      <c r="J1117" s="12" t="s">
        <v>40</v>
      </c>
      <c r="K1117" s="12" t="s">
        <v>65</v>
      </c>
      <c r="L1117" s="17">
        <v>885.0</v>
      </c>
      <c r="M1117" s="17">
        <v>5.0</v>
      </c>
      <c r="N1117" s="17">
        <v>1.0</v>
      </c>
      <c r="O1117" s="17">
        <v>9.2</v>
      </c>
      <c r="P1117" s="17">
        <v>4.3</v>
      </c>
      <c r="Q1117" s="15">
        <v>46219.0</v>
      </c>
      <c r="R1117" s="12"/>
      <c r="S1117" s="12" t="s">
        <v>55</v>
      </c>
      <c r="T1117" s="12" t="s">
        <v>72</v>
      </c>
      <c r="U1117" s="17">
        <f t="shared" si="1"/>
        <v>2</v>
      </c>
    </row>
    <row r="1118">
      <c r="A1118" s="12" t="s">
        <v>1700</v>
      </c>
      <c r="B1118" s="12" t="s">
        <v>106</v>
      </c>
      <c r="C1118" s="17">
        <v>38.0</v>
      </c>
      <c r="D1118" s="12" t="s">
        <v>60</v>
      </c>
      <c r="E1118" s="12" t="s">
        <v>107</v>
      </c>
      <c r="F1118" s="12" t="s">
        <v>37</v>
      </c>
      <c r="G1118" s="12" t="s">
        <v>210</v>
      </c>
      <c r="H1118" s="15">
        <v>45766.0</v>
      </c>
      <c r="I1118" s="17">
        <v>28.0</v>
      </c>
      <c r="J1118" s="12" t="s">
        <v>64</v>
      </c>
      <c r="K1118" s="12" t="s">
        <v>42</v>
      </c>
      <c r="L1118" s="17">
        <v>1728.0</v>
      </c>
      <c r="M1118" s="17">
        <v>3.0</v>
      </c>
      <c r="N1118" s="17">
        <v>0.0</v>
      </c>
      <c r="O1118" s="17">
        <v>24.7</v>
      </c>
      <c r="P1118" s="17">
        <v>4.2</v>
      </c>
      <c r="Q1118" s="15">
        <v>46404.0</v>
      </c>
      <c r="R1118" s="12" t="s">
        <v>1701</v>
      </c>
      <c r="S1118" s="12" t="s">
        <v>45</v>
      </c>
      <c r="T1118" s="12" t="s">
        <v>104</v>
      </c>
      <c r="U1118" s="17">
        <f t="shared" si="1"/>
        <v>1</v>
      </c>
    </row>
    <row r="1119">
      <c r="A1119" s="12" t="s">
        <v>1702</v>
      </c>
      <c r="B1119" s="12" t="s">
        <v>172</v>
      </c>
      <c r="C1119" s="17">
        <v>23.0</v>
      </c>
      <c r="D1119" s="12" t="s">
        <v>85</v>
      </c>
      <c r="E1119" s="12" t="s">
        <v>92</v>
      </c>
      <c r="F1119" s="12" t="s">
        <v>62</v>
      </c>
      <c r="G1119" s="12" t="s">
        <v>93</v>
      </c>
      <c r="H1119" s="15">
        <v>44574.0</v>
      </c>
      <c r="I1119" s="17">
        <v>3.0</v>
      </c>
      <c r="J1119" s="12" t="s">
        <v>40</v>
      </c>
      <c r="K1119" s="12" t="s">
        <v>42</v>
      </c>
      <c r="L1119" s="17">
        <v>656.0</v>
      </c>
      <c r="M1119" s="17">
        <v>3.0</v>
      </c>
      <c r="N1119" s="17">
        <v>0.0</v>
      </c>
      <c r="O1119" s="17">
        <v>8.2</v>
      </c>
      <c r="P1119" s="17">
        <v>5.0</v>
      </c>
      <c r="Q1119" s="15">
        <v>44613.0</v>
      </c>
      <c r="R1119" s="12"/>
      <c r="S1119" s="12" t="s">
        <v>55</v>
      </c>
      <c r="T1119" s="12" t="s">
        <v>104</v>
      </c>
      <c r="U1119" s="17">
        <f t="shared" si="1"/>
        <v>1</v>
      </c>
    </row>
    <row r="1120">
      <c r="A1120" s="12" t="s">
        <v>919</v>
      </c>
      <c r="B1120" s="12" t="s">
        <v>145</v>
      </c>
      <c r="C1120" s="17">
        <v>62.0</v>
      </c>
      <c r="D1120" s="12" t="s">
        <v>60</v>
      </c>
      <c r="E1120" s="12" t="s">
        <v>61</v>
      </c>
      <c r="F1120" s="12" t="s">
        <v>62</v>
      </c>
      <c r="G1120" s="12" t="s">
        <v>210</v>
      </c>
      <c r="H1120" s="15">
        <v>45258.0</v>
      </c>
      <c r="I1120" s="17">
        <v>31.0</v>
      </c>
      <c r="J1120" s="12" t="s">
        <v>40</v>
      </c>
      <c r="K1120" s="12" t="s">
        <v>65</v>
      </c>
      <c r="L1120" s="17">
        <v>603.0</v>
      </c>
      <c r="M1120" s="17">
        <v>3.0</v>
      </c>
      <c r="N1120" s="17">
        <v>0.0</v>
      </c>
      <c r="O1120" s="17">
        <v>22.7</v>
      </c>
      <c r="P1120" s="17">
        <v>5.0</v>
      </c>
      <c r="Q1120" s="15">
        <v>45703.0</v>
      </c>
      <c r="R1120" s="12"/>
      <c r="S1120" s="12" t="s">
        <v>55</v>
      </c>
      <c r="T1120" s="12" t="s">
        <v>72</v>
      </c>
      <c r="U1120" s="17">
        <f t="shared" si="1"/>
        <v>2</v>
      </c>
    </row>
    <row r="1121">
      <c r="A1121" s="12" t="s">
        <v>1703</v>
      </c>
      <c r="B1121" s="12" t="s">
        <v>241</v>
      </c>
      <c r="C1121" s="17">
        <v>60.0</v>
      </c>
      <c r="D1121" s="12" t="s">
        <v>85</v>
      </c>
      <c r="E1121" s="12" t="s">
        <v>87</v>
      </c>
      <c r="F1121" s="12" t="s">
        <v>37</v>
      </c>
      <c r="G1121" s="12" t="s">
        <v>52</v>
      </c>
      <c r="H1121" s="15">
        <v>45566.0</v>
      </c>
      <c r="I1121" s="17">
        <v>10.0</v>
      </c>
      <c r="J1121" s="12" t="s">
        <v>53</v>
      </c>
      <c r="K1121" s="12" t="s">
        <v>42</v>
      </c>
      <c r="L1121" s="17">
        <v>1226.0</v>
      </c>
      <c r="M1121" s="17">
        <v>3.0</v>
      </c>
      <c r="N1121" s="17">
        <v>0.0</v>
      </c>
      <c r="O1121" s="17">
        <v>25.1</v>
      </c>
      <c r="P1121" s="17">
        <v>4.4</v>
      </c>
      <c r="Q1121" s="15">
        <v>45805.0</v>
      </c>
      <c r="R1121" s="12"/>
      <c r="S1121" s="12" t="s">
        <v>55</v>
      </c>
      <c r="T1121" s="12" t="s">
        <v>104</v>
      </c>
      <c r="U1121" s="17">
        <f t="shared" si="1"/>
        <v>1</v>
      </c>
    </row>
    <row r="1122">
      <c r="A1122" s="12" t="s">
        <v>1232</v>
      </c>
      <c r="B1122" s="12" t="s">
        <v>160</v>
      </c>
      <c r="C1122" s="17">
        <v>23.0</v>
      </c>
      <c r="D1122" s="12" t="s">
        <v>60</v>
      </c>
      <c r="E1122" s="12" t="s">
        <v>97</v>
      </c>
      <c r="F1122" s="12" t="s">
        <v>79</v>
      </c>
      <c r="G1122" s="12" t="s">
        <v>210</v>
      </c>
      <c r="H1122" s="15">
        <v>44990.0</v>
      </c>
      <c r="I1122" s="17">
        <v>5.0</v>
      </c>
      <c r="J1122" s="12" t="s">
        <v>40</v>
      </c>
      <c r="K1122" s="12" t="s">
        <v>42</v>
      </c>
      <c r="L1122" s="17">
        <v>3111.0</v>
      </c>
      <c r="M1122" s="17">
        <v>1.0</v>
      </c>
      <c r="N1122" s="17">
        <v>0.0</v>
      </c>
      <c r="O1122" s="17">
        <v>42.0</v>
      </c>
      <c r="P1122" s="17">
        <v>3.7</v>
      </c>
      <c r="Q1122" s="15">
        <v>45027.0</v>
      </c>
      <c r="R1122" s="12"/>
      <c r="S1122" s="12" t="s">
        <v>55</v>
      </c>
      <c r="T1122" s="12" t="s">
        <v>66</v>
      </c>
      <c r="U1122" s="17">
        <f t="shared" si="1"/>
        <v>3</v>
      </c>
    </row>
    <row r="1123">
      <c r="A1123" s="12" t="s">
        <v>1704</v>
      </c>
      <c r="B1123" s="12" t="s">
        <v>169</v>
      </c>
      <c r="C1123" s="17">
        <v>29.0</v>
      </c>
      <c r="D1123" s="12" t="s">
        <v>658</v>
      </c>
      <c r="E1123" s="12" t="s">
        <v>161</v>
      </c>
      <c r="F1123" s="12" t="s">
        <v>37</v>
      </c>
      <c r="G1123" s="12" t="s">
        <v>63</v>
      </c>
      <c r="H1123" s="15">
        <v>45334.0</v>
      </c>
      <c r="I1123" s="17">
        <v>48.0</v>
      </c>
      <c r="J1123" s="12" t="s">
        <v>40</v>
      </c>
      <c r="K1123" s="12" t="s">
        <v>81</v>
      </c>
      <c r="L1123" s="17">
        <v>1531.0</v>
      </c>
      <c r="M1123" s="17">
        <v>2.0</v>
      </c>
      <c r="N1123" s="17">
        <v>2.0</v>
      </c>
      <c r="O1123" s="17">
        <v>32.6</v>
      </c>
      <c r="P1123" s="17">
        <v>4.1</v>
      </c>
      <c r="Q1123" s="15">
        <v>46194.0</v>
      </c>
      <c r="R1123" s="12"/>
      <c r="S1123" s="12" t="s">
        <v>55</v>
      </c>
      <c r="T1123" s="12" t="s">
        <v>66</v>
      </c>
      <c r="U1123" s="17">
        <f t="shared" si="1"/>
        <v>1</v>
      </c>
    </row>
    <row r="1124">
      <c r="A1124" s="12" t="s">
        <v>1705</v>
      </c>
      <c r="B1124" s="12" t="s">
        <v>405</v>
      </c>
      <c r="C1124" s="17">
        <v>49.0</v>
      </c>
      <c r="D1124" s="12" t="s">
        <v>60</v>
      </c>
      <c r="E1124" s="12" t="s">
        <v>61</v>
      </c>
      <c r="F1124" s="12" t="s">
        <v>37</v>
      </c>
      <c r="G1124" s="12" t="s">
        <v>93</v>
      </c>
      <c r="H1124" s="15">
        <v>45527.0</v>
      </c>
      <c r="I1124" s="17">
        <v>26.0</v>
      </c>
      <c r="J1124" s="12" t="s">
        <v>53</v>
      </c>
      <c r="K1124" s="12" t="s">
        <v>65</v>
      </c>
      <c r="L1124" s="17">
        <v>1680.0</v>
      </c>
      <c r="M1124" s="17">
        <v>0.0</v>
      </c>
      <c r="N1124" s="17">
        <v>0.0</v>
      </c>
      <c r="O1124" s="17">
        <v>20.4</v>
      </c>
      <c r="P1124" s="17">
        <v>4.3</v>
      </c>
      <c r="Q1124" s="15">
        <v>45718.0</v>
      </c>
      <c r="R1124" s="12"/>
      <c r="S1124" s="12" t="s">
        <v>55</v>
      </c>
      <c r="T1124" s="12" t="s">
        <v>72</v>
      </c>
      <c r="U1124" s="17">
        <f t="shared" si="1"/>
        <v>2</v>
      </c>
    </row>
    <row r="1125">
      <c r="A1125" s="12" t="s">
        <v>455</v>
      </c>
      <c r="B1125" s="12" t="s">
        <v>734</v>
      </c>
      <c r="C1125" s="17">
        <v>61.0</v>
      </c>
      <c r="D1125" s="12" t="s">
        <v>60</v>
      </c>
      <c r="E1125" s="12" t="s">
        <v>107</v>
      </c>
      <c r="F1125" s="12" t="s">
        <v>37</v>
      </c>
      <c r="G1125" s="12" t="s">
        <v>120</v>
      </c>
      <c r="H1125" s="15">
        <v>44878.0</v>
      </c>
      <c r="I1125" s="17">
        <v>37.0</v>
      </c>
      <c r="J1125" s="12" t="s">
        <v>64</v>
      </c>
      <c r="K1125" s="12" t="s">
        <v>42</v>
      </c>
      <c r="L1125" s="17">
        <v>1144.0</v>
      </c>
      <c r="M1125" s="17">
        <v>2.0</v>
      </c>
      <c r="N1125" s="17">
        <v>0.0</v>
      </c>
      <c r="O1125" s="17">
        <v>23.9</v>
      </c>
      <c r="P1125" s="17">
        <v>2.8</v>
      </c>
      <c r="Q1125" s="15">
        <v>45072.0</v>
      </c>
      <c r="R1125" s="12" t="s">
        <v>1706</v>
      </c>
      <c r="S1125" s="12" t="s">
        <v>45</v>
      </c>
      <c r="T1125" s="12" t="s">
        <v>104</v>
      </c>
      <c r="U1125" s="17">
        <f t="shared" si="1"/>
        <v>5</v>
      </c>
    </row>
    <row r="1126">
      <c r="A1126" s="12" t="s">
        <v>1707</v>
      </c>
      <c r="B1126" s="12" t="s">
        <v>163</v>
      </c>
      <c r="C1126" s="17">
        <v>55.0</v>
      </c>
      <c r="D1126" s="12" t="s">
        <v>35</v>
      </c>
      <c r="E1126" s="12" t="s">
        <v>51</v>
      </c>
      <c r="F1126" s="12" t="s">
        <v>413</v>
      </c>
      <c r="G1126" s="12" t="s">
        <v>63</v>
      </c>
      <c r="H1126" s="15">
        <v>45883.0</v>
      </c>
      <c r="I1126" s="17">
        <v>31.0</v>
      </c>
      <c r="J1126" s="12" t="s">
        <v>64</v>
      </c>
      <c r="K1126" s="12" t="s">
        <v>81</v>
      </c>
      <c r="L1126" s="17">
        <v>1702.0</v>
      </c>
      <c r="M1126" s="17">
        <v>1.0</v>
      </c>
      <c r="N1126" s="17">
        <v>3.0</v>
      </c>
      <c r="O1126" s="17">
        <v>28.7</v>
      </c>
      <c r="P1126" s="17">
        <v>3.4</v>
      </c>
      <c r="Q1126" s="15">
        <v>46096.0</v>
      </c>
      <c r="R1126" s="12"/>
      <c r="S1126" s="12" t="s">
        <v>55</v>
      </c>
      <c r="T1126" s="12" t="s">
        <v>47</v>
      </c>
      <c r="U1126" s="17">
        <f t="shared" si="1"/>
        <v>4</v>
      </c>
    </row>
    <row r="1127">
      <c r="A1127" s="12" t="s">
        <v>1708</v>
      </c>
      <c r="B1127" s="12" t="s">
        <v>411</v>
      </c>
      <c r="C1127" s="17">
        <v>61.0</v>
      </c>
      <c r="D1127" s="12" t="s">
        <v>60</v>
      </c>
      <c r="E1127" s="12" t="s">
        <v>97</v>
      </c>
      <c r="F1127" s="12" t="s">
        <v>62</v>
      </c>
      <c r="G1127" s="12" t="s">
        <v>80</v>
      </c>
      <c r="H1127" s="15">
        <v>45722.0</v>
      </c>
      <c r="I1127" s="17">
        <v>40.0</v>
      </c>
      <c r="J1127" s="12" t="s">
        <v>64</v>
      </c>
      <c r="K1127" s="12" t="s">
        <v>42</v>
      </c>
      <c r="L1127" s="17">
        <v>709.0</v>
      </c>
      <c r="M1127" s="17">
        <v>1.0</v>
      </c>
      <c r="N1127" s="17">
        <v>0.0</v>
      </c>
      <c r="O1127" s="17">
        <v>21.2</v>
      </c>
      <c r="P1127" s="17">
        <v>3.0</v>
      </c>
      <c r="Q1127" s="15">
        <v>45938.0</v>
      </c>
      <c r="R1127" s="12"/>
      <c r="S1127" s="12" t="s">
        <v>55</v>
      </c>
      <c r="T1127" s="12" t="s">
        <v>72</v>
      </c>
      <c r="U1127" s="17">
        <f t="shared" si="1"/>
        <v>3</v>
      </c>
    </row>
    <row r="1128">
      <c r="A1128" s="12" t="s">
        <v>350</v>
      </c>
      <c r="B1128" s="12" t="s">
        <v>636</v>
      </c>
      <c r="C1128" s="17">
        <v>54.0</v>
      </c>
      <c r="D1128" s="12" t="s">
        <v>69</v>
      </c>
      <c r="E1128" s="12" t="s">
        <v>187</v>
      </c>
      <c r="F1128" s="12" t="s">
        <v>79</v>
      </c>
      <c r="G1128" s="12" t="s">
        <v>210</v>
      </c>
      <c r="H1128" s="15">
        <v>45899.0</v>
      </c>
      <c r="I1128" s="17">
        <v>24.0</v>
      </c>
      <c r="J1128" s="12" t="s">
        <v>53</v>
      </c>
      <c r="K1128" s="12" t="s">
        <v>65</v>
      </c>
      <c r="L1128" s="17">
        <v>3751.0</v>
      </c>
      <c r="M1128" s="17">
        <v>5.0</v>
      </c>
      <c r="N1128" s="17">
        <v>1.0</v>
      </c>
      <c r="O1128" s="17">
        <v>36.9</v>
      </c>
      <c r="P1128" s="17">
        <v>3.8</v>
      </c>
      <c r="Q1128" s="15">
        <v>46462.0</v>
      </c>
      <c r="R1128" s="12"/>
      <c r="S1128" s="12" t="s">
        <v>55</v>
      </c>
      <c r="T1128" s="12" t="s">
        <v>75</v>
      </c>
      <c r="U1128" s="17">
        <f t="shared" si="1"/>
        <v>4</v>
      </c>
    </row>
    <row r="1129">
      <c r="A1129" s="12" t="s">
        <v>1709</v>
      </c>
      <c r="B1129" s="12" t="s">
        <v>224</v>
      </c>
      <c r="C1129" s="17">
        <v>35.0</v>
      </c>
      <c r="D1129" s="12" t="s">
        <v>85</v>
      </c>
      <c r="E1129" s="12" t="s">
        <v>87</v>
      </c>
      <c r="F1129" s="12" t="s">
        <v>37</v>
      </c>
      <c r="G1129" s="12" t="s">
        <v>120</v>
      </c>
      <c r="H1129" s="15">
        <v>45010.0</v>
      </c>
      <c r="I1129" s="17">
        <v>11.0</v>
      </c>
      <c r="J1129" s="12" t="s">
        <v>64</v>
      </c>
      <c r="K1129" s="12" t="s">
        <v>65</v>
      </c>
      <c r="L1129" s="17">
        <v>1252.0</v>
      </c>
      <c r="M1129" s="17">
        <v>4.0</v>
      </c>
      <c r="N1129" s="17">
        <v>0.0</v>
      </c>
      <c r="O1129" s="17">
        <v>33.6</v>
      </c>
      <c r="P1129" s="17">
        <v>3.6</v>
      </c>
      <c r="Q1129" s="15">
        <v>45030.0</v>
      </c>
      <c r="R1129" s="12" t="s">
        <v>1710</v>
      </c>
      <c r="S1129" s="12" t="s">
        <v>45</v>
      </c>
      <c r="T1129" s="12" t="s">
        <v>66</v>
      </c>
      <c r="U1129" s="17">
        <f t="shared" si="1"/>
        <v>2</v>
      </c>
    </row>
    <row r="1130">
      <c r="A1130" s="12" t="s">
        <v>989</v>
      </c>
      <c r="B1130" s="12" t="s">
        <v>96</v>
      </c>
      <c r="C1130" s="17">
        <v>40.0</v>
      </c>
      <c r="D1130" s="12" t="s">
        <v>35</v>
      </c>
      <c r="E1130" s="12" t="s">
        <v>51</v>
      </c>
      <c r="F1130" s="12" t="s">
        <v>79</v>
      </c>
      <c r="G1130" s="12" t="s">
        <v>80</v>
      </c>
      <c r="H1130" s="15">
        <v>45754.0</v>
      </c>
      <c r="I1130" s="17">
        <v>29.0</v>
      </c>
      <c r="J1130" s="12" t="s">
        <v>40</v>
      </c>
      <c r="K1130" s="12" t="s">
        <v>81</v>
      </c>
      <c r="L1130" s="17">
        <v>2900.0</v>
      </c>
      <c r="M1130" s="17">
        <v>2.0</v>
      </c>
      <c r="N1130" s="17">
        <v>1.0</v>
      </c>
      <c r="O1130" s="17">
        <v>42.0</v>
      </c>
      <c r="P1130" s="17">
        <v>3.7</v>
      </c>
      <c r="Q1130" s="15">
        <v>45835.0</v>
      </c>
      <c r="R1130" s="12"/>
      <c r="S1130" s="12" t="s">
        <v>55</v>
      </c>
      <c r="T1130" s="12" t="s">
        <v>66</v>
      </c>
      <c r="U1130" s="17">
        <f t="shared" si="1"/>
        <v>3</v>
      </c>
    </row>
    <row r="1131">
      <c r="A1131" s="12" t="s">
        <v>1711</v>
      </c>
      <c r="B1131" s="12" t="s">
        <v>96</v>
      </c>
      <c r="C1131" s="17">
        <v>62.0</v>
      </c>
      <c r="D1131" s="12" t="s">
        <v>85</v>
      </c>
      <c r="E1131" s="12" t="s">
        <v>292</v>
      </c>
      <c r="F1131" s="12" t="s">
        <v>62</v>
      </c>
      <c r="G1131" s="12" t="s">
        <v>52</v>
      </c>
      <c r="H1131" s="15">
        <v>45231.0</v>
      </c>
      <c r="I1131" s="17">
        <v>9.0</v>
      </c>
      <c r="J1131" s="12" t="s">
        <v>40</v>
      </c>
      <c r="K1131" s="12" t="s">
        <v>42</v>
      </c>
      <c r="L1131" s="17">
        <v>784.0</v>
      </c>
      <c r="M1131" s="17">
        <v>1.0</v>
      </c>
      <c r="N1131" s="17">
        <v>0.0</v>
      </c>
      <c r="O1131" s="17">
        <v>19.3</v>
      </c>
      <c r="P1131" s="17">
        <v>4.7</v>
      </c>
      <c r="Q1131" s="15">
        <v>45307.0</v>
      </c>
      <c r="R1131" s="12"/>
      <c r="S1131" s="12" t="s">
        <v>55</v>
      </c>
      <c r="T1131" s="12" t="s">
        <v>72</v>
      </c>
      <c r="U1131" s="17">
        <f t="shared" si="1"/>
        <v>2</v>
      </c>
    </row>
    <row r="1132">
      <c r="A1132" s="12" t="s">
        <v>1662</v>
      </c>
      <c r="B1132" s="12" t="s">
        <v>645</v>
      </c>
      <c r="C1132" s="17">
        <v>41.0</v>
      </c>
      <c r="D1132" s="12" t="s">
        <v>35</v>
      </c>
      <c r="E1132" s="12" t="s">
        <v>51</v>
      </c>
      <c r="F1132" s="12" t="s">
        <v>62</v>
      </c>
      <c r="G1132" s="12" t="s">
        <v>63</v>
      </c>
      <c r="H1132" s="15">
        <v>45105.0</v>
      </c>
      <c r="I1132" s="17">
        <v>36.0</v>
      </c>
      <c r="J1132" s="12" t="s">
        <v>64</v>
      </c>
      <c r="K1132" s="12" t="s">
        <v>42</v>
      </c>
      <c r="L1132" s="17">
        <v>850.0</v>
      </c>
      <c r="M1132" s="17">
        <v>1.0</v>
      </c>
      <c r="N1132" s="17">
        <v>0.0</v>
      </c>
      <c r="O1132" s="17">
        <v>12.8</v>
      </c>
      <c r="P1132" s="17">
        <v>3.7</v>
      </c>
      <c r="Q1132" s="15">
        <v>46146.0</v>
      </c>
      <c r="R1132" s="12"/>
      <c r="S1132" s="12" t="s">
        <v>55</v>
      </c>
      <c r="T1132" s="12" t="s">
        <v>72</v>
      </c>
      <c r="U1132" s="17">
        <f t="shared" si="1"/>
        <v>3</v>
      </c>
    </row>
    <row r="1133">
      <c r="A1133" s="12" t="s">
        <v>1712</v>
      </c>
      <c r="B1133" s="12" t="s">
        <v>420</v>
      </c>
      <c r="C1133" s="17">
        <v>34.0</v>
      </c>
      <c r="D1133" s="12" t="s">
        <v>60</v>
      </c>
      <c r="E1133" s="12" t="s">
        <v>97</v>
      </c>
      <c r="F1133" s="12" t="s">
        <v>62</v>
      </c>
      <c r="G1133" s="12" t="s">
        <v>80</v>
      </c>
      <c r="H1133" s="15">
        <v>45369.0</v>
      </c>
      <c r="I1133" s="17">
        <v>4.0</v>
      </c>
      <c r="J1133" s="12" t="s">
        <v>53</v>
      </c>
      <c r="K1133" s="12" t="s">
        <v>81</v>
      </c>
      <c r="L1133" s="17">
        <v>883.0</v>
      </c>
      <c r="M1133" s="17">
        <v>4.0</v>
      </c>
      <c r="N1133" s="17">
        <v>0.0</v>
      </c>
      <c r="O1133" s="17">
        <v>15.8</v>
      </c>
      <c r="P1133" s="17">
        <v>2.3</v>
      </c>
      <c r="Q1133" s="15">
        <v>45430.0</v>
      </c>
      <c r="R1133" s="12" t="s">
        <v>972</v>
      </c>
      <c r="S1133" s="12" t="s">
        <v>45</v>
      </c>
      <c r="T1133" s="12" t="s">
        <v>104</v>
      </c>
      <c r="U1133" s="17">
        <f t="shared" si="1"/>
        <v>2</v>
      </c>
    </row>
    <row r="1134">
      <c r="A1134" s="12" t="s">
        <v>546</v>
      </c>
      <c r="B1134" s="12" t="s">
        <v>605</v>
      </c>
      <c r="C1134" s="17">
        <v>68.0</v>
      </c>
      <c r="D1134" s="12" t="s">
        <v>60</v>
      </c>
      <c r="E1134" s="12" t="s">
        <v>61</v>
      </c>
      <c r="F1134" s="12" t="s">
        <v>37</v>
      </c>
      <c r="G1134" s="12" t="s">
        <v>210</v>
      </c>
      <c r="H1134" s="15">
        <v>44895.0</v>
      </c>
      <c r="I1134" s="17">
        <v>14.0</v>
      </c>
      <c r="J1134" s="12" t="s">
        <v>64</v>
      </c>
      <c r="K1134" s="12" t="s">
        <v>81</v>
      </c>
      <c r="L1134" s="17">
        <v>1094.0</v>
      </c>
      <c r="M1134" s="17">
        <v>3.0</v>
      </c>
      <c r="N1134" s="17">
        <v>0.0</v>
      </c>
      <c r="O1134" s="17">
        <v>26.3</v>
      </c>
      <c r="P1134" s="17">
        <v>2.6</v>
      </c>
      <c r="Q1134" s="15">
        <v>45303.0</v>
      </c>
      <c r="R1134" s="12" t="s">
        <v>1714</v>
      </c>
      <c r="S1134" s="12" t="s">
        <v>45</v>
      </c>
      <c r="T1134" s="12" t="s">
        <v>72</v>
      </c>
      <c r="U1134" s="17">
        <f t="shared" si="1"/>
        <v>4</v>
      </c>
    </row>
    <row r="1135">
      <c r="A1135" s="12" t="s">
        <v>1715</v>
      </c>
      <c r="B1135" s="12" t="s">
        <v>202</v>
      </c>
      <c r="C1135" s="17">
        <v>49.0</v>
      </c>
      <c r="D1135" s="12" t="s">
        <v>35</v>
      </c>
      <c r="E1135" s="12" t="s">
        <v>36</v>
      </c>
      <c r="F1135" s="12" t="s">
        <v>62</v>
      </c>
      <c r="G1135" s="12" t="s">
        <v>120</v>
      </c>
      <c r="H1135" s="15">
        <v>45129.0</v>
      </c>
      <c r="I1135" s="17">
        <v>42.0</v>
      </c>
      <c r="J1135" s="12" t="s">
        <v>40</v>
      </c>
      <c r="K1135" s="12" t="s">
        <v>42</v>
      </c>
      <c r="L1135" s="17">
        <v>760.0</v>
      </c>
      <c r="M1135" s="17">
        <v>2.0</v>
      </c>
      <c r="N1135" s="17">
        <v>2.0</v>
      </c>
      <c r="O1135" s="17">
        <v>21.2</v>
      </c>
      <c r="P1135" s="17">
        <v>2.4</v>
      </c>
      <c r="Q1135" s="15">
        <v>46392.0</v>
      </c>
      <c r="R1135" s="12" t="s">
        <v>1716</v>
      </c>
      <c r="S1135" s="12" t="s">
        <v>45</v>
      </c>
      <c r="T1135" s="12" t="s">
        <v>66</v>
      </c>
      <c r="U1135" s="17">
        <f t="shared" si="1"/>
        <v>1</v>
      </c>
    </row>
    <row r="1136">
      <c r="A1136" s="12" t="s">
        <v>1167</v>
      </c>
      <c r="B1136" s="12" t="s">
        <v>1590</v>
      </c>
      <c r="C1136" s="17">
        <v>67.0</v>
      </c>
      <c r="D1136" s="12" t="s">
        <v>35</v>
      </c>
      <c r="E1136" s="12" t="s">
        <v>36</v>
      </c>
      <c r="F1136" s="12" t="s">
        <v>62</v>
      </c>
      <c r="G1136" s="12" t="s">
        <v>880</v>
      </c>
      <c r="H1136" s="15">
        <v>45858.0</v>
      </c>
      <c r="I1136" s="17">
        <v>10.0</v>
      </c>
      <c r="J1136" s="12" t="s">
        <v>64</v>
      </c>
      <c r="K1136" s="12" t="s">
        <v>42</v>
      </c>
      <c r="L1136" s="17">
        <v>558.0</v>
      </c>
      <c r="M1136" s="17">
        <v>2.0</v>
      </c>
      <c r="N1136" s="17">
        <v>1.0</v>
      </c>
      <c r="O1136" s="17">
        <v>21.6</v>
      </c>
      <c r="P1136" s="17">
        <v>3.7</v>
      </c>
      <c r="Q1136" s="12"/>
      <c r="R1136" s="12" t="s">
        <v>1717</v>
      </c>
      <c r="S1136" s="12" t="s">
        <v>45</v>
      </c>
      <c r="T1136" s="12" t="s">
        <v>104</v>
      </c>
      <c r="U1136" s="17">
        <f t="shared" si="1"/>
        <v>2</v>
      </c>
    </row>
    <row r="1137">
      <c r="A1137" s="12" t="s">
        <v>307</v>
      </c>
      <c r="B1137" s="12" t="s">
        <v>405</v>
      </c>
      <c r="C1137" s="17">
        <v>61.0</v>
      </c>
      <c r="D1137" s="12" t="s">
        <v>35</v>
      </c>
      <c r="E1137" s="12" t="s">
        <v>36</v>
      </c>
      <c r="F1137" s="12" t="s">
        <v>372</v>
      </c>
      <c r="G1137" s="12" t="s">
        <v>120</v>
      </c>
      <c r="H1137" s="15">
        <v>44776.0</v>
      </c>
      <c r="I1137" s="17">
        <v>9.0</v>
      </c>
      <c r="J1137" s="12" t="s">
        <v>64</v>
      </c>
      <c r="K1137" s="12" t="s">
        <v>81</v>
      </c>
      <c r="L1137" s="17">
        <v>520.0</v>
      </c>
      <c r="M1137" s="17">
        <v>4.0</v>
      </c>
      <c r="N1137" s="17">
        <v>2.0</v>
      </c>
      <c r="O1137" s="17">
        <v>23.5</v>
      </c>
      <c r="P1137" s="17">
        <v>4.6</v>
      </c>
      <c r="Q1137" s="15">
        <v>44802.0</v>
      </c>
      <c r="R1137" s="12" t="s">
        <v>1718</v>
      </c>
      <c r="S1137" s="12" t="s">
        <v>45</v>
      </c>
      <c r="T1137" s="12" t="s">
        <v>75</v>
      </c>
      <c r="U1137" s="17">
        <f t="shared" si="1"/>
        <v>3</v>
      </c>
    </row>
    <row r="1138">
      <c r="A1138" s="12" t="s">
        <v>1719</v>
      </c>
      <c r="B1138" s="12" t="s">
        <v>383</v>
      </c>
      <c r="C1138" s="17">
        <v>60.0</v>
      </c>
      <c r="D1138" s="12" t="s">
        <v>69</v>
      </c>
      <c r="E1138" s="12" t="s">
        <v>187</v>
      </c>
      <c r="F1138" s="12" t="s">
        <v>62</v>
      </c>
      <c r="G1138" s="12" t="s">
        <v>80</v>
      </c>
      <c r="H1138" s="15">
        <v>44956.0</v>
      </c>
      <c r="I1138" s="17">
        <v>28.0</v>
      </c>
      <c r="J1138" s="12" t="s">
        <v>64</v>
      </c>
      <c r="K1138" s="12" t="s">
        <v>454</v>
      </c>
      <c r="L1138" s="17">
        <v>605.0</v>
      </c>
      <c r="M1138" s="17">
        <v>0.0</v>
      </c>
      <c r="N1138" s="17">
        <v>0.0</v>
      </c>
      <c r="O1138" s="17">
        <v>6.5</v>
      </c>
      <c r="P1138" s="17">
        <v>3.5</v>
      </c>
      <c r="Q1138" s="15">
        <v>45642.0</v>
      </c>
      <c r="R1138" s="12"/>
      <c r="S1138" s="12" t="s">
        <v>55</v>
      </c>
      <c r="T1138" s="12" t="s">
        <v>66</v>
      </c>
      <c r="U1138" s="17">
        <f t="shared" si="1"/>
        <v>3</v>
      </c>
    </row>
    <row r="1139">
      <c r="A1139" s="12" t="s">
        <v>631</v>
      </c>
      <c r="B1139" s="12" t="s">
        <v>74</v>
      </c>
      <c r="C1139" s="17">
        <v>55.0</v>
      </c>
      <c r="D1139" s="12" t="s">
        <v>69</v>
      </c>
      <c r="E1139" s="12" t="s">
        <v>177</v>
      </c>
      <c r="F1139" s="12" t="s">
        <v>62</v>
      </c>
      <c r="G1139" s="12" t="s">
        <v>63</v>
      </c>
      <c r="H1139" s="15">
        <v>45144.0</v>
      </c>
      <c r="I1139" s="17">
        <v>2.0</v>
      </c>
      <c r="J1139" s="12" t="s">
        <v>64</v>
      </c>
      <c r="K1139" s="12" t="s">
        <v>65</v>
      </c>
      <c r="L1139" s="17">
        <v>848.0</v>
      </c>
      <c r="M1139" s="17">
        <v>3.0</v>
      </c>
      <c r="N1139" s="17">
        <v>0.0</v>
      </c>
      <c r="O1139" s="17">
        <v>1.0</v>
      </c>
      <c r="P1139" s="17">
        <v>3.9</v>
      </c>
      <c r="Q1139" s="15">
        <v>45221.0</v>
      </c>
      <c r="R1139" s="12" t="s">
        <v>1721</v>
      </c>
      <c r="S1139" s="12" t="s">
        <v>45</v>
      </c>
      <c r="T1139" s="12" t="s">
        <v>47</v>
      </c>
      <c r="U1139" s="17">
        <f t="shared" si="1"/>
        <v>3</v>
      </c>
    </row>
    <row r="1140">
      <c r="A1140" s="12" t="s">
        <v>1334</v>
      </c>
      <c r="B1140" s="12" t="s">
        <v>303</v>
      </c>
      <c r="C1140" s="17">
        <v>32.0</v>
      </c>
      <c r="D1140" s="12" t="s">
        <v>60</v>
      </c>
      <c r="E1140" s="12" t="s">
        <v>133</v>
      </c>
      <c r="F1140" s="12" t="s">
        <v>62</v>
      </c>
      <c r="G1140" s="12" t="s">
        <v>93</v>
      </c>
      <c r="H1140" s="15">
        <v>45773.0</v>
      </c>
      <c r="I1140" s="17">
        <v>13.0</v>
      </c>
      <c r="J1140" s="12" t="s">
        <v>64</v>
      </c>
      <c r="K1140" s="12" t="s">
        <v>81</v>
      </c>
      <c r="L1140" s="17">
        <v>686.0</v>
      </c>
      <c r="M1140" s="17">
        <v>1.0</v>
      </c>
      <c r="N1140" s="17">
        <v>0.0</v>
      </c>
      <c r="O1140" s="17">
        <v>30.1</v>
      </c>
      <c r="P1140" s="17">
        <v>4.1</v>
      </c>
      <c r="Q1140" s="15">
        <v>45977.0</v>
      </c>
      <c r="R1140" s="12"/>
      <c r="S1140" s="12" t="s">
        <v>55</v>
      </c>
      <c r="T1140" s="12" t="s">
        <v>66</v>
      </c>
      <c r="U1140" s="17">
        <f t="shared" si="1"/>
        <v>2</v>
      </c>
    </row>
    <row r="1141">
      <c r="A1141" s="12" t="s">
        <v>1723</v>
      </c>
      <c r="B1141" s="12" t="s">
        <v>333</v>
      </c>
      <c r="C1141" s="17">
        <v>41.0</v>
      </c>
      <c r="D1141" s="12" t="s">
        <v>60</v>
      </c>
      <c r="E1141" s="12" t="s">
        <v>97</v>
      </c>
      <c r="F1141" s="12" t="s">
        <v>79</v>
      </c>
      <c r="G1141" s="12" t="s">
        <v>80</v>
      </c>
      <c r="H1141" s="15">
        <v>45578.0</v>
      </c>
      <c r="I1141" s="17">
        <v>2.0</v>
      </c>
      <c r="J1141" s="12" t="s">
        <v>64</v>
      </c>
      <c r="K1141" s="12" t="s">
        <v>65</v>
      </c>
      <c r="L1141" s="17">
        <v>1463.0</v>
      </c>
      <c r="M1141" s="17">
        <v>0.0</v>
      </c>
      <c r="N1141" s="17">
        <v>1.0</v>
      </c>
      <c r="O1141" s="17">
        <v>24.9</v>
      </c>
      <c r="P1141" s="17">
        <v>3.0</v>
      </c>
      <c r="Q1141" s="15">
        <v>45606.0</v>
      </c>
      <c r="R1141" s="12" t="s">
        <v>1725</v>
      </c>
      <c r="S1141" s="12" t="s">
        <v>45</v>
      </c>
      <c r="T1141" s="12" t="s">
        <v>66</v>
      </c>
      <c r="U1141" s="17">
        <f t="shared" si="1"/>
        <v>2</v>
      </c>
    </row>
    <row r="1142">
      <c r="A1142" s="12" t="s">
        <v>1646</v>
      </c>
      <c r="B1142" s="12" t="s">
        <v>126</v>
      </c>
      <c r="C1142" s="17">
        <v>49.0</v>
      </c>
      <c r="D1142" s="12" t="s">
        <v>85</v>
      </c>
      <c r="E1142" s="12" t="s">
        <v>92</v>
      </c>
      <c r="F1142" s="12" t="s">
        <v>37</v>
      </c>
      <c r="G1142" s="12" t="s">
        <v>880</v>
      </c>
      <c r="H1142" s="15">
        <v>44996.0</v>
      </c>
      <c r="I1142" s="17">
        <v>2.0</v>
      </c>
      <c r="J1142" s="12" t="s">
        <v>40</v>
      </c>
      <c r="K1142" s="12" t="s">
        <v>65</v>
      </c>
      <c r="L1142" s="17">
        <v>1759.0</v>
      </c>
      <c r="M1142" s="17">
        <v>1.0</v>
      </c>
      <c r="N1142" s="17">
        <v>2.0</v>
      </c>
      <c r="O1142" s="17">
        <v>25.8</v>
      </c>
      <c r="P1142" s="17">
        <v>3.4</v>
      </c>
      <c r="Q1142" s="15">
        <v>45025.0</v>
      </c>
      <c r="R1142" s="12"/>
      <c r="S1142" s="12" t="s">
        <v>55</v>
      </c>
      <c r="T1142" s="12" t="s">
        <v>104</v>
      </c>
      <c r="U1142" s="17">
        <f t="shared" si="1"/>
        <v>2</v>
      </c>
    </row>
    <row r="1143">
      <c r="A1143" s="12" t="s">
        <v>220</v>
      </c>
      <c r="B1143" s="12" t="s">
        <v>393</v>
      </c>
      <c r="C1143" s="17">
        <v>56.0</v>
      </c>
      <c r="D1143" s="12" t="s">
        <v>69</v>
      </c>
      <c r="E1143" s="12" t="s">
        <v>119</v>
      </c>
      <c r="F1143" s="12" t="s">
        <v>62</v>
      </c>
      <c r="G1143" s="12" t="s">
        <v>586</v>
      </c>
      <c r="H1143" s="15">
        <v>45131.0</v>
      </c>
      <c r="I1143" s="17">
        <v>4.0</v>
      </c>
      <c r="J1143" s="12" t="s">
        <v>40</v>
      </c>
      <c r="K1143" s="12" t="s">
        <v>65</v>
      </c>
      <c r="L1143" s="17">
        <v>816.0</v>
      </c>
      <c r="M1143" s="17">
        <v>2.0</v>
      </c>
      <c r="N1143" s="17">
        <v>0.0</v>
      </c>
      <c r="O1143" s="17">
        <v>14.8</v>
      </c>
      <c r="P1143" s="17">
        <v>3.7</v>
      </c>
      <c r="Q1143" s="15">
        <v>45162.0</v>
      </c>
      <c r="R1143" s="12"/>
      <c r="S1143" s="12" t="s">
        <v>55</v>
      </c>
      <c r="T1143" s="12" t="s">
        <v>47</v>
      </c>
      <c r="U1143" s="17">
        <f t="shared" si="1"/>
        <v>2</v>
      </c>
    </row>
    <row r="1144">
      <c r="A1144" s="12" t="s">
        <v>1726</v>
      </c>
      <c r="B1144" s="12" t="s">
        <v>380</v>
      </c>
      <c r="C1144" s="17">
        <v>21.0</v>
      </c>
      <c r="D1144" s="12" t="s">
        <v>69</v>
      </c>
      <c r="E1144" s="12" t="s">
        <v>177</v>
      </c>
      <c r="F1144" s="12" t="s">
        <v>37</v>
      </c>
      <c r="G1144" s="12" t="s">
        <v>63</v>
      </c>
      <c r="H1144" s="15">
        <v>45263.0</v>
      </c>
      <c r="I1144" s="17">
        <v>21.0</v>
      </c>
      <c r="J1144" s="12" t="s">
        <v>40</v>
      </c>
      <c r="K1144" s="12" t="s">
        <v>42</v>
      </c>
      <c r="L1144" s="17">
        <v>1699.0</v>
      </c>
      <c r="M1144" s="17">
        <v>1.0</v>
      </c>
      <c r="N1144" s="17">
        <v>2.0</v>
      </c>
      <c r="O1144" s="17">
        <v>20.2</v>
      </c>
      <c r="P1144" s="12"/>
      <c r="Q1144" s="15">
        <v>45280.0</v>
      </c>
      <c r="R1144" s="12"/>
      <c r="S1144" s="12" t="s">
        <v>55</v>
      </c>
      <c r="T1144" s="12" t="s">
        <v>104</v>
      </c>
      <c r="U1144" s="17">
        <f t="shared" si="1"/>
        <v>1</v>
      </c>
    </row>
    <row r="1145">
      <c r="A1145" s="12" t="s">
        <v>1157</v>
      </c>
      <c r="B1145" s="12" t="s">
        <v>257</v>
      </c>
      <c r="C1145" s="17">
        <v>42.0</v>
      </c>
      <c r="D1145" s="12" t="s">
        <v>60</v>
      </c>
      <c r="E1145" s="12" t="s">
        <v>133</v>
      </c>
      <c r="F1145" s="12" t="s">
        <v>79</v>
      </c>
      <c r="G1145" s="12" t="s">
        <v>80</v>
      </c>
      <c r="H1145" s="15">
        <v>45872.0</v>
      </c>
      <c r="I1145" s="17">
        <v>29.0</v>
      </c>
      <c r="J1145" s="12" t="s">
        <v>53</v>
      </c>
      <c r="K1145" s="12" t="s">
        <v>65</v>
      </c>
      <c r="L1145" s="17">
        <v>2131.0</v>
      </c>
      <c r="M1145" s="17">
        <v>0.0</v>
      </c>
      <c r="N1145" s="17">
        <v>1.0</v>
      </c>
      <c r="O1145" s="17">
        <v>43.3</v>
      </c>
      <c r="P1145" s="17">
        <v>4.7</v>
      </c>
      <c r="Q1145" s="15">
        <v>46261.0</v>
      </c>
      <c r="R1145" s="12"/>
      <c r="S1145" s="12" t="s">
        <v>55</v>
      </c>
      <c r="T1145" s="12" t="s">
        <v>47</v>
      </c>
      <c r="U1145" s="17">
        <f t="shared" si="1"/>
        <v>3</v>
      </c>
    </row>
    <row r="1146">
      <c r="A1146" s="12" t="s">
        <v>1729</v>
      </c>
      <c r="B1146" s="12" t="s">
        <v>325</v>
      </c>
      <c r="C1146" s="17">
        <v>21.0</v>
      </c>
      <c r="D1146" s="12" t="s">
        <v>60</v>
      </c>
      <c r="E1146" s="12" t="s">
        <v>133</v>
      </c>
      <c r="F1146" s="12" t="s">
        <v>37</v>
      </c>
      <c r="G1146" s="12" t="s">
        <v>39</v>
      </c>
      <c r="H1146" s="15">
        <v>45076.0</v>
      </c>
      <c r="I1146" s="17">
        <v>30.0</v>
      </c>
      <c r="J1146" s="12" t="s">
        <v>40</v>
      </c>
      <c r="K1146" s="12" t="s">
        <v>42</v>
      </c>
      <c r="L1146" s="17">
        <v>1044.0</v>
      </c>
      <c r="M1146" s="17">
        <v>4.0</v>
      </c>
      <c r="N1146" s="17">
        <v>2.0</v>
      </c>
      <c r="O1146" s="17">
        <v>17.8</v>
      </c>
      <c r="P1146" s="17">
        <v>5.0</v>
      </c>
      <c r="Q1146" s="15">
        <v>45146.0</v>
      </c>
      <c r="R1146" s="12"/>
      <c r="S1146" s="12" t="s">
        <v>55</v>
      </c>
      <c r="T1146" s="12" t="s">
        <v>75</v>
      </c>
      <c r="U1146" s="17">
        <f t="shared" si="1"/>
        <v>1</v>
      </c>
    </row>
    <row r="1147">
      <c r="A1147" s="12" t="s">
        <v>1730</v>
      </c>
      <c r="B1147" s="12" t="s">
        <v>247</v>
      </c>
      <c r="C1147" s="17">
        <v>65.0</v>
      </c>
      <c r="D1147" s="12" t="s">
        <v>658</v>
      </c>
      <c r="E1147" s="12" t="s">
        <v>70</v>
      </c>
      <c r="F1147" s="12" t="s">
        <v>62</v>
      </c>
      <c r="G1147" s="12" t="s">
        <v>210</v>
      </c>
      <c r="H1147" s="15">
        <v>44746.0</v>
      </c>
      <c r="I1147" s="17">
        <v>32.0</v>
      </c>
      <c r="J1147" s="12" t="s">
        <v>64</v>
      </c>
      <c r="K1147" s="12" t="s">
        <v>65</v>
      </c>
      <c r="L1147" s="17">
        <v>763.0</v>
      </c>
      <c r="M1147" s="17">
        <v>1.0</v>
      </c>
      <c r="N1147" s="17">
        <v>0.0</v>
      </c>
      <c r="O1147" s="17">
        <v>24.9</v>
      </c>
      <c r="P1147" s="17">
        <v>1.3</v>
      </c>
      <c r="Q1147" s="15">
        <v>44769.0</v>
      </c>
      <c r="R1147" s="12"/>
      <c r="S1147" s="12" t="s">
        <v>55</v>
      </c>
      <c r="T1147" s="12" t="s">
        <v>75</v>
      </c>
      <c r="U1147" s="17">
        <f t="shared" si="1"/>
        <v>2</v>
      </c>
    </row>
    <row r="1148">
      <c r="A1148" s="12" t="s">
        <v>811</v>
      </c>
      <c r="B1148" s="12" t="s">
        <v>118</v>
      </c>
      <c r="C1148" s="17">
        <v>25.0</v>
      </c>
      <c r="D1148" s="12" t="s">
        <v>300</v>
      </c>
      <c r="E1148" s="12" t="s">
        <v>70</v>
      </c>
      <c r="F1148" s="12" t="s">
        <v>79</v>
      </c>
      <c r="G1148" s="12" t="s">
        <v>63</v>
      </c>
      <c r="H1148" s="15">
        <v>45263.0</v>
      </c>
      <c r="I1148" s="17">
        <v>46.0</v>
      </c>
      <c r="J1148" s="12" t="s">
        <v>40</v>
      </c>
      <c r="K1148" s="12" t="s">
        <v>42</v>
      </c>
      <c r="L1148" s="17">
        <v>3040.0</v>
      </c>
      <c r="M1148" s="17">
        <v>2.0</v>
      </c>
      <c r="N1148" s="17">
        <v>0.0</v>
      </c>
      <c r="O1148" s="17">
        <v>34.4</v>
      </c>
      <c r="P1148" s="17">
        <v>2.1</v>
      </c>
      <c r="Q1148" s="15">
        <v>45359.0</v>
      </c>
      <c r="R1148" s="12"/>
      <c r="S1148" s="12" t="s">
        <v>55</v>
      </c>
      <c r="T1148" s="12" t="s">
        <v>75</v>
      </c>
      <c r="U1148" s="17">
        <f t="shared" si="1"/>
        <v>2</v>
      </c>
    </row>
    <row r="1149">
      <c r="A1149" s="12" t="s">
        <v>1731</v>
      </c>
      <c r="B1149" s="12" t="s">
        <v>288</v>
      </c>
      <c r="C1149" s="17">
        <v>64.0</v>
      </c>
      <c r="D1149" s="12" t="s">
        <v>69</v>
      </c>
      <c r="E1149" s="12" t="s">
        <v>177</v>
      </c>
      <c r="F1149" s="12" t="s">
        <v>62</v>
      </c>
      <c r="G1149" s="12" t="s">
        <v>63</v>
      </c>
      <c r="H1149" s="15">
        <v>45151.0</v>
      </c>
      <c r="I1149" s="17">
        <v>24.0</v>
      </c>
      <c r="J1149" s="12" t="s">
        <v>40</v>
      </c>
      <c r="K1149" s="12" t="s">
        <v>42</v>
      </c>
      <c r="L1149" s="17">
        <v>640.0</v>
      </c>
      <c r="M1149" s="17">
        <v>1.0</v>
      </c>
      <c r="N1149" s="17">
        <v>0.0</v>
      </c>
      <c r="O1149" s="17">
        <v>28.5</v>
      </c>
      <c r="P1149" s="17">
        <v>4.9</v>
      </c>
      <c r="Q1149" s="15">
        <v>45365.0</v>
      </c>
      <c r="R1149" s="12" t="s">
        <v>1732</v>
      </c>
      <c r="S1149" s="12" t="s">
        <v>45</v>
      </c>
      <c r="T1149" s="12" t="s">
        <v>104</v>
      </c>
      <c r="U1149" s="17">
        <f t="shared" si="1"/>
        <v>2</v>
      </c>
    </row>
    <row r="1150">
      <c r="A1150" s="12" t="s">
        <v>1733</v>
      </c>
      <c r="B1150" s="12" t="s">
        <v>169</v>
      </c>
      <c r="C1150" s="17">
        <v>20.0</v>
      </c>
      <c r="D1150" s="12" t="s">
        <v>85</v>
      </c>
      <c r="E1150" s="12" t="s">
        <v>111</v>
      </c>
      <c r="F1150" s="12" t="s">
        <v>62</v>
      </c>
      <c r="G1150" s="12" t="s">
        <v>93</v>
      </c>
      <c r="H1150" s="15">
        <v>45643.0</v>
      </c>
      <c r="I1150" s="17">
        <v>44.0</v>
      </c>
      <c r="J1150" s="12" t="s">
        <v>40</v>
      </c>
      <c r="K1150" s="12" t="s">
        <v>42</v>
      </c>
      <c r="L1150" s="17">
        <v>717.0</v>
      </c>
      <c r="M1150" s="17">
        <v>0.0</v>
      </c>
      <c r="N1150" s="17">
        <v>1.0</v>
      </c>
      <c r="O1150" s="17">
        <v>25.5</v>
      </c>
      <c r="P1150" s="17">
        <v>4.4</v>
      </c>
      <c r="Q1150" s="15">
        <v>46873.0</v>
      </c>
      <c r="R1150" s="12"/>
      <c r="S1150" s="12" t="s">
        <v>55</v>
      </c>
      <c r="T1150" s="12" t="s">
        <v>66</v>
      </c>
      <c r="U1150" s="17">
        <f t="shared" si="1"/>
        <v>2</v>
      </c>
    </row>
    <row r="1151">
      <c r="A1151" s="12" t="s">
        <v>1442</v>
      </c>
      <c r="B1151" s="12" t="s">
        <v>393</v>
      </c>
      <c r="C1151" s="12" t="s">
        <v>939</v>
      </c>
      <c r="D1151" s="12" t="s">
        <v>60</v>
      </c>
      <c r="E1151" s="12" t="s">
        <v>97</v>
      </c>
      <c r="F1151" s="12" t="s">
        <v>79</v>
      </c>
      <c r="G1151" s="12" t="s">
        <v>93</v>
      </c>
      <c r="H1151" s="15">
        <v>44972.0</v>
      </c>
      <c r="I1151" s="17">
        <v>39.0</v>
      </c>
      <c r="J1151" s="12" t="s">
        <v>40</v>
      </c>
      <c r="K1151" s="12" t="s">
        <v>65</v>
      </c>
      <c r="L1151" s="17">
        <v>3715.0</v>
      </c>
      <c r="M1151" s="17">
        <v>0.0</v>
      </c>
      <c r="N1151" s="17">
        <v>2.0</v>
      </c>
      <c r="O1151" s="17">
        <v>41.8</v>
      </c>
      <c r="P1151" s="17">
        <v>3.3</v>
      </c>
      <c r="Q1151" s="15">
        <v>45877.0</v>
      </c>
      <c r="R1151" s="12"/>
      <c r="S1151" s="12" t="s">
        <v>55</v>
      </c>
      <c r="T1151" s="12" t="s">
        <v>66</v>
      </c>
      <c r="U1151" s="17">
        <f t="shared" si="1"/>
        <v>2</v>
      </c>
    </row>
    <row r="1152">
      <c r="A1152" s="12" t="s">
        <v>197</v>
      </c>
      <c r="B1152" s="12" t="s">
        <v>736</v>
      </c>
      <c r="C1152" s="17">
        <v>40.0</v>
      </c>
      <c r="D1152" s="12" t="s">
        <v>69</v>
      </c>
      <c r="E1152" s="12" t="s">
        <v>187</v>
      </c>
      <c r="F1152" s="12" t="s">
        <v>37</v>
      </c>
      <c r="G1152" s="12" t="s">
        <v>120</v>
      </c>
      <c r="H1152" s="15">
        <v>44600.0</v>
      </c>
      <c r="I1152" s="17">
        <v>3.0</v>
      </c>
      <c r="J1152" s="12" t="s">
        <v>146</v>
      </c>
      <c r="K1152" s="12" t="s">
        <v>81</v>
      </c>
      <c r="L1152" s="17">
        <v>1411.0</v>
      </c>
      <c r="M1152" s="17">
        <v>1.0</v>
      </c>
      <c r="N1152" s="12"/>
      <c r="O1152" s="17">
        <v>18.0</v>
      </c>
      <c r="P1152" s="17">
        <v>3.9</v>
      </c>
      <c r="Q1152" s="15">
        <v>44664.0</v>
      </c>
      <c r="R1152" s="12"/>
      <c r="S1152" s="12" t="s">
        <v>55</v>
      </c>
      <c r="T1152" s="12" t="s">
        <v>104</v>
      </c>
      <c r="U1152" s="17">
        <f t="shared" si="1"/>
        <v>2</v>
      </c>
    </row>
    <row r="1153">
      <c r="A1153" s="12" t="s">
        <v>1734</v>
      </c>
      <c r="B1153" s="12" t="s">
        <v>172</v>
      </c>
      <c r="C1153" s="17">
        <v>53.0</v>
      </c>
      <c r="D1153" s="12" t="s">
        <v>35</v>
      </c>
      <c r="E1153" s="12" t="s">
        <v>36</v>
      </c>
      <c r="F1153" s="12" t="s">
        <v>62</v>
      </c>
      <c r="G1153" s="12" t="s">
        <v>80</v>
      </c>
      <c r="H1153" s="15">
        <v>45556.0</v>
      </c>
      <c r="I1153" s="17">
        <v>43.0</v>
      </c>
      <c r="J1153" s="12" t="s">
        <v>64</v>
      </c>
      <c r="K1153" s="12" t="s">
        <v>42</v>
      </c>
      <c r="L1153" s="17">
        <v>628.0</v>
      </c>
      <c r="M1153" s="17">
        <v>0.0</v>
      </c>
      <c r="N1153" s="17">
        <v>2.0</v>
      </c>
      <c r="O1153" s="17">
        <v>21.8</v>
      </c>
      <c r="P1153" s="17">
        <v>3.1</v>
      </c>
      <c r="Q1153" s="15">
        <v>46103.0</v>
      </c>
      <c r="R1153" s="12"/>
      <c r="S1153" s="12" t="s">
        <v>55</v>
      </c>
      <c r="T1153" s="12" t="s">
        <v>66</v>
      </c>
      <c r="U1153" s="17">
        <f t="shared" si="1"/>
        <v>2</v>
      </c>
    </row>
    <row r="1154">
      <c r="A1154" s="12" t="s">
        <v>1735</v>
      </c>
      <c r="B1154" s="12" t="s">
        <v>239</v>
      </c>
      <c r="C1154" s="17">
        <v>56.0</v>
      </c>
      <c r="D1154" s="12" t="s">
        <v>60</v>
      </c>
      <c r="E1154" s="12" t="s">
        <v>61</v>
      </c>
      <c r="F1154" s="12" t="s">
        <v>62</v>
      </c>
      <c r="G1154" s="12" t="s">
        <v>630</v>
      </c>
      <c r="H1154" s="15">
        <v>46011.0</v>
      </c>
      <c r="I1154" s="17">
        <v>5.0</v>
      </c>
      <c r="J1154" s="12" t="s">
        <v>53</v>
      </c>
      <c r="K1154" s="12" t="s">
        <v>81</v>
      </c>
      <c r="L1154" s="17">
        <v>587.0</v>
      </c>
      <c r="M1154" s="17">
        <v>3.0</v>
      </c>
      <c r="N1154" s="17">
        <v>3.0</v>
      </c>
      <c r="O1154" s="17">
        <v>22.2</v>
      </c>
      <c r="P1154" s="17">
        <v>2.7</v>
      </c>
      <c r="Q1154" s="15">
        <v>46177.0</v>
      </c>
      <c r="R1154" s="12"/>
      <c r="S1154" s="12" t="s">
        <v>1125</v>
      </c>
      <c r="T1154" s="12" t="s">
        <v>66</v>
      </c>
      <c r="U1154" s="17">
        <f t="shared" si="1"/>
        <v>1</v>
      </c>
    </row>
    <row r="1155">
      <c r="A1155" s="12" t="s">
        <v>1736</v>
      </c>
      <c r="B1155" s="12" t="s">
        <v>222</v>
      </c>
      <c r="C1155" s="17">
        <v>25.0</v>
      </c>
      <c r="D1155" s="12" t="s">
        <v>85</v>
      </c>
      <c r="E1155" s="12" t="s">
        <v>87</v>
      </c>
      <c r="F1155" s="12" t="s">
        <v>37</v>
      </c>
      <c r="G1155" s="12" t="s">
        <v>52</v>
      </c>
      <c r="H1155" s="15">
        <v>44695.0</v>
      </c>
      <c r="I1155" s="17">
        <v>13.0</v>
      </c>
      <c r="J1155" s="12" t="s">
        <v>53</v>
      </c>
      <c r="K1155" s="12" t="s">
        <v>65</v>
      </c>
      <c r="L1155" s="17">
        <v>1700.0</v>
      </c>
      <c r="M1155" s="17">
        <v>1.0</v>
      </c>
      <c r="N1155" s="17">
        <v>1.0</v>
      </c>
      <c r="O1155" s="17">
        <v>10.2</v>
      </c>
      <c r="P1155" s="17">
        <v>2.4</v>
      </c>
      <c r="Q1155" s="15">
        <v>44917.0</v>
      </c>
      <c r="R1155" s="12"/>
      <c r="S1155" s="12" t="s">
        <v>55</v>
      </c>
      <c r="T1155" s="12" t="s">
        <v>104</v>
      </c>
      <c r="U1155" s="17">
        <f t="shared" si="1"/>
        <v>1</v>
      </c>
    </row>
    <row r="1156">
      <c r="A1156" s="12" t="s">
        <v>1737</v>
      </c>
      <c r="B1156" s="12" t="s">
        <v>633</v>
      </c>
      <c r="C1156" s="17">
        <v>30.0</v>
      </c>
      <c r="D1156" s="12" t="s">
        <v>69</v>
      </c>
      <c r="E1156" s="12" t="s">
        <v>119</v>
      </c>
      <c r="F1156" s="12" t="s">
        <v>62</v>
      </c>
      <c r="G1156" s="12" t="s">
        <v>63</v>
      </c>
      <c r="H1156" s="15">
        <v>45555.0</v>
      </c>
      <c r="I1156" s="17">
        <v>31.0</v>
      </c>
      <c r="J1156" s="12" t="s">
        <v>40</v>
      </c>
      <c r="K1156" s="12" t="s">
        <v>805</v>
      </c>
      <c r="L1156" s="17">
        <v>626.0</v>
      </c>
      <c r="M1156" s="17">
        <v>3.0</v>
      </c>
      <c r="N1156" s="17">
        <v>2.0</v>
      </c>
      <c r="O1156" s="17">
        <v>29.7</v>
      </c>
      <c r="P1156" s="17">
        <v>3.4</v>
      </c>
      <c r="Q1156" s="15">
        <v>45743.0</v>
      </c>
      <c r="R1156" s="12"/>
      <c r="S1156" s="12" t="s">
        <v>55</v>
      </c>
      <c r="T1156" s="12" t="s">
        <v>66</v>
      </c>
      <c r="U1156" s="17">
        <f t="shared" si="1"/>
        <v>1</v>
      </c>
    </row>
    <row r="1157">
      <c r="A1157" s="12" t="s">
        <v>1738</v>
      </c>
      <c r="B1157" s="12" t="s">
        <v>96</v>
      </c>
      <c r="C1157" s="17">
        <v>32.0</v>
      </c>
      <c r="D1157" s="12" t="s">
        <v>60</v>
      </c>
      <c r="E1157" s="12" t="s">
        <v>61</v>
      </c>
      <c r="F1157" s="12" t="s">
        <v>79</v>
      </c>
      <c r="G1157" s="12" t="s">
        <v>120</v>
      </c>
      <c r="H1157" s="15">
        <v>44592.0</v>
      </c>
      <c r="I1157" s="17">
        <v>5.0</v>
      </c>
      <c r="J1157" s="12" t="s">
        <v>53</v>
      </c>
      <c r="K1157" s="12" t="s">
        <v>42</v>
      </c>
      <c r="L1157" s="17">
        <v>3808.0</v>
      </c>
      <c r="M1157" s="17">
        <v>5.0</v>
      </c>
      <c r="N1157" s="17">
        <v>1.0</v>
      </c>
      <c r="O1157" s="17">
        <v>31.4</v>
      </c>
      <c r="P1157" s="17">
        <v>3.3</v>
      </c>
      <c r="Q1157" s="15">
        <v>44712.0</v>
      </c>
      <c r="R1157" s="12"/>
      <c r="S1157" s="12" t="s">
        <v>55</v>
      </c>
      <c r="T1157" s="12" t="s">
        <v>66</v>
      </c>
      <c r="U1157" s="17">
        <f t="shared" si="1"/>
        <v>1</v>
      </c>
    </row>
    <row r="1158">
      <c r="A1158" s="12" t="s">
        <v>1739</v>
      </c>
      <c r="B1158" s="12" t="s">
        <v>398</v>
      </c>
      <c r="C1158" s="17">
        <v>53.0</v>
      </c>
      <c r="D1158" s="12" t="s">
        <v>69</v>
      </c>
      <c r="E1158" s="12" t="s">
        <v>70</v>
      </c>
      <c r="F1158" s="12" t="s">
        <v>62</v>
      </c>
      <c r="G1158" s="12" t="s">
        <v>63</v>
      </c>
      <c r="H1158" s="15">
        <v>44886.0</v>
      </c>
      <c r="I1158" s="17">
        <v>43.0</v>
      </c>
      <c r="J1158" s="12" t="s">
        <v>40</v>
      </c>
      <c r="K1158" s="12" t="s">
        <v>42</v>
      </c>
      <c r="L1158" s="17">
        <v>513.0</v>
      </c>
      <c r="M1158" s="17">
        <v>2.0</v>
      </c>
      <c r="N1158" s="17">
        <v>1.0</v>
      </c>
      <c r="O1158" s="17">
        <v>29.3</v>
      </c>
      <c r="P1158" s="17">
        <v>3.8</v>
      </c>
      <c r="Q1158" s="15">
        <v>46181.0</v>
      </c>
      <c r="R1158" s="12"/>
      <c r="S1158" s="12" t="s">
        <v>55</v>
      </c>
      <c r="T1158" s="12" t="s">
        <v>72</v>
      </c>
      <c r="U1158" s="17">
        <f t="shared" si="1"/>
        <v>1</v>
      </c>
    </row>
    <row r="1159">
      <c r="A1159" s="12" t="s">
        <v>1740</v>
      </c>
      <c r="B1159" s="12" t="s">
        <v>179</v>
      </c>
      <c r="C1159" s="17">
        <v>23.0</v>
      </c>
      <c r="D1159" s="12" t="s">
        <v>85</v>
      </c>
      <c r="E1159" s="12" t="s">
        <v>111</v>
      </c>
      <c r="F1159" s="12" t="s">
        <v>79</v>
      </c>
      <c r="G1159" s="12" t="s">
        <v>1014</v>
      </c>
      <c r="H1159" s="15">
        <v>45472.0</v>
      </c>
      <c r="I1159" s="17">
        <v>2.0</v>
      </c>
      <c r="J1159" s="12" t="s">
        <v>64</v>
      </c>
      <c r="K1159" s="12" t="s">
        <v>65</v>
      </c>
      <c r="L1159" s="17">
        <v>3280.0</v>
      </c>
      <c r="M1159" s="17">
        <v>2.0</v>
      </c>
      <c r="N1159" s="17">
        <v>3.0</v>
      </c>
      <c r="O1159" s="17">
        <v>29.6</v>
      </c>
      <c r="P1159" s="17">
        <v>5.0</v>
      </c>
      <c r="Q1159" s="15">
        <v>45519.0</v>
      </c>
      <c r="R1159" s="12" t="s">
        <v>1716</v>
      </c>
      <c r="S1159" s="12" t="s">
        <v>45</v>
      </c>
      <c r="T1159" s="12" t="s">
        <v>72</v>
      </c>
      <c r="U1159" s="17">
        <f t="shared" si="1"/>
        <v>2</v>
      </c>
    </row>
    <row r="1160">
      <c r="A1160" s="12" t="s">
        <v>1741</v>
      </c>
      <c r="B1160" s="12" t="s">
        <v>364</v>
      </c>
      <c r="C1160" s="17">
        <v>53.0</v>
      </c>
      <c r="D1160" s="12" t="s">
        <v>69</v>
      </c>
      <c r="E1160" s="12" t="s">
        <v>187</v>
      </c>
      <c r="F1160" s="12" t="s">
        <v>37</v>
      </c>
      <c r="G1160" s="12" t="s">
        <v>120</v>
      </c>
      <c r="H1160" s="15">
        <v>45291.0</v>
      </c>
      <c r="I1160" s="17">
        <v>34.0</v>
      </c>
      <c r="J1160" s="12" t="s">
        <v>40</v>
      </c>
      <c r="K1160" s="12" t="s">
        <v>42</v>
      </c>
      <c r="L1160" s="17">
        <v>1583.0</v>
      </c>
      <c r="M1160" s="17">
        <v>5.0</v>
      </c>
      <c r="N1160" s="17">
        <v>0.0</v>
      </c>
      <c r="O1160" s="17">
        <v>30.3</v>
      </c>
      <c r="P1160" s="17">
        <v>4.4</v>
      </c>
      <c r="Q1160" s="15">
        <v>46066.0</v>
      </c>
      <c r="R1160" s="12"/>
      <c r="S1160" s="12" t="s">
        <v>217</v>
      </c>
      <c r="T1160" s="12" t="s">
        <v>104</v>
      </c>
      <c r="U1160" s="17">
        <f t="shared" si="1"/>
        <v>1</v>
      </c>
    </row>
    <row r="1161">
      <c r="A1161" s="12" t="s">
        <v>534</v>
      </c>
      <c r="B1161" s="12" t="s">
        <v>139</v>
      </c>
      <c r="C1161" s="17">
        <v>24.0</v>
      </c>
      <c r="D1161" s="12" t="s">
        <v>35</v>
      </c>
      <c r="E1161" s="12" t="s">
        <v>140</v>
      </c>
      <c r="F1161" s="12" t="s">
        <v>37</v>
      </c>
      <c r="G1161" s="12" t="s">
        <v>120</v>
      </c>
      <c r="H1161" s="15">
        <v>45927.0</v>
      </c>
      <c r="I1161" s="17">
        <v>6.0</v>
      </c>
      <c r="J1161" s="12" t="s">
        <v>64</v>
      </c>
      <c r="K1161" s="12" t="s">
        <v>81</v>
      </c>
      <c r="L1161" s="17">
        <v>1192.0</v>
      </c>
      <c r="M1161" s="17">
        <v>1.0</v>
      </c>
      <c r="N1161" s="17">
        <v>1.0</v>
      </c>
      <c r="O1161" s="17">
        <v>15.5</v>
      </c>
      <c r="P1161" s="17">
        <v>2.4</v>
      </c>
      <c r="Q1161" s="15">
        <v>46081.0</v>
      </c>
      <c r="R1161" s="12" t="s">
        <v>1742</v>
      </c>
      <c r="S1161" s="12" t="s">
        <v>45</v>
      </c>
      <c r="T1161" s="12" t="s">
        <v>104</v>
      </c>
      <c r="U1161" s="17">
        <f t="shared" si="1"/>
        <v>3</v>
      </c>
    </row>
    <row r="1162">
      <c r="A1162" s="12" t="s">
        <v>1743</v>
      </c>
      <c r="B1162" s="12" t="s">
        <v>118</v>
      </c>
      <c r="C1162" s="17">
        <v>61.0</v>
      </c>
      <c r="D1162" s="12" t="s">
        <v>85</v>
      </c>
      <c r="E1162" s="12" t="s">
        <v>92</v>
      </c>
      <c r="F1162" s="12" t="s">
        <v>37</v>
      </c>
      <c r="G1162" s="12" t="s">
        <v>80</v>
      </c>
      <c r="H1162" s="15">
        <v>45935.0</v>
      </c>
      <c r="I1162" s="17">
        <v>28.0</v>
      </c>
      <c r="J1162" s="12" t="s">
        <v>64</v>
      </c>
      <c r="K1162" s="12" t="s">
        <v>42</v>
      </c>
      <c r="L1162" s="17">
        <v>1153.0</v>
      </c>
      <c r="M1162" s="17">
        <v>1.0</v>
      </c>
      <c r="N1162" s="17">
        <v>0.0</v>
      </c>
      <c r="O1162" s="17">
        <v>20.4</v>
      </c>
      <c r="P1162" s="17">
        <v>4.2</v>
      </c>
      <c r="Q1162" s="15">
        <v>46688.0</v>
      </c>
      <c r="R1162" s="12"/>
      <c r="S1162" s="12" t="s">
        <v>55</v>
      </c>
      <c r="T1162" s="12" t="s">
        <v>72</v>
      </c>
      <c r="U1162" s="17">
        <f t="shared" si="1"/>
        <v>1</v>
      </c>
    </row>
    <row r="1163">
      <c r="A1163" s="12" t="s">
        <v>1744</v>
      </c>
      <c r="B1163" s="12" t="s">
        <v>395</v>
      </c>
      <c r="C1163" s="17">
        <v>30.0</v>
      </c>
      <c r="D1163" s="12" t="s">
        <v>60</v>
      </c>
      <c r="E1163" s="12" t="s">
        <v>97</v>
      </c>
      <c r="F1163" s="12" t="s">
        <v>37</v>
      </c>
      <c r="G1163" s="12" t="s">
        <v>210</v>
      </c>
      <c r="H1163" s="15">
        <v>44743.0</v>
      </c>
      <c r="I1163" s="17">
        <v>38.0</v>
      </c>
      <c r="J1163" s="12" t="s">
        <v>53</v>
      </c>
      <c r="K1163" s="12" t="s">
        <v>65</v>
      </c>
      <c r="L1163" s="17">
        <v>1436.0</v>
      </c>
      <c r="M1163" s="17">
        <v>1.0</v>
      </c>
      <c r="N1163" s="17">
        <v>2.0</v>
      </c>
      <c r="O1163" s="17">
        <v>31.3</v>
      </c>
      <c r="P1163" s="17">
        <v>4.0</v>
      </c>
      <c r="Q1163" s="15">
        <v>45765.0</v>
      </c>
      <c r="R1163" s="12"/>
      <c r="S1163" s="12" t="s">
        <v>55</v>
      </c>
      <c r="T1163" s="12" t="s">
        <v>66</v>
      </c>
      <c r="U1163" s="17">
        <f t="shared" si="1"/>
        <v>1</v>
      </c>
    </row>
    <row r="1164">
      <c r="A1164" s="12" t="s">
        <v>925</v>
      </c>
      <c r="B1164" s="12" t="s">
        <v>322</v>
      </c>
      <c r="C1164" s="17">
        <v>59.0</v>
      </c>
      <c r="D1164" s="12" t="s">
        <v>69</v>
      </c>
      <c r="E1164" s="12" t="s">
        <v>177</v>
      </c>
      <c r="F1164" s="12" t="s">
        <v>37</v>
      </c>
      <c r="G1164" s="12" t="s">
        <v>210</v>
      </c>
      <c r="H1164" s="15">
        <v>44781.0</v>
      </c>
      <c r="I1164" s="17">
        <v>30.0</v>
      </c>
      <c r="J1164" s="12" t="s">
        <v>40</v>
      </c>
      <c r="K1164" s="12" t="s">
        <v>81</v>
      </c>
      <c r="L1164" s="17">
        <v>1685.0</v>
      </c>
      <c r="M1164" s="17">
        <v>1.0</v>
      </c>
      <c r="N1164" s="17">
        <v>1.0</v>
      </c>
      <c r="O1164" s="17">
        <v>44.5</v>
      </c>
      <c r="P1164" s="17">
        <v>3.8</v>
      </c>
      <c r="Q1164" s="15">
        <v>45198.0</v>
      </c>
      <c r="R1164" s="12"/>
      <c r="S1164" s="12" t="s">
        <v>55</v>
      </c>
      <c r="T1164" s="12" t="s">
        <v>75</v>
      </c>
      <c r="U1164" s="17">
        <f t="shared" si="1"/>
        <v>3</v>
      </c>
    </row>
    <row r="1165">
      <c r="A1165" s="12" t="s">
        <v>73</v>
      </c>
      <c r="B1165" s="12" t="s">
        <v>288</v>
      </c>
      <c r="C1165" s="17">
        <v>47.0</v>
      </c>
      <c r="D1165" s="12" t="s">
        <v>60</v>
      </c>
      <c r="E1165" s="12" t="s">
        <v>133</v>
      </c>
      <c r="F1165" s="12" t="s">
        <v>62</v>
      </c>
      <c r="G1165" s="12" t="s">
        <v>39</v>
      </c>
      <c r="H1165" s="15">
        <v>45104.0</v>
      </c>
      <c r="I1165" s="17">
        <v>40.0</v>
      </c>
      <c r="J1165" s="12" t="s">
        <v>40</v>
      </c>
      <c r="K1165" s="12" t="s">
        <v>42</v>
      </c>
      <c r="L1165" s="17">
        <v>635.0</v>
      </c>
      <c r="M1165" s="17">
        <v>2.0</v>
      </c>
      <c r="N1165" s="17">
        <v>1.0</v>
      </c>
      <c r="O1165" s="17">
        <v>20.4</v>
      </c>
      <c r="P1165" s="17">
        <v>5.0</v>
      </c>
      <c r="Q1165" s="15">
        <v>45753.0</v>
      </c>
      <c r="R1165" s="12"/>
      <c r="S1165" s="12" t="s">
        <v>55</v>
      </c>
      <c r="T1165" s="12" t="s">
        <v>66</v>
      </c>
      <c r="U1165" s="17">
        <f t="shared" si="1"/>
        <v>3</v>
      </c>
    </row>
    <row r="1166">
      <c r="A1166" s="12" t="s">
        <v>113</v>
      </c>
      <c r="B1166" s="12" t="s">
        <v>470</v>
      </c>
      <c r="C1166" s="17">
        <v>36.0</v>
      </c>
      <c r="D1166" s="12" t="s">
        <v>445</v>
      </c>
      <c r="E1166" s="12" t="s">
        <v>140</v>
      </c>
      <c r="F1166" s="12" t="s">
        <v>79</v>
      </c>
      <c r="G1166" s="12" t="s">
        <v>210</v>
      </c>
      <c r="H1166" s="15">
        <v>45749.0</v>
      </c>
      <c r="I1166" s="17">
        <v>16.0</v>
      </c>
      <c r="J1166" s="12" t="s">
        <v>64</v>
      </c>
      <c r="K1166" s="12" t="s">
        <v>65</v>
      </c>
      <c r="L1166" s="17">
        <v>707.0</v>
      </c>
      <c r="M1166" s="17">
        <v>1.0</v>
      </c>
      <c r="N1166" s="17">
        <v>1.0</v>
      </c>
      <c r="O1166" s="17">
        <v>23.7</v>
      </c>
      <c r="P1166" s="17">
        <v>4.1</v>
      </c>
      <c r="Q1166" s="15">
        <v>46038.0</v>
      </c>
      <c r="R1166" s="12" t="s">
        <v>1747</v>
      </c>
      <c r="S1166" s="12" t="s">
        <v>45</v>
      </c>
      <c r="T1166" s="12" t="s">
        <v>66</v>
      </c>
      <c r="U1166" s="17">
        <f t="shared" si="1"/>
        <v>3</v>
      </c>
    </row>
    <row r="1167">
      <c r="A1167" s="12" t="s">
        <v>1748</v>
      </c>
      <c r="B1167" s="12" t="s">
        <v>340</v>
      </c>
      <c r="C1167" s="17">
        <v>46.0</v>
      </c>
      <c r="D1167" s="12" t="s">
        <v>69</v>
      </c>
      <c r="E1167" s="12" t="s">
        <v>70</v>
      </c>
      <c r="F1167" s="12" t="s">
        <v>79</v>
      </c>
      <c r="G1167" s="12" t="s">
        <v>39</v>
      </c>
      <c r="H1167" s="15">
        <v>45091.0</v>
      </c>
      <c r="I1167" s="17">
        <v>26.0</v>
      </c>
      <c r="J1167" s="12" t="s">
        <v>40</v>
      </c>
      <c r="K1167" s="12" t="s">
        <v>81</v>
      </c>
      <c r="L1167" s="17">
        <v>2910.0</v>
      </c>
      <c r="M1167" s="17">
        <v>4.0</v>
      </c>
      <c r="N1167" s="17">
        <v>0.0</v>
      </c>
      <c r="O1167" s="17">
        <v>43.8</v>
      </c>
      <c r="P1167" s="17">
        <v>2.5</v>
      </c>
      <c r="Q1167" s="15">
        <v>45717.0</v>
      </c>
      <c r="R1167" s="12"/>
      <c r="S1167" s="12" t="s">
        <v>55</v>
      </c>
      <c r="T1167" s="12" t="s">
        <v>104</v>
      </c>
      <c r="U1167" s="17">
        <f t="shared" si="1"/>
        <v>1</v>
      </c>
    </row>
    <row r="1168">
      <c r="A1168" s="12" t="s">
        <v>1163</v>
      </c>
      <c r="B1168" s="12" t="s">
        <v>135</v>
      </c>
      <c r="C1168" s="17">
        <v>33.0</v>
      </c>
      <c r="D1168" s="12" t="s">
        <v>60</v>
      </c>
      <c r="E1168" s="12" t="s">
        <v>61</v>
      </c>
      <c r="F1168" s="12" t="s">
        <v>62</v>
      </c>
      <c r="G1168" s="12" t="s">
        <v>93</v>
      </c>
      <c r="H1168" s="15">
        <v>44793.0</v>
      </c>
      <c r="I1168" s="17">
        <v>38.0</v>
      </c>
      <c r="J1168" s="12" t="s">
        <v>40</v>
      </c>
      <c r="K1168" s="12" t="s">
        <v>65</v>
      </c>
      <c r="L1168" s="17">
        <v>870.0</v>
      </c>
      <c r="M1168" s="17">
        <v>1.0</v>
      </c>
      <c r="N1168" s="17">
        <v>1.0</v>
      </c>
      <c r="O1168" s="17">
        <v>18.1</v>
      </c>
      <c r="P1168" s="17">
        <v>2.5</v>
      </c>
      <c r="Q1168" s="15">
        <v>45137.0</v>
      </c>
      <c r="R1168" s="12" t="s">
        <v>1750</v>
      </c>
      <c r="S1168" s="12" t="s">
        <v>45</v>
      </c>
      <c r="T1168" s="12" t="s">
        <v>75</v>
      </c>
      <c r="U1168" s="17">
        <f t="shared" si="1"/>
        <v>2</v>
      </c>
    </row>
    <row r="1169">
      <c r="A1169" s="12" t="s">
        <v>1751</v>
      </c>
      <c r="B1169" s="12" t="s">
        <v>405</v>
      </c>
      <c r="C1169" s="17">
        <v>36.0</v>
      </c>
      <c r="D1169" s="12" t="s">
        <v>60</v>
      </c>
      <c r="E1169" s="12" t="s">
        <v>97</v>
      </c>
      <c r="F1169" s="12" t="s">
        <v>79</v>
      </c>
      <c r="G1169" s="12" t="s">
        <v>63</v>
      </c>
      <c r="H1169" s="15">
        <v>45083.0</v>
      </c>
      <c r="I1169" s="17">
        <v>21.0</v>
      </c>
      <c r="J1169" s="12" t="s">
        <v>53</v>
      </c>
      <c r="K1169" s="12" t="s">
        <v>65</v>
      </c>
      <c r="L1169" s="17">
        <v>2679.0</v>
      </c>
      <c r="M1169" s="17">
        <v>2.0</v>
      </c>
      <c r="N1169" s="17">
        <v>0.0</v>
      </c>
      <c r="O1169" s="17">
        <v>34.6</v>
      </c>
      <c r="P1169" s="17">
        <v>4.3</v>
      </c>
      <c r="Q1169" s="15">
        <v>45115.0</v>
      </c>
      <c r="R1169" s="12"/>
      <c r="S1169" s="12" t="s">
        <v>55</v>
      </c>
      <c r="T1169" s="12" t="s">
        <v>47</v>
      </c>
      <c r="U1169" s="17">
        <f t="shared" si="1"/>
        <v>2</v>
      </c>
    </row>
    <row r="1170">
      <c r="A1170" s="12" t="s">
        <v>1753</v>
      </c>
      <c r="B1170" s="12" t="s">
        <v>393</v>
      </c>
      <c r="C1170" s="17">
        <v>23.0</v>
      </c>
      <c r="D1170" s="12" t="s">
        <v>35</v>
      </c>
      <c r="E1170" s="12" t="s">
        <v>36</v>
      </c>
      <c r="F1170" s="12" t="s">
        <v>62</v>
      </c>
      <c r="G1170" s="12" t="s">
        <v>52</v>
      </c>
      <c r="H1170" s="15">
        <v>44626.0</v>
      </c>
      <c r="I1170" s="17">
        <v>0.0</v>
      </c>
      <c r="J1170" s="12" t="s">
        <v>53</v>
      </c>
      <c r="K1170" s="12" t="s">
        <v>81</v>
      </c>
      <c r="L1170" s="17">
        <v>639.0</v>
      </c>
      <c r="M1170" s="17">
        <v>4.0</v>
      </c>
      <c r="N1170" s="17">
        <v>1.0</v>
      </c>
      <c r="O1170" s="17">
        <v>5.0</v>
      </c>
      <c r="P1170" s="17">
        <v>3.1</v>
      </c>
      <c r="Q1170" s="15">
        <v>44926.0</v>
      </c>
      <c r="R1170" s="12"/>
      <c r="S1170" s="12" t="s">
        <v>55</v>
      </c>
      <c r="T1170" s="12" t="s">
        <v>75</v>
      </c>
      <c r="U1170" s="17">
        <f t="shared" si="1"/>
        <v>1</v>
      </c>
    </row>
    <row r="1171">
      <c r="A1171" s="12" t="s">
        <v>1754</v>
      </c>
      <c r="B1171" s="12" t="s">
        <v>118</v>
      </c>
      <c r="C1171" s="17">
        <v>54.0</v>
      </c>
      <c r="D1171" s="12" t="s">
        <v>35</v>
      </c>
      <c r="E1171" s="12" t="s">
        <v>51</v>
      </c>
      <c r="F1171" s="12" t="s">
        <v>37</v>
      </c>
      <c r="G1171" s="12" t="s">
        <v>80</v>
      </c>
      <c r="H1171" s="15">
        <v>45664.0</v>
      </c>
      <c r="I1171" s="17">
        <v>37.0</v>
      </c>
      <c r="J1171" s="12" t="s">
        <v>40</v>
      </c>
      <c r="K1171" s="12" t="s">
        <v>42</v>
      </c>
      <c r="L1171" s="17">
        <v>1041.0</v>
      </c>
      <c r="M1171" s="17">
        <v>2.0</v>
      </c>
      <c r="N1171" s="17">
        <v>0.0</v>
      </c>
      <c r="O1171" s="17">
        <v>20.4</v>
      </c>
      <c r="P1171" s="17">
        <v>2.9</v>
      </c>
      <c r="Q1171" s="15">
        <v>46782.0</v>
      </c>
      <c r="R1171" s="12" t="s">
        <v>1755</v>
      </c>
      <c r="S1171" s="12" t="s">
        <v>45</v>
      </c>
      <c r="T1171" s="12" t="s">
        <v>72</v>
      </c>
      <c r="U1171" s="17">
        <f t="shared" si="1"/>
        <v>2</v>
      </c>
    </row>
    <row r="1172">
      <c r="A1172" s="12" t="s">
        <v>1629</v>
      </c>
      <c r="B1172" s="12" t="s">
        <v>222</v>
      </c>
      <c r="C1172" s="17">
        <v>53.0</v>
      </c>
      <c r="D1172" s="12" t="s">
        <v>85</v>
      </c>
      <c r="E1172" s="12" t="s">
        <v>92</v>
      </c>
      <c r="F1172" s="12" t="s">
        <v>62</v>
      </c>
      <c r="G1172" s="12" t="s">
        <v>93</v>
      </c>
      <c r="H1172" s="15">
        <v>44776.0</v>
      </c>
      <c r="I1172" s="17">
        <v>15.0</v>
      </c>
      <c r="J1172" s="12" t="s">
        <v>53</v>
      </c>
      <c r="K1172" s="12" t="s">
        <v>81</v>
      </c>
      <c r="L1172" s="17">
        <v>817.0</v>
      </c>
      <c r="M1172" s="17">
        <v>1.0</v>
      </c>
      <c r="N1172" s="17">
        <v>0.0</v>
      </c>
      <c r="O1172" s="17">
        <v>10.7</v>
      </c>
      <c r="P1172" s="17">
        <v>4.3</v>
      </c>
      <c r="Q1172" s="15">
        <v>44987.0</v>
      </c>
      <c r="R1172" s="12" t="s">
        <v>1757</v>
      </c>
      <c r="S1172" s="12" t="s">
        <v>45</v>
      </c>
      <c r="T1172" s="12" t="s">
        <v>66</v>
      </c>
      <c r="U1172" s="17">
        <f t="shared" si="1"/>
        <v>3</v>
      </c>
    </row>
    <row r="1173">
      <c r="A1173" s="12" t="s">
        <v>1082</v>
      </c>
      <c r="B1173" s="12" t="s">
        <v>224</v>
      </c>
      <c r="C1173" s="17">
        <v>39.0</v>
      </c>
      <c r="D1173" s="12" t="s">
        <v>69</v>
      </c>
      <c r="E1173" s="12" t="s">
        <v>119</v>
      </c>
      <c r="F1173" s="12" t="s">
        <v>37</v>
      </c>
      <c r="G1173" s="12" t="s">
        <v>80</v>
      </c>
      <c r="H1173" s="15">
        <v>45463.0</v>
      </c>
      <c r="I1173" s="17">
        <v>20.0</v>
      </c>
      <c r="J1173" s="12" t="s">
        <v>64</v>
      </c>
      <c r="K1173" s="12" t="s">
        <v>42</v>
      </c>
      <c r="L1173" s="17">
        <v>1579.0</v>
      </c>
      <c r="M1173" s="17">
        <v>2.0</v>
      </c>
      <c r="N1173" s="17">
        <v>0.0</v>
      </c>
      <c r="O1173" s="17">
        <v>13.4</v>
      </c>
      <c r="P1173" s="17">
        <v>4.8</v>
      </c>
      <c r="Q1173" s="15">
        <v>45565.0</v>
      </c>
      <c r="R1173" s="12" t="s">
        <v>1759</v>
      </c>
      <c r="S1173" s="12" t="s">
        <v>45</v>
      </c>
      <c r="T1173" s="12" t="s">
        <v>104</v>
      </c>
      <c r="U1173" s="17">
        <f t="shared" si="1"/>
        <v>3</v>
      </c>
    </row>
    <row r="1174">
      <c r="A1174" s="12" t="s">
        <v>1760</v>
      </c>
      <c r="B1174" s="12" t="s">
        <v>325</v>
      </c>
      <c r="C1174" s="17">
        <v>49.0</v>
      </c>
      <c r="D1174" s="12" t="s">
        <v>69</v>
      </c>
      <c r="E1174" s="12" t="s">
        <v>187</v>
      </c>
      <c r="F1174" s="12" t="s">
        <v>62</v>
      </c>
      <c r="G1174" s="12" t="s">
        <v>52</v>
      </c>
      <c r="H1174" s="15">
        <v>45540.0</v>
      </c>
      <c r="I1174" s="17">
        <v>24.0</v>
      </c>
      <c r="J1174" s="12" t="s">
        <v>40</v>
      </c>
      <c r="K1174" s="12" t="s">
        <v>65</v>
      </c>
      <c r="L1174" s="17">
        <v>694.0</v>
      </c>
      <c r="M1174" s="17">
        <v>1.0</v>
      </c>
      <c r="N1174" s="17">
        <v>1.0</v>
      </c>
      <c r="O1174" s="17">
        <v>16.6</v>
      </c>
      <c r="P1174" s="17">
        <v>4.6</v>
      </c>
      <c r="Q1174" s="15">
        <v>45909.0</v>
      </c>
      <c r="R1174" s="12"/>
      <c r="S1174" s="12" t="s">
        <v>55</v>
      </c>
      <c r="T1174" s="12" t="s">
        <v>104</v>
      </c>
      <c r="U1174" s="17">
        <f t="shared" si="1"/>
        <v>1</v>
      </c>
    </row>
    <row r="1175">
      <c r="A1175" s="12" t="s">
        <v>294</v>
      </c>
      <c r="B1175" s="12" t="s">
        <v>281</v>
      </c>
      <c r="C1175" s="17">
        <v>57.0</v>
      </c>
      <c r="D1175" s="12" t="s">
        <v>85</v>
      </c>
      <c r="E1175" s="12" t="s">
        <v>111</v>
      </c>
      <c r="F1175" s="12" t="s">
        <v>62</v>
      </c>
      <c r="G1175" s="12" t="s">
        <v>39</v>
      </c>
      <c r="H1175" s="15">
        <v>45403.0</v>
      </c>
      <c r="I1175" s="17">
        <v>46.0</v>
      </c>
      <c r="J1175" s="12" t="s">
        <v>40</v>
      </c>
      <c r="K1175" s="12" t="s">
        <v>65</v>
      </c>
      <c r="L1175" s="17">
        <v>550.0</v>
      </c>
      <c r="M1175" s="17">
        <v>1.0</v>
      </c>
      <c r="N1175" s="17">
        <v>2.0</v>
      </c>
      <c r="O1175" s="17">
        <v>32.1</v>
      </c>
      <c r="P1175" s="17">
        <v>4.2</v>
      </c>
      <c r="Q1175" s="15">
        <v>45945.0</v>
      </c>
      <c r="R1175" s="12"/>
      <c r="S1175" s="12" t="s">
        <v>55</v>
      </c>
      <c r="T1175" s="12" t="s">
        <v>75</v>
      </c>
      <c r="U1175" s="17">
        <f t="shared" si="1"/>
        <v>3</v>
      </c>
    </row>
    <row r="1176">
      <c r="A1176" s="12" t="s">
        <v>1762</v>
      </c>
      <c r="B1176" s="12" t="s">
        <v>96</v>
      </c>
      <c r="C1176" s="17">
        <v>37.0</v>
      </c>
      <c r="D1176" s="12" t="s">
        <v>35</v>
      </c>
      <c r="E1176" s="12" t="s">
        <v>36</v>
      </c>
      <c r="F1176" s="12" t="s">
        <v>37</v>
      </c>
      <c r="G1176" s="12" t="s">
        <v>52</v>
      </c>
      <c r="H1176" s="15">
        <v>45734.0</v>
      </c>
      <c r="I1176" s="17">
        <v>20.0</v>
      </c>
      <c r="J1176" s="12" t="s">
        <v>53</v>
      </c>
      <c r="K1176" s="12" t="s">
        <v>65</v>
      </c>
      <c r="L1176" s="17">
        <v>1542.0</v>
      </c>
      <c r="M1176" s="17">
        <v>0.0</v>
      </c>
      <c r="N1176" s="17">
        <v>0.0</v>
      </c>
      <c r="O1176" s="17">
        <v>16.0</v>
      </c>
      <c r="P1176" s="17">
        <v>3.7</v>
      </c>
      <c r="Q1176" s="15">
        <v>46367.0</v>
      </c>
      <c r="R1176" s="12" t="s">
        <v>1443</v>
      </c>
      <c r="S1176" s="12" t="s">
        <v>45</v>
      </c>
      <c r="T1176" s="12" t="s">
        <v>72</v>
      </c>
      <c r="U1176" s="17">
        <f t="shared" si="1"/>
        <v>1</v>
      </c>
    </row>
    <row r="1177">
      <c r="A1177" s="12" t="s">
        <v>521</v>
      </c>
      <c r="B1177" s="12" t="s">
        <v>229</v>
      </c>
      <c r="C1177" s="17">
        <v>67.0</v>
      </c>
      <c r="D1177" s="12" t="s">
        <v>85</v>
      </c>
      <c r="E1177" s="12" t="s">
        <v>87</v>
      </c>
      <c r="F1177" s="12" t="s">
        <v>37</v>
      </c>
      <c r="G1177" s="12" t="s">
        <v>63</v>
      </c>
      <c r="H1177" s="15">
        <v>45231.0</v>
      </c>
      <c r="I1177" s="17">
        <v>28.0</v>
      </c>
      <c r="J1177" s="12" t="s">
        <v>53</v>
      </c>
      <c r="K1177" s="12" t="s">
        <v>65</v>
      </c>
      <c r="L1177" s="17">
        <v>1317.0</v>
      </c>
      <c r="M1177" s="17">
        <v>1.0</v>
      </c>
      <c r="N1177" s="17">
        <v>0.0</v>
      </c>
      <c r="O1177" s="17">
        <v>31.5</v>
      </c>
      <c r="P1177" s="17">
        <v>3.0</v>
      </c>
      <c r="Q1177" s="15">
        <v>45674.0</v>
      </c>
      <c r="R1177" s="12"/>
      <c r="S1177" s="12" t="s">
        <v>55</v>
      </c>
      <c r="T1177" s="12" t="s">
        <v>66</v>
      </c>
      <c r="U1177" s="17">
        <f t="shared" si="1"/>
        <v>4</v>
      </c>
    </row>
    <row r="1178">
      <c r="A1178" s="12" t="s">
        <v>1708</v>
      </c>
      <c r="B1178" s="12" t="s">
        <v>224</v>
      </c>
      <c r="C1178" s="17">
        <v>44.0</v>
      </c>
      <c r="D1178" s="12" t="s">
        <v>85</v>
      </c>
      <c r="E1178" s="12" t="s">
        <v>92</v>
      </c>
      <c r="F1178" s="12" t="s">
        <v>37</v>
      </c>
      <c r="G1178" s="12" t="s">
        <v>39</v>
      </c>
      <c r="H1178" s="15">
        <v>44955.0</v>
      </c>
      <c r="I1178" s="17">
        <v>33.0</v>
      </c>
      <c r="J1178" s="12" t="s">
        <v>53</v>
      </c>
      <c r="K1178" s="12" t="s">
        <v>42</v>
      </c>
      <c r="L1178" s="17">
        <v>1434.0</v>
      </c>
      <c r="M1178" s="17">
        <v>2.0</v>
      </c>
      <c r="N1178" s="17">
        <v>0.0</v>
      </c>
      <c r="O1178" s="17">
        <v>24.1</v>
      </c>
      <c r="P1178" s="17">
        <v>4.1</v>
      </c>
      <c r="Q1178" s="15">
        <v>45213.0</v>
      </c>
      <c r="R1178" s="12" t="s">
        <v>432</v>
      </c>
      <c r="S1178" s="12" t="s">
        <v>45</v>
      </c>
      <c r="T1178" s="12" t="s">
        <v>47</v>
      </c>
      <c r="U1178" s="17">
        <f t="shared" si="1"/>
        <v>3</v>
      </c>
    </row>
    <row r="1179">
      <c r="A1179" s="12" t="s">
        <v>1203</v>
      </c>
      <c r="B1179" s="12" t="s">
        <v>132</v>
      </c>
      <c r="C1179" s="12"/>
      <c r="D1179" s="12" t="s">
        <v>85</v>
      </c>
      <c r="E1179" s="12" t="s">
        <v>92</v>
      </c>
      <c r="F1179" s="12" t="s">
        <v>37</v>
      </c>
      <c r="G1179" s="12" t="s">
        <v>63</v>
      </c>
      <c r="H1179" s="15">
        <v>44784.0</v>
      </c>
      <c r="I1179" s="17">
        <v>26.0</v>
      </c>
      <c r="J1179" s="12" t="s">
        <v>64</v>
      </c>
      <c r="K1179" s="12" t="s">
        <v>454</v>
      </c>
      <c r="L1179" s="17">
        <v>1621.0</v>
      </c>
      <c r="M1179" s="17">
        <v>1.0</v>
      </c>
      <c r="N1179" s="17">
        <v>1.0</v>
      </c>
      <c r="O1179" s="17">
        <v>27.4</v>
      </c>
      <c r="P1179" s="17">
        <v>3.6</v>
      </c>
      <c r="Q1179" s="15">
        <v>45028.0</v>
      </c>
      <c r="R1179" s="12"/>
      <c r="S1179" s="12" t="s">
        <v>55</v>
      </c>
      <c r="T1179" s="12" t="s">
        <v>47</v>
      </c>
      <c r="U1179" s="17">
        <f t="shared" si="1"/>
        <v>2</v>
      </c>
    </row>
    <row r="1180">
      <c r="A1180" s="12" t="s">
        <v>1254</v>
      </c>
      <c r="B1180" s="12" t="s">
        <v>206</v>
      </c>
      <c r="C1180" s="12" t="s">
        <v>1763</v>
      </c>
      <c r="D1180" s="12" t="s">
        <v>35</v>
      </c>
      <c r="E1180" s="12" t="s">
        <v>51</v>
      </c>
      <c r="F1180" s="12" t="s">
        <v>62</v>
      </c>
      <c r="G1180" s="12" t="s">
        <v>39</v>
      </c>
      <c r="H1180" s="15">
        <v>45487.0</v>
      </c>
      <c r="I1180" s="17">
        <v>28.0</v>
      </c>
      <c r="J1180" s="12" t="s">
        <v>429</v>
      </c>
      <c r="K1180" s="12" t="s">
        <v>81</v>
      </c>
      <c r="L1180" s="17">
        <v>743.0</v>
      </c>
      <c r="M1180" s="17">
        <v>4.0</v>
      </c>
      <c r="N1180" s="17">
        <v>2.0</v>
      </c>
      <c r="O1180" s="17">
        <v>18.1</v>
      </c>
      <c r="P1180" s="17">
        <v>3.4</v>
      </c>
      <c r="Q1180" s="15">
        <v>45982.0</v>
      </c>
      <c r="R1180" s="12" t="s">
        <v>1764</v>
      </c>
      <c r="S1180" s="12" t="s">
        <v>45</v>
      </c>
      <c r="T1180" s="12" t="s">
        <v>104</v>
      </c>
      <c r="U1180" s="17">
        <f t="shared" si="1"/>
        <v>4</v>
      </c>
    </row>
    <row r="1181">
      <c r="A1181" s="12" t="s">
        <v>1765</v>
      </c>
      <c r="B1181" s="12" t="s">
        <v>308</v>
      </c>
      <c r="C1181" s="17">
        <v>19.0</v>
      </c>
      <c r="D1181" s="12" t="s">
        <v>35</v>
      </c>
      <c r="E1181" s="12" t="s">
        <v>36</v>
      </c>
      <c r="F1181" s="12" t="s">
        <v>62</v>
      </c>
      <c r="G1181" s="12" t="s">
        <v>210</v>
      </c>
      <c r="H1181" s="15">
        <v>44766.0</v>
      </c>
      <c r="I1181" s="17">
        <v>6.0</v>
      </c>
      <c r="J1181" s="12" t="s">
        <v>64</v>
      </c>
      <c r="K1181" s="12" t="s">
        <v>42</v>
      </c>
      <c r="L1181" s="17">
        <v>756.0</v>
      </c>
      <c r="M1181" s="17">
        <v>3.0</v>
      </c>
      <c r="N1181" s="17">
        <v>2.0</v>
      </c>
      <c r="O1181" s="17">
        <v>11.7</v>
      </c>
      <c r="P1181" s="17">
        <v>2.9</v>
      </c>
      <c r="Q1181" s="15">
        <v>44908.0</v>
      </c>
      <c r="R1181" s="12"/>
      <c r="S1181" s="12" t="s">
        <v>55</v>
      </c>
      <c r="T1181" s="12" t="s">
        <v>104</v>
      </c>
      <c r="U1181" s="17">
        <f t="shared" si="1"/>
        <v>1</v>
      </c>
    </row>
    <row r="1182">
      <c r="A1182" s="12" t="s">
        <v>1766</v>
      </c>
      <c r="B1182" s="12" t="s">
        <v>331</v>
      </c>
      <c r="C1182" s="17">
        <v>47.0</v>
      </c>
      <c r="D1182" s="12" t="s">
        <v>85</v>
      </c>
      <c r="E1182" s="12" t="s">
        <v>87</v>
      </c>
      <c r="F1182" s="12" t="s">
        <v>37</v>
      </c>
      <c r="G1182" s="12" t="s">
        <v>80</v>
      </c>
      <c r="H1182" s="15">
        <v>44823.0</v>
      </c>
      <c r="I1182" s="17">
        <v>13.0</v>
      </c>
      <c r="J1182" s="12" t="s">
        <v>40</v>
      </c>
      <c r="K1182" s="12" t="s">
        <v>81</v>
      </c>
      <c r="L1182" s="17">
        <v>1590.0</v>
      </c>
      <c r="M1182" s="17">
        <v>5.0</v>
      </c>
      <c r="N1182" s="17">
        <v>0.0</v>
      </c>
      <c r="O1182" s="17">
        <v>21.4</v>
      </c>
      <c r="P1182" s="17">
        <v>5.0</v>
      </c>
      <c r="Q1182" s="15">
        <v>45016.0</v>
      </c>
      <c r="R1182" s="12" t="s">
        <v>1767</v>
      </c>
      <c r="S1182" s="12" t="s">
        <v>45</v>
      </c>
      <c r="T1182" s="12" t="s">
        <v>75</v>
      </c>
      <c r="U1182" s="17">
        <f t="shared" si="1"/>
        <v>1</v>
      </c>
    </row>
    <row r="1183">
      <c r="A1183" s="12" t="s">
        <v>82</v>
      </c>
      <c r="B1183" s="12" t="s">
        <v>312</v>
      </c>
      <c r="C1183" s="17">
        <v>46.0</v>
      </c>
      <c r="D1183" s="12" t="s">
        <v>69</v>
      </c>
      <c r="E1183" s="12" t="s">
        <v>119</v>
      </c>
      <c r="F1183" s="12" t="s">
        <v>62</v>
      </c>
      <c r="G1183" s="12" t="s">
        <v>52</v>
      </c>
      <c r="H1183" s="15">
        <v>44789.0</v>
      </c>
      <c r="I1183" s="17">
        <v>11.0</v>
      </c>
      <c r="J1183" s="12" t="s">
        <v>53</v>
      </c>
      <c r="K1183" s="12" t="s">
        <v>81</v>
      </c>
      <c r="L1183" s="17">
        <v>769.0</v>
      </c>
      <c r="M1183" s="17">
        <v>3.0</v>
      </c>
      <c r="N1183" s="17">
        <v>0.0</v>
      </c>
      <c r="O1183" s="17">
        <v>11.7</v>
      </c>
      <c r="P1183" s="17">
        <v>4.3</v>
      </c>
      <c r="Q1183" s="15">
        <v>45044.0</v>
      </c>
      <c r="R1183" s="12"/>
      <c r="S1183" s="12" t="s">
        <v>55</v>
      </c>
      <c r="T1183" s="12" t="s">
        <v>66</v>
      </c>
      <c r="U1183" s="17">
        <f t="shared" si="1"/>
        <v>2</v>
      </c>
    </row>
    <row r="1184">
      <c r="A1184" s="12" t="s">
        <v>1191</v>
      </c>
      <c r="B1184" s="12" t="s">
        <v>288</v>
      </c>
      <c r="C1184" s="17">
        <v>61.0</v>
      </c>
      <c r="D1184" s="12" t="s">
        <v>85</v>
      </c>
      <c r="E1184" s="12" t="s">
        <v>292</v>
      </c>
      <c r="F1184" s="12" t="s">
        <v>37</v>
      </c>
      <c r="G1184" s="12" t="s">
        <v>210</v>
      </c>
      <c r="H1184" s="15">
        <v>45863.0</v>
      </c>
      <c r="I1184" s="17">
        <v>11.0</v>
      </c>
      <c r="J1184" s="12" t="s">
        <v>64</v>
      </c>
      <c r="K1184" s="12" t="s">
        <v>81</v>
      </c>
      <c r="L1184" s="17">
        <v>1525.0</v>
      </c>
      <c r="M1184" s="17">
        <v>1.0</v>
      </c>
      <c r="N1184" s="17">
        <v>0.0</v>
      </c>
      <c r="O1184" s="17">
        <v>17.2</v>
      </c>
      <c r="P1184" s="17">
        <v>2.9</v>
      </c>
      <c r="Q1184" s="15">
        <v>46031.0</v>
      </c>
      <c r="R1184" s="12"/>
      <c r="S1184" s="12" t="s">
        <v>55</v>
      </c>
      <c r="T1184" s="12" t="s">
        <v>47</v>
      </c>
      <c r="U1184" s="17">
        <f t="shared" si="1"/>
        <v>3</v>
      </c>
    </row>
    <row r="1185">
      <c r="A1185" s="12" t="s">
        <v>1139</v>
      </c>
      <c r="B1185" s="12" t="s">
        <v>169</v>
      </c>
      <c r="C1185" s="17">
        <v>40.0</v>
      </c>
      <c r="D1185" s="12" t="s">
        <v>306</v>
      </c>
      <c r="E1185" s="12" t="s">
        <v>107</v>
      </c>
      <c r="F1185" s="12" t="s">
        <v>62</v>
      </c>
      <c r="G1185" s="12" t="s">
        <v>93</v>
      </c>
      <c r="H1185" s="15">
        <v>45111.0</v>
      </c>
      <c r="I1185" s="17">
        <v>4.0</v>
      </c>
      <c r="J1185" s="12" t="s">
        <v>64</v>
      </c>
      <c r="K1185" s="12" t="s">
        <v>42</v>
      </c>
      <c r="L1185" s="17">
        <v>718.0</v>
      </c>
      <c r="M1185" s="17">
        <v>2.0</v>
      </c>
      <c r="N1185" s="17">
        <v>0.0</v>
      </c>
      <c r="O1185" s="17">
        <v>1.0</v>
      </c>
      <c r="P1185" s="17">
        <v>2.9</v>
      </c>
      <c r="Q1185" s="15">
        <v>45215.0</v>
      </c>
      <c r="R1185" s="12"/>
      <c r="S1185" s="12" t="s">
        <v>55</v>
      </c>
      <c r="T1185" s="12" t="s">
        <v>47</v>
      </c>
      <c r="U1185" s="17">
        <f t="shared" si="1"/>
        <v>2</v>
      </c>
    </row>
    <row r="1186">
      <c r="A1186" s="12" t="s">
        <v>473</v>
      </c>
      <c r="B1186" s="12" t="s">
        <v>110</v>
      </c>
      <c r="C1186" s="17">
        <v>68.0</v>
      </c>
      <c r="D1186" s="12" t="s">
        <v>35</v>
      </c>
      <c r="E1186" s="12" t="s">
        <v>51</v>
      </c>
      <c r="F1186" s="12" t="s">
        <v>79</v>
      </c>
      <c r="G1186" s="12" t="s">
        <v>39</v>
      </c>
      <c r="H1186" s="15">
        <v>45478.0</v>
      </c>
      <c r="I1186" s="17">
        <v>19.0</v>
      </c>
      <c r="J1186" s="12" t="s">
        <v>53</v>
      </c>
      <c r="K1186" s="12" t="s">
        <v>42</v>
      </c>
      <c r="L1186" s="17">
        <v>3507.0</v>
      </c>
      <c r="M1186" s="17">
        <v>2.0</v>
      </c>
      <c r="N1186" s="17">
        <v>1.0</v>
      </c>
      <c r="O1186" s="17">
        <v>51.5</v>
      </c>
      <c r="P1186" s="17">
        <v>5.0</v>
      </c>
      <c r="Q1186" s="15">
        <v>45991.0</v>
      </c>
      <c r="R1186" s="12" t="s">
        <v>1768</v>
      </c>
      <c r="S1186" s="12" t="s">
        <v>45</v>
      </c>
      <c r="T1186" s="12" t="s">
        <v>47</v>
      </c>
      <c r="U1186" s="17">
        <f t="shared" si="1"/>
        <v>4</v>
      </c>
    </row>
    <row r="1187">
      <c r="A1187" s="12" t="s">
        <v>1769</v>
      </c>
      <c r="B1187" s="12" t="s">
        <v>1086</v>
      </c>
      <c r="C1187" s="17">
        <v>64.0</v>
      </c>
      <c r="D1187" s="12" t="s">
        <v>60</v>
      </c>
      <c r="E1187" s="12" t="s">
        <v>97</v>
      </c>
      <c r="F1187" s="12" t="s">
        <v>37</v>
      </c>
      <c r="G1187" s="12" t="s">
        <v>63</v>
      </c>
      <c r="H1187" s="15">
        <v>44954.0</v>
      </c>
      <c r="I1187" s="17">
        <v>36.0</v>
      </c>
      <c r="J1187" s="12" t="s">
        <v>40</v>
      </c>
      <c r="K1187" s="12" t="s">
        <v>81</v>
      </c>
      <c r="L1187" s="17">
        <v>1172.0</v>
      </c>
      <c r="M1187" s="17">
        <v>1.0</v>
      </c>
      <c r="N1187" s="17">
        <v>2.0</v>
      </c>
      <c r="O1187" s="17">
        <v>18.0</v>
      </c>
      <c r="P1187" s="17">
        <v>4.1</v>
      </c>
      <c r="Q1187" s="15">
        <v>45113.0</v>
      </c>
      <c r="R1187" s="12"/>
      <c r="S1187" s="12" t="s">
        <v>55</v>
      </c>
      <c r="T1187" s="12" t="s">
        <v>66</v>
      </c>
      <c r="U1187" s="17">
        <f t="shared" si="1"/>
        <v>1</v>
      </c>
    </row>
    <row r="1188">
      <c r="A1188" s="12" t="s">
        <v>121</v>
      </c>
      <c r="B1188" s="12" t="s">
        <v>172</v>
      </c>
      <c r="C1188" s="17">
        <v>39.0</v>
      </c>
      <c r="D1188" s="12" t="s">
        <v>35</v>
      </c>
      <c r="E1188" s="12" t="s">
        <v>140</v>
      </c>
      <c r="F1188" s="12" t="s">
        <v>79</v>
      </c>
      <c r="G1188" s="12" t="s">
        <v>93</v>
      </c>
      <c r="H1188" s="15">
        <v>44647.0</v>
      </c>
      <c r="I1188" s="17">
        <v>17.0</v>
      </c>
      <c r="J1188" s="12" t="s">
        <v>64</v>
      </c>
      <c r="K1188" s="12" t="s">
        <v>81</v>
      </c>
      <c r="L1188" s="17">
        <v>2066.0</v>
      </c>
      <c r="M1188" s="17">
        <v>1.0</v>
      </c>
      <c r="N1188" s="17">
        <v>1.0</v>
      </c>
      <c r="O1188" s="17">
        <v>29.4</v>
      </c>
      <c r="P1188" s="17">
        <v>3.1</v>
      </c>
      <c r="Q1188" s="15">
        <v>45052.0</v>
      </c>
      <c r="R1188" s="12"/>
      <c r="S1188" s="12" t="s">
        <v>55</v>
      </c>
      <c r="T1188" s="12" t="s">
        <v>66</v>
      </c>
      <c r="U1188" s="17">
        <f t="shared" si="1"/>
        <v>2</v>
      </c>
    </row>
    <row r="1189">
      <c r="A1189" s="12" t="s">
        <v>1003</v>
      </c>
      <c r="B1189" s="12" t="s">
        <v>247</v>
      </c>
      <c r="C1189" s="17">
        <v>64.0</v>
      </c>
      <c r="D1189" s="12" t="s">
        <v>60</v>
      </c>
      <c r="E1189" s="12" t="s">
        <v>97</v>
      </c>
      <c r="F1189" s="12" t="s">
        <v>62</v>
      </c>
      <c r="G1189" s="12" t="s">
        <v>39</v>
      </c>
      <c r="H1189" s="15">
        <v>45187.0</v>
      </c>
      <c r="I1189" s="17">
        <v>1.0</v>
      </c>
      <c r="J1189" s="12" t="s">
        <v>53</v>
      </c>
      <c r="K1189" s="12" t="s">
        <v>65</v>
      </c>
      <c r="L1189" s="17">
        <v>857.0</v>
      </c>
      <c r="M1189" s="17">
        <v>0.0</v>
      </c>
      <c r="N1189" s="17">
        <v>1.0</v>
      </c>
      <c r="O1189" s="17">
        <v>22.6</v>
      </c>
      <c r="P1189" s="17">
        <v>4.2</v>
      </c>
      <c r="Q1189" s="15">
        <v>45203.0</v>
      </c>
      <c r="R1189" s="12"/>
      <c r="S1189" s="12" t="s">
        <v>55</v>
      </c>
      <c r="T1189" s="12" t="s">
        <v>75</v>
      </c>
      <c r="U1189" s="17">
        <f t="shared" si="1"/>
        <v>3</v>
      </c>
    </row>
    <row r="1190">
      <c r="A1190" s="12" t="s">
        <v>1770</v>
      </c>
      <c r="B1190" s="12" t="s">
        <v>308</v>
      </c>
      <c r="C1190" s="17">
        <v>53.0</v>
      </c>
      <c r="D1190" s="12" t="s">
        <v>60</v>
      </c>
      <c r="E1190" s="12" t="s">
        <v>61</v>
      </c>
      <c r="F1190" s="12" t="s">
        <v>37</v>
      </c>
      <c r="G1190" s="12" t="s">
        <v>210</v>
      </c>
      <c r="H1190" s="15">
        <v>44914.0</v>
      </c>
      <c r="I1190" s="17">
        <v>18.0</v>
      </c>
      <c r="J1190" s="12" t="s">
        <v>40</v>
      </c>
      <c r="K1190" s="12" t="s">
        <v>81</v>
      </c>
      <c r="L1190" s="17">
        <v>1367.0</v>
      </c>
      <c r="M1190" s="17">
        <v>3.0</v>
      </c>
      <c r="N1190" s="17">
        <v>1.0</v>
      </c>
      <c r="O1190" s="17">
        <v>21.1</v>
      </c>
      <c r="P1190" s="17">
        <v>2.9</v>
      </c>
      <c r="Q1190" s="15">
        <v>45192.0</v>
      </c>
      <c r="R1190" s="12"/>
      <c r="S1190" s="12" t="s">
        <v>55</v>
      </c>
      <c r="T1190" s="12" t="s">
        <v>72</v>
      </c>
      <c r="U1190" s="17">
        <f t="shared" si="1"/>
        <v>1</v>
      </c>
    </row>
    <row r="1191">
      <c r="A1191" s="12" t="s">
        <v>1771</v>
      </c>
      <c r="B1191" s="12" t="s">
        <v>312</v>
      </c>
      <c r="C1191" s="17">
        <v>60.0</v>
      </c>
      <c r="D1191" s="12" t="s">
        <v>35</v>
      </c>
      <c r="E1191" s="12" t="s">
        <v>140</v>
      </c>
      <c r="F1191" s="12" t="s">
        <v>37</v>
      </c>
      <c r="G1191" s="12" t="s">
        <v>39</v>
      </c>
      <c r="H1191" s="15">
        <v>45484.0</v>
      </c>
      <c r="I1191" s="17">
        <v>46.0</v>
      </c>
      <c r="J1191" s="12" t="s">
        <v>64</v>
      </c>
      <c r="K1191" s="12" t="s">
        <v>42</v>
      </c>
      <c r="L1191" s="17">
        <v>1014.0</v>
      </c>
      <c r="M1191" s="17">
        <v>1.0</v>
      </c>
      <c r="N1191" s="17">
        <v>0.0</v>
      </c>
      <c r="O1191" s="17">
        <v>22.5</v>
      </c>
      <c r="P1191" s="17">
        <v>9.0</v>
      </c>
      <c r="Q1191" s="15">
        <v>46827.0</v>
      </c>
      <c r="R1191" s="12" t="s">
        <v>1772</v>
      </c>
      <c r="S1191" s="12" t="s">
        <v>45</v>
      </c>
      <c r="T1191" s="12" t="s">
        <v>47</v>
      </c>
      <c r="U1191" s="17">
        <f t="shared" si="1"/>
        <v>1</v>
      </c>
    </row>
    <row r="1192">
      <c r="A1192" s="12" t="s">
        <v>1773</v>
      </c>
      <c r="B1192" s="12" t="s">
        <v>96</v>
      </c>
      <c r="C1192" s="17">
        <v>38.0</v>
      </c>
      <c r="D1192" s="12" t="s">
        <v>445</v>
      </c>
      <c r="E1192" s="12" t="s">
        <v>92</v>
      </c>
      <c r="F1192" s="12" t="s">
        <v>79</v>
      </c>
      <c r="G1192" s="12" t="s">
        <v>52</v>
      </c>
      <c r="H1192" s="15">
        <v>45352.0</v>
      </c>
      <c r="I1192" s="17">
        <v>40.0</v>
      </c>
      <c r="J1192" s="12" t="s">
        <v>53</v>
      </c>
      <c r="K1192" s="12" t="s">
        <v>65</v>
      </c>
      <c r="L1192" s="12" t="s">
        <v>1774</v>
      </c>
      <c r="M1192" s="17">
        <v>3.0</v>
      </c>
      <c r="N1192" s="17">
        <v>2.0</v>
      </c>
      <c r="O1192" s="17">
        <v>44.4</v>
      </c>
      <c r="P1192" s="17">
        <v>5.0</v>
      </c>
      <c r="Q1192" s="15">
        <v>46415.0</v>
      </c>
      <c r="R1192" s="12"/>
      <c r="S1192" s="12" t="s">
        <v>55</v>
      </c>
      <c r="T1192" s="12" t="s">
        <v>66</v>
      </c>
      <c r="U1192" s="17">
        <f t="shared" si="1"/>
        <v>1</v>
      </c>
    </row>
    <row r="1193">
      <c r="A1193" s="12" t="s">
        <v>1775</v>
      </c>
      <c r="B1193" s="12" t="s">
        <v>34</v>
      </c>
      <c r="C1193" s="17">
        <v>64.0</v>
      </c>
      <c r="D1193" s="12" t="s">
        <v>69</v>
      </c>
      <c r="E1193" s="12" t="s">
        <v>119</v>
      </c>
      <c r="F1193" s="12" t="s">
        <v>62</v>
      </c>
      <c r="G1193" s="12" t="s">
        <v>93</v>
      </c>
      <c r="H1193" s="15">
        <v>45482.0</v>
      </c>
      <c r="I1193" s="17">
        <v>44.0</v>
      </c>
      <c r="J1193" s="12" t="s">
        <v>53</v>
      </c>
      <c r="K1193" s="12" t="s">
        <v>42</v>
      </c>
      <c r="L1193" s="17">
        <v>691.0</v>
      </c>
      <c r="M1193" s="17">
        <v>2.0</v>
      </c>
      <c r="N1193" s="17">
        <v>1.0</v>
      </c>
      <c r="O1193" s="17">
        <v>21.5</v>
      </c>
      <c r="P1193" s="17">
        <v>3.1</v>
      </c>
      <c r="Q1193" s="15">
        <v>45675.0</v>
      </c>
      <c r="R1193" s="12"/>
      <c r="S1193" s="12" t="s">
        <v>55</v>
      </c>
      <c r="T1193" s="12" t="s">
        <v>72</v>
      </c>
      <c r="U1193" s="17">
        <f t="shared" si="1"/>
        <v>1</v>
      </c>
    </row>
    <row r="1194">
      <c r="A1194" s="12" t="s">
        <v>677</v>
      </c>
      <c r="B1194" s="12" t="s">
        <v>645</v>
      </c>
      <c r="C1194" s="17">
        <v>20.0</v>
      </c>
      <c r="D1194" s="12" t="s">
        <v>69</v>
      </c>
      <c r="E1194" s="12" t="s">
        <v>187</v>
      </c>
      <c r="F1194" s="12" t="s">
        <v>37</v>
      </c>
      <c r="G1194" s="12" t="s">
        <v>39</v>
      </c>
      <c r="H1194" s="15">
        <v>45629.0</v>
      </c>
      <c r="I1194" s="17">
        <v>16.0</v>
      </c>
      <c r="J1194" s="12" t="s">
        <v>53</v>
      </c>
      <c r="K1194" s="12" t="s">
        <v>42</v>
      </c>
      <c r="L1194" s="17">
        <v>1153.0</v>
      </c>
      <c r="M1194" s="17">
        <v>1.0</v>
      </c>
      <c r="N1194" s="17">
        <v>3.0</v>
      </c>
      <c r="O1194" s="17">
        <v>40.7</v>
      </c>
      <c r="P1194" s="17">
        <v>3.6</v>
      </c>
      <c r="Q1194" s="15">
        <v>45696.0</v>
      </c>
      <c r="R1194" s="12"/>
      <c r="S1194" s="12" t="s">
        <v>55</v>
      </c>
      <c r="T1194" s="12" t="s">
        <v>66</v>
      </c>
      <c r="U1194" s="17">
        <f t="shared" si="1"/>
        <v>5</v>
      </c>
    </row>
    <row r="1195">
      <c r="A1195" s="12" t="s">
        <v>1090</v>
      </c>
      <c r="B1195" s="12" t="s">
        <v>459</v>
      </c>
      <c r="C1195" s="17">
        <v>19.0</v>
      </c>
      <c r="D1195" s="12" t="s">
        <v>69</v>
      </c>
      <c r="E1195" s="12" t="s">
        <v>70</v>
      </c>
      <c r="F1195" s="12" t="s">
        <v>37</v>
      </c>
      <c r="G1195" s="12" t="s">
        <v>80</v>
      </c>
      <c r="H1195" s="15">
        <v>44996.0</v>
      </c>
      <c r="I1195" s="17">
        <v>11.0</v>
      </c>
      <c r="J1195" s="12" t="s">
        <v>40</v>
      </c>
      <c r="K1195" s="12" t="s">
        <v>42</v>
      </c>
      <c r="L1195" s="17">
        <v>1118.0</v>
      </c>
      <c r="M1195" s="17">
        <v>2.0</v>
      </c>
      <c r="N1195" s="17">
        <v>2.0</v>
      </c>
      <c r="O1195" s="17">
        <v>26.0</v>
      </c>
      <c r="P1195" s="17">
        <v>3.4</v>
      </c>
      <c r="Q1195" s="15">
        <v>45100.0</v>
      </c>
      <c r="R1195" s="12"/>
      <c r="S1195" s="12" t="s">
        <v>217</v>
      </c>
      <c r="T1195" s="12" t="s">
        <v>66</v>
      </c>
      <c r="U1195" s="17">
        <f t="shared" si="1"/>
        <v>2</v>
      </c>
    </row>
    <row r="1196">
      <c r="A1196" s="12" t="s">
        <v>940</v>
      </c>
      <c r="B1196" s="12" t="s">
        <v>734</v>
      </c>
      <c r="C1196" s="17">
        <v>26.0</v>
      </c>
      <c r="D1196" s="12" t="s">
        <v>85</v>
      </c>
      <c r="E1196" s="12" t="s">
        <v>87</v>
      </c>
      <c r="F1196" s="12" t="s">
        <v>62</v>
      </c>
      <c r="G1196" s="12" t="s">
        <v>63</v>
      </c>
      <c r="H1196" s="15">
        <v>44623.0</v>
      </c>
      <c r="I1196" s="17">
        <v>33.0</v>
      </c>
      <c r="J1196" s="12" t="s">
        <v>40</v>
      </c>
      <c r="K1196" s="12" t="s">
        <v>81</v>
      </c>
      <c r="L1196" s="17">
        <v>804.0</v>
      </c>
      <c r="M1196" s="17">
        <v>1.0</v>
      </c>
      <c r="N1196" s="17">
        <v>1.0</v>
      </c>
      <c r="O1196" s="17">
        <v>26.1</v>
      </c>
      <c r="P1196" s="17">
        <v>2.0</v>
      </c>
      <c r="Q1196" s="15">
        <v>45204.0</v>
      </c>
      <c r="R1196" s="12" t="s">
        <v>1768</v>
      </c>
      <c r="S1196" s="12" t="s">
        <v>45</v>
      </c>
      <c r="T1196" s="12" t="s">
        <v>104</v>
      </c>
      <c r="U1196" s="17">
        <f t="shared" si="1"/>
        <v>3</v>
      </c>
    </row>
    <row r="1197">
      <c r="A1197" s="12" t="s">
        <v>814</v>
      </c>
      <c r="B1197" s="12" t="s">
        <v>215</v>
      </c>
      <c r="C1197" s="17">
        <v>56.0</v>
      </c>
      <c r="D1197" s="12" t="s">
        <v>69</v>
      </c>
      <c r="E1197" s="12" t="s">
        <v>177</v>
      </c>
      <c r="F1197" s="12" t="s">
        <v>62</v>
      </c>
      <c r="G1197" s="12" t="s">
        <v>1014</v>
      </c>
      <c r="H1197" s="15">
        <v>45153.0</v>
      </c>
      <c r="I1197" s="17">
        <v>4.0</v>
      </c>
      <c r="J1197" s="12" t="s">
        <v>64</v>
      </c>
      <c r="K1197" s="12" t="s">
        <v>42</v>
      </c>
      <c r="L1197" s="17">
        <v>619.0</v>
      </c>
      <c r="M1197" s="17">
        <v>1.0</v>
      </c>
      <c r="N1197" s="17">
        <v>0.0</v>
      </c>
      <c r="O1197" s="17">
        <v>26.1</v>
      </c>
      <c r="P1197" s="17">
        <v>2.5</v>
      </c>
      <c r="Q1197" s="15">
        <v>45244.0</v>
      </c>
      <c r="R1197" s="12" t="s">
        <v>1777</v>
      </c>
      <c r="S1197" s="12" t="s">
        <v>45</v>
      </c>
      <c r="T1197" s="12" t="s">
        <v>75</v>
      </c>
      <c r="U1197" s="17">
        <f t="shared" si="1"/>
        <v>2</v>
      </c>
    </row>
    <row r="1198">
      <c r="A1198" s="12" t="s">
        <v>1778</v>
      </c>
      <c r="B1198" s="12" t="s">
        <v>424</v>
      </c>
      <c r="C1198" s="17">
        <v>48.0</v>
      </c>
      <c r="D1198" s="12" t="s">
        <v>85</v>
      </c>
      <c r="E1198" s="12" t="s">
        <v>111</v>
      </c>
      <c r="F1198" s="12" t="s">
        <v>62</v>
      </c>
      <c r="G1198" s="12" t="s">
        <v>210</v>
      </c>
      <c r="H1198" s="15">
        <v>45398.0</v>
      </c>
      <c r="I1198" s="17">
        <v>38.0</v>
      </c>
      <c r="J1198" s="12" t="s">
        <v>53</v>
      </c>
      <c r="K1198" s="12" t="s">
        <v>42</v>
      </c>
      <c r="L1198" s="17">
        <v>845.0</v>
      </c>
      <c r="M1198" s="17">
        <v>3.0</v>
      </c>
      <c r="N1198" s="17">
        <v>1.0</v>
      </c>
      <c r="O1198" s="17">
        <v>10.0</v>
      </c>
      <c r="P1198" s="17">
        <v>2.1</v>
      </c>
      <c r="Q1198" s="15">
        <v>45415.0</v>
      </c>
      <c r="R1198" s="12"/>
      <c r="S1198" s="12" t="s">
        <v>55</v>
      </c>
      <c r="T1198" s="12" t="s">
        <v>104</v>
      </c>
      <c r="U1198" s="17">
        <f t="shared" si="1"/>
        <v>1</v>
      </c>
    </row>
    <row r="1199">
      <c r="A1199" s="12" t="s">
        <v>1344</v>
      </c>
      <c r="B1199" s="12" t="s">
        <v>393</v>
      </c>
      <c r="C1199" s="17">
        <v>61.0</v>
      </c>
      <c r="D1199" s="12" t="s">
        <v>60</v>
      </c>
      <c r="E1199" s="12" t="s">
        <v>107</v>
      </c>
      <c r="F1199" s="12" t="s">
        <v>79</v>
      </c>
      <c r="G1199" s="12" t="s">
        <v>80</v>
      </c>
      <c r="H1199" s="15">
        <v>45338.0</v>
      </c>
      <c r="I1199" s="17">
        <v>29.0</v>
      </c>
      <c r="J1199" s="12" t="s">
        <v>53</v>
      </c>
      <c r="K1199" s="12" t="s">
        <v>65</v>
      </c>
      <c r="L1199" s="17">
        <v>3848.0</v>
      </c>
      <c r="M1199" s="17">
        <v>2.0</v>
      </c>
      <c r="N1199" s="17">
        <v>3.0</v>
      </c>
      <c r="O1199" s="17">
        <v>46.9</v>
      </c>
      <c r="P1199" s="17">
        <v>3.9</v>
      </c>
      <c r="Q1199" s="15">
        <v>46053.0</v>
      </c>
      <c r="R1199" s="12" t="s">
        <v>1779</v>
      </c>
      <c r="S1199" s="12" t="s">
        <v>45</v>
      </c>
      <c r="T1199" s="12" t="s">
        <v>72</v>
      </c>
      <c r="U1199" s="17">
        <f t="shared" si="1"/>
        <v>3</v>
      </c>
    </row>
    <row r="1200">
      <c r="A1200" s="12" t="s">
        <v>1780</v>
      </c>
      <c r="B1200" s="12" t="s">
        <v>345</v>
      </c>
      <c r="C1200" s="17">
        <v>53.0</v>
      </c>
      <c r="D1200" s="12" t="s">
        <v>35</v>
      </c>
      <c r="E1200" s="12" t="s">
        <v>36</v>
      </c>
      <c r="F1200" s="12" t="s">
        <v>79</v>
      </c>
      <c r="G1200" s="12" t="s">
        <v>120</v>
      </c>
      <c r="H1200" s="15">
        <v>45321.0</v>
      </c>
      <c r="I1200" s="17">
        <v>20.0</v>
      </c>
      <c r="J1200" s="12" t="s">
        <v>53</v>
      </c>
      <c r="K1200" s="12" t="s">
        <v>42</v>
      </c>
      <c r="L1200" s="17">
        <v>3440.0</v>
      </c>
      <c r="M1200" s="17">
        <v>2.0</v>
      </c>
      <c r="N1200" s="17">
        <v>0.0</v>
      </c>
      <c r="O1200" s="17">
        <v>34.2</v>
      </c>
      <c r="P1200" s="17">
        <v>3.7</v>
      </c>
      <c r="Q1200" s="15">
        <v>45561.0</v>
      </c>
      <c r="R1200" s="12" t="s">
        <v>1781</v>
      </c>
      <c r="S1200" s="12" t="s">
        <v>45</v>
      </c>
      <c r="T1200" s="12" t="s">
        <v>75</v>
      </c>
      <c r="U1200" s="17">
        <f t="shared" si="1"/>
        <v>1</v>
      </c>
    </row>
    <row r="1201">
      <c r="A1201" s="12" t="s">
        <v>1782</v>
      </c>
      <c r="B1201" s="12" t="s">
        <v>380</v>
      </c>
      <c r="C1201" s="17">
        <v>54.0</v>
      </c>
      <c r="D1201" s="12" t="s">
        <v>60</v>
      </c>
      <c r="E1201" s="12" t="s">
        <v>133</v>
      </c>
      <c r="F1201" s="12" t="s">
        <v>62</v>
      </c>
      <c r="G1201" s="12" t="s">
        <v>80</v>
      </c>
      <c r="H1201" s="15">
        <v>44592.0</v>
      </c>
      <c r="I1201" s="17">
        <v>24.0</v>
      </c>
      <c r="J1201" s="12" t="s">
        <v>429</v>
      </c>
      <c r="K1201" s="12" t="s">
        <v>65</v>
      </c>
      <c r="L1201" s="17">
        <v>888.0</v>
      </c>
      <c r="M1201" s="17">
        <v>5.0</v>
      </c>
      <c r="N1201" s="12"/>
      <c r="O1201" s="17">
        <v>18.9</v>
      </c>
      <c r="P1201" s="17">
        <v>3.1</v>
      </c>
      <c r="Q1201" s="15">
        <v>45031.0</v>
      </c>
      <c r="R1201" s="12" t="s">
        <v>1784</v>
      </c>
      <c r="S1201" s="12" t="s">
        <v>45</v>
      </c>
      <c r="T1201" s="12" t="s">
        <v>66</v>
      </c>
      <c r="U1201" s="17">
        <f t="shared" si="1"/>
        <v>1</v>
      </c>
    </row>
    <row r="1202">
      <c r="A1202" s="12" t="s">
        <v>1475</v>
      </c>
      <c r="B1202" s="12" t="s">
        <v>110</v>
      </c>
      <c r="C1202" s="17">
        <v>58.0</v>
      </c>
      <c r="D1202" s="12" t="s">
        <v>85</v>
      </c>
      <c r="E1202" s="12" t="s">
        <v>111</v>
      </c>
      <c r="F1202" s="12" t="s">
        <v>62</v>
      </c>
      <c r="G1202" s="12" t="s">
        <v>120</v>
      </c>
      <c r="H1202" s="15">
        <v>44593.0</v>
      </c>
      <c r="I1202" s="17">
        <v>34.0</v>
      </c>
      <c r="J1202" s="12" t="s">
        <v>40</v>
      </c>
      <c r="K1202" s="12" t="s">
        <v>65</v>
      </c>
      <c r="L1202" s="17">
        <v>720.0</v>
      </c>
      <c r="M1202" s="17">
        <v>2.0</v>
      </c>
      <c r="N1202" s="17">
        <v>1.0</v>
      </c>
      <c r="O1202" s="17">
        <v>33.5</v>
      </c>
      <c r="P1202" s="17">
        <v>4.5</v>
      </c>
      <c r="Q1202" s="15">
        <v>44845.0</v>
      </c>
      <c r="R1202" s="12"/>
      <c r="S1202" s="12" t="s">
        <v>55</v>
      </c>
      <c r="T1202" s="12" t="s">
        <v>104</v>
      </c>
      <c r="U1202" s="17">
        <f t="shared" si="1"/>
        <v>2</v>
      </c>
    </row>
    <row r="1203">
      <c r="A1203" s="12" t="s">
        <v>1785</v>
      </c>
      <c r="B1203" s="12" t="s">
        <v>96</v>
      </c>
      <c r="C1203" s="17">
        <v>24.0</v>
      </c>
      <c r="D1203" s="12" t="s">
        <v>85</v>
      </c>
      <c r="E1203" s="12" t="s">
        <v>111</v>
      </c>
      <c r="F1203" s="12" t="s">
        <v>62</v>
      </c>
      <c r="G1203" s="12" t="s">
        <v>93</v>
      </c>
      <c r="H1203" s="15">
        <v>44720.0</v>
      </c>
      <c r="I1203" s="17">
        <v>37.0</v>
      </c>
      <c r="J1203" s="12" t="s">
        <v>53</v>
      </c>
      <c r="K1203" s="12" t="s">
        <v>65</v>
      </c>
      <c r="L1203" s="17">
        <v>692.0</v>
      </c>
      <c r="M1203" s="17">
        <v>1.0</v>
      </c>
      <c r="N1203" s="17">
        <v>1.0</v>
      </c>
      <c r="O1203" s="17">
        <v>15.8</v>
      </c>
      <c r="P1203" s="17">
        <v>3.1</v>
      </c>
      <c r="Q1203" s="15">
        <v>45214.0</v>
      </c>
      <c r="R1203" s="12"/>
      <c r="S1203" s="12" t="s">
        <v>55</v>
      </c>
      <c r="T1203" s="12" t="s">
        <v>72</v>
      </c>
      <c r="U1203" s="17">
        <f t="shared" si="1"/>
        <v>2</v>
      </c>
    </row>
    <row r="1204">
      <c r="A1204" s="12" t="s">
        <v>528</v>
      </c>
      <c r="B1204" s="12" t="s">
        <v>639</v>
      </c>
      <c r="C1204" s="17">
        <v>42.0</v>
      </c>
      <c r="D1204" s="12" t="s">
        <v>69</v>
      </c>
      <c r="E1204" s="12" t="s">
        <v>119</v>
      </c>
      <c r="F1204" s="12" t="s">
        <v>62</v>
      </c>
      <c r="G1204" s="12" t="s">
        <v>63</v>
      </c>
      <c r="H1204" s="15">
        <v>45695.0</v>
      </c>
      <c r="I1204" s="17">
        <v>1.0</v>
      </c>
      <c r="J1204" s="12" t="s">
        <v>53</v>
      </c>
      <c r="K1204" s="12" t="s">
        <v>81</v>
      </c>
      <c r="L1204" s="17">
        <v>791.0</v>
      </c>
      <c r="M1204" s="17">
        <v>4.0</v>
      </c>
      <c r="N1204" s="17">
        <v>0.0</v>
      </c>
      <c r="O1204" s="17">
        <v>17.8</v>
      </c>
      <c r="P1204" s="17">
        <v>3.6</v>
      </c>
      <c r="Q1204" s="15">
        <v>45713.0</v>
      </c>
      <c r="R1204" s="12" t="s">
        <v>1786</v>
      </c>
      <c r="S1204" s="12" t="s">
        <v>45</v>
      </c>
      <c r="T1204" s="12" t="s">
        <v>72</v>
      </c>
      <c r="U1204" s="17">
        <f t="shared" si="1"/>
        <v>6</v>
      </c>
    </row>
    <row r="1205">
      <c r="A1205" s="12" t="s">
        <v>696</v>
      </c>
      <c r="B1205" s="12" t="s">
        <v>325</v>
      </c>
      <c r="C1205" s="17">
        <v>53.0</v>
      </c>
      <c r="D1205" s="12" t="s">
        <v>85</v>
      </c>
      <c r="E1205" s="12" t="s">
        <v>87</v>
      </c>
      <c r="F1205" s="12" t="s">
        <v>37</v>
      </c>
      <c r="G1205" s="12" t="s">
        <v>52</v>
      </c>
      <c r="H1205" s="15">
        <v>44746.0</v>
      </c>
      <c r="I1205" s="17">
        <v>43.0</v>
      </c>
      <c r="J1205" s="12" t="s">
        <v>64</v>
      </c>
      <c r="K1205" s="12" t="s">
        <v>81</v>
      </c>
      <c r="L1205" s="17">
        <v>1302.0</v>
      </c>
      <c r="M1205" s="17">
        <v>2.0</v>
      </c>
      <c r="N1205" s="17">
        <v>0.0</v>
      </c>
      <c r="O1205" s="17">
        <v>34.2</v>
      </c>
      <c r="P1205" s="17">
        <v>3.2</v>
      </c>
      <c r="Q1205" s="15">
        <v>45989.0</v>
      </c>
      <c r="R1205" s="12" t="s">
        <v>1787</v>
      </c>
      <c r="S1205" s="12" t="s">
        <v>45</v>
      </c>
      <c r="T1205" s="12" t="s">
        <v>66</v>
      </c>
      <c r="U1205" s="17">
        <f t="shared" si="1"/>
        <v>2</v>
      </c>
    </row>
    <row r="1206">
      <c r="A1206" s="12" t="s">
        <v>1003</v>
      </c>
      <c r="B1206" s="12" t="s">
        <v>91</v>
      </c>
      <c r="C1206" s="17">
        <v>47.0</v>
      </c>
      <c r="D1206" s="12" t="s">
        <v>60</v>
      </c>
      <c r="E1206" s="12" t="s">
        <v>61</v>
      </c>
      <c r="F1206" s="12" t="s">
        <v>37</v>
      </c>
      <c r="G1206" s="12" t="s">
        <v>80</v>
      </c>
      <c r="H1206" s="15">
        <v>45386.0</v>
      </c>
      <c r="I1206" s="17">
        <v>9.0</v>
      </c>
      <c r="J1206" s="12" t="s">
        <v>40</v>
      </c>
      <c r="K1206" s="12" t="s">
        <v>81</v>
      </c>
      <c r="L1206" s="17">
        <v>1165.0</v>
      </c>
      <c r="M1206" s="17">
        <v>0.0</v>
      </c>
      <c r="N1206" s="17">
        <v>1.0</v>
      </c>
      <c r="O1206" s="17">
        <v>34.3</v>
      </c>
      <c r="P1206" s="17">
        <v>2.1</v>
      </c>
      <c r="Q1206" s="15">
        <v>45640.0</v>
      </c>
      <c r="R1206" s="12"/>
      <c r="S1206" s="12" t="s">
        <v>55</v>
      </c>
      <c r="T1206" s="12" t="s">
        <v>72</v>
      </c>
      <c r="U1206" s="17">
        <f t="shared" si="1"/>
        <v>3</v>
      </c>
    </row>
    <row r="1207">
      <c r="A1207" s="12" t="s">
        <v>1788</v>
      </c>
      <c r="B1207" s="12" t="s">
        <v>1789</v>
      </c>
      <c r="C1207" s="17">
        <v>68.0</v>
      </c>
      <c r="D1207" s="12" t="s">
        <v>60</v>
      </c>
      <c r="E1207" s="12" t="s">
        <v>107</v>
      </c>
      <c r="F1207" s="12" t="s">
        <v>79</v>
      </c>
      <c r="G1207" s="12" t="s">
        <v>63</v>
      </c>
      <c r="H1207" s="15">
        <v>45695.0</v>
      </c>
      <c r="I1207" s="17">
        <v>23.0</v>
      </c>
      <c r="J1207" s="12" t="s">
        <v>64</v>
      </c>
      <c r="K1207" s="12" t="s">
        <v>42</v>
      </c>
      <c r="L1207" s="17">
        <v>3705.0</v>
      </c>
      <c r="M1207" s="17">
        <v>4.0</v>
      </c>
      <c r="N1207" s="17">
        <v>3.0</v>
      </c>
      <c r="O1207" s="17">
        <v>38.4</v>
      </c>
      <c r="P1207" s="17">
        <v>3.8</v>
      </c>
      <c r="Q1207" s="15">
        <v>45751.0</v>
      </c>
      <c r="R1207" s="12"/>
      <c r="S1207" s="12" t="s">
        <v>55</v>
      </c>
      <c r="T1207" s="12" t="s">
        <v>104</v>
      </c>
      <c r="U1207" s="17">
        <f t="shared" si="1"/>
        <v>2</v>
      </c>
    </row>
    <row r="1208">
      <c r="A1208" s="12" t="s">
        <v>332</v>
      </c>
      <c r="B1208" s="12" t="s">
        <v>801</v>
      </c>
      <c r="C1208" s="17">
        <v>64.0</v>
      </c>
      <c r="D1208" s="12" t="s">
        <v>69</v>
      </c>
      <c r="E1208" s="12" t="s">
        <v>187</v>
      </c>
      <c r="F1208" s="12" t="s">
        <v>37</v>
      </c>
      <c r="G1208" s="12" t="s">
        <v>210</v>
      </c>
      <c r="H1208" s="15">
        <v>45579.0</v>
      </c>
      <c r="I1208" s="17">
        <v>1.0</v>
      </c>
      <c r="J1208" s="12" t="s">
        <v>53</v>
      </c>
      <c r="K1208" s="12" t="s">
        <v>65</v>
      </c>
      <c r="L1208" s="17">
        <v>1750.0</v>
      </c>
      <c r="M1208" s="17">
        <v>0.0</v>
      </c>
      <c r="N1208" s="17">
        <v>1.0</v>
      </c>
      <c r="O1208" s="17">
        <v>25.5</v>
      </c>
      <c r="P1208" s="17">
        <v>4.1</v>
      </c>
      <c r="Q1208" s="15">
        <v>45593.0</v>
      </c>
      <c r="R1208" s="12"/>
      <c r="S1208" s="12" t="s">
        <v>55</v>
      </c>
      <c r="T1208" s="12" t="s">
        <v>72</v>
      </c>
      <c r="U1208" s="17">
        <f t="shared" si="1"/>
        <v>4</v>
      </c>
    </row>
    <row r="1209">
      <c r="A1209" s="12" t="s">
        <v>1790</v>
      </c>
      <c r="B1209" s="12" t="s">
        <v>224</v>
      </c>
      <c r="C1209" s="17">
        <v>19.0</v>
      </c>
      <c r="D1209" s="12" t="s">
        <v>85</v>
      </c>
      <c r="E1209" s="12" t="s">
        <v>111</v>
      </c>
      <c r="F1209" s="12" t="s">
        <v>62</v>
      </c>
      <c r="G1209" s="12" t="s">
        <v>39</v>
      </c>
      <c r="H1209" s="15">
        <v>45132.0</v>
      </c>
      <c r="I1209" s="17">
        <v>31.0</v>
      </c>
      <c r="J1209" s="12" t="s">
        <v>40</v>
      </c>
      <c r="K1209" s="12" t="s">
        <v>42</v>
      </c>
      <c r="L1209" s="17">
        <v>756.0</v>
      </c>
      <c r="M1209" s="17">
        <v>2.0</v>
      </c>
      <c r="N1209" s="17">
        <v>2.0</v>
      </c>
      <c r="O1209" s="17">
        <v>16.3</v>
      </c>
      <c r="P1209" s="17">
        <v>4.8</v>
      </c>
      <c r="Q1209" s="15">
        <v>45715.0</v>
      </c>
      <c r="R1209" s="12" t="s">
        <v>1791</v>
      </c>
      <c r="S1209" s="12" t="s">
        <v>45</v>
      </c>
      <c r="T1209" s="12" t="s">
        <v>75</v>
      </c>
      <c r="U1209" s="17">
        <f t="shared" si="1"/>
        <v>1</v>
      </c>
    </row>
    <row r="1210">
      <c r="A1210" s="12" t="s">
        <v>535</v>
      </c>
      <c r="B1210" s="12" t="s">
        <v>167</v>
      </c>
      <c r="C1210" s="17">
        <v>19.0</v>
      </c>
      <c r="D1210" s="12" t="s">
        <v>69</v>
      </c>
      <c r="E1210" s="12" t="s">
        <v>187</v>
      </c>
      <c r="F1210" s="12" t="s">
        <v>37</v>
      </c>
      <c r="G1210" s="12" t="s">
        <v>52</v>
      </c>
      <c r="H1210" s="15">
        <v>45488.0</v>
      </c>
      <c r="I1210" s="17">
        <v>16.0</v>
      </c>
      <c r="J1210" s="12" t="s">
        <v>53</v>
      </c>
      <c r="K1210" s="12" t="s">
        <v>42</v>
      </c>
      <c r="L1210" s="17">
        <v>1073.0</v>
      </c>
      <c r="M1210" s="17">
        <v>1.0</v>
      </c>
      <c r="N1210" s="17">
        <v>2.0</v>
      </c>
      <c r="O1210" s="17">
        <v>41.0</v>
      </c>
      <c r="P1210" s="17">
        <v>5.0</v>
      </c>
      <c r="Q1210" s="15">
        <v>45980.0</v>
      </c>
      <c r="R1210" s="12"/>
      <c r="S1210" s="12" t="s">
        <v>55</v>
      </c>
      <c r="T1210" s="12" t="s">
        <v>104</v>
      </c>
      <c r="U1210" s="17">
        <f t="shared" si="1"/>
        <v>3</v>
      </c>
    </row>
    <row r="1211">
      <c r="A1211" s="12" t="s">
        <v>1792</v>
      </c>
      <c r="B1211" s="12" t="s">
        <v>68</v>
      </c>
      <c r="C1211" s="17">
        <v>46.0</v>
      </c>
      <c r="D1211" s="12" t="s">
        <v>35</v>
      </c>
      <c r="E1211" s="12" t="s">
        <v>36</v>
      </c>
      <c r="F1211" s="12" t="s">
        <v>62</v>
      </c>
      <c r="G1211" s="12" t="s">
        <v>210</v>
      </c>
      <c r="H1211" s="15">
        <v>44564.0</v>
      </c>
      <c r="I1211" s="17">
        <v>40.0</v>
      </c>
      <c r="J1211" s="12" t="s">
        <v>40</v>
      </c>
      <c r="K1211" s="12" t="s">
        <v>81</v>
      </c>
      <c r="L1211" s="17">
        <v>736.0</v>
      </c>
      <c r="M1211" s="17">
        <v>2.0</v>
      </c>
      <c r="N1211" s="17">
        <v>1.0</v>
      </c>
      <c r="O1211" s="17">
        <v>22.0</v>
      </c>
      <c r="P1211" s="17">
        <v>2.8</v>
      </c>
      <c r="Q1211" s="15">
        <v>44750.0</v>
      </c>
      <c r="R1211" s="12"/>
      <c r="S1211" s="12" t="s">
        <v>55</v>
      </c>
      <c r="T1211" s="12" t="s">
        <v>104</v>
      </c>
      <c r="U1211" s="17">
        <f t="shared" si="1"/>
        <v>1</v>
      </c>
    </row>
    <row r="1212">
      <c r="A1212" s="12" t="s">
        <v>1793</v>
      </c>
      <c r="B1212" s="12" t="s">
        <v>1794</v>
      </c>
      <c r="C1212" s="17">
        <v>56.0</v>
      </c>
      <c r="D1212" s="12" t="s">
        <v>60</v>
      </c>
      <c r="E1212" s="12" t="s">
        <v>97</v>
      </c>
      <c r="F1212" s="12" t="s">
        <v>79</v>
      </c>
      <c r="G1212" s="12" t="s">
        <v>93</v>
      </c>
      <c r="H1212" s="15">
        <v>45464.0</v>
      </c>
      <c r="I1212" s="17">
        <v>4.0</v>
      </c>
      <c r="J1212" s="12" t="s">
        <v>53</v>
      </c>
      <c r="K1212" s="12" t="s">
        <v>81</v>
      </c>
      <c r="L1212" s="17">
        <v>2088.0</v>
      </c>
      <c r="M1212" s="17">
        <v>3.0</v>
      </c>
      <c r="N1212" s="17">
        <v>3.0</v>
      </c>
      <c r="O1212" s="17">
        <v>34.9</v>
      </c>
      <c r="P1212" s="17">
        <v>2.0</v>
      </c>
      <c r="Q1212" s="15">
        <v>45482.0</v>
      </c>
      <c r="R1212" s="12" t="s">
        <v>1795</v>
      </c>
      <c r="S1212" s="12" t="s">
        <v>45</v>
      </c>
      <c r="T1212" s="12" t="s">
        <v>104</v>
      </c>
      <c r="U1212" s="17">
        <f t="shared" si="1"/>
        <v>1</v>
      </c>
    </row>
    <row r="1213">
      <c r="A1213" s="12" t="s">
        <v>1796</v>
      </c>
      <c r="B1213" s="12" t="s">
        <v>250</v>
      </c>
      <c r="C1213" s="17">
        <v>60.0</v>
      </c>
      <c r="D1213" s="12" t="s">
        <v>85</v>
      </c>
      <c r="E1213" s="12" t="s">
        <v>92</v>
      </c>
      <c r="F1213" s="12" t="s">
        <v>79</v>
      </c>
      <c r="G1213" s="12" t="s">
        <v>93</v>
      </c>
      <c r="H1213" s="15">
        <v>45900.0</v>
      </c>
      <c r="I1213" s="17">
        <v>-3.0</v>
      </c>
      <c r="J1213" s="12" t="s">
        <v>53</v>
      </c>
      <c r="K1213" s="12" t="s">
        <v>81</v>
      </c>
      <c r="L1213" s="17">
        <v>3149.0</v>
      </c>
      <c r="M1213" s="17">
        <v>1.0</v>
      </c>
      <c r="N1213" s="17">
        <v>1.0</v>
      </c>
      <c r="O1213" s="17">
        <v>25.0</v>
      </c>
      <c r="P1213" s="17">
        <v>4.2</v>
      </c>
      <c r="Q1213" s="15">
        <v>46092.0</v>
      </c>
      <c r="R1213" s="12" t="s">
        <v>426</v>
      </c>
      <c r="S1213" s="12" t="s">
        <v>230</v>
      </c>
      <c r="T1213" s="12" t="s">
        <v>66</v>
      </c>
      <c r="U1213" s="17">
        <f t="shared" si="1"/>
        <v>3</v>
      </c>
    </row>
    <row r="1214">
      <c r="A1214" s="12" t="s">
        <v>1711</v>
      </c>
      <c r="B1214" s="12" t="s">
        <v>135</v>
      </c>
      <c r="C1214" s="17">
        <v>58.0</v>
      </c>
      <c r="D1214" s="12" t="s">
        <v>85</v>
      </c>
      <c r="E1214" s="12" t="s">
        <v>111</v>
      </c>
      <c r="F1214" s="12" t="s">
        <v>79</v>
      </c>
      <c r="G1214" s="12" t="s">
        <v>120</v>
      </c>
      <c r="H1214" s="15">
        <v>45267.0</v>
      </c>
      <c r="I1214" s="17">
        <v>9.0</v>
      </c>
      <c r="J1214" s="12" t="s">
        <v>64</v>
      </c>
      <c r="K1214" s="12" t="s">
        <v>81</v>
      </c>
      <c r="L1214" s="17">
        <v>3567.0</v>
      </c>
      <c r="M1214" s="17">
        <v>3.0</v>
      </c>
      <c r="N1214" s="17">
        <v>1.0</v>
      </c>
      <c r="O1214" s="17">
        <v>46.9</v>
      </c>
      <c r="P1214" s="17">
        <v>2.5</v>
      </c>
      <c r="Q1214" s="15">
        <v>45336.0</v>
      </c>
      <c r="R1214" s="12"/>
      <c r="S1214" s="12" t="s">
        <v>55</v>
      </c>
      <c r="T1214" s="12" t="s">
        <v>47</v>
      </c>
      <c r="U1214" s="17">
        <f t="shared" si="1"/>
        <v>2</v>
      </c>
    </row>
    <row r="1215">
      <c r="A1215" s="12" t="s">
        <v>695</v>
      </c>
      <c r="B1215" s="12" t="s">
        <v>633</v>
      </c>
      <c r="C1215" s="12" t="s">
        <v>1161</v>
      </c>
      <c r="D1215" s="12" t="s">
        <v>69</v>
      </c>
      <c r="E1215" s="12" t="s">
        <v>177</v>
      </c>
      <c r="F1215" s="12" t="s">
        <v>37</v>
      </c>
      <c r="G1215" s="12" t="s">
        <v>63</v>
      </c>
      <c r="H1215" s="15">
        <v>44998.0</v>
      </c>
      <c r="I1215" s="17">
        <v>47.0</v>
      </c>
      <c r="J1215" s="12" t="s">
        <v>64</v>
      </c>
      <c r="K1215" s="12" t="s">
        <v>42</v>
      </c>
      <c r="L1215" s="17">
        <v>1263.0</v>
      </c>
      <c r="M1215" s="17">
        <v>4.0</v>
      </c>
      <c r="N1215" s="17">
        <v>0.0</v>
      </c>
      <c r="O1215" s="17">
        <v>28.2</v>
      </c>
      <c r="P1215" s="17">
        <v>3.5</v>
      </c>
      <c r="Q1215" s="15">
        <v>45100.0</v>
      </c>
      <c r="R1215" s="12" t="s">
        <v>1797</v>
      </c>
      <c r="S1215" s="12" t="s">
        <v>230</v>
      </c>
      <c r="T1215" s="12" t="s">
        <v>104</v>
      </c>
      <c r="U1215" s="17">
        <f t="shared" si="1"/>
        <v>5</v>
      </c>
    </row>
    <row r="1216">
      <c r="A1216" s="12" t="s">
        <v>1798</v>
      </c>
      <c r="B1216" s="12" t="s">
        <v>308</v>
      </c>
      <c r="C1216" s="17">
        <v>44.0</v>
      </c>
      <c r="D1216" s="12" t="s">
        <v>60</v>
      </c>
      <c r="E1216" s="12" t="s">
        <v>97</v>
      </c>
      <c r="F1216" s="12" t="s">
        <v>79</v>
      </c>
      <c r="G1216" s="12" t="s">
        <v>93</v>
      </c>
      <c r="H1216" s="15">
        <v>45299.0</v>
      </c>
      <c r="I1216" s="17">
        <v>29.0</v>
      </c>
      <c r="J1216" s="12" t="s">
        <v>53</v>
      </c>
      <c r="K1216" s="12" t="s">
        <v>81</v>
      </c>
      <c r="L1216" s="17">
        <v>2689.0</v>
      </c>
      <c r="M1216" s="17">
        <v>0.0</v>
      </c>
      <c r="N1216" s="17">
        <v>1.0</v>
      </c>
      <c r="O1216" s="17">
        <v>25.6</v>
      </c>
      <c r="P1216" s="17">
        <v>4.3</v>
      </c>
      <c r="Q1216" s="15">
        <v>45464.0</v>
      </c>
      <c r="R1216" s="12"/>
      <c r="S1216" s="12" t="s">
        <v>55</v>
      </c>
      <c r="T1216" s="12" t="s">
        <v>75</v>
      </c>
      <c r="U1216" s="17">
        <f t="shared" si="1"/>
        <v>1</v>
      </c>
    </row>
    <row r="1217">
      <c r="A1217" s="12" t="s">
        <v>1799</v>
      </c>
      <c r="B1217" s="12" t="s">
        <v>78</v>
      </c>
      <c r="C1217" s="17">
        <v>39.0</v>
      </c>
      <c r="D1217" s="12" t="s">
        <v>85</v>
      </c>
      <c r="E1217" s="12" t="s">
        <v>87</v>
      </c>
      <c r="F1217" s="12" t="s">
        <v>62</v>
      </c>
      <c r="G1217" s="12" t="s">
        <v>80</v>
      </c>
      <c r="H1217" s="15">
        <v>45010.0</v>
      </c>
      <c r="I1217" s="17">
        <v>46.0</v>
      </c>
      <c r="J1217" s="12" t="s">
        <v>40</v>
      </c>
      <c r="K1217" s="12" t="s">
        <v>65</v>
      </c>
      <c r="L1217" s="17">
        <v>652.0</v>
      </c>
      <c r="M1217" s="17">
        <v>3.0</v>
      </c>
      <c r="N1217" s="17">
        <v>1.0</v>
      </c>
      <c r="O1217" s="17">
        <v>27.6</v>
      </c>
      <c r="P1217" s="17">
        <v>2.9</v>
      </c>
      <c r="Q1217" s="15">
        <v>45419.0</v>
      </c>
      <c r="R1217" s="12" t="s">
        <v>1800</v>
      </c>
      <c r="S1217" s="12" t="s">
        <v>45</v>
      </c>
      <c r="T1217" s="12" t="s">
        <v>72</v>
      </c>
      <c r="U1217" s="17">
        <f t="shared" si="1"/>
        <v>1</v>
      </c>
    </row>
    <row r="1218">
      <c r="A1218" s="12" t="s">
        <v>1511</v>
      </c>
      <c r="B1218" s="12" t="s">
        <v>448</v>
      </c>
      <c r="C1218" s="17">
        <v>41.0</v>
      </c>
      <c r="D1218" s="12" t="s">
        <v>306</v>
      </c>
      <c r="E1218" s="12" t="s">
        <v>70</v>
      </c>
      <c r="F1218" s="12" t="s">
        <v>62</v>
      </c>
      <c r="G1218" s="12" t="s">
        <v>63</v>
      </c>
      <c r="H1218" s="15">
        <v>45474.0</v>
      </c>
      <c r="I1218" s="17">
        <v>29.0</v>
      </c>
      <c r="J1218" s="12" t="s">
        <v>40</v>
      </c>
      <c r="K1218" s="12" t="s">
        <v>65</v>
      </c>
      <c r="L1218" s="17">
        <v>859.0</v>
      </c>
      <c r="M1218" s="17">
        <v>2.0</v>
      </c>
      <c r="N1218" s="17">
        <v>0.0</v>
      </c>
      <c r="O1218" s="17">
        <v>22.5</v>
      </c>
      <c r="P1218" s="17">
        <v>3.6</v>
      </c>
      <c r="Q1218" s="15">
        <v>45852.0</v>
      </c>
      <c r="R1218" s="12" t="s">
        <v>188</v>
      </c>
      <c r="S1218" s="12" t="s">
        <v>45</v>
      </c>
      <c r="T1218" s="12" t="s">
        <v>75</v>
      </c>
      <c r="U1218" s="17">
        <f t="shared" si="1"/>
        <v>3</v>
      </c>
    </row>
    <row r="1219">
      <c r="A1219" s="12" t="s">
        <v>1801</v>
      </c>
      <c r="B1219" s="12" t="s">
        <v>345</v>
      </c>
      <c r="C1219" s="17">
        <v>59.0</v>
      </c>
      <c r="D1219" s="12" t="s">
        <v>69</v>
      </c>
      <c r="E1219" s="12" t="s">
        <v>187</v>
      </c>
      <c r="F1219" s="12" t="s">
        <v>413</v>
      </c>
      <c r="G1219" s="12" t="s">
        <v>63</v>
      </c>
      <c r="H1219" s="15">
        <v>45778.0</v>
      </c>
      <c r="I1219" s="17">
        <v>3.0</v>
      </c>
      <c r="J1219" s="12" t="s">
        <v>64</v>
      </c>
      <c r="K1219" s="12" t="s">
        <v>65</v>
      </c>
      <c r="L1219" s="17">
        <v>1783.0</v>
      </c>
      <c r="M1219" s="17">
        <v>2.0</v>
      </c>
      <c r="N1219" s="17">
        <v>1.0</v>
      </c>
      <c r="O1219" s="17">
        <v>25.5</v>
      </c>
      <c r="P1219" s="17">
        <v>1.8</v>
      </c>
      <c r="Q1219" s="15">
        <v>45801.0</v>
      </c>
      <c r="R1219" s="12"/>
      <c r="S1219" s="12" t="s">
        <v>55</v>
      </c>
      <c r="T1219" s="12" t="s">
        <v>104</v>
      </c>
      <c r="U1219" s="17">
        <f t="shared" si="1"/>
        <v>1</v>
      </c>
    </row>
    <row r="1220">
      <c r="A1220" s="12" t="s">
        <v>1802</v>
      </c>
      <c r="B1220" s="12" t="s">
        <v>405</v>
      </c>
      <c r="C1220" s="17">
        <v>37.0</v>
      </c>
      <c r="D1220" s="12" t="s">
        <v>35</v>
      </c>
      <c r="E1220" s="12" t="s">
        <v>51</v>
      </c>
      <c r="F1220" s="12" t="s">
        <v>62</v>
      </c>
      <c r="G1220" s="12" t="s">
        <v>63</v>
      </c>
      <c r="H1220" s="15">
        <v>44767.0</v>
      </c>
      <c r="I1220" s="17">
        <v>30.0</v>
      </c>
      <c r="J1220" s="12" t="s">
        <v>64</v>
      </c>
      <c r="K1220" s="12" t="s">
        <v>65</v>
      </c>
      <c r="L1220" s="17">
        <v>697.0</v>
      </c>
      <c r="M1220" s="17">
        <v>2.0</v>
      </c>
      <c r="N1220" s="17">
        <v>0.0</v>
      </c>
      <c r="O1220" s="17">
        <v>32.2</v>
      </c>
      <c r="P1220" s="17">
        <v>3.9</v>
      </c>
      <c r="Q1220" s="15">
        <v>45480.0</v>
      </c>
      <c r="R1220" s="12" t="s">
        <v>1803</v>
      </c>
      <c r="S1220" s="12" t="s">
        <v>45</v>
      </c>
      <c r="T1220" s="12" t="s">
        <v>75</v>
      </c>
      <c r="U1220" s="17">
        <f t="shared" si="1"/>
        <v>1</v>
      </c>
    </row>
    <row r="1221">
      <c r="A1221" s="12" t="s">
        <v>1169</v>
      </c>
      <c r="B1221" s="12" t="s">
        <v>96</v>
      </c>
      <c r="C1221" s="17">
        <v>24.0</v>
      </c>
      <c r="D1221" s="12" t="s">
        <v>267</v>
      </c>
      <c r="E1221" s="12" t="s">
        <v>187</v>
      </c>
      <c r="F1221" s="12" t="s">
        <v>37</v>
      </c>
      <c r="G1221" s="12" t="s">
        <v>586</v>
      </c>
      <c r="H1221" s="15">
        <v>45833.0</v>
      </c>
      <c r="I1221" s="17">
        <v>24.0</v>
      </c>
      <c r="J1221" s="12" t="s">
        <v>64</v>
      </c>
      <c r="K1221" s="12" t="s">
        <v>42</v>
      </c>
      <c r="L1221" s="17">
        <v>1273.0</v>
      </c>
      <c r="M1221" s="17">
        <v>2.0</v>
      </c>
      <c r="N1221" s="17">
        <v>0.0</v>
      </c>
      <c r="O1221" s="17">
        <v>27.5</v>
      </c>
      <c r="P1221" s="17">
        <v>5.0</v>
      </c>
      <c r="Q1221" s="15">
        <v>45928.0</v>
      </c>
      <c r="R1221" s="12" t="s">
        <v>1804</v>
      </c>
      <c r="S1221" s="12" t="s">
        <v>45</v>
      </c>
      <c r="T1221" s="12" t="s">
        <v>47</v>
      </c>
      <c r="U1221" s="17">
        <f t="shared" si="1"/>
        <v>2</v>
      </c>
    </row>
    <row r="1222">
      <c r="A1222" s="12" t="s">
        <v>1681</v>
      </c>
      <c r="B1222" s="12" t="s">
        <v>91</v>
      </c>
      <c r="C1222" s="17">
        <v>40.0</v>
      </c>
      <c r="D1222" s="12" t="s">
        <v>60</v>
      </c>
      <c r="E1222" s="12" t="s">
        <v>107</v>
      </c>
      <c r="F1222" s="12" t="s">
        <v>79</v>
      </c>
      <c r="G1222" s="12" t="s">
        <v>63</v>
      </c>
      <c r="H1222" s="15">
        <v>44583.0</v>
      </c>
      <c r="I1222" s="17">
        <v>11.0</v>
      </c>
      <c r="J1222" s="12" t="s">
        <v>40</v>
      </c>
      <c r="K1222" s="12" t="s">
        <v>81</v>
      </c>
      <c r="L1222" s="17">
        <v>3881.0</v>
      </c>
      <c r="M1222" s="17">
        <v>2.0</v>
      </c>
      <c r="N1222" s="17">
        <v>1.0</v>
      </c>
      <c r="O1222" s="17">
        <v>27.9</v>
      </c>
      <c r="P1222" s="17">
        <v>4.5</v>
      </c>
      <c r="Q1222" s="15">
        <v>44618.0</v>
      </c>
      <c r="R1222" s="12" t="s">
        <v>1805</v>
      </c>
      <c r="S1222" s="12" t="s">
        <v>45</v>
      </c>
      <c r="T1222" s="12" t="s">
        <v>47</v>
      </c>
      <c r="U1222" s="17">
        <f t="shared" si="1"/>
        <v>2</v>
      </c>
    </row>
    <row r="1223">
      <c r="A1223" s="12" t="s">
        <v>1806</v>
      </c>
      <c r="B1223" s="12" t="s">
        <v>163</v>
      </c>
      <c r="C1223" s="17">
        <v>27.0</v>
      </c>
      <c r="D1223" s="12" t="s">
        <v>60</v>
      </c>
      <c r="E1223" s="12" t="s">
        <v>133</v>
      </c>
      <c r="F1223" s="12" t="s">
        <v>37</v>
      </c>
      <c r="G1223" s="12" t="s">
        <v>80</v>
      </c>
      <c r="H1223" s="15">
        <v>45257.0</v>
      </c>
      <c r="I1223" s="17">
        <v>3.0</v>
      </c>
      <c r="J1223" s="12" t="s">
        <v>53</v>
      </c>
      <c r="K1223" s="12" t="s">
        <v>81</v>
      </c>
      <c r="L1223" s="17">
        <v>1503.0</v>
      </c>
      <c r="M1223" s="17">
        <v>3.0</v>
      </c>
      <c r="N1223" s="17">
        <v>0.0</v>
      </c>
      <c r="O1223" s="17">
        <v>20.2</v>
      </c>
      <c r="P1223" s="17">
        <v>3.8</v>
      </c>
      <c r="Q1223" s="15">
        <v>45364.0</v>
      </c>
      <c r="R1223" s="12"/>
      <c r="S1223" s="12" t="s">
        <v>55</v>
      </c>
      <c r="T1223" s="12" t="s">
        <v>66</v>
      </c>
      <c r="U1223" s="17">
        <f t="shared" si="1"/>
        <v>2</v>
      </c>
    </row>
    <row r="1224">
      <c r="A1224" s="12" t="s">
        <v>341</v>
      </c>
      <c r="B1224" s="12" t="s">
        <v>380</v>
      </c>
      <c r="C1224" s="17">
        <v>68.0</v>
      </c>
      <c r="D1224" s="12" t="s">
        <v>60</v>
      </c>
      <c r="E1224" s="12" t="s">
        <v>107</v>
      </c>
      <c r="F1224" s="12" t="s">
        <v>37</v>
      </c>
      <c r="G1224" s="12" t="s">
        <v>39</v>
      </c>
      <c r="H1224" s="15">
        <v>45926.0</v>
      </c>
      <c r="I1224" s="17">
        <v>5.0</v>
      </c>
      <c r="J1224" s="12" t="s">
        <v>64</v>
      </c>
      <c r="K1224" s="12" t="s">
        <v>42</v>
      </c>
      <c r="L1224" s="17">
        <v>1293.0</v>
      </c>
      <c r="M1224" s="17">
        <v>1.0</v>
      </c>
      <c r="N1224" s="17">
        <v>2.0</v>
      </c>
      <c r="O1224" s="17">
        <v>26.6</v>
      </c>
      <c r="P1224" s="17">
        <v>4.8</v>
      </c>
      <c r="Q1224" s="15">
        <v>46095.0</v>
      </c>
      <c r="R1224" s="12"/>
      <c r="S1224" s="12" t="s">
        <v>55</v>
      </c>
      <c r="T1224" s="12" t="s">
        <v>47</v>
      </c>
      <c r="U1224" s="17">
        <f t="shared" si="1"/>
        <v>2</v>
      </c>
    </row>
    <row r="1225">
      <c r="A1225" s="12" t="s">
        <v>1807</v>
      </c>
      <c r="B1225" s="12" t="s">
        <v>398</v>
      </c>
      <c r="C1225" s="17">
        <v>23.0</v>
      </c>
      <c r="D1225" s="12" t="s">
        <v>35</v>
      </c>
      <c r="E1225" s="12" t="s">
        <v>36</v>
      </c>
      <c r="F1225" s="12" t="s">
        <v>62</v>
      </c>
      <c r="G1225" s="12" t="s">
        <v>39</v>
      </c>
      <c r="H1225" s="15">
        <v>44626.0</v>
      </c>
      <c r="I1225" s="17">
        <v>14.0</v>
      </c>
      <c r="J1225" s="12" t="s">
        <v>64</v>
      </c>
      <c r="K1225" s="12" t="s">
        <v>65</v>
      </c>
      <c r="L1225" s="17">
        <v>758.0</v>
      </c>
      <c r="M1225" s="17">
        <v>2.0</v>
      </c>
      <c r="N1225" s="17">
        <v>0.0</v>
      </c>
      <c r="O1225" s="17">
        <v>14.5</v>
      </c>
      <c r="P1225" s="17">
        <v>2.9</v>
      </c>
      <c r="Q1225" s="15">
        <v>45025.0</v>
      </c>
      <c r="R1225" s="12"/>
      <c r="S1225" s="12" t="s">
        <v>55</v>
      </c>
      <c r="T1225" s="12" t="s">
        <v>66</v>
      </c>
      <c r="U1225" s="17">
        <f t="shared" si="1"/>
        <v>1</v>
      </c>
    </row>
    <row r="1226">
      <c r="A1226" s="12" t="s">
        <v>1808</v>
      </c>
      <c r="B1226" s="12" t="s">
        <v>448</v>
      </c>
      <c r="C1226" s="17">
        <v>28.0</v>
      </c>
      <c r="D1226" s="12" t="s">
        <v>69</v>
      </c>
      <c r="E1226" s="12" t="s">
        <v>177</v>
      </c>
      <c r="F1226" s="12" t="s">
        <v>79</v>
      </c>
      <c r="G1226" s="12" t="s">
        <v>80</v>
      </c>
      <c r="H1226" s="15">
        <v>44918.0</v>
      </c>
      <c r="I1226" s="17">
        <v>120.0</v>
      </c>
      <c r="J1226" s="12" t="s">
        <v>40</v>
      </c>
      <c r="K1226" s="12" t="s">
        <v>65</v>
      </c>
      <c r="L1226" s="17">
        <v>2497.0</v>
      </c>
      <c r="M1226" s="17">
        <v>4.0</v>
      </c>
      <c r="N1226" s="17">
        <v>0.0</v>
      </c>
      <c r="O1226" s="17">
        <v>48.7</v>
      </c>
      <c r="P1226" s="17">
        <v>2.0</v>
      </c>
      <c r="Q1226" s="15">
        <v>45693.0</v>
      </c>
      <c r="R1226" s="12"/>
      <c r="S1226" s="12" t="s">
        <v>55</v>
      </c>
      <c r="T1226" s="12" t="s">
        <v>75</v>
      </c>
      <c r="U1226" s="17">
        <f t="shared" si="1"/>
        <v>2</v>
      </c>
    </row>
    <row r="1227">
      <c r="A1227" s="12" t="s">
        <v>1776</v>
      </c>
      <c r="B1227" s="12" t="s">
        <v>1809</v>
      </c>
      <c r="C1227" s="17">
        <v>23.0</v>
      </c>
      <c r="D1227" s="12" t="s">
        <v>35</v>
      </c>
      <c r="E1227" s="12" t="s">
        <v>36</v>
      </c>
      <c r="F1227" s="12" t="s">
        <v>62</v>
      </c>
      <c r="G1227" s="12" t="s">
        <v>120</v>
      </c>
      <c r="H1227" s="15">
        <v>45728.0</v>
      </c>
      <c r="I1227" s="17">
        <v>37.0</v>
      </c>
      <c r="J1227" s="12" t="s">
        <v>64</v>
      </c>
      <c r="K1227" s="12" t="s">
        <v>65</v>
      </c>
      <c r="L1227" s="17">
        <v>508.0</v>
      </c>
      <c r="M1227" s="17">
        <v>2.0</v>
      </c>
      <c r="N1227" s="17">
        <v>0.0</v>
      </c>
      <c r="O1227" s="17">
        <v>22.7</v>
      </c>
      <c r="P1227" s="17">
        <v>3.8</v>
      </c>
      <c r="Q1227" s="15">
        <v>46615.0</v>
      </c>
      <c r="R1227" s="12"/>
      <c r="S1227" s="12" t="s">
        <v>55</v>
      </c>
      <c r="T1227" s="12" t="s">
        <v>75</v>
      </c>
      <c r="U1227" s="17">
        <f t="shared" si="1"/>
        <v>2</v>
      </c>
    </row>
    <row r="1228">
      <c r="A1228" s="12" t="s">
        <v>1810</v>
      </c>
      <c r="B1228" s="12" t="s">
        <v>362</v>
      </c>
      <c r="C1228" s="17">
        <v>55.0</v>
      </c>
      <c r="D1228" s="12" t="s">
        <v>60</v>
      </c>
      <c r="E1228" s="12" t="s">
        <v>61</v>
      </c>
      <c r="F1228" s="12" t="s">
        <v>37</v>
      </c>
      <c r="G1228" s="12" t="s">
        <v>39</v>
      </c>
      <c r="H1228" s="15">
        <v>45542.0</v>
      </c>
      <c r="I1228" s="17">
        <v>33.0</v>
      </c>
      <c r="J1228" s="12" t="s">
        <v>53</v>
      </c>
      <c r="K1228" s="12" t="s">
        <v>65</v>
      </c>
      <c r="L1228" s="17">
        <v>1127.0</v>
      </c>
      <c r="M1228" s="17">
        <v>2.0</v>
      </c>
      <c r="N1228" s="17">
        <v>1.0</v>
      </c>
      <c r="O1228" s="17">
        <v>23.8</v>
      </c>
      <c r="P1228" s="17">
        <v>4.9</v>
      </c>
      <c r="Q1228" s="15">
        <v>46463.0</v>
      </c>
      <c r="R1228" s="12"/>
      <c r="S1228" s="12" t="s">
        <v>55</v>
      </c>
      <c r="T1228" s="12" t="s">
        <v>66</v>
      </c>
      <c r="U1228" s="17">
        <f t="shared" si="1"/>
        <v>1</v>
      </c>
    </row>
    <row r="1229">
      <c r="A1229" s="12" t="s">
        <v>1811</v>
      </c>
      <c r="B1229" s="12" t="s">
        <v>459</v>
      </c>
      <c r="C1229" s="17">
        <v>59.0</v>
      </c>
      <c r="D1229" s="12" t="s">
        <v>60</v>
      </c>
      <c r="E1229" s="12" t="s">
        <v>97</v>
      </c>
      <c r="F1229" s="12" t="s">
        <v>62</v>
      </c>
      <c r="G1229" s="12" t="s">
        <v>120</v>
      </c>
      <c r="H1229" s="15">
        <v>45567.0</v>
      </c>
      <c r="I1229" s="17">
        <v>30.0</v>
      </c>
      <c r="J1229" s="12" t="s">
        <v>53</v>
      </c>
      <c r="K1229" s="12" t="s">
        <v>42</v>
      </c>
      <c r="L1229" s="17">
        <v>579.0</v>
      </c>
      <c r="M1229" s="17">
        <v>3.0</v>
      </c>
      <c r="N1229" s="17">
        <v>2.0</v>
      </c>
      <c r="O1229" s="17">
        <v>14.2</v>
      </c>
      <c r="P1229" s="17">
        <v>5.0</v>
      </c>
      <c r="Q1229" s="15">
        <v>45585.0</v>
      </c>
      <c r="R1229" s="12"/>
      <c r="S1229" s="12" t="s">
        <v>55</v>
      </c>
      <c r="T1229" s="12" t="s">
        <v>104</v>
      </c>
      <c r="U1229" s="17">
        <f t="shared" si="1"/>
        <v>1</v>
      </c>
    </row>
    <row r="1230">
      <c r="A1230" s="12" t="s">
        <v>806</v>
      </c>
      <c r="B1230" s="12" t="s">
        <v>239</v>
      </c>
      <c r="C1230" s="17">
        <v>59.0</v>
      </c>
      <c r="D1230" s="12" t="s">
        <v>69</v>
      </c>
      <c r="E1230" s="12" t="s">
        <v>119</v>
      </c>
      <c r="F1230" s="12" t="s">
        <v>62</v>
      </c>
      <c r="G1230" s="12" t="s">
        <v>39</v>
      </c>
      <c r="H1230" s="15">
        <v>45363.0</v>
      </c>
      <c r="I1230" s="17">
        <v>12.0</v>
      </c>
      <c r="J1230" s="12" t="s">
        <v>40</v>
      </c>
      <c r="K1230" s="12" t="s">
        <v>81</v>
      </c>
      <c r="L1230" s="17">
        <v>734.0</v>
      </c>
      <c r="M1230" s="17">
        <v>2.0</v>
      </c>
      <c r="N1230" s="17">
        <v>0.0</v>
      </c>
      <c r="O1230" s="17">
        <v>14.9</v>
      </c>
      <c r="P1230" s="17">
        <v>1.8</v>
      </c>
      <c r="Q1230" s="15">
        <v>45467.0</v>
      </c>
      <c r="R1230" s="12"/>
      <c r="S1230" s="12" t="s">
        <v>55</v>
      </c>
      <c r="T1230" s="12" t="s">
        <v>66</v>
      </c>
      <c r="U1230" s="17">
        <f t="shared" si="1"/>
        <v>3</v>
      </c>
    </row>
    <row r="1231">
      <c r="A1231" s="12" t="s">
        <v>1812</v>
      </c>
      <c r="B1231" s="12" t="s">
        <v>308</v>
      </c>
      <c r="C1231" s="17">
        <v>41.0</v>
      </c>
      <c r="D1231" s="12" t="s">
        <v>69</v>
      </c>
      <c r="E1231" s="12" t="s">
        <v>187</v>
      </c>
      <c r="F1231" s="12" t="s">
        <v>37</v>
      </c>
      <c r="G1231" s="12" t="s">
        <v>210</v>
      </c>
      <c r="H1231" s="15">
        <v>45239.0</v>
      </c>
      <c r="I1231" s="17">
        <v>7.0</v>
      </c>
      <c r="J1231" s="12" t="s">
        <v>40</v>
      </c>
      <c r="K1231" s="12" t="s">
        <v>42</v>
      </c>
      <c r="L1231" s="17">
        <v>1031.0</v>
      </c>
      <c r="M1231" s="17">
        <v>2.0</v>
      </c>
      <c r="N1231" s="17">
        <v>0.0</v>
      </c>
      <c r="O1231" s="17">
        <v>30.2</v>
      </c>
      <c r="P1231" s="17">
        <v>3.6</v>
      </c>
      <c r="Q1231" s="15">
        <v>45259.0</v>
      </c>
      <c r="R1231" s="12"/>
      <c r="S1231" s="12" t="s">
        <v>55</v>
      </c>
      <c r="T1231" s="12" t="s">
        <v>66</v>
      </c>
      <c r="U1231" s="17">
        <f t="shared" si="1"/>
        <v>3</v>
      </c>
    </row>
    <row r="1232">
      <c r="A1232" s="12" t="s">
        <v>226</v>
      </c>
      <c r="B1232" s="12" t="s">
        <v>239</v>
      </c>
      <c r="C1232" s="17">
        <v>37.0</v>
      </c>
      <c r="D1232" s="12" t="s">
        <v>85</v>
      </c>
      <c r="E1232" s="12" t="s">
        <v>92</v>
      </c>
      <c r="F1232" s="12" t="s">
        <v>62</v>
      </c>
      <c r="G1232" s="12" t="s">
        <v>39</v>
      </c>
      <c r="H1232" s="15">
        <v>44800.0</v>
      </c>
      <c r="I1232" s="17">
        <v>6.0</v>
      </c>
      <c r="J1232" s="12" t="s">
        <v>64</v>
      </c>
      <c r="K1232" s="12" t="s">
        <v>65</v>
      </c>
      <c r="L1232" s="17">
        <v>726.0</v>
      </c>
      <c r="M1232" s="17">
        <v>2.0</v>
      </c>
      <c r="N1232" s="17">
        <v>0.0</v>
      </c>
      <c r="O1232" s="17">
        <v>33.2</v>
      </c>
      <c r="P1232" s="17">
        <v>3.6</v>
      </c>
      <c r="Q1232" s="15">
        <v>44844.0</v>
      </c>
      <c r="R1232" s="12"/>
      <c r="S1232" s="12" t="s">
        <v>55</v>
      </c>
      <c r="T1232" s="12" t="s">
        <v>75</v>
      </c>
      <c r="U1232" s="17">
        <f t="shared" si="1"/>
        <v>5</v>
      </c>
    </row>
    <row r="1233">
      <c r="A1233" s="12" t="s">
        <v>918</v>
      </c>
      <c r="B1233" s="12" t="s">
        <v>78</v>
      </c>
      <c r="C1233" s="17">
        <v>44.0</v>
      </c>
      <c r="D1233" s="12" t="s">
        <v>85</v>
      </c>
      <c r="E1233" s="12" t="s">
        <v>92</v>
      </c>
      <c r="F1233" s="12" t="s">
        <v>79</v>
      </c>
      <c r="G1233" s="12" t="s">
        <v>93</v>
      </c>
      <c r="H1233" s="15">
        <v>44943.0</v>
      </c>
      <c r="I1233" s="17">
        <v>6.0</v>
      </c>
      <c r="J1233" s="12" t="s">
        <v>40</v>
      </c>
      <c r="K1233" s="12" t="s">
        <v>42</v>
      </c>
      <c r="L1233" s="17">
        <v>3578.0</v>
      </c>
      <c r="M1233" s="17">
        <v>3.0</v>
      </c>
      <c r="N1233" s="17">
        <v>0.0</v>
      </c>
      <c r="O1233" s="17">
        <v>36.7</v>
      </c>
      <c r="P1233" s="17">
        <v>4.2</v>
      </c>
      <c r="Q1233" s="15">
        <v>45061.0</v>
      </c>
      <c r="R1233" s="12"/>
      <c r="S1233" s="12" t="s">
        <v>55</v>
      </c>
      <c r="T1233" s="12" t="s">
        <v>47</v>
      </c>
      <c r="U1233" s="17">
        <f t="shared" si="1"/>
        <v>2</v>
      </c>
    </row>
    <row r="1234">
      <c r="A1234" s="12" t="s">
        <v>315</v>
      </c>
      <c r="B1234" s="12" t="s">
        <v>364</v>
      </c>
      <c r="C1234" s="17">
        <v>63.0</v>
      </c>
      <c r="D1234" s="12" t="s">
        <v>69</v>
      </c>
      <c r="E1234" s="12" t="s">
        <v>70</v>
      </c>
      <c r="F1234" s="12" t="s">
        <v>79</v>
      </c>
      <c r="G1234" s="12" t="s">
        <v>39</v>
      </c>
      <c r="H1234" s="15">
        <v>45499.0</v>
      </c>
      <c r="I1234" s="17">
        <v>24.0</v>
      </c>
      <c r="J1234" s="12" t="s">
        <v>64</v>
      </c>
      <c r="K1234" s="12" t="s">
        <v>42</v>
      </c>
      <c r="L1234" s="17">
        <v>2522.0</v>
      </c>
      <c r="M1234" s="17">
        <v>2.0</v>
      </c>
      <c r="N1234" s="17">
        <v>2.0</v>
      </c>
      <c r="O1234" s="17">
        <v>31.9</v>
      </c>
      <c r="P1234" s="17">
        <v>3.3</v>
      </c>
      <c r="Q1234" s="15">
        <v>45982.0</v>
      </c>
      <c r="R1234" s="12"/>
      <c r="S1234" s="12" t="s">
        <v>55</v>
      </c>
      <c r="T1234" s="12" t="s">
        <v>104</v>
      </c>
      <c r="U1234" s="17">
        <f t="shared" si="1"/>
        <v>2</v>
      </c>
    </row>
    <row r="1235">
      <c r="A1235" s="12" t="s">
        <v>1337</v>
      </c>
      <c r="B1235" s="12" t="s">
        <v>206</v>
      </c>
      <c r="C1235" s="17">
        <v>25.0</v>
      </c>
      <c r="D1235" s="12" t="s">
        <v>35</v>
      </c>
      <c r="E1235" s="12" t="s">
        <v>36</v>
      </c>
      <c r="F1235" s="12" t="s">
        <v>37</v>
      </c>
      <c r="G1235" s="12" t="s">
        <v>93</v>
      </c>
      <c r="H1235" s="15">
        <v>44893.0</v>
      </c>
      <c r="I1235" s="17">
        <v>15.0</v>
      </c>
      <c r="J1235" s="12" t="s">
        <v>64</v>
      </c>
      <c r="K1235" s="12" t="s">
        <v>81</v>
      </c>
      <c r="L1235" s="17">
        <v>1005.0</v>
      </c>
      <c r="M1235" s="17">
        <v>6.0</v>
      </c>
      <c r="N1235" s="17">
        <v>2.0</v>
      </c>
      <c r="O1235" s="17">
        <v>12.2</v>
      </c>
      <c r="P1235" s="17">
        <v>3.3</v>
      </c>
      <c r="Q1235" s="15">
        <v>44999.0</v>
      </c>
      <c r="R1235" s="12"/>
      <c r="S1235" s="12" t="s">
        <v>55</v>
      </c>
      <c r="T1235" s="12" t="s">
        <v>47</v>
      </c>
      <c r="U1235" s="17">
        <f t="shared" si="1"/>
        <v>3</v>
      </c>
    </row>
    <row r="1236">
      <c r="A1236" s="12" t="s">
        <v>844</v>
      </c>
      <c r="B1236" s="12" t="s">
        <v>476</v>
      </c>
      <c r="C1236" s="17">
        <v>32.0</v>
      </c>
      <c r="D1236" s="12" t="s">
        <v>60</v>
      </c>
      <c r="E1236" s="12" t="s">
        <v>61</v>
      </c>
      <c r="F1236" s="12" t="s">
        <v>372</v>
      </c>
      <c r="G1236" s="12" t="s">
        <v>120</v>
      </c>
      <c r="H1236" s="15">
        <v>44570.0</v>
      </c>
      <c r="I1236" s="17">
        <v>44.0</v>
      </c>
      <c r="J1236" s="12" t="s">
        <v>64</v>
      </c>
      <c r="K1236" s="12" t="s">
        <v>65</v>
      </c>
      <c r="L1236" s="17">
        <v>1443.0</v>
      </c>
      <c r="M1236" s="17">
        <v>3.0</v>
      </c>
      <c r="N1236" s="17">
        <v>2.0</v>
      </c>
      <c r="O1236" s="17">
        <v>27.3</v>
      </c>
      <c r="P1236" s="17">
        <v>4.1</v>
      </c>
      <c r="Q1236" s="15">
        <v>44809.0</v>
      </c>
      <c r="R1236" s="12"/>
      <c r="S1236" s="12" t="s">
        <v>55</v>
      </c>
      <c r="T1236" s="12" t="s">
        <v>72</v>
      </c>
      <c r="U1236" s="17">
        <f t="shared" si="1"/>
        <v>4</v>
      </c>
    </row>
    <row r="1237">
      <c r="A1237" s="12" t="s">
        <v>1542</v>
      </c>
      <c r="B1237" s="12" t="s">
        <v>179</v>
      </c>
      <c r="C1237" s="12"/>
      <c r="D1237" s="12" t="s">
        <v>35</v>
      </c>
      <c r="E1237" s="12" t="s">
        <v>161</v>
      </c>
      <c r="F1237" s="12" t="s">
        <v>37</v>
      </c>
      <c r="G1237" s="12" t="s">
        <v>120</v>
      </c>
      <c r="H1237" s="15">
        <v>45975.0</v>
      </c>
      <c r="I1237" s="17">
        <v>31.0</v>
      </c>
      <c r="J1237" s="12" t="s">
        <v>40</v>
      </c>
      <c r="K1237" s="12" t="s">
        <v>65</v>
      </c>
      <c r="L1237" s="17">
        <v>1095.0</v>
      </c>
      <c r="M1237" s="17">
        <v>2.0</v>
      </c>
      <c r="N1237" s="17">
        <v>1.0</v>
      </c>
      <c r="O1237" s="17">
        <v>30.2</v>
      </c>
      <c r="P1237" s="17">
        <v>5.0</v>
      </c>
      <c r="Q1237" s="15">
        <v>46554.0</v>
      </c>
      <c r="R1237" s="12"/>
      <c r="S1237" s="12" t="s">
        <v>55</v>
      </c>
      <c r="T1237" s="12" t="s">
        <v>47</v>
      </c>
      <c r="U1237" s="17">
        <f t="shared" si="1"/>
        <v>2</v>
      </c>
    </row>
    <row r="1238">
      <c r="A1238" s="12" t="s">
        <v>318</v>
      </c>
      <c r="B1238" s="12" t="s">
        <v>176</v>
      </c>
      <c r="C1238" s="17">
        <v>40.0</v>
      </c>
      <c r="D1238" s="12" t="s">
        <v>69</v>
      </c>
      <c r="E1238" s="12" t="s">
        <v>70</v>
      </c>
      <c r="F1238" s="12" t="s">
        <v>37</v>
      </c>
      <c r="G1238" s="12" t="s">
        <v>120</v>
      </c>
      <c r="H1238" s="15">
        <v>45808.0</v>
      </c>
      <c r="I1238" s="17">
        <v>10.0</v>
      </c>
      <c r="J1238" s="12" t="s">
        <v>53</v>
      </c>
      <c r="K1238" s="12" t="s">
        <v>42</v>
      </c>
      <c r="L1238" s="17">
        <v>1490.0</v>
      </c>
      <c r="M1238" s="17">
        <v>2.0</v>
      </c>
      <c r="N1238" s="17">
        <v>1.0</v>
      </c>
      <c r="O1238" s="17">
        <v>41.9</v>
      </c>
      <c r="P1238" s="17">
        <v>3.8</v>
      </c>
      <c r="Q1238" s="15">
        <v>45906.0</v>
      </c>
      <c r="R1238" s="12"/>
      <c r="S1238" s="12" t="s">
        <v>55</v>
      </c>
      <c r="T1238" s="12" t="s">
        <v>104</v>
      </c>
      <c r="U1238" s="17">
        <f t="shared" si="1"/>
        <v>3</v>
      </c>
    </row>
    <row r="1239">
      <c r="A1239" s="12" t="s">
        <v>1813</v>
      </c>
      <c r="B1239" s="12" t="s">
        <v>145</v>
      </c>
      <c r="C1239" s="17">
        <v>59.0</v>
      </c>
      <c r="D1239" s="12" t="s">
        <v>69</v>
      </c>
      <c r="E1239" s="12" t="s">
        <v>187</v>
      </c>
      <c r="F1239" s="12" t="s">
        <v>37</v>
      </c>
      <c r="G1239" s="12" t="s">
        <v>120</v>
      </c>
      <c r="H1239" s="15">
        <v>44894.0</v>
      </c>
      <c r="I1239" s="17">
        <v>1.0</v>
      </c>
      <c r="J1239" s="12" t="s">
        <v>40</v>
      </c>
      <c r="K1239" s="12" t="s">
        <v>42</v>
      </c>
      <c r="L1239" s="17">
        <v>1217.0</v>
      </c>
      <c r="M1239" s="17">
        <v>0.0</v>
      </c>
      <c r="N1239" s="17">
        <v>1.0</v>
      </c>
      <c r="O1239" s="17">
        <v>26.4</v>
      </c>
      <c r="P1239" s="17">
        <v>5.0</v>
      </c>
      <c r="Q1239" s="15">
        <v>44922.0</v>
      </c>
      <c r="R1239" s="12"/>
      <c r="S1239" s="12" t="s">
        <v>55</v>
      </c>
      <c r="T1239" s="12" t="s">
        <v>47</v>
      </c>
      <c r="U1239" s="17">
        <f t="shared" si="1"/>
        <v>2</v>
      </c>
    </row>
    <row r="1240">
      <c r="A1240" s="12" t="s">
        <v>1814</v>
      </c>
      <c r="B1240" s="12" t="s">
        <v>325</v>
      </c>
      <c r="C1240" s="17">
        <v>45.0</v>
      </c>
      <c r="D1240" s="12" t="s">
        <v>60</v>
      </c>
      <c r="E1240" s="12" t="s">
        <v>61</v>
      </c>
      <c r="F1240" s="12" t="s">
        <v>62</v>
      </c>
      <c r="G1240" s="12" t="s">
        <v>120</v>
      </c>
      <c r="H1240" s="15">
        <v>45132.0</v>
      </c>
      <c r="I1240" s="17">
        <v>42.0</v>
      </c>
      <c r="J1240" s="12" t="s">
        <v>53</v>
      </c>
      <c r="K1240" s="12" t="s">
        <v>81</v>
      </c>
      <c r="L1240" s="17">
        <v>566.0</v>
      </c>
      <c r="M1240" s="17">
        <v>4.0</v>
      </c>
      <c r="N1240" s="17">
        <v>3.0</v>
      </c>
      <c r="O1240" s="17">
        <v>31.1</v>
      </c>
      <c r="P1240" s="17">
        <v>4.7</v>
      </c>
      <c r="Q1240" s="15">
        <v>46216.0</v>
      </c>
      <c r="R1240" s="12"/>
      <c r="S1240" s="12" t="s">
        <v>55</v>
      </c>
      <c r="T1240" s="12" t="s">
        <v>66</v>
      </c>
      <c r="U1240" s="17">
        <f t="shared" si="1"/>
        <v>4</v>
      </c>
    </row>
    <row r="1241">
      <c r="A1241" s="12" t="s">
        <v>544</v>
      </c>
      <c r="B1241" s="12" t="s">
        <v>78</v>
      </c>
      <c r="C1241" s="17">
        <v>33.0</v>
      </c>
      <c r="D1241" s="12" t="s">
        <v>69</v>
      </c>
      <c r="E1241" s="12" t="s">
        <v>70</v>
      </c>
      <c r="F1241" s="12" t="s">
        <v>37</v>
      </c>
      <c r="G1241" s="12" t="s">
        <v>52</v>
      </c>
      <c r="H1241" s="15">
        <v>45846.0</v>
      </c>
      <c r="I1241" s="17">
        <v>48.0</v>
      </c>
      <c r="J1241" s="12" t="s">
        <v>40</v>
      </c>
      <c r="K1241" s="12" t="s">
        <v>42</v>
      </c>
      <c r="L1241" s="17">
        <v>1648.0</v>
      </c>
      <c r="M1241" s="17">
        <v>2.0</v>
      </c>
      <c r="N1241" s="17">
        <v>0.0</v>
      </c>
      <c r="O1241" s="17">
        <v>20.5</v>
      </c>
      <c r="P1241" s="17">
        <v>2.8</v>
      </c>
      <c r="Q1241" s="15">
        <v>45959.0</v>
      </c>
      <c r="R1241" s="12"/>
      <c r="S1241" s="12" t="s">
        <v>55</v>
      </c>
      <c r="T1241" s="12" t="s">
        <v>75</v>
      </c>
      <c r="U1241" s="17">
        <f t="shared" si="1"/>
        <v>5</v>
      </c>
    </row>
    <row r="1242">
      <c r="A1242" s="12" t="s">
        <v>1815</v>
      </c>
      <c r="B1242" s="12" t="s">
        <v>247</v>
      </c>
      <c r="C1242" s="17">
        <v>45.0</v>
      </c>
      <c r="D1242" s="12" t="s">
        <v>60</v>
      </c>
      <c r="E1242" s="12" t="s">
        <v>97</v>
      </c>
      <c r="F1242" s="12" t="s">
        <v>37</v>
      </c>
      <c r="G1242" s="12" t="s">
        <v>880</v>
      </c>
      <c r="H1242" s="15">
        <v>45061.0</v>
      </c>
      <c r="I1242" s="17">
        <v>24.0</v>
      </c>
      <c r="J1242" s="12" t="s">
        <v>53</v>
      </c>
      <c r="K1242" s="12" t="s">
        <v>42</v>
      </c>
      <c r="L1242" s="17">
        <v>1794.0</v>
      </c>
      <c r="M1242" s="17">
        <v>2.0</v>
      </c>
      <c r="N1242" s="17">
        <v>0.0</v>
      </c>
      <c r="O1242" s="17">
        <v>21.2</v>
      </c>
      <c r="P1242" s="17">
        <v>3.1</v>
      </c>
      <c r="Q1242" s="15">
        <v>45204.0</v>
      </c>
      <c r="R1242" s="12"/>
      <c r="S1242" s="12" t="s">
        <v>55</v>
      </c>
      <c r="T1242" s="12" t="s">
        <v>75</v>
      </c>
      <c r="U1242" s="17">
        <f t="shared" si="1"/>
        <v>3</v>
      </c>
    </row>
    <row r="1243">
      <c r="A1243" s="12" t="s">
        <v>1816</v>
      </c>
      <c r="B1243" s="12" t="s">
        <v>110</v>
      </c>
      <c r="C1243" s="17">
        <v>41.0</v>
      </c>
      <c r="D1243" s="12" t="s">
        <v>85</v>
      </c>
      <c r="E1243" s="12" t="s">
        <v>111</v>
      </c>
      <c r="F1243" s="12" t="s">
        <v>62</v>
      </c>
      <c r="G1243" s="12" t="s">
        <v>93</v>
      </c>
      <c r="H1243" s="15">
        <v>44679.0</v>
      </c>
      <c r="I1243" s="17">
        <v>23.0</v>
      </c>
      <c r="J1243" s="12" t="s">
        <v>53</v>
      </c>
      <c r="K1243" s="12" t="s">
        <v>81</v>
      </c>
      <c r="L1243" s="17">
        <v>803.0</v>
      </c>
      <c r="M1243" s="17">
        <v>0.0</v>
      </c>
      <c r="N1243" s="17">
        <v>2.0</v>
      </c>
      <c r="O1243" s="17">
        <v>2.7</v>
      </c>
      <c r="P1243" s="17">
        <v>2.4</v>
      </c>
      <c r="Q1243" s="15">
        <v>45139.0</v>
      </c>
      <c r="R1243" s="12"/>
      <c r="S1243" s="12" t="s">
        <v>55</v>
      </c>
      <c r="T1243" s="12" t="s">
        <v>104</v>
      </c>
      <c r="U1243" s="17">
        <f t="shared" si="1"/>
        <v>1</v>
      </c>
    </row>
    <row r="1244">
      <c r="A1244" s="12" t="s">
        <v>1817</v>
      </c>
      <c r="B1244" s="12" t="s">
        <v>241</v>
      </c>
      <c r="C1244" s="17">
        <v>43.0</v>
      </c>
      <c r="D1244" s="12" t="s">
        <v>69</v>
      </c>
      <c r="E1244" s="12" t="s">
        <v>187</v>
      </c>
      <c r="F1244" s="12" t="s">
        <v>37</v>
      </c>
      <c r="G1244" s="12" t="s">
        <v>52</v>
      </c>
      <c r="H1244" s="15">
        <v>44608.0</v>
      </c>
      <c r="I1244" s="17">
        <v>42.0</v>
      </c>
      <c r="J1244" s="12" t="s">
        <v>64</v>
      </c>
      <c r="K1244" s="12" t="s">
        <v>81</v>
      </c>
      <c r="L1244" s="17">
        <v>1090.0</v>
      </c>
      <c r="M1244" s="17">
        <v>3.0</v>
      </c>
      <c r="N1244" s="17">
        <v>1.0</v>
      </c>
      <c r="O1244" s="17">
        <v>33.8</v>
      </c>
      <c r="P1244" s="17">
        <v>5.0</v>
      </c>
      <c r="Q1244" s="15">
        <v>44769.0</v>
      </c>
      <c r="R1244" s="12"/>
      <c r="S1244" s="12" t="s">
        <v>55</v>
      </c>
      <c r="T1244" s="12" t="s">
        <v>47</v>
      </c>
      <c r="U1244" s="17">
        <f t="shared" si="1"/>
        <v>1</v>
      </c>
    </row>
    <row r="1245">
      <c r="A1245" s="12" t="s">
        <v>1818</v>
      </c>
      <c r="B1245" s="12" t="s">
        <v>34</v>
      </c>
      <c r="C1245" s="17">
        <v>44.0</v>
      </c>
      <c r="D1245" s="12" t="s">
        <v>69</v>
      </c>
      <c r="E1245" s="12" t="s">
        <v>70</v>
      </c>
      <c r="F1245" s="12" t="s">
        <v>79</v>
      </c>
      <c r="G1245" s="12" t="s">
        <v>63</v>
      </c>
      <c r="H1245" s="15">
        <v>45101.0</v>
      </c>
      <c r="I1245" s="17">
        <v>16.0</v>
      </c>
      <c r="J1245" s="12" t="s">
        <v>40</v>
      </c>
      <c r="K1245" s="12" t="s">
        <v>42</v>
      </c>
      <c r="L1245" s="17">
        <v>3680.0</v>
      </c>
      <c r="M1245" s="17">
        <v>4.0</v>
      </c>
      <c r="N1245" s="17">
        <v>1.0</v>
      </c>
      <c r="O1245" s="17">
        <v>53.9</v>
      </c>
      <c r="P1245" s="17">
        <v>3.7</v>
      </c>
      <c r="Q1245" s="15">
        <v>45252.0</v>
      </c>
      <c r="R1245" s="12" t="s">
        <v>1819</v>
      </c>
      <c r="S1245" s="12" t="s">
        <v>45</v>
      </c>
      <c r="T1245" s="12" t="s">
        <v>66</v>
      </c>
      <c r="U1245" s="17">
        <f t="shared" si="1"/>
        <v>1</v>
      </c>
    </row>
    <row r="1246">
      <c r="A1246" s="12" t="s">
        <v>1388</v>
      </c>
      <c r="B1246" s="12" t="s">
        <v>118</v>
      </c>
      <c r="C1246" s="17">
        <v>67.0</v>
      </c>
      <c r="D1246" s="12" t="s">
        <v>69</v>
      </c>
      <c r="E1246" s="12" t="s">
        <v>70</v>
      </c>
      <c r="F1246" s="12" t="s">
        <v>62</v>
      </c>
      <c r="G1246" s="12" t="s">
        <v>63</v>
      </c>
      <c r="H1246" s="15">
        <v>45588.0</v>
      </c>
      <c r="I1246" s="17">
        <v>4.0</v>
      </c>
      <c r="J1246" s="12" t="s">
        <v>40</v>
      </c>
      <c r="K1246" s="12" t="s">
        <v>65</v>
      </c>
      <c r="L1246" s="17">
        <v>784.0</v>
      </c>
      <c r="M1246" s="17">
        <v>2.0</v>
      </c>
      <c r="N1246" s="17">
        <v>0.0</v>
      </c>
      <c r="O1246" s="17">
        <v>21.5</v>
      </c>
      <c r="P1246" s="17">
        <v>1.9</v>
      </c>
      <c r="Q1246" s="15">
        <v>45704.0</v>
      </c>
      <c r="R1246" s="12"/>
      <c r="S1246" s="12" t="s">
        <v>55</v>
      </c>
      <c r="T1246" s="12" t="s">
        <v>47</v>
      </c>
      <c r="U1246" s="17">
        <f t="shared" si="1"/>
        <v>3</v>
      </c>
    </row>
    <row r="1247">
      <c r="A1247" s="12" t="s">
        <v>1820</v>
      </c>
      <c r="B1247" s="12" t="s">
        <v>152</v>
      </c>
      <c r="C1247" s="17">
        <v>47.0</v>
      </c>
      <c r="D1247" s="12" t="s">
        <v>85</v>
      </c>
      <c r="E1247" s="12" t="s">
        <v>111</v>
      </c>
      <c r="F1247" s="12" t="s">
        <v>62</v>
      </c>
      <c r="G1247" s="12" t="s">
        <v>80</v>
      </c>
      <c r="H1247" s="15">
        <v>45368.0</v>
      </c>
      <c r="I1247" s="17">
        <v>24.0</v>
      </c>
      <c r="J1247" s="12" t="s">
        <v>53</v>
      </c>
      <c r="K1247" s="12" t="s">
        <v>65</v>
      </c>
      <c r="L1247" s="17">
        <v>654.0</v>
      </c>
      <c r="M1247" s="17">
        <v>3.0</v>
      </c>
      <c r="N1247" s="17">
        <v>1.0</v>
      </c>
      <c r="O1247" s="17">
        <v>25.0</v>
      </c>
      <c r="P1247" s="17">
        <v>5.0</v>
      </c>
      <c r="Q1247" s="15">
        <v>45638.0</v>
      </c>
      <c r="R1247" s="12"/>
      <c r="S1247" s="12" t="s">
        <v>55</v>
      </c>
      <c r="T1247" s="12" t="s">
        <v>47</v>
      </c>
      <c r="U1247" s="17">
        <f t="shared" si="1"/>
        <v>1</v>
      </c>
    </row>
    <row r="1248">
      <c r="A1248" s="12" t="s">
        <v>1441</v>
      </c>
      <c r="B1248" s="12" t="s">
        <v>163</v>
      </c>
      <c r="C1248" s="17">
        <v>27.0</v>
      </c>
      <c r="D1248" s="12" t="s">
        <v>60</v>
      </c>
      <c r="E1248" s="12" t="s">
        <v>97</v>
      </c>
      <c r="F1248" s="12" t="s">
        <v>37</v>
      </c>
      <c r="G1248" s="12" t="s">
        <v>80</v>
      </c>
      <c r="H1248" s="15">
        <v>45415.0</v>
      </c>
      <c r="I1248" s="17">
        <v>23.0</v>
      </c>
      <c r="J1248" s="12" t="s">
        <v>40</v>
      </c>
      <c r="K1248" s="12" t="s">
        <v>65</v>
      </c>
      <c r="L1248" s="17">
        <v>1618.0</v>
      </c>
      <c r="M1248" s="17">
        <v>0.0</v>
      </c>
      <c r="N1248" s="17">
        <v>2.0</v>
      </c>
      <c r="O1248" s="17">
        <v>26.6</v>
      </c>
      <c r="P1248" s="17">
        <v>5.0</v>
      </c>
      <c r="Q1248" s="15">
        <v>45596.0</v>
      </c>
      <c r="R1248" s="12"/>
      <c r="S1248" s="12" t="s">
        <v>55</v>
      </c>
      <c r="T1248" s="12" t="s">
        <v>47</v>
      </c>
      <c r="U1248" s="17">
        <f t="shared" si="1"/>
        <v>2</v>
      </c>
    </row>
    <row r="1249">
      <c r="A1249" s="12" t="s">
        <v>1175</v>
      </c>
      <c r="B1249" s="12" t="s">
        <v>281</v>
      </c>
      <c r="C1249" s="17">
        <v>36.0</v>
      </c>
      <c r="D1249" s="12" t="s">
        <v>35</v>
      </c>
      <c r="E1249" s="12" t="s">
        <v>36</v>
      </c>
      <c r="F1249" s="12" t="s">
        <v>62</v>
      </c>
      <c r="G1249" s="12" t="s">
        <v>39</v>
      </c>
      <c r="H1249" s="15">
        <v>45085.0</v>
      </c>
      <c r="I1249" s="17">
        <v>14.0</v>
      </c>
      <c r="J1249" s="12" t="s">
        <v>64</v>
      </c>
      <c r="K1249" s="12" t="s">
        <v>42</v>
      </c>
      <c r="L1249" s="17">
        <v>839.0</v>
      </c>
      <c r="M1249" s="17">
        <v>0.0</v>
      </c>
      <c r="N1249" s="17">
        <v>1.0</v>
      </c>
      <c r="O1249" s="17">
        <v>17.4</v>
      </c>
      <c r="P1249" s="17">
        <v>3.7</v>
      </c>
      <c r="Q1249" s="15">
        <v>45519.0</v>
      </c>
      <c r="R1249" s="12" t="s">
        <v>984</v>
      </c>
      <c r="S1249" s="12" t="s">
        <v>45</v>
      </c>
      <c r="T1249" s="12" t="s">
        <v>104</v>
      </c>
      <c r="U1249" s="17">
        <f t="shared" si="1"/>
        <v>2</v>
      </c>
    </row>
    <row r="1250">
      <c r="A1250" s="12" t="s">
        <v>1821</v>
      </c>
      <c r="B1250" s="12" t="s">
        <v>398</v>
      </c>
      <c r="C1250" s="17">
        <v>61.0</v>
      </c>
      <c r="D1250" s="12" t="s">
        <v>35</v>
      </c>
      <c r="E1250" s="12" t="s">
        <v>140</v>
      </c>
      <c r="F1250" s="12" t="s">
        <v>79</v>
      </c>
      <c r="G1250" s="12" t="s">
        <v>80</v>
      </c>
      <c r="H1250" s="15">
        <v>45969.0</v>
      </c>
      <c r="I1250" s="17">
        <v>40.0</v>
      </c>
      <c r="J1250" s="12" t="s">
        <v>64</v>
      </c>
      <c r="K1250" s="12" t="s">
        <v>81</v>
      </c>
      <c r="L1250" s="17">
        <v>2301.0</v>
      </c>
      <c r="M1250" s="17">
        <v>4.0</v>
      </c>
      <c r="N1250" s="17">
        <v>1.0</v>
      </c>
      <c r="O1250" s="17">
        <v>48.0</v>
      </c>
      <c r="P1250" s="17">
        <v>2.7</v>
      </c>
      <c r="Q1250" s="15">
        <v>46470.0</v>
      </c>
      <c r="R1250" s="12"/>
      <c r="S1250" s="12" t="s">
        <v>55</v>
      </c>
      <c r="T1250" s="12" t="s">
        <v>75</v>
      </c>
      <c r="U1250" s="17">
        <f t="shared" si="1"/>
        <v>1</v>
      </c>
    </row>
    <row r="1251">
      <c r="A1251" s="12" t="s">
        <v>1822</v>
      </c>
      <c r="B1251" s="12" t="s">
        <v>295</v>
      </c>
      <c r="C1251" s="17">
        <v>53.0</v>
      </c>
      <c r="D1251" s="12" t="s">
        <v>69</v>
      </c>
      <c r="E1251" s="12" t="s">
        <v>187</v>
      </c>
      <c r="F1251" s="12" t="s">
        <v>37</v>
      </c>
      <c r="G1251" s="12" t="s">
        <v>93</v>
      </c>
      <c r="H1251" s="15">
        <v>45052.0</v>
      </c>
      <c r="I1251" s="17">
        <v>9.0</v>
      </c>
      <c r="J1251" s="12" t="s">
        <v>40</v>
      </c>
      <c r="K1251" s="12" t="s">
        <v>42</v>
      </c>
      <c r="L1251" s="17">
        <v>1470.0</v>
      </c>
      <c r="M1251" s="17">
        <v>2.0</v>
      </c>
      <c r="N1251" s="17">
        <v>1.0</v>
      </c>
      <c r="O1251" s="17">
        <v>26.8</v>
      </c>
      <c r="P1251" s="17">
        <v>3.6</v>
      </c>
      <c r="Q1251" s="15">
        <v>45157.0</v>
      </c>
      <c r="R1251" s="12" t="s">
        <v>1823</v>
      </c>
      <c r="S1251" s="12" t="s">
        <v>45</v>
      </c>
      <c r="T1251" s="12" t="s">
        <v>47</v>
      </c>
      <c r="U1251" s="17">
        <f t="shared" si="1"/>
        <v>1</v>
      </c>
    </row>
    <row r="1252">
      <c r="A1252" s="12" t="s">
        <v>1824</v>
      </c>
      <c r="B1252" s="12" t="s">
        <v>308</v>
      </c>
      <c r="C1252" s="17">
        <v>42.0</v>
      </c>
      <c r="D1252" s="12" t="s">
        <v>69</v>
      </c>
      <c r="E1252" s="12" t="s">
        <v>70</v>
      </c>
      <c r="F1252" s="12" t="s">
        <v>37</v>
      </c>
      <c r="G1252" s="12" t="s">
        <v>39</v>
      </c>
      <c r="H1252" s="15">
        <v>44720.0</v>
      </c>
      <c r="I1252" s="17">
        <v>6.0</v>
      </c>
      <c r="J1252" s="12" t="s">
        <v>64</v>
      </c>
      <c r="K1252" s="12" t="s">
        <v>65</v>
      </c>
      <c r="L1252" s="17">
        <v>1683.0</v>
      </c>
      <c r="M1252" s="17">
        <v>1.0</v>
      </c>
      <c r="N1252" s="17">
        <v>1.0</v>
      </c>
      <c r="O1252" s="17">
        <v>22.7</v>
      </c>
      <c r="P1252" s="17">
        <v>3.2</v>
      </c>
      <c r="Q1252" s="15">
        <v>44857.0</v>
      </c>
      <c r="R1252" s="12"/>
      <c r="S1252" s="12" t="s">
        <v>55</v>
      </c>
      <c r="T1252" s="12" t="s">
        <v>72</v>
      </c>
      <c r="U1252" s="17">
        <f t="shared" si="1"/>
        <v>1</v>
      </c>
    </row>
    <row r="1253">
      <c r="A1253" s="12" t="s">
        <v>1394</v>
      </c>
      <c r="B1253" s="12" t="s">
        <v>312</v>
      </c>
      <c r="C1253" s="17">
        <v>42.0</v>
      </c>
      <c r="D1253" s="12" t="s">
        <v>85</v>
      </c>
      <c r="E1253" s="12" t="s">
        <v>92</v>
      </c>
      <c r="F1253" s="12" t="s">
        <v>37</v>
      </c>
      <c r="G1253" s="12" t="s">
        <v>630</v>
      </c>
      <c r="H1253" s="15">
        <v>45490.0</v>
      </c>
      <c r="I1253" s="17">
        <v>26.0</v>
      </c>
      <c r="J1253" s="12" t="s">
        <v>40</v>
      </c>
      <c r="K1253" s="12" t="s">
        <v>65</v>
      </c>
      <c r="L1253" s="17">
        <v>1273.0</v>
      </c>
      <c r="M1253" s="17">
        <v>1.0</v>
      </c>
      <c r="N1253" s="17">
        <v>0.0</v>
      </c>
      <c r="O1253" s="17">
        <v>36.2</v>
      </c>
      <c r="P1253" s="17">
        <v>5.0</v>
      </c>
      <c r="Q1253" s="15">
        <v>46290.0</v>
      </c>
      <c r="R1253" s="12"/>
      <c r="S1253" s="12" t="s">
        <v>230</v>
      </c>
      <c r="T1253" s="12" t="s">
        <v>72</v>
      </c>
      <c r="U1253" s="17">
        <f t="shared" si="1"/>
        <v>2</v>
      </c>
    </row>
    <row r="1254">
      <c r="A1254" s="12" t="s">
        <v>1825</v>
      </c>
      <c r="B1254" s="12" t="s">
        <v>78</v>
      </c>
      <c r="C1254" s="17">
        <v>24.0</v>
      </c>
      <c r="D1254" s="12" t="s">
        <v>85</v>
      </c>
      <c r="E1254" s="12" t="s">
        <v>92</v>
      </c>
      <c r="F1254" s="12" t="s">
        <v>62</v>
      </c>
      <c r="G1254" s="12" t="s">
        <v>52</v>
      </c>
      <c r="H1254" s="15">
        <v>45779.0</v>
      </c>
      <c r="I1254" s="17">
        <v>33.0</v>
      </c>
      <c r="J1254" s="12" t="s">
        <v>40</v>
      </c>
      <c r="K1254" s="12" t="s">
        <v>65</v>
      </c>
      <c r="L1254" s="17">
        <v>531.0</v>
      </c>
      <c r="M1254" s="17">
        <v>1.0</v>
      </c>
      <c r="N1254" s="12"/>
      <c r="O1254" s="17">
        <v>12.2</v>
      </c>
      <c r="P1254" s="17">
        <v>3.3</v>
      </c>
      <c r="Q1254" s="15">
        <v>46716.0</v>
      </c>
      <c r="R1254" s="12"/>
      <c r="S1254" s="12" t="s">
        <v>55</v>
      </c>
      <c r="T1254" s="12" t="s">
        <v>72</v>
      </c>
      <c r="U1254" s="17">
        <f t="shared" si="1"/>
        <v>1</v>
      </c>
    </row>
    <row r="1255">
      <c r="A1255" s="12" t="s">
        <v>1344</v>
      </c>
      <c r="B1255" s="12" t="s">
        <v>605</v>
      </c>
      <c r="C1255" s="17">
        <v>39.0</v>
      </c>
      <c r="D1255" s="12" t="s">
        <v>35</v>
      </c>
      <c r="E1255" s="12" t="s">
        <v>36</v>
      </c>
      <c r="F1255" s="12" t="s">
        <v>37</v>
      </c>
      <c r="G1255" s="12" t="s">
        <v>93</v>
      </c>
      <c r="H1255" s="15">
        <v>45828.0</v>
      </c>
      <c r="I1255" s="17">
        <v>20.0</v>
      </c>
      <c r="J1255" s="12" t="s">
        <v>53</v>
      </c>
      <c r="K1255" s="12" t="s">
        <v>81</v>
      </c>
      <c r="L1255" s="17">
        <v>1188.0</v>
      </c>
      <c r="M1255" s="17">
        <v>1.0</v>
      </c>
      <c r="N1255" s="17">
        <v>1.0</v>
      </c>
      <c r="O1255" s="17">
        <v>39.7</v>
      </c>
      <c r="P1255" s="17">
        <v>3.0</v>
      </c>
      <c r="Q1255" s="15">
        <v>46246.0</v>
      </c>
      <c r="R1255" s="12"/>
      <c r="S1255" s="12" t="s">
        <v>55</v>
      </c>
      <c r="T1255" s="12" t="s">
        <v>75</v>
      </c>
      <c r="U1255" s="17">
        <f t="shared" si="1"/>
        <v>3</v>
      </c>
    </row>
    <row r="1256">
      <c r="A1256" s="12" t="s">
        <v>1662</v>
      </c>
      <c r="B1256" s="12" t="s">
        <v>340</v>
      </c>
      <c r="C1256" s="17">
        <v>36.0</v>
      </c>
      <c r="D1256" s="12" t="s">
        <v>60</v>
      </c>
      <c r="E1256" s="12" t="s">
        <v>133</v>
      </c>
      <c r="F1256" s="12" t="s">
        <v>62</v>
      </c>
      <c r="G1256" s="12" t="s">
        <v>93</v>
      </c>
      <c r="H1256" s="15">
        <v>45052.0</v>
      </c>
      <c r="I1256" s="17">
        <v>1.0</v>
      </c>
      <c r="J1256" s="12" t="s">
        <v>40</v>
      </c>
      <c r="K1256" s="12" t="s">
        <v>65</v>
      </c>
      <c r="L1256" s="17">
        <v>640.0</v>
      </c>
      <c r="M1256" s="17">
        <v>2.0</v>
      </c>
      <c r="N1256" s="17">
        <v>3.0</v>
      </c>
      <c r="O1256" s="17">
        <v>16.8</v>
      </c>
      <c r="P1256" s="17">
        <v>3.0</v>
      </c>
      <c r="Q1256" s="15">
        <v>45085.0</v>
      </c>
      <c r="R1256" s="12"/>
      <c r="S1256" s="12" t="s">
        <v>55</v>
      </c>
      <c r="T1256" s="12" t="s">
        <v>104</v>
      </c>
      <c r="U1256" s="17">
        <f t="shared" si="1"/>
        <v>3</v>
      </c>
    </row>
    <row r="1257">
      <c r="A1257" s="12" t="s">
        <v>768</v>
      </c>
      <c r="B1257" s="12" t="s">
        <v>224</v>
      </c>
      <c r="C1257" s="17">
        <v>32.0</v>
      </c>
      <c r="D1257" s="12" t="s">
        <v>35</v>
      </c>
      <c r="E1257" s="12" t="s">
        <v>161</v>
      </c>
      <c r="F1257" s="12" t="s">
        <v>37</v>
      </c>
      <c r="G1257" s="12" t="s">
        <v>80</v>
      </c>
      <c r="H1257" s="15">
        <v>44962.0</v>
      </c>
      <c r="I1257" s="17">
        <v>16.0</v>
      </c>
      <c r="J1257" s="12" t="s">
        <v>64</v>
      </c>
      <c r="K1257" s="12" t="s">
        <v>42</v>
      </c>
      <c r="L1257" s="17">
        <v>1424.0</v>
      </c>
      <c r="M1257" s="17">
        <v>3.0</v>
      </c>
      <c r="N1257" s="17">
        <v>5.0</v>
      </c>
      <c r="O1257" s="17">
        <v>17.0</v>
      </c>
      <c r="P1257" s="17">
        <v>3.3</v>
      </c>
      <c r="Q1257" s="15">
        <v>45031.0</v>
      </c>
      <c r="R1257" s="12" t="s">
        <v>1826</v>
      </c>
      <c r="S1257" s="12" t="s">
        <v>45</v>
      </c>
      <c r="T1257" s="12" t="s">
        <v>75</v>
      </c>
      <c r="U1257" s="17">
        <f t="shared" si="1"/>
        <v>2</v>
      </c>
    </row>
    <row r="1258">
      <c r="A1258" s="12" t="s">
        <v>1827</v>
      </c>
      <c r="B1258" s="12" t="s">
        <v>639</v>
      </c>
      <c r="C1258" s="17">
        <v>52.0</v>
      </c>
      <c r="D1258" s="12" t="s">
        <v>85</v>
      </c>
      <c r="E1258" s="12" t="s">
        <v>111</v>
      </c>
      <c r="F1258" s="12" t="s">
        <v>37</v>
      </c>
      <c r="G1258" s="12" t="s">
        <v>120</v>
      </c>
      <c r="H1258" s="15">
        <v>45024.0</v>
      </c>
      <c r="I1258" s="17">
        <v>7.0</v>
      </c>
      <c r="J1258" s="12" t="s">
        <v>53</v>
      </c>
      <c r="K1258" s="12" t="s">
        <v>42</v>
      </c>
      <c r="L1258" s="17">
        <v>1017.0</v>
      </c>
      <c r="M1258" s="17">
        <v>3.0</v>
      </c>
      <c r="N1258" s="17">
        <v>0.0</v>
      </c>
      <c r="O1258" s="17">
        <v>27.7</v>
      </c>
      <c r="P1258" s="17">
        <v>2.1</v>
      </c>
      <c r="Q1258" s="15">
        <v>45170.0</v>
      </c>
      <c r="R1258" s="12" t="s">
        <v>1828</v>
      </c>
      <c r="S1258" s="12" t="s">
        <v>45</v>
      </c>
      <c r="T1258" s="12" t="s">
        <v>47</v>
      </c>
      <c r="U1258" s="17">
        <f t="shared" si="1"/>
        <v>2</v>
      </c>
    </row>
    <row r="1259">
      <c r="A1259" s="12" t="s">
        <v>1553</v>
      </c>
      <c r="B1259" s="12" t="s">
        <v>50</v>
      </c>
      <c r="C1259" s="17">
        <v>51.0</v>
      </c>
      <c r="D1259" s="12" t="s">
        <v>35</v>
      </c>
      <c r="E1259" s="12" t="s">
        <v>161</v>
      </c>
      <c r="F1259" s="12" t="s">
        <v>192</v>
      </c>
      <c r="G1259" s="12" t="s">
        <v>120</v>
      </c>
      <c r="H1259" s="15">
        <v>44751.0</v>
      </c>
      <c r="I1259" s="17">
        <v>36.0</v>
      </c>
      <c r="J1259" s="12" t="s">
        <v>53</v>
      </c>
      <c r="K1259" s="12" t="s">
        <v>65</v>
      </c>
      <c r="L1259" s="17">
        <v>1213.0</v>
      </c>
      <c r="M1259" s="17">
        <v>1.0</v>
      </c>
      <c r="N1259" s="17">
        <v>0.0</v>
      </c>
      <c r="O1259" s="17">
        <v>22.1</v>
      </c>
      <c r="P1259" s="17">
        <v>4.2</v>
      </c>
      <c r="Q1259" s="15">
        <v>45333.0</v>
      </c>
      <c r="R1259" s="12"/>
      <c r="S1259" s="12" t="s">
        <v>55</v>
      </c>
      <c r="T1259" s="12" t="s">
        <v>72</v>
      </c>
      <c r="U1259" s="17">
        <f t="shared" si="1"/>
        <v>2</v>
      </c>
    </row>
    <row r="1260">
      <c r="A1260" s="12" t="s">
        <v>1638</v>
      </c>
      <c r="B1260" s="12" t="s">
        <v>68</v>
      </c>
      <c r="C1260" s="17">
        <v>33.0</v>
      </c>
      <c r="D1260" s="12" t="s">
        <v>85</v>
      </c>
      <c r="E1260" s="12" t="s">
        <v>292</v>
      </c>
      <c r="F1260" s="12" t="s">
        <v>62</v>
      </c>
      <c r="G1260" s="12" t="s">
        <v>39</v>
      </c>
      <c r="H1260" s="15">
        <v>45878.0</v>
      </c>
      <c r="I1260" s="17">
        <v>11.0</v>
      </c>
      <c r="J1260" s="12" t="s">
        <v>53</v>
      </c>
      <c r="K1260" s="12" t="s">
        <v>65</v>
      </c>
      <c r="L1260" s="17">
        <v>845.0</v>
      </c>
      <c r="M1260" s="17">
        <v>1.0</v>
      </c>
      <c r="N1260" s="17">
        <v>1.0</v>
      </c>
      <c r="O1260" s="17">
        <v>10.8</v>
      </c>
      <c r="P1260" s="17">
        <v>5.0</v>
      </c>
      <c r="Q1260" s="15">
        <v>46158.0</v>
      </c>
      <c r="R1260" s="12" t="s">
        <v>1829</v>
      </c>
      <c r="S1260" s="12" t="s">
        <v>45</v>
      </c>
      <c r="T1260" s="12" t="s">
        <v>75</v>
      </c>
      <c r="U1260" s="17">
        <f t="shared" si="1"/>
        <v>2</v>
      </c>
    </row>
    <row r="1261">
      <c r="A1261" s="12" t="s">
        <v>677</v>
      </c>
      <c r="B1261" s="12" t="s">
        <v>295</v>
      </c>
      <c r="C1261" s="17">
        <v>28.0</v>
      </c>
      <c r="D1261" s="12" t="s">
        <v>85</v>
      </c>
      <c r="E1261" s="12" t="s">
        <v>87</v>
      </c>
      <c r="F1261" s="12" t="s">
        <v>37</v>
      </c>
      <c r="G1261" s="12" t="s">
        <v>120</v>
      </c>
      <c r="H1261" s="15">
        <v>44947.0</v>
      </c>
      <c r="I1261" s="17">
        <v>13.0</v>
      </c>
      <c r="J1261" s="12" t="s">
        <v>53</v>
      </c>
      <c r="K1261" s="12" t="s">
        <v>81</v>
      </c>
      <c r="L1261" s="17">
        <v>1284.0</v>
      </c>
      <c r="M1261" s="12"/>
      <c r="N1261" s="17">
        <v>1.0</v>
      </c>
      <c r="O1261" s="17">
        <v>38.5</v>
      </c>
      <c r="P1261" s="17">
        <v>4.5</v>
      </c>
      <c r="Q1261" s="15">
        <v>44988.0</v>
      </c>
      <c r="R1261" s="12"/>
      <c r="S1261" s="12" t="s">
        <v>55</v>
      </c>
      <c r="T1261" s="12" t="s">
        <v>104</v>
      </c>
      <c r="U1261" s="17">
        <f t="shared" si="1"/>
        <v>5</v>
      </c>
    </row>
    <row r="1262">
      <c r="A1262" s="12" t="s">
        <v>1830</v>
      </c>
      <c r="B1262" s="12" t="s">
        <v>106</v>
      </c>
      <c r="C1262" s="17">
        <v>23.0</v>
      </c>
      <c r="D1262" s="12" t="s">
        <v>60</v>
      </c>
      <c r="E1262" s="12" t="s">
        <v>107</v>
      </c>
      <c r="F1262" s="12" t="s">
        <v>497</v>
      </c>
      <c r="G1262" s="12" t="s">
        <v>52</v>
      </c>
      <c r="H1262" s="15">
        <v>44655.0</v>
      </c>
      <c r="I1262" s="17">
        <v>3.0</v>
      </c>
      <c r="J1262" s="12" t="s">
        <v>53</v>
      </c>
      <c r="K1262" s="12" t="s">
        <v>81</v>
      </c>
      <c r="L1262" s="17">
        <v>1494.0</v>
      </c>
      <c r="M1262" s="17">
        <v>5.0</v>
      </c>
      <c r="N1262" s="17">
        <v>0.0</v>
      </c>
      <c r="O1262" s="17">
        <v>23.1</v>
      </c>
      <c r="P1262" s="17">
        <v>2.7</v>
      </c>
      <c r="Q1262" s="15">
        <v>44752.0</v>
      </c>
      <c r="R1262" s="12"/>
      <c r="S1262" s="12" t="s">
        <v>55</v>
      </c>
      <c r="T1262" s="12" t="s">
        <v>72</v>
      </c>
      <c r="U1262" s="17">
        <f t="shared" si="1"/>
        <v>2</v>
      </c>
    </row>
    <row r="1263">
      <c r="A1263" s="12" t="s">
        <v>1705</v>
      </c>
      <c r="B1263" s="12" t="s">
        <v>135</v>
      </c>
      <c r="C1263" s="17">
        <v>50.0</v>
      </c>
      <c r="D1263" s="12" t="s">
        <v>69</v>
      </c>
      <c r="E1263" s="12" t="s">
        <v>70</v>
      </c>
      <c r="F1263" s="12" t="s">
        <v>62</v>
      </c>
      <c r="G1263" s="12" t="s">
        <v>80</v>
      </c>
      <c r="H1263" s="15">
        <v>45178.0</v>
      </c>
      <c r="I1263" s="17">
        <v>15.0</v>
      </c>
      <c r="J1263" s="12" t="s">
        <v>40</v>
      </c>
      <c r="K1263" s="12" t="s">
        <v>42</v>
      </c>
      <c r="L1263" s="17">
        <v>853.0</v>
      </c>
      <c r="M1263" s="17">
        <v>2.0</v>
      </c>
      <c r="N1263" s="17">
        <v>2.0</v>
      </c>
      <c r="O1263" s="17">
        <v>19.7</v>
      </c>
      <c r="P1263" s="17">
        <v>3.8</v>
      </c>
      <c r="Q1263" s="15">
        <v>45299.0</v>
      </c>
      <c r="R1263" s="12" t="s">
        <v>1831</v>
      </c>
      <c r="S1263" s="12" t="s">
        <v>45</v>
      </c>
      <c r="T1263" s="12" t="s">
        <v>47</v>
      </c>
      <c r="U1263" s="17">
        <f t="shared" si="1"/>
        <v>2</v>
      </c>
    </row>
    <row r="1264">
      <c r="A1264" s="12" t="s">
        <v>1832</v>
      </c>
      <c r="B1264" s="12" t="s">
        <v>163</v>
      </c>
      <c r="C1264" s="17">
        <v>41.0</v>
      </c>
      <c r="D1264" s="12" t="s">
        <v>69</v>
      </c>
      <c r="E1264" s="12" t="s">
        <v>119</v>
      </c>
      <c r="F1264" s="12" t="s">
        <v>37</v>
      </c>
      <c r="G1264" s="12" t="s">
        <v>210</v>
      </c>
      <c r="H1264" s="15">
        <v>44877.0</v>
      </c>
      <c r="I1264" s="17">
        <v>34.0</v>
      </c>
      <c r="J1264" s="12" t="s">
        <v>40</v>
      </c>
      <c r="K1264" s="12" t="s">
        <v>81</v>
      </c>
      <c r="L1264" s="17">
        <v>1737.0</v>
      </c>
      <c r="M1264" s="17">
        <v>2.0</v>
      </c>
      <c r="N1264" s="17">
        <v>0.0</v>
      </c>
      <c r="O1264" s="17">
        <v>32.6</v>
      </c>
      <c r="P1264" s="17">
        <v>4.1</v>
      </c>
      <c r="Q1264" s="15">
        <v>45268.0</v>
      </c>
      <c r="R1264" s="12" t="s">
        <v>1309</v>
      </c>
      <c r="S1264" s="12" t="s">
        <v>45</v>
      </c>
      <c r="T1264" s="12" t="s">
        <v>72</v>
      </c>
      <c r="U1264" s="17">
        <f t="shared" si="1"/>
        <v>1</v>
      </c>
    </row>
    <row r="1265">
      <c r="A1265" s="12" t="s">
        <v>1833</v>
      </c>
      <c r="B1265" s="12" t="s">
        <v>145</v>
      </c>
      <c r="C1265" s="17">
        <v>19.0</v>
      </c>
      <c r="D1265" s="12" t="s">
        <v>60</v>
      </c>
      <c r="E1265" s="12" t="s">
        <v>97</v>
      </c>
      <c r="F1265" s="12" t="s">
        <v>79</v>
      </c>
      <c r="G1265" s="12" t="s">
        <v>39</v>
      </c>
      <c r="H1265" s="15">
        <v>44908.0</v>
      </c>
      <c r="I1265" s="17">
        <v>10.0</v>
      </c>
      <c r="J1265" s="12" t="s">
        <v>53</v>
      </c>
      <c r="K1265" s="12" t="s">
        <v>65</v>
      </c>
      <c r="L1265" s="17">
        <v>2463.0</v>
      </c>
      <c r="M1265" s="17">
        <v>0.0</v>
      </c>
      <c r="N1265" s="17">
        <v>2.0</v>
      </c>
      <c r="O1265" s="17">
        <v>36.0</v>
      </c>
      <c r="P1265" s="17">
        <v>4.0</v>
      </c>
      <c r="Q1265" s="15">
        <v>45015.0</v>
      </c>
      <c r="R1265" s="12"/>
      <c r="S1265" s="12" t="s">
        <v>55</v>
      </c>
      <c r="T1265" s="12" t="s">
        <v>75</v>
      </c>
      <c r="U1265" s="17">
        <f t="shared" si="1"/>
        <v>1</v>
      </c>
    </row>
    <row r="1266">
      <c r="A1266" s="12" t="s">
        <v>1834</v>
      </c>
      <c r="B1266" s="12" t="s">
        <v>303</v>
      </c>
      <c r="C1266" s="17">
        <v>54.0</v>
      </c>
      <c r="D1266" s="12" t="s">
        <v>69</v>
      </c>
      <c r="E1266" s="12" t="s">
        <v>177</v>
      </c>
      <c r="F1266" s="12" t="s">
        <v>62</v>
      </c>
      <c r="G1266" s="12" t="s">
        <v>39</v>
      </c>
      <c r="H1266" s="15">
        <v>45428.0</v>
      </c>
      <c r="I1266" s="17">
        <v>28.0</v>
      </c>
      <c r="J1266" s="12" t="s">
        <v>53</v>
      </c>
      <c r="K1266" s="12" t="s">
        <v>42</v>
      </c>
      <c r="L1266" s="17">
        <v>678.0</v>
      </c>
      <c r="M1266" s="17">
        <v>3.0</v>
      </c>
      <c r="N1266" s="17">
        <v>0.0</v>
      </c>
      <c r="O1266" s="17">
        <v>21.5</v>
      </c>
      <c r="P1266" s="17">
        <v>4.4</v>
      </c>
      <c r="Q1266" s="15">
        <v>45844.0</v>
      </c>
      <c r="R1266" s="12"/>
      <c r="S1266" s="12" t="s">
        <v>55</v>
      </c>
      <c r="T1266" s="12" t="s">
        <v>66</v>
      </c>
      <c r="U1266" s="17">
        <f t="shared" si="1"/>
        <v>3</v>
      </c>
    </row>
    <row r="1267">
      <c r="A1267" s="12" t="s">
        <v>780</v>
      </c>
      <c r="B1267" s="12" t="s">
        <v>235</v>
      </c>
      <c r="C1267" s="17">
        <v>28.0</v>
      </c>
      <c r="D1267" s="12" t="s">
        <v>85</v>
      </c>
      <c r="E1267" s="12" t="s">
        <v>87</v>
      </c>
      <c r="F1267" s="12" t="s">
        <v>37</v>
      </c>
      <c r="G1267" s="12" t="s">
        <v>63</v>
      </c>
      <c r="H1267" s="15">
        <v>45597.0</v>
      </c>
      <c r="I1267" s="17">
        <v>11.0</v>
      </c>
      <c r="J1267" s="12" t="s">
        <v>53</v>
      </c>
      <c r="K1267" s="12" t="s">
        <v>42</v>
      </c>
      <c r="L1267" s="17">
        <v>1389.0</v>
      </c>
      <c r="M1267" s="17">
        <v>4.0</v>
      </c>
      <c r="N1267" s="17">
        <v>0.0</v>
      </c>
      <c r="O1267" s="17">
        <v>54.2</v>
      </c>
      <c r="P1267" s="17">
        <v>4.2</v>
      </c>
      <c r="Q1267" s="15">
        <v>45657.0</v>
      </c>
      <c r="R1267" s="12" t="s">
        <v>1835</v>
      </c>
      <c r="S1267" s="12" t="s">
        <v>45</v>
      </c>
      <c r="T1267" s="12" t="s">
        <v>72</v>
      </c>
      <c r="U1267" s="17">
        <f t="shared" si="1"/>
        <v>2</v>
      </c>
    </row>
    <row r="1268">
      <c r="A1268" s="12" t="s">
        <v>1836</v>
      </c>
      <c r="B1268" s="12" t="s">
        <v>139</v>
      </c>
      <c r="C1268" s="17">
        <v>49.0</v>
      </c>
      <c r="D1268" s="12" t="s">
        <v>69</v>
      </c>
      <c r="E1268" s="12" t="s">
        <v>187</v>
      </c>
      <c r="F1268" s="12" t="s">
        <v>37</v>
      </c>
      <c r="G1268" s="12" t="s">
        <v>93</v>
      </c>
      <c r="H1268" s="15">
        <v>45571.0</v>
      </c>
      <c r="I1268" s="17">
        <v>43.0</v>
      </c>
      <c r="J1268" s="12" t="s">
        <v>40</v>
      </c>
      <c r="K1268" s="12" t="s">
        <v>65</v>
      </c>
      <c r="L1268" s="17">
        <v>1444.0</v>
      </c>
      <c r="M1268" s="17">
        <v>2.0</v>
      </c>
      <c r="N1268" s="17">
        <v>0.0</v>
      </c>
      <c r="O1268" s="17">
        <v>34.5</v>
      </c>
      <c r="P1268" s="17">
        <v>2.7</v>
      </c>
      <c r="Q1268" s="15">
        <v>46117.0</v>
      </c>
      <c r="R1268" s="12" t="s">
        <v>1837</v>
      </c>
      <c r="S1268" s="12" t="s">
        <v>45</v>
      </c>
      <c r="T1268" s="12" t="s">
        <v>75</v>
      </c>
      <c r="U1268" s="17">
        <f t="shared" si="1"/>
        <v>1</v>
      </c>
    </row>
    <row r="1269">
      <c r="A1269" s="12" t="s">
        <v>201</v>
      </c>
      <c r="B1269" s="12" t="s">
        <v>736</v>
      </c>
      <c r="C1269" s="17">
        <v>35.0</v>
      </c>
      <c r="D1269" s="12" t="s">
        <v>60</v>
      </c>
      <c r="E1269" s="12" t="s">
        <v>97</v>
      </c>
      <c r="F1269" s="12" t="s">
        <v>62</v>
      </c>
      <c r="G1269" s="12" t="s">
        <v>39</v>
      </c>
      <c r="H1269" s="15">
        <v>45976.0</v>
      </c>
      <c r="I1269" s="17">
        <v>10.0</v>
      </c>
      <c r="J1269" s="12" t="s">
        <v>40</v>
      </c>
      <c r="K1269" s="12" t="s">
        <v>65</v>
      </c>
      <c r="L1269" s="17">
        <v>581.0</v>
      </c>
      <c r="M1269" s="17">
        <v>4.0</v>
      </c>
      <c r="N1269" s="17">
        <v>1.0</v>
      </c>
      <c r="O1269" s="17">
        <v>23.4</v>
      </c>
      <c r="P1269" s="17">
        <v>2.2</v>
      </c>
      <c r="Q1269" s="15">
        <v>45994.0</v>
      </c>
      <c r="R1269" s="12"/>
      <c r="S1269" s="12" t="s">
        <v>55</v>
      </c>
      <c r="T1269" s="12" t="s">
        <v>66</v>
      </c>
      <c r="U1269" s="17">
        <f t="shared" si="1"/>
        <v>2</v>
      </c>
    </row>
    <row r="1270">
      <c r="A1270" s="12" t="s">
        <v>1838</v>
      </c>
      <c r="B1270" s="12" t="s">
        <v>202</v>
      </c>
      <c r="C1270" s="17">
        <v>34.0</v>
      </c>
      <c r="D1270" s="12" t="s">
        <v>69</v>
      </c>
      <c r="E1270" s="12" t="s">
        <v>187</v>
      </c>
      <c r="F1270" s="12" t="s">
        <v>62</v>
      </c>
      <c r="G1270" s="12" t="s">
        <v>210</v>
      </c>
      <c r="H1270" s="15">
        <v>45391.0</v>
      </c>
      <c r="I1270" s="17">
        <v>4.0</v>
      </c>
      <c r="J1270" s="12" t="s">
        <v>64</v>
      </c>
      <c r="K1270" s="12" t="s">
        <v>81</v>
      </c>
      <c r="L1270" s="17">
        <v>815.0</v>
      </c>
      <c r="M1270" s="17">
        <v>1.0</v>
      </c>
      <c r="N1270" s="17">
        <v>0.0</v>
      </c>
      <c r="O1270" s="17">
        <v>24.3</v>
      </c>
      <c r="P1270" s="17">
        <v>2.9</v>
      </c>
      <c r="Q1270" s="15">
        <v>45496.0</v>
      </c>
      <c r="R1270" s="12"/>
      <c r="S1270" s="12" t="s">
        <v>55</v>
      </c>
      <c r="T1270" s="12" t="s">
        <v>75</v>
      </c>
      <c r="U1270" s="17">
        <f t="shared" si="1"/>
        <v>1</v>
      </c>
    </row>
    <row r="1271">
      <c r="A1271" s="12" t="s">
        <v>1839</v>
      </c>
      <c r="B1271" s="12" t="s">
        <v>257</v>
      </c>
      <c r="C1271" s="17">
        <v>33.0</v>
      </c>
      <c r="D1271" s="12" t="s">
        <v>35</v>
      </c>
      <c r="E1271" s="12" t="s">
        <v>36</v>
      </c>
      <c r="F1271" s="12" t="s">
        <v>37</v>
      </c>
      <c r="G1271" s="12" t="s">
        <v>630</v>
      </c>
      <c r="H1271" s="15">
        <v>45374.0</v>
      </c>
      <c r="I1271" s="17">
        <v>44.0</v>
      </c>
      <c r="J1271" s="12" t="s">
        <v>64</v>
      </c>
      <c r="K1271" s="12" t="s">
        <v>65</v>
      </c>
      <c r="L1271" s="17">
        <v>1106.0</v>
      </c>
      <c r="M1271" s="17">
        <v>0.0</v>
      </c>
      <c r="N1271" s="17">
        <v>1.0</v>
      </c>
      <c r="O1271" s="17">
        <v>20.8</v>
      </c>
      <c r="P1271" s="17">
        <v>1.0</v>
      </c>
      <c r="Q1271" s="15">
        <v>45867.0</v>
      </c>
      <c r="R1271" s="12" t="s">
        <v>1840</v>
      </c>
      <c r="S1271" s="12" t="s">
        <v>45</v>
      </c>
      <c r="T1271" s="12" t="s">
        <v>104</v>
      </c>
      <c r="U1271" s="17">
        <f t="shared" si="1"/>
        <v>1</v>
      </c>
    </row>
    <row r="1272">
      <c r="A1272" s="12" t="s">
        <v>1330</v>
      </c>
      <c r="B1272" s="12" t="s">
        <v>139</v>
      </c>
      <c r="C1272" s="17">
        <v>33.0</v>
      </c>
      <c r="D1272" s="12" t="s">
        <v>60</v>
      </c>
      <c r="E1272" s="12" t="s">
        <v>97</v>
      </c>
      <c r="F1272" s="12" t="s">
        <v>62</v>
      </c>
      <c r="G1272" s="12" t="s">
        <v>52</v>
      </c>
      <c r="H1272" s="15">
        <v>44708.0</v>
      </c>
      <c r="I1272" s="17">
        <v>15.0</v>
      </c>
      <c r="J1272" s="12" t="s">
        <v>64</v>
      </c>
      <c r="K1272" s="12" t="s">
        <v>81</v>
      </c>
      <c r="L1272" s="17">
        <v>588.0</v>
      </c>
      <c r="M1272" s="17">
        <v>1.0</v>
      </c>
      <c r="N1272" s="17">
        <v>0.0</v>
      </c>
      <c r="O1272" s="17">
        <v>3.6</v>
      </c>
      <c r="P1272" s="17">
        <v>4.2</v>
      </c>
      <c r="Q1272" s="15">
        <v>44747.0</v>
      </c>
      <c r="R1272" s="12" t="s">
        <v>1841</v>
      </c>
      <c r="S1272" s="12" t="s">
        <v>45</v>
      </c>
      <c r="T1272" s="12" t="s">
        <v>75</v>
      </c>
      <c r="U1272" s="17">
        <f t="shared" si="1"/>
        <v>2</v>
      </c>
    </row>
    <row r="1273">
      <c r="A1273" s="12" t="s">
        <v>1842</v>
      </c>
      <c r="B1273" s="12" t="s">
        <v>288</v>
      </c>
      <c r="C1273" s="17">
        <v>42.0</v>
      </c>
      <c r="D1273" s="12" t="s">
        <v>60</v>
      </c>
      <c r="E1273" s="12" t="s">
        <v>133</v>
      </c>
      <c r="F1273" s="12" t="s">
        <v>62</v>
      </c>
      <c r="G1273" s="12" t="s">
        <v>52</v>
      </c>
      <c r="H1273" s="15">
        <v>45128.0</v>
      </c>
      <c r="I1273" s="17">
        <v>31.0</v>
      </c>
      <c r="J1273" s="12" t="s">
        <v>40</v>
      </c>
      <c r="K1273" s="12" t="s">
        <v>65</v>
      </c>
      <c r="L1273" s="17">
        <v>662.0</v>
      </c>
      <c r="M1273" s="17">
        <v>1.0</v>
      </c>
      <c r="N1273" s="17">
        <v>2.0</v>
      </c>
      <c r="O1273" s="17">
        <v>6.8</v>
      </c>
      <c r="P1273" s="17">
        <v>3.8</v>
      </c>
      <c r="Q1273" s="15">
        <v>45212.0</v>
      </c>
      <c r="R1273" s="12"/>
      <c r="S1273" s="12" t="s">
        <v>55</v>
      </c>
      <c r="T1273" s="12" t="s">
        <v>72</v>
      </c>
      <c r="U1273" s="17">
        <f t="shared" si="1"/>
        <v>1</v>
      </c>
    </row>
    <row r="1274">
      <c r="A1274" s="12" t="s">
        <v>1843</v>
      </c>
      <c r="B1274" s="12" t="s">
        <v>448</v>
      </c>
      <c r="C1274" s="12" t="s">
        <v>1844</v>
      </c>
      <c r="D1274" s="12" t="s">
        <v>35</v>
      </c>
      <c r="E1274" s="12" t="s">
        <v>161</v>
      </c>
      <c r="F1274" s="12" t="s">
        <v>62</v>
      </c>
      <c r="G1274" s="12" t="s">
        <v>210</v>
      </c>
      <c r="H1274" s="15">
        <v>44596.0</v>
      </c>
      <c r="I1274" s="17">
        <v>37.0</v>
      </c>
      <c r="J1274" s="12" t="s">
        <v>655</v>
      </c>
      <c r="K1274" s="12" t="s">
        <v>65</v>
      </c>
      <c r="L1274" s="17">
        <v>545.0</v>
      </c>
      <c r="M1274" s="17">
        <v>2.0</v>
      </c>
      <c r="N1274" s="17">
        <v>2.0</v>
      </c>
      <c r="O1274" s="17">
        <v>11.8</v>
      </c>
      <c r="P1274" s="17">
        <v>3.6</v>
      </c>
      <c r="Q1274" s="15">
        <v>45375.0</v>
      </c>
      <c r="R1274" s="12" t="s">
        <v>1845</v>
      </c>
      <c r="S1274" s="12" t="s">
        <v>45</v>
      </c>
      <c r="T1274" s="12" t="s">
        <v>72</v>
      </c>
      <c r="U1274" s="17">
        <f t="shared" si="1"/>
        <v>1</v>
      </c>
    </row>
    <row r="1275">
      <c r="A1275" s="12" t="s">
        <v>434</v>
      </c>
      <c r="B1275" s="12" t="s">
        <v>639</v>
      </c>
      <c r="C1275" s="17">
        <v>25.0</v>
      </c>
      <c r="D1275" s="12" t="s">
        <v>35</v>
      </c>
      <c r="E1275" s="12" t="s">
        <v>140</v>
      </c>
      <c r="F1275" s="12" t="s">
        <v>37</v>
      </c>
      <c r="G1275" s="12" t="s">
        <v>93</v>
      </c>
      <c r="H1275" s="15">
        <v>44842.0</v>
      </c>
      <c r="I1275" s="17">
        <v>2.0</v>
      </c>
      <c r="J1275" s="12" t="s">
        <v>40</v>
      </c>
      <c r="K1275" s="12" t="s">
        <v>81</v>
      </c>
      <c r="L1275" s="17">
        <v>1161.0</v>
      </c>
      <c r="M1275" s="17">
        <v>4.0</v>
      </c>
      <c r="N1275" s="17">
        <v>2.0</v>
      </c>
      <c r="O1275" s="17">
        <v>13.8</v>
      </c>
      <c r="P1275" s="17">
        <v>5.0</v>
      </c>
      <c r="Q1275" s="15">
        <v>44853.0</v>
      </c>
      <c r="R1275" s="12"/>
      <c r="S1275" s="12" t="s">
        <v>55</v>
      </c>
      <c r="T1275" s="12" t="s">
        <v>104</v>
      </c>
      <c r="U1275" s="17">
        <f t="shared" si="1"/>
        <v>4</v>
      </c>
    </row>
    <row r="1276">
      <c r="A1276" s="12" t="s">
        <v>374</v>
      </c>
      <c r="B1276" s="12" t="s">
        <v>351</v>
      </c>
      <c r="C1276" s="12" t="s">
        <v>1846</v>
      </c>
      <c r="D1276" s="12" t="s">
        <v>60</v>
      </c>
      <c r="E1276" s="12" t="s">
        <v>61</v>
      </c>
      <c r="F1276" s="12" t="s">
        <v>79</v>
      </c>
      <c r="G1276" s="12" t="s">
        <v>80</v>
      </c>
      <c r="H1276" s="15">
        <v>45060.0</v>
      </c>
      <c r="I1276" s="17">
        <v>46.0</v>
      </c>
      <c r="J1276" s="12" t="s">
        <v>40</v>
      </c>
      <c r="K1276" s="12" t="s">
        <v>81</v>
      </c>
      <c r="L1276" s="12" t="s">
        <v>1847</v>
      </c>
      <c r="M1276" s="17">
        <v>1.0</v>
      </c>
      <c r="N1276" s="17">
        <v>1.0</v>
      </c>
      <c r="O1276" s="17">
        <v>29.5</v>
      </c>
      <c r="P1276" s="17">
        <v>4.6</v>
      </c>
      <c r="Q1276" s="15">
        <v>46159.0</v>
      </c>
      <c r="R1276" s="12"/>
      <c r="S1276" s="12" t="s">
        <v>55</v>
      </c>
      <c r="T1276" s="12" t="s">
        <v>66</v>
      </c>
      <c r="U1276" s="17">
        <f t="shared" si="1"/>
        <v>3</v>
      </c>
    </row>
    <row r="1277">
      <c r="A1277" s="12" t="s">
        <v>695</v>
      </c>
      <c r="B1277" s="12" t="s">
        <v>734</v>
      </c>
      <c r="C1277" s="17">
        <v>62.0</v>
      </c>
      <c r="D1277" s="12" t="s">
        <v>69</v>
      </c>
      <c r="E1277" s="12" t="s">
        <v>70</v>
      </c>
      <c r="F1277" s="12" t="s">
        <v>62</v>
      </c>
      <c r="G1277" s="12" t="s">
        <v>120</v>
      </c>
      <c r="H1277" s="15">
        <v>45552.0</v>
      </c>
      <c r="I1277" s="17">
        <v>15.0</v>
      </c>
      <c r="J1277" s="12" t="s">
        <v>40</v>
      </c>
      <c r="K1277" s="12" t="s">
        <v>65</v>
      </c>
      <c r="L1277" s="17">
        <v>807.0</v>
      </c>
      <c r="M1277" s="17">
        <v>1.0</v>
      </c>
      <c r="N1277" s="17">
        <v>2.0</v>
      </c>
      <c r="O1277" s="17">
        <v>13.1</v>
      </c>
      <c r="P1277" s="17">
        <v>2.5</v>
      </c>
      <c r="Q1277" s="15">
        <v>45629.0</v>
      </c>
      <c r="R1277" s="12"/>
      <c r="S1277" s="12" t="s">
        <v>55</v>
      </c>
      <c r="T1277" s="12" t="s">
        <v>72</v>
      </c>
      <c r="U1277" s="17">
        <f t="shared" si="1"/>
        <v>5</v>
      </c>
    </row>
    <row r="1278">
      <c r="A1278" s="12" t="s">
        <v>1848</v>
      </c>
      <c r="B1278" s="12" t="s">
        <v>250</v>
      </c>
      <c r="C1278" s="17">
        <v>26.0</v>
      </c>
      <c r="D1278" s="12" t="s">
        <v>85</v>
      </c>
      <c r="E1278" s="12" t="s">
        <v>87</v>
      </c>
      <c r="F1278" s="12" t="s">
        <v>62</v>
      </c>
      <c r="G1278" s="12" t="s">
        <v>93</v>
      </c>
      <c r="H1278" s="15">
        <v>45867.0</v>
      </c>
      <c r="I1278" s="17">
        <v>14.0</v>
      </c>
      <c r="J1278" s="12" t="s">
        <v>64</v>
      </c>
      <c r="K1278" s="12" t="s">
        <v>42</v>
      </c>
      <c r="L1278" s="17">
        <v>849.0</v>
      </c>
      <c r="M1278" s="17">
        <v>1.0</v>
      </c>
      <c r="N1278" s="17">
        <v>0.0</v>
      </c>
      <c r="O1278" s="17">
        <v>13.7</v>
      </c>
      <c r="P1278" s="17">
        <v>2.0</v>
      </c>
      <c r="Q1278" s="15">
        <v>46234.0</v>
      </c>
      <c r="R1278" s="12" t="s">
        <v>1849</v>
      </c>
      <c r="S1278" s="12" t="s">
        <v>529</v>
      </c>
      <c r="T1278" s="12" t="s">
        <v>75</v>
      </c>
      <c r="U1278" s="17">
        <f t="shared" si="1"/>
        <v>1</v>
      </c>
    </row>
    <row r="1279">
      <c r="A1279" s="12" t="s">
        <v>1850</v>
      </c>
      <c r="B1279" s="12" t="s">
        <v>96</v>
      </c>
      <c r="C1279" s="17">
        <v>29.0</v>
      </c>
      <c r="D1279" s="12" t="s">
        <v>306</v>
      </c>
      <c r="E1279" s="12" t="s">
        <v>97</v>
      </c>
      <c r="F1279" s="12" t="s">
        <v>62</v>
      </c>
      <c r="G1279" s="12" t="s">
        <v>80</v>
      </c>
      <c r="H1279" s="15">
        <v>45938.0</v>
      </c>
      <c r="I1279" s="17">
        <v>47.0</v>
      </c>
      <c r="J1279" s="12" t="s">
        <v>40</v>
      </c>
      <c r="K1279" s="12" t="s">
        <v>81</v>
      </c>
      <c r="L1279" s="17">
        <v>825.0</v>
      </c>
      <c r="M1279" s="17">
        <v>3.0</v>
      </c>
      <c r="N1279" s="17">
        <v>1.0</v>
      </c>
      <c r="O1279" s="17">
        <v>14.6</v>
      </c>
      <c r="P1279" s="17">
        <v>4.3</v>
      </c>
      <c r="Q1279" s="15">
        <v>46425.0</v>
      </c>
      <c r="R1279" s="12" t="s">
        <v>1393</v>
      </c>
      <c r="S1279" s="12" t="s">
        <v>45</v>
      </c>
      <c r="T1279" s="12" t="s">
        <v>104</v>
      </c>
      <c r="U1279" s="17">
        <f t="shared" si="1"/>
        <v>1</v>
      </c>
    </row>
    <row r="1280">
      <c r="A1280" s="12" t="s">
        <v>1008</v>
      </c>
      <c r="B1280" s="12" t="s">
        <v>132</v>
      </c>
      <c r="C1280" s="17">
        <v>27.0</v>
      </c>
      <c r="D1280" s="12" t="s">
        <v>35</v>
      </c>
      <c r="E1280" s="12" t="s">
        <v>161</v>
      </c>
      <c r="F1280" s="12" t="s">
        <v>37</v>
      </c>
      <c r="G1280" s="12" t="s">
        <v>120</v>
      </c>
      <c r="H1280" s="15">
        <v>45119.0</v>
      </c>
      <c r="I1280" s="17">
        <v>19.0</v>
      </c>
      <c r="J1280" s="12" t="s">
        <v>53</v>
      </c>
      <c r="K1280" s="12" t="s">
        <v>81</v>
      </c>
      <c r="L1280" s="17">
        <v>1289.0</v>
      </c>
      <c r="M1280" s="17">
        <v>5.0</v>
      </c>
      <c r="N1280" s="17">
        <v>1.0</v>
      </c>
      <c r="O1280" s="17">
        <v>27.2</v>
      </c>
      <c r="P1280" s="17">
        <v>5.0</v>
      </c>
      <c r="Q1280" s="15">
        <v>45136.0</v>
      </c>
      <c r="R1280" s="12"/>
      <c r="S1280" s="12" t="s">
        <v>55</v>
      </c>
      <c r="T1280" s="12" t="s">
        <v>75</v>
      </c>
      <c r="U1280" s="17">
        <f t="shared" si="1"/>
        <v>3</v>
      </c>
    </row>
    <row r="1281">
      <c r="A1281" s="12" t="s">
        <v>1851</v>
      </c>
      <c r="B1281" s="12" t="s">
        <v>398</v>
      </c>
      <c r="C1281" s="17">
        <v>45.0</v>
      </c>
      <c r="D1281" s="12" t="s">
        <v>60</v>
      </c>
      <c r="E1281" s="12" t="s">
        <v>107</v>
      </c>
      <c r="F1281" s="12" t="s">
        <v>37</v>
      </c>
      <c r="G1281" s="12" t="s">
        <v>93</v>
      </c>
      <c r="H1281" s="15">
        <v>45453.0</v>
      </c>
      <c r="I1281" s="17">
        <v>32.0</v>
      </c>
      <c r="J1281" s="12" t="s">
        <v>40</v>
      </c>
      <c r="K1281" s="12" t="s">
        <v>65</v>
      </c>
      <c r="L1281" s="17">
        <v>1457.0</v>
      </c>
      <c r="M1281" s="17">
        <v>5.0</v>
      </c>
      <c r="N1281" s="17">
        <v>0.0</v>
      </c>
      <c r="O1281" s="17">
        <v>26.2</v>
      </c>
      <c r="P1281" s="17">
        <v>4.0</v>
      </c>
      <c r="Q1281" s="15">
        <v>45923.0</v>
      </c>
      <c r="R1281" s="12"/>
      <c r="S1281" s="12" t="s">
        <v>55</v>
      </c>
      <c r="T1281" s="12" t="s">
        <v>72</v>
      </c>
      <c r="U1281" s="17">
        <f t="shared" si="1"/>
        <v>1</v>
      </c>
    </row>
    <row r="1282">
      <c r="A1282" s="12" t="s">
        <v>1852</v>
      </c>
      <c r="B1282" s="12" t="s">
        <v>424</v>
      </c>
      <c r="C1282" s="17">
        <v>56.0</v>
      </c>
      <c r="D1282" s="12" t="s">
        <v>35</v>
      </c>
      <c r="E1282" s="12" t="s">
        <v>161</v>
      </c>
      <c r="F1282" s="12" t="s">
        <v>79</v>
      </c>
      <c r="G1282" s="12" t="s">
        <v>63</v>
      </c>
      <c r="H1282" s="15">
        <v>44609.0</v>
      </c>
      <c r="I1282" s="17">
        <v>27.0</v>
      </c>
      <c r="J1282" s="12" t="s">
        <v>64</v>
      </c>
      <c r="K1282" s="12" t="s">
        <v>65</v>
      </c>
      <c r="L1282" s="17">
        <v>2450.0</v>
      </c>
      <c r="M1282" s="17">
        <v>3.0</v>
      </c>
      <c r="N1282" s="17">
        <v>0.0</v>
      </c>
      <c r="O1282" s="17">
        <v>44.6</v>
      </c>
      <c r="P1282" s="17">
        <v>2.3</v>
      </c>
      <c r="Q1282" s="15">
        <v>45100.0</v>
      </c>
      <c r="R1282" s="12"/>
      <c r="S1282" s="12" t="s">
        <v>55</v>
      </c>
      <c r="T1282" s="12" t="s">
        <v>72</v>
      </c>
      <c r="U1282" s="17">
        <f t="shared" si="1"/>
        <v>1</v>
      </c>
    </row>
    <row r="1283">
      <c r="A1283" s="12" t="s">
        <v>1733</v>
      </c>
      <c r="B1283" s="12" t="s">
        <v>801</v>
      </c>
      <c r="C1283" s="17">
        <v>39.0</v>
      </c>
      <c r="D1283" s="12" t="s">
        <v>85</v>
      </c>
      <c r="E1283" s="12" t="s">
        <v>111</v>
      </c>
      <c r="F1283" s="12" t="s">
        <v>79</v>
      </c>
      <c r="G1283" s="12" t="s">
        <v>120</v>
      </c>
      <c r="H1283" s="15">
        <v>44723.0</v>
      </c>
      <c r="I1283" s="17">
        <v>8.0</v>
      </c>
      <c r="J1283" s="12" t="s">
        <v>40</v>
      </c>
      <c r="K1283" s="12" t="s">
        <v>42</v>
      </c>
      <c r="L1283" s="17">
        <v>2732.0</v>
      </c>
      <c r="M1283" s="17">
        <v>1.0</v>
      </c>
      <c r="N1283" s="17">
        <v>0.0</v>
      </c>
      <c r="O1283" s="17">
        <v>35.9</v>
      </c>
      <c r="P1283" s="17">
        <v>3.0</v>
      </c>
      <c r="Q1283" s="15">
        <v>44768.0</v>
      </c>
      <c r="R1283" s="12" t="s">
        <v>1853</v>
      </c>
      <c r="S1283" s="12" t="s">
        <v>45</v>
      </c>
      <c r="T1283" s="12" t="s">
        <v>72</v>
      </c>
      <c r="U1283" s="17">
        <f t="shared" si="1"/>
        <v>2</v>
      </c>
    </row>
    <row r="1284">
      <c r="A1284" s="12" t="s">
        <v>1609</v>
      </c>
      <c r="B1284" s="12" t="s">
        <v>222</v>
      </c>
      <c r="C1284" s="17">
        <v>34.0</v>
      </c>
      <c r="D1284" s="12" t="s">
        <v>85</v>
      </c>
      <c r="E1284" s="12" t="s">
        <v>292</v>
      </c>
      <c r="F1284" s="12" t="s">
        <v>62</v>
      </c>
      <c r="G1284" s="12" t="s">
        <v>210</v>
      </c>
      <c r="H1284" s="15">
        <v>44787.0</v>
      </c>
      <c r="I1284" s="17">
        <v>11.0</v>
      </c>
      <c r="J1284" s="12" t="s">
        <v>40</v>
      </c>
      <c r="K1284" s="12" t="s">
        <v>65</v>
      </c>
      <c r="L1284" s="17">
        <v>735.0</v>
      </c>
      <c r="M1284" s="17">
        <v>2.0</v>
      </c>
      <c r="N1284" s="17">
        <v>1.0</v>
      </c>
      <c r="O1284" s="17">
        <v>21.9</v>
      </c>
      <c r="P1284" s="17">
        <v>2.7</v>
      </c>
      <c r="Q1284" s="15">
        <v>44902.0</v>
      </c>
      <c r="R1284" s="12"/>
      <c r="S1284" s="12" t="s">
        <v>55</v>
      </c>
      <c r="T1284" s="12" t="s">
        <v>66</v>
      </c>
      <c r="U1284" s="17">
        <f t="shared" si="1"/>
        <v>3</v>
      </c>
    </row>
    <row r="1285">
      <c r="A1285" s="12" t="s">
        <v>1297</v>
      </c>
      <c r="B1285" s="12" t="s">
        <v>250</v>
      </c>
      <c r="C1285" s="17">
        <v>38.0</v>
      </c>
      <c r="D1285" s="12" t="s">
        <v>60</v>
      </c>
      <c r="E1285" s="12"/>
      <c r="F1285" s="12" t="s">
        <v>62</v>
      </c>
      <c r="G1285" s="12" t="s">
        <v>210</v>
      </c>
      <c r="H1285" s="15">
        <v>45409.0</v>
      </c>
      <c r="I1285" s="17">
        <v>43.0</v>
      </c>
      <c r="J1285" s="12" t="s">
        <v>64</v>
      </c>
      <c r="K1285" s="12" t="s">
        <v>805</v>
      </c>
      <c r="L1285" s="17">
        <v>651.0</v>
      </c>
      <c r="M1285" s="17">
        <v>3.0</v>
      </c>
      <c r="N1285" s="17">
        <v>0.0</v>
      </c>
      <c r="O1285" s="17">
        <v>31.8</v>
      </c>
      <c r="P1285" s="17">
        <v>3.8</v>
      </c>
      <c r="Q1285" s="15">
        <v>45955.0</v>
      </c>
      <c r="R1285" s="12"/>
      <c r="S1285" s="12" t="s">
        <v>55</v>
      </c>
      <c r="T1285" s="12" t="s">
        <v>104</v>
      </c>
      <c r="U1285" s="17">
        <f t="shared" si="1"/>
        <v>2</v>
      </c>
    </row>
    <row r="1286">
      <c r="A1286" s="12" t="s">
        <v>1854</v>
      </c>
      <c r="B1286" s="12" t="s">
        <v>169</v>
      </c>
      <c r="C1286" s="17">
        <v>37.0</v>
      </c>
      <c r="D1286" s="12" t="s">
        <v>35</v>
      </c>
      <c r="E1286" s="12" t="s">
        <v>140</v>
      </c>
      <c r="F1286" s="12" t="s">
        <v>37</v>
      </c>
      <c r="G1286" s="12" t="s">
        <v>80</v>
      </c>
      <c r="H1286" s="15">
        <v>45768.0</v>
      </c>
      <c r="I1286" s="17">
        <v>16.0</v>
      </c>
      <c r="J1286" s="12" t="s">
        <v>40</v>
      </c>
      <c r="K1286" s="12" t="s">
        <v>81</v>
      </c>
      <c r="L1286" s="17">
        <v>1721.0</v>
      </c>
      <c r="M1286" s="17">
        <v>1.0</v>
      </c>
      <c r="N1286" s="17">
        <v>1.0</v>
      </c>
      <c r="O1286" s="17">
        <v>15.7</v>
      </c>
      <c r="P1286" s="17">
        <v>4.4</v>
      </c>
      <c r="Q1286" s="15">
        <v>46217.0</v>
      </c>
      <c r="R1286" s="12" t="s">
        <v>1855</v>
      </c>
      <c r="S1286" s="12" t="s">
        <v>45</v>
      </c>
      <c r="T1286" s="12" t="s">
        <v>72</v>
      </c>
      <c r="U1286" s="17">
        <f t="shared" si="1"/>
        <v>1</v>
      </c>
    </row>
    <row r="1287">
      <c r="A1287" s="12" t="s">
        <v>1368</v>
      </c>
      <c r="B1287" s="12" t="s">
        <v>633</v>
      </c>
      <c r="C1287" s="17">
        <v>27.0</v>
      </c>
      <c r="D1287" s="12" t="s">
        <v>60</v>
      </c>
      <c r="E1287" s="12" t="s">
        <v>61</v>
      </c>
      <c r="F1287" s="12" t="s">
        <v>37</v>
      </c>
      <c r="G1287" s="12" t="s">
        <v>52</v>
      </c>
      <c r="H1287" s="15">
        <v>45908.0</v>
      </c>
      <c r="I1287" s="17">
        <v>45.0</v>
      </c>
      <c r="J1287" s="12" t="s">
        <v>64</v>
      </c>
      <c r="K1287" s="12" t="s">
        <v>81</v>
      </c>
      <c r="L1287" s="17">
        <v>1228.0</v>
      </c>
      <c r="M1287" s="17">
        <v>1.0</v>
      </c>
      <c r="N1287" s="17">
        <v>2.0</v>
      </c>
      <c r="O1287" s="17">
        <v>35.4</v>
      </c>
      <c r="P1287" s="17">
        <v>5.0</v>
      </c>
      <c r="Q1287" s="15">
        <v>47133.0</v>
      </c>
      <c r="R1287" s="12"/>
      <c r="S1287" s="12" t="s">
        <v>55</v>
      </c>
      <c r="T1287" s="12" t="s">
        <v>75</v>
      </c>
      <c r="U1287" s="17">
        <f t="shared" si="1"/>
        <v>3</v>
      </c>
    </row>
    <row r="1288">
      <c r="A1288" s="12" t="s">
        <v>1856</v>
      </c>
      <c r="B1288" s="12" t="s">
        <v>288</v>
      </c>
      <c r="C1288" s="17">
        <v>49.0</v>
      </c>
      <c r="D1288" s="12" t="s">
        <v>69</v>
      </c>
      <c r="E1288" s="12" t="s">
        <v>177</v>
      </c>
      <c r="F1288" s="12" t="s">
        <v>62</v>
      </c>
      <c r="G1288" s="12" t="s">
        <v>39</v>
      </c>
      <c r="H1288" s="15">
        <v>44774.0</v>
      </c>
      <c r="I1288" s="17">
        <v>1.0</v>
      </c>
      <c r="J1288" s="12" t="s">
        <v>40</v>
      </c>
      <c r="K1288" s="12" t="s">
        <v>65</v>
      </c>
      <c r="L1288" s="17">
        <v>888.0</v>
      </c>
      <c r="M1288" s="17">
        <v>2.0</v>
      </c>
      <c r="N1288" s="17">
        <v>2.0</v>
      </c>
      <c r="O1288" s="17">
        <v>25.9</v>
      </c>
      <c r="P1288" s="17">
        <v>2.3</v>
      </c>
      <c r="Q1288" s="15">
        <v>44792.0</v>
      </c>
      <c r="R1288" s="12" t="s">
        <v>1857</v>
      </c>
      <c r="S1288" s="12" t="s">
        <v>45</v>
      </c>
      <c r="T1288" s="12" t="s">
        <v>72</v>
      </c>
      <c r="U1288" s="17">
        <f t="shared" si="1"/>
        <v>1</v>
      </c>
    </row>
    <row r="1289">
      <c r="A1289" s="12" t="s">
        <v>1371</v>
      </c>
      <c r="B1289" s="12" t="s">
        <v>470</v>
      </c>
      <c r="C1289" s="17">
        <v>19.0</v>
      </c>
      <c r="D1289" s="12" t="s">
        <v>60</v>
      </c>
      <c r="E1289" s="12" t="s">
        <v>97</v>
      </c>
      <c r="F1289" s="12" t="s">
        <v>62</v>
      </c>
      <c r="G1289" s="12" t="s">
        <v>52</v>
      </c>
      <c r="H1289" s="15">
        <v>45407.0</v>
      </c>
      <c r="I1289" s="17">
        <v>24.0</v>
      </c>
      <c r="J1289" s="12" t="s">
        <v>40</v>
      </c>
      <c r="K1289" s="12" t="s">
        <v>65</v>
      </c>
      <c r="L1289" s="17">
        <v>798.0</v>
      </c>
      <c r="M1289" s="17">
        <v>2.0</v>
      </c>
      <c r="N1289" s="17">
        <v>1.0</v>
      </c>
      <c r="O1289" s="17">
        <v>26.1</v>
      </c>
      <c r="P1289" s="17">
        <v>3.3</v>
      </c>
      <c r="Q1289" s="15">
        <v>45545.0</v>
      </c>
      <c r="R1289" s="12"/>
      <c r="S1289" s="12" t="s">
        <v>55</v>
      </c>
      <c r="T1289" s="12" t="s">
        <v>72</v>
      </c>
      <c r="U1289" s="17">
        <f t="shared" si="1"/>
        <v>2</v>
      </c>
    </row>
    <row r="1290">
      <c r="A1290" s="12" t="s">
        <v>1827</v>
      </c>
      <c r="B1290" s="12" t="s">
        <v>405</v>
      </c>
      <c r="C1290" s="17">
        <v>25.0</v>
      </c>
      <c r="D1290" s="12" t="s">
        <v>85</v>
      </c>
      <c r="E1290" s="12" t="s">
        <v>92</v>
      </c>
      <c r="F1290" s="12" t="s">
        <v>62</v>
      </c>
      <c r="G1290" s="12" t="s">
        <v>63</v>
      </c>
      <c r="H1290" s="15">
        <v>44865.0</v>
      </c>
      <c r="I1290" s="17">
        <v>47.0</v>
      </c>
      <c r="J1290" s="12" t="s">
        <v>40</v>
      </c>
      <c r="K1290" s="12" t="s">
        <v>42</v>
      </c>
      <c r="L1290" s="17">
        <v>789.0</v>
      </c>
      <c r="M1290" s="17">
        <v>1.0</v>
      </c>
      <c r="N1290" s="17">
        <v>1.0</v>
      </c>
      <c r="O1290" s="17">
        <v>8.0</v>
      </c>
      <c r="P1290" s="17">
        <v>4.0</v>
      </c>
      <c r="Q1290" s="15">
        <v>44931.0</v>
      </c>
      <c r="R1290" s="12"/>
      <c r="S1290" s="12" t="s">
        <v>55</v>
      </c>
      <c r="T1290" s="12" t="s">
        <v>47</v>
      </c>
      <c r="U1290" s="17">
        <f t="shared" si="1"/>
        <v>2</v>
      </c>
    </row>
    <row r="1291">
      <c r="A1291" s="12" t="s">
        <v>1858</v>
      </c>
      <c r="B1291" s="12" t="s">
        <v>364</v>
      </c>
      <c r="C1291" s="17">
        <v>54.0</v>
      </c>
      <c r="D1291" s="12" t="s">
        <v>85</v>
      </c>
      <c r="E1291" s="12" t="s">
        <v>92</v>
      </c>
      <c r="F1291" s="12" t="s">
        <v>79</v>
      </c>
      <c r="G1291" s="12" t="s">
        <v>93</v>
      </c>
      <c r="H1291" s="15">
        <v>45291.0</v>
      </c>
      <c r="I1291" s="17">
        <v>34.0</v>
      </c>
      <c r="J1291" s="12" t="s">
        <v>53</v>
      </c>
      <c r="K1291" s="12" t="s">
        <v>42</v>
      </c>
      <c r="L1291" s="17">
        <v>2676.0</v>
      </c>
      <c r="M1291" s="17">
        <v>1.0</v>
      </c>
      <c r="N1291" s="17">
        <v>3.0</v>
      </c>
      <c r="O1291" s="17">
        <v>37.7</v>
      </c>
      <c r="P1291" s="17">
        <v>3.2</v>
      </c>
      <c r="Q1291" s="15">
        <v>45991.0</v>
      </c>
      <c r="R1291" s="12"/>
      <c r="S1291" s="12" t="s">
        <v>55</v>
      </c>
      <c r="T1291" s="12" t="s">
        <v>66</v>
      </c>
      <c r="U1291" s="17">
        <f t="shared" si="1"/>
        <v>1</v>
      </c>
    </row>
    <row r="1292">
      <c r="A1292" s="12" t="s">
        <v>1859</v>
      </c>
      <c r="B1292" s="12" t="s">
        <v>215</v>
      </c>
      <c r="C1292" s="17">
        <v>23.0</v>
      </c>
      <c r="D1292" s="12" t="s">
        <v>69</v>
      </c>
      <c r="E1292" s="12" t="s">
        <v>70</v>
      </c>
      <c r="F1292" s="12" t="s">
        <v>62</v>
      </c>
      <c r="G1292" s="12" t="s">
        <v>210</v>
      </c>
      <c r="H1292" s="15">
        <v>45693.0</v>
      </c>
      <c r="I1292" s="17">
        <v>20.0</v>
      </c>
      <c r="J1292" s="12" t="s">
        <v>40</v>
      </c>
      <c r="K1292" s="12" t="s">
        <v>81</v>
      </c>
      <c r="L1292" s="17">
        <v>855.0</v>
      </c>
      <c r="M1292" s="17">
        <v>2.0</v>
      </c>
      <c r="N1292" s="17">
        <v>2.0</v>
      </c>
      <c r="O1292" s="17">
        <v>33.4</v>
      </c>
      <c r="P1292" s="17">
        <v>3.7</v>
      </c>
      <c r="Q1292" s="15">
        <v>46100.0</v>
      </c>
      <c r="R1292" s="12"/>
      <c r="S1292" s="12" t="s">
        <v>55</v>
      </c>
      <c r="T1292" s="12" t="s">
        <v>66</v>
      </c>
      <c r="U1292" s="17">
        <f t="shared" si="1"/>
        <v>1</v>
      </c>
    </row>
    <row r="1293">
      <c r="A1293" s="12" t="s">
        <v>1785</v>
      </c>
      <c r="B1293" s="12" t="s">
        <v>362</v>
      </c>
      <c r="C1293" s="17">
        <v>38.0</v>
      </c>
      <c r="D1293" s="12" t="s">
        <v>35</v>
      </c>
      <c r="E1293" s="12"/>
      <c r="F1293" s="12" t="s">
        <v>62</v>
      </c>
      <c r="G1293" s="12" t="s">
        <v>39</v>
      </c>
      <c r="H1293" s="15">
        <v>44952.0</v>
      </c>
      <c r="I1293" s="17">
        <v>27.0</v>
      </c>
      <c r="J1293" s="12" t="s">
        <v>53</v>
      </c>
      <c r="K1293" s="12" t="s">
        <v>65</v>
      </c>
      <c r="L1293" s="17">
        <v>842.0</v>
      </c>
      <c r="M1293" s="17">
        <v>4.0</v>
      </c>
      <c r="N1293" s="17">
        <v>0.0</v>
      </c>
      <c r="O1293" s="17">
        <v>27.2</v>
      </c>
      <c r="P1293" s="17">
        <v>2.3</v>
      </c>
      <c r="Q1293" s="15">
        <v>44996.0</v>
      </c>
      <c r="R1293" s="12"/>
      <c r="S1293" s="12" t="s">
        <v>55</v>
      </c>
      <c r="T1293" s="12" t="s">
        <v>47</v>
      </c>
      <c r="U1293" s="17">
        <f t="shared" si="1"/>
        <v>2</v>
      </c>
    </row>
    <row r="1294">
      <c r="A1294" s="12" t="s">
        <v>109</v>
      </c>
      <c r="B1294" s="12" t="s">
        <v>308</v>
      </c>
      <c r="C1294" s="17">
        <v>21.0</v>
      </c>
      <c r="D1294" s="12" t="s">
        <v>85</v>
      </c>
      <c r="E1294" s="12" t="s">
        <v>111</v>
      </c>
      <c r="F1294" s="12" t="s">
        <v>37</v>
      </c>
      <c r="G1294" s="12" t="s">
        <v>63</v>
      </c>
      <c r="H1294" s="15">
        <v>45178.0</v>
      </c>
      <c r="I1294" s="17">
        <v>15.0</v>
      </c>
      <c r="J1294" s="12" t="s">
        <v>64</v>
      </c>
      <c r="K1294" s="12" t="s">
        <v>81</v>
      </c>
      <c r="L1294" s="17">
        <v>1592.0</v>
      </c>
      <c r="M1294" s="17">
        <v>3.0</v>
      </c>
      <c r="N1294" s="17">
        <v>0.0</v>
      </c>
      <c r="O1294" s="17">
        <v>26.9</v>
      </c>
      <c r="P1294" s="17">
        <v>3.2</v>
      </c>
      <c r="Q1294" s="15">
        <v>45446.0</v>
      </c>
      <c r="R1294" s="12"/>
      <c r="S1294" s="12" t="s">
        <v>55</v>
      </c>
      <c r="T1294" s="12" t="s">
        <v>72</v>
      </c>
      <c r="U1294" s="17">
        <f t="shared" si="1"/>
        <v>5</v>
      </c>
    </row>
    <row r="1295">
      <c r="A1295" s="12" t="s">
        <v>544</v>
      </c>
      <c r="B1295" s="12" t="s">
        <v>398</v>
      </c>
      <c r="C1295" s="17">
        <v>48.0</v>
      </c>
      <c r="D1295" s="12" t="s">
        <v>69</v>
      </c>
      <c r="E1295" s="12" t="s">
        <v>177</v>
      </c>
      <c r="F1295" s="12" t="s">
        <v>62</v>
      </c>
      <c r="G1295" s="12" t="s">
        <v>80</v>
      </c>
      <c r="H1295" s="15">
        <v>44664.0</v>
      </c>
      <c r="I1295" s="17">
        <v>10.0</v>
      </c>
      <c r="J1295" s="12" t="s">
        <v>53</v>
      </c>
      <c r="K1295" s="12" t="s">
        <v>42</v>
      </c>
      <c r="L1295" s="17">
        <v>833.0</v>
      </c>
      <c r="M1295" s="17">
        <v>1.0</v>
      </c>
      <c r="N1295" s="17">
        <v>2.0</v>
      </c>
      <c r="O1295" s="17">
        <v>20.9</v>
      </c>
      <c r="P1295" s="17">
        <v>2.2</v>
      </c>
      <c r="Q1295" s="15">
        <v>44923.0</v>
      </c>
      <c r="R1295" s="12" t="s">
        <v>1516</v>
      </c>
      <c r="S1295" s="12" t="s">
        <v>45</v>
      </c>
      <c r="T1295" s="12" t="s">
        <v>104</v>
      </c>
      <c r="U1295" s="17">
        <f t="shared" si="1"/>
        <v>5</v>
      </c>
    </row>
    <row r="1296">
      <c r="A1296" s="12" t="s">
        <v>1373</v>
      </c>
      <c r="B1296" s="12" t="s">
        <v>139</v>
      </c>
      <c r="C1296" s="17">
        <v>44.0</v>
      </c>
      <c r="D1296" s="12" t="s">
        <v>69</v>
      </c>
      <c r="E1296" s="12" t="s">
        <v>177</v>
      </c>
      <c r="F1296" s="12" t="s">
        <v>62</v>
      </c>
      <c r="G1296" s="12" t="s">
        <v>630</v>
      </c>
      <c r="H1296" s="15">
        <v>45660.0</v>
      </c>
      <c r="I1296" s="17">
        <v>24.0</v>
      </c>
      <c r="J1296" s="12" t="s">
        <v>53</v>
      </c>
      <c r="K1296" s="12" t="s">
        <v>42</v>
      </c>
      <c r="L1296" s="17">
        <v>582.0</v>
      </c>
      <c r="M1296" s="17">
        <v>2.0</v>
      </c>
      <c r="N1296" s="17">
        <v>1.0</v>
      </c>
      <c r="O1296" s="17">
        <v>4.1</v>
      </c>
      <c r="P1296" s="17">
        <v>2.7</v>
      </c>
      <c r="Q1296" s="15">
        <v>46242.0</v>
      </c>
      <c r="R1296" s="12" t="s">
        <v>1860</v>
      </c>
      <c r="S1296" s="12" t="s">
        <v>45</v>
      </c>
      <c r="T1296" s="12" t="s">
        <v>75</v>
      </c>
      <c r="U1296" s="17">
        <f t="shared" si="1"/>
        <v>2</v>
      </c>
    </row>
    <row r="1297">
      <c r="A1297" s="12" t="s">
        <v>1455</v>
      </c>
      <c r="B1297" s="12" t="s">
        <v>405</v>
      </c>
      <c r="C1297" s="17">
        <v>44.0</v>
      </c>
      <c r="D1297" s="12" t="s">
        <v>309</v>
      </c>
      <c r="E1297" s="12" t="s">
        <v>97</v>
      </c>
      <c r="F1297" s="12" t="s">
        <v>413</v>
      </c>
      <c r="G1297" s="12" t="s">
        <v>39</v>
      </c>
      <c r="H1297" s="15">
        <v>45627.0</v>
      </c>
      <c r="I1297" s="17">
        <v>10.0</v>
      </c>
      <c r="J1297" s="12" t="s">
        <v>64</v>
      </c>
      <c r="K1297" s="12" t="s">
        <v>42</v>
      </c>
      <c r="L1297" s="17">
        <v>618.0</v>
      </c>
      <c r="M1297" s="17">
        <v>2.0</v>
      </c>
      <c r="N1297" s="17">
        <v>1.0</v>
      </c>
      <c r="O1297" s="17">
        <v>12.1</v>
      </c>
      <c r="P1297" s="17">
        <v>2.4</v>
      </c>
      <c r="Q1297" s="15">
        <v>45645.0</v>
      </c>
      <c r="R1297" s="12"/>
      <c r="S1297" s="12" t="s">
        <v>55</v>
      </c>
      <c r="T1297" s="12" t="s">
        <v>47</v>
      </c>
      <c r="U1297" s="17">
        <f t="shared" si="1"/>
        <v>3</v>
      </c>
    </row>
    <row r="1298">
      <c r="A1298" s="12" t="s">
        <v>1861</v>
      </c>
      <c r="B1298" s="12" t="s">
        <v>118</v>
      </c>
      <c r="C1298" s="17">
        <v>42.0</v>
      </c>
      <c r="D1298" s="12" t="s">
        <v>35</v>
      </c>
      <c r="E1298" s="12" t="s">
        <v>51</v>
      </c>
      <c r="F1298" s="12" t="s">
        <v>62</v>
      </c>
      <c r="G1298" s="12" t="s">
        <v>39</v>
      </c>
      <c r="H1298" s="15">
        <v>45081.0</v>
      </c>
      <c r="I1298" s="17">
        <v>27.0</v>
      </c>
      <c r="J1298" s="12" t="s">
        <v>40</v>
      </c>
      <c r="K1298" s="12" t="s">
        <v>65</v>
      </c>
      <c r="L1298" s="17">
        <v>533.0</v>
      </c>
      <c r="M1298" s="17">
        <v>0.0</v>
      </c>
      <c r="N1298" s="17">
        <v>3.0</v>
      </c>
      <c r="O1298" s="17">
        <v>13.1</v>
      </c>
      <c r="P1298" s="17">
        <v>4.2</v>
      </c>
      <c r="Q1298" s="15">
        <v>45216.0</v>
      </c>
      <c r="R1298" s="12"/>
      <c r="S1298" s="12" t="s">
        <v>55</v>
      </c>
      <c r="T1298" s="12" t="s">
        <v>75</v>
      </c>
      <c r="U1298" s="17">
        <f t="shared" si="1"/>
        <v>1</v>
      </c>
    </row>
    <row r="1299">
      <c r="A1299" s="12" t="s">
        <v>1862</v>
      </c>
      <c r="B1299" s="12" t="s">
        <v>651</v>
      </c>
      <c r="C1299" s="17">
        <v>30.0</v>
      </c>
      <c r="D1299" s="12" t="s">
        <v>85</v>
      </c>
      <c r="E1299" s="12" t="s">
        <v>92</v>
      </c>
      <c r="F1299" s="12" t="s">
        <v>37</v>
      </c>
      <c r="G1299" s="12" t="s">
        <v>210</v>
      </c>
      <c r="H1299" s="15">
        <v>45072.0</v>
      </c>
      <c r="I1299" s="17">
        <v>48.0</v>
      </c>
      <c r="J1299" s="12" t="s">
        <v>40</v>
      </c>
      <c r="K1299" s="12" t="s">
        <v>81</v>
      </c>
      <c r="L1299" s="17">
        <v>1656.0</v>
      </c>
      <c r="M1299" s="17">
        <v>3.0</v>
      </c>
      <c r="N1299" s="17">
        <v>5.0</v>
      </c>
      <c r="O1299" s="17">
        <v>33.3</v>
      </c>
      <c r="P1299" s="17">
        <v>3.0</v>
      </c>
      <c r="Q1299" s="15">
        <v>45513.0</v>
      </c>
      <c r="R1299" s="12"/>
      <c r="S1299" s="12" t="s">
        <v>55</v>
      </c>
      <c r="T1299" s="12" t="s">
        <v>66</v>
      </c>
      <c r="U1299" s="17">
        <f t="shared" si="1"/>
        <v>2</v>
      </c>
    </row>
    <row r="1300">
      <c r="A1300" s="12" t="s">
        <v>226</v>
      </c>
      <c r="B1300" s="12" t="s">
        <v>235</v>
      </c>
      <c r="C1300" s="17">
        <v>56.0</v>
      </c>
      <c r="D1300" s="12" t="s">
        <v>60</v>
      </c>
      <c r="E1300" s="12" t="s">
        <v>133</v>
      </c>
      <c r="F1300" s="12" t="s">
        <v>62</v>
      </c>
      <c r="G1300" s="12" t="s">
        <v>63</v>
      </c>
      <c r="H1300" s="15">
        <v>45005.0</v>
      </c>
      <c r="I1300" s="17">
        <v>18.0</v>
      </c>
      <c r="J1300" s="12" t="s">
        <v>64</v>
      </c>
      <c r="K1300" s="12" t="s">
        <v>326</v>
      </c>
      <c r="L1300" s="17">
        <v>566.0</v>
      </c>
      <c r="M1300" s="17">
        <v>2.0</v>
      </c>
      <c r="N1300" s="17">
        <v>0.0</v>
      </c>
      <c r="O1300" s="17">
        <v>12.0</v>
      </c>
      <c r="P1300" s="17">
        <v>3.6</v>
      </c>
      <c r="Q1300" s="15">
        <v>45318.0</v>
      </c>
      <c r="R1300" s="12"/>
      <c r="S1300" s="12" t="s">
        <v>55</v>
      </c>
      <c r="T1300" s="12" t="s">
        <v>104</v>
      </c>
      <c r="U1300" s="17">
        <f t="shared" si="1"/>
        <v>5</v>
      </c>
    </row>
    <row r="1301">
      <c r="A1301" s="12" t="s">
        <v>528</v>
      </c>
      <c r="B1301" s="12" t="s">
        <v>169</v>
      </c>
      <c r="C1301" s="17">
        <v>65.0</v>
      </c>
      <c r="D1301" s="12" t="s">
        <v>69</v>
      </c>
      <c r="E1301" s="12" t="s">
        <v>187</v>
      </c>
      <c r="F1301" s="12" t="s">
        <v>37</v>
      </c>
      <c r="G1301" s="12" t="s">
        <v>39</v>
      </c>
      <c r="H1301" s="15">
        <v>45161.0</v>
      </c>
      <c r="I1301" s="17">
        <v>4.0</v>
      </c>
      <c r="J1301" s="12" t="s">
        <v>40</v>
      </c>
      <c r="K1301" s="12" t="s">
        <v>65</v>
      </c>
      <c r="L1301" s="17">
        <v>1448.0</v>
      </c>
      <c r="M1301" s="17">
        <v>0.0</v>
      </c>
      <c r="N1301" s="17">
        <v>1.0</v>
      </c>
      <c r="O1301" s="17">
        <v>36.0</v>
      </c>
      <c r="P1301" s="17">
        <v>3.9</v>
      </c>
      <c r="Q1301" s="15">
        <v>45276.0</v>
      </c>
      <c r="R1301" s="12" t="s">
        <v>1863</v>
      </c>
      <c r="S1301" s="12" t="s">
        <v>45</v>
      </c>
      <c r="T1301" s="12" t="s">
        <v>75</v>
      </c>
      <c r="U1301" s="17">
        <f t="shared" si="1"/>
        <v>6</v>
      </c>
    </row>
    <row r="1302">
      <c r="A1302" s="12" t="s">
        <v>875</v>
      </c>
      <c r="B1302" s="12" t="s">
        <v>1864</v>
      </c>
      <c r="C1302" s="17">
        <v>28.0</v>
      </c>
      <c r="D1302" s="12" t="s">
        <v>60</v>
      </c>
      <c r="E1302" s="12" t="s">
        <v>133</v>
      </c>
      <c r="F1302" s="12" t="s">
        <v>62</v>
      </c>
      <c r="G1302" s="12" t="s">
        <v>93</v>
      </c>
      <c r="H1302" s="15">
        <v>45792.0</v>
      </c>
      <c r="I1302" s="17">
        <v>12.0</v>
      </c>
      <c r="J1302" s="12" t="s">
        <v>64</v>
      </c>
      <c r="K1302" s="12" t="s">
        <v>65</v>
      </c>
      <c r="L1302" s="17">
        <v>524.0</v>
      </c>
      <c r="M1302" s="17">
        <v>2.0</v>
      </c>
      <c r="N1302" s="17">
        <v>1.0</v>
      </c>
      <c r="O1302" s="17">
        <v>12.9</v>
      </c>
      <c r="P1302" s="17">
        <v>4.0</v>
      </c>
      <c r="Q1302" s="15">
        <v>46129.0</v>
      </c>
      <c r="R1302" s="12" t="s">
        <v>1865</v>
      </c>
      <c r="S1302" s="12" t="s">
        <v>45</v>
      </c>
      <c r="T1302" s="12" t="s">
        <v>47</v>
      </c>
      <c r="U1302" s="17">
        <f t="shared" si="1"/>
        <v>3</v>
      </c>
    </row>
    <row r="1303">
      <c r="A1303" s="12" t="s">
        <v>1866</v>
      </c>
      <c r="B1303" s="12" t="s">
        <v>78</v>
      </c>
      <c r="C1303" s="17">
        <v>34.0</v>
      </c>
      <c r="D1303" s="12" t="s">
        <v>35</v>
      </c>
      <c r="E1303" s="12" t="s">
        <v>51</v>
      </c>
      <c r="F1303" s="12" t="s">
        <v>62</v>
      </c>
      <c r="G1303" s="12" t="s">
        <v>80</v>
      </c>
      <c r="H1303" s="15">
        <v>44644.0</v>
      </c>
      <c r="I1303" s="17">
        <v>38.0</v>
      </c>
      <c r="J1303" s="12" t="s">
        <v>53</v>
      </c>
      <c r="K1303" s="12" t="s">
        <v>42</v>
      </c>
      <c r="L1303" s="17">
        <v>674.0</v>
      </c>
      <c r="M1303" s="17">
        <v>2.0</v>
      </c>
      <c r="N1303" s="17">
        <v>0.0</v>
      </c>
      <c r="O1303" s="17">
        <v>15.0</v>
      </c>
      <c r="P1303" s="17">
        <v>3.7</v>
      </c>
      <c r="Q1303" s="15">
        <v>45747.0</v>
      </c>
      <c r="R1303" s="12" t="s">
        <v>1867</v>
      </c>
      <c r="S1303" s="12" t="s">
        <v>45</v>
      </c>
      <c r="T1303" s="12" t="s">
        <v>47</v>
      </c>
      <c r="U1303" s="17">
        <f t="shared" si="1"/>
        <v>2</v>
      </c>
    </row>
    <row r="1304">
      <c r="A1304" s="12" t="s">
        <v>1868</v>
      </c>
      <c r="B1304" s="12" t="s">
        <v>633</v>
      </c>
      <c r="C1304" s="17">
        <v>66.0</v>
      </c>
      <c r="D1304" s="12" t="s">
        <v>35</v>
      </c>
      <c r="E1304" s="12" t="s">
        <v>51</v>
      </c>
      <c r="F1304" s="12" t="s">
        <v>62</v>
      </c>
      <c r="G1304" s="12" t="s">
        <v>63</v>
      </c>
      <c r="H1304" s="15">
        <v>44738.0</v>
      </c>
      <c r="I1304" s="17">
        <v>4.0</v>
      </c>
      <c r="J1304" s="12" t="s">
        <v>64</v>
      </c>
      <c r="K1304" s="12" t="s">
        <v>42</v>
      </c>
      <c r="L1304" s="17">
        <v>733.0</v>
      </c>
      <c r="M1304" s="17">
        <v>3.0</v>
      </c>
      <c r="N1304" s="17">
        <v>0.0</v>
      </c>
      <c r="O1304" s="17">
        <v>30.0</v>
      </c>
      <c r="P1304" s="17">
        <v>2.7</v>
      </c>
      <c r="Q1304" s="15">
        <v>44808.0</v>
      </c>
      <c r="R1304" s="12"/>
      <c r="S1304" s="12" t="s">
        <v>55</v>
      </c>
      <c r="T1304" s="12" t="s">
        <v>104</v>
      </c>
      <c r="U1304" s="17">
        <f t="shared" si="1"/>
        <v>1</v>
      </c>
    </row>
    <row r="1305">
      <c r="A1305" s="12" t="s">
        <v>528</v>
      </c>
      <c r="B1305" s="12" t="s">
        <v>232</v>
      </c>
      <c r="C1305" s="17">
        <v>63.0</v>
      </c>
      <c r="D1305" s="12" t="s">
        <v>35</v>
      </c>
      <c r="E1305" s="12" t="s">
        <v>140</v>
      </c>
      <c r="F1305" s="12" t="s">
        <v>62</v>
      </c>
      <c r="G1305" s="12" t="s">
        <v>63</v>
      </c>
      <c r="H1305" s="15">
        <v>45850.0</v>
      </c>
      <c r="I1305" s="17">
        <v>15.0</v>
      </c>
      <c r="J1305" s="12" t="s">
        <v>53</v>
      </c>
      <c r="K1305" s="12" t="s">
        <v>42</v>
      </c>
      <c r="L1305" s="17">
        <v>679.0</v>
      </c>
      <c r="M1305" s="17">
        <v>1.0</v>
      </c>
      <c r="N1305" s="17">
        <v>2.0</v>
      </c>
      <c r="O1305" s="17">
        <v>14.0</v>
      </c>
      <c r="P1305" s="12"/>
      <c r="Q1305" s="15">
        <v>46177.0</v>
      </c>
      <c r="R1305" s="12"/>
      <c r="S1305" s="12" t="s">
        <v>55</v>
      </c>
      <c r="T1305" s="12" t="s">
        <v>66</v>
      </c>
      <c r="U1305" s="17">
        <f t="shared" si="1"/>
        <v>6</v>
      </c>
    </row>
    <row r="1306">
      <c r="A1306" s="12" t="s">
        <v>1690</v>
      </c>
      <c r="B1306" s="12" t="s">
        <v>190</v>
      </c>
      <c r="C1306" s="17">
        <v>29.0</v>
      </c>
      <c r="D1306" s="12" t="s">
        <v>35</v>
      </c>
      <c r="E1306" s="12" t="s">
        <v>140</v>
      </c>
      <c r="F1306" s="12" t="s">
        <v>62</v>
      </c>
      <c r="G1306" s="12" t="s">
        <v>39</v>
      </c>
      <c r="H1306" s="15">
        <v>44853.0</v>
      </c>
      <c r="I1306" s="17">
        <v>32.0</v>
      </c>
      <c r="J1306" s="12" t="s">
        <v>40</v>
      </c>
      <c r="K1306" s="12" t="s">
        <v>65</v>
      </c>
      <c r="L1306" s="17">
        <v>882.0</v>
      </c>
      <c r="M1306" s="17">
        <v>2.0</v>
      </c>
      <c r="N1306" s="17">
        <v>0.0</v>
      </c>
      <c r="O1306" s="17">
        <v>26.8</v>
      </c>
      <c r="P1306" s="17">
        <v>4.1</v>
      </c>
      <c r="Q1306" s="15">
        <v>45088.0</v>
      </c>
      <c r="R1306" s="12" t="s">
        <v>1869</v>
      </c>
      <c r="S1306" s="12" t="s">
        <v>45</v>
      </c>
      <c r="T1306" s="12" t="s">
        <v>72</v>
      </c>
      <c r="U1306" s="17">
        <f t="shared" si="1"/>
        <v>2</v>
      </c>
    </row>
    <row r="1307">
      <c r="A1307" s="12" t="s">
        <v>374</v>
      </c>
      <c r="B1307" s="12" t="s">
        <v>362</v>
      </c>
      <c r="C1307" s="17">
        <v>66.0</v>
      </c>
      <c r="D1307" s="12" t="s">
        <v>69</v>
      </c>
      <c r="E1307" s="12" t="s">
        <v>70</v>
      </c>
      <c r="F1307" s="12" t="s">
        <v>62</v>
      </c>
      <c r="G1307" s="12" t="s">
        <v>120</v>
      </c>
      <c r="H1307" s="15">
        <v>45952.0</v>
      </c>
      <c r="I1307" s="17">
        <v>21.0</v>
      </c>
      <c r="J1307" s="12" t="s">
        <v>64</v>
      </c>
      <c r="K1307" s="12" t="s">
        <v>42</v>
      </c>
      <c r="L1307" s="17">
        <v>632.0</v>
      </c>
      <c r="M1307" s="17">
        <v>0.0</v>
      </c>
      <c r="N1307" s="17">
        <v>0.0</v>
      </c>
      <c r="O1307" s="17">
        <v>26.6</v>
      </c>
      <c r="P1307" s="17">
        <v>2.9</v>
      </c>
      <c r="Q1307" s="15">
        <v>46353.0</v>
      </c>
      <c r="R1307" s="12"/>
      <c r="S1307" s="12" t="s">
        <v>55</v>
      </c>
      <c r="T1307" s="12" t="s">
        <v>66</v>
      </c>
      <c r="U1307" s="17">
        <f t="shared" si="1"/>
        <v>3</v>
      </c>
    </row>
    <row r="1308">
      <c r="A1308" s="12" t="s">
        <v>891</v>
      </c>
      <c r="B1308" s="12" t="s">
        <v>74</v>
      </c>
      <c r="C1308" s="17">
        <v>36.0</v>
      </c>
      <c r="D1308" s="12" t="s">
        <v>267</v>
      </c>
      <c r="E1308" s="12" t="s">
        <v>177</v>
      </c>
      <c r="F1308" s="12" t="s">
        <v>62</v>
      </c>
      <c r="G1308" s="12" t="s">
        <v>120</v>
      </c>
      <c r="H1308" s="15">
        <v>44599.0</v>
      </c>
      <c r="I1308" s="17">
        <v>20.0</v>
      </c>
      <c r="J1308" s="12" t="s">
        <v>53</v>
      </c>
      <c r="K1308" s="12" t="s">
        <v>42</v>
      </c>
      <c r="L1308" s="17">
        <v>764.0</v>
      </c>
      <c r="M1308" s="17">
        <v>2.0</v>
      </c>
      <c r="N1308" s="17">
        <v>0.0</v>
      </c>
      <c r="O1308" s="17">
        <v>25.7</v>
      </c>
      <c r="P1308" s="17">
        <v>4.3</v>
      </c>
      <c r="Q1308" s="15">
        <v>45203.0</v>
      </c>
      <c r="R1308" s="12"/>
      <c r="S1308" s="12" t="s">
        <v>55</v>
      </c>
      <c r="T1308" s="12" t="s">
        <v>47</v>
      </c>
      <c r="U1308" s="17">
        <f t="shared" si="1"/>
        <v>2</v>
      </c>
    </row>
    <row r="1309">
      <c r="A1309" s="12" t="s">
        <v>797</v>
      </c>
      <c r="B1309" s="12" t="s">
        <v>241</v>
      </c>
      <c r="C1309" s="17">
        <v>58.0</v>
      </c>
      <c r="D1309" s="12" t="s">
        <v>60</v>
      </c>
      <c r="E1309" s="12" t="s">
        <v>133</v>
      </c>
      <c r="F1309" s="12" t="s">
        <v>37</v>
      </c>
      <c r="G1309" s="12" t="s">
        <v>52</v>
      </c>
      <c r="H1309" s="15">
        <v>45277.0</v>
      </c>
      <c r="I1309" s="17">
        <v>5.0</v>
      </c>
      <c r="J1309" s="12" t="s">
        <v>64</v>
      </c>
      <c r="K1309" s="12" t="s">
        <v>42</v>
      </c>
      <c r="L1309" s="17">
        <v>1193.0</v>
      </c>
      <c r="M1309" s="17">
        <v>1.0</v>
      </c>
      <c r="N1309" s="17">
        <v>1.0</v>
      </c>
      <c r="O1309" s="17">
        <v>39.5</v>
      </c>
      <c r="P1309" s="17">
        <v>2.1</v>
      </c>
      <c r="Q1309" s="15">
        <v>45401.0</v>
      </c>
      <c r="R1309" s="12"/>
      <c r="S1309" s="12" t="s">
        <v>55</v>
      </c>
      <c r="T1309" s="12" t="s">
        <v>75</v>
      </c>
      <c r="U1309" s="17">
        <f t="shared" si="1"/>
        <v>5</v>
      </c>
    </row>
    <row r="1310">
      <c r="A1310" s="12" t="s">
        <v>1200</v>
      </c>
      <c r="B1310" s="12" t="s">
        <v>257</v>
      </c>
      <c r="C1310" s="17">
        <v>29.0</v>
      </c>
      <c r="D1310" s="12" t="s">
        <v>69</v>
      </c>
      <c r="E1310" s="12" t="s">
        <v>187</v>
      </c>
      <c r="F1310" s="12" t="s">
        <v>79</v>
      </c>
      <c r="G1310" s="12" t="s">
        <v>630</v>
      </c>
      <c r="H1310" s="15">
        <v>45210.0</v>
      </c>
      <c r="I1310" s="17">
        <v>27.0</v>
      </c>
      <c r="J1310" s="12" t="s">
        <v>40</v>
      </c>
      <c r="K1310" s="12" t="s">
        <v>65</v>
      </c>
      <c r="L1310" s="17">
        <v>3885.0</v>
      </c>
      <c r="M1310" s="17">
        <v>3.0</v>
      </c>
      <c r="N1310" s="17">
        <v>0.0</v>
      </c>
      <c r="O1310" s="17">
        <v>34.5</v>
      </c>
      <c r="P1310" s="17">
        <v>3.7</v>
      </c>
      <c r="Q1310" s="15">
        <v>45729.0</v>
      </c>
      <c r="R1310" s="12"/>
      <c r="S1310" s="12" t="s">
        <v>55</v>
      </c>
      <c r="T1310" s="12" t="s">
        <v>66</v>
      </c>
      <c r="U1310" s="17">
        <f t="shared" si="1"/>
        <v>2</v>
      </c>
    </row>
    <row r="1311">
      <c r="A1311" s="12" t="s">
        <v>1870</v>
      </c>
      <c r="B1311" s="12" t="s">
        <v>605</v>
      </c>
      <c r="C1311" s="17">
        <v>28.0</v>
      </c>
      <c r="D1311" s="12" t="s">
        <v>35</v>
      </c>
      <c r="E1311" s="12" t="s">
        <v>140</v>
      </c>
      <c r="F1311" s="12" t="s">
        <v>62</v>
      </c>
      <c r="G1311" s="12" t="s">
        <v>120</v>
      </c>
      <c r="H1311" s="15">
        <v>45277.0</v>
      </c>
      <c r="I1311" s="17">
        <v>35.0</v>
      </c>
      <c r="J1311" s="12" t="s">
        <v>64</v>
      </c>
      <c r="K1311" s="12" t="s">
        <v>65</v>
      </c>
      <c r="L1311" s="17">
        <v>808.0</v>
      </c>
      <c r="M1311" s="17">
        <v>4.0</v>
      </c>
      <c r="N1311" s="17">
        <v>1.0</v>
      </c>
      <c r="O1311" s="17">
        <v>11.0</v>
      </c>
      <c r="P1311" s="17">
        <v>2.3</v>
      </c>
      <c r="Q1311" s="15">
        <v>46042.0</v>
      </c>
      <c r="R1311" s="12"/>
      <c r="S1311" s="12" t="s">
        <v>55</v>
      </c>
      <c r="T1311" s="12" t="s">
        <v>104</v>
      </c>
      <c r="U1311" s="17">
        <f t="shared" si="1"/>
        <v>1</v>
      </c>
    </row>
    <row r="1312">
      <c r="A1312" s="12" t="s">
        <v>1333</v>
      </c>
      <c r="B1312" s="12" t="s">
        <v>333</v>
      </c>
      <c r="C1312" s="17">
        <v>34.0</v>
      </c>
      <c r="D1312" s="12" t="s">
        <v>60</v>
      </c>
      <c r="E1312" s="12" t="s">
        <v>133</v>
      </c>
      <c r="F1312" s="12" t="s">
        <v>62</v>
      </c>
      <c r="G1312" s="12" t="s">
        <v>39</v>
      </c>
      <c r="H1312" s="15">
        <v>45773.0</v>
      </c>
      <c r="I1312" s="17">
        <v>21.0</v>
      </c>
      <c r="J1312" s="12" t="s">
        <v>53</v>
      </c>
      <c r="K1312" s="12" t="s">
        <v>81</v>
      </c>
      <c r="L1312" s="17">
        <v>839.0</v>
      </c>
      <c r="M1312" s="17">
        <v>3.0</v>
      </c>
      <c r="N1312" s="17">
        <v>2.0</v>
      </c>
      <c r="O1312" s="17">
        <v>24.1</v>
      </c>
      <c r="P1312" s="17">
        <v>2.9</v>
      </c>
      <c r="Q1312" s="15">
        <v>46194.0</v>
      </c>
      <c r="R1312" s="12"/>
      <c r="S1312" s="12" t="s">
        <v>55</v>
      </c>
      <c r="T1312" s="12" t="s">
        <v>47</v>
      </c>
      <c r="U1312" s="17">
        <f t="shared" si="1"/>
        <v>3</v>
      </c>
    </row>
    <row r="1313">
      <c r="A1313" s="12" t="s">
        <v>1552</v>
      </c>
      <c r="B1313" s="12" t="s">
        <v>224</v>
      </c>
      <c r="C1313" s="17">
        <v>58.0</v>
      </c>
      <c r="D1313" s="12" t="s">
        <v>85</v>
      </c>
      <c r="E1313" s="12" t="s">
        <v>111</v>
      </c>
      <c r="F1313" s="12" t="s">
        <v>37</v>
      </c>
      <c r="G1313" s="12" t="s">
        <v>52</v>
      </c>
      <c r="H1313" s="15">
        <v>45169.0</v>
      </c>
      <c r="I1313" s="17">
        <v>43.0</v>
      </c>
      <c r="J1313" s="12" t="s">
        <v>64</v>
      </c>
      <c r="K1313" s="12" t="s">
        <v>42</v>
      </c>
      <c r="L1313" s="17">
        <v>1042.0</v>
      </c>
      <c r="M1313" s="17">
        <v>1.0</v>
      </c>
      <c r="N1313" s="17">
        <v>1.0</v>
      </c>
      <c r="O1313" s="17">
        <v>11.6</v>
      </c>
      <c r="P1313" s="17">
        <v>3.1</v>
      </c>
      <c r="Q1313" s="15">
        <v>45951.0</v>
      </c>
      <c r="R1313" s="12" t="s">
        <v>1582</v>
      </c>
      <c r="S1313" s="12" t="s">
        <v>45</v>
      </c>
      <c r="T1313" s="12" t="s">
        <v>66</v>
      </c>
      <c r="U1313" s="17">
        <f t="shared" si="1"/>
        <v>3</v>
      </c>
    </row>
    <row r="1314">
      <c r="A1314" s="12" t="s">
        <v>1866</v>
      </c>
      <c r="B1314" s="12" t="s">
        <v>395</v>
      </c>
      <c r="C1314" s="17">
        <v>64.0</v>
      </c>
      <c r="D1314" s="12" t="s">
        <v>35</v>
      </c>
      <c r="E1314" s="12" t="s">
        <v>51</v>
      </c>
      <c r="F1314" s="12" t="s">
        <v>62</v>
      </c>
      <c r="G1314" s="12" t="s">
        <v>63</v>
      </c>
      <c r="H1314" s="15">
        <v>45018.0</v>
      </c>
      <c r="I1314" s="17">
        <v>42.0</v>
      </c>
      <c r="J1314" s="12" t="s">
        <v>40</v>
      </c>
      <c r="K1314" s="12" t="s">
        <v>42</v>
      </c>
      <c r="L1314" s="17">
        <v>519.0</v>
      </c>
      <c r="M1314" s="17">
        <v>1.0</v>
      </c>
      <c r="N1314" s="17">
        <v>0.0</v>
      </c>
      <c r="O1314" s="17">
        <v>17.1</v>
      </c>
      <c r="P1314" s="17">
        <v>2.3</v>
      </c>
      <c r="Q1314" s="15">
        <v>46203.0</v>
      </c>
      <c r="R1314" s="12"/>
      <c r="S1314" s="12" t="s">
        <v>602</v>
      </c>
      <c r="T1314" s="12" t="s">
        <v>104</v>
      </c>
      <c r="U1314" s="17">
        <f t="shared" si="1"/>
        <v>2</v>
      </c>
    </row>
    <row r="1315">
      <c r="A1315" s="12" t="s">
        <v>1871</v>
      </c>
      <c r="B1315" s="12" t="s">
        <v>1872</v>
      </c>
      <c r="C1315" s="17">
        <v>46.0</v>
      </c>
      <c r="D1315" s="12" t="s">
        <v>69</v>
      </c>
      <c r="E1315" s="12" t="s">
        <v>70</v>
      </c>
      <c r="F1315" s="12" t="s">
        <v>79</v>
      </c>
      <c r="G1315" s="12" t="s">
        <v>39</v>
      </c>
      <c r="H1315" s="15">
        <v>44718.0</v>
      </c>
      <c r="I1315" s="17">
        <v>24.0</v>
      </c>
      <c r="J1315" s="12" t="s">
        <v>64</v>
      </c>
      <c r="K1315" s="12" t="s">
        <v>65</v>
      </c>
      <c r="L1315" s="17">
        <v>3866.0</v>
      </c>
      <c r="M1315" s="17">
        <v>4.0</v>
      </c>
      <c r="N1315" s="17">
        <v>2.0</v>
      </c>
      <c r="O1315" s="17">
        <v>42.3</v>
      </c>
      <c r="P1315" s="17">
        <v>3.0</v>
      </c>
      <c r="Q1315" s="15">
        <v>44843.0</v>
      </c>
      <c r="R1315" s="12" t="s">
        <v>1873</v>
      </c>
      <c r="S1315" s="12" t="s">
        <v>45</v>
      </c>
      <c r="T1315" s="12" t="s">
        <v>66</v>
      </c>
      <c r="U1315" s="17">
        <f t="shared" si="1"/>
        <v>1</v>
      </c>
    </row>
    <row r="1316">
      <c r="A1316" s="12" t="s">
        <v>1874</v>
      </c>
      <c r="B1316" s="12" t="s">
        <v>222</v>
      </c>
      <c r="C1316" s="17">
        <v>38.0</v>
      </c>
      <c r="D1316" s="12" t="s">
        <v>85</v>
      </c>
      <c r="E1316" s="12" t="s">
        <v>92</v>
      </c>
      <c r="F1316" s="12" t="s">
        <v>497</v>
      </c>
      <c r="G1316" s="12" t="s">
        <v>63</v>
      </c>
      <c r="H1316" s="15">
        <v>45755.0</v>
      </c>
      <c r="I1316" s="17">
        <v>8.0</v>
      </c>
      <c r="J1316" s="12" t="s">
        <v>40</v>
      </c>
      <c r="K1316" s="12" t="s">
        <v>81</v>
      </c>
      <c r="L1316" s="17">
        <v>3099.0</v>
      </c>
      <c r="M1316" s="17">
        <v>1.0</v>
      </c>
      <c r="N1316" s="17">
        <v>1.0</v>
      </c>
      <c r="O1316" s="17">
        <v>36.1</v>
      </c>
      <c r="P1316" s="17">
        <v>3.5</v>
      </c>
      <c r="Q1316" s="15">
        <v>45779.0</v>
      </c>
      <c r="R1316" s="12"/>
      <c r="S1316" s="12" t="s">
        <v>55</v>
      </c>
      <c r="T1316" s="12" t="s">
        <v>104</v>
      </c>
      <c r="U1316" s="17">
        <f t="shared" si="1"/>
        <v>1</v>
      </c>
    </row>
    <row r="1317">
      <c r="A1317" s="12" t="s">
        <v>978</v>
      </c>
      <c r="B1317" s="12" t="s">
        <v>167</v>
      </c>
      <c r="C1317" s="17">
        <v>68.0</v>
      </c>
      <c r="D1317" s="12" t="s">
        <v>85</v>
      </c>
      <c r="E1317" s="12" t="s">
        <v>111</v>
      </c>
      <c r="F1317" s="12" t="s">
        <v>37</v>
      </c>
      <c r="G1317" s="12" t="s">
        <v>80</v>
      </c>
      <c r="H1317" s="15">
        <v>45581.0</v>
      </c>
      <c r="I1317" s="17">
        <v>29.0</v>
      </c>
      <c r="J1317" s="12" t="s">
        <v>64</v>
      </c>
      <c r="K1317" s="12" t="s">
        <v>65</v>
      </c>
      <c r="L1317" s="17">
        <v>1249.0</v>
      </c>
      <c r="M1317" s="17">
        <v>1.0</v>
      </c>
      <c r="N1317" s="17">
        <v>0.0</v>
      </c>
      <c r="O1317" s="17">
        <v>32.9</v>
      </c>
      <c r="P1317" s="17">
        <v>5.0</v>
      </c>
      <c r="Q1317" s="15">
        <v>45912.0</v>
      </c>
      <c r="R1317" s="12"/>
      <c r="S1317" s="12" t="s">
        <v>55</v>
      </c>
      <c r="T1317" s="12" t="s">
        <v>75</v>
      </c>
      <c r="U1317" s="17">
        <f t="shared" si="1"/>
        <v>2</v>
      </c>
    </row>
    <row r="1318">
      <c r="A1318" s="12" t="s">
        <v>1186</v>
      </c>
      <c r="B1318" s="12" t="s">
        <v>605</v>
      </c>
      <c r="C1318" s="17">
        <v>64.0</v>
      </c>
      <c r="D1318" s="12" t="s">
        <v>85</v>
      </c>
      <c r="E1318" s="12" t="s">
        <v>92</v>
      </c>
      <c r="F1318" s="12" t="s">
        <v>37</v>
      </c>
      <c r="G1318" s="12" t="s">
        <v>63</v>
      </c>
      <c r="H1318" s="15">
        <v>45782.0</v>
      </c>
      <c r="I1318" s="17">
        <v>28.0</v>
      </c>
      <c r="J1318" s="12" t="s">
        <v>53</v>
      </c>
      <c r="K1318" s="12" t="s">
        <v>42</v>
      </c>
      <c r="L1318" s="17">
        <v>1302.0</v>
      </c>
      <c r="M1318" s="17">
        <v>3.0</v>
      </c>
      <c r="N1318" s="17">
        <v>1.0</v>
      </c>
      <c r="O1318" s="17">
        <v>18.9</v>
      </c>
      <c r="P1318" s="17">
        <v>4.5</v>
      </c>
      <c r="Q1318" s="15">
        <v>45976.0</v>
      </c>
      <c r="R1318" s="12" t="s">
        <v>1875</v>
      </c>
      <c r="S1318" s="12" t="s">
        <v>230</v>
      </c>
      <c r="T1318" s="12" t="s">
        <v>47</v>
      </c>
      <c r="U1318" s="17">
        <f t="shared" si="1"/>
        <v>2</v>
      </c>
    </row>
    <row r="1319">
      <c r="A1319" s="12" t="s">
        <v>1876</v>
      </c>
      <c r="B1319" s="12" t="s">
        <v>736</v>
      </c>
      <c r="C1319" s="17">
        <v>65.0</v>
      </c>
      <c r="D1319" s="12" t="s">
        <v>69</v>
      </c>
      <c r="E1319" s="12" t="s">
        <v>187</v>
      </c>
      <c r="F1319" s="12" t="s">
        <v>62</v>
      </c>
      <c r="G1319" s="12" t="s">
        <v>52</v>
      </c>
      <c r="H1319" s="15">
        <v>44692.0</v>
      </c>
      <c r="I1319" s="17">
        <v>3.0</v>
      </c>
      <c r="J1319" s="12" t="s">
        <v>53</v>
      </c>
      <c r="K1319" s="12" t="s">
        <v>81</v>
      </c>
      <c r="L1319" s="17">
        <v>812.0</v>
      </c>
      <c r="M1319" s="17">
        <v>2.0</v>
      </c>
      <c r="N1319" s="17">
        <v>0.0</v>
      </c>
      <c r="O1319" s="17">
        <v>17.8</v>
      </c>
      <c r="P1319" s="17">
        <v>2.8</v>
      </c>
      <c r="Q1319" s="15">
        <v>44729.0</v>
      </c>
      <c r="R1319" s="12"/>
      <c r="S1319" s="12" t="s">
        <v>55</v>
      </c>
      <c r="T1319" s="12" t="s">
        <v>66</v>
      </c>
      <c r="U1319" s="17">
        <f t="shared" si="1"/>
        <v>1</v>
      </c>
    </row>
    <row r="1320">
      <c r="A1320" s="12" t="s">
        <v>629</v>
      </c>
      <c r="B1320" s="12" t="s">
        <v>340</v>
      </c>
      <c r="C1320" s="17">
        <v>60.0</v>
      </c>
      <c r="D1320" s="12" t="s">
        <v>35</v>
      </c>
      <c r="E1320" s="12" t="s">
        <v>36</v>
      </c>
      <c r="F1320" s="12" t="s">
        <v>37</v>
      </c>
      <c r="G1320" s="12" t="s">
        <v>80</v>
      </c>
      <c r="H1320" s="15">
        <v>45476.0</v>
      </c>
      <c r="I1320" s="17">
        <v>10.0</v>
      </c>
      <c r="J1320" s="12" t="s">
        <v>40</v>
      </c>
      <c r="K1320" s="12" t="s">
        <v>81</v>
      </c>
      <c r="L1320" s="17">
        <v>1601.0</v>
      </c>
      <c r="M1320" s="17">
        <v>2.0</v>
      </c>
      <c r="N1320" s="17">
        <v>1.0</v>
      </c>
      <c r="O1320" s="17">
        <v>34.0</v>
      </c>
      <c r="P1320" s="17">
        <v>3.8</v>
      </c>
      <c r="Q1320" s="15">
        <v>45790.0</v>
      </c>
      <c r="R1320" s="12" t="s">
        <v>1877</v>
      </c>
      <c r="S1320" s="12" t="s">
        <v>45</v>
      </c>
      <c r="T1320" s="12" t="s">
        <v>47</v>
      </c>
      <c r="U1320" s="17">
        <f t="shared" si="1"/>
        <v>2</v>
      </c>
    </row>
    <row r="1321">
      <c r="A1321" s="12" t="s">
        <v>1878</v>
      </c>
      <c r="B1321" s="12" t="s">
        <v>132</v>
      </c>
      <c r="C1321" s="17">
        <v>19.0</v>
      </c>
      <c r="D1321" s="12" t="s">
        <v>35</v>
      </c>
      <c r="E1321" s="12" t="s">
        <v>36</v>
      </c>
      <c r="F1321" s="12" t="s">
        <v>62</v>
      </c>
      <c r="G1321" s="12" t="s">
        <v>120</v>
      </c>
      <c r="H1321" s="15">
        <v>45426.0</v>
      </c>
      <c r="I1321" s="17">
        <v>27.0</v>
      </c>
      <c r="J1321" s="12" t="s">
        <v>53</v>
      </c>
      <c r="K1321" s="12" t="s">
        <v>42</v>
      </c>
      <c r="L1321" s="17">
        <v>851.0</v>
      </c>
      <c r="M1321" s="17">
        <v>3.0</v>
      </c>
      <c r="N1321" s="17">
        <v>0.0</v>
      </c>
      <c r="O1321" s="17">
        <v>28.4</v>
      </c>
      <c r="P1321" s="17">
        <v>4.3</v>
      </c>
      <c r="Q1321" s="15">
        <v>46159.0</v>
      </c>
      <c r="R1321" s="12"/>
      <c r="S1321" s="12" t="s">
        <v>55</v>
      </c>
      <c r="T1321" s="12" t="s">
        <v>47</v>
      </c>
      <c r="U1321" s="17">
        <f t="shared" si="1"/>
        <v>3</v>
      </c>
    </row>
    <row r="1322">
      <c r="A1322" s="12" t="s">
        <v>1879</v>
      </c>
      <c r="B1322" s="12" t="s">
        <v>250</v>
      </c>
      <c r="C1322" s="12" t="s">
        <v>1880</v>
      </c>
      <c r="D1322" s="12" t="s">
        <v>60</v>
      </c>
      <c r="E1322" s="12" t="s">
        <v>97</v>
      </c>
      <c r="F1322" s="12" t="s">
        <v>37</v>
      </c>
      <c r="G1322" s="12" t="s">
        <v>39</v>
      </c>
      <c r="H1322" s="15">
        <v>44759.0</v>
      </c>
      <c r="I1322" s="17">
        <v>1.0</v>
      </c>
      <c r="J1322" s="12" t="s">
        <v>146</v>
      </c>
      <c r="K1322" s="12" t="s">
        <v>81</v>
      </c>
      <c r="L1322" s="17">
        <v>1333.0</v>
      </c>
      <c r="M1322" s="17">
        <v>3.0</v>
      </c>
      <c r="N1322" s="17">
        <v>1.0</v>
      </c>
      <c r="O1322" s="17">
        <v>38.9</v>
      </c>
      <c r="P1322" s="17">
        <v>3.4</v>
      </c>
      <c r="Q1322" s="15">
        <v>44780.0</v>
      </c>
      <c r="R1322" s="12"/>
      <c r="S1322" s="12" t="s">
        <v>55</v>
      </c>
      <c r="T1322" s="12" t="s">
        <v>104</v>
      </c>
      <c r="U1322" s="17">
        <f t="shared" si="1"/>
        <v>1</v>
      </c>
    </row>
    <row r="1323">
      <c r="A1323" s="12" t="s">
        <v>1881</v>
      </c>
      <c r="B1323" s="12" t="s">
        <v>393</v>
      </c>
      <c r="C1323" s="17">
        <v>29.0</v>
      </c>
      <c r="D1323" s="12" t="s">
        <v>69</v>
      </c>
      <c r="E1323" s="12" t="s">
        <v>119</v>
      </c>
      <c r="F1323" s="12" t="s">
        <v>37</v>
      </c>
      <c r="G1323" s="12" t="s">
        <v>80</v>
      </c>
      <c r="H1323" s="15">
        <v>44912.0</v>
      </c>
      <c r="I1323" s="17">
        <v>43.0</v>
      </c>
      <c r="J1323" s="12" t="s">
        <v>53</v>
      </c>
      <c r="K1323" s="12" t="s">
        <v>65</v>
      </c>
      <c r="L1323" s="17">
        <v>1625.0</v>
      </c>
      <c r="M1323" s="17">
        <v>3.0</v>
      </c>
      <c r="N1323" s="17">
        <v>0.0</v>
      </c>
      <c r="O1323" s="17">
        <v>40.6</v>
      </c>
      <c r="P1323" s="17">
        <v>2.9</v>
      </c>
      <c r="Q1323" s="15">
        <v>45044.0</v>
      </c>
      <c r="R1323" s="12" t="s">
        <v>1882</v>
      </c>
      <c r="S1323" s="12" t="s">
        <v>45</v>
      </c>
      <c r="T1323" s="12" t="s">
        <v>47</v>
      </c>
      <c r="U1323" s="17">
        <f t="shared" si="1"/>
        <v>1</v>
      </c>
    </row>
    <row r="1324">
      <c r="A1324" s="12" t="s">
        <v>294</v>
      </c>
      <c r="B1324" s="12" t="s">
        <v>135</v>
      </c>
      <c r="C1324" s="17">
        <v>51.0</v>
      </c>
      <c r="D1324" s="12" t="s">
        <v>69</v>
      </c>
      <c r="E1324" s="12" t="s">
        <v>187</v>
      </c>
      <c r="F1324" s="12" t="s">
        <v>79</v>
      </c>
      <c r="G1324" s="12" t="s">
        <v>80</v>
      </c>
      <c r="H1324" s="15">
        <v>45810.0</v>
      </c>
      <c r="I1324" s="17">
        <v>25.0</v>
      </c>
      <c r="J1324" s="12" t="s">
        <v>53</v>
      </c>
      <c r="K1324" s="12" t="s">
        <v>81</v>
      </c>
      <c r="L1324" s="17">
        <v>3667.0</v>
      </c>
      <c r="M1324" s="17">
        <v>1.0</v>
      </c>
      <c r="N1324" s="17">
        <v>0.0</v>
      </c>
      <c r="O1324" s="17">
        <v>34.8</v>
      </c>
      <c r="P1324" s="17">
        <v>3.7</v>
      </c>
      <c r="Q1324" s="15">
        <v>46315.0</v>
      </c>
      <c r="R1324" s="12"/>
      <c r="S1324" s="12" t="s">
        <v>55</v>
      </c>
      <c r="T1324" s="12" t="s">
        <v>104</v>
      </c>
      <c r="U1324" s="17">
        <f t="shared" si="1"/>
        <v>3</v>
      </c>
    </row>
    <row r="1325">
      <c r="A1325" s="12" t="s">
        <v>689</v>
      </c>
      <c r="B1325" s="12" t="s">
        <v>459</v>
      </c>
      <c r="C1325" s="17">
        <v>61.0</v>
      </c>
      <c r="D1325" s="12" t="s">
        <v>85</v>
      </c>
      <c r="E1325" s="12" t="s">
        <v>111</v>
      </c>
      <c r="F1325" s="12" t="s">
        <v>62</v>
      </c>
      <c r="G1325" s="12" t="s">
        <v>63</v>
      </c>
      <c r="H1325" s="15">
        <v>45069.0</v>
      </c>
      <c r="I1325" s="17">
        <v>28.0</v>
      </c>
      <c r="J1325" s="12" t="s">
        <v>64</v>
      </c>
      <c r="K1325" s="12" t="s">
        <v>42</v>
      </c>
      <c r="L1325" s="17">
        <v>896.0</v>
      </c>
      <c r="M1325" s="17">
        <v>4.0</v>
      </c>
      <c r="N1325" s="17">
        <v>1.0</v>
      </c>
      <c r="O1325" s="17">
        <v>18.8</v>
      </c>
      <c r="P1325" s="17">
        <v>2.1</v>
      </c>
      <c r="Q1325" s="15">
        <v>45155.0</v>
      </c>
      <c r="R1325" s="12"/>
      <c r="S1325" s="12" t="s">
        <v>55</v>
      </c>
      <c r="T1325" s="12" t="s">
        <v>47</v>
      </c>
      <c r="U1325" s="17">
        <f t="shared" si="1"/>
        <v>5</v>
      </c>
    </row>
    <row r="1326">
      <c r="A1326" s="12" t="s">
        <v>1390</v>
      </c>
      <c r="B1326" s="12" t="s">
        <v>645</v>
      </c>
      <c r="C1326" s="17">
        <v>39.0</v>
      </c>
      <c r="D1326" s="12" t="s">
        <v>69</v>
      </c>
      <c r="E1326" s="12" t="s">
        <v>70</v>
      </c>
      <c r="F1326" s="12" t="s">
        <v>37</v>
      </c>
      <c r="G1326" s="12" t="s">
        <v>93</v>
      </c>
      <c r="H1326" s="15">
        <v>45602.0</v>
      </c>
      <c r="I1326" s="17">
        <v>47.0</v>
      </c>
      <c r="J1326" s="12" t="s">
        <v>64</v>
      </c>
      <c r="K1326" s="12" t="s">
        <v>81</v>
      </c>
      <c r="L1326" s="17">
        <v>1190.0</v>
      </c>
      <c r="M1326" s="17">
        <v>5.0</v>
      </c>
      <c r="N1326" s="17">
        <v>0.0</v>
      </c>
      <c r="O1326" s="17">
        <v>31.1</v>
      </c>
      <c r="P1326" s="17">
        <v>3.0</v>
      </c>
      <c r="Q1326" s="15">
        <v>46840.0</v>
      </c>
      <c r="R1326" s="12" t="s">
        <v>1883</v>
      </c>
      <c r="S1326" s="12" t="s">
        <v>45</v>
      </c>
      <c r="T1326" s="12" t="s">
        <v>104</v>
      </c>
      <c r="U1326" s="17">
        <f t="shared" si="1"/>
        <v>3</v>
      </c>
    </row>
    <row r="1327">
      <c r="A1327" s="12" t="s">
        <v>1511</v>
      </c>
      <c r="B1327" s="12" t="s">
        <v>651</v>
      </c>
      <c r="C1327" s="17">
        <v>60.0</v>
      </c>
      <c r="D1327" s="12" t="s">
        <v>85</v>
      </c>
      <c r="E1327" s="12" t="s">
        <v>87</v>
      </c>
      <c r="F1327" s="12" t="s">
        <v>62</v>
      </c>
      <c r="G1327" s="12" t="s">
        <v>52</v>
      </c>
      <c r="H1327" s="15">
        <v>44650.0</v>
      </c>
      <c r="I1327" s="17">
        <v>-3.0</v>
      </c>
      <c r="J1327" s="12" t="s">
        <v>53</v>
      </c>
      <c r="K1327" s="12" t="s">
        <v>42</v>
      </c>
      <c r="L1327" s="17">
        <v>869.0</v>
      </c>
      <c r="M1327" s="17">
        <v>5.0</v>
      </c>
      <c r="N1327" s="17">
        <v>0.0</v>
      </c>
      <c r="O1327" s="17">
        <v>13.7</v>
      </c>
      <c r="P1327" s="17">
        <v>4.3</v>
      </c>
      <c r="Q1327" s="15">
        <v>45255.0</v>
      </c>
      <c r="R1327" s="12" t="s">
        <v>1884</v>
      </c>
      <c r="S1327" s="12" t="s">
        <v>45</v>
      </c>
      <c r="T1327" s="12" t="s">
        <v>104</v>
      </c>
      <c r="U1327" s="17">
        <f t="shared" si="1"/>
        <v>3</v>
      </c>
    </row>
    <row r="1328">
      <c r="A1328" s="12" t="s">
        <v>1885</v>
      </c>
      <c r="B1328" s="12" t="s">
        <v>172</v>
      </c>
      <c r="C1328" s="17">
        <v>53.0</v>
      </c>
      <c r="D1328" s="12" t="s">
        <v>69</v>
      </c>
      <c r="E1328" s="12" t="s">
        <v>119</v>
      </c>
      <c r="F1328" s="12" t="s">
        <v>37</v>
      </c>
      <c r="G1328" s="12" t="s">
        <v>120</v>
      </c>
      <c r="H1328" s="15">
        <v>44801.0</v>
      </c>
      <c r="I1328" s="17">
        <v>30.0</v>
      </c>
      <c r="J1328" s="12" t="s">
        <v>64</v>
      </c>
      <c r="K1328" s="12" t="s">
        <v>65</v>
      </c>
      <c r="L1328" s="17">
        <v>1112.0</v>
      </c>
      <c r="M1328" s="17">
        <v>1.0</v>
      </c>
      <c r="N1328" s="17">
        <v>2.0</v>
      </c>
      <c r="O1328" s="17">
        <v>38.5</v>
      </c>
      <c r="P1328" s="17">
        <v>4.3</v>
      </c>
      <c r="Q1328" s="15">
        <v>45448.0</v>
      </c>
      <c r="R1328" s="12" t="s">
        <v>1021</v>
      </c>
      <c r="S1328" s="12" t="s">
        <v>45</v>
      </c>
      <c r="T1328" s="12" t="s">
        <v>72</v>
      </c>
      <c r="U1328" s="17">
        <f t="shared" si="1"/>
        <v>1</v>
      </c>
    </row>
    <row r="1329">
      <c r="A1329" s="12" t="s">
        <v>478</v>
      </c>
      <c r="B1329" s="12" t="s">
        <v>476</v>
      </c>
      <c r="C1329" s="17">
        <v>67.0</v>
      </c>
      <c r="D1329" s="12" t="s">
        <v>85</v>
      </c>
      <c r="E1329" s="12" t="s">
        <v>111</v>
      </c>
      <c r="F1329" s="12" t="s">
        <v>37</v>
      </c>
      <c r="G1329" s="12" t="s">
        <v>63</v>
      </c>
      <c r="H1329" s="15">
        <v>44870.0</v>
      </c>
      <c r="I1329" s="17">
        <v>45.0</v>
      </c>
      <c r="J1329" s="12" t="s">
        <v>40</v>
      </c>
      <c r="K1329" s="12" t="s">
        <v>81</v>
      </c>
      <c r="L1329" s="17">
        <v>1711.0</v>
      </c>
      <c r="M1329" s="17">
        <v>3.0</v>
      </c>
      <c r="N1329" s="17">
        <v>1.0</v>
      </c>
      <c r="O1329" s="17">
        <v>40.3</v>
      </c>
      <c r="P1329" s="17">
        <v>3.9</v>
      </c>
      <c r="Q1329" s="15">
        <v>45697.0</v>
      </c>
      <c r="R1329" s="12"/>
      <c r="S1329" s="12" t="s">
        <v>55</v>
      </c>
      <c r="T1329" s="12" t="s">
        <v>72</v>
      </c>
      <c r="U1329" s="17">
        <f t="shared" si="1"/>
        <v>2</v>
      </c>
    </row>
    <row r="1330">
      <c r="A1330" s="12" t="s">
        <v>1886</v>
      </c>
      <c r="B1330" s="12" t="s">
        <v>380</v>
      </c>
      <c r="C1330" s="17">
        <v>61.0</v>
      </c>
      <c r="D1330" s="12" t="s">
        <v>35</v>
      </c>
      <c r="E1330" s="12" t="s">
        <v>51</v>
      </c>
      <c r="F1330" s="12" t="s">
        <v>62</v>
      </c>
      <c r="G1330" s="12" t="s">
        <v>39</v>
      </c>
      <c r="H1330" s="15">
        <v>45192.0</v>
      </c>
      <c r="I1330" s="17">
        <v>40.0</v>
      </c>
      <c r="J1330" s="12" t="s">
        <v>53</v>
      </c>
      <c r="K1330" s="12" t="s">
        <v>81</v>
      </c>
      <c r="L1330" s="17">
        <v>788.0</v>
      </c>
      <c r="M1330" s="17">
        <v>5.0</v>
      </c>
      <c r="N1330" s="17">
        <v>1.0</v>
      </c>
      <c r="O1330" s="17">
        <v>24.6</v>
      </c>
      <c r="P1330" s="17">
        <v>2.9</v>
      </c>
      <c r="Q1330" s="15">
        <v>45869.0</v>
      </c>
      <c r="R1330" s="12"/>
      <c r="S1330" s="12" t="s">
        <v>55</v>
      </c>
      <c r="T1330" s="12" t="s">
        <v>104</v>
      </c>
      <c r="U1330" s="17">
        <f t="shared" si="1"/>
        <v>2</v>
      </c>
    </row>
    <row r="1331">
      <c r="A1331" s="12" t="s">
        <v>1887</v>
      </c>
      <c r="B1331" s="12" t="s">
        <v>222</v>
      </c>
      <c r="C1331" s="17">
        <v>23.0</v>
      </c>
      <c r="D1331" s="12" t="s">
        <v>85</v>
      </c>
      <c r="E1331" s="12" t="s">
        <v>92</v>
      </c>
      <c r="F1331" s="12" t="s">
        <v>79</v>
      </c>
      <c r="G1331" s="12" t="s">
        <v>80</v>
      </c>
      <c r="H1331" s="15">
        <v>45806.0</v>
      </c>
      <c r="I1331" s="17">
        <v>2.0</v>
      </c>
      <c r="J1331" s="12" t="s">
        <v>53</v>
      </c>
      <c r="K1331" s="12" t="s">
        <v>81</v>
      </c>
      <c r="L1331" s="17">
        <v>2291.0</v>
      </c>
      <c r="M1331" s="17">
        <v>3.0</v>
      </c>
      <c r="N1331" s="17">
        <v>2.0</v>
      </c>
      <c r="O1331" s="17">
        <v>47.7</v>
      </c>
      <c r="P1331" s="17">
        <v>2.1</v>
      </c>
      <c r="Q1331" s="15">
        <v>45868.0</v>
      </c>
      <c r="R1331" s="12"/>
      <c r="S1331" s="12" t="s">
        <v>55</v>
      </c>
      <c r="T1331" s="12" t="s">
        <v>66</v>
      </c>
      <c r="U1331" s="17">
        <f t="shared" si="1"/>
        <v>1</v>
      </c>
    </row>
    <row r="1332">
      <c r="A1332" s="12" t="s">
        <v>1888</v>
      </c>
      <c r="B1332" s="12" t="s">
        <v>224</v>
      </c>
      <c r="C1332" s="17">
        <v>44.0</v>
      </c>
      <c r="D1332" s="12" t="s">
        <v>85</v>
      </c>
      <c r="E1332" s="12" t="s">
        <v>292</v>
      </c>
      <c r="F1332" s="12" t="s">
        <v>37</v>
      </c>
      <c r="G1332" s="12" t="s">
        <v>80</v>
      </c>
      <c r="H1332" s="15">
        <v>45781.0</v>
      </c>
      <c r="I1332" s="17">
        <v>30.0</v>
      </c>
      <c r="J1332" s="12" t="s">
        <v>53</v>
      </c>
      <c r="K1332" s="12" t="s">
        <v>326</v>
      </c>
      <c r="L1332" s="17">
        <v>1508.0</v>
      </c>
      <c r="M1332" s="17">
        <v>1.0</v>
      </c>
      <c r="N1332" s="17">
        <v>3.0</v>
      </c>
      <c r="O1332" s="17">
        <v>28.9</v>
      </c>
      <c r="P1332" s="17">
        <v>3.0</v>
      </c>
      <c r="Q1332" s="15">
        <v>46363.0</v>
      </c>
      <c r="R1332" s="12"/>
      <c r="S1332" s="12" t="s">
        <v>55</v>
      </c>
      <c r="T1332" s="12" t="s">
        <v>66</v>
      </c>
      <c r="U1332" s="17">
        <f t="shared" si="1"/>
        <v>1</v>
      </c>
    </row>
    <row r="1333">
      <c r="A1333" s="12" t="s">
        <v>1601</v>
      </c>
      <c r="B1333" s="12" t="s">
        <v>340</v>
      </c>
      <c r="C1333" s="17">
        <v>43.0</v>
      </c>
      <c r="D1333" s="12" t="s">
        <v>60</v>
      </c>
      <c r="E1333" s="12" t="s">
        <v>61</v>
      </c>
      <c r="F1333" s="12" t="s">
        <v>62</v>
      </c>
      <c r="G1333" s="12" t="s">
        <v>39</v>
      </c>
      <c r="H1333" s="15">
        <v>45153.0</v>
      </c>
      <c r="I1333" s="17">
        <v>30.0</v>
      </c>
      <c r="J1333" s="12" t="s">
        <v>53</v>
      </c>
      <c r="K1333" s="12" t="s">
        <v>81</v>
      </c>
      <c r="L1333" s="17">
        <v>821.0</v>
      </c>
      <c r="M1333" s="17">
        <v>2.0</v>
      </c>
      <c r="N1333" s="17">
        <v>1.0</v>
      </c>
      <c r="O1333" s="17">
        <v>7.3</v>
      </c>
      <c r="P1333" s="17">
        <v>3.4</v>
      </c>
      <c r="Q1333" s="15">
        <v>45571.0</v>
      </c>
      <c r="R1333" s="12"/>
      <c r="S1333" s="12" t="s">
        <v>55</v>
      </c>
      <c r="T1333" s="12" t="s">
        <v>66</v>
      </c>
      <c r="U1333" s="17">
        <f t="shared" si="1"/>
        <v>2</v>
      </c>
    </row>
    <row r="1334">
      <c r="A1334" s="12" t="s">
        <v>1889</v>
      </c>
      <c r="B1334" s="12" t="s">
        <v>68</v>
      </c>
      <c r="C1334" s="17">
        <v>26.0</v>
      </c>
      <c r="D1334" s="12" t="s">
        <v>60</v>
      </c>
      <c r="E1334" s="12" t="s">
        <v>107</v>
      </c>
      <c r="F1334" s="12" t="s">
        <v>62</v>
      </c>
      <c r="G1334" s="12" t="s">
        <v>93</v>
      </c>
      <c r="H1334" s="15">
        <v>45800.0</v>
      </c>
      <c r="I1334" s="17">
        <v>11.0</v>
      </c>
      <c r="J1334" s="12" t="s">
        <v>40</v>
      </c>
      <c r="K1334" s="12" t="s">
        <v>42</v>
      </c>
      <c r="L1334" s="17">
        <v>762.0</v>
      </c>
      <c r="M1334" s="17">
        <v>0.0</v>
      </c>
      <c r="N1334" s="17">
        <v>0.0</v>
      </c>
      <c r="O1334" s="17">
        <v>21.6</v>
      </c>
      <c r="P1334" s="17">
        <v>2.5</v>
      </c>
      <c r="Q1334" s="15">
        <v>45815.0</v>
      </c>
      <c r="R1334" s="12"/>
      <c r="S1334" s="12" t="s">
        <v>55</v>
      </c>
      <c r="T1334" s="12" t="s">
        <v>75</v>
      </c>
      <c r="U1334" s="17">
        <f t="shared" si="1"/>
        <v>1</v>
      </c>
    </row>
    <row r="1335">
      <c r="A1335" s="12" t="s">
        <v>1583</v>
      </c>
      <c r="B1335" s="12" t="s">
        <v>184</v>
      </c>
      <c r="C1335" s="17">
        <v>52.0</v>
      </c>
      <c r="D1335" s="12" t="s">
        <v>85</v>
      </c>
      <c r="E1335" s="12" t="s">
        <v>292</v>
      </c>
      <c r="F1335" s="12" t="s">
        <v>62</v>
      </c>
      <c r="G1335" s="12" t="s">
        <v>571</v>
      </c>
      <c r="H1335" s="15">
        <v>45694.0</v>
      </c>
      <c r="I1335" s="17">
        <v>39.0</v>
      </c>
      <c r="J1335" s="12" t="s">
        <v>40</v>
      </c>
      <c r="K1335" s="12" t="s">
        <v>42</v>
      </c>
      <c r="L1335" s="17">
        <v>508.0</v>
      </c>
      <c r="M1335" s="17">
        <v>2.0</v>
      </c>
      <c r="N1335" s="17">
        <v>0.0</v>
      </c>
      <c r="O1335" s="17">
        <v>29.4</v>
      </c>
      <c r="P1335" s="17">
        <v>3.0</v>
      </c>
      <c r="Q1335" s="15">
        <v>46258.0</v>
      </c>
      <c r="R1335" s="12" t="s">
        <v>451</v>
      </c>
      <c r="S1335" s="12" t="s">
        <v>45</v>
      </c>
      <c r="T1335" s="12" t="s">
        <v>104</v>
      </c>
      <c r="U1335" s="17">
        <f t="shared" si="1"/>
        <v>2</v>
      </c>
    </row>
    <row r="1336">
      <c r="A1336" s="12" t="s">
        <v>1890</v>
      </c>
      <c r="B1336" s="12" t="s">
        <v>398</v>
      </c>
      <c r="C1336" s="17">
        <v>54.0</v>
      </c>
      <c r="D1336" s="12" t="s">
        <v>69</v>
      </c>
      <c r="E1336" s="12" t="s">
        <v>70</v>
      </c>
      <c r="F1336" s="12" t="s">
        <v>62</v>
      </c>
      <c r="G1336" s="12" t="s">
        <v>210</v>
      </c>
      <c r="H1336" s="15">
        <v>45927.0</v>
      </c>
      <c r="I1336" s="17">
        <v>35.0</v>
      </c>
      <c r="J1336" s="12" t="s">
        <v>53</v>
      </c>
      <c r="K1336" s="12" t="s">
        <v>65</v>
      </c>
      <c r="L1336" s="17">
        <v>815.0</v>
      </c>
      <c r="M1336" s="17">
        <v>2.0</v>
      </c>
      <c r="N1336" s="17">
        <v>1.0</v>
      </c>
      <c r="O1336" s="17">
        <v>23.8</v>
      </c>
      <c r="P1336" s="17">
        <v>4.0</v>
      </c>
      <c r="Q1336" s="15">
        <v>46907.0</v>
      </c>
      <c r="R1336" s="12"/>
      <c r="S1336" s="12" t="s">
        <v>55</v>
      </c>
      <c r="T1336" s="12" t="s">
        <v>47</v>
      </c>
      <c r="U1336" s="17">
        <f t="shared" si="1"/>
        <v>1</v>
      </c>
    </row>
    <row r="1337">
      <c r="A1337" s="12" t="s">
        <v>1891</v>
      </c>
      <c r="B1337" s="12" t="s">
        <v>135</v>
      </c>
      <c r="C1337" s="17">
        <v>56.0</v>
      </c>
      <c r="D1337" s="12" t="s">
        <v>69</v>
      </c>
      <c r="E1337" s="12" t="s">
        <v>119</v>
      </c>
      <c r="F1337" s="12" t="s">
        <v>37</v>
      </c>
      <c r="G1337" s="12" t="s">
        <v>63</v>
      </c>
      <c r="H1337" s="15">
        <v>44658.0</v>
      </c>
      <c r="I1337" s="17">
        <v>1.0</v>
      </c>
      <c r="J1337" s="12" t="s">
        <v>64</v>
      </c>
      <c r="K1337" s="12" t="s">
        <v>65</v>
      </c>
      <c r="L1337" s="17">
        <v>1352.0</v>
      </c>
      <c r="M1337" s="17">
        <v>1.0</v>
      </c>
      <c r="N1337" s="17">
        <v>3.0</v>
      </c>
      <c r="O1337" s="17">
        <v>32.8</v>
      </c>
      <c r="P1337" s="17">
        <v>4.5</v>
      </c>
      <c r="Q1337" s="15">
        <v>44692.0</v>
      </c>
      <c r="R1337" s="12"/>
      <c r="S1337" s="12" t="s">
        <v>55</v>
      </c>
      <c r="T1337" s="12" t="s">
        <v>47</v>
      </c>
      <c r="U1337" s="17">
        <f t="shared" si="1"/>
        <v>1</v>
      </c>
    </row>
    <row r="1338">
      <c r="A1338" s="12" t="s">
        <v>962</v>
      </c>
      <c r="B1338" s="12" t="s">
        <v>118</v>
      </c>
      <c r="C1338" s="17">
        <v>55.0</v>
      </c>
      <c r="D1338" s="12" t="s">
        <v>60</v>
      </c>
      <c r="E1338" s="12" t="s">
        <v>133</v>
      </c>
      <c r="F1338" s="12" t="s">
        <v>62</v>
      </c>
      <c r="G1338" s="12" t="s">
        <v>80</v>
      </c>
      <c r="H1338" s="15">
        <v>45096.0</v>
      </c>
      <c r="I1338" s="17">
        <v>37.0</v>
      </c>
      <c r="J1338" s="12" t="s">
        <v>40</v>
      </c>
      <c r="K1338" s="12" t="s">
        <v>81</v>
      </c>
      <c r="L1338" s="17">
        <v>723.0</v>
      </c>
      <c r="M1338" s="17">
        <v>1.0</v>
      </c>
      <c r="N1338" s="17">
        <v>1.0</v>
      </c>
      <c r="O1338" s="17">
        <v>17.5</v>
      </c>
      <c r="P1338" s="17">
        <v>3.5</v>
      </c>
      <c r="Q1338" s="15">
        <v>45708.0</v>
      </c>
      <c r="R1338" s="12"/>
      <c r="S1338" s="12" t="s">
        <v>55</v>
      </c>
      <c r="T1338" s="12" t="s">
        <v>75</v>
      </c>
      <c r="U1338" s="17">
        <f t="shared" si="1"/>
        <v>3</v>
      </c>
    </row>
    <row r="1339">
      <c r="A1339" s="12" t="s">
        <v>1788</v>
      </c>
      <c r="B1339" s="12" t="s">
        <v>91</v>
      </c>
      <c r="C1339" s="17">
        <v>22.0</v>
      </c>
      <c r="D1339" s="12" t="s">
        <v>35</v>
      </c>
      <c r="E1339" s="12" t="s">
        <v>36</v>
      </c>
      <c r="F1339" s="12" t="s">
        <v>37</v>
      </c>
      <c r="G1339" s="12" t="s">
        <v>39</v>
      </c>
      <c r="H1339" s="15">
        <v>45410.0</v>
      </c>
      <c r="I1339" s="17">
        <v>42.0</v>
      </c>
      <c r="J1339" s="12" t="s">
        <v>40</v>
      </c>
      <c r="K1339" s="12" t="s">
        <v>65</v>
      </c>
      <c r="L1339" s="12" t="s">
        <v>1892</v>
      </c>
      <c r="M1339" s="17">
        <v>0.0</v>
      </c>
      <c r="N1339" s="17">
        <v>1.0</v>
      </c>
      <c r="O1339" s="17">
        <v>33.1</v>
      </c>
      <c r="P1339" s="17">
        <v>3.5</v>
      </c>
      <c r="Q1339" s="15">
        <v>45837.0</v>
      </c>
      <c r="R1339" s="12" t="s">
        <v>472</v>
      </c>
      <c r="S1339" s="12" t="s">
        <v>45</v>
      </c>
      <c r="T1339" s="12" t="s">
        <v>72</v>
      </c>
      <c r="U1339" s="17">
        <f t="shared" si="1"/>
        <v>2</v>
      </c>
    </row>
    <row r="1340">
      <c r="A1340" s="12" t="s">
        <v>1893</v>
      </c>
      <c r="B1340" s="12" t="s">
        <v>411</v>
      </c>
      <c r="C1340" s="17">
        <v>29.0</v>
      </c>
      <c r="D1340" s="12" t="s">
        <v>60</v>
      </c>
      <c r="E1340" s="12" t="s">
        <v>97</v>
      </c>
      <c r="F1340" s="12" t="s">
        <v>37</v>
      </c>
      <c r="G1340" s="12" t="s">
        <v>63</v>
      </c>
      <c r="H1340" s="15">
        <v>45367.0</v>
      </c>
      <c r="I1340" s="17">
        <v>31.0</v>
      </c>
      <c r="J1340" s="12" t="s">
        <v>53</v>
      </c>
      <c r="K1340" s="12" t="s">
        <v>42</v>
      </c>
      <c r="L1340" s="17">
        <v>1431.0</v>
      </c>
      <c r="M1340" s="17">
        <v>4.0</v>
      </c>
      <c r="N1340" s="17">
        <v>3.0</v>
      </c>
      <c r="O1340" s="17">
        <v>14.6</v>
      </c>
      <c r="P1340" s="17">
        <v>3.3</v>
      </c>
      <c r="Q1340" s="15">
        <v>46301.0</v>
      </c>
      <c r="R1340" s="12"/>
      <c r="S1340" s="12" t="s">
        <v>55</v>
      </c>
      <c r="T1340" s="12" t="s">
        <v>75</v>
      </c>
      <c r="U1340" s="17">
        <f t="shared" si="1"/>
        <v>1</v>
      </c>
    </row>
    <row r="1341">
      <c r="A1341" s="12" t="s">
        <v>1862</v>
      </c>
      <c r="B1341" s="12" t="s">
        <v>106</v>
      </c>
      <c r="C1341" s="17">
        <v>30.0</v>
      </c>
      <c r="D1341" s="12" t="s">
        <v>69</v>
      </c>
      <c r="E1341" s="12" t="s">
        <v>70</v>
      </c>
      <c r="F1341" s="12" t="s">
        <v>62</v>
      </c>
      <c r="G1341" s="12" t="s">
        <v>210</v>
      </c>
      <c r="H1341" s="15">
        <v>45813.0</v>
      </c>
      <c r="I1341" s="17">
        <v>39.0</v>
      </c>
      <c r="J1341" s="12" t="s">
        <v>40</v>
      </c>
      <c r="K1341" s="12" t="s">
        <v>81</v>
      </c>
      <c r="L1341" s="17">
        <v>743.0</v>
      </c>
      <c r="M1341" s="17">
        <v>5.0</v>
      </c>
      <c r="N1341" s="17">
        <v>0.0</v>
      </c>
      <c r="O1341" s="17">
        <v>12.8</v>
      </c>
      <c r="P1341" s="17">
        <v>3.4</v>
      </c>
      <c r="Q1341" s="15">
        <v>46694.0</v>
      </c>
      <c r="R1341" s="12"/>
      <c r="S1341" s="12" t="s">
        <v>55</v>
      </c>
      <c r="T1341" s="12" t="s">
        <v>104</v>
      </c>
      <c r="U1341" s="17">
        <f t="shared" si="1"/>
        <v>2</v>
      </c>
    </row>
    <row r="1342">
      <c r="A1342" s="12" t="s">
        <v>1490</v>
      </c>
      <c r="B1342" s="12" t="s">
        <v>734</v>
      </c>
      <c r="C1342" s="17">
        <v>38.0</v>
      </c>
      <c r="D1342" s="12" t="s">
        <v>69</v>
      </c>
      <c r="E1342" s="12" t="s">
        <v>187</v>
      </c>
      <c r="F1342" s="12" t="s">
        <v>79</v>
      </c>
      <c r="G1342" s="12" t="s">
        <v>52</v>
      </c>
      <c r="H1342" s="15">
        <v>45913.0</v>
      </c>
      <c r="I1342" s="17">
        <v>19.0</v>
      </c>
      <c r="J1342" s="12" t="s">
        <v>64</v>
      </c>
      <c r="K1342" s="12" t="s">
        <v>65</v>
      </c>
      <c r="L1342" s="17">
        <v>3020.0</v>
      </c>
      <c r="M1342" s="17">
        <v>1.0</v>
      </c>
      <c r="N1342" s="17">
        <v>0.0</v>
      </c>
      <c r="O1342" s="17">
        <v>27.9</v>
      </c>
      <c r="P1342" s="17">
        <v>4.6</v>
      </c>
      <c r="Q1342" s="15">
        <v>46237.0</v>
      </c>
      <c r="R1342" s="12"/>
      <c r="S1342" s="12" t="s">
        <v>55</v>
      </c>
      <c r="T1342" s="12" t="s">
        <v>72</v>
      </c>
      <c r="U1342" s="17">
        <f t="shared" si="1"/>
        <v>2</v>
      </c>
    </row>
    <row r="1343">
      <c r="A1343" s="12" t="s">
        <v>668</v>
      </c>
      <c r="B1343" s="12" t="s">
        <v>322</v>
      </c>
      <c r="C1343" s="17">
        <v>40.0</v>
      </c>
      <c r="D1343" s="12" t="s">
        <v>69</v>
      </c>
      <c r="E1343" s="12" t="s">
        <v>119</v>
      </c>
      <c r="F1343" s="12" t="s">
        <v>62</v>
      </c>
      <c r="G1343" s="12" t="s">
        <v>63</v>
      </c>
      <c r="H1343" s="15">
        <v>45036.0</v>
      </c>
      <c r="I1343" s="17">
        <v>35.0</v>
      </c>
      <c r="J1343" s="12" t="s">
        <v>64</v>
      </c>
      <c r="K1343" s="12" t="s">
        <v>65</v>
      </c>
      <c r="L1343" s="17">
        <v>502.0</v>
      </c>
      <c r="M1343" s="17">
        <v>2.0</v>
      </c>
      <c r="N1343" s="17">
        <v>0.0</v>
      </c>
      <c r="O1343" s="17">
        <v>1.0</v>
      </c>
      <c r="P1343" s="17">
        <v>4.2</v>
      </c>
      <c r="Q1343" s="15">
        <v>45213.0</v>
      </c>
      <c r="R1343" s="12"/>
      <c r="S1343" s="12" t="s">
        <v>55</v>
      </c>
      <c r="T1343" s="12" t="s">
        <v>47</v>
      </c>
      <c r="U1343" s="17">
        <f t="shared" si="1"/>
        <v>4</v>
      </c>
    </row>
    <row r="1344">
      <c r="A1344" s="12" t="s">
        <v>218</v>
      </c>
      <c r="B1344" s="12" t="s">
        <v>459</v>
      </c>
      <c r="C1344" s="17">
        <v>59.0</v>
      </c>
      <c r="D1344" s="12" t="s">
        <v>69</v>
      </c>
      <c r="E1344" s="12" t="s">
        <v>70</v>
      </c>
      <c r="F1344" s="12" t="s">
        <v>62</v>
      </c>
      <c r="G1344" s="12" t="s">
        <v>39</v>
      </c>
      <c r="H1344" s="15">
        <v>45369.0</v>
      </c>
      <c r="I1344" s="17">
        <v>9.0</v>
      </c>
      <c r="J1344" s="12" t="s">
        <v>53</v>
      </c>
      <c r="K1344" s="12" t="s">
        <v>65</v>
      </c>
      <c r="L1344" s="17">
        <v>545.0</v>
      </c>
      <c r="M1344" s="17">
        <v>3.0</v>
      </c>
      <c r="N1344" s="17">
        <v>1.0</v>
      </c>
      <c r="O1344" s="17">
        <v>14.3</v>
      </c>
      <c r="P1344" s="17">
        <v>2.8</v>
      </c>
      <c r="Q1344" s="15">
        <v>45620.0</v>
      </c>
      <c r="R1344" s="12"/>
      <c r="S1344" s="12" t="s">
        <v>55</v>
      </c>
      <c r="T1344" s="12" t="s">
        <v>47</v>
      </c>
      <c r="U1344" s="17">
        <f t="shared" si="1"/>
        <v>2</v>
      </c>
    </row>
    <row r="1345">
      <c r="A1345" s="12" t="s">
        <v>1894</v>
      </c>
      <c r="B1345" s="12" t="s">
        <v>232</v>
      </c>
      <c r="C1345" s="17">
        <v>29.0</v>
      </c>
      <c r="D1345" s="12" t="s">
        <v>60</v>
      </c>
      <c r="E1345" s="12" t="s">
        <v>97</v>
      </c>
      <c r="F1345" s="12" t="s">
        <v>37</v>
      </c>
      <c r="G1345" s="12" t="s">
        <v>1014</v>
      </c>
      <c r="H1345" s="15">
        <v>45219.0</v>
      </c>
      <c r="I1345" s="17">
        <v>46.0</v>
      </c>
      <c r="J1345" s="12" t="s">
        <v>64</v>
      </c>
      <c r="K1345" s="12" t="s">
        <v>65</v>
      </c>
      <c r="L1345" s="12" t="s">
        <v>1895</v>
      </c>
      <c r="M1345" s="17">
        <v>3.0</v>
      </c>
      <c r="N1345" s="17">
        <v>1.0</v>
      </c>
      <c r="O1345" s="17">
        <v>50.9</v>
      </c>
      <c r="P1345" s="17">
        <v>2.9</v>
      </c>
      <c r="Q1345" s="15">
        <v>45599.0</v>
      </c>
      <c r="R1345" s="12"/>
      <c r="S1345" s="12" t="s">
        <v>55</v>
      </c>
      <c r="T1345" s="12" t="s">
        <v>47</v>
      </c>
      <c r="U1345" s="17">
        <f t="shared" si="1"/>
        <v>2</v>
      </c>
    </row>
    <row r="1346">
      <c r="A1346" s="12" t="s">
        <v>1731</v>
      </c>
      <c r="B1346" s="12" t="s">
        <v>74</v>
      </c>
      <c r="C1346" s="17">
        <v>52.0</v>
      </c>
      <c r="D1346" s="12" t="s">
        <v>60</v>
      </c>
      <c r="E1346" s="12" t="s">
        <v>61</v>
      </c>
      <c r="F1346" s="12" t="s">
        <v>62</v>
      </c>
      <c r="G1346" s="12" t="s">
        <v>80</v>
      </c>
      <c r="H1346" s="15">
        <v>45233.0</v>
      </c>
      <c r="I1346" s="17">
        <v>32.0</v>
      </c>
      <c r="J1346" s="12" t="s">
        <v>64</v>
      </c>
      <c r="K1346" s="12" t="s">
        <v>42</v>
      </c>
      <c r="L1346" s="17">
        <v>542.0</v>
      </c>
      <c r="M1346" s="17">
        <v>4.0</v>
      </c>
      <c r="N1346" s="17">
        <v>1.0</v>
      </c>
      <c r="O1346" s="17">
        <v>7.4</v>
      </c>
      <c r="P1346" s="17">
        <v>3.5</v>
      </c>
      <c r="Q1346" s="15">
        <v>45299.0</v>
      </c>
      <c r="R1346" s="12"/>
      <c r="S1346" s="12" t="s">
        <v>55</v>
      </c>
      <c r="T1346" s="12" t="s">
        <v>72</v>
      </c>
      <c r="U1346" s="17">
        <f t="shared" si="1"/>
        <v>2</v>
      </c>
    </row>
    <row r="1347">
      <c r="A1347" s="12" t="s">
        <v>1896</v>
      </c>
      <c r="B1347" s="12" t="s">
        <v>322</v>
      </c>
      <c r="C1347" s="17">
        <v>47.0</v>
      </c>
      <c r="D1347" s="12" t="s">
        <v>35</v>
      </c>
      <c r="E1347" s="12" t="s">
        <v>161</v>
      </c>
      <c r="F1347" s="12" t="s">
        <v>62</v>
      </c>
      <c r="G1347" s="12" t="s">
        <v>210</v>
      </c>
      <c r="H1347" s="15">
        <v>45113.0</v>
      </c>
      <c r="I1347" s="17">
        <v>31.0</v>
      </c>
      <c r="J1347" s="12" t="s">
        <v>64</v>
      </c>
      <c r="K1347" s="12" t="s">
        <v>81</v>
      </c>
      <c r="L1347" s="17">
        <v>686.0</v>
      </c>
      <c r="M1347" s="17">
        <v>1.0</v>
      </c>
      <c r="N1347" s="17">
        <v>1.0</v>
      </c>
      <c r="O1347" s="17">
        <v>2.8</v>
      </c>
      <c r="P1347" s="17">
        <v>4.3</v>
      </c>
      <c r="Q1347" s="15">
        <v>45488.0</v>
      </c>
      <c r="R1347" s="12"/>
      <c r="S1347" s="12" t="s">
        <v>55</v>
      </c>
      <c r="T1347" s="12" t="s">
        <v>72</v>
      </c>
      <c r="U1347" s="17">
        <f t="shared" si="1"/>
        <v>1</v>
      </c>
    </row>
    <row r="1348">
      <c r="A1348" s="12" t="s">
        <v>105</v>
      </c>
      <c r="B1348" s="12" t="s">
        <v>295</v>
      </c>
      <c r="C1348" s="17">
        <v>33.0</v>
      </c>
      <c r="D1348" s="12" t="s">
        <v>85</v>
      </c>
      <c r="E1348" s="12" t="s">
        <v>292</v>
      </c>
      <c r="F1348" s="12" t="s">
        <v>62</v>
      </c>
      <c r="G1348" s="12" t="s">
        <v>210</v>
      </c>
      <c r="H1348" s="15">
        <v>46000.0</v>
      </c>
      <c r="I1348" s="17">
        <v>37.0</v>
      </c>
      <c r="J1348" s="12" t="s">
        <v>53</v>
      </c>
      <c r="K1348" s="12" t="s">
        <v>81</v>
      </c>
      <c r="L1348" s="17">
        <v>632.0</v>
      </c>
      <c r="M1348" s="17">
        <v>1.0</v>
      </c>
      <c r="N1348" s="17">
        <v>3.0</v>
      </c>
      <c r="O1348" s="17">
        <v>15.3</v>
      </c>
      <c r="P1348" s="17">
        <v>1.9</v>
      </c>
      <c r="Q1348" s="15">
        <v>46426.0</v>
      </c>
      <c r="R1348" s="12"/>
      <c r="S1348" s="12" t="s">
        <v>55</v>
      </c>
      <c r="T1348" s="12" t="s">
        <v>66</v>
      </c>
      <c r="U1348" s="17">
        <f t="shared" si="1"/>
        <v>3</v>
      </c>
    </row>
    <row r="1349">
      <c r="A1349" s="12" t="s">
        <v>1897</v>
      </c>
      <c r="B1349" s="12" t="s">
        <v>145</v>
      </c>
      <c r="C1349" s="17">
        <v>46.0</v>
      </c>
      <c r="D1349" s="12" t="s">
        <v>69</v>
      </c>
      <c r="E1349" s="12" t="s">
        <v>187</v>
      </c>
      <c r="F1349" s="12" t="s">
        <v>62</v>
      </c>
      <c r="G1349" s="12" t="s">
        <v>39</v>
      </c>
      <c r="H1349" s="15">
        <v>45424.0</v>
      </c>
      <c r="I1349" s="17">
        <v>6.0</v>
      </c>
      <c r="J1349" s="12" t="s">
        <v>40</v>
      </c>
      <c r="K1349" s="12" t="s">
        <v>81</v>
      </c>
      <c r="L1349" s="17">
        <v>534.0</v>
      </c>
      <c r="M1349" s="17">
        <v>1.0</v>
      </c>
      <c r="N1349" s="17">
        <v>1.0</v>
      </c>
      <c r="O1349" s="17">
        <v>13.5</v>
      </c>
      <c r="P1349" s="17">
        <v>2.6</v>
      </c>
      <c r="Q1349" s="15">
        <v>45495.0</v>
      </c>
      <c r="R1349" s="12" t="s">
        <v>1898</v>
      </c>
      <c r="S1349" s="12" t="s">
        <v>45</v>
      </c>
      <c r="T1349" s="12" t="s">
        <v>75</v>
      </c>
      <c r="U1349" s="17">
        <f t="shared" si="1"/>
        <v>1</v>
      </c>
    </row>
    <row r="1350">
      <c r="A1350" s="12" t="s">
        <v>1899</v>
      </c>
      <c r="B1350" s="12" t="s">
        <v>405</v>
      </c>
      <c r="C1350" s="17">
        <v>62.0</v>
      </c>
      <c r="D1350" s="12" t="s">
        <v>69</v>
      </c>
      <c r="E1350" s="12" t="s">
        <v>70</v>
      </c>
      <c r="F1350" s="12" t="s">
        <v>62</v>
      </c>
      <c r="G1350" s="12" t="s">
        <v>39</v>
      </c>
      <c r="H1350" s="15">
        <v>45544.0</v>
      </c>
      <c r="I1350" s="17">
        <v>35.0</v>
      </c>
      <c r="J1350" s="12" t="s">
        <v>40</v>
      </c>
      <c r="K1350" s="12" t="s">
        <v>65</v>
      </c>
      <c r="L1350" s="17">
        <v>503.0</v>
      </c>
      <c r="M1350" s="17">
        <v>5.0</v>
      </c>
      <c r="N1350" s="17">
        <v>0.0</v>
      </c>
      <c r="O1350" s="17">
        <v>28.0</v>
      </c>
      <c r="P1350" s="17">
        <v>4.3</v>
      </c>
      <c r="Q1350" s="15">
        <v>46444.0</v>
      </c>
      <c r="R1350" s="12"/>
      <c r="S1350" s="12" t="s">
        <v>55</v>
      </c>
      <c r="T1350" s="12" t="s">
        <v>47</v>
      </c>
      <c r="U1350" s="17">
        <f t="shared" si="1"/>
        <v>1</v>
      </c>
    </row>
    <row r="1351">
      <c r="A1351" s="12" t="s">
        <v>1709</v>
      </c>
      <c r="B1351" s="12" t="s">
        <v>179</v>
      </c>
      <c r="C1351" s="17">
        <v>25.0</v>
      </c>
      <c r="D1351" s="12" t="s">
        <v>85</v>
      </c>
      <c r="E1351" s="12" t="s">
        <v>92</v>
      </c>
      <c r="F1351" s="12" t="s">
        <v>62</v>
      </c>
      <c r="G1351" s="12" t="s">
        <v>93</v>
      </c>
      <c r="H1351" s="15">
        <v>45915.0</v>
      </c>
      <c r="I1351" s="17">
        <v>14.0</v>
      </c>
      <c r="J1351" s="12" t="s">
        <v>64</v>
      </c>
      <c r="K1351" s="12" t="s">
        <v>81</v>
      </c>
      <c r="L1351" s="17">
        <v>872.0</v>
      </c>
      <c r="M1351" s="17">
        <v>1.0</v>
      </c>
      <c r="N1351" s="17">
        <v>1.0</v>
      </c>
      <c r="O1351" s="17">
        <v>15.8</v>
      </c>
      <c r="P1351" s="17">
        <v>3.3</v>
      </c>
      <c r="Q1351" s="15">
        <v>46340.0</v>
      </c>
      <c r="R1351" s="12" t="s">
        <v>1900</v>
      </c>
      <c r="S1351" s="12" t="s">
        <v>45</v>
      </c>
      <c r="T1351" s="12" t="s">
        <v>104</v>
      </c>
      <c r="U1351" s="17">
        <f t="shared" si="1"/>
        <v>2</v>
      </c>
    </row>
    <row r="1352">
      <c r="A1352" s="12" t="s">
        <v>1901</v>
      </c>
      <c r="B1352" s="12" t="s">
        <v>50</v>
      </c>
      <c r="C1352" s="17">
        <v>56.0</v>
      </c>
      <c r="D1352" s="12" t="s">
        <v>85</v>
      </c>
      <c r="E1352" s="12" t="s">
        <v>87</v>
      </c>
      <c r="F1352" s="12" t="s">
        <v>62</v>
      </c>
      <c r="G1352" s="12" t="s">
        <v>210</v>
      </c>
      <c r="H1352" s="15">
        <v>45343.0</v>
      </c>
      <c r="I1352" s="17">
        <v>32.0</v>
      </c>
      <c r="J1352" s="12" t="s">
        <v>40</v>
      </c>
      <c r="K1352" s="12" t="s">
        <v>454</v>
      </c>
      <c r="L1352" s="17">
        <v>744.0</v>
      </c>
      <c r="M1352" s="17">
        <v>4.0</v>
      </c>
      <c r="N1352" s="17">
        <v>4.0</v>
      </c>
      <c r="O1352" s="17">
        <v>12.5</v>
      </c>
      <c r="P1352" s="17">
        <v>4.1</v>
      </c>
      <c r="Q1352" s="15">
        <v>45740.0</v>
      </c>
      <c r="R1352" s="12"/>
      <c r="S1352" s="12" t="s">
        <v>55</v>
      </c>
      <c r="T1352" s="12" t="s">
        <v>47</v>
      </c>
      <c r="U1352" s="17">
        <f t="shared" si="1"/>
        <v>1</v>
      </c>
    </row>
    <row r="1353">
      <c r="A1353" s="12" t="s">
        <v>1902</v>
      </c>
      <c r="B1353" s="12" t="s">
        <v>132</v>
      </c>
      <c r="C1353" s="17">
        <v>63.0</v>
      </c>
      <c r="D1353" s="12" t="s">
        <v>267</v>
      </c>
      <c r="E1353" s="12" t="s">
        <v>111</v>
      </c>
      <c r="F1353" s="12" t="s">
        <v>37</v>
      </c>
      <c r="G1353" s="12" t="s">
        <v>80</v>
      </c>
      <c r="H1353" s="15">
        <v>45088.0</v>
      </c>
      <c r="I1353" s="17">
        <v>25.0</v>
      </c>
      <c r="J1353" s="12" t="s">
        <v>64</v>
      </c>
      <c r="K1353" s="12" t="s">
        <v>42</v>
      </c>
      <c r="L1353" s="17">
        <v>1267.0</v>
      </c>
      <c r="M1353" s="17">
        <v>1.0</v>
      </c>
      <c r="N1353" s="17">
        <v>1.0</v>
      </c>
      <c r="O1353" s="17">
        <v>25.5</v>
      </c>
      <c r="P1353" s="17">
        <v>4.2</v>
      </c>
      <c r="Q1353" s="15">
        <v>45447.0</v>
      </c>
      <c r="R1353" s="12"/>
      <c r="S1353" s="12" t="s">
        <v>55</v>
      </c>
      <c r="T1353" s="12" t="s">
        <v>104</v>
      </c>
      <c r="U1353" s="17">
        <f t="shared" si="1"/>
        <v>1</v>
      </c>
    </row>
    <row r="1354">
      <c r="A1354" s="12" t="s">
        <v>1903</v>
      </c>
      <c r="B1354" s="12" t="s">
        <v>59</v>
      </c>
      <c r="C1354" s="17">
        <v>61.0</v>
      </c>
      <c r="D1354" s="12" t="s">
        <v>60</v>
      </c>
      <c r="E1354" s="12" t="s">
        <v>133</v>
      </c>
      <c r="F1354" s="12" t="s">
        <v>62</v>
      </c>
      <c r="G1354" s="12" t="s">
        <v>63</v>
      </c>
      <c r="H1354" s="15">
        <v>45650.0</v>
      </c>
      <c r="I1354" s="17">
        <v>15.0</v>
      </c>
      <c r="J1354" s="12" t="s">
        <v>64</v>
      </c>
      <c r="K1354" s="12" t="s">
        <v>65</v>
      </c>
      <c r="L1354" s="17">
        <v>849.0</v>
      </c>
      <c r="M1354" s="17">
        <v>2.0</v>
      </c>
      <c r="N1354" s="17">
        <v>0.0</v>
      </c>
      <c r="O1354" s="17">
        <v>20.5</v>
      </c>
      <c r="P1354" s="17">
        <v>2.4</v>
      </c>
      <c r="Q1354" s="15">
        <v>45743.0</v>
      </c>
      <c r="R1354" s="12" t="s">
        <v>1904</v>
      </c>
      <c r="S1354" s="12" t="s">
        <v>45</v>
      </c>
      <c r="T1354" s="12" t="s">
        <v>72</v>
      </c>
      <c r="U1354" s="17">
        <f t="shared" si="1"/>
        <v>1</v>
      </c>
    </row>
    <row r="1355">
      <c r="A1355" s="12" t="s">
        <v>1905</v>
      </c>
      <c r="B1355" s="12" t="s">
        <v>448</v>
      </c>
      <c r="C1355" s="17">
        <v>47.0</v>
      </c>
      <c r="D1355" s="12" t="s">
        <v>658</v>
      </c>
      <c r="E1355" s="12" t="s">
        <v>133</v>
      </c>
      <c r="F1355" s="12" t="s">
        <v>62</v>
      </c>
      <c r="G1355" s="12" t="s">
        <v>80</v>
      </c>
      <c r="H1355" s="15">
        <v>45620.0</v>
      </c>
      <c r="I1355" s="17">
        <v>20.0</v>
      </c>
      <c r="J1355" s="12" t="s">
        <v>40</v>
      </c>
      <c r="K1355" s="12" t="s">
        <v>81</v>
      </c>
      <c r="L1355" s="17">
        <v>842.0</v>
      </c>
      <c r="M1355" s="17">
        <v>3.0</v>
      </c>
      <c r="N1355" s="17">
        <v>1.0</v>
      </c>
      <c r="O1355" s="17">
        <v>16.6</v>
      </c>
      <c r="P1355" s="17">
        <v>4.9</v>
      </c>
      <c r="Q1355" s="15">
        <v>46098.0</v>
      </c>
      <c r="R1355" s="12"/>
      <c r="S1355" s="12" t="s">
        <v>55</v>
      </c>
      <c r="T1355" s="12" t="s">
        <v>72</v>
      </c>
      <c r="U1355" s="17">
        <f t="shared" si="1"/>
        <v>1</v>
      </c>
    </row>
    <row r="1356">
      <c r="A1356" s="12" t="s">
        <v>1447</v>
      </c>
      <c r="B1356" s="12" t="s">
        <v>106</v>
      </c>
      <c r="C1356" s="17">
        <v>23.0</v>
      </c>
      <c r="D1356" s="12" t="s">
        <v>85</v>
      </c>
      <c r="E1356" s="12" t="s">
        <v>92</v>
      </c>
      <c r="F1356" s="12" t="s">
        <v>37</v>
      </c>
      <c r="G1356" s="12" t="s">
        <v>80</v>
      </c>
      <c r="H1356" s="15">
        <v>45275.0</v>
      </c>
      <c r="I1356" s="17">
        <v>34.0</v>
      </c>
      <c r="J1356" s="12" t="s">
        <v>53</v>
      </c>
      <c r="K1356" s="12" t="s">
        <v>81</v>
      </c>
      <c r="L1356" s="17">
        <v>1758.0</v>
      </c>
      <c r="M1356" s="17">
        <v>1.0</v>
      </c>
      <c r="N1356" s="17">
        <v>1.0</v>
      </c>
      <c r="O1356" s="17">
        <v>12.2</v>
      </c>
      <c r="P1356" s="17">
        <v>4.0</v>
      </c>
      <c r="Q1356" s="15">
        <v>45390.0</v>
      </c>
      <c r="R1356" s="12"/>
      <c r="S1356" s="12" t="s">
        <v>55</v>
      </c>
      <c r="T1356" s="12" t="s">
        <v>66</v>
      </c>
      <c r="U1356" s="17">
        <f t="shared" si="1"/>
        <v>2</v>
      </c>
    </row>
    <row r="1357">
      <c r="A1357" s="12" t="s">
        <v>867</v>
      </c>
      <c r="B1357" s="12" t="s">
        <v>224</v>
      </c>
      <c r="C1357" s="17">
        <v>35.0</v>
      </c>
      <c r="D1357" s="12" t="s">
        <v>35</v>
      </c>
      <c r="E1357" s="12" t="s">
        <v>51</v>
      </c>
      <c r="F1357" s="12" t="s">
        <v>62</v>
      </c>
      <c r="G1357" s="12" t="s">
        <v>80</v>
      </c>
      <c r="H1357" s="15">
        <v>44946.0</v>
      </c>
      <c r="I1357" s="17">
        <v>41.0</v>
      </c>
      <c r="J1357" s="12" t="s">
        <v>53</v>
      </c>
      <c r="K1357" s="12" t="s">
        <v>42</v>
      </c>
      <c r="L1357" s="17">
        <v>730.0</v>
      </c>
      <c r="M1357" s="17">
        <v>6.0</v>
      </c>
      <c r="N1357" s="17">
        <v>0.0</v>
      </c>
      <c r="O1357" s="17">
        <v>21.3</v>
      </c>
      <c r="P1357" s="17">
        <v>2.9</v>
      </c>
      <c r="Q1357" s="15">
        <v>44985.0</v>
      </c>
      <c r="R1357" s="12"/>
      <c r="S1357" s="12" t="s">
        <v>55</v>
      </c>
      <c r="T1357" s="12" t="s">
        <v>72</v>
      </c>
      <c r="U1357" s="17">
        <f t="shared" si="1"/>
        <v>2</v>
      </c>
    </row>
    <row r="1358">
      <c r="A1358" s="12" t="s">
        <v>1906</v>
      </c>
      <c r="B1358" s="12" t="s">
        <v>470</v>
      </c>
      <c r="C1358" s="17">
        <v>52.0</v>
      </c>
      <c r="D1358" s="12" t="s">
        <v>267</v>
      </c>
      <c r="E1358" s="12" t="s">
        <v>87</v>
      </c>
      <c r="F1358" s="12" t="s">
        <v>37</v>
      </c>
      <c r="G1358" s="12" t="s">
        <v>39</v>
      </c>
      <c r="H1358" s="15">
        <v>45633.0</v>
      </c>
      <c r="I1358" s="17">
        <v>26.0</v>
      </c>
      <c r="J1358" s="12" t="s">
        <v>64</v>
      </c>
      <c r="K1358" s="12" t="s">
        <v>65</v>
      </c>
      <c r="L1358" s="17">
        <v>1083.0</v>
      </c>
      <c r="M1358" s="17">
        <v>0.0</v>
      </c>
      <c r="N1358" s="17">
        <v>2.0</v>
      </c>
      <c r="O1358" s="17">
        <v>25.8</v>
      </c>
      <c r="P1358" s="17">
        <v>2.4</v>
      </c>
      <c r="Q1358" s="15">
        <v>46386.0</v>
      </c>
      <c r="R1358" s="12" t="s">
        <v>1907</v>
      </c>
      <c r="S1358" s="12" t="s">
        <v>45</v>
      </c>
      <c r="T1358" s="12" t="s">
        <v>75</v>
      </c>
      <c r="U1358" s="17">
        <f t="shared" si="1"/>
        <v>1</v>
      </c>
    </row>
    <row r="1359">
      <c r="A1359" s="12" t="s">
        <v>849</v>
      </c>
      <c r="B1359" s="12" t="s">
        <v>605</v>
      </c>
      <c r="C1359" s="17">
        <v>25.0</v>
      </c>
      <c r="D1359" s="12" t="s">
        <v>35</v>
      </c>
      <c r="E1359" s="12" t="s">
        <v>36</v>
      </c>
      <c r="F1359" s="12" t="s">
        <v>37</v>
      </c>
      <c r="G1359" s="12" t="s">
        <v>80</v>
      </c>
      <c r="H1359" s="15">
        <v>45568.0</v>
      </c>
      <c r="I1359" s="17">
        <v>35.0</v>
      </c>
      <c r="J1359" s="12" t="s">
        <v>53</v>
      </c>
      <c r="K1359" s="12" t="s">
        <v>65</v>
      </c>
      <c r="L1359" s="17">
        <v>1589.0</v>
      </c>
      <c r="M1359" s="17">
        <v>0.0</v>
      </c>
      <c r="N1359" s="17">
        <v>2.0</v>
      </c>
      <c r="O1359" s="17">
        <v>27.7</v>
      </c>
      <c r="P1359" s="17">
        <v>5.0</v>
      </c>
      <c r="Q1359" s="15">
        <v>45624.0</v>
      </c>
      <c r="R1359" s="12"/>
      <c r="S1359" s="12" t="s">
        <v>55</v>
      </c>
      <c r="T1359" s="12" t="s">
        <v>66</v>
      </c>
      <c r="U1359" s="17">
        <f t="shared" si="1"/>
        <v>3</v>
      </c>
    </row>
    <row r="1360">
      <c r="A1360" s="12" t="s">
        <v>1908</v>
      </c>
      <c r="B1360" s="12" t="s">
        <v>74</v>
      </c>
      <c r="C1360" s="17">
        <v>67.0</v>
      </c>
      <c r="D1360" s="12" t="s">
        <v>60</v>
      </c>
      <c r="E1360" s="12" t="s">
        <v>107</v>
      </c>
      <c r="F1360" s="12" t="s">
        <v>62</v>
      </c>
      <c r="G1360" s="12" t="s">
        <v>93</v>
      </c>
      <c r="H1360" s="15">
        <v>45432.0</v>
      </c>
      <c r="I1360" s="17">
        <v>28.0</v>
      </c>
      <c r="J1360" s="12" t="s">
        <v>64</v>
      </c>
      <c r="K1360" s="12" t="s">
        <v>65</v>
      </c>
      <c r="L1360" s="17">
        <v>612.0</v>
      </c>
      <c r="M1360" s="17">
        <v>1.0</v>
      </c>
      <c r="N1360" s="17">
        <v>1.0</v>
      </c>
      <c r="O1360" s="17">
        <v>11.8</v>
      </c>
      <c r="P1360" s="17">
        <v>4.4</v>
      </c>
      <c r="Q1360" s="15">
        <v>46085.0</v>
      </c>
      <c r="R1360" s="12"/>
      <c r="S1360" s="12" t="s">
        <v>55</v>
      </c>
      <c r="T1360" s="12" t="s">
        <v>104</v>
      </c>
      <c r="U1360" s="17">
        <f t="shared" si="1"/>
        <v>1</v>
      </c>
    </row>
    <row r="1361">
      <c r="A1361" s="12" t="s">
        <v>527</v>
      </c>
      <c r="B1361" s="12" t="s">
        <v>470</v>
      </c>
      <c r="C1361" s="17">
        <v>53.0</v>
      </c>
      <c r="D1361" s="12" t="s">
        <v>60</v>
      </c>
      <c r="E1361" s="12" t="s">
        <v>97</v>
      </c>
      <c r="F1361" s="12" t="s">
        <v>62</v>
      </c>
      <c r="G1361" s="12" t="s">
        <v>120</v>
      </c>
      <c r="H1361" s="15">
        <v>44602.0</v>
      </c>
      <c r="I1361" s="17">
        <v>48.0</v>
      </c>
      <c r="J1361" s="12" t="s">
        <v>40</v>
      </c>
      <c r="K1361" s="12" t="s">
        <v>81</v>
      </c>
      <c r="L1361" s="17">
        <v>561.0</v>
      </c>
      <c r="M1361" s="17">
        <v>2.0</v>
      </c>
      <c r="N1361" s="17">
        <v>0.0</v>
      </c>
      <c r="O1361" s="17">
        <v>14.8</v>
      </c>
      <c r="P1361" s="17">
        <v>4.7</v>
      </c>
      <c r="Q1361" s="15">
        <v>45809.0</v>
      </c>
      <c r="R1361" s="12" t="s">
        <v>1909</v>
      </c>
      <c r="S1361" s="12" t="s">
        <v>45</v>
      </c>
      <c r="T1361" s="12" t="s">
        <v>75</v>
      </c>
      <c r="U1361" s="17">
        <f t="shared" si="1"/>
        <v>3</v>
      </c>
    </row>
    <row r="1362">
      <c r="A1362" s="12" t="s">
        <v>1910</v>
      </c>
      <c r="B1362" s="12" t="s">
        <v>325</v>
      </c>
      <c r="C1362" s="17">
        <v>21.0</v>
      </c>
      <c r="D1362" s="12" t="s">
        <v>69</v>
      </c>
      <c r="E1362" s="12" t="s">
        <v>177</v>
      </c>
      <c r="F1362" s="12" t="s">
        <v>62</v>
      </c>
      <c r="G1362" s="12" t="s">
        <v>39</v>
      </c>
      <c r="H1362" s="15">
        <v>45435.0</v>
      </c>
      <c r="I1362" s="17">
        <v>3.0</v>
      </c>
      <c r="J1362" s="12" t="s">
        <v>53</v>
      </c>
      <c r="K1362" s="12" t="s">
        <v>65</v>
      </c>
      <c r="L1362" s="17">
        <v>852.0</v>
      </c>
      <c r="M1362" s="17">
        <v>3.0</v>
      </c>
      <c r="N1362" s="17">
        <v>0.0</v>
      </c>
      <c r="O1362" s="17">
        <v>18.6</v>
      </c>
      <c r="P1362" s="17">
        <v>4.0</v>
      </c>
      <c r="Q1362" s="15">
        <v>45513.0</v>
      </c>
      <c r="R1362" s="12"/>
      <c r="S1362" s="12" t="s">
        <v>55</v>
      </c>
      <c r="T1362" s="12" t="s">
        <v>104</v>
      </c>
      <c r="U1362" s="17">
        <f t="shared" si="1"/>
        <v>1</v>
      </c>
    </row>
    <row r="1363">
      <c r="A1363" s="12" t="s">
        <v>852</v>
      </c>
      <c r="B1363" s="12" t="s">
        <v>206</v>
      </c>
      <c r="C1363" s="17">
        <v>47.0</v>
      </c>
      <c r="D1363" s="12" t="s">
        <v>60</v>
      </c>
      <c r="E1363" s="12" t="s">
        <v>97</v>
      </c>
      <c r="F1363" s="12" t="s">
        <v>497</v>
      </c>
      <c r="G1363" s="12" t="s">
        <v>39</v>
      </c>
      <c r="H1363" s="15">
        <v>45382.0</v>
      </c>
      <c r="I1363" s="17">
        <v>5.0</v>
      </c>
      <c r="J1363" s="12" t="s">
        <v>40</v>
      </c>
      <c r="K1363" s="12" t="s">
        <v>42</v>
      </c>
      <c r="L1363" s="17">
        <v>1542.0</v>
      </c>
      <c r="M1363" s="17">
        <v>1.0</v>
      </c>
      <c r="N1363" s="17">
        <v>0.0</v>
      </c>
      <c r="O1363" s="17">
        <v>11.9</v>
      </c>
      <c r="P1363" s="17">
        <v>3.8</v>
      </c>
      <c r="Q1363" s="15">
        <v>45444.0</v>
      </c>
      <c r="R1363" s="12" t="s">
        <v>1911</v>
      </c>
      <c r="S1363" s="12" t="s">
        <v>45</v>
      </c>
      <c r="T1363" s="12" t="s">
        <v>72</v>
      </c>
      <c r="U1363" s="17">
        <f t="shared" si="1"/>
        <v>2</v>
      </c>
    </row>
    <row r="1364">
      <c r="A1364" s="12" t="s">
        <v>1578</v>
      </c>
      <c r="B1364" s="12" t="s">
        <v>135</v>
      </c>
      <c r="C1364" s="17">
        <v>42.0</v>
      </c>
      <c r="D1364" s="12" t="s">
        <v>85</v>
      </c>
      <c r="E1364" s="12" t="s">
        <v>111</v>
      </c>
      <c r="F1364" s="12" t="s">
        <v>62</v>
      </c>
      <c r="G1364" s="12" t="s">
        <v>39</v>
      </c>
      <c r="H1364" s="15">
        <v>45829.0</v>
      </c>
      <c r="I1364" s="17">
        <v>4.0</v>
      </c>
      <c r="J1364" s="12" t="s">
        <v>64</v>
      </c>
      <c r="K1364" s="12" t="s">
        <v>65</v>
      </c>
      <c r="L1364" s="17">
        <v>819.0</v>
      </c>
      <c r="M1364" s="17">
        <v>0.0</v>
      </c>
      <c r="N1364" s="17">
        <v>0.0</v>
      </c>
      <c r="O1364" s="17">
        <v>17.4</v>
      </c>
      <c r="P1364" s="17">
        <v>5.0</v>
      </c>
      <c r="Q1364" s="15">
        <v>45921.0</v>
      </c>
      <c r="R1364" s="12"/>
      <c r="S1364" s="12" t="s">
        <v>55</v>
      </c>
      <c r="T1364" s="12" t="s">
        <v>75</v>
      </c>
      <c r="U1364" s="17">
        <f t="shared" si="1"/>
        <v>2</v>
      </c>
    </row>
    <row r="1365">
      <c r="A1365" s="12" t="s">
        <v>1912</v>
      </c>
      <c r="B1365" s="12" t="s">
        <v>91</v>
      </c>
      <c r="C1365" s="17">
        <v>25.0</v>
      </c>
      <c r="D1365" s="12" t="s">
        <v>69</v>
      </c>
      <c r="E1365" s="12" t="s">
        <v>70</v>
      </c>
      <c r="F1365" s="12" t="s">
        <v>37</v>
      </c>
      <c r="G1365" s="12" t="s">
        <v>93</v>
      </c>
      <c r="H1365" s="15">
        <v>45352.0</v>
      </c>
      <c r="I1365" s="17">
        <v>25.0</v>
      </c>
      <c r="J1365" s="12" t="s">
        <v>53</v>
      </c>
      <c r="K1365" s="12" t="s">
        <v>65</v>
      </c>
      <c r="L1365" s="17">
        <v>1580.0</v>
      </c>
      <c r="M1365" s="17">
        <v>0.0</v>
      </c>
      <c r="N1365" s="17">
        <v>1.0</v>
      </c>
      <c r="O1365" s="17">
        <v>29.9</v>
      </c>
      <c r="P1365" s="17">
        <v>2.9</v>
      </c>
      <c r="Q1365" s="15">
        <v>45727.0</v>
      </c>
      <c r="R1365" s="12"/>
      <c r="S1365" s="12" t="s">
        <v>55</v>
      </c>
      <c r="T1365" s="12" t="s">
        <v>47</v>
      </c>
      <c r="U1365" s="17">
        <f t="shared" si="1"/>
        <v>1</v>
      </c>
    </row>
    <row r="1366">
      <c r="A1366" s="12" t="s">
        <v>1913</v>
      </c>
      <c r="B1366" s="12" t="s">
        <v>393</v>
      </c>
      <c r="C1366" s="17">
        <v>45.0</v>
      </c>
      <c r="D1366" s="12" t="s">
        <v>35</v>
      </c>
      <c r="E1366" s="12" t="s">
        <v>51</v>
      </c>
      <c r="F1366" s="12" t="s">
        <v>37</v>
      </c>
      <c r="G1366" s="12" t="s">
        <v>39</v>
      </c>
      <c r="H1366" s="15">
        <v>45527.0</v>
      </c>
      <c r="I1366" s="17">
        <v>32.0</v>
      </c>
      <c r="J1366" s="12" t="s">
        <v>40</v>
      </c>
      <c r="K1366" s="12" t="s">
        <v>65</v>
      </c>
      <c r="L1366" s="17">
        <v>1161.0</v>
      </c>
      <c r="M1366" s="17">
        <v>1.0</v>
      </c>
      <c r="N1366" s="12"/>
      <c r="O1366" s="17">
        <v>31.7</v>
      </c>
      <c r="P1366" s="17">
        <v>3.4</v>
      </c>
      <c r="Q1366" s="15">
        <v>46145.0</v>
      </c>
      <c r="R1366" s="12"/>
      <c r="S1366" s="12" t="s">
        <v>55</v>
      </c>
      <c r="T1366" s="12" t="s">
        <v>47</v>
      </c>
      <c r="U1366" s="17">
        <f t="shared" si="1"/>
        <v>1</v>
      </c>
    </row>
    <row r="1367">
      <c r="A1367" s="12" t="s">
        <v>1427</v>
      </c>
      <c r="B1367" s="12" t="s">
        <v>351</v>
      </c>
      <c r="C1367" s="17">
        <v>39.0</v>
      </c>
      <c r="D1367" s="12" t="s">
        <v>69</v>
      </c>
      <c r="E1367" s="12" t="s">
        <v>70</v>
      </c>
      <c r="F1367" s="12" t="s">
        <v>62</v>
      </c>
      <c r="G1367" s="12" t="s">
        <v>210</v>
      </c>
      <c r="H1367" s="15">
        <v>45087.0</v>
      </c>
      <c r="I1367" s="17">
        <v>5.0</v>
      </c>
      <c r="J1367" s="12" t="s">
        <v>64</v>
      </c>
      <c r="K1367" s="12" t="s">
        <v>42</v>
      </c>
      <c r="L1367" s="17">
        <v>848.0</v>
      </c>
      <c r="M1367" s="17">
        <v>3.0</v>
      </c>
      <c r="N1367" s="17">
        <v>0.0</v>
      </c>
      <c r="O1367" s="17">
        <v>31.1</v>
      </c>
      <c r="P1367" s="17">
        <v>4.5</v>
      </c>
      <c r="Q1367" s="15">
        <v>45105.0</v>
      </c>
      <c r="R1367" s="12" t="s">
        <v>1914</v>
      </c>
      <c r="S1367" s="12" t="s">
        <v>45</v>
      </c>
      <c r="T1367" s="12" t="s">
        <v>72</v>
      </c>
      <c r="U1367" s="17">
        <f t="shared" si="1"/>
        <v>2</v>
      </c>
    </row>
    <row r="1368">
      <c r="A1368" s="12" t="s">
        <v>1915</v>
      </c>
      <c r="B1368" s="12" t="s">
        <v>383</v>
      </c>
      <c r="C1368" s="17">
        <v>32.0</v>
      </c>
      <c r="D1368" s="12" t="s">
        <v>60</v>
      </c>
      <c r="E1368" s="12" t="s">
        <v>133</v>
      </c>
      <c r="F1368" s="12" t="s">
        <v>37</v>
      </c>
      <c r="G1368" s="12" t="s">
        <v>63</v>
      </c>
      <c r="H1368" s="15">
        <v>45326.0</v>
      </c>
      <c r="I1368" s="17">
        <v>8.0</v>
      </c>
      <c r="J1368" s="12" t="s">
        <v>40</v>
      </c>
      <c r="K1368" s="12" t="s">
        <v>65</v>
      </c>
      <c r="L1368" s="17">
        <v>1572.0</v>
      </c>
      <c r="M1368" s="17">
        <v>1.0</v>
      </c>
      <c r="N1368" s="17">
        <v>2.0</v>
      </c>
      <c r="O1368" s="17">
        <v>34.9</v>
      </c>
      <c r="P1368" s="17">
        <v>5.0</v>
      </c>
      <c r="Q1368" s="15">
        <v>45336.0</v>
      </c>
      <c r="R1368" s="12"/>
      <c r="S1368" s="12" t="s">
        <v>55</v>
      </c>
      <c r="T1368" s="12" t="s">
        <v>47</v>
      </c>
      <c r="U1368" s="17">
        <f t="shared" si="1"/>
        <v>1</v>
      </c>
    </row>
    <row r="1369">
      <c r="A1369" s="12" t="s">
        <v>343</v>
      </c>
      <c r="B1369" s="12" t="s">
        <v>349</v>
      </c>
      <c r="C1369" s="17">
        <v>56.0</v>
      </c>
      <c r="D1369" s="12" t="s">
        <v>85</v>
      </c>
      <c r="E1369" s="12" t="s">
        <v>111</v>
      </c>
      <c r="F1369" s="12" t="s">
        <v>62</v>
      </c>
      <c r="G1369" s="12" t="s">
        <v>93</v>
      </c>
      <c r="H1369" s="15">
        <v>45515.0</v>
      </c>
      <c r="I1369" s="17">
        <v>7.0</v>
      </c>
      <c r="J1369" s="12" t="s">
        <v>53</v>
      </c>
      <c r="K1369" s="12" t="s">
        <v>42</v>
      </c>
      <c r="L1369" s="17">
        <v>631.0</v>
      </c>
      <c r="M1369" s="17">
        <v>4.0</v>
      </c>
      <c r="N1369" s="17">
        <v>0.0</v>
      </c>
      <c r="O1369" s="17">
        <v>28.2</v>
      </c>
      <c r="P1369" s="17">
        <v>4.2</v>
      </c>
      <c r="Q1369" s="15">
        <v>45730.0</v>
      </c>
      <c r="R1369" s="12"/>
      <c r="S1369" s="12" t="s">
        <v>55</v>
      </c>
      <c r="T1369" s="12"/>
      <c r="U1369" s="17">
        <f t="shared" si="1"/>
        <v>2</v>
      </c>
    </row>
    <row r="1370">
      <c r="A1370" s="12" t="s">
        <v>1530</v>
      </c>
      <c r="B1370" s="12" t="s">
        <v>106</v>
      </c>
      <c r="C1370" s="17">
        <v>51.0</v>
      </c>
      <c r="D1370" s="12" t="s">
        <v>85</v>
      </c>
      <c r="E1370" s="12" t="s">
        <v>292</v>
      </c>
      <c r="F1370" s="12" t="s">
        <v>62</v>
      </c>
      <c r="G1370" s="12" t="s">
        <v>120</v>
      </c>
      <c r="H1370" s="15">
        <v>45094.0</v>
      </c>
      <c r="I1370" s="17">
        <v>45.0</v>
      </c>
      <c r="J1370" s="12" t="s">
        <v>64</v>
      </c>
      <c r="K1370" s="12" t="s">
        <v>65</v>
      </c>
      <c r="L1370" s="17">
        <v>836.0</v>
      </c>
      <c r="M1370" s="17">
        <v>2.0</v>
      </c>
      <c r="N1370" s="17">
        <v>0.0</v>
      </c>
      <c r="O1370" s="17">
        <v>17.1</v>
      </c>
      <c r="P1370" s="17">
        <v>3.6</v>
      </c>
      <c r="Q1370" s="15">
        <v>45111.0</v>
      </c>
      <c r="R1370" s="12" t="s">
        <v>1916</v>
      </c>
      <c r="S1370" s="12" t="s">
        <v>45</v>
      </c>
      <c r="T1370" s="12" t="s">
        <v>66</v>
      </c>
      <c r="U1370" s="17">
        <f t="shared" si="1"/>
        <v>3</v>
      </c>
    </row>
    <row r="1371">
      <c r="A1371" s="12" t="s">
        <v>272</v>
      </c>
      <c r="B1371" s="12" t="s">
        <v>190</v>
      </c>
      <c r="C1371" s="17">
        <v>50.0</v>
      </c>
      <c r="D1371" s="12" t="s">
        <v>85</v>
      </c>
      <c r="E1371" s="12" t="s">
        <v>92</v>
      </c>
      <c r="F1371" s="12" t="s">
        <v>79</v>
      </c>
      <c r="G1371" s="12" t="s">
        <v>93</v>
      </c>
      <c r="H1371" s="15">
        <v>45280.0</v>
      </c>
      <c r="I1371" s="17">
        <v>8.0</v>
      </c>
      <c r="J1371" s="12" t="s">
        <v>40</v>
      </c>
      <c r="K1371" s="12" t="s">
        <v>65</v>
      </c>
      <c r="L1371" s="17">
        <v>2672.0</v>
      </c>
      <c r="M1371" s="17">
        <v>3.0</v>
      </c>
      <c r="N1371" s="17">
        <v>1.0</v>
      </c>
      <c r="O1371" s="17">
        <v>55.0</v>
      </c>
      <c r="P1371" s="17">
        <v>4.6</v>
      </c>
      <c r="Q1371" s="15">
        <v>45427.0</v>
      </c>
      <c r="R1371" s="12" t="s">
        <v>1918</v>
      </c>
      <c r="S1371" s="12" t="s">
        <v>602</v>
      </c>
      <c r="T1371" s="12" t="s">
        <v>72</v>
      </c>
      <c r="U1371" s="17">
        <f t="shared" si="1"/>
        <v>2</v>
      </c>
    </row>
    <row r="1372">
      <c r="A1372" s="12" t="s">
        <v>1919</v>
      </c>
      <c r="B1372" s="12" t="s">
        <v>380</v>
      </c>
      <c r="C1372" s="17">
        <v>32.0</v>
      </c>
      <c r="D1372" s="12" t="s">
        <v>35</v>
      </c>
      <c r="E1372" s="12" t="s">
        <v>140</v>
      </c>
      <c r="F1372" s="12" t="s">
        <v>37</v>
      </c>
      <c r="G1372" s="12" t="s">
        <v>80</v>
      </c>
      <c r="H1372" s="15">
        <v>44807.0</v>
      </c>
      <c r="I1372" s="17">
        <v>7.0</v>
      </c>
      <c r="J1372" s="12" t="s">
        <v>64</v>
      </c>
      <c r="K1372" s="12" t="s">
        <v>81</v>
      </c>
      <c r="L1372" s="17">
        <v>1793.0</v>
      </c>
      <c r="M1372" s="17">
        <v>1.0</v>
      </c>
      <c r="N1372" s="17">
        <v>1.0</v>
      </c>
      <c r="O1372" s="17">
        <v>2.9</v>
      </c>
      <c r="P1372" s="17">
        <v>3.6</v>
      </c>
      <c r="Q1372" s="15">
        <v>45013.0</v>
      </c>
      <c r="R1372" s="12" t="s">
        <v>1920</v>
      </c>
      <c r="S1372" s="12" t="s">
        <v>45</v>
      </c>
      <c r="T1372" s="12" t="s">
        <v>66</v>
      </c>
      <c r="U1372" s="17">
        <f t="shared" si="1"/>
        <v>2</v>
      </c>
    </row>
    <row r="1373">
      <c r="A1373" s="12" t="s">
        <v>1921</v>
      </c>
      <c r="B1373" s="12" t="s">
        <v>333</v>
      </c>
      <c r="C1373" s="17">
        <v>37.0</v>
      </c>
      <c r="D1373" s="12" t="s">
        <v>85</v>
      </c>
      <c r="E1373" s="12" t="s">
        <v>111</v>
      </c>
      <c r="F1373" s="12" t="s">
        <v>37</v>
      </c>
      <c r="G1373" s="12" t="s">
        <v>120</v>
      </c>
      <c r="H1373" s="15">
        <v>45897.0</v>
      </c>
      <c r="I1373" s="17">
        <v>48.0</v>
      </c>
      <c r="J1373" s="12" t="s">
        <v>53</v>
      </c>
      <c r="K1373" s="12" t="s">
        <v>65</v>
      </c>
      <c r="L1373" s="17">
        <v>1226.0</v>
      </c>
      <c r="M1373" s="17">
        <v>4.0</v>
      </c>
      <c r="N1373" s="17">
        <v>1.0</v>
      </c>
      <c r="O1373" s="17">
        <v>24.7</v>
      </c>
      <c r="P1373" s="17">
        <v>5.0</v>
      </c>
      <c r="Q1373" s="15">
        <v>46386.0</v>
      </c>
      <c r="R1373" s="12"/>
      <c r="S1373" s="12" t="s">
        <v>55</v>
      </c>
      <c r="T1373" s="12" t="s">
        <v>104</v>
      </c>
      <c r="U1373" s="17">
        <f t="shared" si="1"/>
        <v>2</v>
      </c>
    </row>
    <row r="1374">
      <c r="A1374" s="12" t="s">
        <v>1922</v>
      </c>
      <c r="B1374" s="12" t="s">
        <v>106</v>
      </c>
      <c r="C1374" s="17">
        <v>44.0</v>
      </c>
      <c r="D1374" s="12" t="s">
        <v>35</v>
      </c>
      <c r="E1374" s="12" t="s">
        <v>51</v>
      </c>
      <c r="F1374" s="12" t="s">
        <v>37</v>
      </c>
      <c r="G1374" s="12" t="s">
        <v>80</v>
      </c>
      <c r="H1374" s="15">
        <v>44587.0</v>
      </c>
      <c r="I1374" s="17">
        <v>40.0</v>
      </c>
      <c r="J1374" s="12" t="s">
        <v>40</v>
      </c>
      <c r="K1374" s="12" t="s">
        <v>65</v>
      </c>
      <c r="L1374" s="17">
        <v>1196.0</v>
      </c>
      <c r="M1374" s="17">
        <v>2.0</v>
      </c>
      <c r="N1374" s="17">
        <v>1.0</v>
      </c>
      <c r="O1374" s="17">
        <v>37.6</v>
      </c>
      <c r="P1374" s="17">
        <v>3.7</v>
      </c>
      <c r="Q1374" s="15">
        <v>45455.0</v>
      </c>
      <c r="R1374" s="12" t="s">
        <v>1923</v>
      </c>
      <c r="S1374" s="12" t="s">
        <v>45</v>
      </c>
      <c r="T1374" s="12" t="s">
        <v>72</v>
      </c>
      <c r="U1374" s="17">
        <f t="shared" si="1"/>
        <v>1</v>
      </c>
    </row>
    <row r="1375">
      <c r="A1375" s="12" t="s">
        <v>1924</v>
      </c>
      <c r="B1375" s="12" t="s">
        <v>110</v>
      </c>
      <c r="C1375" s="17">
        <v>27.0</v>
      </c>
      <c r="D1375" s="12" t="s">
        <v>35</v>
      </c>
      <c r="E1375" s="12" t="s">
        <v>161</v>
      </c>
      <c r="F1375" s="12" t="s">
        <v>62</v>
      </c>
      <c r="G1375" s="12" t="s">
        <v>93</v>
      </c>
      <c r="H1375" s="15">
        <v>44910.0</v>
      </c>
      <c r="I1375" s="17">
        <v>15.0</v>
      </c>
      <c r="J1375" s="12" t="s">
        <v>40</v>
      </c>
      <c r="K1375" s="12" t="s">
        <v>65</v>
      </c>
      <c r="L1375" s="17">
        <v>811.0</v>
      </c>
      <c r="M1375" s="17">
        <v>1.0</v>
      </c>
      <c r="N1375" s="17">
        <v>1.0</v>
      </c>
      <c r="O1375" s="17">
        <v>25.6</v>
      </c>
      <c r="P1375" s="17">
        <v>4.4</v>
      </c>
      <c r="Q1375" s="15">
        <v>45254.0</v>
      </c>
      <c r="R1375" s="12" t="s">
        <v>1925</v>
      </c>
      <c r="S1375" s="12" t="s">
        <v>45</v>
      </c>
      <c r="T1375" s="12" t="s">
        <v>72</v>
      </c>
      <c r="U1375" s="17">
        <f t="shared" si="1"/>
        <v>1</v>
      </c>
    </row>
    <row r="1376">
      <c r="A1376" s="12" t="s">
        <v>1262</v>
      </c>
      <c r="B1376" s="12" t="s">
        <v>184</v>
      </c>
      <c r="C1376" s="17">
        <v>68.0</v>
      </c>
      <c r="D1376" s="12" t="s">
        <v>35</v>
      </c>
      <c r="E1376" s="12" t="s">
        <v>36</v>
      </c>
      <c r="F1376" s="12" t="s">
        <v>37</v>
      </c>
      <c r="G1376" s="12" t="s">
        <v>120</v>
      </c>
      <c r="H1376" s="15">
        <v>45974.0</v>
      </c>
      <c r="I1376" s="17">
        <v>38.0</v>
      </c>
      <c r="J1376" s="12" t="s">
        <v>40</v>
      </c>
      <c r="K1376" s="12" t="s">
        <v>81</v>
      </c>
      <c r="L1376" s="17">
        <v>1101.0</v>
      </c>
      <c r="M1376" s="17">
        <v>1.0</v>
      </c>
      <c r="N1376" s="17">
        <v>1.0</v>
      </c>
      <c r="O1376" s="17">
        <v>19.4</v>
      </c>
      <c r="P1376" s="17">
        <v>2.6</v>
      </c>
      <c r="Q1376" s="15">
        <v>46424.0</v>
      </c>
      <c r="R1376" s="12" t="s">
        <v>1926</v>
      </c>
      <c r="S1376" s="12" t="s">
        <v>45</v>
      </c>
      <c r="T1376" s="12" t="s">
        <v>104</v>
      </c>
      <c r="U1376" s="17">
        <f t="shared" si="1"/>
        <v>4</v>
      </c>
    </row>
    <row r="1377">
      <c r="A1377" s="12" t="s">
        <v>1814</v>
      </c>
      <c r="B1377" s="12" t="s">
        <v>190</v>
      </c>
      <c r="C1377" s="17">
        <v>66.0</v>
      </c>
      <c r="D1377" s="12" t="s">
        <v>85</v>
      </c>
      <c r="E1377" s="12" t="s">
        <v>92</v>
      </c>
      <c r="F1377" s="12" t="s">
        <v>62</v>
      </c>
      <c r="G1377" s="12" t="s">
        <v>52</v>
      </c>
      <c r="H1377" s="15">
        <v>44857.0</v>
      </c>
      <c r="I1377" s="17">
        <v>10.0</v>
      </c>
      <c r="J1377" s="12" t="s">
        <v>53</v>
      </c>
      <c r="K1377" s="12" t="s">
        <v>65</v>
      </c>
      <c r="L1377" s="12"/>
      <c r="M1377" s="17">
        <v>2.0</v>
      </c>
      <c r="N1377" s="17">
        <v>3.0</v>
      </c>
      <c r="O1377" s="17">
        <v>18.6</v>
      </c>
      <c r="P1377" s="17">
        <v>3.4</v>
      </c>
      <c r="Q1377" s="15">
        <v>45167.0</v>
      </c>
      <c r="R1377" s="12" t="s">
        <v>1927</v>
      </c>
      <c r="S1377" s="12" t="s">
        <v>827</v>
      </c>
      <c r="T1377" s="12" t="s">
        <v>66</v>
      </c>
      <c r="U1377" s="17">
        <f t="shared" si="1"/>
        <v>4</v>
      </c>
    </row>
    <row r="1378">
      <c r="A1378" s="12" t="s">
        <v>1559</v>
      </c>
      <c r="B1378" s="12" t="s">
        <v>50</v>
      </c>
      <c r="C1378" s="17">
        <v>25.0</v>
      </c>
      <c r="D1378" s="12" t="s">
        <v>69</v>
      </c>
      <c r="E1378" s="12" t="s">
        <v>187</v>
      </c>
      <c r="F1378" s="12" t="s">
        <v>62</v>
      </c>
      <c r="G1378" s="12" t="s">
        <v>63</v>
      </c>
      <c r="H1378" s="15">
        <v>45577.0</v>
      </c>
      <c r="I1378" s="17">
        <v>20.0</v>
      </c>
      <c r="J1378" s="12" t="s">
        <v>40</v>
      </c>
      <c r="K1378" s="12" t="s">
        <v>81</v>
      </c>
      <c r="L1378" s="17">
        <v>593.0</v>
      </c>
      <c r="M1378" s="17">
        <v>0.0</v>
      </c>
      <c r="N1378" s="17">
        <v>3.0</v>
      </c>
      <c r="O1378" s="17">
        <v>21.5</v>
      </c>
      <c r="P1378" s="17">
        <v>2.0</v>
      </c>
      <c r="Q1378" s="15">
        <v>45858.0</v>
      </c>
      <c r="R1378" s="12" t="s">
        <v>1928</v>
      </c>
      <c r="S1378" s="12" t="s">
        <v>45</v>
      </c>
      <c r="T1378" s="12" t="s">
        <v>66</v>
      </c>
      <c r="U1378" s="17">
        <f t="shared" si="1"/>
        <v>3</v>
      </c>
    </row>
    <row r="1379">
      <c r="A1379" s="12" t="s">
        <v>1929</v>
      </c>
      <c r="B1379" s="12" t="s">
        <v>50</v>
      </c>
      <c r="C1379" s="17">
        <v>47.0</v>
      </c>
      <c r="D1379" s="12" t="s">
        <v>35</v>
      </c>
      <c r="E1379" s="12" t="s">
        <v>51</v>
      </c>
      <c r="F1379" s="12" t="s">
        <v>62</v>
      </c>
      <c r="G1379" s="12" t="s">
        <v>80</v>
      </c>
      <c r="H1379" s="15">
        <v>45445.0</v>
      </c>
      <c r="I1379" s="17">
        <v>7.0</v>
      </c>
      <c r="J1379" s="12" t="s">
        <v>64</v>
      </c>
      <c r="K1379" s="12" t="s">
        <v>81</v>
      </c>
      <c r="L1379" s="17">
        <v>609.0</v>
      </c>
      <c r="M1379" s="17">
        <v>2.0</v>
      </c>
      <c r="N1379" s="17">
        <v>0.0</v>
      </c>
      <c r="O1379" s="17">
        <v>18.3</v>
      </c>
      <c r="P1379" s="17">
        <v>3.4</v>
      </c>
      <c r="Q1379" s="15">
        <v>45458.0</v>
      </c>
      <c r="R1379" s="12"/>
      <c r="S1379" s="12" t="s">
        <v>55</v>
      </c>
      <c r="T1379" s="12" t="s">
        <v>47</v>
      </c>
      <c r="U1379" s="17">
        <f t="shared" si="1"/>
        <v>1</v>
      </c>
    </row>
    <row r="1380">
      <c r="A1380" s="12" t="s">
        <v>1930</v>
      </c>
      <c r="B1380" s="12" t="s">
        <v>312</v>
      </c>
      <c r="C1380" s="17">
        <v>45.0</v>
      </c>
      <c r="D1380" s="12" t="s">
        <v>69</v>
      </c>
      <c r="E1380" s="12" t="s">
        <v>70</v>
      </c>
      <c r="F1380" s="12" t="s">
        <v>62</v>
      </c>
      <c r="G1380" s="12" t="s">
        <v>210</v>
      </c>
      <c r="H1380" s="15">
        <v>45046.0</v>
      </c>
      <c r="I1380" s="17">
        <v>26.0</v>
      </c>
      <c r="J1380" s="12" t="s">
        <v>64</v>
      </c>
      <c r="K1380" s="12" t="s">
        <v>326</v>
      </c>
      <c r="L1380" s="17">
        <v>711.0</v>
      </c>
      <c r="M1380" s="17">
        <v>5.0</v>
      </c>
      <c r="N1380" s="17">
        <v>1.0</v>
      </c>
      <c r="O1380" s="17">
        <v>1.4</v>
      </c>
      <c r="P1380" s="17">
        <v>3.8</v>
      </c>
      <c r="Q1380" s="15">
        <v>45127.0</v>
      </c>
      <c r="R1380" s="12" t="s">
        <v>1931</v>
      </c>
      <c r="S1380" s="12" t="s">
        <v>45</v>
      </c>
      <c r="T1380" s="12" t="s">
        <v>104</v>
      </c>
      <c r="U1380" s="17">
        <f t="shared" si="1"/>
        <v>2</v>
      </c>
    </row>
    <row r="1381">
      <c r="A1381" s="12" t="s">
        <v>1244</v>
      </c>
      <c r="B1381" s="12" t="s">
        <v>345</v>
      </c>
      <c r="C1381" s="17">
        <v>32.0</v>
      </c>
      <c r="D1381" s="12" t="s">
        <v>60</v>
      </c>
      <c r="E1381" s="12" t="s">
        <v>133</v>
      </c>
      <c r="F1381" s="12" t="s">
        <v>37</v>
      </c>
      <c r="G1381" s="12" t="s">
        <v>210</v>
      </c>
      <c r="H1381" s="15">
        <v>44623.0</v>
      </c>
      <c r="I1381" s="17">
        <v>4.0</v>
      </c>
      <c r="J1381" s="12" t="s">
        <v>64</v>
      </c>
      <c r="K1381" s="12" t="s">
        <v>65</v>
      </c>
      <c r="L1381" s="17">
        <v>1138.0</v>
      </c>
      <c r="M1381" s="17">
        <v>2.0</v>
      </c>
      <c r="N1381" s="17">
        <v>1.0</v>
      </c>
      <c r="O1381" s="17">
        <v>16.3</v>
      </c>
      <c r="P1381" s="17">
        <v>3.9</v>
      </c>
      <c r="Q1381" s="15">
        <v>44636.0</v>
      </c>
      <c r="R1381" s="12"/>
      <c r="S1381" s="12" t="s">
        <v>55</v>
      </c>
      <c r="T1381" s="12" t="s">
        <v>104</v>
      </c>
      <c r="U1381" s="17">
        <f t="shared" si="1"/>
        <v>3</v>
      </c>
    </row>
    <row r="1382">
      <c r="A1382" s="12" t="s">
        <v>1932</v>
      </c>
      <c r="B1382" s="12" t="s">
        <v>645</v>
      </c>
      <c r="C1382" s="17">
        <v>23.0</v>
      </c>
      <c r="D1382" s="12" t="s">
        <v>35</v>
      </c>
      <c r="E1382" s="12" t="s">
        <v>140</v>
      </c>
      <c r="F1382" s="12" t="s">
        <v>62</v>
      </c>
      <c r="G1382" s="12" t="s">
        <v>63</v>
      </c>
      <c r="H1382" s="15">
        <v>44785.0</v>
      </c>
      <c r="I1382" s="17">
        <v>14.0</v>
      </c>
      <c r="J1382" s="12" t="s">
        <v>64</v>
      </c>
      <c r="K1382" s="12" t="s">
        <v>65</v>
      </c>
      <c r="L1382" s="17">
        <v>693.0</v>
      </c>
      <c r="M1382" s="17">
        <v>0.0</v>
      </c>
      <c r="N1382" s="17">
        <v>1.0</v>
      </c>
      <c r="O1382" s="17">
        <v>23.3</v>
      </c>
      <c r="P1382" s="17">
        <v>3.6</v>
      </c>
      <c r="Q1382" s="15">
        <v>45175.0</v>
      </c>
      <c r="R1382" s="12"/>
      <c r="S1382" s="12" t="s">
        <v>55</v>
      </c>
      <c r="T1382" s="12" t="s">
        <v>75</v>
      </c>
      <c r="U1382" s="17">
        <f t="shared" si="1"/>
        <v>1</v>
      </c>
    </row>
    <row r="1383">
      <c r="A1383" s="12" t="s">
        <v>549</v>
      </c>
      <c r="B1383" s="12" t="s">
        <v>235</v>
      </c>
      <c r="C1383" s="17">
        <v>55.0</v>
      </c>
      <c r="D1383" s="12" t="s">
        <v>69</v>
      </c>
      <c r="E1383" s="12" t="s">
        <v>70</v>
      </c>
      <c r="F1383" s="12" t="s">
        <v>62</v>
      </c>
      <c r="G1383" s="12" t="s">
        <v>93</v>
      </c>
      <c r="H1383" s="15">
        <v>45081.0</v>
      </c>
      <c r="I1383" s="17">
        <v>21.0</v>
      </c>
      <c r="J1383" s="12" t="s">
        <v>40</v>
      </c>
      <c r="K1383" s="12" t="s">
        <v>81</v>
      </c>
      <c r="L1383" s="17">
        <v>862.0</v>
      </c>
      <c r="M1383" s="17">
        <v>3.0</v>
      </c>
      <c r="N1383" s="17">
        <v>1.0</v>
      </c>
      <c r="O1383" s="17">
        <v>27.2</v>
      </c>
      <c r="P1383" s="17">
        <v>4.7</v>
      </c>
      <c r="Q1383" s="15">
        <v>45508.0</v>
      </c>
      <c r="R1383" s="12" t="s">
        <v>1188</v>
      </c>
      <c r="S1383" s="12" t="s">
        <v>45</v>
      </c>
      <c r="T1383" s="12" t="s">
        <v>104</v>
      </c>
      <c r="U1383" s="17">
        <f t="shared" si="1"/>
        <v>3</v>
      </c>
    </row>
    <row r="1384">
      <c r="A1384" s="12" t="s">
        <v>1933</v>
      </c>
      <c r="B1384" s="12" t="s">
        <v>106</v>
      </c>
      <c r="C1384" s="17">
        <v>42.0</v>
      </c>
      <c r="D1384" s="12" t="s">
        <v>35</v>
      </c>
      <c r="E1384" s="12" t="s">
        <v>140</v>
      </c>
      <c r="F1384" s="12" t="s">
        <v>62</v>
      </c>
      <c r="G1384" s="12" t="s">
        <v>39</v>
      </c>
      <c r="H1384" s="15">
        <v>45395.0</v>
      </c>
      <c r="I1384" s="17">
        <v>4.0</v>
      </c>
      <c r="J1384" s="12" t="s">
        <v>40</v>
      </c>
      <c r="K1384" s="12" t="s">
        <v>42</v>
      </c>
      <c r="L1384" s="17">
        <v>573.0</v>
      </c>
      <c r="M1384" s="17">
        <v>3.0</v>
      </c>
      <c r="N1384" s="17">
        <v>2.0</v>
      </c>
      <c r="O1384" s="17">
        <v>14.2</v>
      </c>
      <c r="P1384" s="17">
        <v>2.0</v>
      </c>
      <c r="Q1384" s="15">
        <v>45482.0</v>
      </c>
      <c r="R1384" s="12" t="s">
        <v>1934</v>
      </c>
      <c r="S1384" s="12" t="s">
        <v>45</v>
      </c>
      <c r="T1384" s="12" t="s">
        <v>75</v>
      </c>
      <c r="U1384" s="17">
        <f t="shared" si="1"/>
        <v>1</v>
      </c>
    </row>
    <row r="1385">
      <c r="A1385" s="12" t="s">
        <v>1340</v>
      </c>
      <c r="B1385" s="12" t="s">
        <v>232</v>
      </c>
      <c r="C1385" s="17">
        <v>99.0</v>
      </c>
      <c r="D1385" s="12" t="s">
        <v>69</v>
      </c>
      <c r="E1385" s="12" t="s">
        <v>177</v>
      </c>
      <c r="F1385" s="12" t="s">
        <v>62</v>
      </c>
      <c r="G1385" s="12" t="s">
        <v>80</v>
      </c>
      <c r="H1385" s="15">
        <v>45114.0</v>
      </c>
      <c r="I1385" s="17">
        <v>6.0</v>
      </c>
      <c r="J1385" s="12" t="s">
        <v>64</v>
      </c>
      <c r="K1385" s="12" t="s">
        <v>65</v>
      </c>
      <c r="L1385" s="17">
        <v>874.0</v>
      </c>
      <c r="M1385" s="17">
        <v>2.0</v>
      </c>
      <c r="N1385" s="17">
        <v>2.0</v>
      </c>
      <c r="O1385" s="17">
        <v>14.4</v>
      </c>
      <c r="P1385" s="17">
        <v>4.7</v>
      </c>
      <c r="Q1385" s="15">
        <v>45128.0</v>
      </c>
      <c r="R1385" s="12"/>
      <c r="S1385" s="12" t="s">
        <v>55</v>
      </c>
      <c r="T1385" s="12" t="s">
        <v>75</v>
      </c>
      <c r="U1385" s="17">
        <f t="shared" si="1"/>
        <v>2</v>
      </c>
    </row>
    <row r="1386">
      <c r="A1386" s="12" t="s">
        <v>1935</v>
      </c>
      <c r="B1386" s="12" t="s">
        <v>734</v>
      </c>
      <c r="C1386" s="17">
        <v>24.0</v>
      </c>
      <c r="D1386" s="12" t="s">
        <v>85</v>
      </c>
      <c r="E1386" s="12" t="s">
        <v>292</v>
      </c>
      <c r="F1386" s="12" t="s">
        <v>62</v>
      </c>
      <c r="G1386" s="12" t="s">
        <v>39</v>
      </c>
      <c r="H1386" s="15">
        <v>45423.0</v>
      </c>
      <c r="I1386" s="17">
        <v>42.0</v>
      </c>
      <c r="J1386" s="12" t="s">
        <v>64</v>
      </c>
      <c r="K1386" s="12" t="s">
        <v>65</v>
      </c>
      <c r="L1386" s="17">
        <v>660.0</v>
      </c>
      <c r="M1386" s="17">
        <v>0.0</v>
      </c>
      <c r="N1386" s="17">
        <v>1.0</v>
      </c>
      <c r="O1386" s="17">
        <v>16.6</v>
      </c>
      <c r="P1386" s="17">
        <v>2.9</v>
      </c>
      <c r="Q1386" s="15">
        <v>45700.0</v>
      </c>
      <c r="R1386" s="12"/>
      <c r="S1386" s="12" t="s">
        <v>55</v>
      </c>
      <c r="T1386" s="12" t="s">
        <v>66</v>
      </c>
      <c r="U1386" s="17">
        <f t="shared" si="1"/>
        <v>1</v>
      </c>
    </row>
    <row r="1387">
      <c r="A1387" s="12" t="s">
        <v>1936</v>
      </c>
      <c r="B1387" s="12" t="s">
        <v>288</v>
      </c>
      <c r="C1387" s="17">
        <v>25.0</v>
      </c>
      <c r="D1387" s="12" t="s">
        <v>35</v>
      </c>
      <c r="E1387" s="12" t="s">
        <v>51</v>
      </c>
      <c r="F1387" s="12" t="s">
        <v>62</v>
      </c>
      <c r="G1387" s="12" t="s">
        <v>210</v>
      </c>
      <c r="H1387" s="15">
        <v>45979.0</v>
      </c>
      <c r="I1387" s="17">
        <v>23.0</v>
      </c>
      <c r="J1387" s="12" t="s">
        <v>64</v>
      </c>
      <c r="K1387" s="12" t="s">
        <v>81</v>
      </c>
      <c r="L1387" s="17">
        <v>678.0</v>
      </c>
      <c r="M1387" s="17">
        <v>2.0</v>
      </c>
      <c r="N1387" s="17">
        <v>2.0</v>
      </c>
      <c r="O1387" s="17">
        <v>16.1</v>
      </c>
      <c r="P1387" s="17">
        <v>3.7</v>
      </c>
      <c r="Q1387" s="15">
        <v>46026.0</v>
      </c>
      <c r="R1387" s="12"/>
      <c r="S1387" s="12" t="s">
        <v>55</v>
      </c>
      <c r="T1387" s="12" t="s">
        <v>104</v>
      </c>
      <c r="U1387" s="17">
        <f t="shared" si="1"/>
        <v>2</v>
      </c>
    </row>
    <row r="1388">
      <c r="A1388" s="12" t="s">
        <v>1937</v>
      </c>
      <c r="B1388" s="12" t="s">
        <v>169</v>
      </c>
      <c r="C1388" s="17">
        <v>54.0</v>
      </c>
      <c r="D1388" s="12" t="s">
        <v>35</v>
      </c>
      <c r="E1388" s="12" t="s">
        <v>51</v>
      </c>
      <c r="F1388" s="12" t="s">
        <v>37</v>
      </c>
      <c r="G1388" s="12" t="s">
        <v>80</v>
      </c>
      <c r="H1388" s="15">
        <v>45390.0</v>
      </c>
      <c r="I1388" s="17">
        <v>45.0</v>
      </c>
      <c r="J1388" s="12" t="s">
        <v>53</v>
      </c>
      <c r="K1388" s="12" t="s">
        <v>81</v>
      </c>
      <c r="L1388" s="17">
        <v>1547.0</v>
      </c>
      <c r="M1388" s="17">
        <v>3.0</v>
      </c>
      <c r="N1388" s="17">
        <v>1.0</v>
      </c>
      <c r="O1388" s="17">
        <v>35.0</v>
      </c>
      <c r="P1388" s="17">
        <v>2.8</v>
      </c>
      <c r="Q1388" s="15">
        <v>46247.0</v>
      </c>
      <c r="R1388" s="12"/>
      <c r="S1388" s="12" t="s">
        <v>55</v>
      </c>
      <c r="T1388" s="12" t="s">
        <v>75</v>
      </c>
      <c r="U1388" s="17">
        <f t="shared" si="1"/>
        <v>1</v>
      </c>
    </row>
    <row r="1389">
      <c r="A1389" s="12" t="s">
        <v>1938</v>
      </c>
      <c r="B1389" s="12" t="s">
        <v>395</v>
      </c>
      <c r="C1389" s="12"/>
      <c r="D1389" s="12" t="s">
        <v>69</v>
      </c>
      <c r="E1389" s="12" t="s">
        <v>119</v>
      </c>
      <c r="F1389" s="12" t="s">
        <v>62</v>
      </c>
      <c r="G1389" s="12" t="s">
        <v>63</v>
      </c>
      <c r="H1389" s="15">
        <v>44581.0</v>
      </c>
      <c r="I1389" s="17">
        <v>33.0</v>
      </c>
      <c r="J1389" s="12" t="s">
        <v>64</v>
      </c>
      <c r="K1389" s="12" t="s">
        <v>81</v>
      </c>
      <c r="L1389" s="17">
        <v>658.0</v>
      </c>
      <c r="M1389" s="17">
        <v>1.0</v>
      </c>
      <c r="N1389" s="17">
        <v>1.0</v>
      </c>
      <c r="O1389" s="17">
        <v>20.2</v>
      </c>
      <c r="P1389" s="17">
        <v>5.0</v>
      </c>
      <c r="Q1389" s="15">
        <v>44615.0</v>
      </c>
      <c r="R1389" s="12"/>
      <c r="S1389" s="12" t="s">
        <v>55</v>
      </c>
      <c r="T1389" s="12" t="s">
        <v>104</v>
      </c>
      <c r="U1389" s="17">
        <f t="shared" si="1"/>
        <v>1</v>
      </c>
    </row>
    <row r="1390">
      <c r="A1390" s="12" t="s">
        <v>320</v>
      </c>
      <c r="B1390" s="12" t="s">
        <v>172</v>
      </c>
      <c r="C1390" s="17">
        <v>44.0</v>
      </c>
      <c r="D1390" s="12" t="s">
        <v>35</v>
      </c>
      <c r="E1390" s="12" t="s">
        <v>36</v>
      </c>
      <c r="F1390" s="12" t="s">
        <v>37</v>
      </c>
      <c r="G1390" s="12" t="s">
        <v>80</v>
      </c>
      <c r="H1390" s="15">
        <v>45723.0</v>
      </c>
      <c r="I1390" s="17">
        <v>9.0</v>
      </c>
      <c r="J1390" s="12" t="s">
        <v>64</v>
      </c>
      <c r="K1390" s="12" t="s">
        <v>81</v>
      </c>
      <c r="L1390" s="17">
        <v>1043.0</v>
      </c>
      <c r="M1390" s="17">
        <v>1.0</v>
      </c>
      <c r="N1390" s="17">
        <v>0.0</v>
      </c>
      <c r="O1390" s="17">
        <v>15.1</v>
      </c>
      <c r="P1390" s="17">
        <v>4.0</v>
      </c>
      <c r="Q1390" s="15">
        <v>45939.0</v>
      </c>
      <c r="R1390" s="12"/>
      <c r="S1390" s="12" t="s">
        <v>55</v>
      </c>
      <c r="T1390" s="12" t="s">
        <v>47</v>
      </c>
      <c r="U1390" s="17">
        <f t="shared" si="1"/>
        <v>2</v>
      </c>
    </row>
    <row r="1391">
      <c r="A1391" s="12" t="s">
        <v>1528</v>
      </c>
      <c r="B1391" s="12" t="s">
        <v>333</v>
      </c>
      <c r="C1391" s="17">
        <v>39.0</v>
      </c>
      <c r="D1391" s="12" t="s">
        <v>60</v>
      </c>
      <c r="E1391" s="12" t="s">
        <v>97</v>
      </c>
      <c r="F1391" s="12" t="s">
        <v>62</v>
      </c>
      <c r="G1391" s="12" t="s">
        <v>210</v>
      </c>
      <c r="H1391" s="15">
        <v>45606.0</v>
      </c>
      <c r="I1391" s="17">
        <v>28.0</v>
      </c>
      <c r="J1391" s="12" t="s">
        <v>53</v>
      </c>
      <c r="K1391" s="12" t="s">
        <v>65</v>
      </c>
      <c r="L1391" s="17">
        <v>519.0</v>
      </c>
      <c r="M1391" s="17">
        <v>1.0</v>
      </c>
      <c r="N1391" s="17">
        <v>2.0</v>
      </c>
      <c r="O1391" s="17">
        <v>14.0</v>
      </c>
      <c r="P1391" s="17">
        <v>2.4</v>
      </c>
      <c r="Q1391" s="15">
        <v>45736.0</v>
      </c>
      <c r="R1391" s="12"/>
      <c r="S1391" s="12" t="s">
        <v>55</v>
      </c>
      <c r="T1391" s="12" t="s">
        <v>47</v>
      </c>
      <c r="U1391" s="17">
        <f t="shared" si="1"/>
        <v>2</v>
      </c>
    </row>
    <row r="1392">
      <c r="A1392" s="12" t="s">
        <v>1604</v>
      </c>
      <c r="B1392" s="12" t="s">
        <v>74</v>
      </c>
      <c r="C1392" s="17">
        <v>32.0</v>
      </c>
      <c r="D1392" s="12" t="s">
        <v>35</v>
      </c>
      <c r="E1392" s="12"/>
      <c r="F1392" s="12" t="s">
        <v>62</v>
      </c>
      <c r="G1392" s="12" t="s">
        <v>39</v>
      </c>
      <c r="H1392" s="15">
        <v>44970.0</v>
      </c>
      <c r="I1392" s="17">
        <v>48.0</v>
      </c>
      <c r="J1392" s="12" t="s">
        <v>40</v>
      </c>
      <c r="K1392" s="12" t="s">
        <v>42</v>
      </c>
      <c r="L1392" s="17">
        <v>850.0</v>
      </c>
      <c r="M1392" s="17">
        <v>1.0</v>
      </c>
      <c r="N1392" s="17">
        <v>0.0</v>
      </c>
      <c r="O1392" s="17">
        <v>20.1</v>
      </c>
      <c r="P1392" s="17">
        <v>3.2</v>
      </c>
      <c r="Q1392" s="15">
        <v>45009.0</v>
      </c>
      <c r="R1392" s="12" t="s">
        <v>1939</v>
      </c>
      <c r="S1392" s="12" t="s">
        <v>45</v>
      </c>
      <c r="T1392" s="12" t="s">
        <v>104</v>
      </c>
      <c r="U1392" s="17">
        <f t="shared" si="1"/>
        <v>2</v>
      </c>
    </row>
    <row r="1393">
      <c r="A1393" s="12" t="s">
        <v>1570</v>
      </c>
      <c r="B1393" s="12" t="s">
        <v>247</v>
      </c>
      <c r="C1393" s="17">
        <v>26.0</v>
      </c>
      <c r="D1393" s="12" t="s">
        <v>35</v>
      </c>
      <c r="E1393" s="12" t="s">
        <v>140</v>
      </c>
      <c r="F1393" s="12" t="s">
        <v>62</v>
      </c>
      <c r="G1393" s="12" t="s">
        <v>210</v>
      </c>
      <c r="H1393" s="15">
        <v>45387.0</v>
      </c>
      <c r="I1393" s="17">
        <v>30.0</v>
      </c>
      <c r="J1393" s="12" t="s">
        <v>53</v>
      </c>
      <c r="K1393" s="12" t="s">
        <v>42</v>
      </c>
      <c r="L1393" s="17">
        <v>555.0</v>
      </c>
      <c r="M1393" s="17">
        <v>1.0</v>
      </c>
      <c r="N1393" s="17">
        <v>1.0</v>
      </c>
      <c r="O1393" s="17">
        <v>3.5</v>
      </c>
      <c r="P1393" s="17">
        <v>2.8</v>
      </c>
      <c r="Q1393" s="15">
        <v>45400.0</v>
      </c>
      <c r="R1393" s="12"/>
      <c r="S1393" s="12" t="s">
        <v>55</v>
      </c>
      <c r="T1393" s="12" t="s">
        <v>75</v>
      </c>
      <c r="U1393" s="17">
        <f t="shared" si="1"/>
        <v>3</v>
      </c>
    </row>
    <row r="1394">
      <c r="A1394" s="12" t="s">
        <v>1940</v>
      </c>
      <c r="B1394" s="12" t="s">
        <v>351</v>
      </c>
      <c r="C1394" s="17">
        <v>66.0</v>
      </c>
      <c r="D1394" s="12" t="s">
        <v>35</v>
      </c>
      <c r="E1394" s="12" t="s">
        <v>36</v>
      </c>
      <c r="F1394" s="12" t="s">
        <v>62</v>
      </c>
      <c r="G1394" s="12" t="s">
        <v>93</v>
      </c>
      <c r="H1394" s="15">
        <v>45847.0</v>
      </c>
      <c r="I1394" s="17">
        <v>10.0</v>
      </c>
      <c r="J1394" s="12" t="s">
        <v>64</v>
      </c>
      <c r="K1394" s="12" t="s">
        <v>81</v>
      </c>
      <c r="L1394" s="17">
        <v>570.0</v>
      </c>
      <c r="M1394" s="17">
        <v>3.0</v>
      </c>
      <c r="N1394" s="17">
        <v>1.0</v>
      </c>
      <c r="O1394" s="17">
        <v>22.4</v>
      </c>
      <c r="P1394" s="17">
        <v>4.0</v>
      </c>
      <c r="Q1394" s="15">
        <v>45960.0</v>
      </c>
      <c r="R1394" s="12" t="s">
        <v>1941</v>
      </c>
      <c r="S1394" s="12" t="s">
        <v>529</v>
      </c>
      <c r="T1394" s="12" t="s">
        <v>104</v>
      </c>
      <c r="U1394" s="17">
        <f t="shared" si="1"/>
        <v>2</v>
      </c>
    </row>
    <row r="1395">
      <c r="A1395" s="12" t="s">
        <v>1510</v>
      </c>
      <c r="B1395" s="12" t="s">
        <v>132</v>
      </c>
      <c r="C1395" s="17">
        <v>57.0</v>
      </c>
      <c r="D1395" s="12" t="s">
        <v>35</v>
      </c>
      <c r="E1395" s="12" t="s">
        <v>161</v>
      </c>
      <c r="F1395" s="12" t="s">
        <v>62</v>
      </c>
      <c r="G1395" s="12" t="s">
        <v>630</v>
      </c>
      <c r="H1395" s="15">
        <v>44730.0</v>
      </c>
      <c r="I1395" s="17">
        <v>36.0</v>
      </c>
      <c r="J1395" s="12" t="s">
        <v>64</v>
      </c>
      <c r="K1395" s="12" t="s">
        <v>81</v>
      </c>
      <c r="L1395" s="17">
        <v>631.0</v>
      </c>
      <c r="M1395" s="17">
        <v>2.0</v>
      </c>
      <c r="N1395" s="17">
        <v>1.0</v>
      </c>
      <c r="O1395" s="17">
        <v>12.7</v>
      </c>
      <c r="P1395" s="17">
        <v>4.0</v>
      </c>
      <c r="Q1395" s="15">
        <v>44823.0</v>
      </c>
      <c r="R1395" s="12"/>
      <c r="S1395" s="12" t="s">
        <v>55</v>
      </c>
      <c r="T1395" s="12" t="s">
        <v>72</v>
      </c>
      <c r="U1395" s="17">
        <f t="shared" si="1"/>
        <v>2</v>
      </c>
    </row>
    <row r="1396">
      <c r="A1396" s="12" t="s">
        <v>1740</v>
      </c>
      <c r="B1396" s="12" t="s">
        <v>91</v>
      </c>
      <c r="C1396" s="17">
        <v>61.0</v>
      </c>
      <c r="D1396" s="12" t="s">
        <v>69</v>
      </c>
      <c r="E1396" s="12" t="s">
        <v>187</v>
      </c>
      <c r="F1396" s="12" t="s">
        <v>62</v>
      </c>
      <c r="G1396" s="12" t="s">
        <v>63</v>
      </c>
      <c r="H1396" s="15">
        <v>45062.0</v>
      </c>
      <c r="I1396" s="17">
        <v>29.0</v>
      </c>
      <c r="J1396" s="12" t="s">
        <v>64</v>
      </c>
      <c r="K1396" s="12" t="s">
        <v>81</v>
      </c>
      <c r="L1396" s="17">
        <v>548.0</v>
      </c>
      <c r="M1396" s="17">
        <v>4.0</v>
      </c>
      <c r="N1396" s="17">
        <v>1.0</v>
      </c>
      <c r="O1396" s="17">
        <v>20.1</v>
      </c>
      <c r="P1396" s="17">
        <v>3.0</v>
      </c>
      <c r="Q1396" s="15">
        <v>45159.0</v>
      </c>
      <c r="R1396" s="12"/>
      <c r="S1396" s="12" t="s">
        <v>55</v>
      </c>
      <c r="T1396" s="12" t="s">
        <v>72</v>
      </c>
      <c r="U1396" s="17">
        <f t="shared" si="1"/>
        <v>2</v>
      </c>
    </row>
    <row r="1397">
      <c r="A1397" s="12" t="s">
        <v>1942</v>
      </c>
      <c r="B1397" s="12" t="s">
        <v>651</v>
      </c>
      <c r="C1397" s="17">
        <v>42.0</v>
      </c>
      <c r="D1397" s="12" t="s">
        <v>60</v>
      </c>
      <c r="E1397" s="12" t="s">
        <v>107</v>
      </c>
      <c r="F1397" s="12" t="s">
        <v>37</v>
      </c>
      <c r="G1397" s="12" t="s">
        <v>93</v>
      </c>
      <c r="H1397" s="15">
        <v>45736.0</v>
      </c>
      <c r="I1397" s="17">
        <v>20.0</v>
      </c>
      <c r="J1397" s="12" t="s">
        <v>40</v>
      </c>
      <c r="K1397" s="12" t="s">
        <v>65</v>
      </c>
      <c r="L1397" s="17">
        <v>1192.0</v>
      </c>
      <c r="M1397" s="17">
        <v>3.0</v>
      </c>
      <c r="N1397" s="17">
        <v>2.0</v>
      </c>
      <c r="O1397" s="17">
        <v>38.1</v>
      </c>
      <c r="P1397" s="12"/>
      <c r="Q1397" s="15">
        <v>46012.0</v>
      </c>
      <c r="R1397" s="12"/>
      <c r="S1397" s="12" t="s">
        <v>55</v>
      </c>
      <c r="T1397" s="12" t="s">
        <v>47</v>
      </c>
      <c r="U1397" s="17">
        <f t="shared" si="1"/>
        <v>1</v>
      </c>
    </row>
    <row r="1398">
      <c r="A1398" s="12" t="s">
        <v>1209</v>
      </c>
      <c r="B1398" s="12" t="s">
        <v>393</v>
      </c>
      <c r="C1398" s="17">
        <v>47.0</v>
      </c>
      <c r="D1398" s="12" t="s">
        <v>85</v>
      </c>
      <c r="E1398" s="12" t="s">
        <v>87</v>
      </c>
      <c r="F1398" s="12" t="s">
        <v>62</v>
      </c>
      <c r="G1398" s="12" t="s">
        <v>210</v>
      </c>
      <c r="H1398" s="15">
        <v>45330.0</v>
      </c>
      <c r="I1398" s="17">
        <v>37.0</v>
      </c>
      <c r="J1398" s="12" t="s">
        <v>429</v>
      </c>
      <c r="K1398" s="12" t="s">
        <v>81</v>
      </c>
      <c r="L1398" s="17">
        <v>627.0</v>
      </c>
      <c r="M1398" s="17">
        <v>4.0</v>
      </c>
      <c r="N1398" s="17">
        <v>2.0</v>
      </c>
      <c r="O1398" s="17">
        <v>18.4</v>
      </c>
      <c r="P1398" s="17">
        <v>2.5</v>
      </c>
      <c r="Q1398" s="15">
        <v>45899.0</v>
      </c>
      <c r="R1398" s="12"/>
      <c r="S1398" s="12" t="s">
        <v>55</v>
      </c>
      <c r="T1398" s="12" t="s">
        <v>104</v>
      </c>
      <c r="U1398" s="17">
        <f t="shared" si="1"/>
        <v>3</v>
      </c>
    </row>
    <row r="1399">
      <c r="A1399" s="12" t="s">
        <v>632</v>
      </c>
      <c r="B1399" s="12" t="s">
        <v>106</v>
      </c>
      <c r="C1399" s="17">
        <v>60.0</v>
      </c>
      <c r="D1399" s="12" t="s">
        <v>35</v>
      </c>
      <c r="E1399" s="12" t="s">
        <v>51</v>
      </c>
      <c r="F1399" s="12" t="s">
        <v>62</v>
      </c>
      <c r="G1399" s="12" t="s">
        <v>52</v>
      </c>
      <c r="H1399" s="15">
        <v>44594.0</v>
      </c>
      <c r="I1399" s="17">
        <v>9.0</v>
      </c>
      <c r="J1399" s="12" t="s">
        <v>40</v>
      </c>
      <c r="K1399" s="12" t="s">
        <v>81</v>
      </c>
      <c r="L1399" s="17">
        <v>775.0</v>
      </c>
      <c r="M1399" s="17">
        <v>2.0</v>
      </c>
      <c r="N1399" s="17">
        <v>2.0</v>
      </c>
      <c r="O1399" s="17">
        <v>18.9</v>
      </c>
      <c r="P1399" s="17">
        <v>4.6</v>
      </c>
      <c r="Q1399" s="15">
        <v>44863.0</v>
      </c>
      <c r="R1399" s="12"/>
      <c r="S1399" s="12" t="s">
        <v>55</v>
      </c>
      <c r="T1399" s="12" t="s">
        <v>75</v>
      </c>
      <c r="U1399" s="17">
        <f t="shared" si="1"/>
        <v>2</v>
      </c>
    </row>
    <row r="1400">
      <c r="A1400" s="12" t="s">
        <v>1723</v>
      </c>
      <c r="B1400" s="12" t="s">
        <v>68</v>
      </c>
      <c r="C1400" s="17">
        <v>48.0</v>
      </c>
      <c r="D1400" s="12" t="s">
        <v>60</v>
      </c>
      <c r="E1400" s="12" t="s">
        <v>61</v>
      </c>
      <c r="F1400" s="12" t="s">
        <v>62</v>
      </c>
      <c r="G1400" s="12" t="s">
        <v>120</v>
      </c>
      <c r="H1400" s="15">
        <v>44850.0</v>
      </c>
      <c r="I1400" s="17">
        <v>3.0</v>
      </c>
      <c r="J1400" s="12" t="s">
        <v>40</v>
      </c>
      <c r="K1400" s="12" t="s">
        <v>65</v>
      </c>
      <c r="L1400" s="17">
        <v>755.0</v>
      </c>
      <c r="M1400" s="12"/>
      <c r="N1400" s="17">
        <v>0.0</v>
      </c>
      <c r="O1400" s="17">
        <v>1.0</v>
      </c>
      <c r="P1400" s="17">
        <v>4.8</v>
      </c>
      <c r="Q1400" s="15">
        <v>44893.0</v>
      </c>
      <c r="R1400" s="12"/>
      <c r="S1400" s="12" t="s">
        <v>55</v>
      </c>
      <c r="T1400" s="12" t="s">
        <v>47</v>
      </c>
      <c r="U1400" s="17">
        <f t="shared" si="1"/>
        <v>2</v>
      </c>
    </row>
    <row r="1401">
      <c r="A1401" s="12" t="s">
        <v>1252</v>
      </c>
      <c r="B1401" s="12" t="s">
        <v>336</v>
      </c>
      <c r="C1401" s="17">
        <v>54.0</v>
      </c>
      <c r="D1401" s="12" t="s">
        <v>60</v>
      </c>
      <c r="E1401" s="12" t="s">
        <v>97</v>
      </c>
      <c r="F1401" s="12" t="s">
        <v>79</v>
      </c>
      <c r="G1401" s="12" t="s">
        <v>39</v>
      </c>
      <c r="H1401" s="15">
        <v>45267.0</v>
      </c>
      <c r="I1401" s="17">
        <v>30.0</v>
      </c>
      <c r="J1401" s="12" t="s">
        <v>64</v>
      </c>
      <c r="K1401" s="12" t="s">
        <v>65</v>
      </c>
      <c r="L1401" s="17">
        <v>2325.0</v>
      </c>
      <c r="M1401" s="17">
        <v>2.0</v>
      </c>
      <c r="N1401" s="17">
        <v>2.0</v>
      </c>
      <c r="O1401" s="17">
        <v>34.2</v>
      </c>
      <c r="P1401" s="17">
        <v>3.1</v>
      </c>
      <c r="Q1401" s="15">
        <v>45911.0</v>
      </c>
      <c r="R1401" s="12"/>
      <c r="S1401" s="12" t="s">
        <v>55</v>
      </c>
      <c r="T1401" s="12" t="s">
        <v>104</v>
      </c>
      <c r="U1401" s="17">
        <f t="shared" si="1"/>
        <v>2</v>
      </c>
    </row>
    <row r="1402">
      <c r="A1402" s="12" t="s">
        <v>710</v>
      </c>
      <c r="B1402" s="12" t="s">
        <v>303</v>
      </c>
      <c r="C1402" s="17">
        <v>22.0</v>
      </c>
      <c r="D1402" s="12" t="s">
        <v>35</v>
      </c>
      <c r="E1402" s="12" t="s">
        <v>140</v>
      </c>
      <c r="F1402" s="12" t="s">
        <v>79</v>
      </c>
      <c r="G1402" s="12" t="s">
        <v>52</v>
      </c>
      <c r="H1402" s="15">
        <v>44923.0</v>
      </c>
      <c r="I1402" s="17">
        <v>41.0</v>
      </c>
      <c r="J1402" s="12" t="s">
        <v>53</v>
      </c>
      <c r="K1402" s="12" t="s">
        <v>81</v>
      </c>
      <c r="L1402" s="17">
        <v>2035.0</v>
      </c>
      <c r="M1402" s="17">
        <v>2.0</v>
      </c>
      <c r="N1402" s="17">
        <v>1.0</v>
      </c>
      <c r="O1402" s="17">
        <v>40.4</v>
      </c>
      <c r="P1402" s="17">
        <v>3.6</v>
      </c>
      <c r="Q1402" s="15">
        <v>45520.0</v>
      </c>
      <c r="R1402" s="12" t="s">
        <v>1943</v>
      </c>
      <c r="S1402" s="12" t="s">
        <v>45</v>
      </c>
      <c r="T1402" s="12" t="s">
        <v>47</v>
      </c>
      <c r="U1402" s="17">
        <f t="shared" si="1"/>
        <v>2</v>
      </c>
    </row>
    <row r="1403">
      <c r="A1403" s="12" t="s">
        <v>1088</v>
      </c>
      <c r="B1403" s="12" t="s">
        <v>303</v>
      </c>
      <c r="C1403" s="17">
        <v>24.0</v>
      </c>
      <c r="D1403" s="12" t="s">
        <v>35</v>
      </c>
      <c r="E1403" s="12" t="s">
        <v>161</v>
      </c>
      <c r="F1403" s="12" t="s">
        <v>62</v>
      </c>
      <c r="G1403" s="12" t="s">
        <v>63</v>
      </c>
      <c r="H1403" s="15">
        <v>44672.0</v>
      </c>
      <c r="I1403" s="17">
        <v>6.0</v>
      </c>
      <c r="J1403" s="12" t="s">
        <v>64</v>
      </c>
      <c r="K1403" s="12" t="s">
        <v>81</v>
      </c>
      <c r="L1403" s="17">
        <v>623.0</v>
      </c>
      <c r="M1403" s="17">
        <v>3.0</v>
      </c>
      <c r="N1403" s="17">
        <v>0.0</v>
      </c>
      <c r="O1403" s="17">
        <v>16.2</v>
      </c>
      <c r="P1403" s="17">
        <v>2.5</v>
      </c>
      <c r="Q1403" s="15">
        <v>44799.0</v>
      </c>
      <c r="R1403" s="12"/>
      <c r="S1403" s="12" t="s">
        <v>55</v>
      </c>
      <c r="T1403" s="12" t="s">
        <v>47</v>
      </c>
      <c r="U1403" s="17">
        <f t="shared" si="1"/>
        <v>2</v>
      </c>
    </row>
    <row r="1404">
      <c r="A1404" s="12" t="s">
        <v>1398</v>
      </c>
      <c r="B1404" s="12" t="s">
        <v>345</v>
      </c>
      <c r="C1404" s="17">
        <v>66.0</v>
      </c>
      <c r="D1404" s="12" t="s">
        <v>69</v>
      </c>
      <c r="E1404" s="12" t="s">
        <v>119</v>
      </c>
      <c r="F1404" s="12" t="s">
        <v>62</v>
      </c>
      <c r="G1404" s="12" t="s">
        <v>63</v>
      </c>
      <c r="H1404" s="15">
        <v>44818.0</v>
      </c>
      <c r="I1404" s="17">
        <v>2.0</v>
      </c>
      <c r="J1404" s="12" t="s">
        <v>53</v>
      </c>
      <c r="K1404" s="12" t="s">
        <v>65</v>
      </c>
      <c r="L1404" s="12" t="s">
        <v>1944</v>
      </c>
      <c r="M1404" s="17">
        <v>0.0</v>
      </c>
      <c r="N1404" s="17">
        <v>1.0</v>
      </c>
      <c r="O1404" s="17">
        <v>16.0</v>
      </c>
      <c r="P1404" s="17">
        <v>3.9</v>
      </c>
      <c r="Q1404" s="15">
        <v>44875.0</v>
      </c>
      <c r="R1404" s="12"/>
      <c r="S1404" s="12" t="s">
        <v>55</v>
      </c>
      <c r="T1404" s="12" t="s">
        <v>72</v>
      </c>
      <c r="U1404" s="17">
        <f t="shared" si="1"/>
        <v>2</v>
      </c>
    </row>
    <row r="1405">
      <c r="A1405" s="12" t="s">
        <v>613</v>
      </c>
      <c r="B1405" s="12" t="s">
        <v>139</v>
      </c>
      <c r="C1405" s="17">
        <v>20.0</v>
      </c>
      <c r="D1405" s="12" t="s">
        <v>60</v>
      </c>
      <c r="E1405" s="12" t="s">
        <v>107</v>
      </c>
      <c r="F1405" s="12" t="s">
        <v>62</v>
      </c>
      <c r="G1405" s="12" t="s">
        <v>63</v>
      </c>
      <c r="H1405" s="15">
        <v>45187.0</v>
      </c>
      <c r="I1405" s="17">
        <v>42.0</v>
      </c>
      <c r="J1405" s="12" t="s">
        <v>40</v>
      </c>
      <c r="K1405" s="12" t="s">
        <v>81</v>
      </c>
      <c r="L1405" s="17">
        <v>572.0</v>
      </c>
      <c r="M1405" s="17">
        <v>2.0</v>
      </c>
      <c r="N1405" s="17">
        <v>0.0</v>
      </c>
      <c r="O1405" s="17">
        <v>16.0</v>
      </c>
      <c r="P1405" s="17">
        <v>4.4</v>
      </c>
      <c r="Q1405" s="15">
        <v>45645.0</v>
      </c>
      <c r="R1405" s="12"/>
      <c r="S1405" s="12" t="s">
        <v>55</v>
      </c>
      <c r="T1405" s="12" t="s">
        <v>104</v>
      </c>
      <c r="U1405" s="17">
        <f t="shared" si="1"/>
        <v>2</v>
      </c>
    </row>
    <row r="1406">
      <c r="A1406" s="12" t="s">
        <v>1120</v>
      </c>
      <c r="B1406" s="12" t="s">
        <v>636</v>
      </c>
      <c r="C1406" s="17">
        <v>54.0</v>
      </c>
      <c r="D1406" s="12" t="s">
        <v>69</v>
      </c>
      <c r="E1406" s="12" t="s">
        <v>70</v>
      </c>
      <c r="F1406" s="12" t="s">
        <v>62</v>
      </c>
      <c r="G1406" s="12" t="s">
        <v>52</v>
      </c>
      <c r="H1406" s="15">
        <v>45843.0</v>
      </c>
      <c r="I1406" s="17">
        <v>14.0</v>
      </c>
      <c r="J1406" s="12" t="s">
        <v>53</v>
      </c>
      <c r="K1406" s="12" t="s">
        <v>42</v>
      </c>
      <c r="L1406" s="17">
        <v>657.0</v>
      </c>
      <c r="M1406" s="17">
        <v>4.0</v>
      </c>
      <c r="N1406" s="12"/>
      <c r="O1406" s="17">
        <v>26.4</v>
      </c>
      <c r="P1406" s="17">
        <v>4.4</v>
      </c>
      <c r="Q1406" s="15">
        <v>45929.0</v>
      </c>
      <c r="R1406" s="12" t="s">
        <v>1946</v>
      </c>
      <c r="S1406" s="12" t="s">
        <v>45</v>
      </c>
      <c r="T1406" s="12" t="s">
        <v>75</v>
      </c>
      <c r="U1406" s="17">
        <f t="shared" si="1"/>
        <v>4</v>
      </c>
    </row>
    <row r="1407">
      <c r="A1407" s="12" t="s">
        <v>1368</v>
      </c>
      <c r="B1407" s="12" t="s">
        <v>118</v>
      </c>
      <c r="C1407" s="17">
        <v>19.0</v>
      </c>
      <c r="D1407" s="12" t="s">
        <v>69</v>
      </c>
      <c r="E1407" s="12" t="s">
        <v>187</v>
      </c>
      <c r="F1407" s="12" t="s">
        <v>79</v>
      </c>
      <c r="G1407" s="12" t="s">
        <v>93</v>
      </c>
      <c r="H1407" s="15">
        <v>44769.0</v>
      </c>
      <c r="I1407" s="17">
        <v>48.0</v>
      </c>
      <c r="J1407" s="12" t="s">
        <v>64</v>
      </c>
      <c r="K1407" s="12" t="s">
        <v>65</v>
      </c>
      <c r="L1407" s="17">
        <v>3950.0</v>
      </c>
      <c r="M1407" s="17">
        <v>1.0</v>
      </c>
      <c r="N1407" s="17">
        <v>1.0</v>
      </c>
      <c r="O1407" s="17">
        <v>24.9</v>
      </c>
      <c r="P1407" s="17">
        <v>3.5</v>
      </c>
      <c r="Q1407" s="15">
        <v>45154.0</v>
      </c>
      <c r="R1407" s="12"/>
      <c r="S1407" s="12" t="s">
        <v>55</v>
      </c>
      <c r="T1407" s="12" t="s">
        <v>75</v>
      </c>
      <c r="U1407" s="17">
        <f t="shared" si="1"/>
        <v>3</v>
      </c>
    </row>
    <row r="1408">
      <c r="A1408" s="12" t="s">
        <v>1947</v>
      </c>
      <c r="B1408" s="12" t="s">
        <v>645</v>
      </c>
      <c r="C1408" s="17">
        <v>51.0</v>
      </c>
      <c r="D1408" s="12" t="s">
        <v>85</v>
      </c>
      <c r="E1408" s="12" t="s">
        <v>92</v>
      </c>
      <c r="F1408" s="12" t="s">
        <v>79</v>
      </c>
      <c r="G1408" s="12" t="s">
        <v>93</v>
      </c>
      <c r="H1408" s="15">
        <v>45381.0</v>
      </c>
      <c r="I1408" s="17">
        <v>10.0</v>
      </c>
      <c r="J1408" s="12" t="s">
        <v>53</v>
      </c>
      <c r="K1408" s="12" t="s">
        <v>81</v>
      </c>
      <c r="L1408" s="17">
        <v>3957.0</v>
      </c>
      <c r="M1408" s="17">
        <v>2.0</v>
      </c>
      <c r="N1408" s="17">
        <v>1.0</v>
      </c>
      <c r="O1408" s="17">
        <v>41.6</v>
      </c>
      <c r="P1408" s="12"/>
      <c r="Q1408" s="15">
        <v>45617.0</v>
      </c>
      <c r="R1408" s="12" t="s">
        <v>1948</v>
      </c>
      <c r="S1408" s="12" t="s">
        <v>45</v>
      </c>
      <c r="T1408" s="12" t="s">
        <v>72</v>
      </c>
      <c r="U1408" s="17">
        <f t="shared" si="1"/>
        <v>1</v>
      </c>
    </row>
    <row r="1409">
      <c r="A1409" s="12" t="s">
        <v>1236</v>
      </c>
      <c r="B1409" s="12" t="s">
        <v>176</v>
      </c>
      <c r="C1409" s="17">
        <v>51.0</v>
      </c>
      <c r="D1409" s="12" t="s">
        <v>85</v>
      </c>
      <c r="E1409" s="12" t="s">
        <v>292</v>
      </c>
      <c r="F1409" s="12" t="s">
        <v>37</v>
      </c>
      <c r="G1409" s="12" t="s">
        <v>80</v>
      </c>
      <c r="H1409" s="15">
        <v>44685.0</v>
      </c>
      <c r="I1409" s="17">
        <v>41.0</v>
      </c>
      <c r="J1409" s="12" t="s">
        <v>64</v>
      </c>
      <c r="K1409" s="12" t="s">
        <v>65</v>
      </c>
      <c r="L1409" s="17">
        <v>1036.0</v>
      </c>
      <c r="M1409" s="17">
        <v>3.0</v>
      </c>
      <c r="N1409" s="17">
        <v>1.0</v>
      </c>
      <c r="O1409" s="17">
        <v>28.9</v>
      </c>
      <c r="P1409" s="17">
        <v>5.0</v>
      </c>
      <c r="Q1409" s="15">
        <v>44917.0</v>
      </c>
      <c r="R1409" s="12"/>
      <c r="S1409" s="12" t="s">
        <v>55</v>
      </c>
      <c r="T1409" s="12" t="s">
        <v>72</v>
      </c>
      <c r="U1409" s="17">
        <f t="shared" si="1"/>
        <v>3</v>
      </c>
    </row>
    <row r="1410">
      <c r="A1410" s="12" t="s">
        <v>1240</v>
      </c>
      <c r="B1410" s="12" t="s">
        <v>145</v>
      </c>
      <c r="C1410" s="17">
        <v>26.0</v>
      </c>
      <c r="D1410" s="12" t="s">
        <v>69</v>
      </c>
      <c r="E1410" s="12" t="s">
        <v>187</v>
      </c>
      <c r="F1410" s="12" t="s">
        <v>62</v>
      </c>
      <c r="G1410" s="12" t="s">
        <v>210</v>
      </c>
      <c r="H1410" s="15">
        <v>44991.0</v>
      </c>
      <c r="I1410" s="17">
        <v>20.0</v>
      </c>
      <c r="J1410" s="12" t="s">
        <v>40</v>
      </c>
      <c r="K1410" s="12" t="s">
        <v>42</v>
      </c>
      <c r="L1410" s="17">
        <v>870.0</v>
      </c>
      <c r="M1410" s="17">
        <v>2.0</v>
      </c>
      <c r="N1410" s="17">
        <v>2.0</v>
      </c>
      <c r="O1410" s="17">
        <v>16.5</v>
      </c>
      <c r="P1410" s="17">
        <v>3.6</v>
      </c>
      <c r="Q1410" s="15">
        <v>45388.0</v>
      </c>
      <c r="R1410" s="12"/>
      <c r="S1410" s="12" t="s">
        <v>55</v>
      </c>
      <c r="T1410" s="12" t="s">
        <v>72</v>
      </c>
      <c r="U1410" s="17">
        <f t="shared" si="1"/>
        <v>3</v>
      </c>
    </row>
    <row r="1411">
      <c r="A1411" s="12" t="s">
        <v>1949</v>
      </c>
      <c r="B1411" s="12" t="s">
        <v>420</v>
      </c>
      <c r="C1411" s="17">
        <v>60.0</v>
      </c>
      <c r="D1411" s="12" t="s">
        <v>306</v>
      </c>
      <c r="E1411" s="12" t="s">
        <v>92</v>
      </c>
      <c r="F1411" s="12" t="s">
        <v>37</v>
      </c>
      <c r="G1411" s="12" t="s">
        <v>93</v>
      </c>
      <c r="H1411" s="15">
        <v>45291.0</v>
      </c>
      <c r="I1411" s="17">
        <v>11.0</v>
      </c>
      <c r="J1411" s="12" t="s">
        <v>40</v>
      </c>
      <c r="K1411" s="12" t="s">
        <v>42</v>
      </c>
      <c r="L1411" s="17">
        <v>1175.0</v>
      </c>
      <c r="M1411" s="17">
        <v>1.0</v>
      </c>
      <c r="N1411" s="17">
        <v>0.0</v>
      </c>
      <c r="O1411" s="17">
        <v>16.2</v>
      </c>
      <c r="P1411" s="17">
        <v>4.7</v>
      </c>
      <c r="Q1411" s="15">
        <v>45505.0</v>
      </c>
      <c r="R1411" s="12"/>
      <c r="S1411" s="12" t="s">
        <v>55</v>
      </c>
      <c r="T1411" s="12" t="s">
        <v>104</v>
      </c>
      <c r="U1411" s="17">
        <f t="shared" si="1"/>
        <v>1</v>
      </c>
    </row>
    <row r="1412">
      <c r="A1412" s="12" t="s">
        <v>526</v>
      </c>
      <c r="B1412" s="12" t="s">
        <v>250</v>
      </c>
      <c r="C1412" s="17">
        <v>40.0</v>
      </c>
      <c r="D1412" s="12" t="s">
        <v>85</v>
      </c>
      <c r="E1412" s="12" t="s">
        <v>111</v>
      </c>
      <c r="F1412" s="12" t="s">
        <v>37</v>
      </c>
      <c r="G1412" s="12" t="s">
        <v>63</v>
      </c>
      <c r="H1412" s="15">
        <v>45649.0</v>
      </c>
      <c r="I1412" s="17">
        <v>10.0</v>
      </c>
      <c r="J1412" s="12" t="s">
        <v>64</v>
      </c>
      <c r="K1412" s="12" t="s">
        <v>81</v>
      </c>
      <c r="L1412" s="17">
        <v>1683.0</v>
      </c>
      <c r="M1412" s="17">
        <v>1.0</v>
      </c>
      <c r="N1412" s="17">
        <v>1.0</v>
      </c>
      <c r="O1412" s="17">
        <v>30.5</v>
      </c>
      <c r="P1412" s="17">
        <v>2.8</v>
      </c>
      <c r="Q1412" s="15">
        <v>45778.0</v>
      </c>
      <c r="R1412" s="12"/>
      <c r="S1412" s="12" t="s">
        <v>827</v>
      </c>
      <c r="T1412" s="12" t="s">
        <v>72</v>
      </c>
      <c r="U1412" s="17">
        <f t="shared" si="1"/>
        <v>2</v>
      </c>
    </row>
    <row r="1413">
      <c r="A1413" s="12" t="s">
        <v>870</v>
      </c>
      <c r="B1413" s="12" t="s">
        <v>295</v>
      </c>
      <c r="C1413" s="17">
        <v>25.0</v>
      </c>
      <c r="D1413" s="12" t="s">
        <v>658</v>
      </c>
      <c r="E1413" s="12" t="s">
        <v>70</v>
      </c>
      <c r="F1413" s="12" t="s">
        <v>37</v>
      </c>
      <c r="G1413" s="12" t="s">
        <v>210</v>
      </c>
      <c r="H1413" s="15">
        <v>45763.0</v>
      </c>
      <c r="I1413" s="17">
        <v>27.0</v>
      </c>
      <c r="J1413" s="12" t="s">
        <v>40</v>
      </c>
      <c r="K1413" s="12" t="s">
        <v>42</v>
      </c>
      <c r="L1413" s="17">
        <v>1413.0</v>
      </c>
      <c r="M1413" s="17">
        <v>2.0</v>
      </c>
      <c r="N1413" s="17">
        <v>1.0</v>
      </c>
      <c r="O1413" s="17">
        <v>36.2</v>
      </c>
      <c r="P1413" s="17">
        <v>6.0</v>
      </c>
      <c r="Q1413" s="15">
        <v>46565.0</v>
      </c>
      <c r="R1413" s="12"/>
      <c r="S1413" s="12" t="s">
        <v>55</v>
      </c>
      <c r="T1413" s="12" t="s">
        <v>47</v>
      </c>
      <c r="U1413" s="17">
        <f t="shared" si="1"/>
        <v>2</v>
      </c>
    </row>
    <row r="1414">
      <c r="A1414" s="12" t="s">
        <v>1648</v>
      </c>
      <c r="B1414" s="12" t="s">
        <v>308</v>
      </c>
      <c r="C1414" s="17">
        <v>38.0</v>
      </c>
      <c r="D1414" s="12" t="s">
        <v>69</v>
      </c>
      <c r="E1414" s="12" t="s">
        <v>177</v>
      </c>
      <c r="F1414" s="12" t="s">
        <v>62</v>
      </c>
      <c r="G1414" s="12" t="s">
        <v>52</v>
      </c>
      <c r="H1414" s="15">
        <v>45133.0</v>
      </c>
      <c r="I1414" s="17">
        <v>6.0</v>
      </c>
      <c r="J1414" s="12" t="s">
        <v>64</v>
      </c>
      <c r="K1414" s="12" t="s">
        <v>81</v>
      </c>
      <c r="L1414" s="12"/>
      <c r="M1414" s="17">
        <v>2.0</v>
      </c>
      <c r="N1414" s="17">
        <v>1.0</v>
      </c>
      <c r="O1414" s="17">
        <v>19.2</v>
      </c>
      <c r="P1414" s="17">
        <v>2.8</v>
      </c>
      <c r="Q1414" s="15">
        <v>45150.0</v>
      </c>
      <c r="R1414" s="12" t="s">
        <v>1950</v>
      </c>
      <c r="S1414" s="12" t="s">
        <v>45</v>
      </c>
      <c r="T1414" s="12" t="s">
        <v>66</v>
      </c>
      <c r="U1414" s="17">
        <f t="shared" si="1"/>
        <v>2</v>
      </c>
    </row>
    <row r="1415">
      <c r="A1415" s="12" t="s">
        <v>895</v>
      </c>
      <c r="B1415" s="12" t="s">
        <v>215</v>
      </c>
      <c r="C1415" s="17">
        <v>57.0</v>
      </c>
      <c r="D1415" s="12" t="s">
        <v>35</v>
      </c>
      <c r="E1415" s="12" t="s">
        <v>51</v>
      </c>
      <c r="F1415" s="12" t="s">
        <v>37</v>
      </c>
      <c r="G1415" s="12" t="s">
        <v>63</v>
      </c>
      <c r="H1415" s="15">
        <v>45876.0</v>
      </c>
      <c r="I1415" s="17">
        <v>33.0</v>
      </c>
      <c r="J1415" s="12" t="s">
        <v>53</v>
      </c>
      <c r="K1415" s="12" t="s">
        <v>81</v>
      </c>
      <c r="L1415" s="17">
        <v>1206.0</v>
      </c>
      <c r="M1415" s="17">
        <v>4.0</v>
      </c>
      <c r="N1415" s="17">
        <v>1.0</v>
      </c>
      <c r="O1415" s="17">
        <v>41.3</v>
      </c>
      <c r="P1415" s="17">
        <v>4.0</v>
      </c>
      <c r="Q1415" s="15">
        <v>45949.0</v>
      </c>
      <c r="R1415" s="12"/>
      <c r="S1415" s="12" t="s">
        <v>55</v>
      </c>
      <c r="T1415" s="12" t="s">
        <v>66</v>
      </c>
      <c r="U1415" s="17">
        <f t="shared" si="1"/>
        <v>2</v>
      </c>
    </row>
    <row r="1416">
      <c r="A1416" s="12" t="s">
        <v>1951</v>
      </c>
      <c r="B1416" s="12" t="s">
        <v>235</v>
      </c>
      <c r="C1416" s="17">
        <v>56.0</v>
      </c>
      <c r="D1416" s="12" t="s">
        <v>35</v>
      </c>
      <c r="E1416" s="12" t="s">
        <v>36</v>
      </c>
      <c r="F1416" s="12" t="s">
        <v>62</v>
      </c>
      <c r="G1416" s="12" t="s">
        <v>210</v>
      </c>
      <c r="H1416" s="15">
        <v>44628.0</v>
      </c>
      <c r="I1416" s="17">
        <v>1.0</v>
      </c>
      <c r="J1416" s="12" t="s">
        <v>53</v>
      </c>
      <c r="K1416" s="12" t="s">
        <v>81</v>
      </c>
      <c r="L1416" s="17">
        <v>742.0</v>
      </c>
      <c r="M1416" s="17">
        <v>1.0</v>
      </c>
      <c r="N1416" s="17">
        <v>3.0</v>
      </c>
      <c r="O1416" s="17">
        <v>12.2</v>
      </c>
      <c r="P1416" s="17">
        <v>3.8</v>
      </c>
      <c r="Q1416" s="15">
        <v>44644.0</v>
      </c>
      <c r="R1416" s="12"/>
      <c r="S1416" s="12" t="s">
        <v>55</v>
      </c>
      <c r="T1416" s="12"/>
      <c r="U1416" s="17">
        <f t="shared" si="1"/>
        <v>1</v>
      </c>
    </row>
    <row r="1417">
      <c r="A1417" s="12" t="s">
        <v>1952</v>
      </c>
      <c r="B1417" s="12" t="s">
        <v>398</v>
      </c>
      <c r="C1417" s="17">
        <v>56.0</v>
      </c>
      <c r="D1417" s="12" t="s">
        <v>35</v>
      </c>
      <c r="E1417" s="12" t="s">
        <v>36</v>
      </c>
      <c r="F1417" s="12" t="s">
        <v>372</v>
      </c>
      <c r="G1417" s="12" t="s">
        <v>571</v>
      </c>
      <c r="H1417" s="15">
        <v>45356.0</v>
      </c>
      <c r="I1417" s="17">
        <v>10.0</v>
      </c>
      <c r="J1417" s="12" t="s">
        <v>64</v>
      </c>
      <c r="K1417" s="12" t="s">
        <v>65</v>
      </c>
      <c r="L1417" s="17">
        <v>3463.0</v>
      </c>
      <c r="M1417" s="17">
        <v>1.0</v>
      </c>
      <c r="N1417" s="17">
        <v>1.0</v>
      </c>
      <c r="O1417" s="17">
        <v>26.6</v>
      </c>
      <c r="P1417" s="17">
        <v>5.0</v>
      </c>
      <c r="Q1417" s="15">
        <v>45392.0</v>
      </c>
      <c r="R1417" s="12" t="s">
        <v>1953</v>
      </c>
      <c r="S1417" s="12" t="s">
        <v>45</v>
      </c>
      <c r="T1417" s="12" t="s">
        <v>75</v>
      </c>
      <c r="U1417" s="17">
        <f t="shared" si="1"/>
        <v>1</v>
      </c>
    </row>
    <row r="1418">
      <c r="A1418" s="12" t="s">
        <v>1538</v>
      </c>
      <c r="B1418" s="12" t="s">
        <v>145</v>
      </c>
      <c r="C1418" s="17">
        <v>64.0</v>
      </c>
      <c r="D1418" s="12" t="s">
        <v>60</v>
      </c>
      <c r="E1418" s="12" t="s">
        <v>107</v>
      </c>
      <c r="F1418" s="12" t="s">
        <v>79</v>
      </c>
      <c r="G1418" s="12" t="s">
        <v>52</v>
      </c>
      <c r="H1418" s="15">
        <v>44808.0</v>
      </c>
      <c r="I1418" s="17">
        <v>5.0</v>
      </c>
      <c r="J1418" s="12" t="s">
        <v>40</v>
      </c>
      <c r="K1418" s="12" t="s">
        <v>42</v>
      </c>
      <c r="L1418" s="17">
        <v>2456.0</v>
      </c>
      <c r="M1418" s="17">
        <v>6.0</v>
      </c>
      <c r="N1418" s="17">
        <v>0.0</v>
      </c>
      <c r="O1418" s="17">
        <v>39.9</v>
      </c>
      <c r="P1418" s="17">
        <v>2.9</v>
      </c>
      <c r="Q1418" s="15">
        <v>44904.0</v>
      </c>
      <c r="R1418" s="12"/>
      <c r="S1418" s="12" t="s">
        <v>55</v>
      </c>
      <c r="T1418" s="12" t="s">
        <v>75</v>
      </c>
      <c r="U1418" s="17">
        <f t="shared" si="1"/>
        <v>2</v>
      </c>
    </row>
    <row r="1419">
      <c r="A1419" s="12" t="s">
        <v>517</v>
      </c>
      <c r="B1419" s="12" t="s">
        <v>59</v>
      </c>
      <c r="C1419" s="17">
        <v>20.0</v>
      </c>
      <c r="D1419" s="12" t="s">
        <v>85</v>
      </c>
      <c r="E1419" s="12" t="s">
        <v>292</v>
      </c>
      <c r="F1419" s="12" t="s">
        <v>37</v>
      </c>
      <c r="G1419" s="12" t="s">
        <v>93</v>
      </c>
      <c r="H1419" s="15">
        <v>45520.0</v>
      </c>
      <c r="I1419" s="17">
        <v>39.0</v>
      </c>
      <c r="J1419" s="12" t="s">
        <v>64</v>
      </c>
      <c r="K1419" s="12" t="s">
        <v>81</v>
      </c>
      <c r="L1419" s="17">
        <v>1231.0</v>
      </c>
      <c r="M1419" s="17">
        <v>3.0</v>
      </c>
      <c r="N1419" s="17">
        <v>0.0</v>
      </c>
      <c r="O1419" s="17">
        <v>11.9</v>
      </c>
      <c r="P1419" s="17">
        <v>2.5</v>
      </c>
      <c r="Q1419" s="15">
        <v>45759.0</v>
      </c>
      <c r="R1419" s="12" t="s">
        <v>1954</v>
      </c>
      <c r="S1419" s="12" t="s">
        <v>45</v>
      </c>
      <c r="T1419" s="12" t="s">
        <v>66</v>
      </c>
      <c r="U1419" s="17">
        <f t="shared" si="1"/>
        <v>3</v>
      </c>
    </row>
    <row r="1420">
      <c r="A1420" s="12" t="s">
        <v>1878</v>
      </c>
      <c r="B1420" s="12" t="s">
        <v>235</v>
      </c>
      <c r="C1420" s="17">
        <v>53.0</v>
      </c>
      <c r="D1420" s="12" t="s">
        <v>85</v>
      </c>
      <c r="E1420" s="12" t="s">
        <v>111</v>
      </c>
      <c r="F1420" s="12" t="s">
        <v>62</v>
      </c>
      <c r="G1420" s="12" t="s">
        <v>39</v>
      </c>
      <c r="H1420" s="15">
        <v>45948.0</v>
      </c>
      <c r="I1420" s="17">
        <v>39.0</v>
      </c>
      <c r="J1420" s="12" t="s">
        <v>40</v>
      </c>
      <c r="K1420" s="12" t="s">
        <v>65</v>
      </c>
      <c r="L1420" s="17">
        <v>800.0</v>
      </c>
      <c r="M1420" s="17">
        <v>1.0</v>
      </c>
      <c r="N1420" s="17">
        <v>1.0</v>
      </c>
      <c r="O1420" s="17">
        <v>14.6</v>
      </c>
      <c r="P1420" s="17">
        <v>4.4</v>
      </c>
      <c r="Q1420" s="12"/>
      <c r="R1420" s="12" t="s">
        <v>1955</v>
      </c>
      <c r="S1420" s="12" t="s">
        <v>45</v>
      </c>
      <c r="T1420" s="12" t="s">
        <v>72</v>
      </c>
      <c r="U1420" s="17">
        <f t="shared" si="1"/>
        <v>3</v>
      </c>
    </row>
    <row r="1421">
      <c r="A1421" s="12" t="s">
        <v>1956</v>
      </c>
      <c r="B1421" s="12" t="s">
        <v>281</v>
      </c>
      <c r="C1421" s="17">
        <v>48.0</v>
      </c>
      <c r="D1421" s="12" t="s">
        <v>35</v>
      </c>
      <c r="E1421" s="12" t="s">
        <v>140</v>
      </c>
      <c r="F1421" s="12" t="s">
        <v>79</v>
      </c>
      <c r="G1421" s="12" t="s">
        <v>80</v>
      </c>
      <c r="H1421" s="15">
        <v>44779.0</v>
      </c>
      <c r="I1421" s="17">
        <v>1.0</v>
      </c>
      <c r="J1421" s="12" t="s">
        <v>64</v>
      </c>
      <c r="K1421" s="12" t="s">
        <v>42</v>
      </c>
      <c r="L1421" s="17">
        <v>2029.0</v>
      </c>
      <c r="M1421" s="17">
        <v>4.0</v>
      </c>
      <c r="N1421" s="17">
        <v>0.0</v>
      </c>
      <c r="O1421" s="17">
        <v>44.3</v>
      </c>
      <c r="P1421" s="17">
        <v>4.1</v>
      </c>
      <c r="Q1421" s="15">
        <v>44824.0</v>
      </c>
      <c r="R1421" s="12"/>
      <c r="S1421" s="12" t="s">
        <v>55</v>
      </c>
      <c r="T1421" s="12" t="s">
        <v>104</v>
      </c>
      <c r="U1421" s="17">
        <f t="shared" si="1"/>
        <v>1</v>
      </c>
    </row>
    <row r="1422">
      <c r="A1422" s="12" t="s">
        <v>1220</v>
      </c>
      <c r="B1422" s="12" t="s">
        <v>308</v>
      </c>
      <c r="C1422" s="17">
        <v>43.0</v>
      </c>
      <c r="D1422" s="12" t="s">
        <v>60</v>
      </c>
      <c r="E1422" s="12" t="s">
        <v>107</v>
      </c>
      <c r="F1422" s="12" t="s">
        <v>62</v>
      </c>
      <c r="G1422" s="12" t="s">
        <v>93</v>
      </c>
      <c r="H1422" s="15">
        <v>44838.0</v>
      </c>
      <c r="I1422" s="17">
        <v>14.0</v>
      </c>
      <c r="J1422" s="12" t="s">
        <v>64</v>
      </c>
      <c r="K1422" s="12" t="s">
        <v>81</v>
      </c>
      <c r="L1422" s="17">
        <v>594.0</v>
      </c>
      <c r="M1422" s="17">
        <v>3.0</v>
      </c>
      <c r="N1422" s="17">
        <v>1.0</v>
      </c>
      <c r="O1422" s="17">
        <v>23.8</v>
      </c>
      <c r="P1422" s="17">
        <v>3.5</v>
      </c>
      <c r="Q1422" s="15">
        <v>45270.0</v>
      </c>
      <c r="R1422" s="12" t="s">
        <v>1957</v>
      </c>
      <c r="S1422" s="12" t="s">
        <v>45</v>
      </c>
      <c r="T1422" s="12" t="s">
        <v>75</v>
      </c>
      <c r="U1422" s="17">
        <f t="shared" si="1"/>
        <v>2</v>
      </c>
    </row>
    <row r="1423">
      <c r="A1423" s="12" t="s">
        <v>745</v>
      </c>
      <c r="B1423" s="12" t="s">
        <v>59</v>
      </c>
      <c r="C1423" s="17">
        <v>58.0</v>
      </c>
      <c r="D1423" s="12" t="s">
        <v>309</v>
      </c>
      <c r="E1423" s="12" t="s">
        <v>133</v>
      </c>
      <c r="F1423" s="12" t="s">
        <v>413</v>
      </c>
      <c r="G1423" s="12" t="s">
        <v>52</v>
      </c>
      <c r="H1423" s="15">
        <v>45528.0</v>
      </c>
      <c r="I1423" s="17">
        <v>2.0</v>
      </c>
      <c r="J1423" s="12" t="s">
        <v>64</v>
      </c>
      <c r="K1423" s="12" t="s">
        <v>42</v>
      </c>
      <c r="L1423" s="17">
        <v>725.0</v>
      </c>
      <c r="M1423" s="17">
        <v>2.0</v>
      </c>
      <c r="N1423" s="17">
        <v>0.0</v>
      </c>
      <c r="O1423" s="17">
        <v>17.9</v>
      </c>
      <c r="P1423" s="17">
        <v>3.9</v>
      </c>
      <c r="Q1423" s="15">
        <v>45583.0</v>
      </c>
      <c r="R1423" s="12"/>
      <c r="S1423" s="12" t="s">
        <v>55</v>
      </c>
      <c r="T1423" s="12" t="s">
        <v>47</v>
      </c>
      <c r="U1423" s="17">
        <f t="shared" si="1"/>
        <v>2</v>
      </c>
    </row>
    <row r="1424">
      <c r="A1424" s="12" t="s">
        <v>332</v>
      </c>
      <c r="B1424" s="12" t="s">
        <v>470</v>
      </c>
      <c r="C1424" s="17">
        <v>31.0</v>
      </c>
      <c r="D1424" s="12" t="s">
        <v>60</v>
      </c>
      <c r="E1424" s="12" t="s">
        <v>97</v>
      </c>
      <c r="F1424" s="12" t="s">
        <v>62</v>
      </c>
      <c r="G1424" s="12" t="s">
        <v>63</v>
      </c>
      <c r="H1424" s="15">
        <v>44798.0</v>
      </c>
      <c r="I1424" s="17">
        <v>27.0</v>
      </c>
      <c r="J1424" s="12" t="s">
        <v>53</v>
      </c>
      <c r="K1424" s="12" t="s">
        <v>42</v>
      </c>
      <c r="L1424" s="12" t="s">
        <v>1958</v>
      </c>
      <c r="M1424" s="17">
        <v>1.0</v>
      </c>
      <c r="N1424" s="17">
        <v>1.0</v>
      </c>
      <c r="O1424" s="17">
        <v>18.6</v>
      </c>
      <c r="P1424" s="17">
        <v>3.8</v>
      </c>
      <c r="Q1424" s="15">
        <v>44812.0</v>
      </c>
      <c r="R1424" s="12" t="s">
        <v>1959</v>
      </c>
      <c r="S1424" s="12" t="s">
        <v>45</v>
      </c>
      <c r="T1424" s="12" t="s">
        <v>66</v>
      </c>
      <c r="U1424" s="17">
        <f t="shared" si="1"/>
        <v>4</v>
      </c>
    </row>
    <row r="1425">
      <c r="A1425" s="12" t="s">
        <v>1006</v>
      </c>
      <c r="B1425" s="12" t="s">
        <v>605</v>
      </c>
      <c r="C1425" s="17">
        <v>37.0</v>
      </c>
      <c r="D1425" s="12" t="s">
        <v>60</v>
      </c>
      <c r="E1425" s="12" t="s">
        <v>97</v>
      </c>
      <c r="F1425" s="12" t="s">
        <v>62</v>
      </c>
      <c r="G1425" s="12" t="s">
        <v>39</v>
      </c>
      <c r="H1425" s="15">
        <v>46001.0</v>
      </c>
      <c r="I1425" s="17">
        <v>120.0</v>
      </c>
      <c r="J1425" s="12" t="s">
        <v>64</v>
      </c>
      <c r="K1425" s="12" t="s">
        <v>65</v>
      </c>
      <c r="L1425" s="17">
        <v>816.0</v>
      </c>
      <c r="M1425" s="17">
        <v>3.0</v>
      </c>
      <c r="N1425" s="17">
        <v>1.0</v>
      </c>
      <c r="O1425" s="17">
        <v>22.9</v>
      </c>
      <c r="P1425" s="17">
        <v>3.3</v>
      </c>
      <c r="Q1425" s="15">
        <v>46465.0</v>
      </c>
      <c r="R1425" s="12"/>
      <c r="S1425" s="12" t="s">
        <v>55</v>
      </c>
      <c r="T1425" s="12" t="s">
        <v>66</v>
      </c>
      <c r="U1425" s="17">
        <f t="shared" si="1"/>
        <v>3</v>
      </c>
    </row>
    <row r="1426">
      <c r="A1426" s="12" t="s">
        <v>1262</v>
      </c>
      <c r="B1426" s="12" t="s">
        <v>288</v>
      </c>
      <c r="C1426" s="17">
        <v>42.0</v>
      </c>
      <c r="D1426" s="12" t="s">
        <v>69</v>
      </c>
      <c r="E1426" s="12" t="s">
        <v>70</v>
      </c>
      <c r="F1426" s="12" t="s">
        <v>62</v>
      </c>
      <c r="G1426" s="12" t="s">
        <v>63</v>
      </c>
      <c r="H1426" s="15">
        <v>45432.0</v>
      </c>
      <c r="I1426" s="17">
        <v>39.0</v>
      </c>
      <c r="J1426" s="12" t="s">
        <v>40</v>
      </c>
      <c r="K1426" s="12" t="s">
        <v>65</v>
      </c>
      <c r="L1426" s="17">
        <v>537.0</v>
      </c>
      <c r="M1426" s="17">
        <v>2.0</v>
      </c>
      <c r="N1426" s="17">
        <v>3.0</v>
      </c>
      <c r="O1426" s="17">
        <v>22.9</v>
      </c>
      <c r="P1426" s="17">
        <v>2.7</v>
      </c>
      <c r="Q1426" s="15">
        <v>45910.0</v>
      </c>
      <c r="R1426" s="12" t="s">
        <v>1960</v>
      </c>
      <c r="S1426" s="12" t="s">
        <v>45</v>
      </c>
      <c r="T1426" s="12" t="s">
        <v>75</v>
      </c>
      <c r="U1426" s="17">
        <f t="shared" si="1"/>
        <v>4</v>
      </c>
    </row>
    <row r="1427">
      <c r="A1427" s="12" t="s">
        <v>1961</v>
      </c>
      <c r="B1427" s="12" t="s">
        <v>247</v>
      </c>
      <c r="C1427" s="12"/>
      <c r="D1427" s="12" t="s">
        <v>60</v>
      </c>
      <c r="E1427" s="12" t="s">
        <v>133</v>
      </c>
      <c r="F1427" s="12" t="s">
        <v>37</v>
      </c>
      <c r="G1427" s="12" t="s">
        <v>120</v>
      </c>
      <c r="H1427" s="15">
        <v>45063.0</v>
      </c>
      <c r="I1427" s="17">
        <v>15.0</v>
      </c>
      <c r="J1427" s="12" t="s">
        <v>40</v>
      </c>
      <c r="K1427" s="12" t="s">
        <v>65</v>
      </c>
      <c r="L1427" s="17">
        <v>1336.0</v>
      </c>
      <c r="M1427" s="17">
        <v>1.0</v>
      </c>
      <c r="N1427" s="17">
        <v>1.0</v>
      </c>
      <c r="O1427" s="17">
        <v>41.0</v>
      </c>
      <c r="P1427" s="17">
        <v>3.9</v>
      </c>
      <c r="Q1427" s="15">
        <v>45231.0</v>
      </c>
      <c r="R1427" s="12"/>
      <c r="S1427" s="12" t="s">
        <v>55</v>
      </c>
      <c r="T1427" s="12" t="s">
        <v>104</v>
      </c>
      <c r="U1427" s="17">
        <f t="shared" si="1"/>
        <v>2</v>
      </c>
    </row>
    <row r="1428">
      <c r="A1428" s="12" t="s">
        <v>1015</v>
      </c>
      <c r="B1428" s="12" t="s">
        <v>229</v>
      </c>
      <c r="C1428" s="17">
        <v>34.0</v>
      </c>
      <c r="D1428" s="12" t="s">
        <v>60</v>
      </c>
      <c r="E1428" s="12" t="s">
        <v>133</v>
      </c>
      <c r="F1428" s="12" t="s">
        <v>62</v>
      </c>
      <c r="G1428" s="12" t="s">
        <v>93</v>
      </c>
      <c r="H1428" s="15">
        <v>44880.0</v>
      </c>
      <c r="I1428" s="17">
        <v>32.0</v>
      </c>
      <c r="J1428" s="12" t="s">
        <v>64</v>
      </c>
      <c r="K1428" s="12" t="s">
        <v>65</v>
      </c>
      <c r="L1428" s="17">
        <v>798.0</v>
      </c>
      <c r="M1428" s="17">
        <v>1.0</v>
      </c>
      <c r="N1428" s="17">
        <v>3.0</v>
      </c>
      <c r="O1428" s="17">
        <v>16.5</v>
      </c>
      <c r="P1428" s="17">
        <v>3.5</v>
      </c>
      <c r="Q1428" s="15">
        <v>45015.0</v>
      </c>
      <c r="R1428" s="12"/>
      <c r="S1428" s="12" t="s">
        <v>55</v>
      </c>
      <c r="T1428" s="12" t="s">
        <v>72</v>
      </c>
      <c r="U1428" s="17">
        <f t="shared" si="1"/>
        <v>2</v>
      </c>
    </row>
    <row r="1429">
      <c r="A1429" s="12" t="s">
        <v>975</v>
      </c>
      <c r="B1429" s="12" t="s">
        <v>229</v>
      </c>
      <c r="C1429" s="17">
        <v>51.0</v>
      </c>
      <c r="D1429" s="12" t="s">
        <v>35</v>
      </c>
      <c r="E1429" s="12" t="s">
        <v>51</v>
      </c>
      <c r="F1429" s="12" t="s">
        <v>37</v>
      </c>
      <c r="G1429" s="12" t="s">
        <v>63</v>
      </c>
      <c r="H1429" s="15">
        <v>45481.0</v>
      </c>
      <c r="I1429" s="17">
        <v>32.0</v>
      </c>
      <c r="J1429" s="12" t="s">
        <v>40</v>
      </c>
      <c r="K1429" s="12" t="s">
        <v>65</v>
      </c>
      <c r="L1429" s="17">
        <v>1136.0</v>
      </c>
      <c r="M1429" s="17">
        <v>1.0</v>
      </c>
      <c r="N1429" s="17">
        <v>2.0</v>
      </c>
      <c r="O1429" s="17">
        <v>28.7</v>
      </c>
      <c r="P1429" s="17">
        <v>4.8</v>
      </c>
      <c r="Q1429" s="15">
        <v>46097.0</v>
      </c>
      <c r="R1429" s="12"/>
      <c r="S1429" s="12" t="s">
        <v>55</v>
      </c>
      <c r="T1429" s="12" t="s">
        <v>72</v>
      </c>
      <c r="U1429" s="17">
        <f t="shared" si="1"/>
        <v>3</v>
      </c>
    </row>
    <row r="1430">
      <c r="A1430" s="12" t="s">
        <v>534</v>
      </c>
      <c r="B1430" s="12" t="s">
        <v>322</v>
      </c>
      <c r="C1430" s="17">
        <v>37.0</v>
      </c>
      <c r="D1430" s="12" t="s">
        <v>69</v>
      </c>
      <c r="E1430" s="12" t="s">
        <v>119</v>
      </c>
      <c r="F1430" s="12" t="s">
        <v>79</v>
      </c>
      <c r="G1430" s="12" t="s">
        <v>52</v>
      </c>
      <c r="H1430" s="15">
        <v>44655.0</v>
      </c>
      <c r="I1430" s="17">
        <v>43.0</v>
      </c>
      <c r="J1430" s="12" t="s">
        <v>53</v>
      </c>
      <c r="K1430" s="12" t="s">
        <v>81</v>
      </c>
      <c r="L1430" s="17">
        <v>2464.0</v>
      </c>
      <c r="M1430" s="17">
        <v>4.0</v>
      </c>
      <c r="N1430" s="17">
        <v>2.0</v>
      </c>
      <c r="O1430" s="17">
        <v>26.7</v>
      </c>
      <c r="P1430" s="17">
        <v>2.5</v>
      </c>
      <c r="Q1430" s="15">
        <v>45450.0</v>
      </c>
      <c r="R1430" s="12" t="s">
        <v>1962</v>
      </c>
      <c r="S1430" s="12" t="s">
        <v>45</v>
      </c>
      <c r="T1430" s="12" t="s">
        <v>72</v>
      </c>
      <c r="U1430" s="17">
        <f t="shared" si="1"/>
        <v>3</v>
      </c>
    </row>
    <row r="1431">
      <c r="A1431" s="12" t="s">
        <v>378</v>
      </c>
      <c r="B1431" s="12" t="s">
        <v>1963</v>
      </c>
      <c r="C1431" s="17">
        <v>51.0</v>
      </c>
      <c r="D1431" s="12" t="s">
        <v>60</v>
      </c>
      <c r="E1431" s="12" t="s">
        <v>133</v>
      </c>
      <c r="F1431" s="12" t="s">
        <v>37</v>
      </c>
      <c r="G1431" s="12" t="s">
        <v>120</v>
      </c>
      <c r="H1431" s="15">
        <v>44851.0</v>
      </c>
      <c r="I1431" s="17">
        <v>3.0</v>
      </c>
      <c r="J1431" s="12" t="s">
        <v>53</v>
      </c>
      <c r="K1431" s="12" t="s">
        <v>42</v>
      </c>
      <c r="L1431" s="17">
        <v>1103.0</v>
      </c>
      <c r="M1431" s="17">
        <v>5.0</v>
      </c>
      <c r="N1431" s="17">
        <v>1.0</v>
      </c>
      <c r="O1431" s="17">
        <v>31.5</v>
      </c>
      <c r="P1431" s="17">
        <v>3.9</v>
      </c>
      <c r="Q1431" s="15">
        <v>44919.0</v>
      </c>
      <c r="R1431" s="12"/>
      <c r="S1431" s="12" t="s">
        <v>55</v>
      </c>
      <c r="T1431" s="12" t="s">
        <v>72</v>
      </c>
      <c r="U1431" s="17">
        <f t="shared" si="1"/>
        <v>2</v>
      </c>
    </row>
    <row r="1432">
      <c r="A1432" s="12" t="s">
        <v>1964</v>
      </c>
      <c r="B1432" s="12" t="s">
        <v>224</v>
      </c>
      <c r="C1432" s="17">
        <v>33.0</v>
      </c>
      <c r="D1432" s="12" t="s">
        <v>60</v>
      </c>
      <c r="E1432" s="12" t="s">
        <v>133</v>
      </c>
      <c r="F1432" s="12" t="s">
        <v>37</v>
      </c>
      <c r="G1432" s="12" t="s">
        <v>52</v>
      </c>
      <c r="H1432" s="15">
        <v>45032.0</v>
      </c>
      <c r="I1432" s="17">
        <v>31.0</v>
      </c>
      <c r="J1432" s="12" t="s">
        <v>64</v>
      </c>
      <c r="K1432" s="12" t="s">
        <v>42</v>
      </c>
      <c r="L1432" s="17">
        <v>1220.0</v>
      </c>
      <c r="M1432" s="17">
        <v>0.0</v>
      </c>
      <c r="N1432" s="17">
        <v>2.0</v>
      </c>
      <c r="O1432" s="17">
        <v>18.7</v>
      </c>
      <c r="P1432" s="17">
        <v>5.0</v>
      </c>
      <c r="Q1432" s="15">
        <v>45540.0</v>
      </c>
      <c r="R1432" s="12"/>
      <c r="S1432" s="12" t="s">
        <v>55</v>
      </c>
      <c r="T1432" s="12" t="s">
        <v>47</v>
      </c>
      <c r="U1432" s="17">
        <f t="shared" si="1"/>
        <v>1</v>
      </c>
    </row>
    <row r="1433">
      <c r="A1433" s="12" t="s">
        <v>1965</v>
      </c>
      <c r="B1433" s="12" t="s">
        <v>605</v>
      </c>
      <c r="C1433" s="17">
        <v>40.0</v>
      </c>
      <c r="D1433" s="12" t="s">
        <v>60</v>
      </c>
      <c r="E1433" s="12" t="s">
        <v>61</v>
      </c>
      <c r="F1433" s="12" t="s">
        <v>37</v>
      </c>
      <c r="G1433" s="12" t="s">
        <v>80</v>
      </c>
      <c r="H1433" s="15">
        <v>45226.0</v>
      </c>
      <c r="I1433" s="17">
        <v>46.0</v>
      </c>
      <c r="J1433" s="12" t="s">
        <v>53</v>
      </c>
      <c r="K1433" s="12" t="s">
        <v>65</v>
      </c>
      <c r="L1433" s="17">
        <v>1391.0</v>
      </c>
      <c r="M1433" s="17">
        <v>0.0</v>
      </c>
      <c r="N1433" s="17">
        <v>1.0</v>
      </c>
      <c r="O1433" s="17">
        <v>34.5</v>
      </c>
      <c r="P1433" s="17">
        <v>2.8</v>
      </c>
      <c r="Q1433" s="15">
        <v>45567.0</v>
      </c>
      <c r="R1433" s="12"/>
      <c r="S1433" s="12" t="s">
        <v>55</v>
      </c>
      <c r="T1433" s="12" t="s">
        <v>66</v>
      </c>
      <c r="U1433" s="17">
        <f t="shared" si="1"/>
        <v>1</v>
      </c>
    </row>
    <row r="1434">
      <c r="A1434" s="12" t="s">
        <v>1966</v>
      </c>
      <c r="B1434" s="12" t="s">
        <v>734</v>
      </c>
      <c r="C1434" s="17">
        <v>62.0</v>
      </c>
      <c r="D1434" s="12" t="s">
        <v>69</v>
      </c>
      <c r="E1434" s="12" t="s">
        <v>119</v>
      </c>
      <c r="F1434" s="12" t="s">
        <v>62</v>
      </c>
      <c r="G1434" s="12" t="s">
        <v>80</v>
      </c>
      <c r="H1434" s="15">
        <v>45176.0</v>
      </c>
      <c r="I1434" s="17">
        <v>3.0</v>
      </c>
      <c r="J1434" s="12" t="s">
        <v>40</v>
      </c>
      <c r="K1434" s="12" t="s">
        <v>42</v>
      </c>
      <c r="L1434" s="17">
        <v>718.0</v>
      </c>
      <c r="M1434" s="17">
        <v>0.0</v>
      </c>
      <c r="N1434" s="17">
        <v>3.0</v>
      </c>
      <c r="O1434" s="17">
        <v>13.6</v>
      </c>
      <c r="P1434" s="17">
        <v>3.2</v>
      </c>
      <c r="Q1434" s="15">
        <v>45187.0</v>
      </c>
      <c r="R1434" s="12"/>
      <c r="S1434" s="12" t="s">
        <v>55</v>
      </c>
      <c r="T1434" s="12" t="s">
        <v>75</v>
      </c>
      <c r="U1434" s="17">
        <f t="shared" si="1"/>
        <v>1</v>
      </c>
    </row>
    <row r="1435">
      <c r="A1435" s="12" t="s">
        <v>844</v>
      </c>
      <c r="B1435" s="12" t="s">
        <v>333</v>
      </c>
      <c r="C1435" s="17">
        <v>65.0</v>
      </c>
      <c r="D1435" s="12" t="s">
        <v>69</v>
      </c>
      <c r="E1435" s="12" t="s">
        <v>177</v>
      </c>
      <c r="F1435" s="12" t="s">
        <v>62</v>
      </c>
      <c r="G1435" s="12" t="s">
        <v>80</v>
      </c>
      <c r="H1435" s="15">
        <v>45383.0</v>
      </c>
      <c r="I1435" s="17">
        <v>31.0</v>
      </c>
      <c r="J1435" s="12" t="s">
        <v>64</v>
      </c>
      <c r="K1435" s="12" t="s">
        <v>65</v>
      </c>
      <c r="L1435" s="17">
        <v>569.0</v>
      </c>
      <c r="M1435" s="17">
        <v>3.0</v>
      </c>
      <c r="N1435" s="17">
        <v>0.0</v>
      </c>
      <c r="O1435" s="17">
        <v>16.4</v>
      </c>
      <c r="P1435" s="17">
        <v>2.1</v>
      </c>
      <c r="Q1435" s="15">
        <v>45521.0</v>
      </c>
      <c r="R1435" s="12"/>
      <c r="S1435" s="12" t="s">
        <v>55</v>
      </c>
      <c r="T1435" s="12" t="s">
        <v>66</v>
      </c>
      <c r="U1435" s="17">
        <f t="shared" si="1"/>
        <v>4</v>
      </c>
    </row>
    <row r="1436">
      <c r="A1436" s="12" t="s">
        <v>1967</v>
      </c>
      <c r="B1436" s="12" t="s">
        <v>281</v>
      </c>
      <c r="C1436" s="17">
        <v>68.0</v>
      </c>
      <c r="D1436" s="12" t="s">
        <v>85</v>
      </c>
      <c r="E1436" s="12" t="s">
        <v>292</v>
      </c>
      <c r="F1436" s="12" t="s">
        <v>37</v>
      </c>
      <c r="G1436" s="12" t="s">
        <v>80</v>
      </c>
      <c r="H1436" s="15">
        <v>45633.0</v>
      </c>
      <c r="I1436" s="17">
        <v>26.0</v>
      </c>
      <c r="J1436" s="12" t="s">
        <v>40</v>
      </c>
      <c r="K1436" s="12" t="s">
        <v>65</v>
      </c>
      <c r="L1436" s="17">
        <v>1179.0</v>
      </c>
      <c r="M1436" s="17">
        <v>3.0</v>
      </c>
      <c r="N1436" s="17">
        <v>1.0</v>
      </c>
      <c r="O1436" s="17">
        <v>21.9</v>
      </c>
      <c r="P1436" s="17">
        <v>3.6</v>
      </c>
      <c r="Q1436" s="15">
        <v>46353.0</v>
      </c>
      <c r="R1436" s="12"/>
      <c r="S1436" s="12" t="s">
        <v>55</v>
      </c>
      <c r="T1436" s="12" t="s">
        <v>104</v>
      </c>
      <c r="U1436" s="17">
        <f t="shared" si="1"/>
        <v>1</v>
      </c>
    </row>
    <row r="1437">
      <c r="A1437" s="12" t="s">
        <v>1806</v>
      </c>
      <c r="B1437" s="12" t="s">
        <v>222</v>
      </c>
      <c r="C1437" s="17">
        <v>68.0</v>
      </c>
      <c r="D1437" s="12" t="s">
        <v>35</v>
      </c>
      <c r="E1437" s="12" t="s">
        <v>51</v>
      </c>
      <c r="F1437" s="12" t="s">
        <v>37</v>
      </c>
      <c r="G1437" s="12" t="s">
        <v>80</v>
      </c>
      <c r="H1437" s="15">
        <v>45418.0</v>
      </c>
      <c r="I1437" s="17">
        <v>48.0</v>
      </c>
      <c r="J1437" s="12" t="s">
        <v>40</v>
      </c>
      <c r="K1437" s="12" t="s">
        <v>65</v>
      </c>
      <c r="L1437" s="17">
        <v>1609.0</v>
      </c>
      <c r="M1437" s="17">
        <v>3.0</v>
      </c>
      <c r="N1437" s="17">
        <v>0.0</v>
      </c>
      <c r="O1437" s="17">
        <v>29.3</v>
      </c>
      <c r="P1437" s="17">
        <v>3.9</v>
      </c>
      <c r="Q1437" s="15">
        <v>46348.0</v>
      </c>
      <c r="R1437" s="12"/>
      <c r="S1437" s="12" t="s">
        <v>55</v>
      </c>
      <c r="T1437" s="12" t="s">
        <v>47</v>
      </c>
      <c r="U1437" s="17">
        <f t="shared" si="1"/>
        <v>2</v>
      </c>
    </row>
    <row r="1438">
      <c r="A1438" s="12" t="s">
        <v>1154</v>
      </c>
      <c r="B1438" s="12" t="s">
        <v>224</v>
      </c>
      <c r="C1438" s="17">
        <v>29.0</v>
      </c>
      <c r="D1438" s="12" t="s">
        <v>60</v>
      </c>
      <c r="E1438" s="12" t="s">
        <v>133</v>
      </c>
      <c r="F1438" s="12" t="s">
        <v>372</v>
      </c>
      <c r="G1438" s="12" t="s">
        <v>52</v>
      </c>
      <c r="H1438" s="15">
        <v>45532.0</v>
      </c>
      <c r="I1438" s="17">
        <v>33.0</v>
      </c>
      <c r="J1438" s="12" t="s">
        <v>53</v>
      </c>
      <c r="K1438" s="12" t="s">
        <v>42</v>
      </c>
      <c r="L1438" s="17">
        <v>1510.0</v>
      </c>
      <c r="M1438" s="17">
        <v>1.0</v>
      </c>
      <c r="N1438" s="17">
        <v>2.0</v>
      </c>
      <c r="O1438" s="17">
        <v>18.2</v>
      </c>
      <c r="P1438" s="17">
        <v>3.5</v>
      </c>
      <c r="Q1438" s="15">
        <v>45889.0</v>
      </c>
      <c r="R1438" s="12"/>
      <c r="S1438" s="12" t="s">
        <v>55</v>
      </c>
      <c r="T1438" s="12" t="s">
        <v>66</v>
      </c>
      <c r="U1438" s="17">
        <f t="shared" si="1"/>
        <v>2</v>
      </c>
    </row>
    <row r="1439">
      <c r="A1439" s="12" t="s">
        <v>1168</v>
      </c>
      <c r="B1439" s="12" t="s">
        <v>163</v>
      </c>
      <c r="C1439" s="17">
        <v>30.0</v>
      </c>
      <c r="D1439" s="12" t="s">
        <v>35</v>
      </c>
      <c r="E1439" s="12" t="s">
        <v>51</v>
      </c>
      <c r="F1439" s="12" t="s">
        <v>37</v>
      </c>
      <c r="G1439" s="12" t="s">
        <v>80</v>
      </c>
      <c r="H1439" s="15">
        <v>45093.0</v>
      </c>
      <c r="I1439" s="17">
        <v>10.0</v>
      </c>
      <c r="J1439" s="12" t="s">
        <v>40</v>
      </c>
      <c r="K1439" s="12" t="s">
        <v>81</v>
      </c>
      <c r="L1439" s="17">
        <v>1214.0</v>
      </c>
      <c r="M1439" s="17">
        <v>3.0</v>
      </c>
      <c r="N1439" s="17">
        <v>1.0</v>
      </c>
      <c r="O1439" s="17">
        <v>21.7</v>
      </c>
      <c r="P1439" s="17">
        <v>4.0</v>
      </c>
      <c r="Q1439" s="15">
        <v>45309.0</v>
      </c>
      <c r="R1439" s="12" t="s">
        <v>1668</v>
      </c>
      <c r="S1439" s="12" t="s">
        <v>45</v>
      </c>
      <c r="T1439" s="12" t="s">
        <v>47</v>
      </c>
      <c r="U1439" s="17">
        <f t="shared" si="1"/>
        <v>2</v>
      </c>
    </row>
    <row r="1440">
      <c r="A1440" s="12" t="s">
        <v>344</v>
      </c>
      <c r="B1440" s="12" t="s">
        <v>235</v>
      </c>
      <c r="C1440" s="17">
        <v>46.0</v>
      </c>
      <c r="D1440" s="12" t="s">
        <v>69</v>
      </c>
      <c r="E1440" s="12" t="s">
        <v>119</v>
      </c>
      <c r="F1440" s="12" t="s">
        <v>62</v>
      </c>
      <c r="G1440" s="12" t="s">
        <v>93</v>
      </c>
      <c r="H1440" s="15">
        <v>44715.0</v>
      </c>
      <c r="I1440" s="17">
        <v>30.0</v>
      </c>
      <c r="J1440" s="12" t="s">
        <v>40</v>
      </c>
      <c r="K1440" s="12" t="s">
        <v>42</v>
      </c>
      <c r="L1440" s="17">
        <v>832.0</v>
      </c>
      <c r="M1440" s="17">
        <v>0.0</v>
      </c>
      <c r="N1440" s="17">
        <v>0.0</v>
      </c>
      <c r="O1440" s="17">
        <v>10.9</v>
      </c>
      <c r="P1440" s="17">
        <v>3.1</v>
      </c>
      <c r="Q1440" s="15">
        <v>45346.0</v>
      </c>
      <c r="R1440" s="12" t="s">
        <v>1968</v>
      </c>
      <c r="S1440" s="12" t="s">
        <v>45</v>
      </c>
      <c r="T1440" s="12" t="s">
        <v>72</v>
      </c>
      <c r="U1440" s="17">
        <f t="shared" si="1"/>
        <v>3</v>
      </c>
    </row>
    <row r="1441">
      <c r="A1441" s="12" t="s">
        <v>1969</v>
      </c>
      <c r="B1441" s="12" t="s">
        <v>59</v>
      </c>
      <c r="C1441" s="17">
        <v>56.0</v>
      </c>
      <c r="D1441" s="12" t="s">
        <v>60</v>
      </c>
      <c r="E1441" s="12" t="s">
        <v>61</v>
      </c>
      <c r="F1441" s="12" t="s">
        <v>62</v>
      </c>
      <c r="G1441" s="12" t="s">
        <v>93</v>
      </c>
      <c r="H1441" s="15">
        <v>45693.0</v>
      </c>
      <c r="I1441" s="17">
        <v>26.0</v>
      </c>
      <c r="J1441" s="12" t="s">
        <v>40</v>
      </c>
      <c r="K1441" s="12" t="s">
        <v>42</v>
      </c>
      <c r="L1441" s="17">
        <v>618.0</v>
      </c>
      <c r="M1441" s="17">
        <v>3.0</v>
      </c>
      <c r="N1441" s="17">
        <v>1.0</v>
      </c>
      <c r="O1441" s="17">
        <v>9.2</v>
      </c>
      <c r="P1441" s="17">
        <v>4.4</v>
      </c>
      <c r="Q1441" s="15">
        <v>45882.0</v>
      </c>
      <c r="R1441" s="12"/>
      <c r="S1441" s="12" t="s">
        <v>55</v>
      </c>
      <c r="T1441" s="12" t="s">
        <v>66</v>
      </c>
      <c r="U1441" s="17">
        <f t="shared" si="1"/>
        <v>1</v>
      </c>
    </row>
    <row r="1442">
      <c r="A1442" s="12" t="s">
        <v>1970</v>
      </c>
      <c r="B1442" s="12" t="s">
        <v>222</v>
      </c>
      <c r="C1442" s="12" t="s">
        <v>1416</v>
      </c>
      <c r="D1442" s="12" t="s">
        <v>69</v>
      </c>
      <c r="E1442" s="12" t="s">
        <v>70</v>
      </c>
      <c r="F1442" s="12" t="s">
        <v>79</v>
      </c>
      <c r="G1442" s="12" t="s">
        <v>52</v>
      </c>
      <c r="H1442" s="15">
        <v>45408.0</v>
      </c>
      <c r="I1442" s="17">
        <v>37.0</v>
      </c>
      <c r="J1442" s="12" t="s">
        <v>40</v>
      </c>
      <c r="K1442" s="12" t="s">
        <v>42</v>
      </c>
      <c r="L1442" s="17">
        <v>3822.0</v>
      </c>
      <c r="M1442" s="17">
        <v>4.0</v>
      </c>
      <c r="N1442" s="17">
        <v>0.0</v>
      </c>
      <c r="O1442" s="17">
        <v>41.7</v>
      </c>
      <c r="P1442" s="17">
        <v>2.7</v>
      </c>
      <c r="Q1442" s="15">
        <v>45963.0</v>
      </c>
      <c r="R1442" s="12" t="s">
        <v>1971</v>
      </c>
      <c r="S1442" s="12" t="s">
        <v>45</v>
      </c>
      <c r="T1442" s="12" t="s">
        <v>75</v>
      </c>
      <c r="U1442" s="17">
        <f t="shared" si="1"/>
        <v>1</v>
      </c>
    </row>
    <row r="1443">
      <c r="A1443" s="12" t="s">
        <v>1116</v>
      </c>
      <c r="B1443" s="12" t="s">
        <v>295</v>
      </c>
      <c r="C1443" s="17">
        <v>62.0</v>
      </c>
      <c r="D1443" s="12" t="s">
        <v>35</v>
      </c>
      <c r="E1443" s="12" t="s">
        <v>36</v>
      </c>
      <c r="F1443" s="12" t="s">
        <v>37</v>
      </c>
      <c r="G1443" s="12" t="s">
        <v>93</v>
      </c>
      <c r="H1443" s="15">
        <v>44601.0</v>
      </c>
      <c r="I1443" s="17">
        <v>14.0</v>
      </c>
      <c r="J1443" s="12" t="s">
        <v>40</v>
      </c>
      <c r="K1443" s="12" t="s">
        <v>42</v>
      </c>
      <c r="L1443" s="17">
        <v>1408.0</v>
      </c>
      <c r="M1443" s="17">
        <v>1.0</v>
      </c>
      <c r="N1443" s="17">
        <v>0.0</v>
      </c>
      <c r="O1443" s="17">
        <v>27.4</v>
      </c>
      <c r="P1443" s="17">
        <v>5.0</v>
      </c>
      <c r="Q1443" s="15">
        <v>44710.0</v>
      </c>
      <c r="R1443" s="12" t="s">
        <v>980</v>
      </c>
      <c r="S1443" s="12" t="s">
        <v>45</v>
      </c>
      <c r="T1443" s="12" t="s">
        <v>72</v>
      </c>
      <c r="U1443" s="17">
        <f t="shared" si="1"/>
        <v>2</v>
      </c>
    </row>
    <row r="1444">
      <c r="A1444" s="12" t="s">
        <v>1972</v>
      </c>
      <c r="B1444" s="12" t="s">
        <v>639</v>
      </c>
      <c r="C1444" s="17">
        <v>29.0</v>
      </c>
      <c r="D1444" s="12" t="s">
        <v>69</v>
      </c>
      <c r="E1444" s="12" t="s">
        <v>187</v>
      </c>
      <c r="F1444" s="12" t="s">
        <v>62</v>
      </c>
      <c r="G1444" s="12" t="s">
        <v>93</v>
      </c>
      <c r="H1444" s="15">
        <v>45501.0</v>
      </c>
      <c r="I1444" s="17">
        <v>12.0</v>
      </c>
      <c r="J1444" s="12" t="s">
        <v>64</v>
      </c>
      <c r="K1444" s="12" t="s">
        <v>65</v>
      </c>
      <c r="L1444" s="17">
        <v>642.0</v>
      </c>
      <c r="M1444" s="17">
        <v>3.0</v>
      </c>
      <c r="N1444" s="17">
        <v>2.0</v>
      </c>
      <c r="O1444" s="17">
        <v>12.4</v>
      </c>
      <c r="P1444" s="17">
        <v>4.3</v>
      </c>
      <c r="Q1444" s="15">
        <v>45625.0</v>
      </c>
      <c r="R1444" s="12"/>
      <c r="S1444" s="12" t="s">
        <v>55</v>
      </c>
      <c r="T1444" s="12" t="s">
        <v>75</v>
      </c>
      <c r="U1444" s="17">
        <f t="shared" si="1"/>
        <v>2</v>
      </c>
    </row>
    <row r="1445">
      <c r="A1445" s="12" t="s">
        <v>1973</v>
      </c>
      <c r="B1445" s="12" t="s">
        <v>281</v>
      </c>
      <c r="C1445" s="17">
        <v>25.0</v>
      </c>
      <c r="D1445" s="12" t="s">
        <v>69</v>
      </c>
      <c r="E1445" s="12" t="s">
        <v>70</v>
      </c>
      <c r="F1445" s="12" t="s">
        <v>37</v>
      </c>
      <c r="G1445" s="12" t="s">
        <v>80</v>
      </c>
      <c r="H1445" s="15">
        <v>44628.0</v>
      </c>
      <c r="I1445" s="17">
        <v>48.0</v>
      </c>
      <c r="J1445" s="12" t="s">
        <v>64</v>
      </c>
      <c r="K1445" s="12" t="s">
        <v>81</v>
      </c>
      <c r="L1445" s="17">
        <v>1265.0</v>
      </c>
      <c r="M1445" s="17">
        <v>2.0</v>
      </c>
      <c r="N1445" s="17">
        <v>1.0</v>
      </c>
      <c r="O1445" s="17">
        <v>43.3</v>
      </c>
      <c r="P1445" s="17">
        <v>2.5</v>
      </c>
      <c r="Q1445" s="15">
        <v>44958.0</v>
      </c>
      <c r="R1445" s="12"/>
      <c r="S1445" s="12" t="s">
        <v>55</v>
      </c>
      <c r="T1445" s="12" t="s">
        <v>47</v>
      </c>
      <c r="U1445" s="17">
        <f t="shared" si="1"/>
        <v>1</v>
      </c>
    </row>
    <row r="1446">
      <c r="A1446" s="12" t="s">
        <v>1974</v>
      </c>
      <c r="B1446" s="12" t="s">
        <v>59</v>
      </c>
      <c r="C1446" s="17">
        <v>33.0</v>
      </c>
      <c r="D1446" s="12" t="s">
        <v>69</v>
      </c>
      <c r="E1446" s="12" t="s">
        <v>187</v>
      </c>
      <c r="F1446" s="12" t="s">
        <v>37</v>
      </c>
      <c r="G1446" s="12" t="s">
        <v>39</v>
      </c>
      <c r="H1446" s="15">
        <v>45572.0</v>
      </c>
      <c r="I1446" s="17">
        <v>12.0</v>
      </c>
      <c r="J1446" s="12" t="s">
        <v>53</v>
      </c>
      <c r="K1446" s="12" t="s">
        <v>81</v>
      </c>
      <c r="L1446" s="17">
        <v>1162.0</v>
      </c>
      <c r="M1446" s="17">
        <v>1.0</v>
      </c>
      <c r="N1446" s="17">
        <v>1.0</v>
      </c>
      <c r="O1446" s="17">
        <v>21.8</v>
      </c>
      <c r="P1446" s="17">
        <v>4.8</v>
      </c>
      <c r="Q1446" s="15">
        <v>45875.0</v>
      </c>
      <c r="R1446" s="12"/>
      <c r="S1446" s="12" t="s">
        <v>55</v>
      </c>
      <c r="T1446" s="12" t="s">
        <v>104</v>
      </c>
      <c r="U1446" s="17">
        <f t="shared" si="1"/>
        <v>1</v>
      </c>
    </row>
    <row r="1447">
      <c r="A1447" s="12" t="s">
        <v>419</v>
      </c>
      <c r="B1447" s="12" t="s">
        <v>176</v>
      </c>
      <c r="C1447" s="17">
        <v>41.0</v>
      </c>
      <c r="D1447" s="12" t="s">
        <v>85</v>
      </c>
      <c r="E1447" s="12" t="s">
        <v>292</v>
      </c>
      <c r="F1447" s="12" t="s">
        <v>62</v>
      </c>
      <c r="G1447" s="12" t="s">
        <v>120</v>
      </c>
      <c r="H1447" s="15">
        <v>45421.0</v>
      </c>
      <c r="I1447" s="17">
        <v>29.0</v>
      </c>
      <c r="J1447" s="12" t="s">
        <v>40</v>
      </c>
      <c r="K1447" s="12" t="s">
        <v>81</v>
      </c>
      <c r="L1447" s="17">
        <v>668.0</v>
      </c>
      <c r="M1447" s="17">
        <v>2.0</v>
      </c>
      <c r="N1447" s="17">
        <v>1.0</v>
      </c>
      <c r="O1447" s="17">
        <v>23.5</v>
      </c>
      <c r="P1447" s="17">
        <v>3.1</v>
      </c>
      <c r="Q1447" s="15">
        <v>45423.0</v>
      </c>
      <c r="R1447" s="12"/>
      <c r="S1447" s="12" t="s">
        <v>55</v>
      </c>
      <c r="T1447" s="12" t="s">
        <v>75</v>
      </c>
      <c r="U1447" s="17">
        <f t="shared" si="1"/>
        <v>2</v>
      </c>
    </row>
    <row r="1448">
      <c r="A1448" s="12" t="s">
        <v>109</v>
      </c>
      <c r="B1448" s="12" t="s">
        <v>633</v>
      </c>
      <c r="C1448" s="17">
        <v>20.0</v>
      </c>
      <c r="D1448" s="12" t="s">
        <v>60</v>
      </c>
      <c r="E1448" s="12" t="s">
        <v>61</v>
      </c>
      <c r="F1448" s="12" t="s">
        <v>37</v>
      </c>
      <c r="G1448" s="12" t="s">
        <v>63</v>
      </c>
      <c r="H1448" s="15">
        <v>45597.0</v>
      </c>
      <c r="I1448" s="17">
        <v>35.0</v>
      </c>
      <c r="J1448" s="12" t="s">
        <v>40</v>
      </c>
      <c r="K1448" s="12" t="s">
        <v>42</v>
      </c>
      <c r="L1448" s="17">
        <v>1427.0</v>
      </c>
      <c r="M1448" s="17">
        <v>1.0</v>
      </c>
      <c r="N1448" s="17">
        <v>0.0</v>
      </c>
      <c r="O1448" s="17">
        <v>43.2</v>
      </c>
      <c r="P1448" s="17">
        <v>3.5</v>
      </c>
      <c r="Q1448" s="15">
        <v>46621.0</v>
      </c>
      <c r="R1448" s="12"/>
      <c r="S1448" s="12" t="s">
        <v>55</v>
      </c>
      <c r="T1448" s="12" t="s">
        <v>66</v>
      </c>
      <c r="U1448" s="17">
        <f t="shared" si="1"/>
        <v>5</v>
      </c>
    </row>
    <row r="1449">
      <c r="A1449" s="12" t="s">
        <v>1244</v>
      </c>
      <c r="B1449" s="12" t="s">
        <v>420</v>
      </c>
      <c r="C1449" s="17">
        <v>53.0</v>
      </c>
      <c r="D1449" s="12" t="s">
        <v>35</v>
      </c>
      <c r="E1449" s="12" t="s">
        <v>51</v>
      </c>
      <c r="F1449" s="12" t="s">
        <v>37</v>
      </c>
      <c r="G1449" s="12" t="s">
        <v>39</v>
      </c>
      <c r="H1449" s="15">
        <v>44943.0</v>
      </c>
      <c r="I1449" s="17">
        <v>5.0</v>
      </c>
      <c r="J1449" s="12" t="s">
        <v>64</v>
      </c>
      <c r="K1449" s="12" t="s">
        <v>42</v>
      </c>
      <c r="L1449" s="17">
        <v>1305.0</v>
      </c>
      <c r="M1449" s="17">
        <v>2.0</v>
      </c>
      <c r="N1449" s="17">
        <v>3.0</v>
      </c>
      <c r="O1449" s="17">
        <v>34.2</v>
      </c>
      <c r="P1449" s="17">
        <v>4.3</v>
      </c>
      <c r="Q1449" s="15">
        <v>45013.0</v>
      </c>
      <c r="R1449" s="12" t="s">
        <v>1975</v>
      </c>
      <c r="S1449" s="12" t="s">
        <v>45</v>
      </c>
      <c r="T1449" s="12" t="s">
        <v>66</v>
      </c>
      <c r="U1449" s="17">
        <f t="shared" si="1"/>
        <v>3</v>
      </c>
    </row>
    <row r="1450">
      <c r="A1450" s="12" t="s">
        <v>1576</v>
      </c>
      <c r="B1450" s="12" t="s">
        <v>126</v>
      </c>
      <c r="C1450" s="17">
        <v>42.0</v>
      </c>
      <c r="D1450" s="12" t="s">
        <v>69</v>
      </c>
      <c r="E1450" s="12" t="s">
        <v>187</v>
      </c>
      <c r="F1450" s="12" t="s">
        <v>62</v>
      </c>
      <c r="G1450" s="12" t="s">
        <v>39</v>
      </c>
      <c r="H1450" s="15">
        <v>45068.0</v>
      </c>
      <c r="I1450" s="17">
        <v>14.0</v>
      </c>
      <c r="J1450" s="12" t="s">
        <v>64</v>
      </c>
      <c r="K1450" s="12" t="s">
        <v>65</v>
      </c>
      <c r="L1450" s="17">
        <v>584.0</v>
      </c>
      <c r="M1450" s="17">
        <v>3.0</v>
      </c>
      <c r="N1450" s="17">
        <v>0.0</v>
      </c>
      <c r="O1450" s="17">
        <v>10.6</v>
      </c>
      <c r="P1450" s="17">
        <v>4.9</v>
      </c>
      <c r="Q1450" s="15">
        <v>45112.0</v>
      </c>
      <c r="R1450" s="12"/>
      <c r="S1450" s="12" t="s">
        <v>55</v>
      </c>
      <c r="T1450" s="12" t="s">
        <v>72</v>
      </c>
      <c r="U1450" s="17">
        <f t="shared" si="1"/>
        <v>2</v>
      </c>
    </row>
    <row r="1451">
      <c r="A1451" s="12" t="s">
        <v>1814</v>
      </c>
      <c r="B1451" s="12" t="s">
        <v>232</v>
      </c>
      <c r="C1451" s="17">
        <v>105.0</v>
      </c>
      <c r="D1451" s="12" t="s">
        <v>35</v>
      </c>
      <c r="E1451" s="12" t="s">
        <v>51</v>
      </c>
      <c r="F1451" s="12" t="s">
        <v>79</v>
      </c>
      <c r="G1451" s="12" t="s">
        <v>210</v>
      </c>
      <c r="H1451" s="15">
        <v>45234.0</v>
      </c>
      <c r="I1451" s="17">
        <v>46.0</v>
      </c>
      <c r="J1451" s="12" t="s">
        <v>40</v>
      </c>
      <c r="K1451" s="12" t="s">
        <v>81</v>
      </c>
      <c r="L1451" s="17">
        <v>3750.0</v>
      </c>
      <c r="M1451" s="17">
        <v>2.0</v>
      </c>
      <c r="N1451" s="17">
        <v>0.0</v>
      </c>
      <c r="O1451" s="17">
        <v>30.0</v>
      </c>
      <c r="P1451" s="17">
        <v>2.1</v>
      </c>
      <c r="Q1451" s="15">
        <v>46073.0</v>
      </c>
      <c r="R1451" s="12"/>
      <c r="S1451" s="12" t="s">
        <v>55</v>
      </c>
      <c r="T1451" s="12" t="s">
        <v>47</v>
      </c>
      <c r="U1451" s="17">
        <f t="shared" si="1"/>
        <v>4</v>
      </c>
    </row>
    <row r="1452">
      <c r="A1452" s="12" t="s">
        <v>1734</v>
      </c>
      <c r="B1452" s="12" t="s">
        <v>295</v>
      </c>
      <c r="C1452" s="17">
        <v>55.0</v>
      </c>
      <c r="D1452" s="12" t="s">
        <v>69</v>
      </c>
      <c r="E1452" s="12" t="s">
        <v>187</v>
      </c>
      <c r="F1452" s="12" t="s">
        <v>79</v>
      </c>
      <c r="G1452" s="12" t="s">
        <v>210</v>
      </c>
      <c r="H1452" s="15">
        <v>45066.0</v>
      </c>
      <c r="I1452" s="17">
        <v>26.0</v>
      </c>
      <c r="J1452" s="12" t="s">
        <v>64</v>
      </c>
      <c r="K1452" s="12" t="s">
        <v>81</v>
      </c>
      <c r="L1452" s="17">
        <v>2269.0</v>
      </c>
      <c r="M1452" s="17">
        <v>3.0</v>
      </c>
      <c r="N1452" s="17">
        <v>1.0</v>
      </c>
      <c r="O1452" s="17">
        <v>35.9</v>
      </c>
      <c r="P1452" s="17">
        <v>3.2</v>
      </c>
      <c r="Q1452" s="15">
        <v>45083.0</v>
      </c>
      <c r="R1452" s="12" t="s">
        <v>1976</v>
      </c>
      <c r="S1452" s="12" t="s">
        <v>45</v>
      </c>
      <c r="T1452" s="12" t="s">
        <v>66</v>
      </c>
      <c r="U1452" s="17">
        <f t="shared" si="1"/>
        <v>2</v>
      </c>
    </row>
    <row r="1453">
      <c r="A1453" s="12" t="s">
        <v>1665</v>
      </c>
      <c r="B1453" s="12" t="s">
        <v>34</v>
      </c>
      <c r="C1453" s="17">
        <v>39.0</v>
      </c>
      <c r="D1453" s="12" t="s">
        <v>69</v>
      </c>
      <c r="E1453" s="12" t="s">
        <v>70</v>
      </c>
      <c r="F1453" s="12" t="s">
        <v>62</v>
      </c>
      <c r="G1453" s="12" t="s">
        <v>93</v>
      </c>
      <c r="H1453" s="15">
        <v>45113.0</v>
      </c>
      <c r="I1453" s="17">
        <v>18.0</v>
      </c>
      <c r="J1453" s="12" t="s">
        <v>64</v>
      </c>
      <c r="K1453" s="12" t="s">
        <v>81</v>
      </c>
      <c r="L1453" s="17">
        <v>795.0</v>
      </c>
      <c r="M1453" s="17">
        <v>3.0</v>
      </c>
      <c r="N1453" s="17">
        <v>1.0</v>
      </c>
      <c r="O1453" s="17">
        <v>22.2</v>
      </c>
      <c r="P1453" s="17">
        <v>4.5</v>
      </c>
      <c r="Q1453" s="15">
        <v>45464.0</v>
      </c>
      <c r="R1453" s="12"/>
      <c r="S1453" s="12" t="s">
        <v>230</v>
      </c>
      <c r="T1453" s="12" t="s">
        <v>66</v>
      </c>
      <c r="U1453" s="17">
        <f t="shared" si="1"/>
        <v>2</v>
      </c>
    </row>
    <row r="1454">
      <c r="A1454" s="12" t="s">
        <v>1977</v>
      </c>
      <c r="B1454" s="12" t="s">
        <v>78</v>
      </c>
      <c r="C1454" s="12" t="s">
        <v>976</v>
      </c>
      <c r="D1454" s="12" t="s">
        <v>35</v>
      </c>
      <c r="E1454" s="12" t="s">
        <v>36</v>
      </c>
      <c r="F1454" s="12" t="s">
        <v>62</v>
      </c>
      <c r="G1454" s="12" t="s">
        <v>120</v>
      </c>
      <c r="H1454" s="15">
        <v>45384.0</v>
      </c>
      <c r="I1454" s="17">
        <v>13.0</v>
      </c>
      <c r="J1454" s="12" t="s">
        <v>40</v>
      </c>
      <c r="K1454" s="12" t="s">
        <v>65</v>
      </c>
      <c r="L1454" s="17">
        <v>734.0</v>
      </c>
      <c r="M1454" s="17">
        <v>1.0</v>
      </c>
      <c r="N1454" s="17">
        <v>3.0</v>
      </c>
      <c r="O1454" s="17">
        <v>21.1</v>
      </c>
      <c r="P1454" s="17">
        <v>3.0</v>
      </c>
      <c r="Q1454" s="15">
        <v>45584.0</v>
      </c>
      <c r="R1454" s="12"/>
      <c r="S1454" s="12" t="s">
        <v>55</v>
      </c>
      <c r="T1454" s="12" t="s">
        <v>47</v>
      </c>
      <c r="U1454" s="17">
        <f t="shared" si="1"/>
        <v>1</v>
      </c>
    </row>
    <row r="1455">
      <c r="A1455" s="12" t="s">
        <v>191</v>
      </c>
      <c r="B1455" s="12" t="s">
        <v>235</v>
      </c>
      <c r="C1455" s="17">
        <v>63.0</v>
      </c>
      <c r="D1455" s="12" t="s">
        <v>60</v>
      </c>
      <c r="E1455" s="12" t="s">
        <v>61</v>
      </c>
      <c r="F1455" s="12" t="s">
        <v>37</v>
      </c>
      <c r="G1455" s="12" t="s">
        <v>120</v>
      </c>
      <c r="H1455" s="15">
        <v>45262.0</v>
      </c>
      <c r="I1455" s="17">
        <v>40.0</v>
      </c>
      <c r="J1455" s="12" t="s">
        <v>40</v>
      </c>
      <c r="K1455" s="12" t="s">
        <v>42</v>
      </c>
      <c r="L1455" s="17">
        <v>1599.0</v>
      </c>
      <c r="M1455" s="17">
        <v>1.0</v>
      </c>
      <c r="N1455" s="17">
        <v>3.0</v>
      </c>
      <c r="O1455" s="17">
        <v>25.5</v>
      </c>
      <c r="P1455" s="17">
        <v>2.9</v>
      </c>
      <c r="Q1455" s="15">
        <v>45642.0</v>
      </c>
      <c r="R1455" s="12" t="s">
        <v>1978</v>
      </c>
      <c r="S1455" s="12" t="s">
        <v>217</v>
      </c>
      <c r="T1455" s="12" t="s">
        <v>75</v>
      </c>
      <c r="U1455" s="17">
        <f t="shared" si="1"/>
        <v>3</v>
      </c>
    </row>
    <row r="1456">
      <c r="A1456" s="12" t="s">
        <v>668</v>
      </c>
      <c r="B1456" s="12" t="s">
        <v>222</v>
      </c>
      <c r="C1456" s="12" t="s">
        <v>694</v>
      </c>
      <c r="D1456" s="12" t="s">
        <v>69</v>
      </c>
      <c r="E1456" s="12" t="s">
        <v>119</v>
      </c>
      <c r="F1456" s="12" t="s">
        <v>62</v>
      </c>
      <c r="G1456" s="12" t="s">
        <v>120</v>
      </c>
      <c r="H1456" s="15">
        <v>45123.0</v>
      </c>
      <c r="I1456" s="17">
        <v>31.0</v>
      </c>
      <c r="J1456" s="12" t="s">
        <v>40</v>
      </c>
      <c r="K1456" s="12" t="s">
        <v>42</v>
      </c>
      <c r="L1456" s="17">
        <v>840.0</v>
      </c>
      <c r="M1456" s="17">
        <v>2.0</v>
      </c>
      <c r="N1456" s="17">
        <v>0.0</v>
      </c>
      <c r="O1456" s="17">
        <v>27.3</v>
      </c>
      <c r="P1456" s="17">
        <v>3.6</v>
      </c>
      <c r="Q1456" s="15">
        <v>46072.0</v>
      </c>
      <c r="R1456" s="12"/>
      <c r="S1456" s="12" t="s">
        <v>55</v>
      </c>
      <c r="T1456" s="12" t="s">
        <v>104</v>
      </c>
      <c r="U1456" s="17">
        <f t="shared" si="1"/>
        <v>4</v>
      </c>
    </row>
    <row r="1457">
      <c r="A1457" s="12" t="s">
        <v>245</v>
      </c>
      <c r="B1457" s="12" t="s">
        <v>184</v>
      </c>
      <c r="C1457" s="17">
        <v>27.0</v>
      </c>
      <c r="D1457" s="12" t="s">
        <v>85</v>
      </c>
      <c r="E1457" s="12" t="s">
        <v>292</v>
      </c>
      <c r="F1457" s="12" t="s">
        <v>62</v>
      </c>
      <c r="G1457" s="12" t="s">
        <v>93</v>
      </c>
      <c r="H1457" s="15">
        <v>45030.0</v>
      </c>
      <c r="I1457" s="17">
        <v>2.0</v>
      </c>
      <c r="J1457" s="12" t="s">
        <v>53</v>
      </c>
      <c r="K1457" s="12" t="s">
        <v>42</v>
      </c>
      <c r="L1457" s="17">
        <v>802.0</v>
      </c>
      <c r="M1457" s="17">
        <v>2.0</v>
      </c>
      <c r="N1457" s="17">
        <v>1.0</v>
      </c>
      <c r="O1457" s="17">
        <v>20.1</v>
      </c>
      <c r="P1457" s="17">
        <v>4.7</v>
      </c>
      <c r="Q1457" s="15">
        <v>45108.0</v>
      </c>
      <c r="R1457" s="12"/>
      <c r="S1457" s="12" t="s">
        <v>55</v>
      </c>
      <c r="T1457" s="12" t="s">
        <v>47</v>
      </c>
      <c r="U1457" s="17">
        <f t="shared" si="1"/>
        <v>4</v>
      </c>
    </row>
    <row r="1458">
      <c r="A1458" s="12" t="s">
        <v>517</v>
      </c>
      <c r="B1458" s="12" t="s">
        <v>325</v>
      </c>
      <c r="C1458" s="17">
        <v>38.0</v>
      </c>
      <c r="D1458" s="12" t="s">
        <v>35</v>
      </c>
      <c r="E1458" s="12" t="s">
        <v>36</v>
      </c>
      <c r="F1458" s="12" t="s">
        <v>62</v>
      </c>
      <c r="G1458" s="12" t="s">
        <v>39</v>
      </c>
      <c r="H1458" s="15">
        <v>45241.0</v>
      </c>
      <c r="I1458" s="17">
        <v>23.0</v>
      </c>
      <c r="J1458" s="12" t="s">
        <v>40</v>
      </c>
      <c r="K1458" s="12" t="s">
        <v>81</v>
      </c>
      <c r="L1458" s="17">
        <v>547.0</v>
      </c>
      <c r="M1458" s="17">
        <v>2.0</v>
      </c>
      <c r="N1458" s="17">
        <v>0.0</v>
      </c>
      <c r="O1458" s="17">
        <v>27.8</v>
      </c>
      <c r="P1458" s="17">
        <v>4.2</v>
      </c>
      <c r="Q1458" s="15">
        <v>45393.0</v>
      </c>
      <c r="R1458" s="12"/>
      <c r="S1458" s="12" t="s">
        <v>55</v>
      </c>
      <c r="T1458" s="12" t="s">
        <v>104</v>
      </c>
      <c r="U1458" s="17">
        <f t="shared" si="1"/>
        <v>3</v>
      </c>
    </row>
    <row r="1459">
      <c r="A1459" s="12" t="s">
        <v>1979</v>
      </c>
      <c r="B1459" s="12" t="s">
        <v>106</v>
      </c>
      <c r="C1459" s="17">
        <v>24.0</v>
      </c>
      <c r="D1459" s="12" t="s">
        <v>85</v>
      </c>
      <c r="E1459" s="12" t="s">
        <v>87</v>
      </c>
      <c r="F1459" s="12" t="s">
        <v>79</v>
      </c>
      <c r="G1459" s="12" t="s">
        <v>120</v>
      </c>
      <c r="H1459" s="15">
        <v>45868.0</v>
      </c>
      <c r="I1459" s="17">
        <v>9.0</v>
      </c>
      <c r="J1459" s="12" t="s">
        <v>64</v>
      </c>
      <c r="K1459" s="12" t="s">
        <v>81</v>
      </c>
      <c r="L1459" s="17">
        <v>2765.0</v>
      </c>
      <c r="M1459" s="17">
        <v>2.0</v>
      </c>
      <c r="N1459" s="17">
        <v>1.0</v>
      </c>
      <c r="O1459" s="17">
        <v>41.3</v>
      </c>
      <c r="P1459" s="17">
        <v>4.8</v>
      </c>
      <c r="Q1459" s="15">
        <v>46006.0</v>
      </c>
      <c r="R1459" s="12"/>
      <c r="S1459" s="12" t="s">
        <v>55</v>
      </c>
      <c r="T1459" s="12" t="s">
        <v>47</v>
      </c>
      <c r="U1459" s="17">
        <f t="shared" si="1"/>
        <v>1</v>
      </c>
    </row>
    <row r="1460">
      <c r="A1460" s="12" t="s">
        <v>506</v>
      </c>
      <c r="B1460" s="12" t="s">
        <v>110</v>
      </c>
      <c r="C1460" s="17">
        <v>21.0</v>
      </c>
      <c r="D1460" s="12" t="s">
        <v>60</v>
      </c>
      <c r="E1460" s="12" t="s">
        <v>107</v>
      </c>
      <c r="F1460" s="12" t="s">
        <v>37</v>
      </c>
      <c r="G1460" s="12" t="s">
        <v>80</v>
      </c>
      <c r="H1460" s="15">
        <v>44786.0</v>
      </c>
      <c r="I1460" s="17">
        <v>38.0</v>
      </c>
      <c r="J1460" s="12" t="s">
        <v>53</v>
      </c>
      <c r="K1460" s="12" t="s">
        <v>65</v>
      </c>
      <c r="L1460" s="17">
        <v>1308.0</v>
      </c>
      <c r="M1460" s="17">
        <v>1.0</v>
      </c>
      <c r="N1460" s="17">
        <v>1.0</v>
      </c>
      <c r="O1460" s="17">
        <v>29.3</v>
      </c>
      <c r="P1460" s="17">
        <v>5.0</v>
      </c>
      <c r="Q1460" s="15">
        <v>45907.0</v>
      </c>
      <c r="R1460" s="12"/>
      <c r="S1460" s="12" t="s">
        <v>55</v>
      </c>
      <c r="T1460" s="12" t="s">
        <v>75</v>
      </c>
      <c r="U1460" s="17">
        <f t="shared" si="1"/>
        <v>4</v>
      </c>
    </row>
    <row r="1461">
      <c r="A1461" s="12" t="s">
        <v>1052</v>
      </c>
      <c r="B1461" s="12" t="s">
        <v>74</v>
      </c>
      <c r="C1461" s="17">
        <v>29.0</v>
      </c>
      <c r="D1461" s="12" t="s">
        <v>69</v>
      </c>
      <c r="E1461" s="12" t="s">
        <v>187</v>
      </c>
      <c r="F1461" s="12" t="s">
        <v>79</v>
      </c>
      <c r="G1461" s="12" t="s">
        <v>93</v>
      </c>
      <c r="H1461" s="15">
        <v>44910.0</v>
      </c>
      <c r="I1461" s="17">
        <v>38.0</v>
      </c>
      <c r="J1461" s="12" t="s">
        <v>53</v>
      </c>
      <c r="K1461" s="12" t="s">
        <v>65</v>
      </c>
      <c r="L1461" s="17">
        <v>2724.0</v>
      </c>
      <c r="M1461" s="17">
        <v>2.0</v>
      </c>
      <c r="N1461" s="17">
        <v>0.0</v>
      </c>
      <c r="O1461" s="17">
        <v>41.8</v>
      </c>
      <c r="P1461" s="17">
        <v>3.5</v>
      </c>
      <c r="Q1461" s="15">
        <v>45115.0</v>
      </c>
      <c r="R1461" s="12"/>
      <c r="S1461" s="12" t="s">
        <v>55</v>
      </c>
      <c r="T1461" s="12" t="s">
        <v>66</v>
      </c>
      <c r="U1461" s="17">
        <f t="shared" si="1"/>
        <v>2</v>
      </c>
    </row>
    <row r="1462">
      <c r="A1462" s="12" t="s">
        <v>1153</v>
      </c>
      <c r="B1462" s="12" t="s">
        <v>459</v>
      </c>
      <c r="C1462" s="17">
        <v>68.0</v>
      </c>
      <c r="D1462" s="12" t="s">
        <v>60</v>
      </c>
      <c r="E1462" s="12" t="s">
        <v>133</v>
      </c>
      <c r="F1462" s="12" t="s">
        <v>62</v>
      </c>
      <c r="G1462" s="12" t="s">
        <v>80</v>
      </c>
      <c r="H1462" s="15">
        <v>45245.0</v>
      </c>
      <c r="I1462" s="17">
        <v>41.0</v>
      </c>
      <c r="J1462" s="12" t="s">
        <v>53</v>
      </c>
      <c r="K1462" s="12" t="s">
        <v>81</v>
      </c>
      <c r="L1462" s="17">
        <v>682.0</v>
      </c>
      <c r="M1462" s="17">
        <v>0.0</v>
      </c>
      <c r="N1462" s="17">
        <v>1.0</v>
      </c>
      <c r="O1462" s="17">
        <v>16.6</v>
      </c>
      <c r="P1462" s="17">
        <v>4.3</v>
      </c>
      <c r="Q1462" s="15">
        <v>46341.0</v>
      </c>
      <c r="R1462" s="12"/>
      <c r="S1462" s="12" t="s">
        <v>55</v>
      </c>
      <c r="T1462" s="12" t="s">
        <v>75</v>
      </c>
      <c r="U1462" s="17">
        <f t="shared" si="1"/>
        <v>2</v>
      </c>
    </row>
    <row r="1463">
      <c r="A1463" s="12" t="s">
        <v>544</v>
      </c>
      <c r="B1463" s="12" t="s">
        <v>605</v>
      </c>
      <c r="C1463" s="17">
        <v>42.0</v>
      </c>
      <c r="D1463" s="12" t="s">
        <v>85</v>
      </c>
      <c r="E1463" s="12" t="s">
        <v>111</v>
      </c>
      <c r="F1463" s="12" t="s">
        <v>62</v>
      </c>
      <c r="G1463" s="12" t="s">
        <v>39</v>
      </c>
      <c r="H1463" s="15">
        <v>44598.0</v>
      </c>
      <c r="I1463" s="17">
        <v>48.0</v>
      </c>
      <c r="J1463" s="12" t="s">
        <v>53</v>
      </c>
      <c r="K1463" s="12" t="s">
        <v>42</v>
      </c>
      <c r="L1463" s="17">
        <v>702.0</v>
      </c>
      <c r="M1463" s="17">
        <v>0.0</v>
      </c>
      <c r="N1463" s="17">
        <v>0.0</v>
      </c>
      <c r="O1463" s="17">
        <v>33.5</v>
      </c>
      <c r="P1463" s="17">
        <v>3.8</v>
      </c>
      <c r="Q1463" s="15">
        <v>45956.0</v>
      </c>
      <c r="R1463" s="12"/>
      <c r="S1463" s="12" t="s">
        <v>55</v>
      </c>
      <c r="T1463" s="12" t="s">
        <v>72</v>
      </c>
      <c r="U1463" s="17">
        <f t="shared" si="1"/>
        <v>5</v>
      </c>
    </row>
    <row r="1464">
      <c r="A1464" s="12" t="s">
        <v>1980</v>
      </c>
      <c r="B1464" s="12" t="s">
        <v>145</v>
      </c>
      <c r="C1464" s="17">
        <v>41.0</v>
      </c>
      <c r="D1464" s="12" t="s">
        <v>60</v>
      </c>
      <c r="E1464" s="12" t="s">
        <v>61</v>
      </c>
      <c r="F1464" s="12" t="s">
        <v>37</v>
      </c>
      <c r="G1464" s="12" t="s">
        <v>120</v>
      </c>
      <c r="H1464" s="15">
        <v>44907.0</v>
      </c>
      <c r="I1464" s="17">
        <v>36.0</v>
      </c>
      <c r="J1464" s="12" t="s">
        <v>64</v>
      </c>
      <c r="K1464" s="12" t="s">
        <v>81</v>
      </c>
      <c r="L1464" s="17">
        <v>1357.0</v>
      </c>
      <c r="M1464" s="17">
        <v>1.0</v>
      </c>
      <c r="N1464" s="17">
        <v>0.0</v>
      </c>
      <c r="O1464" s="17">
        <v>24.5</v>
      </c>
      <c r="P1464" s="17">
        <v>4.6</v>
      </c>
      <c r="Q1464" s="15">
        <v>45134.0</v>
      </c>
      <c r="R1464" s="12"/>
      <c r="S1464" s="12" t="s">
        <v>55</v>
      </c>
      <c r="T1464" s="12" t="s">
        <v>75</v>
      </c>
      <c r="U1464" s="17">
        <f t="shared" si="1"/>
        <v>1</v>
      </c>
    </row>
    <row r="1465">
      <c r="A1465" s="12" t="s">
        <v>1981</v>
      </c>
      <c r="B1465" s="12" t="s">
        <v>160</v>
      </c>
      <c r="C1465" s="17">
        <v>36.0</v>
      </c>
      <c r="D1465" s="12" t="s">
        <v>60</v>
      </c>
      <c r="E1465" s="12" t="s">
        <v>133</v>
      </c>
      <c r="F1465" s="12" t="s">
        <v>62</v>
      </c>
      <c r="G1465" s="12" t="s">
        <v>120</v>
      </c>
      <c r="H1465" s="15">
        <v>44948.0</v>
      </c>
      <c r="I1465" s="17">
        <v>38.0</v>
      </c>
      <c r="J1465" s="12" t="s">
        <v>40</v>
      </c>
      <c r="K1465" s="12" t="s">
        <v>65</v>
      </c>
      <c r="L1465" s="17">
        <v>591.0</v>
      </c>
      <c r="M1465" s="17">
        <v>2.0</v>
      </c>
      <c r="N1465" s="17">
        <v>2.0</v>
      </c>
      <c r="O1465" s="17">
        <v>14.7</v>
      </c>
      <c r="P1465" s="17">
        <v>3.4</v>
      </c>
      <c r="Q1465" s="15">
        <v>45143.0</v>
      </c>
      <c r="R1465" s="12" t="s">
        <v>1982</v>
      </c>
      <c r="S1465" s="12" t="s">
        <v>45</v>
      </c>
      <c r="T1465" s="12" t="s">
        <v>66</v>
      </c>
      <c r="U1465" s="17">
        <f t="shared" si="1"/>
        <v>1</v>
      </c>
    </row>
    <row r="1466">
      <c r="A1466" s="12" t="s">
        <v>347</v>
      </c>
      <c r="B1466" s="12" t="s">
        <v>50</v>
      </c>
      <c r="C1466" s="17">
        <v>44.0</v>
      </c>
      <c r="D1466" s="12" t="s">
        <v>69</v>
      </c>
      <c r="E1466" s="12" t="s">
        <v>70</v>
      </c>
      <c r="F1466" s="12" t="s">
        <v>37</v>
      </c>
      <c r="G1466" s="12" t="s">
        <v>80</v>
      </c>
      <c r="H1466" s="15">
        <v>46000.0</v>
      </c>
      <c r="I1466" s="17">
        <v>42.0</v>
      </c>
      <c r="J1466" s="12" t="s">
        <v>40</v>
      </c>
      <c r="K1466" s="12" t="s">
        <v>65</v>
      </c>
      <c r="L1466" s="17">
        <v>1709.0</v>
      </c>
      <c r="M1466" s="17">
        <v>2.0</v>
      </c>
      <c r="N1466" s="17">
        <v>0.0</v>
      </c>
      <c r="O1466" s="17">
        <v>22.1</v>
      </c>
      <c r="P1466" s="17">
        <v>1.5</v>
      </c>
      <c r="Q1466" s="15">
        <v>46091.0</v>
      </c>
      <c r="R1466" s="12"/>
      <c r="S1466" s="12" t="s">
        <v>55</v>
      </c>
      <c r="T1466" s="12" t="s">
        <v>72</v>
      </c>
      <c r="U1466" s="17">
        <f t="shared" si="1"/>
        <v>5</v>
      </c>
    </row>
    <row r="1467">
      <c r="A1467" s="12" t="s">
        <v>1983</v>
      </c>
      <c r="B1467" s="12" t="s">
        <v>651</v>
      </c>
      <c r="C1467" s="17">
        <v>55.0</v>
      </c>
      <c r="D1467" s="12" t="s">
        <v>60</v>
      </c>
      <c r="E1467" s="12" t="s">
        <v>133</v>
      </c>
      <c r="F1467" s="12" t="s">
        <v>62</v>
      </c>
      <c r="G1467" s="12" t="s">
        <v>63</v>
      </c>
      <c r="H1467" s="15">
        <v>45539.0</v>
      </c>
      <c r="I1467" s="17">
        <v>19.0</v>
      </c>
      <c r="J1467" s="12" t="s">
        <v>40</v>
      </c>
      <c r="K1467" s="12" t="s">
        <v>42</v>
      </c>
      <c r="L1467" s="17">
        <v>508.0</v>
      </c>
      <c r="M1467" s="17">
        <v>2.0</v>
      </c>
      <c r="N1467" s="17">
        <v>0.0</v>
      </c>
      <c r="O1467" s="17">
        <v>8.9</v>
      </c>
      <c r="P1467" s="17">
        <v>4.2</v>
      </c>
      <c r="Q1467" s="15">
        <v>45625.0</v>
      </c>
      <c r="R1467" s="12"/>
      <c r="S1467" s="12" t="s">
        <v>55</v>
      </c>
      <c r="T1467" s="12" t="s">
        <v>72</v>
      </c>
      <c r="U1467" s="17">
        <f t="shared" si="1"/>
        <v>3</v>
      </c>
    </row>
    <row r="1468">
      <c r="A1468" s="12" t="s">
        <v>409</v>
      </c>
      <c r="B1468" s="12" t="s">
        <v>202</v>
      </c>
      <c r="C1468" s="17">
        <v>20.0</v>
      </c>
      <c r="D1468" s="12" t="s">
        <v>69</v>
      </c>
      <c r="E1468" s="12" t="s">
        <v>187</v>
      </c>
      <c r="F1468" s="12" t="s">
        <v>62</v>
      </c>
      <c r="G1468" s="12" t="s">
        <v>210</v>
      </c>
      <c r="H1468" s="15">
        <v>45511.0</v>
      </c>
      <c r="I1468" s="17">
        <v>6.0</v>
      </c>
      <c r="J1468" s="12" t="s">
        <v>64</v>
      </c>
      <c r="K1468" s="12" t="s">
        <v>42</v>
      </c>
      <c r="L1468" s="17">
        <v>802.0</v>
      </c>
      <c r="M1468" s="17">
        <v>2.0</v>
      </c>
      <c r="N1468" s="17">
        <v>0.0</v>
      </c>
      <c r="O1468" s="17">
        <v>37.7</v>
      </c>
      <c r="P1468" s="17">
        <v>3.6</v>
      </c>
      <c r="Q1468" s="15">
        <v>45522.0</v>
      </c>
      <c r="R1468" s="12"/>
      <c r="S1468" s="12" t="s">
        <v>55</v>
      </c>
      <c r="T1468" s="12" t="s">
        <v>75</v>
      </c>
      <c r="U1468" s="17">
        <f t="shared" si="1"/>
        <v>2</v>
      </c>
    </row>
    <row r="1469">
      <c r="A1469" s="12" t="s">
        <v>741</v>
      </c>
      <c r="B1469" s="12" t="s">
        <v>222</v>
      </c>
      <c r="C1469" s="17">
        <v>32.0</v>
      </c>
      <c r="D1469" s="12" t="s">
        <v>35</v>
      </c>
      <c r="E1469" s="12" t="s">
        <v>161</v>
      </c>
      <c r="F1469" s="12" t="s">
        <v>62</v>
      </c>
      <c r="G1469" s="12" t="s">
        <v>120</v>
      </c>
      <c r="H1469" s="15">
        <v>44789.0</v>
      </c>
      <c r="I1469" s="17">
        <v>44.0</v>
      </c>
      <c r="J1469" s="12" t="s">
        <v>64</v>
      </c>
      <c r="K1469" s="12" t="s">
        <v>81</v>
      </c>
      <c r="L1469" s="17">
        <v>527.0</v>
      </c>
      <c r="M1469" s="17">
        <v>4.0</v>
      </c>
      <c r="N1469" s="17">
        <v>0.0</v>
      </c>
      <c r="O1469" s="17">
        <v>22.4</v>
      </c>
      <c r="P1469" s="17">
        <v>3.3</v>
      </c>
      <c r="Q1469" s="15">
        <v>45691.0</v>
      </c>
      <c r="R1469" s="12" t="s">
        <v>1984</v>
      </c>
      <c r="S1469" s="12" t="s">
        <v>45</v>
      </c>
      <c r="T1469" s="12" t="s">
        <v>72</v>
      </c>
      <c r="U1469" s="17">
        <f t="shared" si="1"/>
        <v>3</v>
      </c>
    </row>
    <row r="1470">
      <c r="A1470" s="12" t="s">
        <v>797</v>
      </c>
      <c r="B1470" s="12" t="s">
        <v>215</v>
      </c>
      <c r="C1470" s="17">
        <v>32.0</v>
      </c>
      <c r="D1470" s="12" t="s">
        <v>35</v>
      </c>
      <c r="E1470" s="12" t="s">
        <v>161</v>
      </c>
      <c r="F1470" s="12" t="s">
        <v>62</v>
      </c>
      <c r="G1470" s="12" t="s">
        <v>39</v>
      </c>
      <c r="H1470" s="15">
        <v>44971.0</v>
      </c>
      <c r="I1470" s="17">
        <v>18.0</v>
      </c>
      <c r="J1470" s="12" t="s">
        <v>40</v>
      </c>
      <c r="K1470" s="12" t="s">
        <v>65</v>
      </c>
      <c r="L1470" s="17">
        <v>726.0</v>
      </c>
      <c r="M1470" s="17">
        <v>2.0</v>
      </c>
      <c r="N1470" s="17">
        <v>0.0</v>
      </c>
      <c r="O1470" s="17">
        <v>15.1</v>
      </c>
      <c r="P1470" s="17">
        <v>5.0</v>
      </c>
      <c r="Q1470" s="15">
        <v>45131.0</v>
      </c>
      <c r="R1470" s="12"/>
      <c r="S1470" s="12" t="s">
        <v>55</v>
      </c>
      <c r="T1470" s="12" t="s">
        <v>104</v>
      </c>
      <c r="U1470" s="17">
        <f t="shared" si="1"/>
        <v>5</v>
      </c>
    </row>
    <row r="1471">
      <c r="A1471" s="12" t="s">
        <v>706</v>
      </c>
      <c r="B1471" s="12" t="s">
        <v>398</v>
      </c>
      <c r="C1471" s="17">
        <v>66.0</v>
      </c>
      <c r="D1471" s="12" t="s">
        <v>60</v>
      </c>
      <c r="E1471" s="12" t="s">
        <v>107</v>
      </c>
      <c r="F1471" s="12" t="s">
        <v>37</v>
      </c>
      <c r="G1471" s="12" t="s">
        <v>120</v>
      </c>
      <c r="H1471" s="15">
        <v>45175.0</v>
      </c>
      <c r="I1471" s="17">
        <v>9.0</v>
      </c>
      <c r="J1471" s="12" t="s">
        <v>40</v>
      </c>
      <c r="K1471" s="12" t="s">
        <v>65</v>
      </c>
      <c r="L1471" s="17">
        <v>1100.0</v>
      </c>
      <c r="M1471" s="17">
        <v>2.0</v>
      </c>
      <c r="N1471" s="17">
        <v>0.0</v>
      </c>
      <c r="O1471" s="17">
        <v>28.4</v>
      </c>
      <c r="P1471" s="17">
        <v>3.5</v>
      </c>
      <c r="Q1471" s="15">
        <v>45363.0</v>
      </c>
      <c r="R1471" s="12" t="s">
        <v>71</v>
      </c>
      <c r="S1471" s="12" t="s">
        <v>45</v>
      </c>
      <c r="T1471" s="12" t="s">
        <v>47</v>
      </c>
      <c r="U1471" s="17">
        <f t="shared" si="1"/>
        <v>3</v>
      </c>
    </row>
    <row r="1472">
      <c r="A1472" s="12" t="s">
        <v>1985</v>
      </c>
      <c r="B1472" s="12" t="s">
        <v>232</v>
      </c>
      <c r="C1472" s="17">
        <v>30.0</v>
      </c>
      <c r="D1472" s="12" t="s">
        <v>85</v>
      </c>
      <c r="E1472" s="12" t="s">
        <v>87</v>
      </c>
      <c r="F1472" s="12" t="s">
        <v>37</v>
      </c>
      <c r="G1472" s="12" t="s">
        <v>120</v>
      </c>
      <c r="H1472" s="15">
        <v>45422.0</v>
      </c>
      <c r="I1472" s="17">
        <v>3.0</v>
      </c>
      <c r="J1472" s="12" t="s">
        <v>64</v>
      </c>
      <c r="K1472" s="12" t="s">
        <v>42</v>
      </c>
      <c r="L1472" s="17">
        <v>1212.0</v>
      </c>
      <c r="M1472" s="17">
        <v>3.0</v>
      </c>
      <c r="N1472" s="17">
        <v>1.0</v>
      </c>
      <c r="O1472" s="17">
        <v>24.8</v>
      </c>
      <c r="P1472" s="17">
        <v>3.8</v>
      </c>
      <c r="Q1472" s="15">
        <v>45464.0</v>
      </c>
      <c r="R1472" s="12"/>
      <c r="S1472" s="12" t="s">
        <v>55</v>
      </c>
      <c r="T1472" s="12" t="s">
        <v>72</v>
      </c>
      <c r="U1472" s="17">
        <f t="shared" si="1"/>
        <v>1</v>
      </c>
    </row>
    <row r="1473">
      <c r="A1473" s="12" t="s">
        <v>1986</v>
      </c>
      <c r="B1473" s="12" t="s">
        <v>163</v>
      </c>
      <c r="C1473" s="17">
        <v>30.0</v>
      </c>
      <c r="D1473" s="12" t="s">
        <v>35</v>
      </c>
      <c r="E1473" s="12" t="s">
        <v>140</v>
      </c>
      <c r="F1473" s="12" t="s">
        <v>62</v>
      </c>
      <c r="G1473" s="12" t="s">
        <v>210</v>
      </c>
      <c r="H1473" s="15">
        <v>44766.0</v>
      </c>
      <c r="I1473" s="17">
        <v>33.0</v>
      </c>
      <c r="J1473" s="12" t="s">
        <v>53</v>
      </c>
      <c r="K1473" s="12" t="s">
        <v>81</v>
      </c>
      <c r="L1473" s="17">
        <v>509.0</v>
      </c>
      <c r="M1473" s="17">
        <v>3.0</v>
      </c>
      <c r="N1473" s="17">
        <v>1.0</v>
      </c>
      <c r="O1473" s="17">
        <v>15.7</v>
      </c>
      <c r="P1473" s="17">
        <v>4.6</v>
      </c>
      <c r="Q1473" s="15">
        <v>45642.0</v>
      </c>
      <c r="R1473" s="12"/>
      <c r="S1473" s="12" t="s">
        <v>55</v>
      </c>
      <c r="T1473" s="12" t="s">
        <v>47</v>
      </c>
      <c r="U1473" s="17">
        <f t="shared" si="1"/>
        <v>1</v>
      </c>
    </row>
    <row r="1474">
      <c r="A1474" s="12" t="s">
        <v>1987</v>
      </c>
      <c r="B1474" s="12" t="s">
        <v>184</v>
      </c>
      <c r="C1474" s="17">
        <v>46.0</v>
      </c>
      <c r="D1474" s="12" t="s">
        <v>69</v>
      </c>
      <c r="E1474" s="12" t="s">
        <v>177</v>
      </c>
      <c r="F1474" s="12" t="s">
        <v>37</v>
      </c>
      <c r="G1474" s="12" t="s">
        <v>120</v>
      </c>
      <c r="H1474" s="15">
        <v>45192.0</v>
      </c>
      <c r="I1474" s="17">
        <v>18.0</v>
      </c>
      <c r="J1474" s="12" t="s">
        <v>53</v>
      </c>
      <c r="K1474" s="12" t="s">
        <v>42</v>
      </c>
      <c r="L1474" s="17">
        <v>1786.0</v>
      </c>
      <c r="M1474" s="17">
        <v>1.0</v>
      </c>
      <c r="N1474" s="17">
        <v>2.0</v>
      </c>
      <c r="O1474" s="17">
        <v>34.4</v>
      </c>
      <c r="P1474" s="17">
        <v>3.4</v>
      </c>
      <c r="Q1474" s="15">
        <v>45374.0</v>
      </c>
      <c r="R1474" s="12" t="s">
        <v>1988</v>
      </c>
      <c r="S1474" s="12" t="s">
        <v>45</v>
      </c>
      <c r="T1474" s="12" t="s">
        <v>66</v>
      </c>
      <c r="U1474" s="17">
        <f t="shared" si="1"/>
        <v>1</v>
      </c>
    </row>
    <row r="1475">
      <c r="A1475" s="12" t="s">
        <v>1989</v>
      </c>
      <c r="B1475" s="12" t="s">
        <v>50</v>
      </c>
      <c r="C1475" s="12"/>
      <c r="D1475" s="12" t="s">
        <v>60</v>
      </c>
      <c r="E1475" s="12" t="s">
        <v>133</v>
      </c>
      <c r="F1475" s="12" t="s">
        <v>37</v>
      </c>
      <c r="G1475" s="12" t="s">
        <v>63</v>
      </c>
      <c r="H1475" s="15">
        <v>44900.0</v>
      </c>
      <c r="I1475" s="17">
        <v>23.0</v>
      </c>
      <c r="J1475" s="12" t="s">
        <v>64</v>
      </c>
      <c r="K1475" s="12" t="s">
        <v>42</v>
      </c>
      <c r="L1475" s="17">
        <v>1547.0</v>
      </c>
      <c r="M1475" s="17">
        <v>2.0</v>
      </c>
      <c r="N1475" s="17">
        <v>2.0</v>
      </c>
      <c r="O1475" s="17">
        <v>32.5</v>
      </c>
      <c r="P1475" s="17">
        <v>6.0</v>
      </c>
      <c r="Q1475" s="15">
        <v>45140.0</v>
      </c>
      <c r="R1475" s="12" t="s">
        <v>1063</v>
      </c>
      <c r="S1475" s="12" t="s">
        <v>45</v>
      </c>
      <c r="T1475" s="12" t="s">
        <v>72</v>
      </c>
      <c r="U1475" s="17">
        <f t="shared" si="1"/>
        <v>1</v>
      </c>
    </row>
    <row r="1476">
      <c r="A1476" s="12" t="s">
        <v>1519</v>
      </c>
      <c r="B1476" s="12" t="s">
        <v>636</v>
      </c>
      <c r="C1476" s="17">
        <v>59.0</v>
      </c>
      <c r="D1476" s="12" t="s">
        <v>85</v>
      </c>
      <c r="E1476" s="12" t="s">
        <v>111</v>
      </c>
      <c r="F1476" s="12" t="s">
        <v>62</v>
      </c>
      <c r="G1476" s="12" t="s">
        <v>120</v>
      </c>
      <c r="H1476" s="15">
        <v>46008.0</v>
      </c>
      <c r="I1476" s="17">
        <v>18.0</v>
      </c>
      <c r="J1476" s="12" t="s">
        <v>53</v>
      </c>
      <c r="K1476" s="12" t="s">
        <v>65</v>
      </c>
      <c r="L1476" s="17">
        <v>505.0</v>
      </c>
      <c r="M1476" s="17">
        <v>3.0</v>
      </c>
      <c r="N1476" s="17">
        <v>0.0</v>
      </c>
      <c r="O1476" s="17">
        <v>36.4</v>
      </c>
      <c r="P1476" s="17">
        <v>2.4</v>
      </c>
      <c r="Q1476" s="15">
        <v>46365.0</v>
      </c>
      <c r="R1476" s="12"/>
      <c r="S1476" s="12" t="s">
        <v>55</v>
      </c>
      <c r="T1476" s="12" t="s">
        <v>72</v>
      </c>
      <c r="U1476" s="17">
        <f t="shared" si="1"/>
        <v>2</v>
      </c>
    </row>
    <row r="1477">
      <c r="A1477" s="12" t="s">
        <v>785</v>
      </c>
      <c r="B1477" s="12" t="s">
        <v>235</v>
      </c>
      <c r="C1477" s="17">
        <v>35.0</v>
      </c>
      <c r="D1477" s="12" t="s">
        <v>35</v>
      </c>
      <c r="E1477" s="12" t="s">
        <v>140</v>
      </c>
      <c r="F1477" s="12" t="s">
        <v>37</v>
      </c>
      <c r="G1477" s="12" t="s">
        <v>39</v>
      </c>
      <c r="H1477" s="15">
        <v>45219.0</v>
      </c>
      <c r="I1477" s="17">
        <v>38.0</v>
      </c>
      <c r="J1477" s="12" t="s">
        <v>64</v>
      </c>
      <c r="K1477" s="12" t="s">
        <v>65</v>
      </c>
      <c r="L1477" s="17">
        <v>1594.0</v>
      </c>
      <c r="M1477" s="17">
        <v>4.0</v>
      </c>
      <c r="N1477" s="17">
        <v>2.0</v>
      </c>
      <c r="O1477" s="17">
        <v>37.2</v>
      </c>
      <c r="P1477" s="17">
        <v>4.8</v>
      </c>
      <c r="Q1477" s="15">
        <v>45680.0</v>
      </c>
      <c r="R1477" s="12"/>
      <c r="S1477" s="12" t="s">
        <v>55</v>
      </c>
      <c r="T1477" s="12" t="s">
        <v>104</v>
      </c>
      <c r="U1477" s="17">
        <f t="shared" si="1"/>
        <v>2</v>
      </c>
    </row>
    <row r="1478">
      <c r="A1478" s="12" t="s">
        <v>1990</v>
      </c>
      <c r="B1478" s="12" t="s">
        <v>364</v>
      </c>
      <c r="C1478" s="17">
        <v>44.0</v>
      </c>
      <c r="D1478" s="12" t="s">
        <v>85</v>
      </c>
      <c r="E1478" s="12" t="s">
        <v>87</v>
      </c>
      <c r="F1478" s="12" t="s">
        <v>37</v>
      </c>
      <c r="G1478" s="12" t="s">
        <v>210</v>
      </c>
      <c r="H1478" s="15">
        <v>45016.0</v>
      </c>
      <c r="I1478" s="17">
        <v>30.0</v>
      </c>
      <c r="J1478" s="12" t="s">
        <v>64</v>
      </c>
      <c r="K1478" s="12" t="s">
        <v>65</v>
      </c>
      <c r="L1478" s="17">
        <v>1267.0</v>
      </c>
      <c r="M1478" s="17">
        <v>1.0</v>
      </c>
      <c r="N1478" s="17">
        <v>0.0</v>
      </c>
      <c r="O1478" s="17">
        <v>38.2</v>
      </c>
      <c r="P1478" s="17">
        <v>5.0</v>
      </c>
      <c r="Q1478" s="15">
        <v>45243.0</v>
      </c>
      <c r="R1478" s="12"/>
      <c r="S1478" s="12" t="s">
        <v>55</v>
      </c>
      <c r="T1478" s="12" t="s">
        <v>104</v>
      </c>
      <c r="U1478" s="17">
        <f t="shared" si="1"/>
        <v>1</v>
      </c>
    </row>
    <row r="1479">
      <c r="A1479" s="12" t="s">
        <v>1991</v>
      </c>
      <c r="B1479" s="12" t="s">
        <v>247</v>
      </c>
      <c r="C1479" s="17">
        <v>42.0</v>
      </c>
      <c r="D1479" s="12" t="s">
        <v>85</v>
      </c>
      <c r="E1479" s="12" t="s">
        <v>92</v>
      </c>
      <c r="F1479" s="12" t="s">
        <v>79</v>
      </c>
      <c r="G1479" s="12" t="s">
        <v>210</v>
      </c>
      <c r="H1479" s="15">
        <v>45410.0</v>
      </c>
      <c r="I1479" s="17">
        <v>30.0</v>
      </c>
      <c r="J1479" s="12" t="s">
        <v>64</v>
      </c>
      <c r="K1479" s="12" t="s">
        <v>65</v>
      </c>
      <c r="L1479" s="17">
        <v>2477.0</v>
      </c>
      <c r="M1479" s="17">
        <v>2.0</v>
      </c>
      <c r="N1479" s="17">
        <v>2.0</v>
      </c>
      <c r="O1479" s="17">
        <v>45.0</v>
      </c>
      <c r="P1479" s="17">
        <v>4.0</v>
      </c>
      <c r="Q1479" s="15">
        <v>45833.0</v>
      </c>
      <c r="R1479" s="12"/>
      <c r="S1479" s="12" t="s">
        <v>55</v>
      </c>
      <c r="T1479" s="12" t="s">
        <v>104</v>
      </c>
      <c r="U1479" s="17">
        <f t="shared" si="1"/>
        <v>1</v>
      </c>
    </row>
    <row r="1480">
      <c r="A1480" s="12" t="s">
        <v>1992</v>
      </c>
      <c r="B1480" s="12" t="s">
        <v>176</v>
      </c>
      <c r="C1480" s="17">
        <v>40.0</v>
      </c>
      <c r="D1480" s="12" t="s">
        <v>60</v>
      </c>
      <c r="E1480" s="12" t="s">
        <v>61</v>
      </c>
      <c r="F1480" s="12" t="s">
        <v>413</v>
      </c>
      <c r="G1480" s="12" t="s">
        <v>39</v>
      </c>
      <c r="H1480" s="15">
        <v>45489.0</v>
      </c>
      <c r="I1480" s="17">
        <v>31.0</v>
      </c>
      <c r="J1480" s="12" t="s">
        <v>40</v>
      </c>
      <c r="K1480" s="12" t="s">
        <v>81</v>
      </c>
      <c r="L1480" s="17">
        <v>3725.0</v>
      </c>
      <c r="M1480" s="17">
        <v>3.0</v>
      </c>
      <c r="N1480" s="17">
        <v>2.0</v>
      </c>
      <c r="O1480" s="17">
        <v>42.1</v>
      </c>
      <c r="P1480" s="17">
        <v>3.9</v>
      </c>
      <c r="Q1480" s="15">
        <v>45611.0</v>
      </c>
      <c r="R1480" s="12" t="s">
        <v>1993</v>
      </c>
      <c r="S1480" s="12" t="s">
        <v>45</v>
      </c>
      <c r="T1480" s="12" t="s">
        <v>75</v>
      </c>
      <c r="U1480" s="17">
        <f t="shared" si="1"/>
        <v>1</v>
      </c>
    </row>
    <row r="1481">
      <c r="A1481" s="12" t="s">
        <v>1994</v>
      </c>
      <c r="B1481" s="12" t="s">
        <v>316</v>
      </c>
      <c r="C1481" s="17">
        <v>36.0</v>
      </c>
      <c r="D1481" s="12" t="s">
        <v>85</v>
      </c>
      <c r="E1481" s="12" t="s">
        <v>292</v>
      </c>
      <c r="F1481" s="12" t="s">
        <v>62</v>
      </c>
      <c r="G1481" s="12" t="s">
        <v>39</v>
      </c>
      <c r="H1481" s="15">
        <v>45306.0</v>
      </c>
      <c r="I1481" s="17">
        <v>27.0</v>
      </c>
      <c r="J1481" s="12" t="s">
        <v>53</v>
      </c>
      <c r="K1481" s="12" t="s">
        <v>81</v>
      </c>
      <c r="L1481" s="17">
        <v>718.0</v>
      </c>
      <c r="M1481" s="17">
        <v>2.0</v>
      </c>
      <c r="N1481" s="17">
        <v>0.0</v>
      </c>
      <c r="O1481" s="17">
        <v>8.9</v>
      </c>
      <c r="P1481" s="17">
        <v>3.9</v>
      </c>
      <c r="Q1481" s="15">
        <v>45353.0</v>
      </c>
      <c r="R1481" s="12" t="s">
        <v>1995</v>
      </c>
      <c r="S1481" s="12" t="s">
        <v>45</v>
      </c>
      <c r="T1481" s="12" t="s">
        <v>66</v>
      </c>
      <c r="U1481" s="17">
        <f t="shared" si="1"/>
        <v>1</v>
      </c>
    </row>
    <row r="1482">
      <c r="A1482" s="12" t="s">
        <v>1072</v>
      </c>
      <c r="B1482" s="12" t="s">
        <v>145</v>
      </c>
      <c r="C1482" s="17">
        <v>30.0</v>
      </c>
      <c r="D1482" s="12" t="s">
        <v>69</v>
      </c>
      <c r="E1482" s="12" t="s">
        <v>70</v>
      </c>
      <c r="F1482" s="12" t="s">
        <v>62</v>
      </c>
      <c r="G1482" s="12" t="s">
        <v>52</v>
      </c>
      <c r="H1482" s="15">
        <v>45463.0</v>
      </c>
      <c r="I1482" s="17">
        <v>43.0</v>
      </c>
      <c r="J1482" s="12" t="s">
        <v>64</v>
      </c>
      <c r="K1482" s="12" t="s">
        <v>42</v>
      </c>
      <c r="L1482" s="17">
        <v>706.0</v>
      </c>
      <c r="M1482" s="17">
        <v>4.0</v>
      </c>
      <c r="N1482" s="17">
        <v>3.0</v>
      </c>
      <c r="O1482" s="17">
        <v>24.8</v>
      </c>
      <c r="P1482" s="17">
        <v>4.3</v>
      </c>
      <c r="Q1482" s="15">
        <v>45719.0</v>
      </c>
      <c r="R1482" s="12"/>
      <c r="S1482" s="12" t="s">
        <v>55</v>
      </c>
      <c r="T1482" s="12" t="s">
        <v>75</v>
      </c>
      <c r="U1482" s="17">
        <f t="shared" si="1"/>
        <v>3</v>
      </c>
    </row>
    <row r="1483">
      <c r="A1483" s="12" t="s">
        <v>1303</v>
      </c>
      <c r="B1483" s="12" t="s">
        <v>636</v>
      </c>
      <c r="C1483" s="17">
        <v>62.0</v>
      </c>
      <c r="D1483" s="12" t="s">
        <v>85</v>
      </c>
      <c r="E1483" s="12" t="s">
        <v>92</v>
      </c>
      <c r="F1483" s="12" t="s">
        <v>37</v>
      </c>
      <c r="G1483" s="12" t="s">
        <v>80</v>
      </c>
      <c r="H1483" s="15">
        <v>44595.0</v>
      </c>
      <c r="I1483" s="17">
        <v>33.0</v>
      </c>
      <c r="J1483" s="12" t="s">
        <v>64</v>
      </c>
      <c r="K1483" s="12" t="s">
        <v>42</v>
      </c>
      <c r="L1483" s="17">
        <v>1518.0</v>
      </c>
      <c r="M1483" s="17">
        <v>0.0</v>
      </c>
      <c r="N1483" s="17">
        <v>1.0</v>
      </c>
      <c r="O1483" s="17">
        <v>39.3</v>
      </c>
      <c r="P1483" s="17">
        <v>2.9</v>
      </c>
      <c r="Q1483" s="15">
        <v>44941.0</v>
      </c>
      <c r="R1483" s="12"/>
      <c r="S1483" s="12" t="s">
        <v>55</v>
      </c>
      <c r="T1483" s="12" t="s">
        <v>75</v>
      </c>
      <c r="U1483" s="17">
        <f t="shared" si="1"/>
        <v>3</v>
      </c>
    </row>
    <row r="1484">
      <c r="A1484" s="12" t="s">
        <v>1996</v>
      </c>
      <c r="B1484" s="12" t="s">
        <v>675</v>
      </c>
      <c r="C1484" s="17">
        <v>66.0</v>
      </c>
      <c r="D1484" s="12" t="s">
        <v>309</v>
      </c>
      <c r="E1484" s="12" t="s">
        <v>119</v>
      </c>
      <c r="F1484" s="12" t="s">
        <v>62</v>
      </c>
      <c r="G1484" s="12" t="s">
        <v>647</v>
      </c>
      <c r="H1484" s="15">
        <v>44908.0</v>
      </c>
      <c r="I1484" s="17">
        <v>45.0</v>
      </c>
      <c r="J1484" s="12" t="s">
        <v>53</v>
      </c>
      <c r="K1484" s="12" t="s">
        <v>81</v>
      </c>
      <c r="L1484" s="17">
        <v>815.0</v>
      </c>
      <c r="M1484" s="17">
        <v>5.0</v>
      </c>
      <c r="N1484" s="17">
        <v>2.0</v>
      </c>
      <c r="O1484" s="17">
        <v>21.0</v>
      </c>
      <c r="P1484" s="17">
        <v>2.9</v>
      </c>
      <c r="Q1484" s="15">
        <v>45904.0</v>
      </c>
      <c r="R1484" s="12"/>
      <c r="S1484" s="12" t="s">
        <v>55</v>
      </c>
      <c r="T1484" s="12" t="s">
        <v>72</v>
      </c>
      <c r="U1484" s="17">
        <f t="shared" si="1"/>
        <v>1</v>
      </c>
    </row>
    <row r="1485">
      <c r="A1485" s="12" t="s">
        <v>828</v>
      </c>
      <c r="B1485" s="12" t="s">
        <v>59</v>
      </c>
      <c r="C1485" s="12"/>
      <c r="D1485" s="12" t="s">
        <v>60</v>
      </c>
      <c r="E1485" s="12" t="s">
        <v>97</v>
      </c>
      <c r="F1485" s="12" t="s">
        <v>62</v>
      </c>
      <c r="G1485" s="12" t="s">
        <v>63</v>
      </c>
      <c r="H1485" s="15">
        <v>45984.0</v>
      </c>
      <c r="I1485" s="17">
        <v>30.0</v>
      </c>
      <c r="J1485" s="12" t="s">
        <v>64</v>
      </c>
      <c r="K1485" s="12" t="s">
        <v>65</v>
      </c>
      <c r="L1485" s="17">
        <v>830.0</v>
      </c>
      <c r="M1485" s="17">
        <v>0.0</v>
      </c>
      <c r="N1485" s="17">
        <v>0.0</v>
      </c>
      <c r="O1485" s="17">
        <v>20.2</v>
      </c>
      <c r="P1485" s="17">
        <v>4.0</v>
      </c>
      <c r="Q1485" s="15">
        <v>46777.0</v>
      </c>
      <c r="R1485" s="12"/>
      <c r="S1485" s="12" t="s">
        <v>55</v>
      </c>
      <c r="T1485" s="12" t="s">
        <v>104</v>
      </c>
      <c r="U1485" s="17">
        <f t="shared" si="1"/>
        <v>4</v>
      </c>
    </row>
    <row r="1486">
      <c r="A1486" s="12" t="s">
        <v>1559</v>
      </c>
      <c r="B1486" s="12" t="s">
        <v>459</v>
      </c>
      <c r="C1486" s="17">
        <v>68.0</v>
      </c>
      <c r="D1486" s="12" t="s">
        <v>85</v>
      </c>
      <c r="E1486" s="12" t="s">
        <v>111</v>
      </c>
      <c r="F1486" s="12" t="s">
        <v>62</v>
      </c>
      <c r="G1486" s="12" t="s">
        <v>63</v>
      </c>
      <c r="H1486" s="15">
        <v>44704.0</v>
      </c>
      <c r="I1486" s="17">
        <v>26.0</v>
      </c>
      <c r="J1486" s="12" t="s">
        <v>64</v>
      </c>
      <c r="K1486" s="12" t="s">
        <v>81</v>
      </c>
      <c r="L1486" s="17">
        <v>794.0</v>
      </c>
      <c r="M1486" s="17">
        <v>2.0</v>
      </c>
      <c r="N1486" s="17">
        <v>1.0</v>
      </c>
      <c r="O1486" s="17">
        <v>16.9</v>
      </c>
      <c r="P1486" s="17">
        <v>3.4</v>
      </c>
      <c r="Q1486" s="15">
        <v>44729.0</v>
      </c>
      <c r="R1486" s="12" t="s">
        <v>1828</v>
      </c>
      <c r="S1486" s="12" t="s">
        <v>45</v>
      </c>
      <c r="T1486" s="12" t="s">
        <v>104</v>
      </c>
      <c r="U1486" s="17">
        <f t="shared" si="1"/>
        <v>3</v>
      </c>
    </row>
    <row r="1487">
      <c r="A1487" s="12" t="s">
        <v>735</v>
      </c>
      <c r="B1487" s="12" t="s">
        <v>235</v>
      </c>
      <c r="C1487" s="17">
        <v>48.0</v>
      </c>
      <c r="D1487" s="12" t="s">
        <v>69</v>
      </c>
      <c r="E1487" s="12" t="s">
        <v>119</v>
      </c>
      <c r="F1487" s="12" t="s">
        <v>62</v>
      </c>
      <c r="G1487" s="12" t="s">
        <v>39</v>
      </c>
      <c r="H1487" s="15">
        <v>45419.0</v>
      </c>
      <c r="I1487" s="17">
        <v>45.0</v>
      </c>
      <c r="J1487" s="12" t="s">
        <v>64</v>
      </c>
      <c r="K1487" s="12" t="s">
        <v>42</v>
      </c>
      <c r="L1487" s="17">
        <v>892.0</v>
      </c>
      <c r="M1487" s="17">
        <v>2.0</v>
      </c>
      <c r="N1487" s="17">
        <v>0.0</v>
      </c>
      <c r="O1487" s="17">
        <v>17.5</v>
      </c>
      <c r="P1487" s="17">
        <v>3.6</v>
      </c>
      <c r="Q1487" s="15">
        <v>45906.0</v>
      </c>
      <c r="R1487" s="12"/>
      <c r="S1487" s="12" t="s">
        <v>217</v>
      </c>
      <c r="T1487" s="12" t="s">
        <v>66</v>
      </c>
      <c r="U1487" s="17">
        <f t="shared" si="1"/>
        <v>3</v>
      </c>
    </row>
    <row r="1488">
      <c r="A1488" s="12" t="s">
        <v>1997</v>
      </c>
      <c r="B1488" s="12" t="s">
        <v>215</v>
      </c>
      <c r="C1488" s="17">
        <v>62.0</v>
      </c>
      <c r="D1488" s="12" t="s">
        <v>60</v>
      </c>
      <c r="E1488" s="12" t="s">
        <v>107</v>
      </c>
      <c r="F1488" s="12" t="s">
        <v>62</v>
      </c>
      <c r="G1488" s="12" t="s">
        <v>80</v>
      </c>
      <c r="H1488" s="15">
        <v>45159.0</v>
      </c>
      <c r="I1488" s="17">
        <v>11.0</v>
      </c>
      <c r="J1488" s="12" t="s">
        <v>40</v>
      </c>
      <c r="K1488" s="12" t="s">
        <v>65</v>
      </c>
      <c r="L1488" s="17">
        <v>866.0</v>
      </c>
      <c r="M1488" s="17">
        <v>4.0</v>
      </c>
      <c r="N1488" s="17">
        <v>1.0</v>
      </c>
      <c r="O1488" s="17">
        <v>9.4</v>
      </c>
      <c r="P1488" s="17">
        <v>2.3</v>
      </c>
      <c r="Q1488" s="15">
        <v>45443.0</v>
      </c>
      <c r="R1488" s="12"/>
      <c r="S1488" s="12" t="s">
        <v>55</v>
      </c>
      <c r="T1488" s="12" t="s">
        <v>72</v>
      </c>
      <c r="U1488" s="17">
        <f t="shared" si="1"/>
        <v>2</v>
      </c>
    </row>
    <row r="1489">
      <c r="A1489" s="12" t="s">
        <v>1215</v>
      </c>
      <c r="B1489" s="12" t="s">
        <v>448</v>
      </c>
      <c r="C1489" s="17">
        <v>53.0</v>
      </c>
      <c r="D1489" s="12" t="s">
        <v>35</v>
      </c>
      <c r="E1489" s="12" t="s">
        <v>36</v>
      </c>
      <c r="F1489" s="12" t="s">
        <v>62</v>
      </c>
      <c r="G1489" s="12" t="s">
        <v>93</v>
      </c>
      <c r="H1489" s="15">
        <v>45720.0</v>
      </c>
      <c r="I1489" s="17">
        <v>40.0</v>
      </c>
      <c r="J1489" s="12" t="s">
        <v>53</v>
      </c>
      <c r="K1489" s="12" t="s">
        <v>42</v>
      </c>
      <c r="L1489" s="17">
        <v>729.0</v>
      </c>
      <c r="M1489" s="17">
        <v>2.0</v>
      </c>
      <c r="N1489" s="17">
        <v>3.0</v>
      </c>
      <c r="O1489" s="17">
        <v>17.2</v>
      </c>
      <c r="P1489" s="17">
        <v>3.5</v>
      </c>
      <c r="Q1489" s="15">
        <v>46097.0</v>
      </c>
      <c r="R1489" s="12" t="s">
        <v>1998</v>
      </c>
      <c r="S1489" s="12" t="s">
        <v>45</v>
      </c>
      <c r="T1489" s="12" t="s">
        <v>104</v>
      </c>
      <c r="U1489" s="17">
        <f t="shared" si="1"/>
        <v>2</v>
      </c>
    </row>
    <row r="1490">
      <c r="A1490" s="12" t="s">
        <v>1661</v>
      </c>
      <c r="B1490" s="12" t="s">
        <v>288</v>
      </c>
      <c r="C1490" s="17">
        <v>48.0</v>
      </c>
      <c r="D1490" s="12" t="s">
        <v>60</v>
      </c>
      <c r="E1490" s="12" t="s">
        <v>97</v>
      </c>
      <c r="F1490" s="12" t="s">
        <v>79</v>
      </c>
      <c r="G1490" s="12" t="s">
        <v>210</v>
      </c>
      <c r="H1490" s="15">
        <v>45037.0</v>
      </c>
      <c r="I1490" s="17">
        <v>36.0</v>
      </c>
      <c r="J1490" s="12" t="s">
        <v>64</v>
      </c>
      <c r="K1490" s="12" t="s">
        <v>81</v>
      </c>
      <c r="L1490" s="17">
        <v>2568.0</v>
      </c>
      <c r="M1490" s="17">
        <v>2.0</v>
      </c>
      <c r="N1490" s="17">
        <v>2.0</v>
      </c>
      <c r="O1490" s="17">
        <v>40.7</v>
      </c>
      <c r="P1490" s="17">
        <v>4.1</v>
      </c>
      <c r="Q1490" s="15">
        <v>45549.0</v>
      </c>
      <c r="R1490" s="12" t="s">
        <v>1999</v>
      </c>
      <c r="S1490" s="12" t="s">
        <v>45</v>
      </c>
      <c r="T1490" s="12" t="s">
        <v>104</v>
      </c>
      <c r="U1490" s="17">
        <f t="shared" si="1"/>
        <v>3</v>
      </c>
    </row>
    <row r="1491">
      <c r="A1491" s="12" t="s">
        <v>945</v>
      </c>
      <c r="B1491" s="12" t="s">
        <v>239</v>
      </c>
      <c r="C1491" s="17">
        <v>25.0</v>
      </c>
      <c r="D1491" s="12" t="s">
        <v>85</v>
      </c>
      <c r="E1491" s="12" t="s">
        <v>292</v>
      </c>
      <c r="F1491" s="12" t="s">
        <v>62</v>
      </c>
      <c r="G1491" s="12" t="s">
        <v>120</v>
      </c>
      <c r="H1491" s="15">
        <v>45874.0</v>
      </c>
      <c r="I1491" s="17">
        <v>18.0</v>
      </c>
      <c r="J1491" s="12" t="s">
        <v>53</v>
      </c>
      <c r="K1491" s="12" t="s">
        <v>81</v>
      </c>
      <c r="L1491" s="17">
        <v>846.0</v>
      </c>
      <c r="M1491" s="17">
        <v>1.0</v>
      </c>
      <c r="N1491" s="17">
        <v>1.0</v>
      </c>
      <c r="O1491" s="17">
        <v>28.0</v>
      </c>
      <c r="P1491" s="17">
        <v>4.9</v>
      </c>
      <c r="Q1491" s="15">
        <v>46424.0</v>
      </c>
      <c r="R1491" s="12"/>
      <c r="S1491" s="12" t="s">
        <v>55</v>
      </c>
      <c r="T1491" s="12" t="s">
        <v>72</v>
      </c>
      <c r="U1491" s="17">
        <f t="shared" si="1"/>
        <v>3</v>
      </c>
    </row>
    <row r="1492">
      <c r="A1492" s="12" t="s">
        <v>519</v>
      </c>
      <c r="B1492" s="12" t="s">
        <v>152</v>
      </c>
      <c r="C1492" s="17">
        <v>47.0</v>
      </c>
      <c r="D1492" s="12" t="s">
        <v>69</v>
      </c>
      <c r="E1492" s="12" t="s">
        <v>70</v>
      </c>
      <c r="F1492" s="12" t="s">
        <v>62</v>
      </c>
      <c r="G1492" s="12" t="s">
        <v>421</v>
      </c>
      <c r="H1492" s="15">
        <v>45481.0</v>
      </c>
      <c r="I1492" s="17">
        <v>3.0</v>
      </c>
      <c r="J1492" s="12" t="s">
        <v>40</v>
      </c>
      <c r="K1492" s="12" t="s">
        <v>42</v>
      </c>
      <c r="L1492" s="17">
        <v>526.0</v>
      </c>
      <c r="M1492" s="17">
        <v>2.0</v>
      </c>
      <c r="N1492" s="17">
        <v>1.0</v>
      </c>
      <c r="O1492" s="17">
        <v>31.0</v>
      </c>
      <c r="P1492" s="17">
        <v>3.9</v>
      </c>
      <c r="Q1492" s="15">
        <v>45543.0</v>
      </c>
      <c r="R1492" s="12"/>
      <c r="S1492" s="12" t="s">
        <v>55</v>
      </c>
      <c r="T1492" s="12" t="s">
        <v>104</v>
      </c>
      <c r="U1492" s="17">
        <f t="shared" si="1"/>
        <v>2</v>
      </c>
    </row>
    <row r="1493">
      <c r="A1493" s="12" t="s">
        <v>1208</v>
      </c>
      <c r="B1493" s="12" t="s">
        <v>184</v>
      </c>
      <c r="C1493" s="17">
        <v>67.0</v>
      </c>
      <c r="D1493" s="12" t="s">
        <v>35</v>
      </c>
      <c r="E1493" s="12" t="s">
        <v>36</v>
      </c>
      <c r="F1493" s="12" t="s">
        <v>37</v>
      </c>
      <c r="G1493" s="12" t="s">
        <v>120</v>
      </c>
      <c r="H1493" s="15">
        <v>44869.0</v>
      </c>
      <c r="I1493" s="17">
        <v>34.0</v>
      </c>
      <c r="J1493" s="12" t="s">
        <v>40</v>
      </c>
      <c r="K1493" s="12" t="s">
        <v>81</v>
      </c>
      <c r="L1493" s="17">
        <v>1562.0</v>
      </c>
      <c r="M1493" s="17">
        <v>3.0</v>
      </c>
      <c r="N1493" s="17">
        <v>0.0</v>
      </c>
      <c r="O1493" s="17">
        <v>25.3</v>
      </c>
      <c r="P1493" s="17">
        <v>4.7</v>
      </c>
      <c r="Q1493" s="15">
        <v>45485.0</v>
      </c>
      <c r="R1493" s="12"/>
      <c r="S1493" s="12" t="s">
        <v>55</v>
      </c>
      <c r="T1493" s="12" t="s">
        <v>104</v>
      </c>
      <c r="U1493" s="17">
        <f t="shared" si="1"/>
        <v>2</v>
      </c>
    </row>
    <row r="1494">
      <c r="A1494" s="12" t="s">
        <v>2000</v>
      </c>
      <c r="B1494" s="12" t="s">
        <v>179</v>
      </c>
      <c r="C1494" s="17">
        <v>46.0</v>
      </c>
      <c r="D1494" s="12" t="s">
        <v>69</v>
      </c>
      <c r="E1494" s="12" t="s">
        <v>177</v>
      </c>
      <c r="F1494" s="12" t="s">
        <v>79</v>
      </c>
      <c r="G1494" s="12" t="s">
        <v>39</v>
      </c>
      <c r="H1494" s="15">
        <v>45875.0</v>
      </c>
      <c r="I1494" s="17">
        <v>42.0</v>
      </c>
      <c r="J1494" s="12" t="s">
        <v>64</v>
      </c>
      <c r="K1494" s="12" t="s">
        <v>81</v>
      </c>
      <c r="L1494" s="17">
        <v>2153.0</v>
      </c>
      <c r="M1494" s="17">
        <v>1.0</v>
      </c>
      <c r="N1494" s="17">
        <v>5.0</v>
      </c>
      <c r="O1494" s="17">
        <v>43.2</v>
      </c>
      <c r="P1494" s="17">
        <v>5.0</v>
      </c>
      <c r="Q1494" s="15">
        <v>46743.0</v>
      </c>
      <c r="R1494" s="12"/>
      <c r="S1494" s="12" t="s">
        <v>55</v>
      </c>
      <c r="T1494" s="12" t="s">
        <v>104</v>
      </c>
      <c r="U1494" s="17">
        <f t="shared" si="1"/>
        <v>2</v>
      </c>
    </row>
    <row r="1495">
      <c r="A1495" s="12" t="s">
        <v>1555</v>
      </c>
      <c r="B1495" s="12" t="s">
        <v>470</v>
      </c>
      <c r="C1495" s="17">
        <v>58.0</v>
      </c>
      <c r="D1495" s="12" t="s">
        <v>85</v>
      </c>
      <c r="E1495" s="12" t="s">
        <v>292</v>
      </c>
      <c r="F1495" s="12" t="s">
        <v>62</v>
      </c>
      <c r="G1495" s="12" t="s">
        <v>120</v>
      </c>
      <c r="H1495" s="15">
        <v>45393.0</v>
      </c>
      <c r="I1495" s="17">
        <v>26.0</v>
      </c>
      <c r="J1495" s="12" t="s">
        <v>40</v>
      </c>
      <c r="K1495" s="12" t="s">
        <v>65</v>
      </c>
      <c r="L1495" s="17">
        <v>784.0</v>
      </c>
      <c r="M1495" s="17">
        <v>3.0</v>
      </c>
      <c r="N1495" s="17">
        <v>1.0</v>
      </c>
      <c r="O1495" s="17">
        <v>15.1</v>
      </c>
      <c r="P1495" s="17">
        <v>5.0</v>
      </c>
      <c r="Q1495" s="15">
        <v>45539.0</v>
      </c>
      <c r="R1495" s="12"/>
      <c r="S1495" s="12" t="s">
        <v>55</v>
      </c>
      <c r="T1495" s="12" t="s">
        <v>104</v>
      </c>
      <c r="U1495" s="17">
        <f t="shared" si="1"/>
        <v>2</v>
      </c>
    </row>
    <row r="1496">
      <c r="A1496" s="12" t="s">
        <v>672</v>
      </c>
      <c r="B1496" s="12" t="s">
        <v>712</v>
      </c>
      <c r="C1496" s="17">
        <v>52.0</v>
      </c>
      <c r="D1496" s="12" t="s">
        <v>69</v>
      </c>
      <c r="E1496" s="12" t="s">
        <v>119</v>
      </c>
      <c r="F1496" s="12" t="s">
        <v>62</v>
      </c>
      <c r="G1496" s="12" t="s">
        <v>210</v>
      </c>
      <c r="H1496" s="15">
        <v>45136.0</v>
      </c>
      <c r="I1496" s="17">
        <v>18.0</v>
      </c>
      <c r="J1496" s="12" t="s">
        <v>64</v>
      </c>
      <c r="K1496" s="12" t="s">
        <v>65</v>
      </c>
      <c r="L1496" s="17">
        <v>803.0</v>
      </c>
      <c r="M1496" s="17">
        <v>2.0</v>
      </c>
      <c r="N1496" s="17">
        <v>2.0</v>
      </c>
      <c r="O1496" s="17">
        <v>27.5</v>
      </c>
      <c r="P1496" s="17">
        <v>3.4</v>
      </c>
      <c r="Q1496" s="15">
        <v>45334.0</v>
      </c>
      <c r="R1496" s="12"/>
      <c r="S1496" s="12" t="s">
        <v>55</v>
      </c>
      <c r="T1496" s="12" t="s">
        <v>104</v>
      </c>
      <c r="U1496" s="17">
        <f t="shared" si="1"/>
        <v>2</v>
      </c>
    </row>
    <row r="1497">
      <c r="A1497" s="12" t="s">
        <v>1388</v>
      </c>
      <c r="B1497" s="12" t="s">
        <v>333</v>
      </c>
      <c r="C1497" s="17">
        <v>57.0</v>
      </c>
      <c r="D1497" s="12" t="s">
        <v>69</v>
      </c>
      <c r="E1497" s="12" t="s">
        <v>70</v>
      </c>
      <c r="F1497" s="12" t="s">
        <v>37</v>
      </c>
      <c r="G1497" s="12" t="s">
        <v>210</v>
      </c>
      <c r="H1497" s="15">
        <v>45917.0</v>
      </c>
      <c r="I1497" s="17">
        <v>43.0</v>
      </c>
      <c r="J1497" s="12" t="s">
        <v>40</v>
      </c>
      <c r="K1497" s="12" t="s">
        <v>81</v>
      </c>
      <c r="L1497" s="17">
        <v>1672.0</v>
      </c>
      <c r="M1497" s="17">
        <v>2.0</v>
      </c>
      <c r="N1497" s="17">
        <v>0.0</v>
      </c>
      <c r="O1497" s="17">
        <v>35.5</v>
      </c>
      <c r="P1497" s="17">
        <v>3.3</v>
      </c>
      <c r="Q1497" s="15">
        <v>46692.0</v>
      </c>
      <c r="R1497" s="12"/>
      <c r="S1497" s="12" t="s">
        <v>55</v>
      </c>
      <c r="T1497" s="12" t="s">
        <v>104</v>
      </c>
      <c r="U1497" s="17">
        <f t="shared" si="1"/>
        <v>3</v>
      </c>
    </row>
    <row r="1498">
      <c r="A1498" s="12" t="s">
        <v>2001</v>
      </c>
      <c r="B1498" s="12" t="s">
        <v>34</v>
      </c>
      <c r="C1498" s="17">
        <v>60.0</v>
      </c>
      <c r="D1498" s="12" t="s">
        <v>69</v>
      </c>
      <c r="E1498" s="12" t="s">
        <v>119</v>
      </c>
      <c r="F1498" s="12" t="s">
        <v>62</v>
      </c>
      <c r="G1498" s="12" t="s">
        <v>63</v>
      </c>
      <c r="H1498" s="15">
        <v>44936.0</v>
      </c>
      <c r="I1498" s="17">
        <v>36.0</v>
      </c>
      <c r="J1498" s="12" t="s">
        <v>53</v>
      </c>
      <c r="K1498" s="12" t="s">
        <v>42</v>
      </c>
      <c r="L1498" s="17">
        <v>790.0</v>
      </c>
      <c r="M1498" s="17">
        <v>0.0</v>
      </c>
      <c r="N1498" s="17">
        <v>5.0</v>
      </c>
      <c r="O1498" s="17">
        <v>17.4</v>
      </c>
      <c r="P1498" s="17">
        <v>2.4</v>
      </c>
      <c r="Q1498" s="15">
        <v>45066.0</v>
      </c>
      <c r="R1498" s="12" t="s">
        <v>2002</v>
      </c>
      <c r="S1498" s="12" t="s">
        <v>45</v>
      </c>
      <c r="T1498" s="12" t="s">
        <v>47</v>
      </c>
      <c r="U1498" s="17">
        <f t="shared" si="1"/>
        <v>1</v>
      </c>
    </row>
    <row r="1499">
      <c r="A1499" s="12" t="s">
        <v>2003</v>
      </c>
      <c r="B1499" s="12" t="s">
        <v>398</v>
      </c>
      <c r="C1499" s="17">
        <v>63.0</v>
      </c>
      <c r="D1499" s="12" t="s">
        <v>60</v>
      </c>
      <c r="E1499" s="12" t="s">
        <v>97</v>
      </c>
      <c r="F1499" s="12" t="s">
        <v>62</v>
      </c>
      <c r="G1499" s="12" t="s">
        <v>39</v>
      </c>
      <c r="H1499" s="15">
        <v>45974.0</v>
      </c>
      <c r="I1499" s="17">
        <v>20.0</v>
      </c>
      <c r="J1499" s="12" t="s">
        <v>64</v>
      </c>
      <c r="K1499" s="12" t="s">
        <v>65</v>
      </c>
      <c r="L1499" s="17">
        <v>680.0</v>
      </c>
      <c r="M1499" s="17">
        <v>1.0</v>
      </c>
      <c r="N1499" s="17">
        <v>3.0</v>
      </c>
      <c r="O1499" s="17">
        <v>20.5</v>
      </c>
      <c r="P1499" s="17">
        <v>3.8</v>
      </c>
      <c r="Q1499" s="15">
        <v>46419.0</v>
      </c>
      <c r="R1499" s="12"/>
      <c r="S1499" s="12" t="s">
        <v>55</v>
      </c>
      <c r="T1499" s="12" t="s">
        <v>72</v>
      </c>
      <c r="U1499" s="17">
        <f t="shared" si="1"/>
        <v>1</v>
      </c>
    </row>
    <row r="1500">
      <c r="A1500" s="12" t="s">
        <v>2004</v>
      </c>
      <c r="B1500" s="12" t="s">
        <v>229</v>
      </c>
      <c r="C1500" s="17">
        <v>50.0</v>
      </c>
      <c r="D1500" s="12" t="s">
        <v>60</v>
      </c>
      <c r="E1500" s="12" t="s">
        <v>61</v>
      </c>
      <c r="F1500" s="12" t="s">
        <v>79</v>
      </c>
      <c r="G1500" s="12" t="s">
        <v>93</v>
      </c>
      <c r="H1500" s="15">
        <v>45381.0</v>
      </c>
      <c r="I1500" s="17">
        <v>45.0</v>
      </c>
      <c r="J1500" s="12" t="s">
        <v>40</v>
      </c>
      <c r="K1500" s="12" t="s">
        <v>81</v>
      </c>
      <c r="L1500" s="17">
        <v>2299.0</v>
      </c>
      <c r="M1500" s="17">
        <v>2.0</v>
      </c>
      <c r="N1500" s="17">
        <v>0.0</v>
      </c>
      <c r="O1500" s="17">
        <v>40.1</v>
      </c>
      <c r="P1500" s="17">
        <v>3.1</v>
      </c>
      <c r="Q1500" s="15">
        <v>45634.0</v>
      </c>
      <c r="R1500" s="12"/>
      <c r="S1500" s="12" t="s">
        <v>55</v>
      </c>
      <c r="T1500" s="12" t="s">
        <v>72</v>
      </c>
      <c r="U1500" s="17">
        <f t="shared" si="1"/>
        <v>2</v>
      </c>
    </row>
    <row r="1501">
      <c r="A1501" s="12" t="s">
        <v>917</v>
      </c>
      <c r="B1501" s="12" t="s">
        <v>34</v>
      </c>
      <c r="C1501" s="17">
        <v>37.0</v>
      </c>
      <c r="D1501" s="12" t="s">
        <v>85</v>
      </c>
      <c r="E1501" s="12" t="s">
        <v>87</v>
      </c>
      <c r="F1501" s="12" t="s">
        <v>62</v>
      </c>
      <c r="G1501" s="12" t="s">
        <v>39</v>
      </c>
      <c r="H1501" s="15">
        <v>44822.0</v>
      </c>
      <c r="I1501" s="17">
        <v>15.0</v>
      </c>
      <c r="J1501" s="12" t="s">
        <v>64</v>
      </c>
      <c r="K1501" s="12" t="s">
        <v>42</v>
      </c>
      <c r="L1501" s="17">
        <v>694.0</v>
      </c>
      <c r="M1501" s="17">
        <v>0.0</v>
      </c>
      <c r="N1501" s="17">
        <v>0.0</v>
      </c>
      <c r="O1501" s="17">
        <v>22.1</v>
      </c>
      <c r="P1501" s="17">
        <v>2.6</v>
      </c>
      <c r="Q1501" s="15">
        <v>45069.0</v>
      </c>
      <c r="R1501" s="12"/>
      <c r="S1501" s="12" t="s">
        <v>55</v>
      </c>
      <c r="T1501" s="12" t="s">
        <v>47</v>
      </c>
      <c r="U1501" s="17">
        <f t="shared" si="1"/>
        <v>3</v>
      </c>
    </row>
    <row r="1502">
      <c r="A1502" s="12" t="s">
        <v>934</v>
      </c>
      <c r="B1502" s="12" t="s">
        <v>476</v>
      </c>
      <c r="C1502" s="17">
        <v>30.0</v>
      </c>
      <c r="D1502" s="12" t="s">
        <v>60</v>
      </c>
      <c r="E1502" s="12" t="s">
        <v>133</v>
      </c>
      <c r="F1502" s="12" t="s">
        <v>79</v>
      </c>
      <c r="G1502" s="12" t="s">
        <v>93</v>
      </c>
      <c r="H1502" s="15">
        <v>45927.0</v>
      </c>
      <c r="I1502" s="17">
        <v>12.0</v>
      </c>
      <c r="J1502" s="12" t="s">
        <v>40</v>
      </c>
      <c r="K1502" s="12" t="s">
        <v>65</v>
      </c>
      <c r="L1502" s="17">
        <v>2379.0</v>
      </c>
      <c r="M1502" s="17">
        <v>2.0</v>
      </c>
      <c r="N1502" s="17">
        <v>1.0</v>
      </c>
      <c r="O1502" s="17">
        <v>34.1</v>
      </c>
      <c r="P1502" s="17">
        <v>4.5</v>
      </c>
      <c r="Q1502" s="15">
        <v>46246.0</v>
      </c>
      <c r="R1502" s="12"/>
      <c r="S1502" s="12" t="s">
        <v>55</v>
      </c>
      <c r="T1502" s="12" t="s">
        <v>66</v>
      </c>
      <c r="U1502" s="17">
        <f t="shared" si="1"/>
        <v>3</v>
      </c>
    </row>
    <row r="1503">
      <c r="A1503" s="12" t="s">
        <v>466</v>
      </c>
      <c r="B1503" s="12" t="s">
        <v>633</v>
      </c>
      <c r="C1503" s="17">
        <v>58.0</v>
      </c>
      <c r="D1503" s="12" t="s">
        <v>267</v>
      </c>
      <c r="E1503" s="12" t="s">
        <v>70</v>
      </c>
      <c r="F1503" s="12" t="s">
        <v>947</v>
      </c>
      <c r="G1503" s="12" t="s">
        <v>120</v>
      </c>
      <c r="H1503" s="15">
        <v>44710.0</v>
      </c>
      <c r="I1503" s="17">
        <v>30.0</v>
      </c>
      <c r="J1503" s="12" t="s">
        <v>64</v>
      </c>
      <c r="K1503" s="12" t="s">
        <v>81</v>
      </c>
      <c r="L1503" s="17">
        <v>790.0</v>
      </c>
      <c r="M1503" s="17">
        <v>3.0</v>
      </c>
      <c r="N1503" s="17">
        <v>1.0</v>
      </c>
      <c r="O1503" s="17">
        <v>21.0</v>
      </c>
      <c r="P1503" s="17">
        <v>3.9</v>
      </c>
      <c r="Q1503" s="15">
        <v>44901.0</v>
      </c>
      <c r="R1503" s="12" t="s">
        <v>2005</v>
      </c>
      <c r="S1503" s="12" t="s">
        <v>45</v>
      </c>
      <c r="T1503" s="12" t="s">
        <v>47</v>
      </c>
      <c r="U1503" s="17">
        <f t="shared" si="1"/>
        <v>3</v>
      </c>
    </row>
    <row r="1504">
      <c r="A1504" s="12" t="s">
        <v>1058</v>
      </c>
      <c r="B1504" s="12" t="s">
        <v>605</v>
      </c>
      <c r="C1504" s="17">
        <v>42.0</v>
      </c>
      <c r="D1504" s="12" t="s">
        <v>300</v>
      </c>
      <c r="E1504" s="12" t="s">
        <v>187</v>
      </c>
      <c r="F1504" s="12" t="s">
        <v>62</v>
      </c>
      <c r="G1504" s="12" t="s">
        <v>80</v>
      </c>
      <c r="H1504" s="15">
        <v>45539.0</v>
      </c>
      <c r="I1504" s="17">
        <v>26.0</v>
      </c>
      <c r="J1504" s="12" t="s">
        <v>53</v>
      </c>
      <c r="K1504" s="12" t="s">
        <v>337</v>
      </c>
      <c r="L1504" s="17">
        <v>736.0</v>
      </c>
      <c r="M1504" s="17">
        <v>0.0</v>
      </c>
      <c r="N1504" s="17">
        <v>1.0</v>
      </c>
      <c r="O1504" s="17">
        <v>25.8</v>
      </c>
      <c r="P1504" s="17">
        <v>4.8</v>
      </c>
      <c r="Q1504" s="15">
        <v>46010.0</v>
      </c>
      <c r="R1504" s="12"/>
      <c r="S1504" s="12" t="s">
        <v>55</v>
      </c>
      <c r="T1504" s="12" t="s">
        <v>72</v>
      </c>
      <c r="U1504" s="17">
        <f t="shared" si="1"/>
        <v>3</v>
      </c>
    </row>
    <row r="1505">
      <c r="A1505" s="12" t="s">
        <v>265</v>
      </c>
      <c r="B1505" s="12" t="s">
        <v>395</v>
      </c>
      <c r="C1505" s="17">
        <v>67.0</v>
      </c>
      <c r="D1505" s="12" t="s">
        <v>69</v>
      </c>
      <c r="E1505" s="12" t="s">
        <v>177</v>
      </c>
      <c r="F1505" s="12" t="s">
        <v>37</v>
      </c>
      <c r="G1505" s="12" t="s">
        <v>63</v>
      </c>
      <c r="H1505" s="15">
        <v>45633.0</v>
      </c>
      <c r="I1505" s="17">
        <v>17.0</v>
      </c>
      <c r="J1505" s="12" t="s">
        <v>64</v>
      </c>
      <c r="K1505" s="12" t="s">
        <v>42</v>
      </c>
      <c r="L1505" s="17">
        <v>1096.0</v>
      </c>
      <c r="M1505" s="17">
        <v>2.0</v>
      </c>
      <c r="N1505" s="17">
        <v>1.0</v>
      </c>
      <c r="O1505" s="17">
        <v>43.0</v>
      </c>
      <c r="P1505" s="17">
        <v>3.0</v>
      </c>
      <c r="Q1505" s="15">
        <v>45847.0</v>
      </c>
      <c r="R1505" s="12" t="s">
        <v>2006</v>
      </c>
      <c r="S1505" s="12" t="s">
        <v>45</v>
      </c>
      <c r="T1505" s="12" t="s">
        <v>47</v>
      </c>
      <c r="U1505" s="17">
        <f t="shared" si="1"/>
        <v>2</v>
      </c>
    </row>
    <row r="1506">
      <c r="A1506" s="12" t="s">
        <v>327</v>
      </c>
      <c r="B1506" s="12" t="s">
        <v>288</v>
      </c>
      <c r="C1506" s="17">
        <v>38.0</v>
      </c>
      <c r="D1506" s="12" t="s">
        <v>85</v>
      </c>
      <c r="E1506" s="12" t="s">
        <v>292</v>
      </c>
      <c r="F1506" s="12" t="s">
        <v>62</v>
      </c>
      <c r="G1506" s="12" t="s">
        <v>63</v>
      </c>
      <c r="H1506" s="15">
        <v>45155.0</v>
      </c>
      <c r="I1506" s="17">
        <v>20.0</v>
      </c>
      <c r="J1506" s="12" t="s">
        <v>64</v>
      </c>
      <c r="K1506" s="12" t="s">
        <v>81</v>
      </c>
      <c r="L1506" s="17">
        <v>836.0</v>
      </c>
      <c r="M1506" s="17">
        <v>3.0</v>
      </c>
      <c r="N1506" s="17">
        <v>1.0</v>
      </c>
      <c r="O1506" s="17">
        <v>16.7</v>
      </c>
      <c r="P1506" s="17">
        <v>4.4</v>
      </c>
      <c r="Q1506" s="15">
        <v>45573.0</v>
      </c>
      <c r="R1506" s="12"/>
      <c r="S1506" s="12" t="s">
        <v>55</v>
      </c>
      <c r="T1506" s="12" t="s">
        <v>47</v>
      </c>
      <c r="U1506" s="17">
        <f t="shared" si="1"/>
        <v>3</v>
      </c>
    </row>
    <row r="1507">
      <c r="A1507" s="12" t="s">
        <v>2007</v>
      </c>
      <c r="B1507" s="12" t="s">
        <v>645</v>
      </c>
      <c r="C1507" s="17">
        <v>27.0</v>
      </c>
      <c r="D1507" s="12" t="s">
        <v>60</v>
      </c>
      <c r="E1507" s="12" t="s">
        <v>61</v>
      </c>
      <c r="F1507" s="12" t="s">
        <v>62</v>
      </c>
      <c r="G1507" s="12" t="s">
        <v>63</v>
      </c>
      <c r="H1507" s="15">
        <v>44596.0</v>
      </c>
      <c r="I1507" s="17">
        <v>14.0</v>
      </c>
      <c r="J1507" s="12" t="s">
        <v>40</v>
      </c>
      <c r="K1507" s="12" t="s">
        <v>81</v>
      </c>
      <c r="L1507" s="17">
        <v>793.0</v>
      </c>
      <c r="M1507" s="17">
        <v>1.0</v>
      </c>
      <c r="N1507" s="17">
        <v>1.0</v>
      </c>
      <c r="O1507" s="17">
        <v>10.9</v>
      </c>
      <c r="P1507" s="17">
        <v>3.9</v>
      </c>
      <c r="Q1507" s="15">
        <v>44683.0</v>
      </c>
      <c r="R1507" s="12"/>
      <c r="S1507" s="12" t="s">
        <v>55</v>
      </c>
      <c r="T1507" s="12" t="s">
        <v>66</v>
      </c>
      <c r="U1507" s="17">
        <f t="shared" si="1"/>
        <v>1</v>
      </c>
    </row>
    <row r="1508">
      <c r="A1508" s="12" t="s">
        <v>2008</v>
      </c>
      <c r="B1508" s="12" t="s">
        <v>68</v>
      </c>
      <c r="C1508" s="17">
        <v>22.0</v>
      </c>
      <c r="D1508" s="12" t="s">
        <v>85</v>
      </c>
      <c r="E1508" s="12" t="s">
        <v>92</v>
      </c>
      <c r="F1508" s="12" t="s">
        <v>37</v>
      </c>
      <c r="G1508" s="12" t="s">
        <v>120</v>
      </c>
      <c r="H1508" s="15">
        <v>45170.0</v>
      </c>
      <c r="I1508" s="17">
        <v>11.0</v>
      </c>
      <c r="J1508" s="12" t="s">
        <v>64</v>
      </c>
      <c r="K1508" s="12" t="s">
        <v>42</v>
      </c>
      <c r="L1508" s="17">
        <v>1713.0</v>
      </c>
      <c r="M1508" s="17">
        <v>1.0</v>
      </c>
      <c r="N1508" s="17">
        <v>1.0</v>
      </c>
      <c r="O1508" s="17">
        <v>27.2</v>
      </c>
      <c r="P1508" s="17">
        <v>4.6</v>
      </c>
      <c r="Q1508" s="15">
        <v>45331.0</v>
      </c>
      <c r="R1508" s="12" t="s">
        <v>2009</v>
      </c>
      <c r="S1508" s="12" t="s">
        <v>45</v>
      </c>
      <c r="T1508" s="12" t="s">
        <v>47</v>
      </c>
      <c r="U1508" s="17">
        <f t="shared" si="1"/>
        <v>1</v>
      </c>
    </row>
    <row r="1509">
      <c r="A1509" s="12" t="s">
        <v>537</v>
      </c>
      <c r="B1509" s="12" t="s">
        <v>476</v>
      </c>
      <c r="C1509" s="17">
        <v>27.0</v>
      </c>
      <c r="D1509" s="12" t="s">
        <v>69</v>
      </c>
      <c r="E1509" s="12" t="s">
        <v>70</v>
      </c>
      <c r="F1509" s="12" t="s">
        <v>37</v>
      </c>
      <c r="G1509" s="12" t="s">
        <v>120</v>
      </c>
      <c r="H1509" s="15">
        <v>45435.0</v>
      </c>
      <c r="I1509" s="17">
        <v>28.0</v>
      </c>
      <c r="J1509" s="12" t="s">
        <v>64</v>
      </c>
      <c r="K1509" s="12" t="s">
        <v>81</v>
      </c>
      <c r="L1509" s="17">
        <v>1636.0</v>
      </c>
      <c r="M1509" s="17">
        <v>2.0</v>
      </c>
      <c r="N1509" s="17">
        <v>0.0</v>
      </c>
      <c r="O1509" s="17">
        <v>17.7</v>
      </c>
      <c r="P1509" s="17">
        <v>3.4</v>
      </c>
      <c r="Q1509" s="15">
        <v>45712.0</v>
      </c>
      <c r="R1509" s="12"/>
      <c r="S1509" s="12" t="s">
        <v>55</v>
      </c>
      <c r="T1509" s="12" t="s">
        <v>104</v>
      </c>
      <c r="U1509" s="17">
        <f t="shared" si="1"/>
        <v>3</v>
      </c>
    </row>
    <row r="1510">
      <c r="A1510" s="12" t="s">
        <v>2010</v>
      </c>
      <c r="B1510" s="12" t="s">
        <v>734</v>
      </c>
      <c r="C1510" s="17">
        <v>45.0</v>
      </c>
      <c r="D1510" s="12" t="s">
        <v>60</v>
      </c>
      <c r="E1510" s="12" t="s">
        <v>133</v>
      </c>
      <c r="F1510" s="12" t="s">
        <v>37</v>
      </c>
      <c r="G1510" s="12" t="s">
        <v>63</v>
      </c>
      <c r="H1510" s="15">
        <v>44736.0</v>
      </c>
      <c r="I1510" s="17">
        <v>31.0</v>
      </c>
      <c r="J1510" s="12" t="s">
        <v>40</v>
      </c>
      <c r="K1510" s="12" t="s">
        <v>81</v>
      </c>
      <c r="L1510" s="17">
        <v>1642.0</v>
      </c>
      <c r="M1510" s="17">
        <v>5.0</v>
      </c>
      <c r="N1510" s="17">
        <v>1.0</v>
      </c>
      <c r="O1510" s="17">
        <v>29.4</v>
      </c>
      <c r="P1510" s="17">
        <v>4.7</v>
      </c>
      <c r="Q1510" s="15">
        <v>44748.0</v>
      </c>
      <c r="R1510" s="12"/>
      <c r="S1510" s="12" t="s">
        <v>55</v>
      </c>
      <c r="T1510" s="12" t="s">
        <v>75</v>
      </c>
      <c r="U1510" s="17">
        <f t="shared" si="1"/>
        <v>1</v>
      </c>
    </row>
    <row r="1511">
      <c r="A1511" s="12" t="s">
        <v>667</v>
      </c>
      <c r="B1511" s="12" t="s">
        <v>250</v>
      </c>
      <c r="C1511" s="17">
        <v>38.0</v>
      </c>
      <c r="D1511" s="12" t="s">
        <v>60</v>
      </c>
      <c r="E1511" s="12" t="s">
        <v>133</v>
      </c>
      <c r="F1511" s="12" t="s">
        <v>62</v>
      </c>
      <c r="G1511" s="12" t="s">
        <v>93</v>
      </c>
      <c r="H1511" s="15">
        <v>45896.0</v>
      </c>
      <c r="I1511" s="17">
        <v>47.0</v>
      </c>
      <c r="J1511" s="12" t="s">
        <v>53</v>
      </c>
      <c r="K1511" s="12" t="s">
        <v>65</v>
      </c>
      <c r="L1511" s="17">
        <v>893.0</v>
      </c>
      <c r="M1511" s="17">
        <v>2.0</v>
      </c>
      <c r="N1511" s="17">
        <v>3.0</v>
      </c>
      <c r="O1511" s="17">
        <v>10.4</v>
      </c>
      <c r="P1511" s="17">
        <v>2.9</v>
      </c>
      <c r="Q1511" s="15">
        <v>45919.0</v>
      </c>
      <c r="R1511" s="12"/>
      <c r="S1511" s="12" t="s">
        <v>55</v>
      </c>
      <c r="T1511" s="12" t="s">
        <v>104</v>
      </c>
      <c r="U1511" s="17">
        <f t="shared" si="1"/>
        <v>4</v>
      </c>
    </row>
    <row r="1512">
      <c r="A1512" s="12" t="s">
        <v>544</v>
      </c>
      <c r="B1512" s="12" t="s">
        <v>303</v>
      </c>
      <c r="C1512" s="17">
        <v>22.0</v>
      </c>
      <c r="D1512" s="12" t="s">
        <v>69</v>
      </c>
      <c r="E1512" s="12" t="s">
        <v>177</v>
      </c>
      <c r="F1512" s="12" t="s">
        <v>62</v>
      </c>
      <c r="G1512" s="12" t="s">
        <v>63</v>
      </c>
      <c r="H1512" s="15">
        <v>45906.0</v>
      </c>
      <c r="I1512" s="17">
        <v>13.0</v>
      </c>
      <c r="J1512" s="12" t="s">
        <v>53</v>
      </c>
      <c r="K1512" s="12" t="s">
        <v>805</v>
      </c>
      <c r="L1512" s="17">
        <v>815.0</v>
      </c>
      <c r="M1512" s="17">
        <v>1.0</v>
      </c>
      <c r="N1512" s="17">
        <v>1.0</v>
      </c>
      <c r="O1512" s="17">
        <v>17.1</v>
      </c>
      <c r="P1512" s="17">
        <v>3.9</v>
      </c>
      <c r="Q1512" s="15">
        <v>46123.0</v>
      </c>
      <c r="R1512" s="12"/>
      <c r="S1512" s="12" t="s">
        <v>55</v>
      </c>
      <c r="T1512" s="12" t="s">
        <v>75</v>
      </c>
      <c r="U1512" s="17">
        <f t="shared" si="1"/>
        <v>5</v>
      </c>
    </row>
    <row r="1513">
      <c r="A1513" s="12" t="s">
        <v>1919</v>
      </c>
      <c r="B1513" s="12" t="s">
        <v>96</v>
      </c>
      <c r="C1513" s="17">
        <v>28.0</v>
      </c>
      <c r="D1513" s="12" t="s">
        <v>69</v>
      </c>
      <c r="E1513" s="12" t="s">
        <v>70</v>
      </c>
      <c r="F1513" s="12" t="s">
        <v>37</v>
      </c>
      <c r="G1513" s="12" t="s">
        <v>210</v>
      </c>
      <c r="H1513" s="15">
        <v>44689.0</v>
      </c>
      <c r="I1513" s="17">
        <v>15.0</v>
      </c>
      <c r="J1513" s="12" t="s">
        <v>64</v>
      </c>
      <c r="K1513" s="12" t="s">
        <v>65</v>
      </c>
      <c r="L1513" s="17">
        <v>1588.0</v>
      </c>
      <c r="M1513" s="17">
        <v>3.0</v>
      </c>
      <c r="N1513" s="17">
        <v>0.0</v>
      </c>
      <c r="O1513" s="17">
        <v>24.6</v>
      </c>
      <c r="P1513" s="17">
        <v>3.0</v>
      </c>
      <c r="Q1513" s="15">
        <v>45038.0</v>
      </c>
      <c r="R1513" s="12"/>
      <c r="S1513" s="12" t="s">
        <v>55</v>
      </c>
      <c r="T1513" s="12" t="s">
        <v>66</v>
      </c>
      <c r="U1513" s="17">
        <f t="shared" si="1"/>
        <v>2</v>
      </c>
    </row>
    <row r="1514">
      <c r="A1514" s="12" t="s">
        <v>975</v>
      </c>
      <c r="B1514" s="12" t="s">
        <v>420</v>
      </c>
      <c r="C1514" s="17">
        <v>36.0</v>
      </c>
      <c r="D1514" s="12" t="s">
        <v>35</v>
      </c>
      <c r="E1514" s="12" t="s">
        <v>51</v>
      </c>
      <c r="F1514" s="12" t="s">
        <v>372</v>
      </c>
      <c r="G1514" s="12" t="s">
        <v>39</v>
      </c>
      <c r="H1514" s="15">
        <v>44992.0</v>
      </c>
      <c r="I1514" s="17">
        <v>30.0</v>
      </c>
      <c r="J1514" s="12" t="s">
        <v>53</v>
      </c>
      <c r="K1514" s="12" t="s">
        <v>65</v>
      </c>
      <c r="L1514" s="17">
        <v>1748.0</v>
      </c>
      <c r="M1514" s="17">
        <v>2.0</v>
      </c>
      <c r="N1514" s="17">
        <v>2.0</v>
      </c>
      <c r="O1514" s="17">
        <v>22.1</v>
      </c>
      <c r="P1514" s="17">
        <v>1.9</v>
      </c>
      <c r="Q1514" s="15">
        <v>45831.0</v>
      </c>
      <c r="R1514" s="12"/>
      <c r="S1514" s="12" t="s">
        <v>55</v>
      </c>
      <c r="T1514" s="12" t="s">
        <v>66</v>
      </c>
      <c r="U1514" s="17">
        <f t="shared" si="1"/>
        <v>3</v>
      </c>
    </row>
    <row r="1515">
      <c r="A1515" s="12" t="s">
        <v>2011</v>
      </c>
      <c r="B1515" s="12" t="s">
        <v>303</v>
      </c>
      <c r="C1515" s="17">
        <v>63.0</v>
      </c>
      <c r="D1515" s="12" t="s">
        <v>35</v>
      </c>
      <c r="E1515" s="12" t="s">
        <v>161</v>
      </c>
      <c r="F1515" s="12" t="s">
        <v>37</v>
      </c>
      <c r="G1515" s="12" t="s">
        <v>63</v>
      </c>
      <c r="H1515" s="15">
        <v>45471.0</v>
      </c>
      <c r="I1515" s="17">
        <v>48.0</v>
      </c>
      <c r="J1515" s="12" t="s">
        <v>53</v>
      </c>
      <c r="K1515" s="12" t="s">
        <v>65</v>
      </c>
      <c r="L1515" s="17">
        <v>1130.0</v>
      </c>
      <c r="M1515" s="17">
        <v>0.0</v>
      </c>
      <c r="N1515" s="17">
        <v>1.0</v>
      </c>
      <c r="O1515" s="17">
        <v>27.8</v>
      </c>
      <c r="P1515" s="17">
        <v>3.5</v>
      </c>
      <c r="Q1515" s="15">
        <v>45942.0</v>
      </c>
      <c r="R1515" s="12" t="s">
        <v>2012</v>
      </c>
      <c r="S1515" s="12" t="s">
        <v>45</v>
      </c>
      <c r="T1515" s="12" t="s">
        <v>72</v>
      </c>
      <c r="U1515" s="17">
        <f t="shared" si="1"/>
        <v>1</v>
      </c>
    </row>
    <row r="1516">
      <c r="A1516" s="12" t="s">
        <v>1131</v>
      </c>
      <c r="B1516" s="12" t="s">
        <v>405</v>
      </c>
      <c r="C1516" s="17">
        <v>24.0</v>
      </c>
      <c r="D1516" s="12" t="s">
        <v>35</v>
      </c>
      <c r="E1516" s="12" t="s">
        <v>140</v>
      </c>
      <c r="F1516" s="12" t="s">
        <v>37</v>
      </c>
      <c r="G1516" s="12" t="s">
        <v>52</v>
      </c>
      <c r="H1516" s="15">
        <v>45703.0</v>
      </c>
      <c r="I1516" s="17">
        <v>23.0</v>
      </c>
      <c r="J1516" s="12" t="s">
        <v>53</v>
      </c>
      <c r="K1516" s="12" t="s">
        <v>65</v>
      </c>
      <c r="L1516" s="17">
        <v>1243.0</v>
      </c>
      <c r="M1516" s="17">
        <v>1.0</v>
      </c>
      <c r="N1516" s="17">
        <v>0.0</v>
      </c>
      <c r="O1516" s="17">
        <v>17.2</v>
      </c>
      <c r="P1516" s="17">
        <v>3.4</v>
      </c>
      <c r="Q1516" s="15">
        <v>46386.0</v>
      </c>
      <c r="R1516" s="12"/>
      <c r="S1516" s="12" t="s">
        <v>55</v>
      </c>
      <c r="T1516" s="12" t="s">
        <v>75</v>
      </c>
      <c r="U1516" s="17">
        <f t="shared" si="1"/>
        <v>2</v>
      </c>
    </row>
    <row r="1517">
      <c r="A1517" s="12" t="s">
        <v>2013</v>
      </c>
      <c r="B1517" s="12" t="s">
        <v>342</v>
      </c>
      <c r="C1517" s="17">
        <v>47.0</v>
      </c>
      <c r="D1517" s="12" t="s">
        <v>60</v>
      </c>
      <c r="E1517" s="12" t="s">
        <v>61</v>
      </c>
      <c r="F1517" s="12" t="s">
        <v>37</v>
      </c>
      <c r="G1517" s="12" t="s">
        <v>63</v>
      </c>
      <c r="H1517" s="15">
        <v>45705.0</v>
      </c>
      <c r="I1517" s="17">
        <v>23.0</v>
      </c>
      <c r="J1517" s="12" t="s">
        <v>53</v>
      </c>
      <c r="K1517" s="12" t="s">
        <v>65</v>
      </c>
      <c r="L1517" s="17">
        <v>1353.0</v>
      </c>
      <c r="M1517" s="17">
        <v>0.0</v>
      </c>
      <c r="N1517" s="17">
        <v>0.0</v>
      </c>
      <c r="O1517" s="17">
        <v>31.5</v>
      </c>
      <c r="P1517" s="17">
        <v>3.0</v>
      </c>
      <c r="Q1517" s="15">
        <v>45795.0</v>
      </c>
      <c r="R1517" s="12"/>
      <c r="S1517" s="12" t="s">
        <v>55</v>
      </c>
      <c r="T1517" s="12" t="s">
        <v>66</v>
      </c>
      <c r="U1517" s="17">
        <f t="shared" si="1"/>
        <v>1</v>
      </c>
    </row>
    <row r="1518">
      <c r="A1518" s="12" t="s">
        <v>1707</v>
      </c>
      <c r="B1518" s="12" t="s">
        <v>470</v>
      </c>
      <c r="C1518" s="17">
        <v>19.0</v>
      </c>
      <c r="D1518" s="12" t="s">
        <v>60</v>
      </c>
      <c r="E1518" s="12" t="s">
        <v>97</v>
      </c>
      <c r="F1518" s="12" t="s">
        <v>37</v>
      </c>
      <c r="G1518" s="12" t="s">
        <v>63</v>
      </c>
      <c r="H1518" s="15">
        <v>45377.0</v>
      </c>
      <c r="I1518" s="17">
        <v>4.0</v>
      </c>
      <c r="J1518" s="12" t="s">
        <v>64</v>
      </c>
      <c r="K1518" s="12" t="s">
        <v>65</v>
      </c>
      <c r="L1518" s="17">
        <v>1001.0</v>
      </c>
      <c r="M1518" s="17">
        <v>5.0</v>
      </c>
      <c r="N1518" s="17">
        <v>2.0</v>
      </c>
      <c r="O1518" s="17">
        <v>2.9</v>
      </c>
      <c r="P1518" s="17">
        <v>4.4</v>
      </c>
      <c r="Q1518" s="15">
        <v>45459.0</v>
      </c>
      <c r="R1518" s="12"/>
      <c r="S1518" s="12" t="s">
        <v>55</v>
      </c>
      <c r="T1518" s="12" t="s">
        <v>72</v>
      </c>
      <c r="U1518" s="17">
        <f t="shared" si="1"/>
        <v>4</v>
      </c>
    </row>
    <row r="1519">
      <c r="A1519" s="12" t="s">
        <v>539</v>
      </c>
      <c r="B1519" s="12" t="s">
        <v>179</v>
      </c>
      <c r="C1519" s="17">
        <v>62.0</v>
      </c>
      <c r="D1519" s="12" t="s">
        <v>35</v>
      </c>
      <c r="E1519" s="12" t="s">
        <v>161</v>
      </c>
      <c r="F1519" s="12" t="s">
        <v>79</v>
      </c>
      <c r="G1519" s="12" t="s">
        <v>93</v>
      </c>
      <c r="H1519" s="15">
        <v>45071.0</v>
      </c>
      <c r="I1519" s="17">
        <v>39.0</v>
      </c>
      <c r="J1519" s="12" t="s">
        <v>40</v>
      </c>
      <c r="K1519" s="12" t="s">
        <v>81</v>
      </c>
      <c r="L1519" s="17">
        <v>2305.0</v>
      </c>
      <c r="M1519" s="17">
        <v>1.0</v>
      </c>
      <c r="N1519" s="17">
        <v>1.0</v>
      </c>
      <c r="O1519" s="17">
        <v>36.8</v>
      </c>
      <c r="P1519" s="17">
        <v>4.0</v>
      </c>
      <c r="Q1519" s="15">
        <v>45445.0</v>
      </c>
      <c r="R1519" s="12" t="s">
        <v>2014</v>
      </c>
      <c r="S1519" s="12" t="s">
        <v>45</v>
      </c>
      <c r="T1519" s="12" t="s">
        <v>75</v>
      </c>
      <c r="U1519" s="17">
        <f t="shared" si="1"/>
        <v>3</v>
      </c>
    </row>
    <row r="1520">
      <c r="A1520" s="12" t="s">
        <v>778</v>
      </c>
      <c r="B1520" s="12" t="s">
        <v>364</v>
      </c>
      <c r="C1520" s="17">
        <v>28.0</v>
      </c>
      <c r="D1520" s="12" t="s">
        <v>69</v>
      </c>
      <c r="E1520" s="12" t="s">
        <v>70</v>
      </c>
      <c r="F1520" s="12" t="s">
        <v>62</v>
      </c>
      <c r="G1520" s="12" t="s">
        <v>210</v>
      </c>
      <c r="H1520" s="15">
        <v>45676.0</v>
      </c>
      <c r="I1520" s="17">
        <v>36.0</v>
      </c>
      <c r="J1520" s="12" t="s">
        <v>53</v>
      </c>
      <c r="K1520" s="12" t="s">
        <v>65</v>
      </c>
      <c r="L1520" s="17">
        <v>641.0</v>
      </c>
      <c r="M1520" s="17">
        <v>2.0</v>
      </c>
      <c r="N1520" s="17">
        <v>1.0</v>
      </c>
      <c r="O1520" s="17">
        <v>16.4</v>
      </c>
      <c r="P1520" s="17">
        <v>3.9</v>
      </c>
      <c r="Q1520" s="15">
        <v>45729.0</v>
      </c>
      <c r="R1520" s="12"/>
      <c r="S1520" s="12" t="s">
        <v>55</v>
      </c>
      <c r="T1520" s="12" t="s">
        <v>47</v>
      </c>
      <c r="U1520" s="17">
        <f t="shared" si="1"/>
        <v>2</v>
      </c>
    </row>
    <row r="1521">
      <c r="A1521" s="12" t="s">
        <v>2015</v>
      </c>
      <c r="B1521" s="12" t="s">
        <v>636</v>
      </c>
      <c r="C1521" s="17">
        <v>65.0</v>
      </c>
      <c r="D1521" s="12" t="s">
        <v>60</v>
      </c>
      <c r="E1521" s="12" t="s">
        <v>61</v>
      </c>
      <c r="F1521" s="12" t="s">
        <v>79</v>
      </c>
      <c r="G1521" s="12" t="s">
        <v>120</v>
      </c>
      <c r="H1521" s="15">
        <v>45140.0</v>
      </c>
      <c r="I1521" s="17">
        <v>45.0</v>
      </c>
      <c r="J1521" s="12" t="s">
        <v>53</v>
      </c>
      <c r="K1521" s="12" t="s">
        <v>42</v>
      </c>
      <c r="L1521" s="17">
        <v>3774.0</v>
      </c>
      <c r="M1521" s="17">
        <v>2.0</v>
      </c>
      <c r="N1521" s="17">
        <v>1.0</v>
      </c>
      <c r="O1521" s="17">
        <v>40.3</v>
      </c>
      <c r="P1521" s="17">
        <v>3.5</v>
      </c>
      <c r="Q1521" s="15">
        <v>45567.0</v>
      </c>
      <c r="R1521" s="12"/>
      <c r="S1521" s="12" t="s">
        <v>55</v>
      </c>
      <c r="T1521" s="12" t="s">
        <v>47</v>
      </c>
      <c r="U1521" s="17">
        <f t="shared" si="1"/>
        <v>1</v>
      </c>
    </row>
    <row r="1522">
      <c r="A1522" s="12" t="s">
        <v>2016</v>
      </c>
      <c r="B1522" s="12" t="s">
        <v>364</v>
      </c>
      <c r="C1522" s="17">
        <v>51.0</v>
      </c>
      <c r="D1522" s="12" t="s">
        <v>69</v>
      </c>
      <c r="E1522" s="12" t="s">
        <v>119</v>
      </c>
      <c r="F1522" s="12" t="s">
        <v>62</v>
      </c>
      <c r="G1522" s="12" t="s">
        <v>93</v>
      </c>
      <c r="H1522" s="15">
        <v>44604.0</v>
      </c>
      <c r="I1522" s="17">
        <v>33.0</v>
      </c>
      <c r="J1522" s="12" t="s">
        <v>64</v>
      </c>
      <c r="K1522" s="12" t="s">
        <v>81</v>
      </c>
      <c r="L1522" s="17">
        <v>526.0</v>
      </c>
      <c r="M1522" s="17">
        <v>2.0</v>
      </c>
      <c r="N1522" s="17">
        <v>1.0</v>
      </c>
      <c r="O1522" s="17">
        <v>21.7</v>
      </c>
      <c r="P1522" s="17">
        <v>3.6</v>
      </c>
      <c r="Q1522" s="15">
        <v>45474.0</v>
      </c>
      <c r="R1522" s="12" t="s">
        <v>2017</v>
      </c>
      <c r="S1522" s="12" t="s">
        <v>45</v>
      </c>
      <c r="T1522" s="12" t="s">
        <v>66</v>
      </c>
      <c r="U1522" s="17">
        <f t="shared" si="1"/>
        <v>1</v>
      </c>
    </row>
    <row r="1523">
      <c r="A1523" s="12" t="s">
        <v>520</v>
      </c>
      <c r="B1523" s="12" t="s">
        <v>215</v>
      </c>
      <c r="C1523" s="17">
        <v>24.0</v>
      </c>
      <c r="D1523" s="12" t="s">
        <v>35</v>
      </c>
      <c r="E1523" s="12" t="s">
        <v>51</v>
      </c>
      <c r="F1523" s="12" t="s">
        <v>62</v>
      </c>
      <c r="G1523" s="12" t="s">
        <v>52</v>
      </c>
      <c r="H1523" s="15">
        <v>44802.0</v>
      </c>
      <c r="I1523" s="17">
        <v>39.0</v>
      </c>
      <c r="J1523" s="12" t="s">
        <v>40</v>
      </c>
      <c r="K1523" s="12" t="s">
        <v>81</v>
      </c>
      <c r="L1523" s="17">
        <v>546.0</v>
      </c>
      <c r="M1523" s="17">
        <v>0.0</v>
      </c>
      <c r="N1523" s="17">
        <v>0.0</v>
      </c>
      <c r="O1523" s="17">
        <v>28.3</v>
      </c>
      <c r="P1523" s="17">
        <v>4.1</v>
      </c>
      <c r="Q1523" s="15">
        <v>45389.0</v>
      </c>
      <c r="R1523" s="12"/>
      <c r="S1523" s="12" t="s">
        <v>55</v>
      </c>
      <c r="T1523" s="12" t="s">
        <v>47</v>
      </c>
      <c r="U1523" s="17">
        <f t="shared" si="1"/>
        <v>2</v>
      </c>
    </row>
    <row r="1524">
      <c r="A1524" s="12" t="s">
        <v>1500</v>
      </c>
      <c r="B1524" s="12" t="s">
        <v>459</v>
      </c>
      <c r="C1524" s="17">
        <v>61.0</v>
      </c>
      <c r="D1524" s="12" t="s">
        <v>85</v>
      </c>
      <c r="E1524" s="12" t="s">
        <v>292</v>
      </c>
      <c r="F1524" s="12" t="s">
        <v>62</v>
      </c>
      <c r="G1524" s="12" t="s">
        <v>880</v>
      </c>
      <c r="H1524" s="15">
        <v>45126.0</v>
      </c>
      <c r="I1524" s="17">
        <v>36.0</v>
      </c>
      <c r="J1524" s="12" t="s">
        <v>655</v>
      </c>
      <c r="K1524" s="12" t="s">
        <v>42</v>
      </c>
      <c r="L1524" s="17">
        <v>523.0</v>
      </c>
      <c r="M1524" s="17">
        <v>4.0</v>
      </c>
      <c r="N1524" s="17">
        <v>0.0</v>
      </c>
      <c r="O1524" s="17">
        <v>19.1</v>
      </c>
      <c r="P1524" s="17">
        <v>3.9</v>
      </c>
      <c r="Q1524" s="15">
        <v>45953.0</v>
      </c>
      <c r="R1524" s="12"/>
      <c r="S1524" s="12" t="s">
        <v>55</v>
      </c>
      <c r="T1524" s="12" t="s">
        <v>66</v>
      </c>
      <c r="U1524" s="17">
        <f t="shared" si="1"/>
        <v>2</v>
      </c>
    </row>
    <row r="1525">
      <c r="A1525" s="12" t="s">
        <v>2018</v>
      </c>
      <c r="B1525" s="12" t="s">
        <v>364</v>
      </c>
      <c r="C1525" s="17">
        <v>49.0</v>
      </c>
      <c r="D1525" s="12" t="s">
        <v>85</v>
      </c>
      <c r="E1525" s="12" t="s">
        <v>292</v>
      </c>
      <c r="F1525" s="12" t="s">
        <v>62</v>
      </c>
      <c r="G1525" s="12" t="s">
        <v>120</v>
      </c>
      <c r="H1525" s="15">
        <v>45962.0</v>
      </c>
      <c r="I1525" s="17">
        <v>44.0</v>
      </c>
      <c r="J1525" s="12" t="s">
        <v>53</v>
      </c>
      <c r="K1525" s="12" t="s">
        <v>454</v>
      </c>
      <c r="L1525" s="17">
        <v>574.0</v>
      </c>
      <c r="M1525" s="17">
        <v>4.0</v>
      </c>
      <c r="N1525" s="17">
        <v>1.0</v>
      </c>
      <c r="O1525" s="17">
        <v>13.5</v>
      </c>
      <c r="P1525" s="17">
        <v>5.0</v>
      </c>
      <c r="Q1525" s="15">
        <v>46434.0</v>
      </c>
      <c r="R1525" s="12" t="s">
        <v>2019</v>
      </c>
      <c r="S1525" s="12" t="s">
        <v>45</v>
      </c>
      <c r="T1525" s="12" t="s">
        <v>72</v>
      </c>
      <c r="U1525" s="17">
        <f t="shared" si="1"/>
        <v>2</v>
      </c>
    </row>
    <row r="1526">
      <c r="A1526" s="12" t="s">
        <v>1268</v>
      </c>
      <c r="B1526" s="12" t="s">
        <v>639</v>
      </c>
      <c r="C1526" s="17">
        <v>67.0</v>
      </c>
      <c r="D1526" s="12" t="s">
        <v>60</v>
      </c>
      <c r="E1526" s="12" t="s">
        <v>107</v>
      </c>
      <c r="F1526" s="12" t="s">
        <v>37</v>
      </c>
      <c r="G1526" s="12" t="s">
        <v>52</v>
      </c>
      <c r="H1526" s="15">
        <v>44678.0</v>
      </c>
      <c r="I1526" s="17">
        <v>35.0</v>
      </c>
      <c r="J1526" s="12" t="s">
        <v>40</v>
      </c>
      <c r="K1526" s="12" t="s">
        <v>65</v>
      </c>
      <c r="L1526" s="12" t="s">
        <v>2020</v>
      </c>
      <c r="M1526" s="17">
        <v>2.0</v>
      </c>
      <c r="N1526" s="17">
        <v>0.0</v>
      </c>
      <c r="O1526" s="17">
        <v>27.2</v>
      </c>
      <c r="P1526" s="17">
        <v>4.4</v>
      </c>
      <c r="Q1526" s="15">
        <v>45090.0</v>
      </c>
      <c r="R1526" s="12"/>
      <c r="S1526" s="12" t="s">
        <v>55</v>
      </c>
      <c r="T1526" s="12" t="s">
        <v>75</v>
      </c>
      <c r="U1526" s="17">
        <f t="shared" si="1"/>
        <v>2</v>
      </c>
    </row>
    <row r="1527">
      <c r="A1527" s="12" t="s">
        <v>1514</v>
      </c>
      <c r="B1527" s="12" t="s">
        <v>160</v>
      </c>
      <c r="C1527" s="17">
        <v>39.0</v>
      </c>
      <c r="D1527" s="12" t="s">
        <v>35</v>
      </c>
      <c r="E1527" s="12" t="s">
        <v>161</v>
      </c>
      <c r="F1527" s="12" t="s">
        <v>37</v>
      </c>
      <c r="G1527" s="12" t="s">
        <v>571</v>
      </c>
      <c r="H1527" s="15">
        <v>45119.0</v>
      </c>
      <c r="I1527" s="17">
        <v>27.0</v>
      </c>
      <c r="J1527" s="12" t="s">
        <v>64</v>
      </c>
      <c r="K1527" s="12" t="s">
        <v>81</v>
      </c>
      <c r="L1527" s="17">
        <v>1395.0</v>
      </c>
      <c r="M1527" s="17">
        <v>2.0</v>
      </c>
      <c r="N1527" s="17">
        <v>1.0</v>
      </c>
      <c r="O1527" s="17">
        <v>40.2</v>
      </c>
      <c r="P1527" s="17">
        <v>3.3</v>
      </c>
      <c r="Q1527" s="15">
        <v>45264.0</v>
      </c>
      <c r="R1527" s="12" t="s">
        <v>2021</v>
      </c>
      <c r="S1527" s="12" t="s">
        <v>45</v>
      </c>
      <c r="T1527" s="12" t="s">
        <v>75</v>
      </c>
      <c r="U1527" s="17">
        <f t="shared" si="1"/>
        <v>3</v>
      </c>
    </row>
    <row r="1528">
      <c r="A1528" s="12" t="s">
        <v>1940</v>
      </c>
      <c r="B1528" s="12" t="s">
        <v>645</v>
      </c>
      <c r="C1528" s="17">
        <v>19.0</v>
      </c>
      <c r="D1528" s="12" t="s">
        <v>60</v>
      </c>
      <c r="E1528" s="12" t="s">
        <v>97</v>
      </c>
      <c r="F1528" s="12" t="s">
        <v>79</v>
      </c>
      <c r="G1528" s="12" t="s">
        <v>39</v>
      </c>
      <c r="H1528" s="15">
        <v>45349.0</v>
      </c>
      <c r="I1528" s="17">
        <v>5.0</v>
      </c>
      <c r="J1528" s="12" t="s">
        <v>40</v>
      </c>
      <c r="K1528" s="12" t="s">
        <v>65</v>
      </c>
      <c r="L1528" s="17">
        <v>2264.0</v>
      </c>
      <c r="M1528" s="17">
        <v>1.0</v>
      </c>
      <c r="N1528" s="17">
        <v>2.0</v>
      </c>
      <c r="O1528" s="17">
        <v>37.0</v>
      </c>
      <c r="P1528" s="17">
        <v>3.7</v>
      </c>
      <c r="Q1528" s="15">
        <v>45454.0</v>
      </c>
      <c r="R1528" s="12" t="s">
        <v>2022</v>
      </c>
      <c r="S1528" s="12" t="s">
        <v>45</v>
      </c>
      <c r="T1528" s="12" t="s">
        <v>66</v>
      </c>
      <c r="U1528" s="17">
        <f t="shared" si="1"/>
        <v>2</v>
      </c>
    </row>
    <row r="1529">
      <c r="A1529" s="12" t="s">
        <v>2023</v>
      </c>
      <c r="B1529" s="12" t="s">
        <v>295</v>
      </c>
      <c r="C1529" s="17">
        <v>21.0</v>
      </c>
      <c r="D1529" s="12" t="s">
        <v>35</v>
      </c>
      <c r="E1529" s="12" t="s">
        <v>161</v>
      </c>
      <c r="F1529" s="12" t="s">
        <v>79</v>
      </c>
      <c r="G1529" s="12" t="s">
        <v>63</v>
      </c>
      <c r="H1529" s="15">
        <v>45367.0</v>
      </c>
      <c r="I1529" s="17">
        <v>16.0</v>
      </c>
      <c r="J1529" s="12" t="s">
        <v>40</v>
      </c>
      <c r="K1529" s="12" t="s">
        <v>81</v>
      </c>
      <c r="L1529" s="17">
        <v>2887.0</v>
      </c>
      <c r="M1529" s="17">
        <v>2.0</v>
      </c>
      <c r="N1529" s="17">
        <v>2.0</v>
      </c>
      <c r="O1529" s="17">
        <v>44.1</v>
      </c>
      <c r="P1529" s="17">
        <v>4.7</v>
      </c>
      <c r="Q1529" s="15">
        <v>45801.0</v>
      </c>
      <c r="R1529" s="12"/>
      <c r="S1529" s="12" t="s">
        <v>55</v>
      </c>
      <c r="T1529" s="12" t="s">
        <v>66</v>
      </c>
      <c r="U1529" s="17">
        <f t="shared" si="1"/>
        <v>1</v>
      </c>
    </row>
    <row r="1530">
      <c r="A1530" s="12" t="s">
        <v>2024</v>
      </c>
      <c r="B1530" s="12" t="s">
        <v>340</v>
      </c>
      <c r="C1530" s="17">
        <v>29.0</v>
      </c>
      <c r="D1530" s="12" t="s">
        <v>300</v>
      </c>
      <c r="E1530" s="12" t="s">
        <v>140</v>
      </c>
      <c r="F1530" s="12" t="s">
        <v>62</v>
      </c>
      <c r="G1530" s="12" t="s">
        <v>63</v>
      </c>
      <c r="H1530" s="15">
        <v>45839.0</v>
      </c>
      <c r="I1530" s="17">
        <v>35.0</v>
      </c>
      <c r="J1530" s="12" t="s">
        <v>40</v>
      </c>
      <c r="K1530" s="12" t="s">
        <v>81</v>
      </c>
      <c r="L1530" s="17">
        <v>504.0</v>
      </c>
      <c r="M1530" s="17">
        <v>1.0</v>
      </c>
      <c r="N1530" s="17">
        <v>1.0</v>
      </c>
      <c r="O1530" s="17">
        <v>20.4</v>
      </c>
      <c r="P1530" s="17">
        <v>4.7</v>
      </c>
      <c r="Q1530" s="15">
        <v>45938.0</v>
      </c>
      <c r="R1530" s="12"/>
      <c r="S1530" s="12" t="s">
        <v>55</v>
      </c>
      <c r="T1530" s="12" t="s">
        <v>47</v>
      </c>
      <c r="U1530" s="17">
        <f t="shared" si="1"/>
        <v>1</v>
      </c>
    </row>
    <row r="1531">
      <c r="A1531" s="12" t="s">
        <v>1293</v>
      </c>
      <c r="B1531" s="12" t="s">
        <v>229</v>
      </c>
      <c r="C1531" s="17">
        <v>63.0</v>
      </c>
      <c r="D1531" s="12" t="s">
        <v>35</v>
      </c>
      <c r="E1531" s="12" t="s">
        <v>51</v>
      </c>
      <c r="F1531" s="12" t="s">
        <v>62</v>
      </c>
      <c r="G1531" s="12" t="s">
        <v>63</v>
      </c>
      <c r="H1531" s="15">
        <v>45807.0</v>
      </c>
      <c r="I1531" s="17">
        <v>17.0</v>
      </c>
      <c r="J1531" s="12" t="s">
        <v>64</v>
      </c>
      <c r="K1531" s="12" t="s">
        <v>65</v>
      </c>
      <c r="L1531" s="17">
        <v>851.0</v>
      </c>
      <c r="M1531" s="17">
        <v>0.0</v>
      </c>
      <c r="N1531" s="17">
        <v>0.0</v>
      </c>
      <c r="O1531" s="17">
        <v>16.3</v>
      </c>
      <c r="P1531" s="17">
        <v>2.8</v>
      </c>
      <c r="Q1531" s="15">
        <v>46288.0</v>
      </c>
      <c r="R1531" s="12"/>
      <c r="S1531" s="12" t="s">
        <v>55</v>
      </c>
      <c r="T1531" s="12" t="s">
        <v>47</v>
      </c>
      <c r="U1531" s="17">
        <f t="shared" si="1"/>
        <v>4</v>
      </c>
    </row>
    <row r="1532">
      <c r="A1532" s="12" t="s">
        <v>105</v>
      </c>
      <c r="B1532" s="12" t="s">
        <v>241</v>
      </c>
      <c r="C1532" s="17">
        <v>61.0</v>
      </c>
      <c r="D1532" s="12" t="s">
        <v>69</v>
      </c>
      <c r="E1532" s="12" t="s">
        <v>119</v>
      </c>
      <c r="F1532" s="12" t="s">
        <v>62</v>
      </c>
      <c r="G1532" s="12" t="s">
        <v>80</v>
      </c>
      <c r="H1532" s="15">
        <v>45654.0</v>
      </c>
      <c r="I1532" s="17">
        <v>28.0</v>
      </c>
      <c r="J1532" s="12" t="s">
        <v>53</v>
      </c>
      <c r="K1532" s="12" t="s">
        <v>65</v>
      </c>
      <c r="L1532" s="17">
        <v>736.0</v>
      </c>
      <c r="M1532" s="17">
        <v>4.0</v>
      </c>
      <c r="N1532" s="17">
        <v>0.0</v>
      </c>
      <c r="O1532" s="17">
        <v>4.4</v>
      </c>
      <c r="P1532" s="17">
        <v>3.0</v>
      </c>
      <c r="Q1532" s="15">
        <v>46498.0</v>
      </c>
      <c r="R1532" s="12"/>
      <c r="S1532" s="12" t="s">
        <v>55</v>
      </c>
      <c r="T1532" s="12" t="s">
        <v>72</v>
      </c>
      <c r="U1532" s="17">
        <f t="shared" si="1"/>
        <v>3</v>
      </c>
    </row>
    <row r="1533">
      <c r="A1533" s="12" t="s">
        <v>2025</v>
      </c>
      <c r="B1533" s="12" t="s">
        <v>325</v>
      </c>
      <c r="C1533" s="17">
        <v>54.0</v>
      </c>
      <c r="D1533" s="12" t="s">
        <v>69</v>
      </c>
      <c r="E1533" s="12" t="s">
        <v>70</v>
      </c>
      <c r="F1533" s="12" t="s">
        <v>62</v>
      </c>
      <c r="G1533" s="12" t="s">
        <v>52</v>
      </c>
      <c r="H1533" s="15">
        <v>45702.0</v>
      </c>
      <c r="I1533" s="17">
        <v>39.0</v>
      </c>
      <c r="J1533" s="12" t="s">
        <v>40</v>
      </c>
      <c r="K1533" s="12" t="s">
        <v>81</v>
      </c>
      <c r="L1533" s="17">
        <v>645.0</v>
      </c>
      <c r="M1533" s="17">
        <v>2.0</v>
      </c>
      <c r="N1533" s="17">
        <v>1.0</v>
      </c>
      <c r="O1533" s="17">
        <v>18.4</v>
      </c>
      <c r="P1533" s="17">
        <v>4.3</v>
      </c>
      <c r="Q1533" s="15">
        <v>46764.0</v>
      </c>
      <c r="R1533" s="12"/>
      <c r="S1533" s="12" t="s">
        <v>55</v>
      </c>
      <c r="T1533" s="12" t="s">
        <v>66</v>
      </c>
      <c r="U1533" s="17">
        <f t="shared" si="1"/>
        <v>1</v>
      </c>
    </row>
    <row r="1534">
      <c r="A1534" s="12" t="s">
        <v>231</v>
      </c>
      <c r="B1534" s="12" t="s">
        <v>106</v>
      </c>
      <c r="C1534" s="17">
        <v>57.0</v>
      </c>
      <c r="D1534" s="12" t="s">
        <v>85</v>
      </c>
      <c r="E1534" s="12" t="s">
        <v>92</v>
      </c>
      <c r="F1534" s="12" t="s">
        <v>37</v>
      </c>
      <c r="G1534" s="12" t="s">
        <v>80</v>
      </c>
      <c r="H1534" s="15">
        <v>44994.0</v>
      </c>
      <c r="I1534" s="17">
        <v>19.0</v>
      </c>
      <c r="J1534" s="12" t="s">
        <v>64</v>
      </c>
      <c r="K1534" s="12" t="s">
        <v>65</v>
      </c>
      <c r="L1534" s="17">
        <v>1779.0</v>
      </c>
      <c r="M1534" s="17">
        <v>4.0</v>
      </c>
      <c r="N1534" s="17">
        <v>3.0</v>
      </c>
      <c r="O1534" s="17">
        <v>16.9</v>
      </c>
      <c r="P1534" s="17">
        <v>3.6</v>
      </c>
      <c r="Q1534" s="15">
        <v>45411.0</v>
      </c>
      <c r="R1534" s="12" t="s">
        <v>2026</v>
      </c>
      <c r="S1534" s="12" t="s">
        <v>45</v>
      </c>
      <c r="T1534" s="12" t="s">
        <v>47</v>
      </c>
      <c r="U1534" s="17">
        <f t="shared" si="1"/>
        <v>3</v>
      </c>
    </row>
    <row r="1535">
      <c r="A1535" s="12" t="s">
        <v>713</v>
      </c>
      <c r="B1535" s="12" t="s">
        <v>322</v>
      </c>
      <c r="C1535" s="17">
        <v>53.0</v>
      </c>
      <c r="D1535" s="12" t="s">
        <v>85</v>
      </c>
      <c r="E1535" s="12" t="s">
        <v>87</v>
      </c>
      <c r="F1535" s="12" t="s">
        <v>62</v>
      </c>
      <c r="G1535" s="12" t="s">
        <v>52</v>
      </c>
      <c r="H1535" s="15">
        <v>45396.0</v>
      </c>
      <c r="I1535" s="17">
        <v>25.0</v>
      </c>
      <c r="J1535" s="12" t="s">
        <v>53</v>
      </c>
      <c r="K1535" s="12" t="s">
        <v>42</v>
      </c>
      <c r="L1535" s="17">
        <v>708.0</v>
      </c>
      <c r="M1535" s="17">
        <v>1.0</v>
      </c>
      <c r="N1535" s="17">
        <v>2.0</v>
      </c>
      <c r="O1535" s="17">
        <v>21.2</v>
      </c>
      <c r="P1535" s="17">
        <v>2.1</v>
      </c>
      <c r="Q1535" s="15">
        <v>45836.0</v>
      </c>
      <c r="R1535" s="12"/>
      <c r="S1535" s="12" t="s">
        <v>55</v>
      </c>
      <c r="T1535" s="12" t="s">
        <v>75</v>
      </c>
      <c r="U1535" s="17">
        <f t="shared" si="1"/>
        <v>3</v>
      </c>
    </row>
    <row r="1536">
      <c r="A1536" s="12" t="s">
        <v>797</v>
      </c>
      <c r="B1536" s="12" t="s">
        <v>281</v>
      </c>
      <c r="C1536" s="17">
        <v>20.0</v>
      </c>
      <c r="D1536" s="12" t="s">
        <v>60</v>
      </c>
      <c r="E1536" s="12" t="s">
        <v>133</v>
      </c>
      <c r="F1536" s="12" t="s">
        <v>79</v>
      </c>
      <c r="G1536" s="12" t="s">
        <v>39</v>
      </c>
      <c r="H1536" s="15">
        <v>45425.0</v>
      </c>
      <c r="I1536" s="17">
        <v>26.0</v>
      </c>
      <c r="J1536" s="12" t="s">
        <v>40</v>
      </c>
      <c r="K1536" s="12" t="s">
        <v>65</v>
      </c>
      <c r="L1536" s="17">
        <v>3636.0</v>
      </c>
      <c r="M1536" s="17">
        <v>2.0</v>
      </c>
      <c r="N1536" s="17">
        <v>0.0</v>
      </c>
      <c r="O1536" s="17">
        <v>35.7</v>
      </c>
      <c r="P1536" s="17">
        <v>3.7</v>
      </c>
      <c r="Q1536" s="15">
        <v>45499.0</v>
      </c>
      <c r="R1536" s="12"/>
      <c r="S1536" s="12" t="s">
        <v>55</v>
      </c>
      <c r="T1536" s="12" t="s">
        <v>47</v>
      </c>
      <c r="U1536" s="17">
        <f t="shared" si="1"/>
        <v>5</v>
      </c>
    </row>
    <row r="1537">
      <c r="A1537" s="12" t="s">
        <v>687</v>
      </c>
      <c r="B1537" s="12" t="s">
        <v>229</v>
      </c>
      <c r="C1537" s="17">
        <v>55.0</v>
      </c>
      <c r="D1537" s="12" t="s">
        <v>35</v>
      </c>
      <c r="E1537" s="12" t="s">
        <v>36</v>
      </c>
      <c r="F1537" s="12" t="s">
        <v>62</v>
      </c>
      <c r="G1537" s="12" t="s">
        <v>52</v>
      </c>
      <c r="H1537" s="15">
        <v>45862.0</v>
      </c>
      <c r="I1537" s="17">
        <v>6.0</v>
      </c>
      <c r="J1537" s="12" t="s">
        <v>40</v>
      </c>
      <c r="K1537" s="12" t="s">
        <v>65</v>
      </c>
      <c r="L1537" s="17">
        <v>547.0</v>
      </c>
      <c r="M1537" s="17">
        <v>0.0</v>
      </c>
      <c r="N1537" s="17">
        <v>1.0</v>
      </c>
      <c r="O1537" s="17">
        <v>19.4</v>
      </c>
      <c r="P1537" s="17">
        <v>3.7</v>
      </c>
      <c r="Q1537" s="15">
        <v>45885.0</v>
      </c>
      <c r="R1537" s="12"/>
      <c r="S1537" s="12" t="s">
        <v>55</v>
      </c>
      <c r="T1537" s="12" t="s">
        <v>47</v>
      </c>
      <c r="U1537" s="17">
        <f t="shared" si="1"/>
        <v>2</v>
      </c>
    </row>
    <row r="1538">
      <c r="A1538" s="12" t="s">
        <v>162</v>
      </c>
      <c r="B1538" s="12" t="s">
        <v>184</v>
      </c>
      <c r="C1538" s="17">
        <v>32.0</v>
      </c>
      <c r="D1538" s="12" t="s">
        <v>60</v>
      </c>
      <c r="E1538" s="12" t="s">
        <v>107</v>
      </c>
      <c r="F1538" s="12" t="s">
        <v>62</v>
      </c>
      <c r="G1538" s="12" t="s">
        <v>39</v>
      </c>
      <c r="H1538" s="15">
        <v>45771.0</v>
      </c>
      <c r="I1538" s="17">
        <v>21.0</v>
      </c>
      <c r="J1538" s="12" t="s">
        <v>40</v>
      </c>
      <c r="K1538" s="12" t="s">
        <v>81</v>
      </c>
      <c r="L1538" s="17">
        <v>789.0</v>
      </c>
      <c r="M1538" s="17">
        <v>3.0</v>
      </c>
      <c r="N1538" s="17">
        <v>0.0</v>
      </c>
      <c r="O1538" s="17">
        <v>16.5</v>
      </c>
      <c r="P1538" s="17">
        <v>3.6</v>
      </c>
      <c r="Q1538" s="15">
        <v>46165.0</v>
      </c>
      <c r="R1538" s="12"/>
      <c r="S1538" s="12" t="s">
        <v>55</v>
      </c>
      <c r="T1538" s="12" t="s">
        <v>72</v>
      </c>
      <c r="U1538" s="17">
        <f t="shared" si="1"/>
        <v>2</v>
      </c>
    </row>
    <row r="1539">
      <c r="A1539" s="12" t="s">
        <v>862</v>
      </c>
      <c r="B1539" s="12" t="s">
        <v>393</v>
      </c>
      <c r="C1539" s="17">
        <v>66.0</v>
      </c>
      <c r="D1539" s="12" t="s">
        <v>85</v>
      </c>
      <c r="E1539" s="12" t="s">
        <v>292</v>
      </c>
      <c r="F1539" s="12" t="s">
        <v>62</v>
      </c>
      <c r="G1539" s="12" t="s">
        <v>120</v>
      </c>
      <c r="H1539" s="15">
        <v>44814.0</v>
      </c>
      <c r="I1539" s="17">
        <v>37.0</v>
      </c>
      <c r="J1539" s="12" t="s">
        <v>53</v>
      </c>
      <c r="K1539" s="12" t="s">
        <v>81</v>
      </c>
      <c r="L1539" s="17">
        <v>539.0</v>
      </c>
      <c r="M1539" s="17">
        <v>1.0</v>
      </c>
      <c r="N1539" s="17">
        <v>0.0</v>
      </c>
      <c r="O1539" s="17">
        <v>9.7</v>
      </c>
      <c r="P1539" s="17">
        <v>4.3</v>
      </c>
      <c r="Q1539" s="15">
        <v>45898.0</v>
      </c>
      <c r="R1539" s="12" t="s">
        <v>2027</v>
      </c>
      <c r="S1539" s="12" t="s">
        <v>45</v>
      </c>
      <c r="T1539" s="12" t="s">
        <v>75</v>
      </c>
      <c r="U1539" s="17">
        <f t="shared" si="1"/>
        <v>6</v>
      </c>
    </row>
    <row r="1540">
      <c r="A1540" s="12" t="s">
        <v>171</v>
      </c>
      <c r="B1540" s="12" t="s">
        <v>169</v>
      </c>
      <c r="C1540" s="17">
        <v>44.0</v>
      </c>
      <c r="D1540" s="12" t="s">
        <v>69</v>
      </c>
      <c r="E1540" s="12" t="s">
        <v>119</v>
      </c>
      <c r="F1540" s="12" t="s">
        <v>62</v>
      </c>
      <c r="G1540" s="12" t="s">
        <v>63</v>
      </c>
      <c r="H1540" s="15">
        <v>45696.0</v>
      </c>
      <c r="I1540" s="17">
        <v>16.0</v>
      </c>
      <c r="J1540" s="12" t="s">
        <v>64</v>
      </c>
      <c r="K1540" s="12" t="s">
        <v>42</v>
      </c>
      <c r="L1540" s="17">
        <v>664.0</v>
      </c>
      <c r="M1540" s="17">
        <v>3.0</v>
      </c>
      <c r="N1540" s="17">
        <v>1.0</v>
      </c>
      <c r="O1540" s="17">
        <v>10.8</v>
      </c>
      <c r="P1540" s="17">
        <v>4.2</v>
      </c>
      <c r="Q1540" s="15">
        <v>45959.0</v>
      </c>
      <c r="R1540" s="12"/>
      <c r="S1540" s="12" t="s">
        <v>55</v>
      </c>
      <c r="T1540" s="12" t="s">
        <v>72</v>
      </c>
      <c r="U1540" s="17">
        <f t="shared" si="1"/>
        <v>3</v>
      </c>
    </row>
    <row r="1541">
      <c r="A1541" s="12" t="s">
        <v>1568</v>
      </c>
      <c r="B1541" s="12" t="s">
        <v>651</v>
      </c>
      <c r="C1541" s="17">
        <v>55.0</v>
      </c>
      <c r="D1541" s="12" t="s">
        <v>85</v>
      </c>
      <c r="E1541" s="12" t="s">
        <v>292</v>
      </c>
      <c r="F1541" s="12" t="s">
        <v>37</v>
      </c>
      <c r="G1541" s="12" t="s">
        <v>39</v>
      </c>
      <c r="H1541" s="15">
        <v>45983.0</v>
      </c>
      <c r="I1541" s="17">
        <v>31.0</v>
      </c>
      <c r="J1541" s="12" t="s">
        <v>40</v>
      </c>
      <c r="K1541" s="12" t="s">
        <v>805</v>
      </c>
      <c r="L1541" s="17">
        <v>1089.0</v>
      </c>
      <c r="M1541" s="17">
        <v>1.0</v>
      </c>
      <c r="N1541" s="17">
        <v>0.0</v>
      </c>
      <c r="O1541" s="17">
        <v>44.4</v>
      </c>
      <c r="P1541" s="17">
        <v>5.0</v>
      </c>
      <c r="Q1541" s="15">
        <v>46264.0</v>
      </c>
      <c r="R1541" s="12" t="s">
        <v>2028</v>
      </c>
      <c r="S1541" s="12" t="s">
        <v>45</v>
      </c>
      <c r="T1541" s="12" t="s">
        <v>104</v>
      </c>
      <c r="U1541" s="17">
        <f t="shared" si="1"/>
        <v>2</v>
      </c>
    </row>
    <row r="1542">
      <c r="A1542" s="12" t="s">
        <v>2029</v>
      </c>
      <c r="B1542" s="12" t="s">
        <v>160</v>
      </c>
      <c r="C1542" s="17">
        <v>55.0</v>
      </c>
      <c r="D1542" s="12" t="s">
        <v>658</v>
      </c>
      <c r="E1542" s="12" t="s">
        <v>133</v>
      </c>
      <c r="F1542" s="12" t="s">
        <v>37</v>
      </c>
      <c r="G1542" s="12" t="s">
        <v>39</v>
      </c>
      <c r="H1542" s="15">
        <v>44950.0</v>
      </c>
      <c r="I1542" s="17">
        <v>10.0</v>
      </c>
      <c r="J1542" s="12" t="s">
        <v>53</v>
      </c>
      <c r="K1542" s="12" t="s">
        <v>65</v>
      </c>
      <c r="L1542" s="17">
        <v>1714.0</v>
      </c>
      <c r="M1542" s="17">
        <v>2.0</v>
      </c>
      <c r="N1542" s="17">
        <v>1.0</v>
      </c>
      <c r="O1542" s="17">
        <v>39.4</v>
      </c>
      <c r="P1542" s="17">
        <v>3.2</v>
      </c>
      <c r="Q1542" s="15">
        <v>45068.0</v>
      </c>
      <c r="R1542" s="12"/>
      <c r="S1542" s="12" t="s">
        <v>55</v>
      </c>
      <c r="T1542" s="12" t="s">
        <v>72</v>
      </c>
      <c r="U1542" s="17">
        <f t="shared" si="1"/>
        <v>1</v>
      </c>
    </row>
    <row r="1543">
      <c r="A1543" s="12" t="s">
        <v>138</v>
      </c>
      <c r="B1543" s="12" t="s">
        <v>322</v>
      </c>
      <c r="C1543" s="17">
        <v>29.0</v>
      </c>
      <c r="D1543" s="12" t="s">
        <v>69</v>
      </c>
      <c r="E1543" s="12" t="s">
        <v>187</v>
      </c>
      <c r="F1543" s="12" t="s">
        <v>62</v>
      </c>
      <c r="G1543" s="12" t="s">
        <v>93</v>
      </c>
      <c r="H1543" s="15">
        <v>44897.0</v>
      </c>
      <c r="I1543" s="17">
        <v>26.0</v>
      </c>
      <c r="J1543" s="12" t="s">
        <v>53</v>
      </c>
      <c r="K1543" s="12" t="s">
        <v>65</v>
      </c>
      <c r="L1543" s="17">
        <v>734.0</v>
      </c>
      <c r="M1543" s="17">
        <v>0.0</v>
      </c>
      <c r="N1543" s="17">
        <v>1.0</v>
      </c>
      <c r="O1543" s="17">
        <v>34.3</v>
      </c>
      <c r="P1543" s="17">
        <v>5.0</v>
      </c>
      <c r="Q1543" s="15">
        <v>45514.0</v>
      </c>
      <c r="R1543" s="12" t="s">
        <v>2030</v>
      </c>
      <c r="S1543" s="12" t="s">
        <v>45</v>
      </c>
      <c r="T1543" s="12" t="s">
        <v>47</v>
      </c>
      <c r="U1543" s="17">
        <f t="shared" si="1"/>
        <v>2</v>
      </c>
    </row>
    <row r="1544">
      <c r="A1544" s="12" t="s">
        <v>2031</v>
      </c>
      <c r="B1544" s="12" t="s">
        <v>651</v>
      </c>
      <c r="C1544" s="17">
        <v>35.0</v>
      </c>
      <c r="D1544" s="12" t="s">
        <v>69</v>
      </c>
      <c r="E1544" s="12" t="s">
        <v>187</v>
      </c>
      <c r="F1544" s="12" t="s">
        <v>37</v>
      </c>
      <c r="G1544" s="12" t="s">
        <v>93</v>
      </c>
      <c r="H1544" s="15">
        <v>45254.0</v>
      </c>
      <c r="I1544" s="17">
        <v>42.0</v>
      </c>
      <c r="J1544" s="12" t="s">
        <v>64</v>
      </c>
      <c r="K1544" s="12" t="s">
        <v>42</v>
      </c>
      <c r="L1544" s="17">
        <v>1243.0</v>
      </c>
      <c r="M1544" s="17">
        <v>4.0</v>
      </c>
      <c r="N1544" s="17">
        <v>0.0</v>
      </c>
      <c r="O1544" s="17">
        <v>30.7</v>
      </c>
      <c r="P1544" s="17">
        <v>4.4</v>
      </c>
      <c r="Q1544" s="15">
        <v>45637.0</v>
      </c>
      <c r="R1544" s="12"/>
      <c r="S1544" s="12" t="s">
        <v>55</v>
      </c>
      <c r="T1544" s="12" t="s">
        <v>104</v>
      </c>
      <c r="U1544" s="17">
        <f t="shared" si="1"/>
        <v>2</v>
      </c>
    </row>
    <row r="1545">
      <c r="A1545" s="12" t="s">
        <v>1997</v>
      </c>
      <c r="B1545" s="12" t="s">
        <v>605</v>
      </c>
      <c r="C1545" s="17">
        <v>57.0</v>
      </c>
      <c r="D1545" s="12" t="s">
        <v>69</v>
      </c>
      <c r="E1545" s="12" t="s">
        <v>187</v>
      </c>
      <c r="F1545" s="12" t="s">
        <v>37</v>
      </c>
      <c r="G1545" s="12" t="s">
        <v>39</v>
      </c>
      <c r="H1545" s="15">
        <v>45619.0</v>
      </c>
      <c r="I1545" s="17">
        <v>18.0</v>
      </c>
      <c r="J1545" s="12" t="s">
        <v>40</v>
      </c>
      <c r="K1545" s="12" t="s">
        <v>81</v>
      </c>
      <c r="L1545" s="17">
        <v>1303.0</v>
      </c>
      <c r="M1545" s="17">
        <v>4.0</v>
      </c>
      <c r="N1545" s="17">
        <v>1.0</v>
      </c>
      <c r="O1545" s="17">
        <v>25.5</v>
      </c>
      <c r="P1545" s="17">
        <v>3.6</v>
      </c>
      <c r="Q1545" s="15">
        <v>45701.0</v>
      </c>
      <c r="R1545" s="12"/>
      <c r="S1545" s="12" t="s">
        <v>55</v>
      </c>
      <c r="T1545" s="12" t="s">
        <v>75</v>
      </c>
      <c r="U1545" s="17">
        <f t="shared" si="1"/>
        <v>2</v>
      </c>
    </row>
    <row r="1546">
      <c r="A1546" s="12" t="s">
        <v>2032</v>
      </c>
      <c r="B1546" s="12" t="s">
        <v>633</v>
      </c>
      <c r="C1546" s="17">
        <v>55.0</v>
      </c>
      <c r="D1546" s="12" t="s">
        <v>60</v>
      </c>
      <c r="E1546" s="12" t="s">
        <v>61</v>
      </c>
      <c r="F1546" s="12" t="s">
        <v>62</v>
      </c>
      <c r="G1546" s="12" t="s">
        <v>210</v>
      </c>
      <c r="H1546" s="15">
        <v>45975.0</v>
      </c>
      <c r="I1546" s="17">
        <v>22.0</v>
      </c>
      <c r="J1546" s="12" t="s">
        <v>64</v>
      </c>
      <c r="K1546" s="12" t="s">
        <v>81</v>
      </c>
      <c r="L1546" s="17">
        <v>698.0</v>
      </c>
      <c r="M1546" s="17">
        <v>1.0</v>
      </c>
      <c r="N1546" s="17">
        <v>0.0</v>
      </c>
      <c r="O1546" s="17">
        <v>24.1</v>
      </c>
      <c r="P1546" s="17">
        <v>4.1</v>
      </c>
      <c r="Q1546" s="15">
        <v>46438.0</v>
      </c>
      <c r="R1546" s="12"/>
      <c r="S1546" s="12" t="s">
        <v>55</v>
      </c>
      <c r="T1546" s="12" t="s">
        <v>66</v>
      </c>
      <c r="U1546" s="17">
        <f t="shared" si="1"/>
        <v>2</v>
      </c>
    </row>
    <row r="1547">
      <c r="A1547" s="12" t="s">
        <v>2033</v>
      </c>
      <c r="B1547" s="12" t="s">
        <v>106</v>
      </c>
      <c r="C1547" s="17">
        <v>50.0</v>
      </c>
      <c r="D1547" s="12" t="s">
        <v>69</v>
      </c>
      <c r="E1547" s="12" t="s">
        <v>187</v>
      </c>
      <c r="F1547" s="12" t="s">
        <v>62</v>
      </c>
      <c r="G1547" s="12" t="s">
        <v>63</v>
      </c>
      <c r="H1547" s="15">
        <v>45367.0</v>
      </c>
      <c r="I1547" s="17">
        <v>19.0</v>
      </c>
      <c r="J1547" s="12" t="s">
        <v>53</v>
      </c>
      <c r="K1547" s="12" t="s">
        <v>65</v>
      </c>
      <c r="L1547" s="17">
        <v>608.0</v>
      </c>
      <c r="M1547" s="17">
        <v>1.0</v>
      </c>
      <c r="N1547" s="17">
        <v>2.0</v>
      </c>
      <c r="O1547" s="17">
        <v>19.0</v>
      </c>
      <c r="P1547" s="17">
        <v>3.0</v>
      </c>
      <c r="Q1547" s="15">
        <v>45565.0</v>
      </c>
      <c r="R1547" s="12" t="s">
        <v>2034</v>
      </c>
      <c r="S1547" s="12" t="s">
        <v>45</v>
      </c>
      <c r="T1547" s="12" t="s">
        <v>75</v>
      </c>
      <c r="U1547" s="17">
        <f t="shared" si="1"/>
        <v>1</v>
      </c>
    </row>
    <row r="1548">
      <c r="A1548" s="12" t="s">
        <v>2035</v>
      </c>
      <c r="B1548" s="12" t="s">
        <v>345</v>
      </c>
      <c r="C1548" s="17">
        <v>19.0</v>
      </c>
      <c r="D1548" s="12" t="s">
        <v>69</v>
      </c>
      <c r="E1548" s="12" t="s">
        <v>70</v>
      </c>
      <c r="F1548" s="12" t="s">
        <v>62</v>
      </c>
      <c r="G1548" s="12" t="s">
        <v>52</v>
      </c>
      <c r="H1548" s="15">
        <v>45598.0</v>
      </c>
      <c r="I1548" s="17">
        <v>45.0</v>
      </c>
      <c r="J1548" s="12" t="s">
        <v>40</v>
      </c>
      <c r="K1548" s="12" t="s">
        <v>81</v>
      </c>
      <c r="L1548" s="17">
        <v>702.0</v>
      </c>
      <c r="M1548" s="17">
        <v>5.0</v>
      </c>
      <c r="N1548" s="17">
        <v>2.0</v>
      </c>
      <c r="O1548" s="17">
        <v>26.5</v>
      </c>
      <c r="P1548" s="17">
        <v>3.4</v>
      </c>
      <c r="Q1548" s="15">
        <v>46219.0</v>
      </c>
      <c r="R1548" s="12" t="s">
        <v>2036</v>
      </c>
      <c r="S1548" s="12" t="s">
        <v>45</v>
      </c>
      <c r="T1548" s="12" t="s">
        <v>72</v>
      </c>
      <c r="U1548" s="17">
        <f t="shared" si="1"/>
        <v>1</v>
      </c>
    </row>
    <row r="1549">
      <c r="A1549" s="12" t="s">
        <v>1983</v>
      </c>
      <c r="B1549" s="12" t="s">
        <v>303</v>
      </c>
      <c r="C1549" s="17">
        <v>59.0</v>
      </c>
      <c r="D1549" s="12" t="s">
        <v>69</v>
      </c>
      <c r="E1549" s="12" t="s">
        <v>119</v>
      </c>
      <c r="F1549" s="12" t="s">
        <v>37</v>
      </c>
      <c r="G1549" s="12" t="s">
        <v>210</v>
      </c>
      <c r="H1549" s="15">
        <v>45820.0</v>
      </c>
      <c r="I1549" s="17">
        <v>21.0</v>
      </c>
      <c r="J1549" s="12" t="s">
        <v>53</v>
      </c>
      <c r="K1549" s="12" t="s">
        <v>81</v>
      </c>
      <c r="L1549" s="17">
        <v>1310.0</v>
      </c>
      <c r="M1549" s="17">
        <v>3.0</v>
      </c>
      <c r="N1549" s="17">
        <v>3.0</v>
      </c>
      <c r="O1549" s="17">
        <v>30.6</v>
      </c>
      <c r="P1549" s="17">
        <v>1.3</v>
      </c>
      <c r="Q1549" s="15">
        <v>46124.0</v>
      </c>
      <c r="R1549" s="12"/>
      <c r="S1549" s="12" t="s">
        <v>55</v>
      </c>
      <c r="T1549" s="12" t="s">
        <v>72</v>
      </c>
      <c r="U1549" s="17">
        <f t="shared" si="1"/>
        <v>3</v>
      </c>
    </row>
    <row r="1550">
      <c r="A1550" s="12" t="s">
        <v>2037</v>
      </c>
      <c r="B1550" s="12" t="s">
        <v>145</v>
      </c>
      <c r="C1550" s="17">
        <v>46.0</v>
      </c>
      <c r="D1550" s="12" t="s">
        <v>35</v>
      </c>
      <c r="E1550" s="12" t="s">
        <v>51</v>
      </c>
      <c r="F1550" s="12" t="s">
        <v>79</v>
      </c>
      <c r="G1550" s="12" t="s">
        <v>210</v>
      </c>
      <c r="H1550" s="15">
        <v>44599.0</v>
      </c>
      <c r="I1550" s="17">
        <v>44.0</v>
      </c>
      <c r="J1550" s="12" t="s">
        <v>53</v>
      </c>
      <c r="K1550" s="12" t="s">
        <v>65</v>
      </c>
      <c r="L1550" s="17">
        <v>3599.0</v>
      </c>
      <c r="M1550" s="17">
        <v>1.0</v>
      </c>
      <c r="N1550" s="17">
        <v>1.0</v>
      </c>
      <c r="O1550" s="17">
        <v>46.8</v>
      </c>
      <c r="P1550" s="17">
        <v>3.9</v>
      </c>
      <c r="Q1550" s="15">
        <v>45360.0</v>
      </c>
      <c r="R1550" s="12"/>
      <c r="S1550" s="12" t="s">
        <v>55</v>
      </c>
      <c r="T1550" s="12" t="s">
        <v>47</v>
      </c>
      <c r="U1550" s="17">
        <f t="shared" si="1"/>
        <v>1</v>
      </c>
    </row>
    <row r="1551">
      <c r="A1551" s="12" t="s">
        <v>1595</v>
      </c>
      <c r="B1551" s="12" t="s">
        <v>222</v>
      </c>
      <c r="C1551" s="17">
        <v>45.0</v>
      </c>
      <c r="D1551" s="12" t="s">
        <v>35</v>
      </c>
      <c r="E1551" s="12" t="s">
        <v>140</v>
      </c>
      <c r="F1551" s="12" t="s">
        <v>37</v>
      </c>
      <c r="G1551" s="12" t="s">
        <v>63</v>
      </c>
      <c r="H1551" s="15">
        <v>44643.0</v>
      </c>
      <c r="I1551" s="17">
        <v>16.0</v>
      </c>
      <c r="J1551" s="12" t="s">
        <v>64</v>
      </c>
      <c r="K1551" s="12" t="s">
        <v>42</v>
      </c>
      <c r="L1551" s="17">
        <v>1519.0</v>
      </c>
      <c r="M1551" s="17">
        <v>2.0</v>
      </c>
      <c r="N1551" s="17">
        <v>0.0</v>
      </c>
      <c r="O1551" s="17">
        <v>32.6</v>
      </c>
      <c r="P1551" s="17">
        <v>3.4</v>
      </c>
      <c r="Q1551" s="15">
        <v>44835.0</v>
      </c>
      <c r="R1551" s="12"/>
      <c r="S1551" s="12" t="s">
        <v>55</v>
      </c>
      <c r="T1551" s="12" t="s">
        <v>72</v>
      </c>
      <c r="U1551" s="17">
        <f t="shared" si="1"/>
        <v>3</v>
      </c>
    </row>
    <row r="1552">
      <c r="A1552" s="12" t="s">
        <v>347</v>
      </c>
      <c r="B1552" s="12" t="s">
        <v>232</v>
      </c>
      <c r="C1552" s="17">
        <v>57.0</v>
      </c>
      <c r="D1552" s="12" t="s">
        <v>85</v>
      </c>
      <c r="E1552" s="12" t="s">
        <v>92</v>
      </c>
      <c r="F1552" s="12" t="s">
        <v>716</v>
      </c>
      <c r="G1552" s="12" t="s">
        <v>120</v>
      </c>
      <c r="H1552" s="15">
        <v>45884.0</v>
      </c>
      <c r="I1552" s="17">
        <v>38.0</v>
      </c>
      <c r="J1552" s="12" t="s">
        <v>40</v>
      </c>
      <c r="K1552" s="12" t="s">
        <v>454</v>
      </c>
      <c r="L1552" s="17">
        <v>766.0</v>
      </c>
      <c r="M1552" s="17">
        <v>2.0</v>
      </c>
      <c r="N1552" s="17">
        <v>0.0</v>
      </c>
      <c r="O1552" s="17">
        <v>10.4</v>
      </c>
      <c r="P1552" s="17">
        <v>3.7</v>
      </c>
      <c r="Q1552" s="15">
        <v>46886.0</v>
      </c>
      <c r="R1552" s="12"/>
      <c r="S1552" s="12" t="s">
        <v>55</v>
      </c>
      <c r="T1552" s="12" t="s">
        <v>66</v>
      </c>
      <c r="U1552" s="17">
        <f t="shared" si="1"/>
        <v>5</v>
      </c>
    </row>
    <row r="1553">
      <c r="A1553" s="12" t="s">
        <v>2038</v>
      </c>
      <c r="B1553" s="12" t="s">
        <v>50</v>
      </c>
      <c r="C1553" s="17">
        <v>68.0</v>
      </c>
      <c r="D1553" s="12" t="s">
        <v>85</v>
      </c>
      <c r="E1553" s="12" t="s">
        <v>292</v>
      </c>
      <c r="F1553" s="12" t="s">
        <v>37</v>
      </c>
      <c r="G1553" s="12" t="s">
        <v>80</v>
      </c>
      <c r="H1553" s="15">
        <v>45207.0</v>
      </c>
      <c r="I1553" s="17">
        <v>21.0</v>
      </c>
      <c r="J1553" s="12" t="s">
        <v>53</v>
      </c>
      <c r="K1553" s="12" t="s">
        <v>65</v>
      </c>
      <c r="L1553" s="17">
        <v>1610.0</v>
      </c>
      <c r="M1553" s="17">
        <v>1.0</v>
      </c>
      <c r="N1553" s="17">
        <v>3.0</v>
      </c>
      <c r="O1553" s="17">
        <v>35.5</v>
      </c>
      <c r="P1553" s="17">
        <v>3.1</v>
      </c>
      <c r="Q1553" s="15">
        <v>45429.0</v>
      </c>
      <c r="R1553" s="12"/>
      <c r="S1553" s="12" t="s">
        <v>55</v>
      </c>
      <c r="T1553" s="12" t="s">
        <v>47</v>
      </c>
      <c r="U1553" s="17">
        <f t="shared" si="1"/>
        <v>1</v>
      </c>
    </row>
    <row r="1554">
      <c r="A1554" s="12" t="s">
        <v>361</v>
      </c>
      <c r="B1554" s="12" t="s">
        <v>2040</v>
      </c>
      <c r="C1554" s="17">
        <v>61.0</v>
      </c>
      <c r="D1554" s="12" t="s">
        <v>69</v>
      </c>
      <c r="E1554" s="12" t="s">
        <v>187</v>
      </c>
      <c r="F1554" s="12" t="s">
        <v>79</v>
      </c>
      <c r="G1554" s="12" t="s">
        <v>210</v>
      </c>
      <c r="H1554" s="15">
        <v>45342.0</v>
      </c>
      <c r="I1554" s="17">
        <v>7.0</v>
      </c>
      <c r="J1554" s="12" t="s">
        <v>40</v>
      </c>
      <c r="K1554" s="12" t="s">
        <v>65</v>
      </c>
      <c r="L1554" s="17">
        <v>3121.0</v>
      </c>
      <c r="M1554" s="17">
        <v>3.0</v>
      </c>
      <c r="N1554" s="17">
        <v>0.0</v>
      </c>
      <c r="O1554" s="17">
        <v>41.6</v>
      </c>
      <c r="P1554" s="17">
        <v>3.4</v>
      </c>
      <c r="Q1554" s="15">
        <v>45501.0</v>
      </c>
      <c r="R1554" s="12"/>
      <c r="S1554" s="12" t="s">
        <v>55</v>
      </c>
      <c r="T1554" s="12" t="s">
        <v>66</v>
      </c>
      <c r="U1554" s="17">
        <f t="shared" si="1"/>
        <v>2</v>
      </c>
    </row>
    <row r="1555">
      <c r="A1555" s="12" t="s">
        <v>2041</v>
      </c>
      <c r="B1555" s="12" t="s">
        <v>160</v>
      </c>
      <c r="C1555" s="17">
        <v>56.0</v>
      </c>
      <c r="D1555" s="12" t="s">
        <v>60</v>
      </c>
      <c r="E1555" s="12" t="s">
        <v>97</v>
      </c>
      <c r="F1555" s="12" t="s">
        <v>62</v>
      </c>
      <c r="G1555" s="12" t="s">
        <v>63</v>
      </c>
      <c r="H1555" s="15">
        <v>45759.0</v>
      </c>
      <c r="I1555" s="17">
        <v>5.0</v>
      </c>
      <c r="J1555" s="12" t="s">
        <v>64</v>
      </c>
      <c r="K1555" s="12" t="s">
        <v>81</v>
      </c>
      <c r="L1555" s="17">
        <v>729.0</v>
      </c>
      <c r="M1555" s="17">
        <v>3.0</v>
      </c>
      <c r="N1555" s="17">
        <v>2.0</v>
      </c>
      <c r="O1555" s="17">
        <v>23.4</v>
      </c>
      <c r="P1555" s="17">
        <v>4.7</v>
      </c>
      <c r="Q1555" s="15">
        <v>46046.0</v>
      </c>
      <c r="R1555" s="12"/>
      <c r="S1555" s="12" t="s">
        <v>55</v>
      </c>
      <c r="T1555" s="12" t="s">
        <v>72</v>
      </c>
      <c r="U1555" s="17">
        <f t="shared" si="1"/>
        <v>1</v>
      </c>
    </row>
    <row r="1556">
      <c r="A1556" s="12" t="s">
        <v>1815</v>
      </c>
      <c r="B1556" s="12" t="s">
        <v>336</v>
      </c>
      <c r="C1556" s="17">
        <v>27.0</v>
      </c>
      <c r="D1556" s="12" t="s">
        <v>60</v>
      </c>
      <c r="E1556" s="12" t="s">
        <v>97</v>
      </c>
      <c r="F1556" s="12" t="s">
        <v>37</v>
      </c>
      <c r="G1556" s="12" t="s">
        <v>52</v>
      </c>
      <c r="H1556" s="15">
        <v>44892.0</v>
      </c>
      <c r="I1556" s="17">
        <v>22.0</v>
      </c>
      <c r="J1556" s="12" t="s">
        <v>40</v>
      </c>
      <c r="K1556" s="12" t="s">
        <v>65</v>
      </c>
      <c r="L1556" s="17">
        <v>1763.0</v>
      </c>
      <c r="M1556" s="17">
        <v>5.0</v>
      </c>
      <c r="N1556" s="17">
        <v>1.0</v>
      </c>
      <c r="O1556" s="17">
        <v>25.4</v>
      </c>
      <c r="P1556" s="17">
        <v>3.3</v>
      </c>
      <c r="Q1556" s="15">
        <v>45405.0</v>
      </c>
      <c r="R1556" s="12"/>
      <c r="S1556" s="12" t="s">
        <v>55</v>
      </c>
      <c r="T1556" s="12" t="s">
        <v>66</v>
      </c>
      <c r="U1556" s="17">
        <f t="shared" si="1"/>
        <v>3</v>
      </c>
    </row>
    <row r="1557">
      <c r="A1557" s="12" t="s">
        <v>2042</v>
      </c>
      <c r="B1557" s="12" t="s">
        <v>380</v>
      </c>
      <c r="C1557" s="17">
        <v>55.0</v>
      </c>
      <c r="D1557" s="12" t="s">
        <v>85</v>
      </c>
      <c r="E1557" s="12" t="s">
        <v>292</v>
      </c>
      <c r="F1557" s="12" t="s">
        <v>62</v>
      </c>
      <c r="G1557" s="12" t="s">
        <v>80</v>
      </c>
      <c r="H1557" s="15">
        <v>45156.0</v>
      </c>
      <c r="I1557" s="17">
        <v>5.0</v>
      </c>
      <c r="J1557" s="12" t="s">
        <v>64</v>
      </c>
      <c r="K1557" s="12" t="s">
        <v>65</v>
      </c>
      <c r="L1557" s="17">
        <v>524.0</v>
      </c>
      <c r="M1557" s="17">
        <v>1.0</v>
      </c>
      <c r="N1557" s="17">
        <v>1.0</v>
      </c>
      <c r="O1557" s="17">
        <v>24.5</v>
      </c>
      <c r="P1557" s="17">
        <v>3.5</v>
      </c>
      <c r="Q1557" s="15">
        <v>45185.0</v>
      </c>
      <c r="R1557" s="12"/>
      <c r="S1557" s="12" t="s">
        <v>55</v>
      </c>
      <c r="T1557" s="12" t="s">
        <v>75</v>
      </c>
      <c r="U1557" s="17">
        <f t="shared" si="1"/>
        <v>1</v>
      </c>
    </row>
    <row r="1558">
      <c r="A1558" s="12" t="s">
        <v>2043</v>
      </c>
      <c r="B1558" s="12" t="s">
        <v>34</v>
      </c>
      <c r="C1558" s="17">
        <v>31.0</v>
      </c>
      <c r="D1558" s="12" t="s">
        <v>85</v>
      </c>
      <c r="E1558" s="12" t="s">
        <v>92</v>
      </c>
      <c r="F1558" s="12" t="s">
        <v>62</v>
      </c>
      <c r="G1558" s="12" t="s">
        <v>93</v>
      </c>
      <c r="H1558" s="15">
        <v>45953.0</v>
      </c>
      <c r="I1558" s="17">
        <v>21.0</v>
      </c>
      <c r="J1558" s="12" t="s">
        <v>64</v>
      </c>
      <c r="K1558" s="12" t="s">
        <v>81</v>
      </c>
      <c r="L1558" s="17">
        <v>850.0</v>
      </c>
      <c r="M1558" s="17">
        <v>0.0</v>
      </c>
      <c r="N1558" s="17">
        <v>1.0</v>
      </c>
      <c r="O1558" s="17">
        <v>12.7</v>
      </c>
      <c r="P1558" s="17">
        <v>4.7</v>
      </c>
      <c r="Q1558" s="15">
        <v>46238.0</v>
      </c>
      <c r="R1558" s="12"/>
      <c r="S1558" s="12" t="s">
        <v>55</v>
      </c>
      <c r="T1558" s="12" t="s">
        <v>47</v>
      </c>
      <c r="U1558" s="17">
        <f t="shared" si="1"/>
        <v>1</v>
      </c>
    </row>
    <row r="1559">
      <c r="A1559" s="12" t="s">
        <v>2044</v>
      </c>
      <c r="B1559" s="12" t="s">
        <v>59</v>
      </c>
      <c r="C1559" s="17">
        <v>44.0</v>
      </c>
      <c r="D1559" s="12" t="s">
        <v>85</v>
      </c>
      <c r="E1559" s="12" t="s">
        <v>111</v>
      </c>
      <c r="F1559" s="12" t="s">
        <v>62</v>
      </c>
      <c r="G1559" s="12" t="s">
        <v>93</v>
      </c>
      <c r="H1559" s="15">
        <v>44806.0</v>
      </c>
      <c r="I1559" s="17">
        <v>4.0</v>
      </c>
      <c r="J1559" s="12" t="s">
        <v>40</v>
      </c>
      <c r="K1559" s="12" t="s">
        <v>42</v>
      </c>
      <c r="L1559" s="17">
        <v>529.0</v>
      </c>
      <c r="M1559" s="17">
        <v>0.0</v>
      </c>
      <c r="N1559" s="17">
        <v>0.0</v>
      </c>
      <c r="O1559" s="17">
        <v>4.3</v>
      </c>
      <c r="P1559" s="17">
        <v>4.1</v>
      </c>
      <c r="Q1559" s="15">
        <v>44852.0</v>
      </c>
      <c r="R1559" s="12" t="s">
        <v>2045</v>
      </c>
      <c r="S1559" s="12" t="s">
        <v>45</v>
      </c>
      <c r="T1559" s="12" t="s">
        <v>104</v>
      </c>
      <c r="U1559" s="17">
        <f t="shared" si="1"/>
        <v>1</v>
      </c>
    </row>
    <row r="1560">
      <c r="A1560" s="12" t="s">
        <v>367</v>
      </c>
      <c r="B1560" s="12" t="s">
        <v>411</v>
      </c>
      <c r="C1560" s="17">
        <v>39.0</v>
      </c>
      <c r="D1560" s="12" t="s">
        <v>60</v>
      </c>
      <c r="E1560" s="12" t="s">
        <v>107</v>
      </c>
      <c r="F1560" s="12" t="s">
        <v>79</v>
      </c>
      <c r="G1560" s="12" t="s">
        <v>52</v>
      </c>
      <c r="H1560" s="15">
        <v>45482.0</v>
      </c>
      <c r="I1560" s="17">
        <v>44.0</v>
      </c>
      <c r="J1560" s="12" t="s">
        <v>53</v>
      </c>
      <c r="K1560" s="12" t="s">
        <v>81</v>
      </c>
      <c r="L1560" s="17">
        <v>3021.0</v>
      </c>
      <c r="M1560" s="17">
        <v>2.0</v>
      </c>
      <c r="N1560" s="17">
        <v>3.0</v>
      </c>
      <c r="O1560" s="17">
        <v>37.3</v>
      </c>
      <c r="P1560" s="17">
        <v>5.0</v>
      </c>
      <c r="Q1560" s="15">
        <v>46562.0</v>
      </c>
      <c r="R1560" s="12"/>
      <c r="S1560" s="12" t="s">
        <v>55</v>
      </c>
      <c r="T1560" s="12" t="s">
        <v>72</v>
      </c>
      <c r="U1560" s="17">
        <f t="shared" si="1"/>
        <v>3</v>
      </c>
    </row>
    <row r="1561">
      <c r="A1561" s="12" t="s">
        <v>1400</v>
      </c>
      <c r="B1561" s="12" t="s">
        <v>206</v>
      </c>
      <c r="C1561" s="17">
        <v>37.0</v>
      </c>
      <c r="D1561" s="12" t="s">
        <v>69</v>
      </c>
      <c r="E1561" s="12" t="s">
        <v>177</v>
      </c>
      <c r="F1561" s="12" t="s">
        <v>37</v>
      </c>
      <c r="G1561" s="12" t="s">
        <v>210</v>
      </c>
      <c r="H1561" s="15">
        <v>44573.0</v>
      </c>
      <c r="I1561" s="17">
        <v>1.0</v>
      </c>
      <c r="J1561" s="12" t="s">
        <v>64</v>
      </c>
      <c r="K1561" s="12" t="s">
        <v>42</v>
      </c>
      <c r="L1561" s="17">
        <v>1456.0</v>
      </c>
      <c r="M1561" s="17">
        <v>2.0</v>
      </c>
      <c r="N1561" s="17">
        <v>2.0</v>
      </c>
      <c r="O1561" s="17">
        <v>39.7</v>
      </c>
      <c r="P1561" s="17">
        <v>2.3</v>
      </c>
      <c r="Q1561" s="15">
        <v>44616.0</v>
      </c>
      <c r="R1561" s="12"/>
      <c r="S1561" s="12" t="s">
        <v>55</v>
      </c>
      <c r="T1561" s="12" t="s">
        <v>72</v>
      </c>
      <c r="U1561" s="17">
        <f t="shared" si="1"/>
        <v>3</v>
      </c>
    </row>
    <row r="1562">
      <c r="A1562" s="12" t="s">
        <v>1333</v>
      </c>
      <c r="B1562" s="12" t="s">
        <v>645</v>
      </c>
      <c r="C1562" s="17">
        <v>37.0</v>
      </c>
      <c r="D1562" s="12" t="s">
        <v>85</v>
      </c>
      <c r="E1562" s="12" t="s">
        <v>87</v>
      </c>
      <c r="F1562" s="12" t="s">
        <v>62</v>
      </c>
      <c r="G1562" s="12" t="s">
        <v>210</v>
      </c>
      <c r="H1562" s="15">
        <v>44780.0</v>
      </c>
      <c r="I1562" s="17">
        <v>10.0</v>
      </c>
      <c r="J1562" s="12" t="s">
        <v>40</v>
      </c>
      <c r="K1562" s="12" t="s">
        <v>42</v>
      </c>
      <c r="L1562" s="17">
        <v>630.0</v>
      </c>
      <c r="M1562" s="17">
        <v>0.0</v>
      </c>
      <c r="N1562" s="17">
        <v>0.0</v>
      </c>
      <c r="O1562" s="17">
        <v>10.5</v>
      </c>
      <c r="P1562" s="17">
        <v>4.5</v>
      </c>
      <c r="Q1562" s="15">
        <v>44825.0</v>
      </c>
      <c r="R1562" s="12"/>
      <c r="S1562" s="12" t="s">
        <v>55</v>
      </c>
      <c r="T1562" s="12" t="s">
        <v>47</v>
      </c>
      <c r="U1562" s="17">
        <f t="shared" si="1"/>
        <v>3</v>
      </c>
    </row>
    <row r="1563">
      <c r="A1563" s="12" t="s">
        <v>2046</v>
      </c>
      <c r="B1563" s="12" t="s">
        <v>333</v>
      </c>
      <c r="C1563" s="17">
        <v>31.0</v>
      </c>
      <c r="D1563" s="12" t="s">
        <v>85</v>
      </c>
      <c r="E1563" s="12" t="s">
        <v>87</v>
      </c>
      <c r="F1563" s="12" t="s">
        <v>62</v>
      </c>
      <c r="G1563" s="12" t="s">
        <v>93</v>
      </c>
      <c r="H1563" s="15">
        <v>45039.0</v>
      </c>
      <c r="I1563" s="17">
        <v>21.0</v>
      </c>
      <c r="J1563" s="12" t="s">
        <v>40</v>
      </c>
      <c r="K1563" s="12" t="s">
        <v>81</v>
      </c>
      <c r="L1563" s="17">
        <v>520.0</v>
      </c>
      <c r="M1563" s="17">
        <v>3.0</v>
      </c>
      <c r="N1563" s="17">
        <v>0.0</v>
      </c>
      <c r="O1563" s="17">
        <v>16.2</v>
      </c>
      <c r="P1563" s="17">
        <v>3.7</v>
      </c>
      <c r="Q1563" s="15">
        <v>45512.0</v>
      </c>
      <c r="R1563" s="12" t="s">
        <v>2047</v>
      </c>
      <c r="S1563" s="12" t="s">
        <v>45</v>
      </c>
      <c r="T1563" s="12" t="s">
        <v>72</v>
      </c>
      <c r="U1563" s="17">
        <f t="shared" si="1"/>
        <v>1</v>
      </c>
    </row>
    <row r="1564">
      <c r="A1564" s="12" t="s">
        <v>77</v>
      </c>
      <c r="B1564" s="12" t="s">
        <v>395</v>
      </c>
      <c r="C1564" s="17">
        <v>20.0</v>
      </c>
      <c r="D1564" s="12" t="s">
        <v>69</v>
      </c>
      <c r="E1564" s="12" t="s">
        <v>187</v>
      </c>
      <c r="F1564" s="12" t="s">
        <v>37</v>
      </c>
      <c r="G1564" s="12" t="s">
        <v>120</v>
      </c>
      <c r="H1564" s="15">
        <v>44686.0</v>
      </c>
      <c r="I1564" s="17">
        <v>12.0</v>
      </c>
      <c r="J1564" s="12" t="s">
        <v>64</v>
      </c>
      <c r="K1564" s="12" t="s">
        <v>65</v>
      </c>
      <c r="L1564" s="17">
        <v>1339.0</v>
      </c>
      <c r="M1564" s="17">
        <v>3.0</v>
      </c>
      <c r="N1564" s="17">
        <v>4.0</v>
      </c>
      <c r="O1564" s="17">
        <v>30.0</v>
      </c>
      <c r="P1564" s="17">
        <v>4.5</v>
      </c>
      <c r="Q1564" s="15">
        <v>44720.0</v>
      </c>
      <c r="R1564" s="12"/>
      <c r="S1564" s="12" t="s">
        <v>55</v>
      </c>
      <c r="T1564" s="12" t="s">
        <v>104</v>
      </c>
      <c r="U1564" s="17">
        <f t="shared" si="1"/>
        <v>6</v>
      </c>
    </row>
    <row r="1565">
      <c r="A1565" s="12" t="s">
        <v>2048</v>
      </c>
      <c r="B1565" s="12" t="s">
        <v>322</v>
      </c>
      <c r="C1565" s="17">
        <v>40.0</v>
      </c>
      <c r="D1565" s="12" t="s">
        <v>60</v>
      </c>
      <c r="E1565" s="12" t="s">
        <v>61</v>
      </c>
      <c r="F1565" s="12" t="s">
        <v>37</v>
      </c>
      <c r="G1565" s="12" t="s">
        <v>1014</v>
      </c>
      <c r="H1565" s="15">
        <v>45868.0</v>
      </c>
      <c r="I1565" s="17">
        <v>5.0</v>
      </c>
      <c r="J1565" s="12" t="s">
        <v>40</v>
      </c>
      <c r="K1565" s="12" t="s">
        <v>81</v>
      </c>
      <c r="L1565" s="17">
        <v>1609.0</v>
      </c>
      <c r="M1565" s="17">
        <v>2.0</v>
      </c>
      <c r="N1565" s="17">
        <v>0.0</v>
      </c>
      <c r="O1565" s="17">
        <v>35.7</v>
      </c>
      <c r="P1565" s="17">
        <v>2.0</v>
      </c>
      <c r="Q1565" s="15">
        <v>46025.0</v>
      </c>
      <c r="R1565" s="12" t="s">
        <v>2049</v>
      </c>
      <c r="S1565" s="12" t="s">
        <v>45</v>
      </c>
      <c r="T1565" s="12" t="s">
        <v>72</v>
      </c>
      <c r="U1565" s="17">
        <f t="shared" si="1"/>
        <v>1</v>
      </c>
    </row>
    <row r="1566">
      <c r="A1566" s="12" t="s">
        <v>2050</v>
      </c>
      <c r="B1566" s="12" t="s">
        <v>118</v>
      </c>
      <c r="C1566" s="17">
        <v>38.0</v>
      </c>
      <c r="D1566" s="12" t="s">
        <v>69</v>
      </c>
      <c r="E1566" s="12" t="s">
        <v>177</v>
      </c>
      <c r="F1566" s="12" t="s">
        <v>62</v>
      </c>
      <c r="G1566" s="12" t="s">
        <v>210</v>
      </c>
      <c r="H1566" s="15">
        <v>45640.0</v>
      </c>
      <c r="I1566" s="17">
        <v>1.0</v>
      </c>
      <c r="J1566" s="12" t="s">
        <v>64</v>
      </c>
      <c r="K1566" s="12" t="s">
        <v>42</v>
      </c>
      <c r="L1566" s="17">
        <v>520.0</v>
      </c>
      <c r="M1566" s="17">
        <v>1.0</v>
      </c>
      <c r="N1566" s="17">
        <v>0.0</v>
      </c>
      <c r="O1566" s="17">
        <v>14.7</v>
      </c>
      <c r="P1566" s="17">
        <v>3.2</v>
      </c>
      <c r="Q1566" s="15">
        <v>45672.0</v>
      </c>
      <c r="R1566" s="12"/>
      <c r="S1566" s="12" t="s">
        <v>55</v>
      </c>
      <c r="T1566" s="12" t="s">
        <v>66</v>
      </c>
      <c r="U1566" s="17">
        <f t="shared" si="1"/>
        <v>1</v>
      </c>
    </row>
    <row r="1567">
      <c r="A1567" s="12" t="s">
        <v>286</v>
      </c>
      <c r="B1567" s="12" t="s">
        <v>50</v>
      </c>
      <c r="C1567" s="17">
        <v>19.0</v>
      </c>
      <c r="D1567" s="12" t="s">
        <v>85</v>
      </c>
      <c r="E1567" s="12" t="s">
        <v>111</v>
      </c>
      <c r="F1567" s="12" t="s">
        <v>37</v>
      </c>
      <c r="G1567" s="12" t="s">
        <v>52</v>
      </c>
      <c r="H1567" s="15">
        <v>44600.0</v>
      </c>
      <c r="I1567" s="17">
        <v>22.0</v>
      </c>
      <c r="J1567" s="12" t="s">
        <v>40</v>
      </c>
      <c r="K1567" s="12" t="s">
        <v>81</v>
      </c>
      <c r="L1567" s="17">
        <v>1778.0</v>
      </c>
      <c r="M1567" s="17">
        <v>1.0</v>
      </c>
      <c r="N1567" s="17">
        <v>0.0</v>
      </c>
      <c r="O1567" s="17">
        <v>35.5</v>
      </c>
      <c r="P1567" s="17">
        <v>2.3</v>
      </c>
      <c r="Q1567" s="15">
        <v>44656.0</v>
      </c>
      <c r="R1567" s="12"/>
      <c r="S1567" s="12" t="s">
        <v>55</v>
      </c>
      <c r="T1567" s="12" t="s">
        <v>66</v>
      </c>
      <c r="U1567" s="17">
        <f t="shared" si="1"/>
        <v>2</v>
      </c>
    </row>
    <row r="1568">
      <c r="A1568" s="12" t="s">
        <v>321</v>
      </c>
      <c r="B1568" s="12" t="s">
        <v>224</v>
      </c>
      <c r="C1568" s="17">
        <v>58.0</v>
      </c>
      <c r="D1568" s="12" t="s">
        <v>60</v>
      </c>
      <c r="E1568" s="12" t="s">
        <v>97</v>
      </c>
      <c r="F1568" s="12" t="s">
        <v>37</v>
      </c>
      <c r="G1568" s="12" t="s">
        <v>571</v>
      </c>
      <c r="H1568" s="15">
        <v>44652.0</v>
      </c>
      <c r="I1568" s="17">
        <v>15.0</v>
      </c>
      <c r="J1568" s="12" t="s">
        <v>40</v>
      </c>
      <c r="K1568" s="12" t="s">
        <v>65</v>
      </c>
      <c r="L1568" s="17">
        <v>1542.0</v>
      </c>
      <c r="M1568" s="17">
        <v>2.0</v>
      </c>
      <c r="N1568" s="17">
        <v>0.0</v>
      </c>
      <c r="O1568" s="17">
        <v>28.1</v>
      </c>
      <c r="P1568" s="17">
        <v>2.3</v>
      </c>
      <c r="Q1568" s="15">
        <v>45052.0</v>
      </c>
      <c r="R1568" s="12" t="s">
        <v>2051</v>
      </c>
      <c r="S1568" s="12" t="s">
        <v>45</v>
      </c>
      <c r="T1568" s="12" t="s">
        <v>47</v>
      </c>
      <c r="U1568" s="17">
        <f t="shared" si="1"/>
        <v>2</v>
      </c>
    </row>
    <row r="1569">
      <c r="A1569" s="12" t="s">
        <v>2052</v>
      </c>
      <c r="B1569" s="12" t="s">
        <v>281</v>
      </c>
      <c r="C1569" s="17">
        <v>26.0</v>
      </c>
      <c r="D1569" s="12" t="s">
        <v>69</v>
      </c>
      <c r="E1569" s="12" t="s">
        <v>70</v>
      </c>
      <c r="F1569" s="12" t="s">
        <v>62</v>
      </c>
      <c r="G1569" s="12" t="s">
        <v>80</v>
      </c>
      <c r="H1569" s="15">
        <v>45463.0</v>
      </c>
      <c r="I1569" s="17">
        <v>43.0</v>
      </c>
      <c r="J1569" s="12" t="s">
        <v>64</v>
      </c>
      <c r="K1569" s="12" t="s">
        <v>65</v>
      </c>
      <c r="L1569" s="17">
        <v>645.0</v>
      </c>
      <c r="M1569" s="17">
        <v>2.0</v>
      </c>
      <c r="N1569" s="17">
        <v>2.0</v>
      </c>
      <c r="O1569" s="17">
        <v>10.8</v>
      </c>
      <c r="P1569" s="17">
        <v>4.8</v>
      </c>
      <c r="Q1569" s="15">
        <v>46415.0</v>
      </c>
      <c r="R1569" s="12"/>
      <c r="S1569" s="12" t="s">
        <v>55</v>
      </c>
      <c r="T1569" s="12" t="s">
        <v>104</v>
      </c>
      <c r="U1569" s="17">
        <f t="shared" si="1"/>
        <v>1</v>
      </c>
    </row>
    <row r="1570">
      <c r="A1570" s="12" t="s">
        <v>2053</v>
      </c>
      <c r="B1570" s="12" t="s">
        <v>448</v>
      </c>
      <c r="C1570" s="17">
        <v>60.0</v>
      </c>
      <c r="D1570" s="12" t="s">
        <v>85</v>
      </c>
      <c r="E1570" s="12" t="s">
        <v>92</v>
      </c>
      <c r="F1570" s="12" t="s">
        <v>79</v>
      </c>
      <c r="G1570" s="12" t="s">
        <v>52</v>
      </c>
      <c r="H1570" s="15">
        <v>45632.0</v>
      </c>
      <c r="I1570" s="17">
        <v>47.0</v>
      </c>
      <c r="J1570" s="12" t="s">
        <v>64</v>
      </c>
      <c r="K1570" s="12" t="s">
        <v>805</v>
      </c>
      <c r="L1570" s="17">
        <v>3068.0</v>
      </c>
      <c r="M1570" s="17">
        <v>2.0</v>
      </c>
      <c r="N1570" s="17">
        <v>0.0</v>
      </c>
      <c r="O1570" s="17">
        <v>34.5</v>
      </c>
      <c r="P1570" s="17">
        <v>1.9</v>
      </c>
      <c r="Q1570" s="15">
        <v>45906.0</v>
      </c>
      <c r="R1570" s="12"/>
      <c r="S1570" s="12" t="s">
        <v>55</v>
      </c>
      <c r="T1570" s="12" t="s">
        <v>66</v>
      </c>
      <c r="U1570" s="17">
        <f t="shared" si="1"/>
        <v>2</v>
      </c>
    </row>
    <row r="1571">
      <c r="A1571" s="12" t="s">
        <v>917</v>
      </c>
      <c r="B1571" s="12" t="s">
        <v>476</v>
      </c>
      <c r="C1571" s="17">
        <v>64.0</v>
      </c>
      <c r="D1571" s="12" t="s">
        <v>35</v>
      </c>
      <c r="E1571" s="12" t="s">
        <v>140</v>
      </c>
      <c r="F1571" s="12" t="s">
        <v>62</v>
      </c>
      <c r="G1571" s="12" t="s">
        <v>52</v>
      </c>
      <c r="H1571" s="15">
        <v>45012.0</v>
      </c>
      <c r="I1571" s="17">
        <v>11.0</v>
      </c>
      <c r="J1571" s="12" t="s">
        <v>64</v>
      </c>
      <c r="K1571" s="12" t="s">
        <v>65</v>
      </c>
      <c r="L1571" s="17">
        <v>718.0</v>
      </c>
      <c r="M1571" s="17">
        <v>1.0</v>
      </c>
      <c r="N1571" s="17">
        <v>3.0</v>
      </c>
      <c r="O1571" s="17">
        <v>10.2</v>
      </c>
      <c r="P1571" s="17">
        <v>3.7</v>
      </c>
      <c r="Q1571" s="15">
        <v>45351.0</v>
      </c>
      <c r="R1571" s="12" t="s">
        <v>2054</v>
      </c>
      <c r="S1571" s="12" t="s">
        <v>45</v>
      </c>
      <c r="T1571" s="12" t="s">
        <v>47</v>
      </c>
      <c r="U1571" s="17">
        <f t="shared" si="1"/>
        <v>3</v>
      </c>
    </row>
    <row r="1572">
      <c r="A1572" s="12" t="s">
        <v>2055</v>
      </c>
      <c r="B1572" s="12" t="s">
        <v>206</v>
      </c>
      <c r="C1572" s="17">
        <v>56.0</v>
      </c>
      <c r="D1572" s="12" t="s">
        <v>85</v>
      </c>
      <c r="E1572" s="12" t="s">
        <v>87</v>
      </c>
      <c r="F1572" s="12" t="s">
        <v>62</v>
      </c>
      <c r="G1572" s="12" t="s">
        <v>80</v>
      </c>
      <c r="H1572" s="15">
        <v>44991.0</v>
      </c>
      <c r="I1572" s="17">
        <v>7.0</v>
      </c>
      <c r="J1572" s="12" t="s">
        <v>40</v>
      </c>
      <c r="K1572" s="12" t="s">
        <v>81</v>
      </c>
      <c r="L1572" s="17">
        <v>726.0</v>
      </c>
      <c r="M1572" s="17">
        <v>0.0</v>
      </c>
      <c r="N1572" s="17">
        <v>1.0</v>
      </c>
      <c r="O1572" s="17">
        <v>26.5</v>
      </c>
      <c r="P1572" s="17">
        <v>4.0</v>
      </c>
      <c r="Q1572" s="15">
        <v>45001.0</v>
      </c>
      <c r="R1572" s="12" t="s">
        <v>2056</v>
      </c>
      <c r="S1572" s="12" t="s">
        <v>45</v>
      </c>
      <c r="T1572" s="12" t="s">
        <v>104</v>
      </c>
      <c r="U1572" s="17">
        <f t="shared" si="1"/>
        <v>1</v>
      </c>
    </row>
    <row r="1573">
      <c r="A1573" s="12" t="s">
        <v>1595</v>
      </c>
      <c r="B1573" s="12" t="s">
        <v>308</v>
      </c>
      <c r="C1573" s="17">
        <v>45.0</v>
      </c>
      <c r="D1573" s="12" t="s">
        <v>35</v>
      </c>
      <c r="E1573" s="12" t="s">
        <v>36</v>
      </c>
      <c r="F1573" s="12" t="s">
        <v>37</v>
      </c>
      <c r="G1573" s="12" t="s">
        <v>80</v>
      </c>
      <c r="H1573" s="15">
        <v>44868.0</v>
      </c>
      <c r="I1573" s="17">
        <v>19.0</v>
      </c>
      <c r="J1573" s="12" t="s">
        <v>40</v>
      </c>
      <c r="K1573" s="12" t="s">
        <v>42</v>
      </c>
      <c r="L1573" s="17">
        <v>1369.0</v>
      </c>
      <c r="M1573" s="17">
        <v>0.0</v>
      </c>
      <c r="N1573" s="17">
        <v>1.0</v>
      </c>
      <c r="O1573" s="17">
        <v>24.5</v>
      </c>
      <c r="P1573" s="17">
        <v>2.5</v>
      </c>
      <c r="Q1573" s="15">
        <v>45226.0</v>
      </c>
      <c r="R1573" s="12" t="s">
        <v>1461</v>
      </c>
      <c r="S1573" s="12" t="s">
        <v>45</v>
      </c>
      <c r="T1573" s="12" t="s">
        <v>47</v>
      </c>
      <c r="U1573" s="17">
        <f t="shared" si="1"/>
        <v>3</v>
      </c>
    </row>
    <row r="1574">
      <c r="A1574" s="12" t="s">
        <v>1022</v>
      </c>
      <c r="B1574" s="12" t="s">
        <v>316</v>
      </c>
      <c r="C1574" s="12" t="s">
        <v>1420</v>
      </c>
      <c r="D1574" s="12" t="s">
        <v>69</v>
      </c>
      <c r="E1574" s="12" t="s">
        <v>187</v>
      </c>
      <c r="F1574" s="12" t="s">
        <v>37</v>
      </c>
      <c r="G1574" s="12" t="s">
        <v>63</v>
      </c>
      <c r="H1574" s="15">
        <v>45484.0</v>
      </c>
      <c r="I1574" s="17">
        <v>40.0</v>
      </c>
      <c r="J1574" s="12" t="s">
        <v>64</v>
      </c>
      <c r="K1574" s="12" t="s">
        <v>42</v>
      </c>
      <c r="L1574" s="17">
        <v>1026.0</v>
      </c>
      <c r="M1574" s="17">
        <v>4.0</v>
      </c>
      <c r="N1574" s="17">
        <v>0.0</v>
      </c>
      <c r="O1574" s="17">
        <v>22.2</v>
      </c>
      <c r="P1574" s="17">
        <v>3.4</v>
      </c>
      <c r="Q1574" s="15">
        <v>45844.0</v>
      </c>
      <c r="R1574" s="12"/>
      <c r="S1574" s="12" t="s">
        <v>55</v>
      </c>
      <c r="T1574" s="12" t="s">
        <v>104</v>
      </c>
      <c r="U1574" s="17">
        <f t="shared" si="1"/>
        <v>3</v>
      </c>
    </row>
    <row r="1575">
      <c r="A1575" s="12" t="s">
        <v>506</v>
      </c>
      <c r="B1575" s="12" t="s">
        <v>169</v>
      </c>
      <c r="C1575" s="17">
        <v>47.0</v>
      </c>
      <c r="D1575" s="12" t="s">
        <v>85</v>
      </c>
      <c r="E1575" s="12" t="s">
        <v>92</v>
      </c>
      <c r="F1575" s="12" t="s">
        <v>37</v>
      </c>
      <c r="G1575" s="12" t="s">
        <v>93</v>
      </c>
      <c r="H1575" s="15">
        <v>45672.0</v>
      </c>
      <c r="I1575" s="17">
        <v>41.0</v>
      </c>
      <c r="J1575" s="12" t="s">
        <v>64</v>
      </c>
      <c r="K1575" s="12" t="s">
        <v>65</v>
      </c>
      <c r="L1575" s="17">
        <v>1686.0</v>
      </c>
      <c r="M1575" s="17">
        <v>0.0</v>
      </c>
      <c r="N1575" s="17">
        <v>1.0</v>
      </c>
      <c r="O1575" s="17">
        <v>23.5</v>
      </c>
      <c r="P1575" s="17">
        <v>4.0</v>
      </c>
      <c r="Q1575" s="15">
        <v>46812.0</v>
      </c>
      <c r="R1575" s="12"/>
      <c r="S1575" s="12" t="s">
        <v>55</v>
      </c>
      <c r="T1575" s="12" t="s">
        <v>72</v>
      </c>
      <c r="U1575" s="17">
        <f t="shared" si="1"/>
        <v>4</v>
      </c>
    </row>
    <row r="1576">
      <c r="A1576" s="12" t="s">
        <v>1776</v>
      </c>
      <c r="B1576" s="12" t="s">
        <v>163</v>
      </c>
      <c r="C1576" s="17">
        <v>48.0</v>
      </c>
      <c r="D1576" s="12" t="s">
        <v>85</v>
      </c>
      <c r="E1576" s="12" t="s">
        <v>87</v>
      </c>
      <c r="F1576" s="12" t="s">
        <v>37</v>
      </c>
      <c r="G1576" s="12" t="s">
        <v>210</v>
      </c>
      <c r="H1576" s="15">
        <v>44976.0</v>
      </c>
      <c r="I1576" s="17">
        <v>38.0</v>
      </c>
      <c r="J1576" s="12" t="s">
        <v>64</v>
      </c>
      <c r="K1576" s="12" t="s">
        <v>42</v>
      </c>
      <c r="L1576" s="17">
        <v>1552.0</v>
      </c>
      <c r="M1576" s="17">
        <v>3.0</v>
      </c>
      <c r="N1576" s="17">
        <v>1.0</v>
      </c>
      <c r="O1576" s="17">
        <v>26.0</v>
      </c>
      <c r="P1576" s="17">
        <v>2.0</v>
      </c>
      <c r="Q1576" s="15">
        <v>45067.0</v>
      </c>
      <c r="R1576" s="12"/>
      <c r="S1576" s="12" t="s">
        <v>55</v>
      </c>
      <c r="T1576" s="12" t="s">
        <v>72</v>
      </c>
      <c r="U1576" s="17">
        <f t="shared" si="1"/>
        <v>2</v>
      </c>
    </row>
    <row r="1577">
      <c r="A1577" s="12" t="s">
        <v>1972</v>
      </c>
      <c r="B1577" s="12" t="s">
        <v>50</v>
      </c>
      <c r="C1577" s="17">
        <v>54.0</v>
      </c>
      <c r="D1577" s="12" t="s">
        <v>35</v>
      </c>
      <c r="E1577" s="12" t="s">
        <v>161</v>
      </c>
      <c r="F1577" s="12" t="s">
        <v>37</v>
      </c>
      <c r="G1577" s="12" t="s">
        <v>63</v>
      </c>
      <c r="H1577" s="15">
        <v>45704.0</v>
      </c>
      <c r="I1577" s="17">
        <v>38.0</v>
      </c>
      <c r="J1577" s="12" t="s">
        <v>40</v>
      </c>
      <c r="K1577" s="12" t="s">
        <v>81</v>
      </c>
      <c r="L1577" s="17">
        <v>1622.0</v>
      </c>
      <c r="M1577" s="17">
        <v>3.0</v>
      </c>
      <c r="N1577" s="17">
        <v>0.0</v>
      </c>
      <c r="O1577" s="17">
        <v>22.8</v>
      </c>
      <c r="P1577" s="17">
        <v>2.0</v>
      </c>
      <c r="Q1577" s="15">
        <v>46513.0</v>
      </c>
      <c r="R1577" s="12"/>
      <c r="S1577" s="12" t="s">
        <v>55</v>
      </c>
      <c r="T1577" s="12" t="s">
        <v>72</v>
      </c>
      <c r="U1577" s="17">
        <f t="shared" si="1"/>
        <v>2</v>
      </c>
    </row>
    <row r="1578">
      <c r="A1578" s="12" t="s">
        <v>764</v>
      </c>
      <c r="B1578" s="12" t="s">
        <v>34</v>
      </c>
      <c r="C1578" s="17">
        <v>62.0</v>
      </c>
      <c r="D1578" s="12" t="s">
        <v>60</v>
      </c>
      <c r="E1578" s="12" t="s">
        <v>87</v>
      </c>
      <c r="F1578" s="12" t="s">
        <v>62</v>
      </c>
      <c r="G1578" s="12" t="s">
        <v>63</v>
      </c>
      <c r="H1578" s="15">
        <v>44880.0</v>
      </c>
      <c r="I1578" s="17">
        <v>2.0</v>
      </c>
      <c r="J1578" s="12" t="s">
        <v>40</v>
      </c>
      <c r="K1578" s="12" t="s">
        <v>42</v>
      </c>
      <c r="L1578" s="17">
        <v>703.0</v>
      </c>
      <c r="M1578" s="17">
        <v>3.0</v>
      </c>
      <c r="N1578" s="17">
        <v>2.0</v>
      </c>
      <c r="O1578" s="17">
        <v>18.7</v>
      </c>
      <c r="P1578" s="17">
        <v>2.8</v>
      </c>
      <c r="Q1578" s="15">
        <v>44920.0</v>
      </c>
      <c r="R1578" s="12"/>
      <c r="S1578" s="12" t="s">
        <v>55</v>
      </c>
      <c r="T1578" s="12" t="s">
        <v>104</v>
      </c>
      <c r="U1578" s="17">
        <f t="shared" si="1"/>
        <v>2</v>
      </c>
    </row>
    <row r="1579">
      <c r="A1579" s="12" t="s">
        <v>2057</v>
      </c>
      <c r="B1579" s="12" t="s">
        <v>476</v>
      </c>
      <c r="C1579" s="17">
        <v>60.0</v>
      </c>
      <c r="D1579" s="12" t="s">
        <v>35</v>
      </c>
      <c r="E1579" s="12" t="s">
        <v>161</v>
      </c>
      <c r="F1579" s="12" t="s">
        <v>37</v>
      </c>
      <c r="G1579" s="12" t="s">
        <v>80</v>
      </c>
      <c r="H1579" s="15">
        <v>45681.0</v>
      </c>
      <c r="I1579" s="17">
        <v>7.0</v>
      </c>
      <c r="J1579" s="12" t="s">
        <v>40</v>
      </c>
      <c r="K1579" s="12" t="s">
        <v>81</v>
      </c>
      <c r="L1579" s="17">
        <v>1661.0</v>
      </c>
      <c r="M1579" s="17">
        <v>1.0</v>
      </c>
      <c r="N1579" s="17">
        <v>1.0</v>
      </c>
      <c r="O1579" s="17">
        <v>28.2</v>
      </c>
      <c r="P1579" s="17">
        <v>4.5</v>
      </c>
      <c r="Q1579" s="15">
        <v>45829.0</v>
      </c>
      <c r="R1579" s="12"/>
      <c r="S1579" s="12" t="s">
        <v>55</v>
      </c>
      <c r="T1579" s="12" t="s">
        <v>47</v>
      </c>
      <c r="U1579" s="17">
        <f t="shared" si="1"/>
        <v>1</v>
      </c>
    </row>
    <row r="1580">
      <c r="A1580" s="12" t="s">
        <v>2058</v>
      </c>
      <c r="B1580" s="12" t="s">
        <v>190</v>
      </c>
      <c r="C1580" s="17">
        <v>56.0</v>
      </c>
      <c r="D1580" s="12" t="s">
        <v>85</v>
      </c>
      <c r="E1580" s="12" t="s">
        <v>292</v>
      </c>
      <c r="F1580" s="12" t="s">
        <v>79</v>
      </c>
      <c r="G1580" s="12" t="s">
        <v>120</v>
      </c>
      <c r="H1580" s="15">
        <v>45782.0</v>
      </c>
      <c r="I1580" s="17">
        <v>3.0</v>
      </c>
      <c r="J1580" s="12" t="s">
        <v>64</v>
      </c>
      <c r="K1580" s="12" t="s">
        <v>42</v>
      </c>
      <c r="L1580" s="17">
        <v>3199.0</v>
      </c>
      <c r="M1580" s="17">
        <v>1.0</v>
      </c>
      <c r="N1580" s="17">
        <v>0.0</v>
      </c>
      <c r="O1580" s="17">
        <v>53.6</v>
      </c>
      <c r="P1580" s="17">
        <v>2.8</v>
      </c>
      <c r="Q1580" s="15">
        <v>45808.0</v>
      </c>
      <c r="R1580" s="12" t="s">
        <v>2059</v>
      </c>
      <c r="S1580" s="12" t="s">
        <v>45</v>
      </c>
      <c r="T1580" s="12" t="s">
        <v>75</v>
      </c>
      <c r="U1580" s="17">
        <f t="shared" si="1"/>
        <v>1</v>
      </c>
    </row>
    <row r="1581">
      <c r="A1581" s="12" t="s">
        <v>2060</v>
      </c>
      <c r="B1581" s="12" t="s">
        <v>470</v>
      </c>
      <c r="C1581" s="17">
        <v>64.0</v>
      </c>
      <c r="D1581" s="12" t="s">
        <v>69</v>
      </c>
      <c r="E1581" s="12" t="s">
        <v>187</v>
      </c>
      <c r="F1581" s="12" t="s">
        <v>62</v>
      </c>
      <c r="G1581" s="12" t="s">
        <v>52</v>
      </c>
      <c r="H1581" s="15">
        <v>45609.0</v>
      </c>
      <c r="I1581" s="17">
        <v>43.0</v>
      </c>
      <c r="J1581" s="12" t="s">
        <v>53</v>
      </c>
      <c r="K1581" s="12" t="s">
        <v>42</v>
      </c>
      <c r="L1581" s="17">
        <v>722.0</v>
      </c>
      <c r="M1581" s="17">
        <v>2.0</v>
      </c>
      <c r="N1581" s="17">
        <v>0.0</v>
      </c>
      <c r="O1581" s="17">
        <v>15.7</v>
      </c>
      <c r="P1581" s="17">
        <v>3.3</v>
      </c>
      <c r="Q1581" s="15">
        <v>46863.0</v>
      </c>
      <c r="R1581" s="12" t="s">
        <v>2061</v>
      </c>
      <c r="S1581" s="12" t="s">
        <v>45</v>
      </c>
      <c r="T1581" s="12" t="s">
        <v>75</v>
      </c>
      <c r="U1581" s="17">
        <f t="shared" si="1"/>
        <v>1</v>
      </c>
    </row>
    <row r="1582">
      <c r="A1582" s="12" t="s">
        <v>1537</v>
      </c>
      <c r="B1582" s="12" t="s">
        <v>345</v>
      </c>
      <c r="C1582" s="17">
        <v>47.0</v>
      </c>
      <c r="D1582" s="12" t="s">
        <v>60</v>
      </c>
      <c r="E1582" s="12" t="s">
        <v>133</v>
      </c>
      <c r="F1582" s="12" t="s">
        <v>37</v>
      </c>
      <c r="G1582" s="12" t="s">
        <v>120</v>
      </c>
      <c r="H1582" s="15">
        <v>45624.0</v>
      </c>
      <c r="I1582" s="17">
        <v>47.0</v>
      </c>
      <c r="J1582" s="12" t="s">
        <v>40</v>
      </c>
      <c r="K1582" s="12" t="s">
        <v>81</v>
      </c>
      <c r="L1582" s="17">
        <v>1345.0</v>
      </c>
      <c r="M1582" s="17">
        <v>2.0</v>
      </c>
      <c r="N1582" s="17">
        <v>2.0</v>
      </c>
      <c r="O1582" s="17">
        <v>37.1</v>
      </c>
      <c r="P1582" s="17">
        <v>3.8</v>
      </c>
      <c r="Q1582" s="15">
        <v>47048.0</v>
      </c>
      <c r="R1582" s="12" t="s">
        <v>2062</v>
      </c>
      <c r="S1582" s="12" t="s">
        <v>45</v>
      </c>
      <c r="T1582" s="12" t="s">
        <v>104</v>
      </c>
      <c r="U1582" s="17">
        <f t="shared" si="1"/>
        <v>3</v>
      </c>
    </row>
    <row r="1583">
      <c r="A1583" s="12" t="s">
        <v>196</v>
      </c>
      <c r="B1583" s="12" t="s">
        <v>68</v>
      </c>
      <c r="C1583" s="17">
        <v>60.0</v>
      </c>
      <c r="D1583" s="12" t="s">
        <v>69</v>
      </c>
      <c r="E1583" s="12" t="s">
        <v>187</v>
      </c>
      <c r="F1583" s="12" t="s">
        <v>62</v>
      </c>
      <c r="G1583" s="12" t="s">
        <v>210</v>
      </c>
      <c r="H1583" s="15">
        <v>45258.0</v>
      </c>
      <c r="I1583" s="17">
        <v>41.0</v>
      </c>
      <c r="J1583" s="12" t="s">
        <v>40</v>
      </c>
      <c r="K1583" s="12" t="s">
        <v>81</v>
      </c>
      <c r="L1583" s="17">
        <v>892.0</v>
      </c>
      <c r="M1583" s="17">
        <v>2.0</v>
      </c>
      <c r="N1583" s="17">
        <v>1.0</v>
      </c>
      <c r="O1583" s="17">
        <v>4.7</v>
      </c>
      <c r="P1583" s="17">
        <v>5.0</v>
      </c>
      <c r="Q1583" s="15">
        <v>45335.0</v>
      </c>
      <c r="R1583" s="12"/>
      <c r="S1583" s="12" t="s">
        <v>55</v>
      </c>
      <c r="T1583" s="12" t="s">
        <v>75</v>
      </c>
      <c r="U1583" s="17">
        <f t="shared" si="1"/>
        <v>4</v>
      </c>
    </row>
    <row r="1584">
      <c r="A1584" s="12" t="s">
        <v>402</v>
      </c>
      <c r="B1584" s="12" t="s">
        <v>736</v>
      </c>
      <c r="C1584" s="17">
        <v>23.0</v>
      </c>
      <c r="D1584" s="12" t="s">
        <v>445</v>
      </c>
      <c r="E1584" s="12" t="s">
        <v>177</v>
      </c>
      <c r="F1584" s="12" t="s">
        <v>37</v>
      </c>
      <c r="G1584" s="12" t="s">
        <v>210</v>
      </c>
      <c r="H1584" s="15">
        <v>45101.0</v>
      </c>
      <c r="I1584" s="17">
        <v>3.0</v>
      </c>
      <c r="J1584" s="12" t="s">
        <v>53</v>
      </c>
      <c r="K1584" s="12" t="s">
        <v>454</v>
      </c>
      <c r="L1584" s="17">
        <v>1549.0</v>
      </c>
      <c r="M1584" s="17">
        <v>1.0</v>
      </c>
      <c r="N1584" s="17">
        <v>0.0</v>
      </c>
      <c r="O1584" s="17">
        <v>36.6</v>
      </c>
      <c r="P1584" s="17">
        <v>3.6</v>
      </c>
      <c r="Q1584" s="15">
        <v>45124.0</v>
      </c>
      <c r="R1584" s="12"/>
      <c r="S1584" s="12" t="s">
        <v>55</v>
      </c>
      <c r="T1584" s="12" t="s">
        <v>104</v>
      </c>
      <c r="U1584" s="17">
        <f t="shared" si="1"/>
        <v>2</v>
      </c>
    </row>
    <row r="1585">
      <c r="A1585" s="12" t="s">
        <v>761</v>
      </c>
      <c r="B1585" s="12" t="s">
        <v>135</v>
      </c>
      <c r="C1585" s="17">
        <v>66.0</v>
      </c>
      <c r="D1585" s="12" t="s">
        <v>35</v>
      </c>
      <c r="E1585" s="12" t="s">
        <v>51</v>
      </c>
      <c r="F1585" s="12" t="s">
        <v>79</v>
      </c>
      <c r="G1585" s="12" t="s">
        <v>52</v>
      </c>
      <c r="H1585" s="15">
        <v>45222.0</v>
      </c>
      <c r="I1585" s="17">
        <v>4.0</v>
      </c>
      <c r="J1585" s="12" t="s">
        <v>40</v>
      </c>
      <c r="K1585" s="12" t="s">
        <v>81</v>
      </c>
      <c r="L1585" s="17">
        <v>2232.0</v>
      </c>
      <c r="M1585" s="17">
        <v>2.0</v>
      </c>
      <c r="N1585" s="17">
        <v>1.0</v>
      </c>
      <c r="O1585" s="17">
        <v>28.5</v>
      </c>
      <c r="P1585" s="17">
        <v>3.4</v>
      </c>
      <c r="Q1585" s="15">
        <v>45315.0</v>
      </c>
      <c r="R1585" s="12"/>
      <c r="S1585" s="12" t="s">
        <v>55</v>
      </c>
      <c r="T1585" s="12" t="s">
        <v>75</v>
      </c>
      <c r="U1585" s="17">
        <f t="shared" si="1"/>
        <v>2</v>
      </c>
    </row>
    <row r="1586">
      <c r="A1586" s="12" t="s">
        <v>1409</v>
      </c>
      <c r="B1586" s="12" t="s">
        <v>176</v>
      </c>
      <c r="C1586" s="17">
        <v>35.0</v>
      </c>
      <c r="D1586" s="12" t="s">
        <v>85</v>
      </c>
      <c r="E1586" s="12" t="s">
        <v>292</v>
      </c>
      <c r="F1586" s="12" t="s">
        <v>79</v>
      </c>
      <c r="G1586" s="12" t="s">
        <v>39</v>
      </c>
      <c r="H1586" s="15">
        <v>45037.0</v>
      </c>
      <c r="I1586" s="17">
        <v>41.0</v>
      </c>
      <c r="J1586" s="12" t="s">
        <v>53</v>
      </c>
      <c r="K1586" s="12" t="s">
        <v>65</v>
      </c>
      <c r="L1586" s="17">
        <v>2545.0</v>
      </c>
      <c r="M1586" s="17">
        <v>1.0</v>
      </c>
      <c r="N1586" s="17">
        <v>1.0</v>
      </c>
      <c r="O1586" s="17">
        <v>34.4</v>
      </c>
      <c r="P1586" s="17">
        <v>6.0</v>
      </c>
      <c r="Q1586" s="15">
        <v>45778.0</v>
      </c>
      <c r="R1586" s="12" t="s">
        <v>2063</v>
      </c>
      <c r="S1586" s="12" t="s">
        <v>45</v>
      </c>
      <c r="T1586" s="12" t="s">
        <v>66</v>
      </c>
      <c r="U1586" s="17">
        <f t="shared" si="1"/>
        <v>2</v>
      </c>
    </row>
    <row r="1587">
      <c r="A1587" s="12" t="s">
        <v>379</v>
      </c>
      <c r="B1587" s="12" t="s">
        <v>163</v>
      </c>
      <c r="C1587" s="17">
        <v>67.0</v>
      </c>
      <c r="D1587" s="12" t="s">
        <v>35</v>
      </c>
      <c r="E1587" s="12" t="s">
        <v>51</v>
      </c>
      <c r="F1587" s="12" t="s">
        <v>37</v>
      </c>
      <c r="G1587" s="12" t="s">
        <v>120</v>
      </c>
      <c r="H1587" s="15">
        <v>45437.0</v>
      </c>
      <c r="I1587" s="17">
        <v>20.0</v>
      </c>
      <c r="J1587" s="12" t="s">
        <v>53</v>
      </c>
      <c r="K1587" s="12" t="s">
        <v>81</v>
      </c>
      <c r="L1587" s="17">
        <v>1441.0</v>
      </c>
      <c r="M1587" s="17">
        <v>5.0</v>
      </c>
      <c r="N1587" s="17">
        <v>0.0</v>
      </c>
      <c r="O1587" s="17">
        <v>21.6</v>
      </c>
      <c r="P1587" s="17">
        <v>4.7</v>
      </c>
      <c r="Q1587" s="15">
        <v>45584.0</v>
      </c>
      <c r="R1587" s="12" t="s">
        <v>386</v>
      </c>
      <c r="S1587" s="12" t="s">
        <v>45</v>
      </c>
      <c r="T1587" s="12" t="s">
        <v>47</v>
      </c>
      <c r="U1587" s="17">
        <f t="shared" si="1"/>
        <v>3</v>
      </c>
    </row>
    <row r="1588">
      <c r="A1588" s="12" t="s">
        <v>2064</v>
      </c>
      <c r="B1588" s="12" t="s">
        <v>59</v>
      </c>
      <c r="C1588" s="17">
        <v>54.0</v>
      </c>
      <c r="D1588" s="12" t="s">
        <v>60</v>
      </c>
      <c r="E1588" s="12"/>
      <c r="F1588" s="12" t="s">
        <v>62</v>
      </c>
      <c r="G1588" s="12" t="s">
        <v>52</v>
      </c>
      <c r="H1588" s="15">
        <v>44890.0</v>
      </c>
      <c r="I1588" s="17">
        <v>39.0</v>
      </c>
      <c r="J1588" s="12" t="s">
        <v>64</v>
      </c>
      <c r="K1588" s="12" t="s">
        <v>42</v>
      </c>
      <c r="L1588" s="17">
        <v>841.0</v>
      </c>
      <c r="M1588" s="17">
        <v>4.0</v>
      </c>
      <c r="N1588" s="17">
        <v>2.0</v>
      </c>
      <c r="O1588" s="17">
        <v>17.5</v>
      </c>
      <c r="P1588" s="17">
        <v>3.2</v>
      </c>
      <c r="Q1588" s="15">
        <v>45799.0</v>
      </c>
      <c r="R1588" s="12" t="s">
        <v>1560</v>
      </c>
      <c r="S1588" s="12" t="s">
        <v>45</v>
      </c>
      <c r="T1588" s="12" t="s">
        <v>104</v>
      </c>
      <c r="U1588" s="17">
        <f t="shared" si="1"/>
        <v>1</v>
      </c>
    </row>
    <row r="1589">
      <c r="A1589" s="12" t="s">
        <v>2065</v>
      </c>
      <c r="B1589" s="12" t="s">
        <v>59</v>
      </c>
      <c r="C1589" s="17">
        <v>66.0</v>
      </c>
      <c r="D1589" s="12" t="s">
        <v>35</v>
      </c>
      <c r="E1589" s="12" t="s">
        <v>161</v>
      </c>
      <c r="F1589" s="12" t="s">
        <v>37</v>
      </c>
      <c r="G1589" s="12" t="s">
        <v>52</v>
      </c>
      <c r="H1589" s="15">
        <v>45917.0</v>
      </c>
      <c r="I1589" s="17">
        <v>20.0</v>
      </c>
      <c r="J1589" s="12" t="s">
        <v>53</v>
      </c>
      <c r="K1589" s="12" t="s">
        <v>42</v>
      </c>
      <c r="L1589" s="17">
        <v>1231.0</v>
      </c>
      <c r="M1589" s="17">
        <v>2.0</v>
      </c>
      <c r="N1589" s="17">
        <v>2.0</v>
      </c>
      <c r="O1589" s="17">
        <v>35.4</v>
      </c>
      <c r="P1589" s="17">
        <v>3.9</v>
      </c>
      <c r="Q1589" s="15">
        <v>46234.0</v>
      </c>
      <c r="R1589" s="12"/>
      <c r="S1589" s="12" t="s">
        <v>55</v>
      </c>
      <c r="T1589" s="12" t="s">
        <v>66</v>
      </c>
      <c r="U1589" s="17">
        <f t="shared" si="1"/>
        <v>1</v>
      </c>
    </row>
    <row r="1590">
      <c r="A1590" s="12" t="s">
        <v>2066</v>
      </c>
      <c r="B1590" s="12" t="s">
        <v>241</v>
      </c>
      <c r="C1590" s="17">
        <v>43.0</v>
      </c>
      <c r="D1590" s="12" t="s">
        <v>60</v>
      </c>
      <c r="E1590" s="12" t="s">
        <v>97</v>
      </c>
      <c r="F1590" s="12" t="s">
        <v>37</v>
      </c>
      <c r="G1590" s="12" t="s">
        <v>93</v>
      </c>
      <c r="H1590" s="15">
        <v>45358.0</v>
      </c>
      <c r="I1590" s="17">
        <v>2.0</v>
      </c>
      <c r="J1590" s="12" t="s">
        <v>40</v>
      </c>
      <c r="K1590" s="12" t="s">
        <v>81</v>
      </c>
      <c r="L1590" s="17">
        <v>1306.0</v>
      </c>
      <c r="M1590" s="17">
        <v>0.0</v>
      </c>
      <c r="N1590" s="17">
        <v>1.0</v>
      </c>
      <c r="O1590" s="17">
        <v>31.0</v>
      </c>
      <c r="P1590" s="17">
        <v>5.0</v>
      </c>
      <c r="Q1590" s="15">
        <v>45417.0</v>
      </c>
      <c r="R1590" s="12" t="s">
        <v>2067</v>
      </c>
      <c r="S1590" s="12" t="s">
        <v>45</v>
      </c>
      <c r="T1590" s="12" t="s">
        <v>104</v>
      </c>
      <c r="U1590" s="17">
        <f t="shared" si="1"/>
        <v>1</v>
      </c>
    </row>
    <row r="1591">
      <c r="A1591" s="12" t="s">
        <v>2068</v>
      </c>
      <c r="B1591" s="12" t="s">
        <v>295</v>
      </c>
      <c r="C1591" s="17">
        <v>19.0</v>
      </c>
      <c r="D1591" s="12" t="s">
        <v>60</v>
      </c>
      <c r="E1591" s="12" t="s">
        <v>107</v>
      </c>
      <c r="F1591" s="12" t="s">
        <v>37</v>
      </c>
      <c r="G1591" s="12" t="s">
        <v>52</v>
      </c>
      <c r="H1591" s="15">
        <v>45559.0</v>
      </c>
      <c r="I1591" s="17">
        <v>18.0</v>
      </c>
      <c r="J1591" s="12" t="s">
        <v>40</v>
      </c>
      <c r="K1591" s="12" t="s">
        <v>42</v>
      </c>
      <c r="L1591" s="17">
        <v>1116.0</v>
      </c>
      <c r="M1591" s="17">
        <v>1.0</v>
      </c>
      <c r="N1591" s="17">
        <v>3.0</v>
      </c>
      <c r="O1591" s="17">
        <v>33.3</v>
      </c>
      <c r="P1591" s="17">
        <v>4.4</v>
      </c>
      <c r="Q1591" s="15">
        <v>45634.0</v>
      </c>
      <c r="R1591" s="12" t="s">
        <v>2069</v>
      </c>
      <c r="S1591" s="12" t="s">
        <v>45</v>
      </c>
      <c r="T1591" s="12" t="s">
        <v>104</v>
      </c>
      <c r="U1591" s="17">
        <f t="shared" si="1"/>
        <v>1</v>
      </c>
    </row>
    <row r="1592">
      <c r="A1592" s="12" t="s">
        <v>2053</v>
      </c>
      <c r="B1592" s="12" t="s">
        <v>734</v>
      </c>
      <c r="C1592" s="17">
        <v>63.0</v>
      </c>
      <c r="D1592" s="12" t="s">
        <v>35</v>
      </c>
      <c r="E1592" s="12" t="s">
        <v>140</v>
      </c>
      <c r="F1592" s="12" t="s">
        <v>37</v>
      </c>
      <c r="G1592" s="12" t="s">
        <v>63</v>
      </c>
      <c r="H1592" s="15">
        <v>45884.0</v>
      </c>
      <c r="I1592" s="17">
        <v>19.0</v>
      </c>
      <c r="J1592" s="12" t="s">
        <v>40</v>
      </c>
      <c r="K1592" s="12" t="s">
        <v>81</v>
      </c>
      <c r="L1592" s="17">
        <v>1232.0</v>
      </c>
      <c r="M1592" s="17">
        <v>2.0</v>
      </c>
      <c r="N1592" s="17">
        <v>4.0</v>
      </c>
      <c r="O1592" s="17">
        <v>39.4</v>
      </c>
      <c r="P1592" s="17">
        <v>5.0</v>
      </c>
      <c r="Q1592" s="15">
        <v>46201.0</v>
      </c>
      <c r="R1592" s="12" t="s">
        <v>2070</v>
      </c>
      <c r="S1592" s="12" t="s">
        <v>230</v>
      </c>
      <c r="T1592" s="12" t="s">
        <v>66</v>
      </c>
      <c r="U1592" s="17">
        <f t="shared" si="1"/>
        <v>2</v>
      </c>
    </row>
    <row r="1593">
      <c r="A1593" s="12" t="s">
        <v>1451</v>
      </c>
      <c r="B1593" s="12" t="s">
        <v>222</v>
      </c>
      <c r="C1593" s="17">
        <v>61.0</v>
      </c>
      <c r="D1593" s="12" t="s">
        <v>69</v>
      </c>
      <c r="E1593" s="12" t="s">
        <v>119</v>
      </c>
      <c r="F1593" s="12" t="s">
        <v>37</v>
      </c>
      <c r="G1593" s="12" t="s">
        <v>210</v>
      </c>
      <c r="H1593" s="15">
        <v>44614.0</v>
      </c>
      <c r="I1593" s="17">
        <v>48.0</v>
      </c>
      <c r="J1593" s="12" t="s">
        <v>64</v>
      </c>
      <c r="K1593" s="12" t="s">
        <v>42</v>
      </c>
      <c r="L1593" s="17">
        <v>1735.0</v>
      </c>
      <c r="M1593" s="17">
        <v>1.0</v>
      </c>
      <c r="N1593" s="17">
        <v>0.0</v>
      </c>
      <c r="O1593" s="17">
        <v>35.8</v>
      </c>
      <c r="P1593" s="17">
        <v>4.0</v>
      </c>
      <c r="Q1593" s="15">
        <v>44880.0</v>
      </c>
      <c r="R1593" s="12" t="s">
        <v>1338</v>
      </c>
      <c r="S1593" s="12" t="s">
        <v>45</v>
      </c>
      <c r="T1593" s="12" t="s">
        <v>47</v>
      </c>
      <c r="U1593" s="17">
        <f t="shared" si="1"/>
        <v>2</v>
      </c>
    </row>
    <row r="1594">
      <c r="A1594" s="12" t="s">
        <v>2071</v>
      </c>
      <c r="B1594" s="12" t="s">
        <v>206</v>
      </c>
      <c r="C1594" s="17">
        <v>26.0</v>
      </c>
      <c r="D1594" s="12" t="s">
        <v>35</v>
      </c>
      <c r="E1594" s="12" t="s">
        <v>51</v>
      </c>
      <c r="F1594" s="12" t="s">
        <v>62</v>
      </c>
      <c r="G1594" s="12" t="s">
        <v>93</v>
      </c>
      <c r="H1594" s="15">
        <v>45861.0</v>
      </c>
      <c r="I1594" s="17">
        <v>23.0</v>
      </c>
      <c r="J1594" s="12" t="s">
        <v>64</v>
      </c>
      <c r="K1594" s="12" t="s">
        <v>42</v>
      </c>
      <c r="L1594" s="17">
        <v>882.0</v>
      </c>
      <c r="M1594" s="17">
        <v>2.0</v>
      </c>
      <c r="N1594" s="17">
        <v>1.0</v>
      </c>
      <c r="O1594" s="17">
        <v>15.7</v>
      </c>
      <c r="P1594" s="17">
        <v>3.3</v>
      </c>
      <c r="Q1594" s="15">
        <v>46532.0</v>
      </c>
      <c r="R1594" s="12" t="s">
        <v>2072</v>
      </c>
      <c r="S1594" s="12" t="s">
        <v>45</v>
      </c>
      <c r="T1594" s="12" t="s">
        <v>75</v>
      </c>
      <c r="U1594" s="17">
        <f t="shared" si="1"/>
        <v>1</v>
      </c>
    </row>
    <row r="1595">
      <c r="A1595" s="12" t="s">
        <v>512</v>
      </c>
      <c r="B1595" s="12" t="s">
        <v>2073</v>
      </c>
      <c r="C1595" s="17">
        <v>36.0</v>
      </c>
      <c r="D1595" s="12" t="s">
        <v>85</v>
      </c>
      <c r="E1595" s="12" t="s">
        <v>87</v>
      </c>
      <c r="F1595" s="12" t="s">
        <v>62</v>
      </c>
      <c r="G1595" s="12" t="s">
        <v>52</v>
      </c>
      <c r="H1595" s="15">
        <v>45335.0</v>
      </c>
      <c r="I1595" s="17">
        <v>27.0</v>
      </c>
      <c r="J1595" s="12" t="s">
        <v>40</v>
      </c>
      <c r="K1595" s="12" t="s">
        <v>42</v>
      </c>
      <c r="L1595" s="17">
        <v>538.0</v>
      </c>
      <c r="M1595" s="17">
        <v>1.0</v>
      </c>
      <c r="N1595" s="17">
        <v>0.0</v>
      </c>
      <c r="O1595" s="17">
        <v>18.0</v>
      </c>
      <c r="P1595" s="17">
        <v>2.7</v>
      </c>
      <c r="Q1595" s="15">
        <v>45665.0</v>
      </c>
      <c r="R1595" s="12"/>
      <c r="S1595" s="12" t="s">
        <v>55</v>
      </c>
      <c r="T1595" s="12" t="s">
        <v>47</v>
      </c>
      <c r="U1595" s="17">
        <f t="shared" si="1"/>
        <v>2</v>
      </c>
    </row>
    <row r="1596">
      <c r="A1596" s="12" t="s">
        <v>2074</v>
      </c>
      <c r="B1596" s="12" t="s">
        <v>395</v>
      </c>
      <c r="C1596" s="17">
        <v>45.0</v>
      </c>
      <c r="D1596" s="12" t="s">
        <v>69</v>
      </c>
      <c r="E1596" s="12" t="s">
        <v>187</v>
      </c>
      <c r="F1596" s="12" t="s">
        <v>62</v>
      </c>
      <c r="G1596" s="12" t="s">
        <v>80</v>
      </c>
      <c r="H1596" s="15">
        <v>45676.0</v>
      </c>
      <c r="I1596" s="17">
        <v>3.0</v>
      </c>
      <c r="J1596" s="12" t="s">
        <v>53</v>
      </c>
      <c r="K1596" s="12" t="s">
        <v>65</v>
      </c>
      <c r="L1596" s="17">
        <v>605.0</v>
      </c>
      <c r="M1596" s="17">
        <v>0.0</v>
      </c>
      <c r="N1596" s="17">
        <v>0.0</v>
      </c>
      <c r="O1596" s="17">
        <v>20.5</v>
      </c>
      <c r="P1596" s="17">
        <v>4.3</v>
      </c>
      <c r="Q1596" s="15">
        <v>45740.0</v>
      </c>
      <c r="R1596" s="12"/>
      <c r="S1596" s="12" t="s">
        <v>55</v>
      </c>
      <c r="T1596" s="12" t="s">
        <v>66</v>
      </c>
      <c r="U1596" s="17">
        <f t="shared" si="1"/>
        <v>2</v>
      </c>
    </row>
    <row r="1597">
      <c r="A1597" s="12" t="s">
        <v>521</v>
      </c>
      <c r="B1597" s="12" t="s">
        <v>736</v>
      </c>
      <c r="C1597" s="17">
        <v>37.0</v>
      </c>
      <c r="D1597" s="12" t="s">
        <v>35</v>
      </c>
      <c r="E1597" s="12" t="s">
        <v>36</v>
      </c>
      <c r="F1597" s="12" t="s">
        <v>37</v>
      </c>
      <c r="G1597" s="12" t="s">
        <v>120</v>
      </c>
      <c r="H1597" s="15">
        <v>45820.0</v>
      </c>
      <c r="I1597" s="17">
        <v>5.0</v>
      </c>
      <c r="J1597" s="12" t="s">
        <v>40</v>
      </c>
      <c r="K1597" s="12" t="s">
        <v>81</v>
      </c>
      <c r="L1597" s="17">
        <v>1310.0</v>
      </c>
      <c r="M1597" s="17">
        <v>3.0</v>
      </c>
      <c r="N1597" s="17">
        <v>0.0</v>
      </c>
      <c r="O1597" s="17">
        <v>41.5</v>
      </c>
      <c r="P1597" s="17">
        <v>3.1</v>
      </c>
      <c r="Q1597" s="15">
        <v>45933.0</v>
      </c>
      <c r="R1597" s="12"/>
      <c r="S1597" s="12" t="s">
        <v>55</v>
      </c>
      <c r="T1597" s="12" t="s">
        <v>47</v>
      </c>
      <c r="U1597" s="17">
        <f t="shared" si="1"/>
        <v>4</v>
      </c>
    </row>
    <row r="1598">
      <c r="A1598" s="12" t="s">
        <v>2075</v>
      </c>
      <c r="B1598" s="12" t="s">
        <v>651</v>
      </c>
      <c r="C1598" s="17">
        <v>54.0</v>
      </c>
      <c r="D1598" s="12" t="s">
        <v>69</v>
      </c>
      <c r="E1598" s="12" t="s">
        <v>177</v>
      </c>
      <c r="F1598" s="12" t="s">
        <v>62</v>
      </c>
      <c r="G1598" s="12" t="s">
        <v>210</v>
      </c>
      <c r="H1598" s="15">
        <v>45371.0</v>
      </c>
      <c r="I1598" s="17">
        <v>24.0</v>
      </c>
      <c r="J1598" s="12" t="s">
        <v>53</v>
      </c>
      <c r="K1598" s="12" t="s">
        <v>42</v>
      </c>
      <c r="L1598" s="17">
        <v>656.0</v>
      </c>
      <c r="M1598" s="17">
        <v>6.0</v>
      </c>
      <c r="N1598" s="17">
        <v>2.0</v>
      </c>
      <c r="O1598" s="17">
        <v>19.4</v>
      </c>
      <c r="P1598" s="17">
        <v>4.3</v>
      </c>
      <c r="Q1598" s="15">
        <v>45766.0</v>
      </c>
      <c r="R1598" s="12"/>
      <c r="S1598" s="12" t="s">
        <v>55</v>
      </c>
      <c r="T1598" s="12" t="s">
        <v>75</v>
      </c>
      <c r="U1598" s="17">
        <f t="shared" si="1"/>
        <v>1</v>
      </c>
    </row>
    <row r="1599">
      <c r="A1599" s="12" t="s">
        <v>1455</v>
      </c>
      <c r="B1599" s="12" t="s">
        <v>281</v>
      </c>
      <c r="C1599" s="17">
        <v>56.0</v>
      </c>
      <c r="D1599" s="12" t="s">
        <v>69</v>
      </c>
      <c r="E1599" s="12" t="s">
        <v>119</v>
      </c>
      <c r="F1599" s="12" t="s">
        <v>62</v>
      </c>
      <c r="G1599" s="12" t="s">
        <v>80</v>
      </c>
      <c r="H1599" s="15">
        <v>45759.0</v>
      </c>
      <c r="I1599" s="17">
        <v>23.0</v>
      </c>
      <c r="J1599" s="12" t="s">
        <v>40</v>
      </c>
      <c r="K1599" s="12" t="s">
        <v>81</v>
      </c>
      <c r="L1599" s="17">
        <v>828.0</v>
      </c>
      <c r="M1599" s="17">
        <v>0.0</v>
      </c>
      <c r="N1599" s="17">
        <v>0.0</v>
      </c>
      <c r="O1599" s="17">
        <v>23.7</v>
      </c>
      <c r="P1599" s="17">
        <v>3.3</v>
      </c>
      <c r="Q1599" s="15">
        <v>46396.0</v>
      </c>
      <c r="R1599" s="12" t="s">
        <v>1007</v>
      </c>
      <c r="S1599" s="12" t="s">
        <v>45</v>
      </c>
      <c r="T1599" s="12" t="s">
        <v>47</v>
      </c>
      <c r="U1599" s="17">
        <f t="shared" si="1"/>
        <v>3</v>
      </c>
    </row>
    <row r="1600">
      <c r="A1600" s="12" t="s">
        <v>741</v>
      </c>
      <c r="B1600" s="12" t="s">
        <v>74</v>
      </c>
      <c r="C1600" s="17">
        <v>30.0</v>
      </c>
      <c r="D1600" s="12" t="s">
        <v>85</v>
      </c>
      <c r="E1600" s="12" t="s">
        <v>87</v>
      </c>
      <c r="F1600" s="12" t="s">
        <v>79</v>
      </c>
      <c r="G1600" s="12" t="s">
        <v>210</v>
      </c>
      <c r="H1600" s="15">
        <v>44811.0</v>
      </c>
      <c r="I1600" s="17">
        <v>20.0</v>
      </c>
      <c r="J1600" s="12" t="s">
        <v>64</v>
      </c>
      <c r="K1600" s="12" t="s">
        <v>65</v>
      </c>
      <c r="L1600" s="17">
        <v>3898.0</v>
      </c>
      <c r="M1600" s="17">
        <v>2.0</v>
      </c>
      <c r="N1600" s="17">
        <v>0.0</v>
      </c>
      <c r="O1600" s="17">
        <v>25.3</v>
      </c>
      <c r="P1600" s="17">
        <v>3.5</v>
      </c>
      <c r="Q1600" s="15">
        <v>45321.0</v>
      </c>
      <c r="R1600" s="12"/>
      <c r="S1600" s="12" t="s">
        <v>55</v>
      </c>
      <c r="T1600" s="12" t="s">
        <v>72</v>
      </c>
      <c r="U1600" s="17">
        <f t="shared" si="1"/>
        <v>3</v>
      </c>
    </row>
    <row r="1601">
      <c r="A1601" s="12" t="s">
        <v>2076</v>
      </c>
      <c r="B1601" s="12" t="s">
        <v>239</v>
      </c>
      <c r="C1601" s="17">
        <v>38.0</v>
      </c>
      <c r="D1601" s="12" t="s">
        <v>69</v>
      </c>
      <c r="E1601" s="12" t="s">
        <v>177</v>
      </c>
      <c r="F1601" s="12" t="s">
        <v>37</v>
      </c>
      <c r="G1601" s="12" t="s">
        <v>52</v>
      </c>
      <c r="H1601" s="15">
        <v>45085.0</v>
      </c>
      <c r="I1601" s="17">
        <v>36.0</v>
      </c>
      <c r="J1601" s="12" t="s">
        <v>53</v>
      </c>
      <c r="K1601" s="12" t="s">
        <v>42</v>
      </c>
      <c r="L1601" s="17">
        <v>1183.0</v>
      </c>
      <c r="M1601" s="17">
        <v>2.0</v>
      </c>
      <c r="N1601" s="17">
        <v>1.0</v>
      </c>
      <c r="O1601" s="17">
        <v>18.4</v>
      </c>
      <c r="P1601" s="17">
        <v>3.3</v>
      </c>
      <c r="Q1601" s="15">
        <v>45563.0</v>
      </c>
      <c r="R1601" s="12"/>
      <c r="S1601" s="12" t="s">
        <v>55</v>
      </c>
      <c r="T1601" s="12" t="s">
        <v>47</v>
      </c>
      <c r="U1601" s="17">
        <f t="shared" si="1"/>
        <v>2</v>
      </c>
    </row>
    <row r="1602">
      <c r="A1602" s="12" t="s">
        <v>1262</v>
      </c>
      <c r="B1602" s="12" t="s">
        <v>405</v>
      </c>
      <c r="C1602" s="17">
        <v>24.0</v>
      </c>
      <c r="D1602" s="12" t="s">
        <v>60</v>
      </c>
      <c r="E1602" s="12" t="s">
        <v>107</v>
      </c>
      <c r="F1602" s="12" t="s">
        <v>62</v>
      </c>
      <c r="G1602" s="12" t="s">
        <v>52</v>
      </c>
      <c r="H1602" s="15">
        <v>45986.0</v>
      </c>
      <c r="I1602" s="17">
        <v>6.0</v>
      </c>
      <c r="J1602" s="12" t="s">
        <v>40</v>
      </c>
      <c r="K1602" s="12" t="s">
        <v>65</v>
      </c>
      <c r="L1602" s="17">
        <v>745.0</v>
      </c>
      <c r="M1602" s="17">
        <v>4.0</v>
      </c>
      <c r="N1602" s="17">
        <v>3.0</v>
      </c>
      <c r="O1602" s="17">
        <v>15.1</v>
      </c>
      <c r="P1602" s="17">
        <v>3.2</v>
      </c>
      <c r="Q1602" s="15">
        <v>46046.0</v>
      </c>
      <c r="R1602" s="12"/>
      <c r="S1602" s="12" t="s">
        <v>55</v>
      </c>
      <c r="T1602" s="12" t="s">
        <v>66</v>
      </c>
      <c r="U1602" s="17">
        <f t="shared" si="1"/>
        <v>4</v>
      </c>
    </row>
    <row r="1603">
      <c r="A1603" s="12" t="s">
        <v>2000</v>
      </c>
      <c r="B1603" s="12" t="s">
        <v>110</v>
      </c>
      <c r="C1603" s="17">
        <v>60.0</v>
      </c>
      <c r="D1603" s="12" t="s">
        <v>85</v>
      </c>
      <c r="E1603" s="12" t="s">
        <v>92</v>
      </c>
      <c r="F1603" s="12" t="s">
        <v>62</v>
      </c>
      <c r="G1603" s="12" t="s">
        <v>39</v>
      </c>
      <c r="H1603" s="15">
        <v>45971.0</v>
      </c>
      <c r="I1603" s="17">
        <v>1.0</v>
      </c>
      <c r="J1603" s="12" t="s">
        <v>53</v>
      </c>
      <c r="K1603" s="12" t="s">
        <v>65</v>
      </c>
      <c r="L1603" s="17">
        <v>797.0</v>
      </c>
      <c r="M1603" s="17">
        <v>8.0</v>
      </c>
      <c r="N1603" s="17">
        <v>0.0</v>
      </c>
      <c r="O1603" s="17">
        <v>18.9</v>
      </c>
      <c r="P1603" s="17">
        <v>3.5</v>
      </c>
      <c r="Q1603" s="15">
        <v>45996.0</v>
      </c>
      <c r="R1603" s="12"/>
      <c r="S1603" s="12" t="s">
        <v>55</v>
      </c>
      <c r="T1603" s="12" t="s">
        <v>104</v>
      </c>
      <c r="U1603" s="17">
        <f t="shared" si="1"/>
        <v>2</v>
      </c>
    </row>
    <row r="1604">
      <c r="A1604" s="12" t="s">
        <v>1813</v>
      </c>
      <c r="B1604" s="12" t="s">
        <v>163</v>
      </c>
      <c r="C1604" s="17">
        <v>24.0</v>
      </c>
      <c r="D1604" s="12" t="s">
        <v>69</v>
      </c>
      <c r="E1604" s="12" t="s">
        <v>70</v>
      </c>
      <c r="F1604" s="12" t="s">
        <v>37</v>
      </c>
      <c r="G1604" s="12" t="s">
        <v>93</v>
      </c>
      <c r="H1604" s="15">
        <v>45327.0</v>
      </c>
      <c r="I1604" s="17">
        <v>33.0</v>
      </c>
      <c r="J1604" s="12" t="s">
        <v>53</v>
      </c>
      <c r="K1604" s="12" t="s">
        <v>42</v>
      </c>
      <c r="L1604" s="17">
        <v>1739.0</v>
      </c>
      <c r="M1604" s="17">
        <v>1.0</v>
      </c>
      <c r="N1604" s="17">
        <v>0.0</v>
      </c>
      <c r="O1604" s="17">
        <v>12.2</v>
      </c>
      <c r="P1604" s="17">
        <v>5.0</v>
      </c>
      <c r="Q1604" s="15">
        <v>45885.0</v>
      </c>
      <c r="R1604" s="12"/>
      <c r="S1604" s="12" t="s">
        <v>55</v>
      </c>
      <c r="T1604" s="12" t="s">
        <v>66</v>
      </c>
      <c r="U1604" s="17">
        <f t="shared" si="1"/>
        <v>2</v>
      </c>
    </row>
    <row r="1605">
      <c r="A1605" s="12" t="s">
        <v>2077</v>
      </c>
      <c r="B1605" s="12" t="s">
        <v>345</v>
      </c>
      <c r="C1605" s="17">
        <v>54.0</v>
      </c>
      <c r="D1605" s="12" t="s">
        <v>60</v>
      </c>
      <c r="E1605" s="12" t="s">
        <v>61</v>
      </c>
      <c r="F1605" s="12" t="s">
        <v>79</v>
      </c>
      <c r="G1605" s="12" t="s">
        <v>210</v>
      </c>
      <c r="H1605" s="15">
        <v>45030.0</v>
      </c>
      <c r="I1605" s="17">
        <v>28.0</v>
      </c>
      <c r="J1605" s="12" t="s">
        <v>40</v>
      </c>
      <c r="K1605" s="12" t="s">
        <v>81</v>
      </c>
      <c r="L1605" s="17">
        <v>3291.0</v>
      </c>
      <c r="M1605" s="17">
        <v>1.0</v>
      </c>
      <c r="N1605" s="17">
        <v>1.0</v>
      </c>
      <c r="O1605" s="17">
        <v>35.0</v>
      </c>
      <c r="P1605" s="17">
        <v>3.9</v>
      </c>
      <c r="Q1605" s="15">
        <v>45146.0</v>
      </c>
      <c r="R1605" s="12"/>
      <c r="S1605" s="12" t="s">
        <v>55</v>
      </c>
      <c r="T1605" s="12" t="s">
        <v>75</v>
      </c>
      <c r="U1605" s="17">
        <f t="shared" si="1"/>
        <v>1</v>
      </c>
    </row>
    <row r="1606">
      <c r="A1606" s="12" t="s">
        <v>991</v>
      </c>
      <c r="B1606" s="12" t="s">
        <v>308</v>
      </c>
      <c r="C1606" s="17">
        <v>28.0</v>
      </c>
      <c r="D1606" s="12" t="s">
        <v>35</v>
      </c>
      <c r="E1606" s="12" t="s">
        <v>140</v>
      </c>
      <c r="F1606" s="12" t="s">
        <v>37</v>
      </c>
      <c r="G1606" s="12" t="s">
        <v>210</v>
      </c>
      <c r="H1606" s="15">
        <v>45428.0</v>
      </c>
      <c r="I1606" s="17">
        <v>20.0</v>
      </c>
      <c r="J1606" s="12" t="s">
        <v>53</v>
      </c>
      <c r="K1606" s="12" t="s">
        <v>81</v>
      </c>
      <c r="L1606" s="17">
        <v>1464.0</v>
      </c>
      <c r="M1606" s="17">
        <v>2.0</v>
      </c>
      <c r="N1606" s="17">
        <v>0.0</v>
      </c>
      <c r="O1606" s="17">
        <v>26.7</v>
      </c>
      <c r="P1606" s="17">
        <v>4.7</v>
      </c>
      <c r="Q1606" s="15">
        <v>45492.0</v>
      </c>
      <c r="R1606" s="12"/>
      <c r="S1606" s="12" t="s">
        <v>55</v>
      </c>
      <c r="T1606" s="12" t="s">
        <v>47</v>
      </c>
      <c r="U1606" s="17">
        <f t="shared" si="1"/>
        <v>4</v>
      </c>
    </row>
    <row r="1607">
      <c r="A1607" s="12" t="s">
        <v>2078</v>
      </c>
      <c r="B1607" s="12" t="s">
        <v>424</v>
      </c>
      <c r="C1607" s="17">
        <v>30.0</v>
      </c>
      <c r="D1607" s="12" t="s">
        <v>35</v>
      </c>
      <c r="E1607" s="12" t="s">
        <v>161</v>
      </c>
      <c r="F1607" s="12" t="s">
        <v>79</v>
      </c>
      <c r="G1607" s="12" t="s">
        <v>39</v>
      </c>
      <c r="H1607" s="15">
        <v>46009.0</v>
      </c>
      <c r="I1607" s="17">
        <v>48.0</v>
      </c>
      <c r="J1607" s="12" t="s">
        <v>64</v>
      </c>
      <c r="K1607" s="12" t="s">
        <v>65</v>
      </c>
      <c r="L1607" s="17">
        <v>2107.0</v>
      </c>
      <c r="M1607" s="17">
        <v>0.0</v>
      </c>
      <c r="N1607" s="17">
        <v>1.0</v>
      </c>
      <c r="O1607" s="17">
        <v>38.1</v>
      </c>
      <c r="P1607" s="17">
        <v>3.6</v>
      </c>
      <c r="Q1607" s="15">
        <v>46397.0</v>
      </c>
      <c r="R1607" s="12"/>
      <c r="S1607" s="12" t="s">
        <v>55</v>
      </c>
      <c r="T1607" s="12" t="s">
        <v>72</v>
      </c>
      <c r="U1607" s="17">
        <f t="shared" si="1"/>
        <v>1</v>
      </c>
    </row>
    <row r="1608">
      <c r="A1608" s="12" t="s">
        <v>936</v>
      </c>
      <c r="B1608" s="12" t="s">
        <v>202</v>
      </c>
      <c r="C1608" s="17">
        <v>45.0</v>
      </c>
      <c r="D1608" s="12" t="s">
        <v>60</v>
      </c>
      <c r="E1608" s="12" t="s">
        <v>61</v>
      </c>
      <c r="F1608" s="12" t="s">
        <v>37</v>
      </c>
      <c r="G1608" s="12" t="s">
        <v>93</v>
      </c>
      <c r="H1608" s="15">
        <v>44844.0</v>
      </c>
      <c r="I1608" s="17">
        <v>11.0</v>
      </c>
      <c r="J1608" s="12" t="s">
        <v>53</v>
      </c>
      <c r="K1608" s="12" t="s">
        <v>42</v>
      </c>
      <c r="L1608" s="17">
        <v>1097.0</v>
      </c>
      <c r="M1608" s="17">
        <v>2.0</v>
      </c>
      <c r="N1608" s="17">
        <v>0.0</v>
      </c>
      <c r="O1608" s="17">
        <v>21.6</v>
      </c>
      <c r="P1608" s="17">
        <v>3.2</v>
      </c>
      <c r="Q1608" s="15">
        <v>44932.0</v>
      </c>
      <c r="R1608" s="12"/>
      <c r="S1608" s="12" t="s">
        <v>55</v>
      </c>
      <c r="T1608" s="12" t="s">
        <v>104</v>
      </c>
      <c r="U1608" s="17">
        <f t="shared" si="1"/>
        <v>2</v>
      </c>
    </row>
    <row r="1609">
      <c r="A1609" s="12" t="s">
        <v>1625</v>
      </c>
      <c r="B1609" s="12" t="s">
        <v>459</v>
      </c>
      <c r="C1609" s="17">
        <v>27.0</v>
      </c>
      <c r="D1609" s="12" t="s">
        <v>35</v>
      </c>
      <c r="E1609" s="12" t="s">
        <v>161</v>
      </c>
      <c r="F1609" s="12" t="s">
        <v>62</v>
      </c>
      <c r="G1609" s="12" t="s">
        <v>80</v>
      </c>
      <c r="H1609" s="15">
        <v>45721.0</v>
      </c>
      <c r="I1609" s="17">
        <v>10.0</v>
      </c>
      <c r="J1609" s="12" t="s">
        <v>40</v>
      </c>
      <c r="K1609" s="12" t="s">
        <v>42</v>
      </c>
      <c r="L1609" s="17">
        <v>704.0</v>
      </c>
      <c r="M1609" s="17">
        <v>3.0</v>
      </c>
      <c r="N1609" s="17">
        <v>0.0</v>
      </c>
      <c r="O1609" s="17">
        <v>14.9</v>
      </c>
      <c r="P1609" s="17">
        <v>4.4</v>
      </c>
      <c r="Q1609" s="15">
        <v>45858.0</v>
      </c>
      <c r="R1609" s="12"/>
      <c r="S1609" s="12" t="s">
        <v>55</v>
      </c>
      <c r="T1609" s="12" t="s">
        <v>72</v>
      </c>
      <c r="U1609" s="17">
        <f t="shared" si="1"/>
        <v>2</v>
      </c>
    </row>
    <row r="1610">
      <c r="A1610" s="12" t="s">
        <v>2079</v>
      </c>
      <c r="B1610" s="12" t="s">
        <v>651</v>
      </c>
      <c r="C1610" s="17">
        <v>61.0</v>
      </c>
      <c r="D1610" s="12" t="s">
        <v>445</v>
      </c>
      <c r="E1610" s="12" t="s">
        <v>161</v>
      </c>
      <c r="F1610" s="12" t="s">
        <v>62</v>
      </c>
      <c r="G1610" s="12" t="s">
        <v>80</v>
      </c>
      <c r="H1610" s="15">
        <v>44829.0</v>
      </c>
      <c r="I1610" s="17">
        <v>12.0</v>
      </c>
      <c r="J1610" s="12" t="s">
        <v>64</v>
      </c>
      <c r="K1610" s="12" t="s">
        <v>81</v>
      </c>
      <c r="L1610" s="17">
        <v>523.0</v>
      </c>
      <c r="M1610" s="17">
        <v>6.0</v>
      </c>
      <c r="N1610" s="17">
        <v>2.0</v>
      </c>
      <c r="O1610" s="17">
        <v>19.3</v>
      </c>
      <c r="P1610" s="17">
        <v>5.0</v>
      </c>
      <c r="Q1610" s="15">
        <v>44910.0</v>
      </c>
      <c r="R1610" s="12"/>
      <c r="S1610" s="12" t="s">
        <v>55</v>
      </c>
      <c r="T1610" s="12" t="s">
        <v>104</v>
      </c>
      <c r="U1610" s="17">
        <f t="shared" si="1"/>
        <v>1</v>
      </c>
    </row>
    <row r="1611">
      <c r="A1611" s="12" t="s">
        <v>2080</v>
      </c>
      <c r="B1611" s="12" t="s">
        <v>68</v>
      </c>
      <c r="C1611" s="17">
        <v>52.0</v>
      </c>
      <c r="D1611" s="12" t="s">
        <v>445</v>
      </c>
      <c r="E1611" s="12" t="s">
        <v>51</v>
      </c>
      <c r="F1611" s="12" t="s">
        <v>62</v>
      </c>
      <c r="G1611" s="12" t="s">
        <v>210</v>
      </c>
      <c r="H1611" s="15">
        <v>44990.0</v>
      </c>
      <c r="I1611" s="17">
        <v>15.0</v>
      </c>
      <c r="J1611" s="12" t="s">
        <v>53</v>
      </c>
      <c r="K1611" s="12" t="s">
        <v>42</v>
      </c>
      <c r="L1611" s="17">
        <v>597.0</v>
      </c>
      <c r="M1611" s="17">
        <v>2.0</v>
      </c>
      <c r="N1611" s="17">
        <v>1.0</v>
      </c>
      <c r="O1611" s="17">
        <v>12.8</v>
      </c>
      <c r="P1611" s="17">
        <v>3.9</v>
      </c>
      <c r="Q1611" s="15">
        <v>45089.0</v>
      </c>
      <c r="R1611" s="12"/>
      <c r="S1611" s="12" t="s">
        <v>55</v>
      </c>
      <c r="T1611" s="12" t="s">
        <v>47</v>
      </c>
      <c r="U1611" s="17">
        <f t="shared" si="1"/>
        <v>2</v>
      </c>
    </row>
    <row r="1612">
      <c r="A1612" s="12" t="s">
        <v>1238</v>
      </c>
      <c r="B1612" s="12" t="s">
        <v>476</v>
      </c>
      <c r="C1612" s="17">
        <v>38.0</v>
      </c>
      <c r="D1612" s="12" t="s">
        <v>69</v>
      </c>
      <c r="E1612" s="12" t="s">
        <v>177</v>
      </c>
      <c r="F1612" s="12" t="s">
        <v>62</v>
      </c>
      <c r="G1612" s="12" t="s">
        <v>93</v>
      </c>
      <c r="H1612" s="15">
        <v>45405.0</v>
      </c>
      <c r="I1612" s="17">
        <v>44.0</v>
      </c>
      <c r="J1612" s="12" t="s">
        <v>53</v>
      </c>
      <c r="K1612" s="12" t="s">
        <v>81</v>
      </c>
      <c r="L1612" s="17">
        <v>563.0</v>
      </c>
      <c r="M1612" s="17">
        <v>3.0</v>
      </c>
      <c r="N1612" s="17">
        <v>1.0</v>
      </c>
      <c r="O1612" s="17">
        <v>12.5</v>
      </c>
      <c r="P1612" s="17">
        <v>3.6</v>
      </c>
      <c r="Q1612" s="15">
        <v>45795.0</v>
      </c>
      <c r="R1612" s="12"/>
      <c r="S1612" s="12" t="s">
        <v>55</v>
      </c>
      <c r="T1612" s="12" t="s">
        <v>75</v>
      </c>
      <c r="U1612" s="17">
        <f t="shared" si="1"/>
        <v>2</v>
      </c>
    </row>
    <row r="1613">
      <c r="A1613" s="12" t="s">
        <v>982</v>
      </c>
      <c r="B1613" s="12" t="s">
        <v>448</v>
      </c>
      <c r="C1613" s="17">
        <v>34.0</v>
      </c>
      <c r="D1613" s="12" t="s">
        <v>35</v>
      </c>
      <c r="E1613" s="12" t="s">
        <v>51</v>
      </c>
      <c r="F1613" s="12" t="s">
        <v>62</v>
      </c>
      <c r="G1613" s="12" t="s">
        <v>80</v>
      </c>
      <c r="H1613" s="15">
        <v>45442.0</v>
      </c>
      <c r="I1613" s="17">
        <v>28.0</v>
      </c>
      <c r="J1613" s="12" t="s">
        <v>53</v>
      </c>
      <c r="K1613" s="12" t="s">
        <v>65</v>
      </c>
      <c r="L1613" s="17">
        <v>588.0</v>
      </c>
      <c r="M1613" s="17">
        <v>2.0</v>
      </c>
      <c r="N1613" s="17">
        <v>2.0</v>
      </c>
      <c r="O1613" s="17">
        <v>20.2</v>
      </c>
      <c r="P1613" s="17">
        <v>5.0</v>
      </c>
      <c r="Q1613" s="15">
        <v>46199.0</v>
      </c>
      <c r="R1613" s="12"/>
      <c r="S1613" s="12" t="s">
        <v>55</v>
      </c>
      <c r="T1613" s="12" t="s">
        <v>75</v>
      </c>
      <c r="U1613" s="17">
        <f t="shared" si="1"/>
        <v>2</v>
      </c>
    </row>
    <row r="1614">
      <c r="A1614" s="12" t="s">
        <v>894</v>
      </c>
      <c r="B1614" s="12" t="s">
        <v>633</v>
      </c>
      <c r="C1614" s="17">
        <v>68.0</v>
      </c>
      <c r="D1614" s="12" t="s">
        <v>69</v>
      </c>
      <c r="E1614" s="12" t="s">
        <v>177</v>
      </c>
      <c r="F1614" s="12" t="s">
        <v>37</v>
      </c>
      <c r="G1614" s="12" t="s">
        <v>80</v>
      </c>
      <c r="H1614" s="15">
        <v>45866.0</v>
      </c>
      <c r="I1614" s="17">
        <v>41.0</v>
      </c>
      <c r="J1614" s="12" t="s">
        <v>40</v>
      </c>
      <c r="K1614" s="12" t="s">
        <v>65</v>
      </c>
      <c r="L1614" s="17">
        <v>1482.0</v>
      </c>
      <c r="M1614" s="17">
        <v>3.0</v>
      </c>
      <c r="N1614" s="17">
        <v>2.0</v>
      </c>
      <c r="O1614" s="17">
        <v>16.1</v>
      </c>
      <c r="P1614" s="17">
        <v>4.9</v>
      </c>
      <c r="Q1614" s="12"/>
      <c r="R1614" s="12"/>
      <c r="S1614" s="12" t="s">
        <v>55</v>
      </c>
      <c r="T1614" s="12" t="s">
        <v>47</v>
      </c>
      <c r="U1614" s="17">
        <f t="shared" si="1"/>
        <v>2</v>
      </c>
    </row>
    <row r="1615">
      <c r="A1615" s="12" t="s">
        <v>988</v>
      </c>
      <c r="B1615" s="12" t="s">
        <v>179</v>
      </c>
      <c r="C1615" s="17">
        <v>58.0</v>
      </c>
      <c r="D1615" s="12" t="s">
        <v>85</v>
      </c>
      <c r="E1615" s="12" t="s">
        <v>92</v>
      </c>
      <c r="F1615" s="12" t="s">
        <v>37</v>
      </c>
      <c r="G1615" s="12" t="s">
        <v>80</v>
      </c>
      <c r="H1615" s="15">
        <v>44697.0</v>
      </c>
      <c r="I1615" s="17">
        <v>18.0</v>
      </c>
      <c r="J1615" s="12" t="s">
        <v>53</v>
      </c>
      <c r="K1615" s="12" t="s">
        <v>454</v>
      </c>
      <c r="L1615" s="17">
        <v>1160.0</v>
      </c>
      <c r="M1615" s="17">
        <v>3.0</v>
      </c>
      <c r="N1615" s="17">
        <v>2.0</v>
      </c>
      <c r="O1615" s="17">
        <v>24.0</v>
      </c>
      <c r="P1615" s="17">
        <v>3.0</v>
      </c>
      <c r="Q1615" s="15">
        <v>44959.0</v>
      </c>
      <c r="R1615" s="12"/>
      <c r="S1615" s="12" t="s">
        <v>55</v>
      </c>
      <c r="T1615" s="12" t="s">
        <v>72</v>
      </c>
      <c r="U1615" s="17">
        <f t="shared" si="1"/>
        <v>2</v>
      </c>
    </row>
    <row r="1616">
      <c r="A1616" s="12" t="s">
        <v>1316</v>
      </c>
      <c r="B1616" s="12" t="s">
        <v>169</v>
      </c>
      <c r="C1616" s="17">
        <v>68.0</v>
      </c>
      <c r="D1616" s="12" t="s">
        <v>267</v>
      </c>
      <c r="E1616" s="12" t="s">
        <v>133</v>
      </c>
      <c r="F1616" s="12" t="s">
        <v>37</v>
      </c>
      <c r="G1616" s="12" t="s">
        <v>210</v>
      </c>
      <c r="H1616" s="15">
        <v>45010.0</v>
      </c>
      <c r="I1616" s="17">
        <v>16.0</v>
      </c>
      <c r="J1616" s="12" t="s">
        <v>53</v>
      </c>
      <c r="K1616" s="12" t="s">
        <v>65</v>
      </c>
      <c r="L1616" s="12" t="s">
        <v>2081</v>
      </c>
      <c r="M1616" s="17">
        <v>5.0</v>
      </c>
      <c r="N1616" s="17">
        <v>0.0</v>
      </c>
      <c r="O1616" s="17">
        <v>29.4</v>
      </c>
      <c r="P1616" s="17">
        <v>2.8</v>
      </c>
      <c r="Q1616" s="15">
        <v>45101.0</v>
      </c>
      <c r="R1616" s="12"/>
      <c r="S1616" s="12" t="s">
        <v>55</v>
      </c>
      <c r="T1616" s="12" t="s">
        <v>75</v>
      </c>
      <c r="U1616" s="17">
        <f t="shared" si="1"/>
        <v>2</v>
      </c>
    </row>
    <row r="1617">
      <c r="A1617" s="12" t="s">
        <v>1961</v>
      </c>
      <c r="B1617" s="12" t="s">
        <v>448</v>
      </c>
      <c r="C1617" s="17">
        <v>66.0</v>
      </c>
      <c r="D1617" s="12" t="s">
        <v>60</v>
      </c>
      <c r="E1617" s="12" t="s">
        <v>97</v>
      </c>
      <c r="F1617" s="12" t="s">
        <v>62</v>
      </c>
      <c r="G1617" s="12" t="s">
        <v>80</v>
      </c>
      <c r="H1617" s="15">
        <v>45750.0</v>
      </c>
      <c r="I1617" s="17">
        <v>45.0</v>
      </c>
      <c r="J1617" s="12" t="s">
        <v>40</v>
      </c>
      <c r="K1617" s="12" t="s">
        <v>42</v>
      </c>
      <c r="L1617" s="17">
        <v>707.0</v>
      </c>
      <c r="M1617" s="17">
        <v>1.0</v>
      </c>
      <c r="N1617" s="17">
        <v>2.0</v>
      </c>
      <c r="O1617" s="17">
        <v>14.8</v>
      </c>
      <c r="P1617" s="17">
        <v>1.9</v>
      </c>
      <c r="Q1617" s="15">
        <v>47058.0</v>
      </c>
      <c r="R1617" s="12"/>
      <c r="S1617" s="12" t="s">
        <v>217</v>
      </c>
      <c r="T1617" s="12" t="s">
        <v>72</v>
      </c>
      <c r="U1617" s="17">
        <f t="shared" si="1"/>
        <v>2</v>
      </c>
    </row>
    <row r="1618">
      <c r="A1618" s="12" t="s">
        <v>1617</v>
      </c>
      <c r="B1618" s="12" t="s">
        <v>801</v>
      </c>
      <c r="C1618" s="17">
        <v>66.0</v>
      </c>
      <c r="D1618" s="12" t="s">
        <v>85</v>
      </c>
      <c r="E1618" s="12" t="s">
        <v>87</v>
      </c>
      <c r="F1618" s="12" t="s">
        <v>79</v>
      </c>
      <c r="G1618" s="12" t="s">
        <v>39</v>
      </c>
      <c r="H1618" s="15">
        <v>45171.0</v>
      </c>
      <c r="I1618" s="17">
        <v>7.0</v>
      </c>
      <c r="J1618" s="12" t="s">
        <v>64</v>
      </c>
      <c r="K1618" s="12" t="s">
        <v>81</v>
      </c>
      <c r="L1618" s="17">
        <v>3311.0</v>
      </c>
      <c r="M1618" s="17">
        <v>0.0</v>
      </c>
      <c r="N1618" s="17">
        <v>2.0</v>
      </c>
      <c r="O1618" s="17">
        <v>39.7</v>
      </c>
      <c r="P1618" s="17">
        <v>2.5</v>
      </c>
      <c r="Q1618" s="15">
        <v>45298.0</v>
      </c>
      <c r="R1618" s="12"/>
      <c r="S1618" s="12" t="s">
        <v>55</v>
      </c>
      <c r="T1618" s="12" t="s">
        <v>47</v>
      </c>
      <c r="U1618" s="17">
        <f t="shared" si="1"/>
        <v>2</v>
      </c>
    </row>
    <row r="1619">
      <c r="A1619" s="12" t="s">
        <v>2082</v>
      </c>
      <c r="B1619" s="12" t="s">
        <v>135</v>
      </c>
      <c r="C1619" s="17">
        <v>44.0</v>
      </c>
      <c r="D1619" s="12" t="s">
        <v>60</v>
      </c>
      <c r="E1619" s="12" t="s">
        <v>97</v>
      </c>
      <c r="F1619" s="12" t="s">
        <v>79</v>
      </c>
      <c r="G1619" s="12" t="s">
        <v>210</v>
      </c>
      <c r="H1619" s="15">
        <v>45403.0</v>
      </c>
      <c r="I1619" s="17">
        <v>36.0</v>
      </c>
      <c r="J1619" s="12" t="s">
        <v>64</v>
      </c>
      <c r="K1619" s="12" t="s">
        <v>81</v>
      </c>
      <c r="L1619" s="17">
        <v>2503.0</v>
      </c>
      <c r="M1619" s="17">
        <v>3.0</v>
      </c>
      <c r="N1619" s="17">
        <v>0.0</v>
      </c>
      <c r="O1619" s="17">
        <v>36.4</v>
      </c>
      <c r="P1619" s="17">
        <v>3.3</v>
      </c>
      <c r="Q1619" s="15">
        <v>45466.0</v>
      </c>
      <c r="R1619" s="12"/>
      <c r="S1619" s="12" t="s">
        <v>55</v>
      </c>
      <c r="T1619" s="12" t="s">
        <v>47</v>
      </c>
      <c r="U1619" s="17">
        <f t="shared" si="1"/>
        <v>1</v>
      </c>
    </row>
    <row r="1620">
      <c r="A1620" s="12" t="s">
        <v>2083</v>
      </c>
      <c r="B1620" s="12" t="s">
        <v>247</v>
      </c>
      <c r="C1620" s="17">
        <v>25.0</v>
      </c>
      <c r="D1620" s="12" t="s">
        <v>85</v>
      </c>
      <c r="E1620" s="12" t="s">
        <v>111</v>
      </c>
      <c r="F1620" s="12" t="s">
        <v>37</v>
      </c>
      <c r="G1620" s="12" t="s">
        <v>93</v>
      </c>
      <c r="H1620" s="15">
        <v>45680.0</v>
      </c>
      <c r="I1620" s="17">
        <v>43.0</v>
      </c>
      <c r="J1620" s="12" t="s">
        <v>53</v>
      </c>
      <c r="K1620" s="12" t="s">
        <v>81</v>
      </c>
      <c r="L1620" s="17">
        <v>1361.0</v>
      </c>
      <c r="M1620" s="17">
        <v>2.0</v>
      </c>
      <c r="N1620" s="17">
        <v>0.0</v>
      </c>
      <c r="O1620" s="17">
        <v>23.5</v>
      </c>
      <c r="P1620" s="17">
        <v>3.3</v>
      </c>
      <c r="Q1620" s="15">
        <v>46149.0</v>
      </c>
      <c r="R1620" s="12"/>
      <c r="S1620" s="12" t="s">
        <v>55</v>
      </c>
      <c r="T1620" s="12" t="s">
        <v>47</v>
      </c>
      <c r="U1620" s="17">
        <f t="shared" si="1"/>
        <v>1</v>
      </c>
    </row>
    <row r="1621">
      <c r="A1621" s="12" t="s">
        <v>862</v>
      </c>
      <c r="B1621" s="12" t="s">
        <v>96</v>
      </c>
      <c r="C1621" s="17">
        <v>25.0</v>
      </c>
      <c r="D1621" s="12" t="s">
        <v>85</v>
      </c>
      <c r="E1621" s="12" t="s">
        <v>292</v>
      </c>
      <c r="F1621" s="12" t="s">
        <v>62</v>
      </c>
      <c r="G1621" s="12" t="s">
        <v>63</v>
      </c>
      <c r="H1621" s="15">
        <v>45580.0</v>
      </c>
      <c r="I1621" s="17">
        <v>14.0</v>
      </c>
      <c r="J1621" s="12" t="s">
        <v>53</v>
      </c>
      <c r="K1621" s="12" t="s">
        <v>81</v>
      </c>
      <c r="L1621" s="12"/>
      <c r="M1621" s="17">
        <v>2.0</v>
      </c>
      <c r="N1621" s="17">
        <v>2.0</v>
      </c>
      <c r="O1621" s="17">
        <v>21.0</v>
      </c>
      <c r="P1621" s="17">
        <v>4.2</v>
      </c>
      <c r="Q1621" s="15">
        <v>45943.0</v>
      </c>
      <c r="R1621" s="12"/>
      <c r="S1621" s="12" t="s">
        <v>55</v>
      </c>
      <c r="T1621" s="12" t="s">
        <v>66</v>
      </c>
      <c r="U1621" s="17">
        <f t="shared" si="1"/>
        <v>6</v>
      </c>
    </row>
    <row r="1622">
      <c r="A1622" s="12" t="s">
        <v>1164</v>
      </c>
      <c r="B1622" s="12" t="s">
        <v>139</v>
      </c>
      <c r="C1622" s="17">
        <v>31.0</v>
      </c>
      <c r="D1622" s="12" t="s">
        <v>85</v>
      </c>
      <c r="E1622" s="12" t="s">
        <v>292</v>
      </c>
      <c r="F1622" s="12" t="s">
        <v>37</v>
      </c>
      <c r="G1622" s="12" t="s">
        <v>39</v>
      </c>
      <c r="H1622" s="15">
        <v>45353.0</v>
      </c>
      <c r="I1622" s="17">
        <v>47.0</v>
      </c>
      <c r="J1622" s="12" t="s">
        <v>64</v>
      </c>
      <c r="K1622" s="12" t="s">
        <v>65</v>
      </c>
      <c r="L1622" s="17">
        <v>1119.0</v>
      </c>
      <c r="M1622" s="17">
        <v>1.0</v>
      </c>
      <c r="N1622" s="17">
        <v>0.0</v>
      </c>
      <c r="O1622" s="17">
        <v>31.6</v>
      </c>
      <c r="P1622" s="17">
        <v>4.2</v>
      </c>
      <c r="Q1622" s="15">
        <v>45613.0</v>
      </c>
      <c r="R1622" s="12"/>
      <c r="S1622" s="12" t="s">
        <v>55</v>
      </c>
      <c r="T1622" s="12" t="s">
        <v>75</v>
      </c>
      <c r="U1622" s="17">
        <f t="shared" si="1"/>
        <v>2</v>
      </c>
    </row>
    <row r="1623">
      <c r="A1623" s="12" t="s">
        <v>1132</v>
      </c>
      <c r="B1623" s="12" t="s">
        <v>184</v>
      </c>
      <c r="C1623" s="17">
        <v>67.0</v>
      </c>
      <c r="D1623" s="12" t="s">
        <v>69</v>
      </c>
      <c r="E1623" s="12" t="s">
        <v>177</v>
      </c>
      <c r="F1623" s="12" t="s">
        <v>37</v>
      </c>
      <c r="G1623" s="12" t="s">
        <v>93</v>
      </c>
      <c r="H1623" s="15">
        <v>44857.0</v>
      </c>
      <c r="I1623" s="17">
        <v>48.0</v>
      </c>
      <c r="J1623" s="12" t="s">
        <v>53</v>
      </c>
      <c r="K1623" s="12" t="s">
        <v>42</v>
      </c>
      <c r="L1623" s="17">
        <v>1167.0</v>
      </c>
      <c r="M1623" s="17">
        <v>3.0</v>
      </c>
      <c r="N1623" s="17">
        <v>2.0</v>
      </c>
      <c r="O1623" s="17">
        <v>30.6</v>
      </c>
      <c r="P1623" s="17">
        <v>3.2</v>
      </c>
      <c r="Q1623" s="15">
        <v>46305.0</v>
      </c>
      <c r="R1623" s="12"/>
      <c r="S1623" s="12" t="s">
        <v>55</v>
      </c>
      <c r="T1623" s="12" t="s">
        <v>47</v>
      </c>
      <c r="U1623" s="17">
        <f t="shared" si="1"/>
        <v>3</v>
      </c>
    </row>
    <row r="1624">
      <c r="A1624" s="12" t="s">
        <v>1366</v>
      </c>
      <c r="B1624" s="12" t="s">
        <v>247</v>
      </c>
      <c r="C1624" s="17">
        <v>61.0</v>
      </c>
      <c r="D1624" s="12" t="s">
        <v>35</v>
      </c>
      <c r="E1624" s="12" t="s">
        <v>140</v>
      </c>
      <c r="F1624" s="12" t="s">
        <v>497</v>
      </c>
      <c r="G1624" s="12" t="s">
        <v>80</v>
      </c>
      <c r="H1624" s="15">
        <v>45767.0</v>
      </c>
      <c r="I1624" s="17">
        <v>41.0</v>
      </c>
      <c r="J1624" s="12" t="s">
        <v>40</v>
      </c>
      <c r="K1624" s="12" t="s">
        <v>42</v>
      </c>
      <c r="L1624" s="17">
        <v>504.0</v>
      </c>
      <c r="M1624" s="17">
        <v>3.0</v>
      </c>
      <c r="N1624" s="17">
        <v>1.0</v>
      </c>
      <c r="O1624" s="17">
        <v>12.3</v>
      </c>
      <c r="P1624" s="17">
        <v>4.8</v>
      </c>
      <c r="Q1624" s="15">
        <v>46949.0</v>
      </c>
      <c r="R1624" s="12" t="s">
        <v>2084</v>
      </c>
      <c r="S1624" s="12" t="s">
        <v>45</v>
      </c>
      <c r="T1624" s="12" t="s">
        <v>75</v>
      </c>
      <c r="U1624" s="17">
        <f t="shared" si="1"/>
        <v>3</v>
      </c>
    </row>
    <row r="1625">
      <c r="A1625" s="12" t="s">
        <v>1812</v>
      </c>
      <c r="B1625" s="12" t="s">
        <v>395</v>
      </c>
      <c r="C1625" s="17">
        <v>32.0</v>
      </c>
      <c r="D1625" s="12" t="s">
        <v>85</v>
      </c>
      <c r="E1625" s="12" t="s">
        <v>92</v>
      </c>
      <c r="F1625" s="12" t="s">
        <v>37</v>
      </c>
      <c r="G1625" s="12" t="s">
        <v>63</v>
      </c>
      <c r="H1625" s="15">
        <v>45832.0</v>
      </c>
      <c r="I1625" s="17">
        <v>27.0</v>
      </c>
      <c r="J1625" s="12" t="s">
        <v>53</v>
      </c>
      <c r="K1625" s="12" t="s">
        <v>42</v>
      </c>
      <c r="L1625" s="17">
        <v>1025.0</v>
      </c>
      <c r="M1625" s="17">
        <v>1.0</v>
      </c>
      <c r="N1625" s="17">
        <v>0.0</v>
      </c>
      <c r="O1625" s="17">
        <v>46.2</v>
      </c>
      <c r="P1625" s="17">
        <v>3.0</v>
      </c>
      <c r="Q1625" s="15">
        <v>46540.0</v>
      </c>
      <c r="R1625" s="12"/>
      <c r="S1625" s="12" t="s">
        <v>55</v>
      </c>
      <c r="T1625" s="12" t="s">
        <v>66</v>
      </c>
      <c r="U1625" s="17">
        <f t="shared" si="1"/>
        <v>3</v>
      </c>
    </row>
    <row r="1626">
      <c r="A1626" s="12" t="s">
        <v>1878</v>
      </c>
      <c r="B1626" s="12" t="s">
        <v>232</v>
      </c>
      <c r="C1626" s="17">
        <v>65.0</v>
      </c>
      <c r="D1626" s="12" t="s">
        <v>35</v>
      </c>
      <c r="E1626" s="12" t="s">
        <v>36</v>
      </c>
      <c r="F1626" s="12" t="s">
        <v>79</v>
      </c>
      <c r="G1626" s="12" t="s">
        <v>63</v>
      </c>
      <c r="H1626" s="15">
        <v>44909.0</v>
      </c>
      <c r="I1626" s="17">
        <v>23.0</v>
      </c>
      <c r="J1626" s="12" t="s">
        <v>64</v>
      </c>
      <c r="K1626" s="12" t="s">
        <v>42</v>
      </c>
      <c r="L1626" s="17">
        <v>2231.0</v>
      </c>
      <c r="M1626" s="17">
        <v>2.0</v>
      </c>
      <c r="N1626" s="17">
        <v>3.0</v>
      </c>
      <c r="O1626" s="17">
        <v>35.5</v>
      </c>
      <c r="P1626" s="17">
        <v>3.0</v>
      </c>
      <c r="Q1626" s="15">
        <v>45329.0</v>
      </c>
      <c r="R1626" s="12" t="s">
        <v>2085</v>
      </c>
      <c r="S1626" s="12" t="s">
        <v>45</v>
      </c>
      <c r="T1626" s="12" t="s">
        <v>104</v>
      </c>
      <c r="U1626" s="17">
        <f t="shared" si="1"/>
        <v>3</v>
      </c>
    </row>
    <row r="1627">
      <c r="A1627" s="12" t="s">
        <v>771</v>
      </c>
      <c r="B1627" s="12" t="s">
        <v>398</v>
      </c>
      <c r="C1627" s="17">
        <v>37.0</v>
      </c>
      <c r="D1627" s="12" t="s">
        <v>69</v>
      </c>
      <c r="E1627" s="12" t="s">
        <v>187</v>
      </c>
      <c r="F1627" s="12" t="s">
        <v>62</v>
      </c>
      <c r="G1627" s="12" t="s">
        <v>210</v>
      </c>
      <c r="H1627" s="15">
        <v>45003.0</v>
      </c>
      <c r="I1627" s="17">
        <v>31.0</v>
      </c>
      <c r="J1627" s="12" t="s">
        <v>40</v>
      </c>
      <c r="K1627" s="12" t="s">
        <v>81</v>
      </c>
      <c r="L1627" s="17">
        <v>713.0</v>
      </c>
      <c r="M1627" s="17">
        <v>1.0</v>
      </c>
      <c r="N1627" s="17">
        <v>0.0</v>
      </c>
      <c r="O1627" s="17">
        <v>17.2</v>
      </c>
      <c r="P1627" s="17">
        <v>2.5</v>
      </c>
      <c r="Q1627" s="15">
        <v>45832.0</v>
      </c>
      <c r="R1627" s="12" t="s">
        <v>1517</v>
      </c>
      <c r="S1627" s="12" t="s">
        <v>45</v>
      </c>
      <c r="T1627" s="12" t="s">
        <v>66</v>
      </c>
      <c r="U1627" s="17">
        <f t="shared" si="1"/>
        <v>2</v>
      </c>
    </row>
    <row r="1628">
      <c r="A1628" s="12" t="s">
        <v>1834</v>
      </c>
      <c r="B1628" s="12" t="s">
        <v>247</v>
      </c>
      <c r="C1628" s="17">
        <v>25.0</v>
      </c>
      <c r="D1628" s="12" t="s">
        <v>60</v>
      </c>
      <c r="E1628" s="12" t="s">
        <v>61</v>
      </c>
      <c r="F1628" s="12" t="s">
        <v>37</v>
      </c>
      <c r="G1628" s="12" t="s">
        <v>63</v>
      </c>
      <c r="H1628" s="15">
        <v>45451.0</v>
      </c>
      <c r="I1628" s="17">
        <v>32.0</v>
      </c>
      <c r="J1628" s="12" t="s">
        <v>53</v>
      </c>
      <c r="K1628" s="12" t="s">
        <v>42</v>
      </c>
      <c r="L1628" s="17">
        <v>1074.0</v>
      </c>
      <c r="M1628" s="17">
        <v>2.0</v>
      </c>
      <c r="N1628" s="17">
        <v>2.0</v>
      </c>
      <c r="O1628" s="17">
        <v>25.0</v>
      </c>
      <c r="P1628" s="17">
        <v>3.2</v>
      </c>
      <c r="Q1628" s="15">
        <v>46391.0</v>
      </c>
      <c r="R1628" s="12"/>
      <c r="S1628" s="12" t="s">
        <v>55</v>
      </c>
      <c r="T1628" s="12" t="s">
        <v>72</v>
      </c>
      <c r="U1628" s="17">
        <f t="shared" si="1"/>
        <v>3</v>
      </c>
    </row>
    <row r="1629">
      <c r="A1629" s="12" t="s">
        <v>441</v>
      </c>
      <c r="B1629" s="12" t="s">
        <v>135</v>
      </c>
      <c r="C1629" s="17">
        <v>44.0</v>
      </c>
      <c r="D1629" s="12" t="s">
        <v>35</v>
      </c>
      <c r="E1629" s="12" t="s">
        <v>36</v>
      </c>
      <c r="F1629" s="12" t="s">
        <v>62</v>
      </c>
      <c r="G1629" s="12" t="s">
        <v>210</v>
      </c>
      <c r="H1629" s="15">
        <v>45905.0</v>
      </c>
      <c r="I1629" s="17">
        <v>11.0</v>
      </c>
      <c r="J1629" s="12" t="s">
        <v>64</v>
      </c>
      <c r="K1629" s="12" t="s">
        <v>42</v>
      </c>
      <c r="L1629" s="17">
        <v>518.0</v>
      </c>
      <c r="M1629" s="17">
        <v>2.0</v>
      </c>
      <c r="N1629" s="17">
        <v>0.0</v>
      </c>
      <c r="O1629" s="17">
        <v>9.3</v>
      </c>
      <c r="P1629" s="17">
        <v>3.4</v>
      </c>
      <c r="Q1629" s="15">
        <v>46202.0</v>
      </c>
      <c r="R1629" s="12" t="s">
        <v>931</v>
      </c>
      <c r="S1629" s="12" t="s">
        <v>45</v>
      </c>
      <c r="T1629" s="12" t="s">
        <v>104</v>
      </c>
      <c r="U1629" s="17">
        <f t="shared" si="1"/>
        <v>4</v>
      </c>
    </row>
    <row r="1630">
      <c r="A1630" s="12" t="s">
        <v>245</v>
      </c>
      <c r="B1630" s="12" t="s">
        <v>96</v>
      </c>
      <c r="C1630" s="17">
        <v>32.0</v>
      </c>
      <c r="D1630" s="12" t="s">
        <v>35</v>
      </c>
      <c r="E1630" s="12" t="s">
        <v>51</v>
      </c>
      <c r="F1630" s="12" t="s">
        <v>62</v>
      </c>
      <c r="G1630" s="12" t="s">
        <v>63</v>
      </c>
      <c r="H1630" s="15">
        <v>44972.0</v>
      </c>
      <c r="I1630" s="17">
        <v>17.0</v>
      </c>
      <c r="J1630" s="12" t="s">
        <v>53</v>
      </c>
      <c r="K1630" s="12" t="s">
        <v>42</v>
      </c>
      <c r="L1630" s="17">
        <v>879.0</v>
      </c>
      <c r="M1630" s="17">
        <v>3.0</v>
      </c>
      <c r="N1630" s="17">
        <v>0.0</v>
      </c>
      <c r="O1630" s="17">
        <v>27.2</v>
      </c>
      <c r="P1630" s="17">
        <v>2.3</v>
      </c>
      <c r="Q1630" s="15">
        <v>45249.0</v>
      </c>
      <c r="R1630" s="12"/>
      <c r="S1630" s="12" t="s">
        <v>55</v>
      </c>
      <c r="T1630" s="12" t="s">
        <v>104</v>
      </c>
      <c r="U1630" s="17">
        <f t="shared" si="1"/>
        <v>4</v>
      </c>
    </row>
    <row r="1631">
      <c r="A1631" s="12" t="s">
        <v>1894</v>
      </c>
      <c r="B1631" s="12" t="s">
        <v>308</v>
      </c>
      <c r="C1631" s="17">
        <v>24.0</v>
      </c>
      <c r="D1631" s="12" t="s">
        <v>35</v>
      </c>
      <c r="E1631" s="12" t="s">
        <v>140</v>
      </c>
      <c r="F1631" s="12" t="s">
        <v>37</v>
      </c>
      <c r="G1631" s="12" t="s">
        <v>52</v>
      </c>
      <c r="H1631" s="15">
        <v>44758.0</v>
      </c>
      <c r="I1631" s="17">
        <v>32.0</v>
      </c>
      <c r="J1631" s="12" t="s">
        <v>53</v>
      </c>
      <c r="K1631" s="12" t="s">
        <v>65</v>
      </c>
      <c r="L1631" s="17">
        <v>1101.0</v>
      </c>
      <c r="M1631" s="17">
        <v>2.0</v>
      </c>
      <c r="N1631" s="17">
        <v>0.0</v>
      </c>
      <c r="O1631" s="17">
        <v>26.7</v>
      </c>
      <c r="P1631" s="17">
        <v>3.8</v>
      </c>
      <c r="Q1631" s="15">
        <v>45710.0</v>
      </c>
      <c r="R1631" s="12" t="s">
        <v>1495</v>
      </c>
      <c r="S1631" s="12" t="s">
        <v>45</v>
      </c>
      <c r="T1631" s="12" t="s">
        <v>104</v>
      </c>
      <c r="U1631" s="17">
        <f t="shared" si="1"/>
        <v>2</v>
      </c>
    </row>
    <row r="1632">
      <c r="A1632" s="12" t="s">
        <v>73</v>
      </c>
      <c r="B1632" s="12" t="s">
        <v>364</v>
      </c>
      <c r="C1632" s="17">
        <v>29.0</v>
      </c>
      <c r="D1632" s="12" t="s">
        <v>35</v>
      </c>
      <c r="E1632" s="12" t="s">
        <v>140</v>
      </c>
      <c r="F1632" s="12" t="s">
        <v>62</v>
      </c>
      <c r="G1632" s="12" t="s">
        <v>39</v>
      </c>
      <c r="H1632" s="15">
        <v>46006.0</v>
      </c>
      <c r="I1632" s="17">
        <v>7.0</v>
      </c>
      <c r="J1632" s="12" t="s">
        <v>64</v>
      </c>
      <c r="K1632" s="12" t="s">
        <v>81</v>
      </c>
      <c r="L1632" s="17">
        <v>657.0</v>
      </c>
      <c r="M1632" s="17">
        <v>1.0</v>
      </c>
      <c r="N1632" s="17">
        <v>2.0</v>
      </c>
      <c r="O1632" s="17">
        <v>19.0</v>
      </c>
      <c r="P1632" s="17">
        <v>4.6</v>
      </c>
      <c r="Q1632" s="15">
        <v>46093.0</v>
      </c>
      <c r="R1632" s="12"/>
      <c r="S1632" s="12" t="s">
        <v>55</v>
      </c>
      <c r="T1632" s="12" t="s">
        <v>104</v>
      </c>
      <c r="U1632" s="17">
        <f t="shared" si="1"/>
        <v>3</v>
      </c>
    </row>
    <row r="1633">
      <c r="A1633" s="12" t="s">
        <v>1666</v>
      </c>
      <c r="B1633" s="12" t="s">
        <v>172</v>
      </c>
      <c r="C1633" s="17">
        <v>46.0</v>
      </c>
      <c r="D1633" s="12" t="s">
        <v>35</v>
      </c>
      <c r="E1633" s="12" t="s">
        <v>36</v>
      </c>
      <c r="F1633" s="12" t="s">
        <v>62</v>
      </c>
      <c r="G1633" s="12" t="s">
        <v>80</v>
      </c>
      <c r="H1633" s="15">
        <v>45502.0</v>
      </c>
      <c r="I1633" s="17">
        <v>41.0</v>
      </c>
      <c r="J1633" s="12" t="s">
        <v>53</v>
      </c>
      <c r="K1633" s="12" t="s">
        <v>81</v>
      </c>
      <c r="L1633" s="17">
        <v>568.0</v>
      </c>
      <c r="M1633" s="17">
        <v>2.0</v>
      </c>
      <c r="N1633" s="17">
        <v>1.0</v>
      </c>
      <c r="O1633" s="17">
        <v>1.0</v>
      </c>
      <c r="P1633" s="17">
        <v>4.1</v>
      </c>
      <c r="Q1633" s="15">
        <v>45665.0</v>
      </c>
      <c r="R1633" s="12"/>
      <c r="S1633" s="12" t="s">
        <v>55</v>
      </c>
      <c r="T1633" s="12" t="s">
        <v>72</v>
      </c>
      <c r="U1633" s="17">
        <f t="shared" si="1"/>
        <v>2</v>
      </c>
    </row>
    <row r="1634">
      <c r="A1634" s="12" t="s">
        <v>1537</v>
      </c>
      <c r="B1634" s="12" t="s">
        <v>398</v>
      </c>
      <c r="C1634" s="17">
        <v>61.0</v>
      </c>
      <c r="D1634" s="12" t="s">
        <v>85</v>
      </c>
      <c r="E1634" s="12" t="s">
        <v>92</v>
      </c>
      <c r="F1634" s="12" t="s">
        <v>79</v>
      </c>
      <c r="G1634" s="12" t="s">
        <v>39</v>
      </c>
      <c r="H1634" s="15">
        <v>45801.0</v>
      </c>
      <c r="I1634" s="17">
        <v>5.0</v>
      </c>
      <c r="J1634" s="12" t="s">
        <v>53</v>
      </c>
      <c r="K1634" s="12" t="s">
        <v>42</v>
      </c>
      <c r="L1634" s="17">
        <v>3879.0</v>
      </c>
      <c r="M1634" s="17">
        <v>1.0</v>
      </c>
      <c r="N1634" s="17">
        <v>1.0</v>
      </c>
      <c r="O1634" s="17">
        <v>48.9</v>
      </c>
      <c r="P1634" s="17">
        <v>3.5</v>
      </c>
      <c r="Q1634" s="15">
        <v>45938.0</v>
      </c>
      <c r="R1634" s="12"/>
      <c r="S1634" s="12" t="s">
        <v>55</v>
      </c>
      <c r="T1634" s="12" t="s">
        <v>66</v>
      </c>
      <c r="U1634" s="17">
        <f t="shared" si="1"/>
        <v>3</v>
      </c>
    </row>
    <row r="1635">
      <c r="A1635" s="12" t="s">
        <v>2086</v>
      </c>
      <c r="B1635" s="12" t="s">
        <v>636</v>
      </c>
      <c r="C1635" s="17">
        <v>22.0</v>
      </c>
      <c r="D1635" s="12" t="s">
        <v>69</v>
      </c>
      <c r="E1635" s="12" t="s">
        <v>187</v>
      </c>
      <c r="F1635" s="12" t="s">
        <v>37</v>
      </c>
      <c r="G1635" s="12" t="s">
        <v>63</v>
      </c>
      <c r="H1635" s="15">
        <v>45275.0</v>
      </c>
      <c r="I1635" s="17">
        <v>19.0</v>
      </c>
      <c r="J1635" s="12" t="s">
        <v>53</v>
      </c>
      <c r="K1635" s="12" t="s">
        <v>81</v>
      </c>
      <c r="L1635" s="17">
        <v>1726.0</v>
      </c>
      <c r="M1635" s="17">
        <v>1.0</v>
      </c>
      <c r="N1635" s="17">
        <v>0.0</v>
      </c>
      <c r="O1635" s="17">
        <v>24.9</v>
      </c>
      <c r="P1635" s="17">
        <v>4.0</v>
      </c>
      <c r="Q1635" s="15">
        <v>45369.0</v>
      </c>
      <c r="R1635" s="12" t="s">
        <v>1877</v>
      </c>
      <c r="S1635" s="12" t="s">
        <v>45</v>
      </c>
      <c r="T1635" s="12" t="s">
        <v>75</v>
      </c>
      <c r="U1635" s="17">
        <f t="shared" si="1"/>
        <v>1</v>
      </c>
    </row>
    <row r="1636">
      <c r="A1636" s="12" t="s">
        <v>2087</v>
      </c>
      <c r="B1636" s="12" t="s">
        <v>241</v>
      </c>
      <c r="C1636" s="17">
        <v>23.0</v>
      </c>
      <c r="D1636" s="12" t="s">
        <v>69</v>
      </c>
      <c r="E1636" s="12" t="s">
        <v>119</v>
      </c>
      <c r="F1636" s="12" t="s">
        <v>62</v>
      </c>
      <c r="G1636" s="12" t="s">
        <v>80</v>
      </c>
      <c r="H1636" s="15">
        <v>45080.0</v>
      </c>
      <c r="I1636" s="17">
        <v>23.0</v>
      </c>
      <c r="J1636" s="12" t="s">
        <v>40</v>
      </c>
      <c r="K1636" s="12" t="s">
        <v>42</v>
      </c>
      <c r="L1636" s="17">
        <v>664.0</v>
      </c>
      <c r="M1636" s="17">
        <v>1.0</v>
      </c>
      <c r="N1636" s="17">
        <v>1.0</v>
      </c>
      <c r="O1636" s="17">
        <v>19.5</v>
      </c>
      <c r="P1636" s="17">
        <v>4.5</v>
      </c>
      <c r="Q1636" s="15">
        <v>45761.0</v>
      </c>
      <c r="R1636" s="12"/>
      <c r="S1636" s="12" t="s">
        <v>55</v>
      </c>
      <c r="T1636" s="12" t="s">
        <v>72</v>
      </c>
      <c r="U1636" s="17">
        <f t="shared" si="1"/>
        <v>1</v>
      </c>
    </row>
    <row r="1637">
      <c r="A1637" s="12" t="s">
        <v>1403</v>
      </c>
      <c r="B1637" s="12" t="s">
        <v>393</v>
      </c>
      <c r="C1637" s="17">
        <v>57.0</v>
      </c>
      <c r="D1637" s="12" t="s">
        <v>85</v>
      </c>
      <c r="E1637" s="12" t="s">
        <v>292</v>
      </c>
      <c r="F1637" s="12" t="s">
        <v>79</v>
      </c>
      <c r="G1637" s="12" t="s">
        <v>120</v>
      </c>
      <c r="H1637" s="15">
        <v>45757.0</v>
      </c>
      <c r="I1637" s="17">
        <v>35.0</v>
      </c>
      <c r="J1637" s="12" t="s">
        <v>53</v>
      </c>
      <c r="K1637" s="12" t="s">
        <v>805</v>
      </c>
      <c r="L1637" s="17">
        <v>3065.0</v>
      </c>
      <c r="M1637" s="17">
        <v>2.0</v>
      </c>
      <c r="N1637" s="12"/>
      <c r="O1637" s="17">
        <v>31.1</v>
      </c>
      <c r="P1637" s="17">
        <v>5.0</v>
      </c>
      <c r="Q1637" s="15">
        <v>46502.0</v>
      </c>
      <c r="R1637" s="12"/>
      <c r="S1637" s="12" t="s">
        <v>55</v>
      </c>
      <c r="T1637" s="12" t="s">
        <v>66</v>
      </c>
      <c r="U1637" s="17">
        <f t="shared" si="1"/>
        <v>2</v>
      </c>
    </row>
    <row r="1638">
      <c r="A1638" s="12" t="s">
        <v>1366</v>
      </c>
      <c r="B1638" s="12" t="s">
        <v>801</v>
      </c>
      <c r="C1638" s="17">
        <v>42.0</v>
      </c>
      <c r="D1638" s="12" t="s">
        <v>69</v>
      </c>
      <c r="E1638" s="12" t="s">
        <v>70</v>
      </c>
      <c r="F1638" s="12" t="s">
        <v>62</v>
      </c>
      <c r="G1638" s="12" t="s">
        <v>63</v>
      </c>
      <c r="H1638" s="15">
        <v>45772.0</v>
      </c>
      <c r="I1638" s="17">
        <v>41.0</v>
      </c>
      <c r="J1638" s="12" t="s">
        <v>53</v>
      </c>
      <c r="K1638" s="12" t="s">
        <v>81</v>
      </c>
      <c r="L1638" s="17">
        <v>673.0</v>
      </c>
      <c r="M1638" s="17">
        <v>2.0</v>
      </c>
      <c r="N1638" s="17">
        <v>0.0</v>
      </c>
      <c r="O1638" s="17">
        <v>17.5</v>
      </c>
      <c r="P1638" s="17">
        <v>2.4</v>
      </c>
      <c r="Q1638" s="15">
        <v>46494.0</v>
      </c>
      <c r="R1638" s="12"/>
      <c r="S1638" s="12" t="s">
        <v>55</v>
      </c>
      <c r="T1638" s="12" t="s">
        <v>72</v>
      </c>
      <c r="U1638" s="17">
        <f t="shared" si="1"/>
        <v>3</v>
      </c>
    </row>
    <row r="1639">
      <c r="A1639" s="12" t="s">
        <v>1240</v>
      </c>
      <c r="B1639" s="12" t="s">
        <v>411</v>
      </c>
      <c r="C1639" s="17">
        <v>20.0</v>
      </c>
      <c r="D1639" s="12" t="s">
        <v>69</v>
      </c>
      <c r="E1639" s="12" t="s">
        <v>119</v>
      </c>
      <c r="F1639" s="12" t="s">
        <v>37</v>
      </c>
      <c r="G1639" s="12" t="s">
        <v>1014</v>
      </c>
      <c r="H1639" s="15">
        <v>45495.0</v>
      </c>
      <c r="I1639" s="17">
        <v>10.0</v>
      </c>
      <c r="J1639" s="12" t="s">
        <v>53</v>
      </c>
      <c r="K1639" s="12" t="s">
        <v>65</v>
      </c>
      <c r="L1639" s="17">
        <v>1777.0</v>
      </c>
      <c r="M1639" s="17">
        <v>2.0</v>
      </c>
      <c r="N1639" s="17">
        <v>0.0</v>
      </c>
      <c r="O1639" s="17">
        <v>14.4</v>
      </c>
      <c r="P1639" s="17">
        <v>4.0</v>
      </c>
      <c r="Q1639" s="15">
        <v>45690.0</v>
      </c>
      <c r="R1639" s="12"/>
      <c r="S1639" s="12" t="s">
        <v>55</v>
      </c>
      <c r="T1639" s="12" t="s">
        <v>104</v>
      </c>
      <c r="U1639" s="17">
        <f t="shared" si="1"/>
        <v>3</v>
      </c>
    </row>
    <row r="1640">
      <c r="A1640" s="12" t="s">
        <v>2088</v>
      </c>
      <c r="B1640" s="12" t="s">
        <v>476</v>
      </c>
      <c r="C1640" s="17">
        <v>30.0</v>
      </c>
      <c r="D1640" s="12" t="s">
        <v>35</v>
      </c>
      <c r="E1640" s="12" t="s">
        <v>36</v>
      </c>
      <c r="F1640" s="12" t="s">
        <v>62</v>
      </c>
      <c r="G1640" s="12" t="s">
        <v>93</v>
      </c>
      <c r="H1640" s="15">
        <v>45901.0</v>
      </c>
      <c r="I1640" s="17">
        <v>18.0</v>
      </c>
      <c r="J1640" s="12" t="s">
        <v>53</v>
      </c>
      <c r="K1640" s="12" t="s">
        <v>42</v>
      </c>
      <c r="L1640" s="17">
        <v>612.0</v>
      </c>
      <c r="M1640" s="17">
        <v>4.0</v>
      </c>
      <c r="N1640" s="17">
        <v>0.0</v>
      </c>
      <c r="O1640" s="17">
        <v>22.0</v>
      </c>
      <c r="P1640" s="17">
        <v>3.7</v>
      </c>
      <c r="Q1640" s="15">
        <v>46298.0</v>
      </c>
      <c r="R1640" s="12"/>
      <c r="S1640" s="12" t="s">
        <v>55</v>
      </c>
      <c r="T1640" s="12" t="s">
        <v>66</v>
      </c>
      <c r="U1640" s="17">
        <f t="shared" si="1"/>
        <v>1</v>
      </c>
    </row>
    <row r="1641">
      <c r="A1641" s="12" t="s">
        <v>1337</v>
      </c>
      <c r="B1641" s="12" t="s">
        <v>639</v>
      </c>
      <c r="C1641" s="17">
        <v>27.0</v>
      </c>
      <c r="D1641" s="12" t="s">
        <v>35</v>
      </c>
      <c r="E1641" s="12" t="s">
        <v>36</v>
      </c>
      <c r="F1641" s="12" t="s">
        <v>62</v>
      </c>
      <c r="G1641" s="12" t="s">
        <v>52</v>
      </c>
      <c r="H1641" s="15">
        <v>45405.0</v>
      </c>
      <c r="I1641" s="17">
        <v>27.0</v>
      </c>
      <c r="J1641" s="12" t="s">
        <v>64</v>
      </c>
      <c r="K1641" s="12" t="s">
        <v>42</v>
      </c>
      <c r="L1641" s="17">
        <v>529.0</v>
      </c>
      <c r="M1641" s="17">
        <v>4.0</v>
      </c>
      <c r="N1641" s="17">
        <v>1.0</v>
      </c>
      <c r="O1641" s="17">
        <v>27.0</v>
      </c>
      <c r="P1641" s="17">
        <v>4.3</v>
      </c>
      <c r="Q1641" s="15">
        <v>46192.0</v>
      </c>
      <c r="R1641" s="12"/>
      <c r="S1641" s="12" t="s">
        <v>55</v>
      </c>
      <c r="T1641" s="12" t="s">
        <v>104</v>
      </c>
      <c r="U1641" s="17">
        <f t="shared" si="1"/>
        <v>3</v>
      </c>
    </row>
    <row r="1642">
      <c r="A1642" s="12" t="s">
        <v>2089</v>
      </c>
      <c r="B1642" s="12" t="s">
        <v>106</v>
      </c>
      <c r="C1642" s="17">
        <v>30.0</v>
      </c>
      <c r="D1642" s="12" t="s">
        <v>85</v>
      </c>
      <c r="E1642" s="12" t="s">
        <v>111</v>
      </c>
      <c r="F1642" s="12" t="s">
        <v>62</v>
      </c>
      <c r="G1642" s="12" t="s">
        <v>52</v>
      </c>
      <c r="H1642" s="15">
        <v>44789.0</v>
      </c>
      <c r="I1642" s="17">
        <v>8.0</v>
      </c>
      <c r="J1642" s="12" t="s">
        <v>40</v>
      </c>
      <c r="K1642" s="12" t="s">
        <v>81</v>
      </c>
      <c r="L1642" s="17">
        <v>836.0</v>
      </c>
      <c r="M1642" s="17">
        <v>0.0</v>
      </c>
      <c r="N1642" s="17">
        <v>1.0</v>
      </c>
      <c r="O1642" s="17">
        <v>29.6</v>
      </c>
      <c r="P1642" s="17">
        <v>3.3</v>
      </c>
      <c r="Q1642" s="15">
        <v>44857.0</v>
      </c>
      <c r="R1642" s="12"/>
      <c r="S1642" s="12" t="s">
        <v>55</v>
      </c>
      <c r="T1642" s="12" t="s">
        <v>47</v>
      </c>
      <c r="U1642" s="17">
        <f t="shared" si="1"/>
        <v>1</v>
      </c>
    </row>
    <row r="1643">
      <c r="A1643" s="12" t="s">
        <v>359</v>
      </c>
      <c r="B1643" s="12" t="s">
        <v>132</v>
      </c>
      <c r="C1643" s="17">
        <v>36.0</v>
      </c>
      <c r="D1643" s="12" t="s">
        <v>35</v>
      </c>
      <c r="E1643" s="12" t="s">
        <v>161</v>
      </c>
      <c r="F1643" s="12" t="s">
        <v>37</v>
      </c>
      <c r="G1643" s="12" t="s">
        <v>93</v>
      </c>
      <c r="H1643" s="15">
        <v>44880.0</v>
      </c>
      <c r="I1643" s="17">
        <v>34.0</v>
      </c>
      <c r="J1643" s="12" t="s">
        <v>40</v>
      </c>
      <c r="K1643" s="12" t="s">
        <v>42</v>
      </c>
      <c r="L1643" s="12"/>
      <c r="M1643" s="17">
        <v>1.0</v>
      </c>
      <c r="N1643" s="17">
        <v>1.0</v>
      </c>
      <c r="O1643" s="17">
        <v>27.1</v>
      </c>
      <c r="P1643" s="17">
        <v>3.4</v>
      </c>
      <c r="Q1643" s="15">
        <v>45498.0</v>
      </c>
      <c r="R1643" s="12"/>
      <c r="S1643" s="12" t="s">
        <v>55</v>
      </c>
      <c r="T1643" s="12" t="s">
        <v>66</v>
      </c>
      <c r="U1643" s="17">
        <f t="shared" si="1"/>
        <v>3</v>
      </c>
    </row>
    <row r="1644">
      <c r="A1644" s="12" t="s">
        <v>77</v>
      </c>
      <c r="B1644" s="12" t="s">
        <v>312</v>
      </c>
      <c r="C1644" s="17">
        <v>39.0</v>
      </c>
      <c r="D1644" s="12" t="s">
        <v>85</v>
      </c>
      <c r="E1644" s="12" t="s">
        <v>292</v>
      </c>
      <c r="F1644" s="12" t="s">
        <v>62</v>
      </c>
      <c r="G1644" s="12" t="s">
        <v>93</v>
      </c>
      <c r="H1644" s="15">
        <v>44770.0</v>
      </c>
      <c r="I1644" s="17">
        <v>46.0</v>
      </c>
      <c r="J1644" s="12" t="s">
        <v>53</v>
      </c>
      <c r="K1644" s="12" t="s">
        <v>42</v>
      </c>
      <c r="L1644" s="17">
        <v>625.0</v>
      </c>
      <c r="M1644" s="17">
        <v>1.0</v>
      </c>
      <c r="N1644" s="17">
        <v>2.0</v>
      </c>
      <c r="O1644" s="17">
        <v>19.5</v>
      </c>
      <c r="P1644" s="17">
        <v>4.0</v>
      </c>
      <c r="Q1644" s="15">
        <v>44840.0</v>
      </c>
      <c r="R1644" s="12"/>
      <c r="S1644" s="12" t="s">
        <v>55</v>
      </c>
      <c r="T1644" s="12" t="s">
        <v>47</v>
      </c>
      <c r="U1644" s="17">
        <f t="shared" si="1"/>
        <v>6</v>
      </c>
    </row>
    <row r="1645">
      <c r="A1645" s="12" t="s">
        <v>2090</v>
      </c>
      <c r="B1645" s="12" t="s">
        <v>179</v>
      </c>
      <c r="C1645" s="17">
        <v>57.0</v>
      </c>
      <c r="D1645" s="12" t="s">
        <v>69</v>
      </c>
      <c r="E1645" s="12" t="s">
        <v>70</v>
      </c>
      <c r="F1645" s="12" t="s">
        <v>37</v>
      </c>
      <c r="G1645" s="12" t="s">
        <v>120</v>
      </c>
      <c r="H1645" s="15">
        <v>45154.0</v>
      </c>
      <c r="I1645" s="17">
        <v>8.0</v>
      </c>
      <c r="J1645" s="12" t="s">
        <v>53</v>
      </c>
      <c r="K1645" s="12" t="s">
        <v>81</v>
      </c>
      <c r="L1645" s="17">
        <v>1367.0</v>
      </c>
      <c r="M1645" s="17">
        <v>2.0</v>
      </c>
      <c r="N1645" s="17">
        <v>0.0</v>
      </c>
      <c r="O1645" s="17">
        <v>25.9</v>
      </c>
      <c r="P1645" s="17">
        <v>1.5</v>
      </c>
      <c r="Q1645" s="15">
        <v>45289.0</v>
      </c>
      <c r="R1645" s="12"/>
      <c r="S1645" s="12" t="s">
        <v>55</v>
      </c>
      <c r="T1645" s="12" t="s">
        <v>47</v>
      </c>
      <c r="U1645" s="17">
        <f t="shared" si="1"/>
        <v>1</v>
      </c>
    </row>
    <row r="1646">
      <c r="A1646" s="12" t="s">
        <v>1708</v>
      </c>
      <c r="B1646" s="12" t="s">
        <v>342</v>
      </c>
      <c r="C1646" s="17">
        <v>67.0</v>
      </c>
      <c r="D1646" s="12" t="s">
        <v>69</v>
      </c>
      <c r="E1646" s="12" t="s">
        <v>70</v>
      </c>
      <c r="F1646" s="12" t="s">
        <v>79</v>
      </c>
      <c r="G1646" s="12" t="s">
        <v>63</v>
      </c>
      <c r="H1646" s="15">
        <v>45176.0</v>
      </c>
      <c r="I1646" s="17">
        <v>7.0</v>
      </c>
      <c r="J1646" s="12" t="s">
        <v>40</v>
      </c>
      <c r="K1646" s="12" t="s">
        <v>81</v>
      </c>
      <c r="L1646" s="17">
        <v>2495.0</v>
      </c>
      <c r="M1646" s="17">
        <v>1.0</v>
      </c>
      <c r="N1646" s="17">
        <v>0.0</v>
      </c>
      <c r="O1646" s="17">
        <v>44.1</v>
      </c>
      <c r="P1646" s="17">
        <v>4.4</v>
      </c>
      <c r="Q1646" s="15">
        <v>45263.0</v>
      </c>
      <c r="R1646" s="12"/>
      <c r="S1646" s="12" t="s">
        <v>55</v>
      </c>
      <c r="T1646" s="12" t="s">
        <v>104</v>
      </c>
      <c r="U1646" s="17">
        <f t="shared" si="1"/>
        <v>3</v>
      </c>
    </row>
    <row r="1647">
      <c r="A1647" s="12" t="s">
        <v>2018</v>
      </c>
      <c r="B1647" s="12" t="s">
        <v>349</v>
      </c>
      <c r="C1647" s="17">
        <v>20.0</v>
      </c>
      <c r="D1647" s="12" t="s">
        <v>60</v>
      </c>
      <c r="E1647" s="12" t="s">
        <v>107</v>
      </c>
      <c r="F1647" s="12" t="s">
        <v>37</v>
      </c>
      <c r="G1647" s="12" t="s">
        <v>120</v>
      </c>
      <c r="H1647" s="15">
        <v>45492.0</v>
      </c>
      <c r="I1647" s="17">
        <v>19.0</v>
      </c>
      <c r="J1647" s="12" t="s">
        <v>53</v>
      </c>
      <c r="K1647" s="12" t="s">
        <v>42</v>
      </c>
      <c r="L1647" s="17">
        <v>1130.0</v>
      </c>
      <c r="M1647" s="17">
        <v>2.0</v>
      </c>
      <c r="N1647" s="17">
        <v>2.0</v>
      </c>
      <c r="O1647" s="17">
        <v>12.9</v>
      </c>
      <c r="P1647" s="17">
        <v>2.3</v>
      </c>
      <c r="Q1647" s="15">
        <v>45539.0</v>
      </c>
      <c r="R1647" s="12" t="s">
        <v>2091</v>
      </c>
      <c r="S1647" s="12" t="s">
        <v>45</v>
      </c>
      <c r="T1647" s="12" t="s">
        <v>72</v>
      </c>
      <c r="U1647" s="17">
        <f t="shared" si="1"/>
        <v>2</v>
      </c>
    </row>
    <row r="1648">
      <c r="A1648" s="12" t="s">
        <v>1815</v>
      </c>
      <c r="B1648" s="12" t="s">
        <v>250</v>
      </c>
      <c r="C1648" s="17">
        <v>65.0</v>
      </c>
      <c r="D1648" s="12" t="s">
        <v>35</v>
      </c>
      <c r="E1648" s="12" t="s">
        <v>51</v>
      </c>
      <c r="F1648" s="12" t="s">
        <v>37</v>
      </c>
      <c r="G1648" s="12" t="s">
        <v>80</v>
      </c>
      <c r="H1648" s="15">
        <v>44798.0</v>
      </c>
      <c r="I1648" s="17">
        <v>43.0</v>
      </c>
      <c r="J1648" s="12" t="s">
        <v>53</v>
      </c>
      <c r="K1648" s="12" t="s">
        <v>81</v>
      </c>
      <c r="L1648" s="17">
        <v>1675.0</v>
      </c>
      <c r="M1648" s="17">
        <v>3.0</v>
      </c>
      <c r="N1648" s="17">
        <v>1.0</v>
      </c>
      <c r="O1648" s="17">
        <v>26.2</v>
      </c>
      <c r="P1648" s="17">
        <v>3.0</v>
      </c>
      <c r="Q1648" s="15">
        <v>45718.0</v>
      </c>
      <c r="R1648" s="12"/>
      <c r="S1648" s="12" t="s">
        <v>230</v>
      </c>
      <c r="T1648" s="12" t="s">
        <v>66</v>
      </c>
      <c r="U1648" s="17">
        <f t="shared" si="1"/>
        <v>3</v>
      </c>
    </row>
    <row r="1649">
      <c r="A1649" s="12" t="s">
        <v>2092</v>
      </c>
      <c r="B1649" s="12" t="s">
        <v>176</v>
      </c>
      <c r="C1649" s="17">
        <v>30.0</v>
      </c>
      <c r="D1649" s="12" t="s">
        <v>60</v>
      </c>
      <c r="E1649" s="12" t="s">
        <v>107</v>
      </c>
      <c r="F1649" s="12" t="s">
        <v>37</v>
      </c>
      <c r="G1649" s="12" t="s">
        <v>210</v>
      </c>
      <c r="H1649" s="15">
        <v>45571.0</v>
      </c>
      <c r="I1649" s="17">
        <v>24.0</v>
      </c>
      <c r="J1649" s="12" t="s">
        <v>64</v>
      </c>
      <c r="K1649" s="12" t="s">
        <v>81</v>
      </c>
      <c r="L1649" s="17">
        <v>1713.0</v>
      </c>
      <c r="M1649" s="17">
        <v>1.0</v>
      </c>
      <c r="N1649" s="17">
        <v>2.0</v>
      </c>
      <c r="O1649" s="17">
        <v>32.7</v>
      </c>
      <c r="P1649" s="17">
        <v>3.7</v>
      </c>
      <c r="Q1649" s="15">
        <v>45602.0</v>
      </c>
      <c r="R1649" s="12"/>
      <c r="S1649" s="12" t="s">
        <v>55</v>
      </c>
      <c r="T1649" s="12" t="s">
        <v>104</v>
      </c>
      <c r="U1649" s="17">
        <f t="shared" si="1"/>
        <v>1</v>
      </c>
    </row>
    <row r="1650">
      <c r="A1650" s="12" t="s">
        <v>2093</v>
      </c>
      <c r="B1650" s="12" t="s">
        <v>303</v>
      </c>
      <c r="C1650" s="17">
        <v>43.0</v>
      </c>
      <c r="D1650" s="12" t="s">
        <v>85</v>
      </c>
      <c r="E1650" s="12" t="s">
        <v>292</v>
      </c>
      <c r="F1650" s="12" t="s">
        <v>37</v>
      </c>
      <c r="G1650" s="12" t="s">
        <v>210</v>
      </c>
      <c r="H1650" s="15">
        <v>44875.0</v>
      </c>
      <c r="I1650" s="17">
        <v>34.0</v>
      </c>
      <c r="J1650" s="12" t="s">
        <v>53</v>
      </c>
      <c r="K1650" s="12" t="s">
        <v>65</v>
      </c>
      <c r="L1650" s="17">
        <v>1438.0</v>
      </c>
      <c r="M1650" s="17">
        <v>1.0</v>
      </c>
      <c r="N1650" s="17">
        <v>0.0</v>
      </c>
      <c r="O1650" s="17">
        <v>37.1</v>
      </c>
      <c r="P1650" s="17">
        <v>2.7</v>
      </c>
      <c r="Q1650" s="15">
        <v>45657.0</v>
      </c>
      <c r="R1650" s="12"/>
      <c r="S1650" s="12" t="s">
        <v>55</v>
      </c>
      <c r="T1650" s="12" t="s">
        <v>75</v>
      </c>
      <c r="U1650" s="17">
        <f t="shared" si="1"/>
        <v>1</v>
      </c>
    </row>
    <row r="1651">
      <c r="A1651" s="12" t="s">
        <v>2094</v>
      </c>
      <c r="B1651" s="12" t="s">
        <v>349</v>
      </c>
      <c r="C1651" s="17">
        <v>45.0</v>
      </c>
      <c r="D1651" s="12" t="s">
        <v>69</v>
      </c>
      <c r="E1651" s="12" t="s">
        <v>119</v>
      </c>
      <c r="F1651" s="12" t="s">
        <v>37</v>
      </c>
      <c r="G1651" s="12" t="s">
        <v>210</v>
      </c>
      <c r="H1651" s="15">
        <v>45471.0</v>
      </c>
      <c r="I1651" s="17">
        <v>3.0</v>
      </c>
      <c r="J1651" s="12" t="s">
        <v>64</v>
      </c>
      <c r="K1651" s="12" t="s">
        <v>81</v>
      </c>
      <c r="L1651" s="17">
        <v>1146.0</v>
      </c>
      <c r="M1651" s="17">
        <v>1.0</v>
      </c>
      <c r="N1651" s="17">
        <v>0.0</v>
      </c>
      <c r="O1651" s="17">
        <v>31.6</v>
      </c>
      <c r="P1651" s="17">
        <v>3.6</v>
      </c>
      <c r="Q1651" s="15">
        <v>45534.0</v>
      </c>
      <c r="R1651" s="12"/>
      <c r="S1651" s="12" t="s">
        <v>55</v>
      </c>
      <c r="T1651" s="12" t="s">
        <v>104</v>
      </c>
      <c r="U1651" s="17">
        <f t="shared" si="1"/>
        <v>1</v>
      </c>
    </row>
    <row r="1652">
      <c r="A1652" s="12" t="s">
        <v>2095</v>
      </c>
      <c r="B1652" s="12" t="s">
        <v>605</v>
      </c>
      <c r="C1652" s="17">
        <v>59.0</v>
      </c>
      <c r="D1652" s="12" t="s">
        <v>35</v>
      </c>
      <c r="E1652" s="12" t="s">
        <v>51</v>
      </c>
      <c r="F1652" s="12" t="s">
        <v>62</v>
      </c>
      <c r="G1652" s="12" t="s">
        <v>52</v>
      </c>
      <c r="H1652" s="15">
        <v>44603.0</v>
      </c>
      <c r="I1652" s="17">
        <v>33.0</v>
      </c>
      <c r="J1652" s="12" t="s">
        <v>64</v>
      </c>
      <c r="K1652" s="12" t="s">
        <v>65</v>
      </c>
      <c r="L1652" s="17">
        <v>744.0</v>
      </c>
      <c r="M1652" s="17">
        <v>0.0</v>
      </c>
      <c r="N1652" s="17">
        <v>1.0</v>
      </c>
      <c r="O1652" s="17">
        <v>23.1</v>
      </c>
      <c r="P1652" s="17">
        <v>6.0</v>
      </c>
      <c r="Q1652" s="15">
        <v>45243.0</v>
      </c>
      <c r="R1652" s="12"/>
      <c r="S1652" s="12" t="s">
        <v>55</v>
      </c>
      <c r="T1652" s="12" t="s">
        <v>72</v>
      </c>
      <c r="U1652" s="17">
        <f t="shared" si="1"/>
        <v>1</v>
      </c>
    </row>
    <row r="1653">
      <c r="A1653" s="12" t="s">
        <v>2096</v>
      </c>
      <c r="B1653" s="12" t="s">
        <v>322</v>
      </c>
      <c r="C1653" s="17">
        <v>30.0</v>
      </c>
      <c r="D1653" s="12" t="s">
        <v>60</v>
      </c>
      <c r="E1653" s="12" t="s">
        <v>133</v>
      </c>
      <c r="F1653" s="12" t="s">
        <v>37</v>
      </c>
      <c r="G1653" s="12" t="s">
        <v>120</v>
      </c>
      <c r="H1653" s="15">
        <v>44931.0</v>
      </c>
      <c r="I1653" s="17">
        <v>21.0</v>
      </c>
      <c r="J1653" s="12" t="s">
        <v>40</v>
      </c>
      <c r="K1653" s="12" t="s">
        <v>65</v>
      </c>
      <c r="L1653" s="17">
        <v>1543.0</v>
      </c>
      <c r="M1653" s="17">
        <v>3.0</v>
      </c>
      <c r="N1653" s="17">
        <v>0.0</v>
      </c>
      <c r="O1653" s="17">
        <v>28.8</v>
      </c>
      <c r="P1653" s="17">
        <v>3.7</v>
      </c>
      <c r="Q1653" s="15">
        <v>45129.0</v>
      </c>
      <c r="R1653" s="12" t="s">
        <v>258</v>
      </c>
      <c r="S1653" s="12" t="s">
        <v>45</v>
      </c>
      <c r="T1653" s="12" t="s">
        <v>66</v>
      </c>
      <c r="U1653" s="17">
        <f t="shared" si="1"/>
        <v>1</v>
      </c>
    </row>
    <row r="1654">
      <c r="A1654" s="12" t="s">
        <v>1796</v>
      </c>
      <c r="B1654" s="12" t="s">
        <v>340</v>
      </c>
      <c r="C1654" s="17">
        <v>39.0</v>
      </c>
      <c r="D1654" s="12" t="s">
        <v>35</v>
      </c>
      <c r="E1654" s="12"/>
      <c r="F1654" s="12" t="s">
        <v>62</v>
      </c>
      <c r="G1654" s="12" t="s">
        <v>630</v>
      </c>
      <c r="H1654" s="15">
        <v>44820.0</v>
      </c>
      <c r="I1654" s="17">
        <v>20.0</v>
      </c>
      <c r="J1654" s="12" t="s">
        <v>64</v>
      </c>
      <c r="K1654" s="12" t="s">
        <v>65</v>
      </c>
      <c r="L1654" s="17">
        <v>668.0</v>
      </c>
      <c r="M1654" s="17">
        <v>1.0</v>
      </c>
      <c r="N1654" s="17">
        <v>0.0</v>
      </c>
      <c r="O1654" s="17">
        <v>29.7</v>
      </c>
      <c r="P1654" s="17">
        <v>3.7</v>
      </c>
      <c r="Q1654" s="15">
        <v>45237.0</v>
      </c>
      <c r="R1654" s="12"/>
      <c r="S1654" s="12" t="s">
        <v>55</v>
      </c>
      <c r="T1654" s="12" t="s">
        <v>72</v>
      </c>
      <c r="U1654" s="17">
        <f t="shared" si="1"/>
        <v>3</v>
      </c>
    </row>
    <row r="1655">
      <c r="A1655" s="12" t="s">
        <v>1049</v>
      </c>
      <c r="B1655" s="12" t="s">
        <v>2097</v>
      </c>
      <c r="C1655" s="17">
        <v>34.0</v>
      </c>
      <c r="D1655" s="12" t="s">
        <v>60</v>
      </c>
      <c r="E1655" s="12" t="s">
        <v>61</v>
      </c>
      <c r="F1655" s="12" t="s">
        <v>62</v>
      </c>
      <c r="G1655" s="12" t="s">
        <v>93</v>
      </c>
      <c r="H1655" s="15">
        <v>45583.0</v>
      </c>
      <c r="I1655" s="17">
        <v>37.0</v>
      </c>
      <c r="J1655" s="12" t="s">
        <v>40</v>
      </c>
      <c r="K1655" s="12" t="s">
        <v>42</v>
      </c>
      <c r="L1655" s="17">
        <v>506.0</v>
      </c>
      <c r="M1655" s="17">
        <v>2.0</v>
      </c>
      <c r="N1655" s="17">
        <v>1.0</v>
      </c>
      <c r="O1655" s="17">
        <v>28.2</v>
      </c>
      <c r="P1655" s="17">
        <v>2.6</v>
      </c>
      <c r="Q1655" s="15">
        <v>45929.0</v>
      </c>
      <c r="R1655" s="12" t="s">
        <v>2098</v>
      </c>
      <c r="S1655" s="12" t="s">
        <v>45</v>
      </c>
      <c r="T1655" s="12" t="s">
        <v>47</v>
      </c>
      <c r="U1655" s="17">
        <f t="shared" si="1"/>
        <v>2</v>
      </c>
    </row>
    <row r="1656">
      <c r="A1656" s="12" t="s">
        <v>2099</v>
      </c>
      <c r="B1656" s="12" t="s">
        <v>2100</v>
      </c>
      <c r="C1656" s="17">
        <v>20.0</v>
      </c>
      <c r="D1656" s="12" t="s">
        <v>60</v>
      </c>
      <c r="E1656" s="12" t="s">
        <v>107</v>
      </c>
      <c r="F1656" s="12" t="s">
        <v>62</v>
      </c>
      <c r="G1656" s="12" t="s">
        <v>880</v>
      </c>
      <c r="H1656" s="15">
        <v>44731.0</v>
      </c>
      <c r="I1656" s="17">
        <v>21.0</v>
      </c>
      <c r="J1656" s="12" t="s">
        <v>40</v>
      </c>
      <c r="K1656" s="12" t="s">
        <v>81</v>
      </c>
      <c r="L1656" s="17">
        <v>570.0</v>
      </c>
      <c r="M1656" s="17">
        <v>2.0</v>
      </c>
      <c r="N1656" s="17">
        <v>1.0</v>
      </c>
      <c r="O1656" s="17">
        <v>22.5</v>
      </c>
      <c r="P1656" s="17">
        <v>2.7</v>
      </c>
      <c r="Q1656" s="15">
        <v>44972.0</v>
      </c>
      <c r="R1656" s="12"/>
      <c r="S1656" s="12" t="s">
        <v>55</v>
      </c>
      <c r="T1656" s="12" t="s">
        <v>75</v>
      </c>
      <c r="U1656" s="17">
        <f t="shared" si="1"/>
        <v>1</v>
      </c>
    </row>
    <row r="1657">
      <c r="A1657" s="12" t="s">
        <v>1707</v>
      </c>
      <c r="B1657" s="12" t="s">
        <v>398</v>
      </c>
      <c r="C1657" s="17">
        <v>45.0</v>
      </c>
      <c r="D1657" s="12" t="s">
        <v>69</v>
      </c>
      <c r="E1657" s="12" t="s">
        <v>70</v>
      </c>
      <c r="F1657" s="12" t="s">
        <v>62</v>
      </c>
      <c r="G1657" s="12" t="s">
        <v>63</v>
      </c>
      <c r="H1657" s="15">
        <v>45556.0</v>
      </c>
      <c r="I1657" s="17">
        <v>19.0</v>
      </c>
      <c r="J1657" s="12" t="s">
        <v>53</v>
      </c>
      <c r="K1657" s="12" t="s">
        <v>81</v>
      </c>
      <c r="L1657" s="17">
        <v>806.0</v>
      </c>
      <c r="M1657" s="17">
        <v>1.0</v>
      </c>
      <c r="N1657" s="17">
        <v>1.0</v>
      </c>
      <c r="O1657" s="17">
        <v>22.6</v>
      </c>
      <c r="P1657" s="17">
        <v>4.3</v>
      </c>
      <c r="Q1657" s="15">
        <v>45700.0</v>
      </c>
      <c r="R1657" s="12" t="s">
        <v>2101</v>
      </c>
      <c r="S1657" s="12" t="s">
        <v>45</v>
      </c>
      <c r="T1657" s="12" t="s">
        <v>47</v>
      </c>
      <c r="U1657" s="17">
        <f t="shared" si="1"/>
        <v>4</v>
      </c>
    </row>
    <row r="1658">
      <c r="A1658" s="12" t="s">
        <v>983</v>
      </c>
      <c r="B1658" s="12" t="s">
        <v>74</v>
      </c>
      <c r="C1658" s="17">
        <v>32.0</v>
      </c>
      <c r="D1658" s="12" t="s">
        <v>60</v>
      </c>
      <c r="E1658" s="12" t="s">
        <v>97</v>
      </c>
      <c r="F1658" s="12" t="s">
        <v>37</v>
      </c>
      <c r="G1658" s="12" t="s">
        <v>120</v>
      </c>
      <c r="H1658" s="15">
        <v>45345.0</v>
      </c>
      <c r="I1658" s="17">
        <v>39.0</v>
      </c>
      <c r="J1658" s="12" t="s">
        <v>40</v>
      </c>
      <c r="K1658" s="12" t="s">
        <v>42</v>
      </c>
      <c r="L1658" s="17">
        <v>1404.0</v>
      </c>
      <c r="M1658" s="17">
        <v>1.0</v>
      </c>
      <c r="N1658" s="17">
        <v>1.0</v>
      </c>
      <c r="O1658" s="17">
        <v>24.1</v>
      </c>
      <c r="P1658" s="17">
        <v>3.8</v>
      </c>
      <c r="Q1658" s="15">
        <v>45613.0</v>
      </c>
      <c r="R1658" s="12"/>
      <c r="S1658" s="12" t="s">
        <v>55</v>
      </c>
      <c r="T1658" s="12" t="s">
        <v>66</v>
      </c>
      <c r="U1658" s="17">
        <f t="shared" si="1"/>
        <v>2</v>
      </c>
    </row>
    <row r="1659">
      <c r="A1659" s="12" t="s">
        <v>1418</v>
      </c>
      <c r="B1659" s="12" t="s">
        <v>651</v>
      </c>
      <c r="C1659" s="17">
        <v>55.0</v>
      </c>
      <c r="D1659" s="12" t="s">
        <v>35</v>
      </c>
      <c r="E1659" s="12" t="s">
        <v>161</v>
      </c>
      <c r="F1659" s="12" t="s">
        <v>37</v>
      </c>
      <c r="G1659" s="12" t="s">
        <v>93</v>
      </c>
      <c r="H1659" s="15">
        <v>45295.0</v>
      </c>
      <c r="I1659" s="17">
        <v>1.0</v>
      </c>
      <c r="J1659" s="12" t="s">
        <v>40</v>
      </c>
      <c r="K1659" s="12" t="s">
        <v>81</v>
      </c>
      <c r="L1659" s="17">
        <v>1427.0</v>
      </c>
      <c r="M1659" s="17">
        <v>0.0</v>
      </c>
      <c r="N1659" s="17">
        <v>1.0</v>
      </c>
      <c r="O1659" s="17">
        <v>34.2</v>
      </c>
      <c r="P1659" s="17">
        <v>3.3</v>
      </c>
      <c r="Q1659" s="15">
        <v>45342.0</v>
      </c>
      <c r="R1659" s="12"/>
      <c r="S1659" s="12" t="s">
        <v>55</v>
      </c>
      <c r="T1659" s="12" t="s">
        <v>47</v>
      </c>
      <c r="U1659" s="17">
        <f t="shared" si="1"/>
        <v>3</v>
      </c>
    </row>
    <row r="1660">
      <c r="A1660" s="12" t="s">
        <v>752</v>
      </c>
      <c r="B1660" s="12" t="s">
        <v>448</v>
      </c>
      <c r="C1660" s="17">
        <v>46.0</v>
      </c>
      <c r="D1660" s="12" t="s">
        <v>60</v>
      </c>
      <c r="E1660" s="12" t="s">
        <v>97</v>
      </c>
      <c r="F1660" s="12" t="s">
        <v>37</v>
      </c>
      <c r="G1660" s="12" t="s">
        <v>120</v>
      </c>
      <c r="H1660" s="15">
        <v>44735.0</v>
      </c>
      <c r="I1660" s="17">
        <v>39.0</v>
      </c>
      <c r="J1660" s="12" t="s">
        <v>40</v>
      </c>
      <c r="K1660" s="12" t="s">
        <v>454</v>
      </c>
      <c r="L1660" s="17">
        <v>1660.0</v>
      </c>
      <c r="M1660" s="17">
        <v>1.0</v>
      </c>
      <c r="N1660" s="17">
        <v>2.0</v>
      </c>
      <c r="O1660" s="17">
        <v>31.8</v>
      </c>
      <c r="P1660" s="17">
        <v>3.5</v>
      </c>
      <c r="Q1660" s="15">
        <v>45121.0</v>
      </c>
      <c r="R1660" s="12"/>
      <c r="S1660" s="12" t="s">
        <v>529</v>
      </c>
      <c r="T1660" s="12" t="s">
        <v>47</v>
      </c>
      <c r="U1660" s="17">
        <f t="shared" si="1"/>
        <v>2</v>
      </c>
    </row>
    <row r="1661">
      <c r="A1661" s="12" t="s">
        <v>1087</v>
      </c>
      <c r="B1661" s="12" t="s">
        <v>232</v>
      </c>
      <c r="C1661" s="17">
        <v>19.0</v>
      </c>
      <c r="D1661" s="12" t="s">
        <v>60</v>
      </c>
      <c r="E1661" s="12" t="s">
        <v>133</v>
      </c>
      <c r="F1661" s="12" t="s">
        <v>37</v>
      </c>
      <c r="G1661" s="12" t="s">
        <v>52</v>
      </c>
      <c r="H1661" s="15">
        <v>45137.0</v>
      </c>
      <c r="I1661" s="17">
        <v>45.0</v>
      </c>
      <c r="J1661" s="12" t="s">
        <v>64</v>
      </c>
      <c r="K1661" s="12" t="s">
        <v>65</v>
      </c>
      <c r="L1661" s="17">
        <v>1756.0</v>
      </c>
      <c r="M1661" s="17">
        <v>2.0</v>
      </c>
      <c r="N1661" s="17">
        <v>0.0</v>
      </c>
      <c r="O1661" s="17">
        <v>33.6</v>
      </c>
      <c r="P1661" s="17">
        <v>2.1</v>
      </c>
      <c r="Q1661" s="15">
        <v>45871.0</v>
      </c>
      <c r="R1661" s="12"/>
      <c r="S1661" s="12" t="s">
        <v>55</v>
      </c>
      <c r="T1661" s="12" t="s">
        <v>66</v>
      </c>
      <c r="U1661" s="17">
        <f t="shared" si="1"/>
        <v>3</v>
      </c>
    </row>
    <row r="1662">
      <c r="A1662" s="12" t="s">
        <v>2031</v>
      </c>
      <c r="B1662" s="12" t="s">
        <v>118</v>
      </c>
      <c r="C1662" s="17">
        <v>48.0</v>
      </c>
      <c r="D1662" s="12" t="s">
        <v>69</v>
      </c>
      <c r="E1662" s="12" t="s">
        <v>187</v>
      </c>
      <c r="F1662" s="12" t="s">
        <v>413</v>
      </c>
      <c r="G1662" s="12" t="s">
        <v>93</v>
      </c>
      <c r="H1662" s="15">
        <v>45266.0</v>
      </c>
      <c r="I1662" s="17">
        <v>47.0</v>
      </c>
      <c r="J1662" s="12" t="s">
        <v>64</v>
      </c>
      <c r="K1662" s="12" t="s">
        <v>42</v>
      </c>
      <c r="L1662" s="17">
        <v>610.0</v>
      </c>
      <c r="M1662" s="17">
        <v>4.0</v>
      </c>
      <c r="N1662" s="17">
        <v>2.0</v>
      </c>
      <c r="O1662" s="17">
        <v>15.6</v>
      </c>
      <c r="P1662" s="17">
        <v>5.0</v>
      </c>
      <c r="Q1662" s="15">
        <v>45755.0</v>
      </c>
      <c r="R1662" s="12" t="s">
        <v>548</v>
      </c>
      <c r="S1662" s="12" t="s">
        <v>45</v>
      </c>
      <c r="T1662" s="12" t="s">
        <v>72</v>
      </c>
      <c r="U1662" s="17">
        <f t="shared" si="1"/>
        <v>2</v>
      </c>
    </row>
    <row r="1663">
      <c r="A1663" s="12" t="s">
        <v>2032</v>
      </c>
      <c r="B1663" s="12" t="s">
        <v>312</v>
      </c>
      <c r="C1663" s="17">
        <v>62.0</v>
      </c>
      <c r="D1663" s="12" t="s">
        <v>445</v>
      </c>
      <c r="E1663" s="12" t="s">
        <v>92</v>
      </c>
      <c r="F1663" s="12" t="s">
        <v>62</v>
      </c>
      <c r="G1663" s="12" t="s">
        <v>210</v>
      </c>
      <c r="H1663" s="15">
        <v>45063.0</v>
      </c>
      <c r="I1663" s="17">
        <v>29.0</v>
      </c>
      <c r="J1663" s="12" t="s">
        <v>64</v>
      </c>
      <c r="K1663" s="12" t="s">
        <v>81</v>
      </c>
      <c r="L1663" s="17">
        <v>877.0</v>
      </c>
      <c r="M1663" s="17">
        <v>1.0</v>
      </c>
      <c r="N1663" s="17">
        <v>2.0</v>
      </c>
      <c r="O1663" s="17">
        <v>9.1</v>
      </c>
      <c r="P1663" s="17">
        <v>4.0</v>
      </c>
      <c r="Q1663" s="15">
        <v>45375.0</v>
      </c>
      <c r="R1663" s="12"/>
      <c r="S1663" s="12" t="s">
        <v>55</v>
      </c>
      <c r="T1663" s="12" t="s">
        <v>104</v>
      </c>
      <c r="U1663" s="17">
        <f t="shared" si="1"/>
        <v>2</v>
      </c>
    </row>
    <row r="1664">
      <c r="A1664" s="12" t="s">
        <v>2102</v>
      </c>
      <c r="B1664" s="12" t="s">
        <v>135</v>
      </c>
      <c r="C1664" s="17">
        <v>27.0</v>
      </c>
      <c r="D1664" s="12" t="s">
        <v>85</v>
      </c>
      <c r="E1664" s="12" t="s">
        <v>87</v>
      </c>
      <c r="F1664" s="12" t="s">
        <v>62</v>
      </c>
      <c r="G1664" s="12" t="s">
        <v>120</v>
      </c>
      <c r="H1664" s="15">
        <v>45438.0</v>
      </c>
      <c r="I1664" s="17">
        <v>22.0</v>
      </c>
      <c r="J1664" s="12" t="s">
        <v>40</v>
      </c>
      <c r="K1664" s="12" t="s">
        <v>81</v>
      </c>
      <c r="L1664" s="17">
        <v>589.0</v>
      </c>
      <c r="M1664" s="17">
        <v>2.0</v>
      </c>
      <c r="N1664" s="17">
        <v>0.0</v>
      </c>
      <c r="O1664" s="17">
        <v>15.9</v>
      </c>
      <c r="P1664" s="17">
        <v>4.0</v>
      </c>
      <c r="Q1664" s="15">
        <v>46111.0</v>
      </c>
      <c r="R1664" s="12"/>
      <c r="S1664" s="12" t="s">
        <v>55</v>
      </c>
      <c r="T1664" s="12" t="s">
        <v>47</v>
      </c>
      <c r="U1664" s="17">
        <f t="shared" si="1"/>
        <v>1</v>
      </c>
    </row>
    <row r="1665">
      <c r="A1665" s="12" t="s">
        <v>1730</v>
      </c>
      <c r="B1665" s="12" t="s">
        <v>160</v>
      </c>
      <c r="C1665" s="17">
        <v>23.0</v>
      </c>
      <c r="D1665" s="12" t="s">
        <v>35</v>
      </c>
      <c r="E1665" s="12" t="s">
        <v>161</v>
      </c>
      <c r="F1665" s="12" t="s">
        <v>37</v>
      </c>
      <c r="G1665" s="12" t="s">
        <v>63</v>
      </c>
      <c r="H1665" s="15">
        <v>45395.0</v>
      </c>
      <c r="I1665" s="17">
        <v>43.0</v>
      </c>
      <c r="J1665" s="12" t="s">
        <v>64</v>
      </c>
      <c r="K1665" s="12" t="s">
        <v>42</v>
      </c>
      <c r="L1665" s="17">
        <v>1638.0</v>
      </c>
      <c r="M1665" s="17">
        <v>3.0</v>
      </c>
      <c r="N1665" s="17">
        <v>1.0</v>
      </c>
      <c r="O1665" s="17">
        <v>39.4</v>
      </c>
      <c r="P1665" s="17">
        <v>4.0</v>
      </c>
      <c r="Q1665" s="15">
        <v>45724.0</v>
      </c>
      <c r="R1665" s="12"/>
      <c r="S1665" s="12" t="s">
        <v>55</v>
      </c>
      <c r="T1665" s="12" t="s">
        <v>75</v>
      </c>
      <c r="U1665" s="17">
        <f t="shared" si="1"/>
        <v>2</v>
      </c>
    </row>
    <row r="1666">
      <c r="A1666" s="12" t="s">
        <v>437</v>
      </c>
      <c r="B1666" s="12" t="s">
        <v>316</v>
      </c>
      <c r="C1666" s="17">
        <v>26.0</v>
      </c>
      <c r="D1666" s="12" t="s">
        <v>85</v>
      </c>
      <c r="E1666" s="12" t="s">
        <v>292</v>
      </c>
      <c r="F1666" s="12" t="s">
        <v>62</v>
      </c>
      <c r="G1666" s="12" t="s">
        <v>93</v>
      </c>
      <c r="H1666" s="15">
        <v>45540.0</v>
      </c>
      <c r="I1666" s="17">
        <v>41.0</v>
      </c>
      <c r="J1666" s="12" t="s">
        <v>655</v>
      </c>
      <c r="K1666" s="12" t="s">
        <v>65</v>
      </c>
      <c r="L1666" s="17">
        <v>670.0</v>
      </c>
      <c r="M1666" s="17">
        <v>2.0</v>
      </c>
      <c r="N1666" s="17">
        <v>1.0</v>
      </c>
      <c r="O1666" s="17">
        <v>16.8</v>
      </c>
      <c r="P1666" s="17">
        <v>4.8</v>
      </c>
      <c r="Q1666" s="15">
        <v>45859.0</v>
      </c>
      <c r="R1666" s="12"/>
      <c r="S1666" s="12" t="s">
        <v>55</v>
      </c>
      <c r="T1666" s="12" t="s">
        <v>66</v>
      </c>
      <c r="U1666" s="17">
        <f t="shared" si="1"/>
        <v>2</v>
      </c>
    </row>
    <row r="1667">
      <c r="A1667" s="12" t="s">
        <v>1603</v>
      </c>
      <c r="B1667" s="12" t="s">
        <v>235</v>
      </c>
      <c r="C1667" s="17">
        <v>24.0</v>
      </c>
      <c r="D1667" s="12" t="s">
        <v>35</v>
      </c>
      <c r="E1667" s="12" t="s">
        <v>51</v>
      </c>
      <c r="F1667" s="12" t="s">
        <v>62</v>
      </c>
      <c r="G1667" s="12" t="s">
        <v>52</v>
      </c>
      <c r="H1667" s="15">
        <v>45620.0</v>
      </c>
      <c r="I1667" s="17">
        <v>47.0</v>
      </c>
      <c r="J1667" s="12" t="s">
        <v>53</v>
      </c>
      <c r="K1667" s="12" t="s">
        <v>42</v>
      </c>
      <c r="L1667" s="17">
        <v>761.0</v>
      </c>
      <c r="M1667" s="17">
        <v>2.0</v>
      </c>
      <c r="N1667" s="17">
        <v>0.0</v>
      </c>
      <c r="O1667" s="17">
        <v>19.3</v>
      </c>
      <c r="P1667" s="17">
        <v>4.6</v>
      </c>
      <c r="Q1667" s="15">
        <v>46081.0</v>
      </c>
      <c r="R1667" s="12"/>
      <c r="S1667" s="12" t="s">
        <v>55</v>
      </c>
      <c r="T1667" s="12" t="s">
        <v>66</v>
      </c>
      <c r="U1667" s="17">
        <f t="shared" si="1"/>
        <v>2</v>
      </c>
    </row>
    <row r="1668">
      <c r="A1668" s="12" t="s">
        <v>539</v>
      </c>
      <c r="B1668" s="12" t="s">
        <v>605</v>
      </c>
      <c r="C1668" s="17">
        <v>34.0</v>
      </c>
      <c r="D1668" s="12" t="s">
        <v>69</v>
      </c>
      <c r="E1668" s="12" t="s">
        <v>70</v>
      </c>
      <c r="F1668" s="12" t="s">
        <v>62</v>
      </c>
      <c r="G1668" s="12" t="s">
        <v>52</v>
      </c>
      <c r="H1668" s="15">
        <v>45063.0</v>
      </c>
      <c r="I1668" s="17">
        <v>30.0</v>
      </c>
      <c r="J1668" s="12" t="s">
        <v>64</v>
      </c>
      <c r="K1668" s="12" t="s">
        <v>81</v>
      </c>
      <c r="L1668" s="17">
        <v>894.0</v>
      </c>
      <c r="M1668" s="17">
        <v>3.0</v>
      </c>
      <c r="N1668" s="17">
        <v>0.0</v>
      </c>
      <c r="O1668" s="17">
        <v>13.5</v>
      </c>
      <c r="P1668" s="17">
        <v>3.1</v>
      </c>
      <c r="Q1668" s="15">
        <v>45843.0</v>
      </c>
      <c r="R1668" s="12" t="s">
        <v>2103</v>
      </c>
      <c r="S1668" s="12" t="s">
        <v>45</v>
      </c>
      <c r="T1668" s="12" t="s">
        <v>104</v>
      </c>
      <c r="U1668" s="17">
        <f t="shared" si="1"/>
        <v>3</v>
      </c>
    </row>
    <row r="1669">
      <c r="A1669" s="12" t="s">
        <v>2104</v>
      </c>
      <c r="B1669" s="12" t="s">
        <v>383</v>
      </c>
      <c r="C1669" s="17">
        <v>67.0</v>
      </c>
      <c r="D1669" s="12" t="s">
        <v>69</v>
      </c>
      <c r="E1669" s="12" t="s">
        <v>177</v>
      </c>
      <c r="F1669" s="12" t="s">
        <v>62</v>
      </c>
      <c r="G1669" s="12" t="s">
        <v>80</v>
      </c>
      <c r="H1669" s="15">
        <v>45911.0</v>
      </c>
      <c r="I1669" s="17">
        <v>41.0</v>
      </c>
      <c r="J1669" s="12" t="s">
        <v>64</v>
      </c>
      <c r="K1669" s="12" t="s">
        <v>81</v>
      </c>
      <c r="L1669" s="17">
        <v>693.0</v>
      </c>
      <c r="M1669" s="17">
        <v>5.0</v>
      </c>
      <c r="N1669" s="17">
        <v>1.0</v>
      </c>
      <c r="O1669" s="17">
        <v>18.0</v>
      </c>
      <c r="P1669" s="17">
        <v>3.5</v>
      </c>
      <c r="Q1669" s="15">
        <v>46348.0</v>
      </c>
      <c r="R1669" s="12"/>
      <c r="S1669" s="12" t="s">
        <v>55</v>
      </c>
      <c r="T1669" s="12" t="s">
        <v>72</v>
      </c>
      <c r="U1669" s="17">
        <f t="shared" si="1"/>
        <v>1</v>
      </c>
    </row>
    <row r="1670">
      <c r="A1670" s="12" t="s">
        <v>1256</v>
      </c>
      <c r="B1670" s="12" t="s">
        <v>96</v>
      </c>
      <c r="C1670" s="17">
        <v>25.0</v>
      </c>
      <c r="D1670" s="12" t="s">
        <v>85</v>
      </c>
      <c r="E1670" s="12" t="s">
        <v>111</v>
      </c>
      <c r="F1670" s="12" t="s">
        <v>37</v>
      </c>
      <c r="G1670" s="12" t="s">
        <v>120</v>
      </c>
      <c r="H1670" s="15">
        <v>45407.0</v>
      </c>
      <c r="I1670" s="17">
        <v>22.0</v>
      </c>
      <c r="J1670" s="12" t="s">
        <v>40</v>
      </c>
      <c r="K1670" s="12" t="s">
        <v>65</v>
      </c>
      <c r="L1670" s="17">
        <v>1214.0</v>
      </c>
      <c r="M1670" s="17">
        <v>2.0</v>
      </c>
      <c r="N1670" s="17">
        <v>0.0</v>
      </c>
      <c r="O1670" s="17">
        <v>24.6</v>
      </c>
      <c r="P1670" s="17">
        <v>3.2</v>
      </c>
      <c r="Q1670" s="15">
        <v>45953.0</v>
      </c>
      <c r="R1670" s="12"/>
      <c r="S1670" s="12" t="s">
        <v>602</v>
      </c>
      <c r="T1670" s="12" t="s">
        <v>104</v>
      </c>
      <c r="U1670" s="17">
        <f t="shared" si="1"/>
        <v>2</v>
      </c>
    </row>
    <row r="1671">
      <c r="A1671" s="12" t="s">
        <v>1024</v>
      </c>
      <c r="B1671" s="12" t="s">
        <v>190</v>
      </c>
      <c r="C1671" s="17">
        <v>36.0</v>
      </c>
      <c r="D1671" s="12" t="s">
        <v>60</v>
      </c>
      <c r="E1671" s="12" t="s">
        <v>97</v>
      </c>
      <c r="F1671" s="12" t="s">
        <v>37</v>
      </c>
      <c r="G1671" s="12" t="s">
        <v>120</v>
      </c>
      <c r="H1671" s="15">
        <v>45161.0</v>
      </c>
      <c r="I1671" s="17">
        <v>12.0</v>
      </c>
      <c r="J1671" s="12" t="s">
        <v>53</v>
      </c>
      <c r="K1671" s="12" t="s">
        <v>65</v>
      </c>
      <c r="L1671" s="17">
        <v>1376.0</v>
      </c>
      <c r="M1671" s="17">
        <v>1.0</v>
      </c>
      <c r="N1671" s="17">
        <v>0.0</v>
      </c>
      <c r="O1671" s="17">
        <v>22.2</v>
      </c>
      <c r="P1671" s="17">
        <v>4.6</v>
      </c>
      <c r="Q1671" s="15">
        <v>45244.0</v>
      </c>
      <c r="R1671" s="12"/>
      <c r="S1671" s="12" t="s">
        <v>230</v>
      </c>
      <c r="T1671" s="12" t="s">
        <v>47</v>
      </c>
      <c r="U1671" s="17">
        <f t="shared" si="1"/>
        <v>3</v>
      </c>
    </row>
    <row r="1672">
      <c r="A1672" s="12" t="s">
        <v>1719</v>
      </c>
      <c r="B1672" s="12" t="s">
        <v>176</v>
      </c>
      <c r="C1672" s="17">
        <v>56.0</v>
      </c>
      <c r="D1672" s="12" t="s">
        <v>85</v>
      </c>
      <c r="E1672" s="12" t="s">
        <v>92</v>
      </c>
      <c r="F1672" s="12" t="s">
        <v>37</v>
      </c>
      <c r="G1672" s="12" t="s">
        <v>210</v>
      </c>
      <c r="H1672" s="15">
        <v>45352.0</v>
      </c>
      <c r="I1672" s="17">
        <v>40.0</v>
      </c>
      <c r="J1672" s="12" t="s">
        <v>53</v>
      </c>
      <c r="K1672" s="12" t="s">
        <v>42</v>
      </c>
      <c r="L1672" s="17">
        <v>1265.0</v>
      </c>
      <c r="M1672" s="17">
        <v>3.0</v>
      </c>
      <c r="N1672" s="17">
        <v>1.0</v>
      </c>
      <c r="O1672" s="17">
        <v>45.3</v>
      </c>
      <c r="P1672" s="17">
        <v>4.6</v>
      </c>
      <c r="Q1672" s="15">
        <v>46265.0</v>
      </c>
      <c r="R1672" s="12"/>
      <c r="S1672" s="12" t="s">
        <v>55</v>
      </c>
      <c r="T1672" s="12" t="s">
        <v>47</v>
      </c>
      <c r="U1672" s="17">
        <f t="shared" si="1"/>
        <v>3</v>
      </c>
    </row>
    <row r="1673">
      <c r="A1673" s="12" t="s">
        <v>985</v>
      </c>
      <c r="B1673" s="12" t="s">
        <v>605</v>
      </c>
      <c r="C1673" s="17">
        <v>55.0</v>
      </c>
      <c r="D1673" s="12" t="s">
        <v>60</v>
      </c>
      <c r="E1673" s="12" t="s">
        <v>107</v>
      </c>
      <c r="F1673" s="12" t="s">
        <v>37</v>
      </c>
      <c r="G1673" s="12" t="s">
        <v>63</v>
      </c>
      <c r="H1673" s="15">
        <v>45190.0</v>
      </c>
      <c r="I1673" s="17">
        <v>27.0</v>
      </c>
      <c r="J1673" s="12" t="s">
        <v>53</v>
      </c>
      <c r="K1673" s="12" t="s">
        <v>65</v>
      </c>
      <c r="L1673" s="17">
        <v>1004.0</v>
      </c>
      <c r="M1673" s="17">
        <v>1.0</v>
      </c>
      <c r="N1673" s="17">
        <v>2.0</v>
      </c>
      <c r="O1673" s="17">
        <v>23.6</v>
      </c>
      <c r="P1673" s="17">
        <v>2.6</v>
      </c>
      <c r="Q1673" s="15">
        <v>45623.0</v>
      </c>
      <c r="R1673" s="12"/>
      <c r="S1673" s="12" t="s">
        <v>55</v>
      </c>
      <c r="T1673" s="12" t="s">
        <v>75</v>
      </c>
      <c r="U1673" s="17">
        <f t="shared" si="1"/>
        <v>3</v>
      </c>
    </row>
    <row r="1674">
      <c r="A1674" s="12" t="s">
        <v>1224</v>
      </c>
      <c r="B1674" s="12" t="s">
        <v>190</v>
      </c>
      <c r="C1674" s="17">
        <v>57.0</v>
      </c>
      <c r="D1674" s="12" t="s">
        <v>60</v>
      </c>
      <c r="E1674" s="12" t="s">
        <v>61</v>
      </c>
      <c r="F1674" s="12" t="s">
        <v>62</v>
      </c>
      <c r="G1674" s="12" t="s">
        <v>52</v>
      </c>
      <c r="H1674" s="15">
        <v>44673.0</v>
      </c>
      <c r="I1674" s="17">
        <v>27.0</v>
      </c>
      <c r="J1674" s="12" t="s">
        <v>40</v>
      </c>
      <c r="K1674" s="12" t="s">
        <v>81</v>
      </c>
      <c r="L1674" s="17">
        <v>883.0</v>
      </c>
      <c r="M1674" s="17">
        <v>1.0</v>
      </c>
      <c r="N1674" s="17">
        <v>0.0</v>
      </c>
      <c r="O1674" s="17">
        <v>18.6</v>
      </c>
      <c r="P1674" s="17">
        <v>3.6</v>
      </c>
      <c r="Q1674" s="15">
        <v>45110.0</v>
      </c>
      <c r="R1674" s="12" t="s">
        <v>2105</v>
      </c>
      <c r="S1674" s="12" t="s">
        <v>45</v>
      </c>
      <c r="T1674" s="12" t="s">
        <v>72</v>
      </c>
      <c r="U1674" s="17">
        <f t="shared" si="1"/>
        <v>3</v>
      </c>
    </row>
    <row r="1675">
      <c r="A1675" s="12" t="s">
        <v>1812</v>
      </c>
      <c r="B1675" s="12" t="s">
        <v>139</v>
      </c>
      <c r="C1675" s="17">
        <v>61.0</v>
      </c>
      <c r="D1675" s="12" t="s">
        <v>35</v>
      </c>
      <c r="E1675" s="12" t="s">
        <v>140</v>
      </c>
      <c r="F1675" s="12" t="s">
        <v>37</v>
      </c>
      <c r="G1675" s="12" t="s">
        <v>39</v>
      </c>
      <c r="H1675" s="15">
        <v>45089.0</v>
      </c>
      <c r="I1675" s="17">
        <v>44.0</v>
      </c>
      <c r="J1675" s="12" t="s">
        <v>53</v>
      </c>
      <c r="K1675" s="12" t="s">
        <v>42</v>
      </c>
      <c r="L1675" s="17">
        <v>1073.0</v>
      </c>
      <c r="M1675" s="17">
        <v>2.0</v>
      </c>
      <c r="N1675" s="17">
        <v>0.0</v>
      </c>
      <c r="O1675" s="17">
        <v>33.5</v>
      </c>
      <c r="P1675" s="17">
        <v>3.1</v>
      </c>
      <c r="Q1675" s="15">
        <v>46277.0</v>
      </c>
      <c r="R1675" s="12" t="s">
        <v>1495</v>
      </c>
      <c r="S1675" s="12" t="s">
        <v>45</v>
      </c>
      <c r="T1675" s="12" t="s">
        <v>47</v>
      </c>
      <c r="U1675" s="17">
        <f t="shared" si="1"/>
        <v>3</v>
      </c>
    </row>
    <row r="1676">
      <c r="A1676" s="12" t="s">
        <v>2106</v>
      </c>
      <c r="B1676" s="12" t="s">
        <v>229</v>
      </c>
      <c r="C1676" s="17">
        <v>65.0</v>
      </c>
      <c r="D1676" s="12" t="s">
        <v>69</v>
      </c>
      <c r="E1676" s="12" t="s">
        <v>177</v>
      </c>
      <c r="F1676" s="12" t="s">
        <v>79</v>
      </c>
      <c r="G1676" s="12" t="s">
        <v>120</v>
      </c>
      <c r="H1676" s="15">
        <v>45688.0</v>
      </c>
      <c r="I1676" s="17">
        <v>45.0</v>
      </c>
      <c r="J1676" s="12" t="s">
        <v>64</v>
      </c>
      <c r="K1676" s="12" t="s">
        <v>65</v>
      </c>
      <c r="L1676" s="17">
        <v>3493.0</v>
      </c>
      <c r="M1676" s="17">
        <v>3.0</v>
      </c>
      <c r="N1676" s="17">
        <v>0.0</v>
      </c>
      <c r="O1676" s="17">
        <v>42.4</v>
      </c>
      <c r="P1676" s="17">
        <v>5.0</v>
      </c>
      <c r="Q1676" s="15">
        <v>45710.0</v>
      </c>
      <c r="R1676" s="12" t="s">
        <v>2107</v>
      </c>
      <c r="S1676" s="12" t="s">
        <v>45</v>
      </c>
      <c r="T1676" s="12" t="s">
        <v>47</v>
      </c>
      <c r="U1676" s="17">
        <f t="shared" si="1"/>
        <v>1</v>
      </c>
    </row>
    <row r="1677">
      <c r="A1677" s="12" t="s">
        <v>1370</v>
      </c>
      <c r="B1677" s="12" t="s">
        <v>736</v>
      </c>
      <c r="C1677" s="17">
        <v>47.0</v>
      </c>
      <c r="D1677" s="12" t="s">
        <v>35</v>
      </c>
      <c r="E1677" s="12" t="s">
        <v>161</v>
      </c>
      <c r="F1677" s="12" t="s">
        <v>37</v>
      </c>
      <c r="G1677" s="12" t="s">
        <v>63</v>
      </c>
      <c r="H1677" s="15">
        <v>45501.0</v>
      </c>
      <c r="I1677" s="17">
        <v>2.0</v>
      </c>
      <c r="J1677" s="12" t="s">
        <v>64</v>
      </c>
      <c r="K1677" s="12" t="s">
        <v>81</v>
      </c>
      <c r="L1677" s="17">
        <v>1624.0</v>
      </c>
      <c r="M1677" s="17">
        <v>3.0</v>
      </c>
      <c r="N1677" s="17">
        <v>1.0</v>
      </c>
      <c r="O1677" s="17">
        <v>18.4</v>
      </c>
      <c r="P1677" s="17">
        <v>5.0</v>
      </c>
      <c r="Q1677" s="15">
        <v>45528.0</v>
      </c>
      <c r="R1677" s="12"/>
      <c r="S1677" s="12" t="s">
        <v>55</v>
      </c>
      <c r="T1677" s="12" t="s">
        <v>47</v>
      </c>
      <c r="U1677" s="17">
        <f t="shared" si="1"/>
        <v>2</v>
      </c>
    </row>
    <row r="1678">
      <c r="A1678" s="12" t="s">
        <v>2108</v>
      </c>
      <c r="B1678" s="12" t="s">
        <v>91</v>
      </c>
      <c r="C1678" s="17">
        <v>64.0</v>
      </c>
      <c r="D1678" s="12" t="s">
        <v>69</v>
      </c>
      <c r="E1678" s="12" t="s">
        <v>187</v>
      </c>
      <c r="F1678" s="12" t="s">
        <v>62</v>
      </c>
      <c r="G1678" s="12" t="s">
        <v>52</v>
      </c>
      <c r="H1678" s="15">
        <v>44881.0</v>
      </c>
      <c r="I1678" s="17">
        <v>45.0</v>
      </c>
      <c r="J1678" s="12" t="s">
        <v>53</v>
      </c>
      <c r="K1678" s="12" t="s">
        <v>65</v>
      </c>
      <c r="L1678" s="12" t="s">
        <v>2109</v>
      </c>
      <c r="M1678" s="17">
        <v>3.0</v>
      </c>
      <c r="N1678" s="17">
        <v>1.0</v>
      </c>
      <c r="O1678" s="17">
        <v>29.7</v>
      </c>
      <c r="P1678" s="17">
        <v>3.8</v>
      </c>
      <c r="Q1678" s="15">
        <v>45443.0</v>
      </c>
      <c r="R1678" s="12"/>
      <c r="S1678" s="12" t="s">
        <v>55</v>
      </c>
      <c r="T1678" s="12" t="s">
        <v>75</v>
      </c>
      <c r="U1678" s="17">
        <f t="shared" si="1"/>
        <v>2</v>
      </c>
    </row>
    <row r="1679">
      <c r="A1679" s="12" t="s">
        <v>196</v>
      </c>
      <c r="B1679" s="12" t="s">
        <v>325</v>
      </c>
      <c r="C1679" s="17">
        <v>27.0</v>
      </c>
      <c r="D1679" s="12" t="s">
        <v>85</v>
      </c>
      <c r="E1679" s="12" t="s">
        <v>292</v>
      </c>
      <c r="F1679" s="12" t="s">
        <v>62</v>
      </c>
      <c r="G1679" s="12" t="s">
        <v>120</v>
      </c>
      <c r="H1679" s="15">
        <v>45852.0</v>
      </c>
      <c r="I1679" s="17">
        <v>15.0</v>
      </c>
      <c r="J1679" s="12" t="s">
        <v>40</v>
      </c>
      <c r="K1679" s="12" t="s">
        <v>454</v>
      </c>
      <c r="L1679" s="17">
        <v>765.0</v>
      </c>
      <c r="M1679" s="17">
        <v>1.0</v>
      </c>
      <c r="N1679" s="17">
        <v>1.0</v>
      </c>
      <c r="O1679" s="17">
        <v>21.4</v>
      </c>
      <c r="P1679" s="17">
        <v>4.6</v>
      </c>
      <c r="Q1679" s="15">
        <v>45864.0</v>
      </c>
      <c r="R1679" s="12"/>
      <c r="S1679" s="12" t="s">
        <v>55</v>
      </c>
      <c r="T1679" s="12" t="s">
        <v>104</v>
      </c>
      <c r="U1679" s="17">
        <f t="shared" si="1"/>
        <v>4</v>
      </c>
    </row>
    <row r="1680">
      <c r="A1680" s="12" t="s">
        <v>2110</v>
      </c>
      <c r="B1680" s="12" t="s">
        <v>34</v>
      </c>
      <c r="C1680" s="17">
        <v>20.0</v>
      </c>
      <c r="D1680" s="12" t="s">
        <v>60</v>
      </c>
      <c r="E1680" s="12" t="s">
        <v>107</v>
      </c>
      <c r="F1680" s="12" t="s">
        <v>62</v>
      </c>
      <c r="G1680" s="12" t="s">
        <v>421</v>
      </c>
      <c r="H1680" s="15">
        <v>44991.0</v>
      </c>
      <c r="I1680" s="17">
        <v>35.0</v>
      </c>
      <c r="J1680" s="12" t="s">
        <v>64</v>
      </c>
      <c r="K1680" s="12" t="s">
        <v>42</v>
      </c>
      <c r="L1680" s="17">
        <v>884.0</v>
      </c>
      <c r="M1680" s="17">
        <v>1.0</v>
      </c>
      <c r="N1680" s="17">
        <v>0.0</v>
      </c>
      <c r="O1680" s="17">
        <v>13.9</v>
      </c>
      <c r="P1680" s="17">
        <v>3.2</v>
      </c>
      <c r="Q1680" s="15">
        <v>46014.0</v>
      </c>
      <c r="R1680" s="12"/>
      <c r="S1680" s="12" t="s">
        <v>55</v>
      </c>
      <c r="T1680" s="12" t="s">
        <v>66</v>
      </c>
      <c r="U1680" s="17">
        <f t="shared" si="1"/>
        <v>1</v>
      </c>
    </row>
    <row r="1681">
      <c r="A1681" s="12" t="s">
        <v>428</v>
      </c>
      <c r="B1681" s="12" t="s">
        <v>232</v>
      </c>
      <c r="C1681" s="17">
        <v>46.0</v>
      </c>
      <c r="D1681" s="12" t="s">
        <v>85</v>
      </c>
      <c r="E1681" s="12" t="s">
        <v>87</v>
      </c>
      <c r="F1681" s="12" t="s">
        <v>37</v>
      </c>
      <c r="G1681" s="12" t="s">
        <v>52</v>
      </c>
      <c r="H1681" s="15">
        <v>44737.0</v>
      </c>
      <c r="I1681" s="17">
        <v>45.0</v>
      </c>
      <c r="J1681" s="12" t="s">
        <v>64</v>
      </c>
      <c r="K1681" s="12" t="s">
        <v>81</v>
      </c>
      <c r="L1681" s="17">
        <v>1342.0</v>
      </c>
      <c r="M1681" s="17">
        <v>2.0</v>
      </c>
      <c r="N1681" s="17">
        <v>0.0</v>
      </c>
      <c r="O1681" s="17">
        <v>30.0</v>
      </c>
      <c r="P1681" s="12"/>
      <c r="Q1681" s="15">
        <v>45265.0</v>
      </c>
      <c r="R1681" s="12"/>
      <c r="S1681" s="12" t="s">
        <v>55</v>
      </c>
      <c r="T1681" s="12" t="s">
        <v>104</v>
      </c>
      <c r="U1681" s="17">
        <f t="shared" si="1"/>
        <v>2</v>
      </c>
    </row>
    <row r="1682">
      <c r="A1682" s="12" t="s">
        <v>423</v>
      </c>
      <c r="B1682" s="12" t="s">
        <v>349</v>
      </c>
      <c r="C1682" s="17">
        <v>42.0</v>
      </c>
      <c r="D1682" s="12" t="s">
        <v>60</v>
      </c>
      <c r="E1682" s="12" t="s">
        <v>133</v>
      </c>
      <c r="F1682" s="12" t="s">
        <v>62</v>
      </c>
      <c r="G1682" s="12" t="s">
        <v>52</v>
      </c>
      <c r="H1682" s="15">
        <v>44668.0</v>
      </c>
      <c r="I1682" s="17">
        <v>8.0</v>
      </c>
      <c r="J1682" s="12" t="s">
        <v>40</v>
      </c>
      <c r="K1682" s="12" t="s">
        <v>81</v>
      </c>
      <c r="L1682" s="17">
        <v>573.0</v>
      </c>
      <c r="M1682" s="17">
        <v>2.0</v>
      </c>
      <c r="N1682" s="17">
        <v>0.0</v>
      </c>
      <c r="O1682" s="17">
        <v>16.9</v>
      </c>
      <c r="P1682" s="17">
        <v>3.0</v>
      </c>
      <c r="Q1682" s="15">
        <v>44772.0</v>
      </c>
      <c r="R1682" s="12" t="s">
        <v>2111</v>
      </c>
      <c r="S1682" s="12" t="s">
        <v>45</v>
      </c>
      <c r="T1682" s="12" t="s">
        <v>104</v>
      </c>
      <c r="U1682" s="17">
        <f t="shared" si="1"/>
        <v>3</v>
      </c>
    </row>
    <row r="1683">
      <c r="A1683" s="12" t="s">
        <v>2112</v>
      </c>
      <c r="B1683" s="12" t="s">
        <v>179</v>
      </c>
      <c r="C1683" s="17">
        <v>32.0</v>
      </c>
      <c r="D1683" s="12" t="s">
        <v>35</v>
      </c>
      <c r="E1683" s="12" t="s">
        <v>161</v>
      </c>
      <c r="F1683" s="12" t="s">
        <v>62</v>
      </c>
      <c r="G1683" s="12" t="s">
        <v>63</v>
      </c>
      <c r="H1683" s="15">
        <v>45535.0</v>
      </c>
      <c r="I1683" s="17">
        <v>23.0</v>
      </c>
      <c r="J1683" s="12" t="s">
        <v>64</v>
      </c>
      <c r="K1683" s="12" t="s">
        <v>81</v>
      </c>
      <c r="L1683" s="17">
        <v>770.0</v>
      </c>
      <c r="M1683" s="17">
        <v>3.0</v>
      </c>
      <c r="N1683" s="17">
        <v>0.0</v>
      </c>
      <c r="O1683" s="17">
        <v>30.9</v>
      </c>
      <c r="P1683" s="17">
        <v>4.6</v>
      </c>
      <c r="Q1683" s="15">
        <v>46202.0</v>
      </c>
      <c r="R1683" s="12" t="s">
        <v>2113</v>
      </c>
      <c r="S1683" s="12" t="s">
        <v>45</v>
      </c>
      <c r="T1683" s="12" t="s">
        <v>66</v>
      </c>
      <c r="U1683" s="17">
        <f t="shared" si="1"/>
        <v>1</v>
      </c>
    </row>
    <row r="1684">
      <c r="A1684" s="12" t="s">
        <v>2114</v>
      </c>
      <c r="B1684" s="12" t="s">
        <v>411</v>
      </c>
      <c r="C1684" s="17">
        <v>23.0</v>
      </c>
      <c r="D1684" s="12" t="s">
        <v>35</v>
      </c>
      <c r="E1684" s="12" t="s">
        <v>161</v>
      </c>
      <c r="F1684" s="12" t="s">
        <v>62</v>
      </c>
      <c r="G1684" s="12" t="s">
        <v>63</v>
      </c>
      <c r="H1684" s="15">
        <v>44687.0</v>
      </c>
      <c r="I1684" s="17">
        <v>19.0</v>
      </c>
      <c r="J1684" s="12" t="s">
        <v>64</v>
      </c>
      <c r="K1684" s="12" t="s">
        <v>42</v>
      </c>
      <c r="L1684" s="17">
        <v>622.0</v>
      </c>
      <c r="M1684" s="17">
        <v>4.0</v>
      </c>
      <c r="N1684" s="17">
        <v>1.0</v>
      </c>
      <c r="O1684" s="17">
        <v>26.8</v>
      </c>
      <c r="P1684" s="17">
        <v>5.0</v>
      </c>
      <c r="Q1684" s="15">
        <v>45112.0</v>
      </c>
      <c r="R1684" s="12"/>
      <c r="S1684" s="12" t="s">
        <v>55</v>
      </c>
      <c r="T1684" s="12" t="s">
        <v>72</v>
      </c>
      <c r="U1684" s="17">
        <f t="shared" si="1"/>
        <v>1</v>
      </c>
    </row>
    <row r="1685">
      <c r="A1685" s="12" t="s">
        <v>2115</v>
      </c>
      <c r="B1685" s="12" t="s">
        <v>132</v>
      </c>
      <c r="C1685" s="17">
        <v>25.0</v>
      </c>
      <c r="D1685" s="12" t="s">
        <v>35</v>
      </c>
      <c r="E1685" s="12" t="s">
        <v>161</v>
      </c>
      <c r="F1685" s="12" t="s">
        <v>79</v>
      </c>
      <c r="G1685" s="12" t="s">
        <v>39</v>
      </c>
      <c r="H1685" s="15">
        <v>45539.0</v>
      </c>
      <c r="I1685" s="17">
        <v>20.0</v>
      </c>
      <c r="J1685" s="12" t="s">
        <v>53</v>
      </c>
      <c r="K1685" s="12" t="s">
        <v>81</v>
      </c>
      <c r="L1685" s="17">
        <v>1516.0</v>
      </c>
      <c r="M1685" s="17">
        <v>3.0</v>
      </c>
      <c r="N1685" s="17">
        <v>1.0</v>
      </c>
      <c r="O1685" s="17">
        <v>33.2</v>
      </c>
      <c r="P1685" s="17">
        <v>4.0</v>
      </c>
      <c r="Q1685" s="15">
        <v>45750.0</v>
      </c>
      <c r="R1685" s="12"/>
      <c r="S1685" s="12" t="s">
        <v>1125</v>
      </c>
      <c r="T1685" s="12" t="s">
        <v>72</v>
      </c>
      <c r="U1685" s="17">
        <f t="shared" si="1"/>
        <v>1</v>
      </c>
    </row>
    <row r="1686">
      <c r="A1686" s="12" t="s">
        <v>2116</v>
      </c>
      <c r="B1686" s="12" t="s">
        <v>235</v>
      </c>
      <c r="C1686" s="17">
        <v>44.0</v>
      </c>
      <c r="D1686" s="12" t="s">
        <v>60</v>
      </c>
      <c r="E1686" s="12" t="s">
        <v>133</v>
      </c>
      <c r="F1686" s="12" t="s">
        <v>62</v>
      </c>
      <c r="G1686" s="12" t="s">
        <v>93</v>
      </c>
      <c r="H1686" s="15">
        <v>45485.0</v>
      </c>
      <c r="I1686" s="17">
        <v>36.0</v>
      </c>
      <c r="J1686" s="12" t="s">
        <v>64</v>
      </c>
      <c r="K1686" s="12" t="s">
        <v>81</v>
      </c>
      <c r="L1686" s="17">
        <v>545.0</v>
      </c>
      <c r="M1686" s="17">
        <v>0.0</v>
      </c>
      <c r="N1686" s="17">
        <v>1.0</v>
      </c>
      <c r="O1686" s="17">
        <v>4.2</v>
      </c>
      <c r="P1686" s="17">
        <v>4.6</v>
      </c>
      <c r="Q1686" s="15">
        <v>45811.0</v>
      </c>
      <c r="R1686" s="12"/>
      <c r="S1686" s="12" t="s">
        <v>55</v>
      </c>
      <c r="T1686" s="12" t="s">
        <v>66</v>
      </c>
      <c r="U1686" s="17">
        <f t="shared" si="1"/>
        <v>1</v>
      </c>
    </row>
    <row r="1687">
      <c r="A1687" s="12" t="s">
        <v>1552</v>
      </c>
      <c r="B1687" s="12" t="s">
        <v>135</v>
      </c>
      <c r="C1687" s="17">
        <v>24.0</v>
      </c>
      <c r="D1687" s="12" t="s">
        <v>69</v>
      </c>
      <c r="E1687" s="12" t="s">
        <v>119</v>
      </c>
      <c r="F1687" s="12" t="s">
        <v>37</v>
      </c>
      <c r="G1687" s="12" t="s">
        <v>120</v>
      </c>
      <c r="H1687" s="15">
        <v>44753.0</v>
      </c>
      <c r="I1687" s="17">
        <v>7.0</v>
      </c>
      <c r="J1687" s="12" t="s">
        <v>64</v>
      </c>
      <c r="K1687" s="12" t="s">
        <v>81</v>
      </c>
      <c r="L1687" s="17">
        <v>1433.0</v>
      </c>
      <c r="M1687" s="17">
        <v>2.0</v>
      </c>
      <c r="N1687" s="17">
        <v>0.0</v>
      </c>
      <c r="O1687" s="17">
        <v>29.3</v>
      </c>
      <c r="P1687" s="17">
        <v>3.9</v>
      </c>
      <c r="Q1687" s="15">
        <v>44895.0</v>
      </c>
      <c r="R1687" s="12"/>
      <c r="S1687" s="12" t="s">
        <v>55</v>
      </c>
      <c r="T1687" s="12" t="s">
        <v>75</v>
      </c>
      <c r="U1687" s="17">
        <f t="shared" si="1"/>
        <v>3</v>
      </c>
    </row>
    <row r="1688">
      <c r="A1688" s="12" t="s">
        <v>2117</v>
      </c>
      <c r="B1688" s="12" t="s">
        <v>295</v>
      </c>
      <c r="C1688" s="17">
        <v>20.0</v>
      </c>
      <c r="D1688" s="12" t="s">
        <v>85</v>
      </c>
      <c r="E1688" s="12" t="s">
        <v>92</v>
      </c>
      <c r="F1688" s="12" t="s">
        <v>37</v>
      </c>
      <c r="G1688" s="12" t="s">
        <v>52</v>
      </c>
      <c r="H1688" s="15">
        <v>45629.0</v>
      </c>
      <c r="I1688" s="17">
        <v>13.0</v>
      </c>
      <c r="J1688" s="12" t="s">
        <v>53</v>
      </c>
      <c r="K1688" s="12" t="s">
        <v>81</v>
      </c>
      <c r="L1688" s="17">
        <v>1422.0</v>
      </c>
      <c r="M1688" s="17">
        <v>2.0</v>
      </c>
      <c r="N1688" s="17">
        <v>0.0</v>
      </c>
      <c r="O1688" s="17">
        <v>33.0</v>
      </c>
      <c r="P1688" s="17">
        <v>4.0</v>
      </c>
      <c r="Q1688" s="15">
        <v>45882.0</v>
      </c>
      <c r="R1688" s="12"/>
      <c r="S1688" s="12" t="s">
        <v>55</v>
      </c>
      <c r="T1688" s="12" t="s">
        <v>47</v>
      </c>
      <c r="U1688" s="17">
        <f t="shared" si="1"/>
        <v>1</v>
      </c>
    </row>
    <row r="1689">
      <c r="A1689" s="12" t="s">
        <v>1121</v>
      </c>
      <c r="B1689" s="12" t="s">
        <v>167</v>
      </c>
      <c r="C1689" s="17">
        <v>34.0</v>
      </c>
      <c r="D1689" s="12" t="s">
        <v>69</v>
      </c>
      <c r="E1689" s="12" t="s">
        <v>177</v>
      </c>
      <c r="F1689" s="12" t="s">
        <v>62</v>
      </c>
      <c r="G1689" s="12" t="s">
        <v>80</v>
      </c>
      <c r="H1689" s="15">
        <v>44699.0</v>
      </c>
      <c r="I1689" s="17">
        <v>38.0</v>
      </c>
      <c r="J1689" s="12" t="s">
        <v>53</v>
      </c>
      <c r="K1689" s="12" t="s">
        <v>42</v>
      </c>
      <c r="L1689" s="17">
        <v>666.0</v>
      </c>
      <c r="M1689" s="17">
        <v>2.0</v>
      </c>
      <c r="N1689" s="17">
        <v>1.0</v>
      </c>
      <c r="O1689" s="17">
        <v>32.0</v>
      </c>
      <c r="P1689" s="17">
        <v>1.8</v>
      </c>
      <c r="Q1689" s="15">
        <v>45016.0</v>
      </c>
      <c r="R1689" s="12"/>
      <c r="S1689" s="12" t="s">
        <v>55</v>
      </c>
      <c r="T1689" s="12" t="s">
        <v>47</v>
      </c>
      <c r="U1689" s="17">
        <f t="shared" si="1"/>
        <v>3</v>
      </c>
    </row>
    <row r="1690">
      <c r="A1690" s="12" t="s">
        <v>441</v>
      </c>
      <c r="B1690" s="12" t="s">
        <v>179</v>
      </c>
      <c r="C1690" s="17">
        <v>23.0</v>
      </c>
      <c r="D1690" s="12" t="s">
        <v>69</v>
      </c>
      <c r="E1690" s="12" t="s">
        <v>177</v>
      </c>
      <c r="F1690" s="12" t="s">
        <v>62</v>
      </c>
      <c r="G1690" s="12" t="s">
        <v>120</v>
      </c>
      <c r="H1690" s="15">
        <v>45912.0</v>
      </c>
      <c r="I1690" s="17">
        <v>10.0</v>
      </c>
      <c r="J1690" s="12" t="s">
        <v>64</v>
      </c>
      <c r="K1690" s="12" t="s">
        <v>65</v>
      </c>
      <c r="L1690" s="17">
        <v>896.0</v>
      </c>
      <c r="M1690" s="17">
        <v>4.0</v>
      </c>
      <c r="N1690" s="17">
        <v>0.0</v>
      </c>
      <c r="O1690" s="17">
        <v>16.4</v>
      </c>
      <c r="P1690" s="17">
        <v>4.9</v>
      </c>
      <c r="Q1690" s="15">
        <v>46093.0</v>
      </c>
      <c r="R1690" s="12"/>
      <c r="S1690" s="12" t="s">
        <v>55</v>
      </c>
      <c r="T1690" s="12" t="s">
        <v>66</v>
      </c>
      <c r="U1690" s="17">
        <f t="shared" si="1"/>
        <v>4</v>
      </c>
    </row>
    <row r="1691">
      <c r="A1691" s="12" t="s">
        <v>77</v>
      </c>
      <c r="B1691" s="12" t="s">
        <v>167</v>
      </c>
      <c r="C1691" s="17">
        <v>32.0</v>
      </c>
      <c r="D1691" s="12" t="s">
        <v>85</v>
      </c>
      <c r="E1691" s="12" t="s">
        <v>87</v>
      </c>
      <c r="F1691" s="12" t="s">
        <v>37</v>
      </c>
      <c r="G1691" s="12" t="s">
        <v>80</v>
      </c>
      <c r="H1691" s="15">
        <v>44988.0</v>
      </c>
      <c r="I1691" s="17">
        <v>1.0</v>
      </c>
      <c r="J1691" s="12" t="s">
        <v>40</v>
      </c>
      <c r="K1691" s="12" t="s">
        <v>65</v>
      </c>
      <c r="L1691" s="17">
        <v>1206.0</v>
      </c>
      <c r="M1691" s="17">
        <v>2.0</v>
      </c>
      <c r="N1691" s="17">
        <v>0.0</v>
      </c>
      <c r="O1691" s="17">
        <v>20.9</v>
      </c>
      <c r="P1691" s="17">
        <v>2.8</v>
      </c>
      <c r="Q1691" s="15">
        <v>45007.0</v>
      </c>
      <c r="R1691" s="12" t="s">
        <v>2118</v>
      </c>
      <c r="S1691" s="12" t="s">
        <v>45</v>
      </c>
      <c r="T1691" s="12" t="s">
        <v>47</v>
      </c>
      <c r="U1691" s="17">
        <f t="shared" si="1"/>
        <v>6</v>
      </c>
    </row>
    <row r="1692">
      <c r="A1692" s="12" t="s">
        <v>318</v>
      </c>
      <c r="B1692" s="12" t="s">
        <v>126</v>
      </c>
      <c r="C1692" s="17">
        <v>39.0</v>
      </c>
      <c r="D1692" s="12" t="s">
        <v>85</v>
      </c>
      <c r="E1692" s="12" t="s">
        <v>87</v>
      </c>
      <c r="F1692" s="12" t="s">
        <v>37</v>
      </c>
      <c r="G1692" s="12" t="s">
        <v>1014</v>
      </c>
      <c r="H1692" s="15">
        <v>45887.0</v>
      </c>
      <c r="I1692" s="17">
        <v>15.0</v>
      </c>
      <c r="J1692" s="12" t="s">
        <v>40</v>
      </c>
      <c r="K1692" s="12" t="s">
        <v>81</v>
      </c>
      <c r="L1692" s="17">
        <v>1652.0</v>
      </c>
      <c r="M1692" s="17">
        <v>3.0</v>
      </c>
      <c r="N1692" s="17">
        <v>0.0</v>
      </c>
      <c r="O1692" s="17">
        <v>31.1</v>
      </c>
      <c r="P1692" s="17">
        <v>2.8</v>
      </c>
      <c r="Q1692" s="15">
        <v>46312.0</v>
      </c>
      <c r="R1692" s="12"/>
      <c r="S1692" s="12" t="s">
        <v>230</v>
      </c>
      <c r="T1692" s="12" t="s">
        <v>72</v>
      </c>
      <c r="U1692" s="17">
        <f t="shared" si="1"/>
        <v>3</v>
      </c>
    </row>
    <row r="1693">
      <c r="A1693" s="12" t="s">
        <v>1936</v>
      </c>
      <c r="B1693" s="12" t="s">
        <v>96</v>
      </c>
      <c r="C1693" s="17">
        <v>59.0</v>
      </c>
      <c r="D1693" s="12" t="s">
        <v>85</v>
      </c>
      <c r="E1693" s="12" t="s">
        <v>292</v>
      </c>
      <c r="F1693" s="12" t="s">
        <v>79</v>
      </c>
      <c r="G1693" s="12" t="s">
        <v>63</v>
      </c>
      <c r="H1693" s="15">
        <v>45676.0</v>
      </c>
      <c r="I1693" s="17">
        <v>30.0</v>
      </c>
      <c r="J1693" s="12" t="s">
        <v>53</v>
      </c>
      <c r="K1693" s="12" t="s">
        <v>42</v>
      </c>
      <c r="L1693" s="17">
        <v>3875.0</v>
      </c>
      <c r="M1693" s="17">
        <v>4.0</v>
      </c>
      <c r="N1693" s="17">
        <v>0.0</v>
      </c>
      <c r="O1693" s="17">
        <v>32.5</v>
      </c>
      <c r="P1693" s="17">
        <v>2.6</v>
      </c>
      <c r="Q1693" s="15">
        <v>46263.0</v>
      </c>
      <c r="R1693" s="12" t="s">
        <v>2120</v>
      </c>
      <c r="S1693" s="12" t="s">
        <v>45</v>
      </c>
      <c r="T1693" s="12" t="s">
        <v>66</v>
      </c>
      <c r="U1693" s="17">
        <f t="shared" si="1"/>
        <v>2</v>
      </c>
    </row>
    <row r="1694">
      <c r="A1694" s="12" t="s">
        <v>2121</v>
      </c>
      <c r="B1694" s="12" t="s">
        <v>405</v>
      </c>
      <c r="C1694" s="17">
        <v>27.0</v>
      </c>
      <c r="D1694" s="12" t="s">
        <v>69</v>
      </c>
      <c r="E1694" s="12" t="s">
        <v>119</v>
      </c>
      <c r="F1694" s="12" t="s">
        <v>37</v>
      </c>
      <c r="G1694" s="12" t="s">
        <v>120</v>
      </c>
      <c r="H1694" s="15">
        <v>45495.0</v>
      </c>
      <c r="I1694" s="17">
        <v>48.0</v>
      </c>
      <c r="J1694" s="12" t="s">
        <v>64</v>
      </c>
      <c r="K1694" s="12" t="s">
        <v>81</v>
      </c>
      <c r="L1694" s="17">
        <v>1122.0</v>
      </c>
      <c r="M1694" s="17">
        <v>2.0</v>
      </c>
      <c r="N1694" s="17">
        <v>1.0</v>
      </c>
      <c r="O1694" s="17">
        <v>42.2</v>
      </c>
      <c r="P1694" s="17">
        <v>4.0</v>
      </c>
      <c r="Q1694" s="15">
        <v>46531.0</v>
      </c>
      <c r="R1694" s="12" t="s">
        <v>2122</v>
      </c>
      <c r="S1694" s="12" t="s">
        <v>45</v>
      </c>
      <c r="T1694" s="12"/>
      <c r="U1694" s="17">
        <f t="shared" si="1"/>
        <v>1</v>
      </c>
    </row>
    <row r="1695">
      <c r="A1695" s="12" t="s">
        <v>2123</v>
      </c>
      <c r="B1695" s="12" t="s">
        <v>322</v>
      </c>
      <c r="C1695" s="17">
        <v>28.0</v>
      </c>
      <c r="D1695" s="12" t="s">
        <v>85</v>
      </c>
      <c r="E1695" s="12" t="s">
        <v>111</v>
      </c>
      <c r="F1695" s="12" t="s">
        <v>62</v>
      </c>
      <c r="G1695" s="12" t="s">
        <v>80</v>
      </c>
      <c r="H1695" s="15">
        <v>44687.0</v>
      </c>
      <c r="I1695" s="17">
        <v>1.0</v>
      </c>
      <c r="J1695" s="12" t="s">
        <v>40</v>
      </c>
      <c r="K1695" s="12" t="s">
        <v>65</v>
      </c>
      <c r="L1695" s="17">
        <v>541.0</v>
      </c>
      <c r="M1695" s="17">
        <v>3.0</v>
      </c>
      <c r="N1695" s="17">
        <v>0.0</v>
      </c>
      <c r="O1695" s="17">
        <v>31.4</v>
      </c>
      <c r="P1695" s="17">
        <v>2.9</v>
      </c>
      <c r="Q1695" s="15">
        <v>44700.0</v>
      </c>
      <c r="R1695" s="12"/>
      <c r="S1695" s="12" t="s">
        <v>55</v>
      </c>
      <c r="T1695" s="12" t="s">
        <v>72</v>
      </c>
      <c r="U1695" s="17">
        <f t="shared" si="1"/>
        <v>1</v>
      </c>
    </row>
    <row r="1696">
      <c r="A1696" s="12" t="s">
        <v>440</v>
      </c>
      <c r="B1696" s="12" t="s">
        <v>135</v>
      </c>
      <c r="C1696" s="17">
        <v>62.0</v>
      </c>
      <c r="D1696" s="12" t="s">
        <v>69</v>
      </c>
      <c r="E1696" s="12" t="s">
        <v>70</v>
      </c>
      <c r="F1696" s="12" t="s">
        <v>192</v>
      </c>
      <c r="G1696" s="12" t="s">
        <v>52</v>
      </c>
      <c r="H1696" s="15">
        <v>45552.0</v>
      </c>
      <c r="I1696" s="17">
        <v>45.0</v>
      </c>
      <c r="J1696" s="12" t="s">
        <v>64</v>
      </c>
      <c r="K1696" s="12" t="s">
        <v>81</v>
      </c>
      <c r="L1696" s="17">
        <v>739.0</v>
      </c>
      <c r="M1696" s="17">
        <v>2.0</v>
      </c>
      <c r="N1696" s="17">
        <v>0.0</v>
      </c>
      <c r="O1696" s="17">
        <v>23.2</v>
      </c>
      <c r="P1696" s="17">
        <v>9.0</v>
      </c>
      <c r="Q1696" s="15">
        <v>46829.0</v>
      </c>
      <c r="R1696" s="12"/>
      <c r="S1696" s="12" t="s">
        <v>55</v>
      </c>
      <c r="T1696" s="12" t="s">
        <v>75</v>
      </c>
      <c r="U1696" s="17">
        <f t="shared" si="1"/>
        <v>2</v>
      </c>
    </row>
    <row r="1697">
      <c r="A1697" s="12" t="s">
        <v>2124</v>
      </c>
      <c r="B1697" s="12" t="s">
        <v>34</v>
      </c>
      <c r="C1697" s="17">
        <v>52.0</v>
      </c>
      <c r="D1697" s="12" t="s">
        <v>85</v>
      </c>
      <c r="E1697" s="12" t="s">
        <v>92</v>
      </c>
      <c r="F1697" s="12" t="s">
        <v>37</v>
      </c>
      <c r="G1697" s="12" t="s">
        <v>120</v>
      </c>
      <c r="H1697" s="15">
        <v>45278.0</v>
      </c>
      <c r="I1697" s="17">
        <v>26.0</v>
      </c>
      <c r="J1697" s="12" t="s">
        <v>40</v>
      </c>
      <c r="K1697" s="12" t="s">
        <v>42</v>
      </c>
      <c r="L1697" s="17">
        <v>1415.0</v>
      </c>
      <c r="M1697" s="17">
        <v>2.0</v>
      </c>
      <c r="N1697" s="17">
        <v>2.0</v>
      </c>
      <c r="O1697" s="17">
        <v>13.6</v>
      </c>
      <c r="P1697" s="17">
        <v>3.4</v>
      </c>
      <c r="Q1697" s="15">
        <v>45329.0</v>
      </c>
      <c r="R1697" s="12"/>
      <c r="S1697" s="12" t="s">
        <v>55</v>
      </c>
      <c r="T1697" s="12" t="s">
        <v>72</v>
      </c>
      <c r="U1697" s="17">
        <f t="shared" si="1"/>
        <v>1</v>
      </c>
    </row>
    <row r="1698">
      <c r="A1698" s="12" t="s">
        <v>2004</v>
      </c>
      <c r="B1698" s="12" t="s">
        <v>312</v>
      </c>
      <c r="C1698" s="17">
        <v>68.0</v>
      </c>
      <c r="D1698" s="12" t="s">
        <v>60</v>
      </c>
      <c r="E1698" s="12"/>
      <c r="F1698" s="12" t="s">
        <v>62</v>
      </c>
      <c r="G1698" s="12" t="s">
        <v>52</v>
      </c>
      <c r="H1698" s="15">
        <v>45312.0</v>
      </c>
      <c r="I1698" s="17">
        <v>10.0</v>
      </c>
      <c r="J1698" s="12" t="s">
        <v>53</v>
      </c>
      <c r="K1698" s="12" t="s">
        <v>81</v>
      </c>
      <c r="L1698" s="17">
        <v>643.0</v>
      </c>
      <c r="M1698" s="17">
        <v>2.0</v>
      </c>
      <c r="N1698" s="17">
        <v>2.0</v>
      </c>
      <c r="O1698" s="17">
        <v>31.1</v>
      </c>
      <c r="P1698" s="17">
        <v>4.6</v>
      </c>
      <c r="Q1698" s="15">
        <v>45516.0</v>
      </c>
      <c r="R1698" s="12"/>
      <c r="S1698" s="12" t="s">
        <v>55</v>
      </c>
      <c r="T1698" s="12" t="s">
        <v>47</v>
      </c>
      <c r="U1698" s="17">
        <f t="shared" si="1"/>
        <v>2</v>
      </c>
    </row>
    <row r="1699">
      <c r="A1699" s="12" t="s">
        <v>862</v>
      </c>
      <c r="B1699" s="12" t="s">
        <v>295</v>
      </c>
      <c r="C1699" s="17">
        <v>63.0</v>
      </c>
      <c r="D1699" s="12" t="s">
        <v>69</v>
      </c>
      <c r="E1699" s="12" t="s">
        <v>187</v>
      </c>
      <c r="F1699" s="12" t="s">
        <v>37</v>
      </c>
      <c r="G1699" s="12" t="s">
        <v>80</v>
      </c>
      <c r="H1699" s="15">
        <v>44717.0</v>
      </c>
      <c r="I1699" s="17">
        <v>17.0</v>
      </c>
      <c r="J1699" s="12" t="s">
        <v>53</v>
      </c>
      <c r="K1699" s="12" t="s">
        <v>65</v>
      </c>
      <c r="L1699" s="17">
        <v>1719.0</v>
      </c>
      <c r="M1699" s="17">
        <v>0.0</v>
      </c>
      <c r="N1699" s="17">
        <v>0.0</v>
      </c>
      <c r="O1699" s="17">
        <v>29.4</v>
      </c>
      <c r="P1699" s="17">
        <v>2.9</v>
      </c>
      <c r="Q1699" s="15">
        <v>45196.0</v>
      </c>
      <c r="R1699" s="12"/>
      <c r="S1699" s="12" t="s">
        <v>55</v>
      </c>
      <c r="T1699" s="12" t="s">
        <v>47</v>
      </c>
      <c r="U1699" s="17">
        <f t="shared" si="1"/>
        <v>6</v>
      </c>
    </row>
    <row r="1700">
      <c r="A1700" s="12" t="s">
        <v>2125</v>
      </c>
      <c r="B1700" s="12" t="s">
        <v>651</v>
      </c>
      <c r="C1700" s="17">
        <v>44.0</v>
      </c>
      <c r="D1700" s="12" t="s">
        <v>35</v>
      </c>
      <c r="E1700" s="12" t="s">
        <v>36</v>
      </c>
      <c r="F1700" s="12" t="s">
        <v>62</v>
      </c>
      <c r="G1700" s="12" t="s">
        <v>93</v>
      </c>
      <c r="H1700" s="15">
        <v>45873.0</v>
      </c>
      <c r="I1700" s="17">
        <v>38.0</v>
      </c>
      <c r="J1700" s="12" t="s">
        <v>64</v>
      </c>
      <c r="K1700" s="12" t="s">
        <v>42</v>
      </c>
      <c r="L1700" s="17">
        <v>667.0</v>
      </c>
      <c r="M1700" s="17">
        <v>3.0</v>
      </c>
      <c r="N1700" s="17">
        <v>1.0</v>
      </c>
      <c r="O1700" s="17">
        <v>11.4</v>
      </c>
      <c r="P1700" s="17">
        <v>4.6</v>
      </c>
      <c r="Q1700" s="15">
        <v>46079.0</v>
      </c>
      <c r="R1700" s="12"/>
      <c r="S1700" s="12" t="s">
        <v>55</v>
      </c>
      <c r="T1700" s="12" t="s">
        <v>75</v>
      </c>
      <c r="U1700" s="17">
        <f t="shared" si="1"/>
        <v>2</v>
      </c>
    </row>
    <row r="1701">
      <c r="A1701" s="12" t="s">
        <v>2126</v>
      </c>
      <c r="B1701" s="12" t="s">
        <v>229</v>
      </c>
      <c r="C1701" s="17">
        <v>54.0</v>
      </c>
      <c r="D1701" s="12" t="s">
        <v>35</v>
      </c>
      <c r="E1701" s="12" t="s">
        <v>36</v>
      </c>
      <c r="F1701" s="12" t="s">
        <v>62</v>
      </c>
      <c r="G1701" s="12" t="s">
        <v>210</v>
      </c>
      <c r="H1701" s="15">
        <v>45709.0</v>
      </c>
      <c r="I1701" s="17">
        <v>37.0</v>
      </c>
      <c r="J1701" s="12" t="s">
        <v>40</v>
      </c>
      <c r="K1701" s="12" t="s">
        <v>42</v>
      </c>
      <c r="L1701" s="17">
        <v>841.0</v>
      </c>
      <c r="M1701" s="17">
        <v>2.0</v>
      </c>
      <c r="N1701" s="17">
        <v>1.0</v>
      </c>
      <c r="O1701" s="17">
        <v>18.9</v>
      </c>
      <c r="P1701" s="17">
        <v>2.4</v>
      </c>
      <c r="Q1701" s="15">
        <v>46678.0</v>
      </c>
      <c r="R1701" s="12"/>
      <c r="S1701" s="12" t="s">
        <v>55</v>
      </c>
      <c r="T1701" s="12" t="s">
        <v>72</v>
      </c>
      <c r="U1701" s="17">
        <f t="shared" si="1"/>
        <v>1</v>
      </c>
    </row>
    <row r="1702">
      <c r="A1702" s="12" t="s">
        <v>2127</v>
      </c>
      <c r="B1702" s="12" t="s">
        <v>2128</v>
      </c>
      <c r="C1702" s="17">
        <v>43.0</v>
      </c>
      <c r="D1702" s="12" t="s">
        <v>69</v>
      </c>
      <c r="E1702" s="12" t="s">
        <v>177</v>
      </c>
      <c r="F1702" s="12" t="s">
        <v>37</v>
      </c>
      <c r="G1702" s="12" t="s">
        <v>63</v>
      </c>
      <c r="H1702" s="15">
        <v>45791.0</v>
      </c>
      <c r="I1702" s="17">
        <v>12.0</v>
      </c>
      <c r="J1702" s="12" t="s">
        <v>40</v>
      </c>
      <c r="K1702" s="12" t="s">
        <v>81</v>
      </c>
      <c r="L1702" s="17">
        <v>1411.0</v>
      </c>
      <c r="M1702" s="17">
        <v>4.0</v>
      </c>
      <c r="N1702" s="17">
        <v>2.0</v>
      </c>
      <c r="O1702" s="17">
        <v>40.4</v>
      </c>
      <c r="P1702" s="17">
        <v>4.2</v>
      </c>
      <c r="Q1702" s="15">
        <v>46092.0</v>
      </c>
      <c r="R1702" s="12"/>
      <c r="S1702" s="12" t="s">
        <v>55</v>
      </c>
      <c r="T1702" s="12" t="s">
        <v>66</v>
      </c>
      <c r="U1702" s="17">
        <f t="shared" si="1"/>
        <v>1</v>
      </c>
    </row>
    <row r="1703">
      <c r="A1703" s="12" t="s">
        <v>2129</v>
      </c>
      <c r="B1703" s="12" t="s">
        <v>393</v>
      </c>
      <c r="C1703" s="17">
        <v>42.0</v>
      </c>
      <c r="D1703" s="12" t="s">
        <v>85</v>
      </c>
      <c r="E1703" s="12" t="s">
        <v>92</v>
      </c>
      <c r="F1703" s="12" t="s">
        <v>37</v>
      </c>
      <c r="G1703" s="12" t="s">
        <v>39</v>
      </c>
      <c r="H1703" s="15">
        <v>44881.0</v>
      </c>
      <c r="I1703" s="17">
        <v>2.0</v>
      </c>
      <c r="J1703" s="12" t="s">
        <v>40</v>
      </c>
      <c r="K1703" s="12" t="s">
        <v>81</v>
      </c>
      <c r="L1703" s="17">
        <v>1505.0</v>
      </c>
      <c r="M1703" s="17">
        <v>2.0</v>
      </c>
      <c r="N1703" s="17">
        <v>1.0</v>
      </c>
      <c r="O1703" s="17">
        <v>14.4</v>
      </c>
      <c r="P1703" s="17">
        <v>3.6</v>
      </c>
      <c r="Q1703" s="15">
        <v>44908.0</v>
      </c>
      <c r="R1703" s="12" t="s">
        <v>640</v>
      </c>
      <c r="S1703" s="12" t="s">
        <v>45</v>
      </c>
      <c r="T1703" s="12" t="s">
        <v>47</v>
      </c>
      <c r="U1703" s="17">
        <f t="shared" si="1"/>
        <v>1</v>
      </c>
    </row>
    <row r="1704">
      <c r="A1704" s="12" t="s">
        <v>2130</v>
      </c>
      <c r="B1704" s="12" t="s">
        <v>126</v>
      </c>
      <c r="C1704" s="17">
        <v>20.0</v>
      </c>
      <c r="D1704" s="12" t="s">
        <v>85</v>
      </c>
      <c r="E1704" s="12" t="s">
        <v>92</v>
      </c>
      <c r="F1704" s="12" t="s">
        <v>62</v>
      </c>
      <c r="G1704" s="12" t="s">
        <v>80</v>
      </c>
      <c r="H1704" s="15">
        <v>44902.0</v>
      </c>
      <c r="I1704" s="17">
        <v>47.0</v>
      </c>
      <c r="J1704" s="12" t="s">
        <v>64</v>
      </c>
      <c r="K1704" s="12" t="s">
        <v>65</v>
      </c>
      <c r="L1704" s="17">
        <v>564.0</v>
      </c>
      <c r="M1704" s="17">
        <v>1.0</v>
      </c>
      <c r="N1704" s="17">
        <v>0.0</v>
      </c>
      <c r="O1704" s="17">
        <v>16.4</v>
      </c>
      <c r="P1704" s="17">
        <v>5.0</v>
      </c>
      <c r="Q1704" s="15">
        <v>44992.0</v>
      </c>
      <c r="R1704" s="12"/>
      <c r="S1704" s="12" t="s">
        <v>55</v>
      </c>
      <c r="T1704" s="12" t="s">
        <v>104</v>
      </c>
      <c r="U1704" s="17">
        <f t="shared" si="1"/>
        <v>1</v>
      </c>
    </row>
    <row r="1705">
      <c r="A1705" s="12" t="s">
        <v>1684</v>
      </c>
      <c r="B1705" s="12" t="s">
        <v>383</v>
      </c>
      <c r="C1705" s="17">
        <v>26.0</v>
      </c>
      <c r="D1705" s="12" t="s">
        <v>60</v>
      </c>
      <c r="E1705" s="12" t="s">
        <v>133</v>
      </c>
      <c r="F1705" s="12" t="s">
        <v>37</v>
      </c>
      <c r="G1705" s="12" t="s">
        <v>210</v>
      </c>
      <c r="H1705" s="15">
        <v>44738.0</v>
      </c>
      <c r="I1705" s="17">
        <v>38.0</v>
      </c>
      <c r="J1705" s="12" t="s">
        <v>53</v>
      </c>
      <c r="K1705" s="12" t="s">
        <v>81</v>
      </c>
      <c r="L1705" s="17">
        <v>1345.0</v>
      </c>
      <c r="M1705" s="17">
        <v>0.0</v>
      </c>
      <c r="N1705" s="17">
        <v>0.0</v>
      </c>
      <c r="O1705" s="17">
        <v>32.9</v>
      </c>
      <c r="P1705" s="17">
        <v>5.0</v>
      </c>
      <c r="Q1705" s="15">
        <v>45174.0</v>
      </c>
      <c r="R1705" s="12"/>
      <c r="S1705" s="12" t="s">
        <v>55</v>
      </c>
      <c r="T1705" s="12" t="s">
        <v>47</v>
      </c>
      <c r="U1705" s="17">
        <f t="shared" si="1"/>
        <v>2</v>
      </c>
    </row>
    <row r="1706">
      <c r="A1706" s="12" t="s">
        <v>1191</v>
      </c>
      <c r="B1706" s="12" t="s">
        <v>303</v>
      </c>
      <c r="C1706" s="17">
        <v>22.0</v>
      </c>
      <c r="D1706" s="12" t="s">
        <v>35</v>
      </c>
      <c r="E1706" s="12" t="s">
        <v>51</v>
      </c>
      <c r="F1706" s="12" t="s">
        <v>79</v>
      </c>
      <c r="G1706" s="12" t="s">
        <v>647</v>
      </c>
      <c r="H1706" s="15">
        <v>45423.0</v>
      </c>
      <c r="I1706" s="17">
        <v>42.0</v>
      </c>
      <c r="J1706" s="12" t="s">
        <v>64</v>
      </c>
      <c r="K1706" s="12" t="s">
        <v>42</v>
      </c>
      <c r="L1706" s="17">
        <v>3458.0</v>
      </c>
      <c r="M1706" s="17">
        <v>1.0</v>
      </c>
      <c r="N1706" s="17">
        <v>1.0</v>
      </c>
      <c r="O1706" s="17">
        <v>39.0</v>
      </c>
      <c r="P1706" s="17">
        <v>3.5</v>
      </c>
      <c r="Q1706" s="15">
        <v>45844.0</v>
      </c>
      <c r="R1706" s="12" t="s">
        <v>2131</v>
      </c>
      <c r="S1706" s="12" t="s">
        <v>45</v>
      </c>
      <c r="T1706" s="12" t="s">
        <v>66</v>
      </c>
      <c r="U1706" s="17">
        <f t="shared" si="1"/>
        <v>3</v>
      </c>
    </row>
    <row r="1707">
      <c r="A1707" s="12" t="s">
        <v>1983</v>
      </c>
      <c r="B1707" s="12" t="s">
        <v>160</v>
      </c>
      <c r="C1707" s="17">
        <v>40.0</v>
      </c>
      <c r="D1707" s="12" t="s">
        <v>69</v>
      </c>
      <c r="E1707" s="12" t="s">
        <v>70</v>
      </c>
      <c r="F1707" s="12" t="s">
        <v>37</v>
      </c>
      <c r="G1707" s="12" t="s">
        <v>80</v>
      </c>
      <c r="H1707" s="15">
        <v>44795.0</v>
      </c>
      <c r="I1707" s="17">
        <v>47.0</v>
      </c>
      <c r="J1707" s="12" t="s">
        <v>64</v>
      </c>
      <c r="K1707" s="12" t="s">
        <v>65</v>
      </c>
      <c r="L1707" s="17">
        <v>1543.0</v>
      </c>
      <c r="M1707" s="17">
        <v>3.0</v>
      </c>
      <c r="N1707" s="17">
        <v>0.0</v>
      </c>
      <c r="O1707" s="17">
        <v>31.6</v>
      </c>
      <c r="P1707" s="17">
        <v>3.9</v>
      </c>
      <c r="Q1707" s="15">
        <v>44896.0</v>
      </c>
      <c r="R1707" s="12"/>
      <c r="S1707" s="12" t="s">
        <v>55</v>
      </c>
      <c r="T1707" s="12" t="s">
        <v>104</v>
      </c>
      <c r="U1707" s="17">
        <f t="shared" si="1"/>
        <v>3</v>
      </c>
    </row>
    <row r="1708">
      <c r="A1708" s="12" t="s">
        <v>431</v>
      </c>
      <c r="B1708" s="12" t="s">
        <v>349</v>
      </c>
      <c r="C1708" s="17">
        <v>68.0</v>
      </c>
      <c r="D1708" s="12" t="s">
        <v>69</v>
      </c>
      <c r="E1708" s="12" t="s">
        <v>70</v>
      </c>
      <c r="F1708" s="12" t="s">
        <v>37</v>
      </c>
      <c r="G1708" s="12" t="s">
        <v>39</v>
      </c>
      <c r="H1708" s="15">
        <v>44663.0</v>
      </c>
      <c r="I1708" s="17">
        <v>17.0</v>
      </c>
      <c r="J1708" s="12" t="s">
        <v>53</v>
      </c>
      <c r="K1708" s="12" t="s">
        <v>65</v>
      </c>
      <c r="L1708" s="17">
        <v>1453.0</v>
      </c>
      <c r="M1708" s="17">
        <v>1.0</v>
      </c>
      <c r="N1708" s="17">
        <v>1.0</v>
      </c>
      <c r="O1708" s="17">
        <v>36.8</v>
      </c>
      <c r="P1708" s="17">
        <v>2.4</v>
      </c>
      <c r="Q1708" s="15">
        <v>45107.0</v>
      </c>
      <c r="R1708" s="12"/>
      <c r="S1708" s="12" t="s">
        <v>55</v>
      </c>
      <c r="T1708" s="12" t="s">
        <v>47</v>
      </c>
      <c r="U1708" s="17">
        <f t="shared" si="1"/>
        <v>4</v>
      </c>
    </row>
    <row r="1709">
      <c r="A1709" s="12" t="s">
        <v>1224</v>
      </c>
      <c r="B1709" s="12" t="s">
        <v>169</v>
      </c>
      <c r="C1709" s="17">
        <v>63.0</v>
      </c>
      <c r="D1709" s="12" t="s">
        <v>35</v>
      </c>
      <c r="E1709" s="12" t="s">
        <v>36</v>
      </c>
      <c r="F1709" s="12" t="s">
        <v>62</v>
      </c>
      <c r="G1709" s="12" t="s">
        <v>39</v>
      </c>
      <c r="H1709" s="15">
        <v>45943.0</v>
      </c>
      <c r="I1709" s="17">
        <v>41.0</v>
      </c>
      <c r="J1709" s="12" t="s">
        <v>53</v>
      </c>
      <c r="K1709" s="12" t="s">
        <v>65</v>
      </c>
      <c r="L1709" s="17">
        <v>533.0</v>
      </c>
      <c r="M1709" s="17">
        <v>4.0</v>
      </c>
      <c r="N1709" s="17">
        <v>1.0</v>
      </c>
      <c r="O1709" s="17">
        <v>24.0</v>
      </c>
      <c r="P1709" s="17">
        <v>3.8</v>
      </c>
      <c r="Q1709" s="15">
        <v>47124.0</v>
      </c>
      <c r="R1709" s="12"/>
      <c r="S1709" s="12" t="s">
        <v>55</v>
      </c>
      <c r="T1709" s="12" t="s">
        <v>104</v>
      </c>
      <c r="U1709" s="17">
        <f t="shared" si="1"/>
        <v>3</v>
      </c>
    </row>
    <row r="1710">
      <c r="A1710" s="12" t="s">
        <v>1355</v>
      </c>
      <c r="B1710" s="12" t="s">
        <v>424</v>
      </c>
      <c r="C1710" s="17">
        <v>58.0</v>
      </c>
      <c r="D1710" s="12" t="s">
        <v>69</v>
      </c>
      <c r="E1710" s="12" t="s">
        <v>70</v>
      </c>
      <c r="F1710" s="12" t="s">
        <v>79</v>
      </c>
      <c r="G1710" s="12" t="s">
        <v>93</v>
      </c>
      <c r="H1710" s="15">
        <v>44742.0</v>
      </c>
      <c r="I1710" s="17">
        <v>3.0</v>
      </c>
      <c r="J1710" s="12" t="s">
        <v>53</v>
      </c>
      <c r="K1710" s="12" t="s">
        <v>65</v>
      </c>
      <c r="L1710" s="17">
        <v>3938.0</v>
      </c>
      <c r="M1710" s="17">
        <v>1.0</v>
      </c>
      <c r="N1710" s="17">
        <v>0.0</v>
      </c>
      <c r="O1710" s="17">
        <v>39.7</v>
      </c>
      <c r="P1710" s="17">
        <v>3.4</v>
      </c>
      <c r="Q1710" s="15">
        <v>44779.0</v>
      </c>
      <c r="R1710" s="12" t="s">
        <v>2132</v>
      </c>
      <c r="S1710" s="12" t="s">
        <v>45</v>
      </c>
      <c r="T1710" s="12" t="s">
        <v>47</v>
      </c>
      <c r="U1710" s="17">
        <f t="shared" si="1"/>
        <v>3</v>
      </c>
    </row>
    <row r="1711">
      <c r="A1711" s="12" t="s">
        <v>670</v>
      </c>
      <c r="B1711" s="12" t="s">
        <v>734</v>
      </c>
      <c r="C1711" s="17">
        <v>65.0</v>
      </c>
      <c r="D1711" s="12" t="s">
        <v>85</v>
      </c>
      <c r="E1711" s="12" t="s">
        <v>92</v>
      </c>
      <c r="F1711" s="12" t="s">
        <v>79</v>
      </c>
      <c r="G1711" s="12" t="s">
        <v>63</v>
      </c>
      <c r="H1711" s="15">
        <v>45704.0</v>
      </c>
      <c r="I1711" s="17">
        <v>38.0</v>
      </c>
      <c r="J1711" s="12" t="s">
        <v>53</v>
      </c>
      <c r="K1711" s="12" t="s">
        <v>81</v>
      </c>
      <c r="L1711" s="17">
        <v>2285.0</v>
      </c>
      <c r="M1711" s="17">
        <v>0.0</v>
      </c>
      <c r="N1711" s="17">
        <v>2.0</v>
      </c>
      <c r="O1711" s="17">
        <v>36.4</v>
      </c>
      <c r="P1711" s="17">
        <v>3.5</v>
      </c>
      <c r="Q1711" s="15">
        <v>46578.0</v>
      </c>
      <c r="R1711" s="12" t="s">
        <v>874</v>
      </c>
      <c r="S1711" s="12" t="s">
        <v>45</v>
      </c>
      <c r="T1711" s="12" t="s">
        <v>104</v>
      </c>
      <c r="U1711" s="17">
        <f t="shared" si="1"/>
        <v>4</v>
      </c>
    </row>
    <row r="1712">
      <c r="A1712" s="12" t="s">
        <v>1064</v>
      </c>
      <c r="B1712" s="12" t="s">
        <v>395</v>
      </c>
      <c r="C1712" s="17">
        <v>45.0</v>
      </c>
      <c r="D1712" s="12" t="s">
        <v>35</v>
      </c>
      <c r="E1712" s="12" t="s">
        <v>140</v>
      </c>
      <c r="F1712" s="12" t="s">
        <v>37</v>
      </c>
      <c r="G1712" s="12" t="s">
        <v>120</v>
      </c>
      <c r="H1712" s="15">
        <v>45542.0</v>
      </c>
      <c r="I1712" s="17">
        <v>45.0</v>
      </c>
      <c r="J1712" s="12" t="s">
        <v>40</v>
      </c>
      <c r="K1712" s="12" t="s">
        <v>65</v>
      </c>
      <c r="L1712" s="17">
        <v>1506.0</v>
      </c>
      <c r="M1712" s="17">
        <v>1.0</v>
      </c>
      <c r="N1712" s="17">
        <v>1.0</v>
      </c>
      <c r="O1712" s="17">
        <v>25.7</v>
      </c>
      <c r="P1712" s="17">
        <v>4.0</v>
      </c>
      <c r="Q1712" s="15">
        <v>46367.0</v>
      </c>
      <c r="R1712" s="12" t="s">
        <v>1759</v>
      </c>
      <c r="S1712" s="12" t="s">
        <v>45</v>
      </c>
      <c r="T1712" s="12" t="s">
        <v>66</v>
      </c>
      <c r="U1712" s="17">
        <f t="shared" si="1"/>
        <v>2</v>
      </c>
    </row>
    <row r="1713">
      <c r="A1713" s="12" t="s">
        <v>323</v>
      </c>
      <c r="B1713" s="12" t="s">
        <v>50</v>
      </c>
      <c r="C1713" s="17">
        <v>46.0</v>
      </c>
      <c r="D1713" s="12" t="s">
        <v>60</v>
      </c>
      <c r="E1713" s="12" t="s">
        <v>61</v>
      </c>
      <c r="F1713" s="12" t="s">
        <v>62</v>
      </c>
      <c r="G1713" s="12" t="s">
        <v>52</v>
      </c>
      <c r="H1713" s="15">
        <v>45374.0</v>
      </c>
      <c r="I1713" s="17">
        <v>41.0</v>
      </c>
      <c r="J1713" s="12" t="s">
        <v>53</v>
      </c>
      <c r="K1713" s="12" t="s">
        <v>65</v>
      </c>
      <c r="L1713" s="17">
        <v>704.0</v>
      </c>
      <c r="M1713" s="17">
        <v>3.0</v>
      </c>
      <c r="N1713" s="17">
        <v>0.0</v>
      </c>
      <c r="O1713" s="17">
        <v>29.0</v>
      </c>
      <c r="P1713" s="17">
        <v>4.2</v>
      </c>
      <c r="Q1713" s="15">
        <v>45709.0</v>
      </c>
      <c r="R1713" s="12"/>
      <c r="S1713" s="12" t="s">
        <v>55</v>
      </c>
      <c r="T1713" s="12" t="s">
        <v>66</v>
      </c>
      <c r="U1713" s="17">
        <f t="shared" si="1"/>
        <v>2</v>
      </c>
    </row>
    <row r="1714">
      <c r="A1714" s="12" t="s">
        <v>1834</v>
      </c>
      <c r="B1714" s="12" t="s">
        <v>239</v>
      </c>
      <c r="C1714" s="17">
        <v>48.0</v>
      </c>
      <c r="D1714" s="12" t="s">
        <v>35</v>
      </c>
      <c r="E1714" s="12" t="s">
        <v>51</v>
      </c>
      <c r="F1714" s="12" t="s">
        <v>62</v>
      </c>
      <c r="G1714" s="12" t="s">
        <v>120</v>
      </c>
      <c r="H1714" s="15">
        <v>44737.0</v>
      </c>
      <c r="I1714" s="17">
        <v>26.0</v>
      </c>
      <c r="J1714" s="12" t="s">
        <v>53</v>
      </c>
      <c r="K1714" s="12" t="s">
        <v>81</v>
      </c>
      <c r="L1714" s="17">
        <v>665.0</v>
      </c>
      <c r="M1714" s="17">
        <v>1.0</v>
      </c>
      <c r="N1714" s="17">
        <v>1.0</v>
      </c>
      <c r="O1714" s="17">
        <v>24.2</v>
      </c>
      <c r="P1714" s="17">
        <v>5.0</v>
      </c>
      <c r="Q1714" s="15">
        <v>45310.0</v>
      </c>
      <c r="R1714" s="12" t="s">
        <v>2133</v>
      </c>
      <c r="S1714" s="12" t="s">
        <v>45</v>
      </c>
      <c r="T1714" s="12" t="s">
        <v>66</v>
      </c>
      <c r="U1714" s="17">
        <f t="shared" si="1"/>
        <v>3</v>
      </c>
    </row>
    <row r="1715">
      <c r="A1715" s="12" t="s">
        <v>407</v>
      </c>
      <c r="B1715" s="12" t="s">
        <v>734</v>
      </c>
      <c r="C1715" s="17">
        <v>37.0</v>
      </c>
      <c r="D1715" s="12" t="s">
        <v>60</v>
      </c>
      <c r="E1715" s="12" t="s">
        <v>61</v>
      </c>
      <c r="F1715" s="12" t="s">
        <v>62</v>
      </c>
      <c r="G1715" s="12" t="s">
        <v>210</v>
      </c>
      <c r="H1715" s="15">
        <v>45836.0</v>
      </c>
      <c r="I1715" s="17">
        <v>31.0</v>
      </c>
      <c r="J1715" s="12" t="s">
        <v>40</v>
      </c>
      <c r="K1715" s="12" t="s">
        <v>81</v>
      </c>
      <c r="L1715" s="17">
        <v>576.0</v>
      </c>
      <c r="M1715" s="17">
        <v>2.0</v>
      </c>
      <c r="N1715" s="17">
        <v>0.0</v>
      </c>
      <c r="O1715" s="17">
        <v>17.1</v>
      </c>
      <c r="P1715" s="17">
        <v>5.0</v>
      </c>
      <c r="Q1715" s="15">
        <v>46463.0</v>
      </c>
      <c r="R1715" s="12"/>
      <c r="S1715" s="12" t="s">
        <v>55</v>
      </c>
      <c r="T1715" s="12" t="s">
        <v>47</v>
      </c>
      <c r="U1715" s="17">
        <f t="shared" si="1"/>
        <v>4</v>
      </c>
    </row>
    <row r="1716">
      <c r="A1716" s="12" t="s">
        <v>2134</v>
      </c>
      <c r="B1716" s="12" t="s">
        <v>395</v>
      </c>
      <c r="C1716" s="17">
        <v>55.0</v>
      </c>
      <c r="D1716" s="12" t="s">
        <v>60</v>
      </c>
      <c r="E1716" s="12" t="s">
        <v>61</v>
      </c>
      <c r="F1716" s="12" t="s">
        <v>62</v>
      </c>
      <c r="G1716" s="12" t="s">
        <v>63</v>
      </c>
      <c r="H1716" s="15">
        <v>45157.0</v>
      </c>
      <c r="I1716" s="17">
        <v>8.0</v>
      </c>
      <c r="J1716" s="12" t="s">
        <v>40</v>
      </c>
      <c r="K1716" s="12" t="s">
        <v>42</v>
      </c>
      <c r="L1716" s="17">
        <v>554.0</v>
      </c>
      <c r="M1716" s="17">
        <v>0.0</v>
      </c>
      <c r="N1716" s="17">
        <v>2.0</v>
      </c>
      <c r="O1716" s="17">
        <v>29.2</v>
      </c>
      <c r="P1716" s="17">
        <v>3.9</v>
      </c>
      <c r="Q1716" s="15">
        <v>45251.0</v>
      </c>
      <c r="R1716" s="12" t="s">
        <v>2135</v>
      </c>
      <c r="S1716" s="12" t="s">
        <v>45</v>
      </c>
      <c r="T1716" s="12" t="s">
        <v>66</v>
      </c>
      <c r="U1716" s="17">
        <f t="shared" si="1"/>
        <v>1</v>
      </c>
    </row>
    <row r="1717">
      <c r="A1717" s="12" t="s">
        <v>1298</v>
      </c>
      <c r="B1717" s="12" t="s">
        <v>132</v>
      </c>
      <c r="C1717" s="17">
        <v>60.0</v>
      </c>
      <c r="D1717" s="12" t="s">
        <v>85</v>
      </c>
      <c r="E1717" s="12" t="s">
        <v>92</v>
      </c>
      <c r="F1717" s="12" t="s">
        <v>37</v>
      </c>
      <c r="G1717" s="12" t="s">
        <v>80</v>
      </c>
      <c r="H1717" s="15">
        <v>45653.0</v>
      </c>
      <c r="I1717" s="17">
        <v>29.0</v>
      </c>
      <c r="J1717" s="12" t="s">
        <v>53</v>
      </c>
      <c r="K1717" s="12" t="s">
        <v>42</v>
      </c>
      <c r="L1717" s="17">
        <v>1314.0</v>
      </c>
      <c r="M1717" s="17">
        <v>5.0</v>
      </c>
      <c r="N1717" s="17">
        <v>1.0</v>
      </c>
      <c r="O1717" s="17">
        <v>21.1</v>
      </c>
      <c r="P1717" s="17">
        <v>3.2</v>
      </c>
      <c r="Q1717" s="15">
        <v>46101.0</v>
      </c>
      <c r="R1717" s="12"/>
      <c r="S1717" s="12" t="s">
        <v>55</v>
      </c>
      <c r="T1717" s="12" t="s">
        <v>104</v>
      </c>
      <c r="U1717" s="17">
        <f t="shared" si="1"/>
        <v>2</v>
      </c>
    </row>
    <row r="1718">
      <c r="A1718" s="12" t="s">
        <v>433</v>
      </c>
      <c r="B1718" s="12" t="s">
        <v>229</v>
      </c>
      <c r="C1718" s="17">
        <v>22.0</v>
      </c>
      <c r="D1718" s="12" t="s">
        <v>69</v>
      </c>
      <c r="E1718" s="12" t="s">
        <v>177</v>
      </c>
      <c r="F1718" s="12" t="s">
        <v>62</v>
      </c>
      <c r="G1718" s="12" t="s">
        <v>52</v>
      </c>
      <c r="H1718" s="15">
        <v>45869.0</v>
      </c>
      <c r="I1718" s="17">
        <v>12.0</v>
      </c>
      <c r="J1718" s="12" t="s">
        <v>64</v>
      </c>
      <c r="K1718" s="12" t="s">
        <v>42</v>
      </c>
      <c r="L1718" s="12" t="s">
        <v>2136</v>
      </c>
      <c r="M1718" s="17">
        <v>1.0</v>
      </c>
      <c r="N1718" s="17">
        <v>2.0</v>
      </c>
      <c r="O1718" s="17">
        <v>12.6</v>
      </c>
      <c r="P1718" s="17">
        <v>3.8</v>
      </c>
      <c r="Q1718" s="15">
        <v>46130.0</v>
      </c>
      <c r="R1718" s="12"/>
      <c r="S1718" s="12" t="s">
        <v>55</v>
      </c>
      <c r="T1718" s="12" t="s">
        <v>104</v>
      </c>
      <c r="U1718" s="17">
        <f t="shared" si="1"/>
        <v>3</v>
      </c>
    </row>
    <row r="1719">
      <c r="A1719" s="12" t="s">
        <v>2108</v>
      </c>
      <c r="B1719" s="12" t="s">
        <v>345</v>
      </c>
      <c r="C1719" s="12" t="s">
        <v>2137</v>
      </c>
      <c r="D1719" s="12" t="s">
        <v>69</v>
      </c>
      <c r="E1719" s="12" t="s">
        <v>187</v>
      </c>
      <c r="F1719" s="12" t="s">
        <v>62</v>
      </c>
      <c r="G1719" s="12" t="s">
        <v>63</v>
      </c>
      <c r="H1719" s="15">
        <v>44869.0</v>
      </c>
      <c r="I1719" s="17">
        <v>22.0</v>
      </c>
      <c r="J1719" s="12" t="s">
        <v>40</v>
      </c>
      <c r="K1719" s="12" t="s">
        <v>81</v>
      </c>
      <c r="L1719" s="17">
        <v>531.0</v>
      </c>
      <c r="M1719" s="17">
        <v>2.0</v>
      </c>
      <c r="N1719" s="17">
        <v>0.0</v>
      </c>
      <c r="O1719" s="17">
        <v>16.3</v>
      </c>
      <c r="P1719" s="17">
        <v>1.9</v>
      </c>
      <c r="Q1719" s="15">
        <v>45279.0</v>
      </c>
      <c r="R1719" s="12"/>
      <c r="S1719" s="12" t="s">
        <v>55</v>
      </c>
      <c r="T1719" s="12" t="s">
        <v>104</v>
      </c>
      <c r="U1719" s="17">
        <f t="shared" si="1"/>
        <v>2</v>
      </c>
    </row>
    <row r="1720">
      <c r="A1720" s="12" t="s">
        <v>2138</v>
      </c>
      <c r="B1720" s="12" t="s">
        <v>202</v>
      </c>
      <c r="C1720" s="17">
        <v>29.0</v>
      </c>
      <c r="D1720" s="12" t="s">
        <v>60</v>
      </c>
      <c r="E1720" s="12" t="s">
        <v>97</v>
      </c>
      <c r="F1720" s="12" t="s">
        <v>79</v>
      </c>
      <c r="G1720" s="12" t="s">
        <v>39</v>
      </c>
      <c r="H1720" s="15">
        <v>45027.0</v>
      </c>
      <c r="I1720" s="17">
        <v>13.0</v>
      </c>
      <c r="J1720" s="12" t="s">
        <v>40</v>
      </c>
      <c r="K1720" s="12" t="s">
        <v>42</v>
      </c>
      <c r="L1720" s="17">
        <v>3297.0</v>
      </c>
      <c r="M1720" s="17">
        <v>3.0</v>
      </c>
      <c r="N1720" s="17">
        <v>1.0</v>
      </c>
      <c r="O1720" s="17">
        <v>39.0</v>
      </c>
      <c r="P1720" s="17">
        <v>3.5</v>
      </c>
      <c r="Q1720" s="15">
        <v>45324.0</v>
      </c>
      <c r="R1720" s="12"/>
      <c r="S1720" s="12" t="s">
        <v>55</v>
      </c>
      <c r="T1720" s="12" t="s">
        <v>75</v>
      </c>
      <c r="U1720" s="17">
        <f t="shared" si="1"/>
        <v>1</v>
      </c>
    </row>
    <row r="1721">
      <c r="A1721" s="12" t="s">
        <v>1293</v>
      </c>
      <c r="B1721" s="12" t="s">
        <v>351</v>
      </c>
      <c r="C1721" s="17">
        <v>42.0</v>
      </c>
      <c r="D1721" s="12" t="s">
        <v>69</v>
      </c>
      <c r="E1721" s="12" t="s">
        <v>70</v>
      </c>
      <c r="F1721" s="12" t="s">
        <v>79</v>
      </c>
      <c r="G1721" s="12" t="s">
        <v>93</v>
      </c>
      <c r="H1721" s="15">
        <v>45097.0</v>
      </c>
      <c r="I1721" s="17">
        <v>12.0</v>
      </c>
      <c r="J1721" s="12" t="s">
        <v>40</v>
      </c>
      <c r="K1721" s="12" t="s">
        <v>65</v>
      </c>
      <c r="L1721" s="17">
        <v>2866.0</v>
      </c>
      <c r="M1721" s="17">
        <v>2.0</v>
      </c>
      <c r="N1721" s="17">
        <v>1.0</v>
      </c>
      <c r="O1721" s="17">
        <v>43.2</v>
      </c>
      <c r="P1721" s="17">
        <v>3.8</v>
      </c>
      <c r="Q1721" s="15">
        <v>45178.0</v>
      </c>
      <c r="R1721" s="12" t="s">
        <v>2139</v>
      </c>
      <c r="S1721" s="12" t="s">
        <v>45</v>
      </c>
      <c r="T1721" s="12" t="s">
        <v>72</v>
      </c>
      <c r="U1721" s="17">
        <f t="shared" si="1"/>
        <v>4</v>
      </c>
    </row>
    <row r="1722">
      <c r="A1722" s="12" t="s">
        <v>1830</v>
      </c>
      <c r="B1722" s="12" t="s">
        <v>118</v>
      </c>
      <c r="C1722" s="17">
        <v>35.0</v>
      </c>
      <c r="D1722" s="12" t="s">
        <v>300</v>
      </c>
      <c r="E1722" s="12" t="s">
        <v>133</v>
      </c>
      <c r="F1722" s="12" t="s">
        <v>79</v>
      </c>
      <c r="G1722" s="12" t="s">
        <v>52</v>
      </c>
      <c r="H1722" s="15">
        <v>44750.0</v>
      </c>
      <c r="I1722" s="17">
        <v>42.0</v>
      </c>
      <c r="J1722" s="12" t="s">
        <v>40</v>
      </c>
      <c r="K1722" s="12" t="s">
        <v>81</v>
      </c>
      <c r="L1722" s="17">
        <v>3936.0</v>
      </c>
      <c r="M1722" s="17">
        <v>2.0</v>
      </c>
      <c r="N1722" s="17">
        <v>2.0</v>
      </c>
      <c r="O1722" s="17">
        <v>29.6</v>
      </c>
      <c r="P1722" s="17">
        <v>3.3</v>
      </c>
      <c r="Q1722" s="15">
        <v>45983.0</v>
      </c>
      <c r="R1722" s="12" t="s">
        <v>2140</v>
      </c>
      <c r="S1722" s="12" t="s">
        <v>45</v>
      </c>
      <c r="T1722" s="12" t="s">
        <v>75</v>
      </c>
      <c r="U1722" s="17">
        <f t="shared" si="1"/>
        <v>2</v>
      </c>
    </row>
    <row r="1723">
      <c r="A1723" s="12" t="s">
        <v>1251</v>
      </c>
      <c r="B1723" s="12" t="s">
        <v>393</v>
      </c>
      <c r="C1723" s="17">
        <v>54.0</v>
      </c>
      <c r="D1723" s="12" t="s">
        <v>85</v>
      </c>
      <c r="E1723" s="12" t="s">
        <v>111</v>
      </c>
      <c r="F1723" s="12" t="s">
        <v>62</v>
      </c>
      <c r="G1723" s="12" t="s">
        <v>210</v>
      </c>
      <c r="H1723" s="15">
        <v>45080.0</v>
      </c>
      <c r="I1723" s="17">
        <v>24.0</v>
      </c>
      <c r="J1723" s="12" t="s">
        <v>64</v>
      </c>
      <c r="K1723" s="12" t="s">
        <v>81</v>
      </c>
      <c r="L1723" s="17">
        <v>668.0</v>
      </c>
      <c r="M1723" s="17">
        <v>3.0</v>
      </c>
      <c r="N1723" s="17">
        <v>1.0</v>
      </c>
      <c r="O1723" s="17">
        <v>13.1</v>
      </c>
      <c r="P1723" s="17">
        <v>3.0</v>
      </c>
      <c r="Q1723" s="15">
        <v>45377.0</v>
      </c>
      <c r="R1723" s="12"/>
      <c r="S1723" s="12" t="s">
        <v>55</v>
      </c>
      <c r="T1723" s="12" t="s">
        <v>75</v>
      </c>
      <c r="U1723" s="17">
        <f t="shared" si="1"/>
        <v>2</v>
      </c>
    </row>
    <row r="1724">
      <c r="A1724" s="12" t="s">
        <v>1189</v>
      </c>
      <c r="B1724" s="12" t="s">
        <v>50</v>
      </c>
      <c r="C1724" s="17">
        <v>50.0</v>
      </c>
      <c r="D1724" s="12" t="s">
        <v>69</v>
      </c>
      <c r="E1724" s="12" t="s">
        <v>177</v>
      </c>
      <c r="F1724" s="12" t="s">
        <v>37</v>
      </c>
      <c r="G1724" s="12" t="s">
        <v>93</v>
      </c>
      <c r="H1724" s="15">
        <v>45169.0</v>
      </c>
      <c r="I1724" s="17">
        <v>36.0</v>
      </c>
      <c r="J1724" s="12" t="s">
        <v>40</v>
      </c>
      <c r="K1724" s="12" t="s">
        <v>65</v>
      </c>
      <c r="L1724" s="17">
        <v>1676.0</v>
      </c>
      <c r="M1724" s="17">
        <v>1.0</v>
      </c>
      <c r="N1724" s="17">
        <v>2.0</v>
      </c>
      <c r="O1724" s="17">
        <v>28.3</v>
      </c>
      <c r="P1724" s="17">
        <v>2.9</v>
      </c>
      <c r="Q1724" s="15">
        <v>45902.0</v>
      </c>
      <c r="R1724" s="12" t="s">
        <v>2141</v>
      </c>
      <c r="S1724" s="12" t="s">
        <v>45</v>
      </c>
      <c r="T1724" s="12" t="s">
        <v>75</v>
      </c>
      <c r="U1724" s="17">
        <f t="shared" si="1"/>
        <v>2</v>
      </c>
    </row>
    <row r="1725">
      <c r="A1725" s="12" t="s">
        <v>2142</v>
      </c>
      <c r="B1725" s="12" t="s">
        <v>232</v>
      </c>
      <c r="C1725" s="17">
        <v>34.0</v>
      </c>
      <c r="D1725" s="12" t="s">
        <v>60</v>
      </c>
      <c r="E1725" s="12" t="s">
        <v>97</v>
      </c>
      <c r="F1725" s="12" t="s">
        <v>62</v>
      </c>
      <c r="G1725" s="12" t="s">
        <v>93</v>
      </c>
      <c r="H1725" s="15">
        <v>45919.0</v>
      </c>
      <c r="I1725" s="17">
        <v>30.0</v>
      </c>
      <c r="J1725" s="12" t="s">
        <v>40</v>
      </c>
      <c r="K1725" s="12" t="s">
        <v>81</v>
      </c>
      <c r="L1725" s="17">
        <v>767.0</v>
      </c>
      <c r="M1725" s="17">
        <v>2.0</v>
      </c>
      <c r="N1725" s="17">
        <v>0.0</v>
      </c>
      <c r="O1725" s="17">
        <v>22.8</v>
      </c>
      <c r="P1725" s="17">
        <v>3.2</v>
      </c>
      <c r="Q1725" s="15">
        <v>46449.0</v>
      </c>
      <c r="R1725" s="12"/>
      <c r="S1725" s="12" t="s">
        <v>55</v>
      </c>
      <c r="T1725" s="12" t="s">
        <v>75</v>
      </c>
      <c r="U1725" s="17">
        <f t="shared" si="1"/>
        <v>1</v>
      </c>
    </row>
    <row r="1726">
      <c r="A1726" s="12" t="s">
        <v>2143</v>
      </c>
      <c r="B1726" s="12" t="s">
        <v>184</v>
      </c>
      <c r="C1726" s="17">
        <v>22.0</v>
      </c>
      <c r="D1726" s="12" t="s">
        <v>69</v>
      </c>
      <c r="E1726" s="12" t="s">
        <v>177</v>
      </c>
      <c r="F1726" s="12" t="s">
        <v>62</v>
      </c>
      <c r="G1726" s="12" t="s">
        <v>93</v>
      </c>
      <c r="H1726" s="15">
        <v>45443.0</v>
      </c>
      <c r="I1726" s="17">
        <v>39.0</v>
      </c>
      <c r="J1726" s="12" t="s">
        <v>53</v>
      </c>
      <c r="K1726" s="12" t="s">
        <v>81</v>
      </c>
      <c r="L1726" s="17">
        <v>773.0</v>
      </c>
      <c r="M1726" s="17">
        <v>3.0</v>
      </c>
      <c r="N1726" s="17">
        <v>0.0</v>
      </c>
      <c r="O1726" s="17">
        <v>18.2</v>
      </c>
      <c r="P1726" s="17">
        <v>4.2</v>
      </c>
      <c r="Q1726" s="15">
        <v>45501.0</v>
      </c>
      <c r="R1726" s="12"/>
      <c r="S1726" s="12" t="s">
        <v>55</v>
      </c>
      <c r="T1726" s="12" t="s">
        <v>104</v>
      </c>
      <c r="U1726" s="17">
        <f t="shared" si="1"/>
        <v>1</v>
      </c>
    </row>
    <row r="1727">
      <c r="A1727" s="12" t="s">
        <v>90</v>
      </c>
      <c r="B1727" s="12" t="s">
        <v>239</v>
      </c>
      <c r="C1727" s="17">
        <v>63.0</v>
      </c>
      <c r="D1727" s="12" t="s">
        <v>69</v>
      </c>
      <c r="E1727" s="12" t="s">
        <v>177</v>
      </c>
      <c r="F1727" s="12" t="s">
        <v>62</v>
      </c>
      <c r="G1727" s="12" t="s">
        <v>39</v>
      </c>
      <c r="H1727" s="15">
        <v>44578.0</v>
      </c>
      <c r="I1727" s="17">
        <v>120.0</v>
      </c>
      <c r="J1727" s="12" t="s">
        <v>53</v>
      </c>
      <c r="K1727" s="12" t="s">
        <v>65</v>
      </c>
      <c r="L1727" s="17">
        <v>642.0</v>
      </c>
      <c r="M1727" s="17">
        <v>3.0</v>
      </c>
      <c r="N1727" s="17">
        <v>2.0</v>
      </c>
      <c r="O1727" s="17">
        <v>32.2</v>
      </c>
      <c r="P1727" s="17">
        <v>4.5</v>
      </c>
      <c r="Q1727" s="15">
        <v>44638.0</v>
      </c>
      <c r="R1727" s="12"/>
      <c r="S1727" s="12" t="s">
        <v>55</v>
      </c>
      <c r="T1727" s="12" t="s">
        <v>47</v>
      </c>
      <c r="U1727" s="17">
        <f t="shared" si="1"/>
        <v>2</v>
      </c>
    </row>
    <row r="1728">
      <c r="A1728" s="12" t="s">
        <v>2144</v>
      </c>
      <c r="B1728" s="12" t="s">
        <v>424</v>
      </c>
      <c r="C1728" s="17">
        <v>23.0</v>
      </c>
      <c r="D1728" s="12" t="s">
        <v>85</v>
      </c>
      <c r="E1728" s="12" t="s">
        <v>111</v>
      </c>
      <c r="F1728" s="12" t="s">
        <v>37</v>
      </c>
      <c r="G1728" s="12" t="s">
        <v>80</v>
      </c>
      <c r="H1728" s="15">
        <v>45206.0</v>
      </c>
      <c r="I1728" s="17">
        <v>18.0</v>
      </c>
      <c r="J1728" s="12" t="s">
        <v>53</v>
      </c>
      <c r="K1728" s="12" t="s">
        <v>42</v>
      </c>
      <c r="L1728" s="17">
        <v>1681.0</v>
      </c>
      <c r="M1728" s="12"/>
      <c r="N1728" s="17">
        <v>1.0</v>
      </c>
      <c r="O1728" s="17">
        <v>32.4</v>
      </c>
      <c r="P1728" s="17">
        <v>5.0</v>
      </c>
      <c r="Q1728" s="15">
        <v>45220.0</v>
      </c>
      <c r="R1728" s="12"/>
      <c r="S1728" s="12" t="s">
        <v>55</v>
      </c>
      <c r="T1728" s="12" t="s">
        <v>72</v>
      </c>
      <c r="U1728" s="17">
        <f t="shared" si="1"/>
        <v>1</v>
      </c>
    </row>
    <row r="1729">
      <c r="A1729" s="12" t="s">
        <v>2145</v>
      </c>
      <c r="B1729" s="12" t="s">
        <v>288</v>
      </c>
      <c r="C1729" s="17">
        <v>38.0</v>
      </c>
      <c r="D1729" s="12" t="s">
        <v>60</v>
      </c>
      <c r="E1729" s="12" t="s">
        <v>61</v>
      </c>
      <c r="F1729" s="12" t="s">
        <v>192</v>
      </c>
      <c r="G1729" s="12" t="s">
        <v>52</v>
      </c>
      <c r="H1729" s="15">
        <v>44833.0</v>
      </c>
      <c r="I1729" s="17">
        <v>45.0</v>
      </c>
      <c r="J1729" s="12" t="s">
        <v>40</v>
      </c>
      <c r="K1729" s="12" t="s">
        <v>65</v>
      </c>
      <c r="L1729" s="17">
        <v>501.0</v>
      </c>
      <c r="M1729" s="17">
        <v>4.0</v>
      </c>
      <c r="N1729" s="17">
        <v>1.0</v>
      </c>
      <c r="O1729" s="17">
        <v>7.8</v>
      </c>
      <c r="P1729" s="17">
        <v>2.7</v>
      </c>
      <c r="Q1729" s="15">
        <v>44890.0</v>
      </c>
      <c r="R1729" s="12"/>
      <c r="S1729" s="12" t="s">
        <v>55</v>
      </c>
      <c r="T1729" s="12" t="s">
        <v>47</v>
      </c>
      <c r="U1729" s="17">
        <f t="shared" si="1"/>
        <v>2</v>
      </c>
    </row>
    <row r="1730">
      <c r="A1730" s="12" t="s">
        <v>1144</v>
      </c>
      <c r="B1730" s="12" t="s">
        <v>448</v>
      </c>
      <c r="C1730" s="17">
        <v>31.0</v>
      </c>
      <c r="D1730" s="12" t="s">
        <v>69</v>
      </c>
      <c r="E1730" s="12" t="s">
        <v>119</v>
      </c>
      <c r="F1730" s="12" t="s">
        <v>37</v>
      </c>
      <c r="G1730" s="12" t="s">
        <v>93</v>
      </c>
      <c r="H1730" s="15">
        <v>45962.0</v>
      </c>
      <c r="I1730" s="17">
        <v>44.0</v>
      </c>
      <c r="J1730" s="12" t="s">
        <v>40</v>
      </c>
      <c r="K1730" s="12" t="s">
        <v>81</v>
      </c>
      <c r="L1730" s="17">
        <v>1228.0</v>
      </c>
      <c r="M1730" s="17">
        <v>2.0</v>
      </c>
      <c r="N1730" s="17">
        <v>1.0</v>
      </c>
      <c r="O1730" s="17">
        <v>27.9</v>
      </c>
      <c r="P1730" s="17">
        <v>2.8</v>
      </c>
      <c r="Q1730" s="15">
        <v>46978.0</v>
      </c>
      <c r="R1730" s="12"/>
      <c r="S1730" s="12" t="s">
        <v>55</v>
      </c>
      <c r="T1730" s="12" t="s">
        <v>104</v>
      </c>
      <c r="U1730" s="17">
        <f t="shared" si="1"/>
        <v>2</v>
      </c>
    </row>
    <row r="1731">
      <c r="A1731" s="12" t="s">
        <v>1783</v>
      </c>
      <c r="B1731" s="12" t="s">
        <v>78</v>
      </c>
      <c r="C1731" s="17">
        <v>54.0</v>
      </c>
      <c r="D1731" s="12" t="s">
        <v>69</v>
      </c>
      <c r="E1731" s="12" t="s">
        <v>187</v>
      </c>
      <c r="F1731" s="12" t="s">
        <v>37</v>
      </c>
      <c r="G1731" s="12" t="s">
        <v>80</v>
      </c>
      <c r="H1731" s="15">
        <v>44621.0</v>
      </c>
      <c r="I1731" s="17">
        <v>18.0</v>
      </c>
      <c r="J1731" s="12" t="s">
        <v>53</v>
      </c>
      <c r="K1731" s="12" t="s">
        <v>81</v>
      </c>
      <c r="L1731" s="17">
        <v>1409.0</v>
      </c>
      <c r="M1731" s="17">
        <v>7.0</v>
      </c>
      <c r="N1731" s="17">
        <v>2.0</v>
      </c>
      <c r="O1731" s="17">
        <v>30.2</v>
      </c>
      <c r="P1731" s="17">
        <v>4.6</v>
      </c>
      <c r="Q1731" s="15">
        <v>44820.0</v>
      </c>
      <c r="R1731" s="12" t="s">
        <v>1925</v>
      </c>
      <c r="S1731" s="12" t="s">
        <v>45</v>
      </c>
      <c r="T1731" s="12" t="s">
        <v>75</v>
      </c>
      <c r="U1731" s="17">
        <f t="shared" si="1"/>
        <v>1</v>
      </c>
    </row>
    <row r="1732">
      <c r="A1732" s="12" t="s">
        <v>2146</v>
      </c>
      <c r="B1732" s="12" t="s">
        <v>281</v>
      </c>
      <c r="C1732" s="17">
        <v>37.0</v>
      </c>
      <c r="D1732" s="12" t="s">
        <v>60</v>
      </c>
      <c r="E1732" s="12" t="s">
        <v>61</v>
      </c>
      <c r="F1732" s="12" t="s">
        <v>37</v>
      </c>
      <c r="G1732" s="12" t="s">
        <v>880</v>
      </c>
      <c r="H1732" s="15">
        <v>45306.0</v>
      </c>
      <c r="I1732" s="17">
        <v>32.0</v>
      </c>
      <c r="J1732" s="12" t="s">
        <v>53</v>
      </c>
      <c r="K1732" s="12" t="s">
        <v>42</v>
      </c>
      <c r="L1732" s="17">
        <v>1566.0</v>
      </c>
      <c r="M1732" s="17">
        <v>2.0</v>
      </c>
      <c r="N1732" s="17">
        <v>2.0</v>
      </c>
      <c r="O1732" s="17">
        <v>23.4</v>
      </c>
      <c r="P1732" s="17">
        <v>3.8</v>
      </c>
      <c r="Q1732" s="15">
        <v>46009.0</v>
      </c>
      <c r="R1732" s="12"/>
      <c r="S1732" s="12" t="s">
        <v>55</v>
      </c>
      <c r="T1732" s="12" t="s">
        <v>72</v>
      </c>
      <c r="U1732" s="17">
        <f t="shared" si="1"/>
        <v>1</v>
      </c>
    </row>
    <row r="1733">
      <c r="A1733" s="12" t="s">
        <v>2147</v>
      </c>
      <c r="B1733" s="12" t="s">
        <v>184</v>
      </c>
      <c r="C1733" s="17">
        <v>41.0</v>
      </c>
      <c r="D1733" s="12" t="s">
        <v>85</v>
      </c>
      <c r="E1733" s="12" t="s">
        <v>292</v>
      </c>
      <c r="F1733" s="12" t="s">
        <v>37</v>
      </c>
      <c r="G1733" s="12" t="s">
        <v>93</v>
      </c>
      <c r="H1733" s="15">
        <v>45843.0</v>
      </c>
      <c r="I1733" s="17">
        <v>6.0</v>
      </c>
      <c r="J1733" s="12" t="s">
        <v>53</v>
      </c>
      <c r="K1733" s="12" t="s">
        <v>81</v>
      </c>
      <c r="L1733" s="17">
        <v>1095.0</v>
      </c>
      <c r="M1733" s="17">
        <v>3.0</v>
      </c>
      <c r="N1733" s="17">
        <v>2.0</v>
      </c>
      <c r="O1733" s="17">
        <v>21.3</v>
      </c>
      <c r="P1733" s="17">
        <v>1.9</v>
      </c>
      <c r="Q1733" s="15">
        <v>45975.0</v>
      </c>
      <c r="R1733" s="12"/>
      <c r="S1733" s="12" t="s">
        <v>55</v>
      </c>
      <c r="T1733" s="12" t="s">
        <v>47</v>
      </c>
      <c r="U1733" s="17">
        <f t="shared" si="1"/>
        <v>1</v>
      </c>
    </row>
    <row r="1734">
      <c r="A1734" s="12" t="s">
        <v>2148</v>
      </c>
      <c r="B1734" s="12" t="s">
        <v>316</v>
      </c>
      <c r="C1734" s="17">
        <v>35.0</v>
      </c>
      <c r="D1734" s="12" t="s">
        <v>85</v>
      </c>
      <c r="E1734" s="12" t="s">
        <v>292</v>
      </c>
      <c r="F1734" s="12" t="s">
        <v>79</v>
      </c>
      <c r="G1734" s="12" t="s">
        <v>120</v>
      </c>
      <c r="H1734" s="15">
        <v>44839.0</v>
      </c>
      <c r="I1734" s="17">
        <v>31.0</v>
      </c>
      <c r="J1734" s="12" t="s">
        <v>53</v>
      </c>
      <c r="K1734" s="12" t="s">
        <v>42</v>
      </c>
      <c r="L1734" s="17">
        <v>2932.0</v>
      </c>
      <c r="M1734" s="17">
        <v>1.0</v>
      </c>
      <c r="N1734" s="17">
        <v>0.0</v>
      </c>
      <c r="O1734" s="17">
        <v>48.2</v>
      </c>
      <c r="P1734" s="17">
        <v>4.5</v>
      </c>
      <c r="Q1734" s="15">
        <v>45053.0</v>
      </c>
      <c r="R1734" s="12"/>
      <c r="S1734" s="12" t="s">
        <v>55</v>
      </c>
      <c r="T1734" s="12" t="s">
        <v>47</v>
      </c>
      <c r="U1734" s="17">
        <f t="shared" si="1"/>
        <v>1</v>
      </c>
    </row>
    <row r="1735">
      <c r="A1735" s="12" t="s">
        <v>2149</v>
      </c>
      <c r="B1735" s="12" t="s">
        <v>331</v>
      </c>
      <c r="C1735" s="17">
        <v>52.0</v>
      </c>
      <c r="D1735" s="12" t="s">
        <v>60</v>
      </c>
      <c r="E1735" s="12" t="s">
        <v>133</v>
      </c>
      <c r="F1735" s="12" t="s">
        <v>62</v>
      </c>
      <c r="G1735" s="12" t="s">
        <v>120</v>
      </c>
      <c r="H1735" s="15">
        <v>44785.0</v>
      </c>
      <c r="I1735" s="17">
        <v>28.0</v>
      </c>
      <c r="J1735" s="12" t="s">
        <v>40</v>
      </c>
      <c r="K1735" s="12" t="s">
        <v>81</v>
      </c>
      <c r="L1735" s="17">
        <v>550.0</v>
      </c>
      <c r="M1735" s="17">
        <v>1.0</v>
      </c>
      <c r="N1735" s="17">
        <v>1.0</v>
      </c>
      <c r="O1735" s="17">
        <v>10.0</v>
      </c>
      <c r="P1735" s="17">
        <v>2.8</v>
      </c>
      <c r="Q1735" s="15">
        <v>45347.0</v>
      </c>
      <c r="R1735" s="12"/>
      <c r="S1735" s="12" t="s">
        <v>55</v>
      </c>
      <c r="T1735" s="12" t="s">
        <v>75</v>
      </c>
      <c r="U1735" s="17">
        <f t="shared" si="1"/>
        <v>1</v>
      </c>
    </row>
    <row r="1736">
      <c r="A1736" s="12" t="s">
        <v>1707</v>
      </c>
      <c r="B1736" s="12" t="s">
        <v>636</v>
      </c>
      <c r="C1736" s="12" t="s">
        <v>976</v>
      </c>
      <c r="D1736" s="12" t="s">
        <v>69</v>
      </c>
      <c r="E1736" s="12" t="s">
        <v>70</v>
      </c>
      <c r="F1736" s="12" t="s">
        <v>37</v>
      </c>
      <c r="G1736" s="12" t="s">
        <v>63</v>
      </c>
      <c r="H1736" s="15">
        <v>45430.0</v>
      </c>
      <c r="I1736" s="17">
        <v>37.0</v>
      </c>
      <c r="J1736" s="12" t="s">
        <v>53</v>
      </c>
      <c r="K1736" s="12" t="s">
        <v>81</v>
      </c>
      <c r="L1736" s="17">
        <v>1440.0</v>
      </c>
      <c r="M1736" s="17">
        <v>2.0</v>
      </c>
      <c r="N1736" s="17">
        <v>2.0</v>
      </c>
      <c r="O1736" s="17">
        <v>30.3</v>
      </c>
      <c r="P1736" s="17">
        <v>2.0</v>
      </c>
      <c r="Q1736" s="15">
        <v>45481.0</v>
      </c>
      <c r="R1736" s="12"/>
      <c r="S1736" s="12" t="s">
        <v>55</v>
      </c>
      <c r="T1736" s="12" t="s">
        <v>75</v>
      </c>
      <c r="U1736" s="17">
        <f t="shared" si="1"/>
        <v>4</v>
      </c>
    </row>
    <row r="1737">
      <c r="A1737" s="12" t="s">
        <v>1814</v>
      </c>
      <c r="B1737" s="12" t="s">
        <v>163</v>
      </c>
      <c r="C1737" s="17">
        <v>62.0</v>
      </c>
      <c r="D1737" s="12" t="s">
        <v>60</v>
      </c>
      <c r="E1737" s="12" t="s">
        <v>107</v>
      </c>
      <c r="F1737" s="12" t="s">
        <v>62</v>
      </c>
      <c r="G1737" s="12" t="s">
        <v>210</v>
      </c>
      <c r="H1737" s="15">
        <v>45822.0</v>
      </c>
      <c r="I1737" s="17">
        <v>38.0</v>
      </c>
      <c r="J1737" s="12" t="s">
        <v>40</v>
      </c>
      <c r="K1737" s="12" t="s">
        <v>42</v>
      </c>
      <c r="L1737" s="17">
        <v>563.0</v>
      </c>
      <c r="M1737" s="17">
        <v>5.0</v>
      </c>
      <c r="N1737" s="17">
        <v>0.0</v>
      </c>
      <c r="O1737" s="17">
        <v>12.9</v>
      </c>
      <c r="P1737" s="17">
        <v>2.2</v>
      </c>
      <c r="Q1737" s="15">
        <v>46689.0</v>
      </c>
      <c r="R1737" s="12"/>
      <c r="S1737" s="12" t="s">
        <v>55</v>
      </c>
      <c r="T1737" s="12" t="s">
        <v>47</v>
      </c>
      <c r="U1737" s="17">
        <f t="shared" si="1"/>
        <v>4</v>
      </c>
    </row>
    <row r="1738">
      <c r="A1738" s="12" t="s">
        <v>2150</v>
      </c>
      <c r="B1738" s="12" t="s">
        <v>172</v>
      </c>
      <c r="C1738" s="17">
        <v>44.0</v>
      </c>
      <c r="D1738" s="12" t="s">
        <v>69</v>
      </c>
      <c r="E1738" s="12" t="s">
        <v>70</v>
      </c>
      <c r="F1738" s="12" t="s">
        <v>62</v>
      </c>
      <c r="G1738" s="12" t="s">
        <v>210</v>
      </c>
      <c r="H1738" s="15">
        <v>44747.0</v>
      </c>
      <c r="I1738" s="17">
        <v>43.0</v>
      </c>
      <c r="J1738" s="12" t="s">
        <v>53</v>
      </c>
      <c r="K1738" s="12" t="s">
        <v>65</v>
      </c>
      <c r="L1738" s="17">
        <v>576.0</v>
      </c>
      <c r="M1738" s="17">
        <v>0.0</v>
      </c>
      <c r="N1738" s="17">
        <v>0.0</v>
      </c>
      <c r="O1738" s="17">
        <v>14.2</v>
      </c>
      <c r="P1738" s="17">
        <v>4.2</v>
      </c>
      <c r="Q1738" s="15">
        <v>45513.0</v>
      </c>
      <c r="R1738" s="12"/>
      <c r="S1738" s="12" t="s">
        <v>230</v>
      </c>
      <c r="T1738" s="12" t="s">
        <v>104</v>
      </c>
      <c r="U1738" s="17">
        <f t="shared" si="1"/>
        <v>1</v>
      </c>
    </row>
    <row r="1739">
      <c r="A1739" s="12" t="s">
        <v>2151</v>
      </c>
      <c r="B1739" s="12" t="s">
        <v>734</v>
      </c>
      <c r="C1739" s="17">
        <v>48.0</v>
      </c>
      <c r="D1739" s="12" t="s">
        <v>69</v>
      </c>
      <c r="E1739" s="12" t="s">
        <v>187</v>
      </c>
      <c r="F1739" s="12" t="s">
        <v>37</v>
      </c>
      <c r="G1739" s="12" t="s">
        <v>39</v>
      </c>
      <c r="H1739" s="15">
        <v>44781.0</v>
      </c>
      <c r="I1739" s="17">
        <v>120.0</v>
      </c>
      <c r="J1739" s="12" t="s">
        <v>40</v>
      </c>
      <c r="K1739" s="12" t="s">
        <v>81</v>
      </c>
      <c r="L1739" s="17">
        <v>1369.0</v>
      </c>
      <c r="M1739" s="17">
        <v>2.0</v>
      </c>
      <c r="N1739" s="17">
        <v>2.0</v>
      </c>
      <c r="O1739" s="17">
        <v>41.0</v>
      </c>
      <c r="P1739" s="17">
        <v>3.2</v>
      </c>
      <c r="Q1739" s="15">
        <v>44980.0</v>
      </c>
      <c r="R1739" s="12"/>
      <c r="S1739" s="12" t="s">
        <v>55</v>
      </c>
      <c r="T1739" s="12" t="s">
        <v>66</v>
      </c>
      <c r="U1739" s="17">
        <f t="shared" si="1"/>
        <v>1</v>
      </c>
    </row>
    <row r="1740">
      <c r="A1740" s="12" t="s">
        <v>2076</v>
      </c>
      <c r="B1740" s="12" t="s">
        <v>250</v>
      </c>
      <c r="C1740" s="17">
        <v>46.0</v>
      </c>
      <c r="D1740" s="12" t="s">
        <v>35</v>
      </c>
      <c r="E1740" s="12" t="s">
        <v>161</v>
      </c>
      <c r="F1740" s="12" t="s">
        <v>62</v>
      </c>
      <c r="G1740" s="12" t="s">
        <v>63</v>
      </c>
      <c r="H1740" s="15">
        <v>45146.0</v>
      </c>
      <c r="I1740" s="17">
        <v>41.0</v>
      </c>
      <c r="J1740" s="12" t="s">
        <v>64</v>
      </c>
      <c r="K1740" s="12" t="s">
        <v>65</v>
      </c>
      <c r="L1740" s="17">
        <v>542.0</v>
      </c>
      <c r="M1740" s="17">
        <v>1.0</v>
      </c>
      <c r="N1740" s="17">
        <v>0.0</v>
      </c>
      <c r="O1740" s="17">
        <v>22.2</v>
      </c>
      <c r="P1740" s="17">
        <v>3.0</v>
      </c>
      <c r="Q1740" s="15">
        <v>45571.0</v>
      </c>
      <c r="R1740" s="12"/>
      <c r="S1740" s="12" t="s">
        <v>55</v>
      </c>
      <c r="T1740" s="12" t="s">
        <v>47</v>
      </c>
      <c r="U1740" s="17">
        <f t="shared" si="1"/>
        <v>2</v>
      </c>
    </row>
    <row r="1741">
      <c r="A1741" s="12" t="s">
        <v>1065</v>
      </c>
      <c r="B1741" s="12" t="s">
        <v>206</v>
      </c>
      <c r="C1741" s="17">
        <v>62.0</v>
      </c>
      <c r="D1741" s="12" t="s">
        <v>35</v>
      </c>
      <c r="E1741" s="12" t="s">
        <v>51</v>
      </c>
      <c r="F1741" s="12" t="s">
        <v>37</v>
      </c>
      <c r="G1741" s="12" t="s">
        <v>80</v>
      </c>
      <c r="H1741" s="15">
        <v>45552.0</v>
      </c>
      <c r="I1741" s="17">
        <v>31.0</v>
      </c>
      <c r="J1741" s="12" t="s">
        <v>64</v>
      </c>
      <c r="K1741" s="12" t="s">
        <v>42</v>
      </c>
      <c r="L1741" s="17">
        <v>1108.0</v>
      </c>
      <c r="M1741" s="17">
        <v>2.0</v>
      </c>
      <c r="N1741" s="17">
        <v>1.0</v>
      </c>
      <c r="O1741" s="17">
        <v>26.2</v>
      </c>
      <c r="P1741" s="17">
        <v>4.3</v>
      </c>
      <c r="Q1741" s="15">
        <v>45578.0</v>
      </c>
      <c r="R1741" s="12"/>
      <c r="S1741" s="12" t="s">
        <v>55</v>
      </c>
      <c r="T1741" s="12" t="s">
        <v>75</v>
      </c>
      <c r="U1741" s="17">
        <f t="shared" si="1"/>
        <v>2</v>
      </c>
    </row>
    <row r="1742">
      <c r="A1742" s="12" t="s">
        <v>670</v>
      </c>
      <c r="B1742" s="12" t="s">
        <v>206</v>
      </c>
      <c r="C1742" s="17">
        <v>62.0</v>
      </c>
      <c r="D1742" s="12" t="s">
        <v>69</v>
      </c>
      <c r="E1742" s="12" t="s">
        <v>119</v>
      </c>
      <c r="F1742" s="12" t="s">
        <v>79</v>
      </c>
      <c r="G1742" s="12" t="s">
        <v>210</v>
      </c>
      <c r="H1742" s="15">
        <v>44693.0</v>
      </c>
      <c r="I1742" s="17">
        <v>29.0</v>
      </c>
      <c r="J1742" s="12" t="s">
        <v>64</v>
      </c>
      <c r="K1742" s="12" t="s">
        <v>42</v>
      </c>
      <c r="L1742" s="17">
        <v>2227.0</v>
      </c>
      <c r="M1742" s="17">
        <v>0.0</v>
      </c>
      <c r="N1742" s="17">
        <v>0.0</v>
      </c>
      <c r="O1742" s="17">
        <v>38.3</v>
      </c>
      <c r="P1742" s="17">
        <v>4.5</v>
      </c>
      <c r="Q1742" s="15">
        <v>45565.0</v>
      </c>
      <c r="R1742" s="12"/>
      <c r="S1742" s="12" t="s">
        <v>55</v>
      </c>
      <c r="T1742" s="12" t="s">
        <v>104</v>
      </c>
      <c r="U1742" s="17">
        <f t="shared" si="1"/>
        <v>4</v>
      </c>
    </row>
    <row r="1743">
      <c r="A1743" s="12" t="s">
        <v>1554</v>
      </c>
      <c r="B1743" s="12" t="s">
        <v>229</v>
      </c>
      <c r="C1743" s="17">
        <v>32.0</v>
      </c>
      <c r="D1743" s="12" t="s">
        <v>85</v>
      </c>
      <c r="E1743" s="12" t="s">
        <v>111</v>
      </c>
      <c r="F1743" s="12" t="s">
        <v>37</v>
      </c>
      <c r="G1743" s="12" t="s">
        <v>39</v>
      </c>
      <c r="H1743" s="15">
        <v>44882.0</v>
      </c>
      <c r="I1743" s="17">
        <v>7.0</v>
      </c>
      <c r="J1743" s="12" t="s">
        <v>64</v>
      </c>
      <c r="K1743" s="12" t="s">
        <v>805</v>
      </c>
      <c r="L1743" s="17">
        <v>1405.0</v>
      </c>
      <c r="M1743" s="17">
        <v>3.0</v>
      </c>
      <c r="N1743" s="17">
        <v>1.0</v>
      </c>
      <c r="O1743" s="17">
        <v>32.7</v>
      </c>
      <c r="P1743" s="17">
        <v>3.6</v>
      </c>
      <c r="Q1743" s="15">
        <v>44911.0</v>
      </c>
      <c r="R1743" s="12"/>
      <c r="S1743" s="12" t="s">
        <v>55</v>
      </c>
      <c r="T1743" s="12" t="s">
        <v>75</v>
      </c>
      <c r="U1743" s="17">
        <f t="shared" si="1"/>
        <v>2</v>
      </c>
    </row>
    <row r="1744">
      <c r="A1744" s="12" t="s">
        <v>2152</v>
      </c>
      <c r="B1744" s="12" t="s">
        <v>184</v>
      </c>
      <c r="C1744" s="17">
        <v>57.0</v>
      </c>
      <c r="D1744" s="12" t="s">
        <v>85</v>
      </c>
      <c r="E1744" s="12" t="s">
        <v>292</v>
      </c>
      <c r="F1744" s="12" t="s">
        <v>37</v>
      </c>
      <c r="G1744" s="12" t="s">
        <v>210</v>
      </c>
      <c r="H1744" s="15">
        <v>44842.0</v>
      </c>
      <c r="I1744" s="17">
        <v>37.0</v>
      </c>
      <c r="J1744" s="12" t="s">
        <v>64</v>
      </c>
      <c r="K1744" s="12" t="s">
        <v>81</v>
      </c>
      <c r="L1744" s="17">
        <v>1498.0</v>
      </c>
      <c r="M1744" s="17">
        <v>0.0</v>
      </c>
      <c r="N1744" s="17">
        <v>3.0</v>
      </c>
      <c r="O1744" s="17">
        <v>26.8</v>
      </c>
      <c r="P1744" s="17">
        <v>4.2</v>
      </c>
      <c r="Q1744" s="15">
        <v>45757.0</v>
      </c>
      <c r="R1744" s="12"/>
      <c r="S1744" s="12" t="s">
        <v>55</v>
      </c>
      <c r="T1744" s="12" t="s">
        <v>104</v>
      </c>
      <c r="U1744" s="17">
        <f t="shared" si="1"/>
        <v>1</v>
      </c>
    </row>
    <row r="1745">
      <c r="A1745" s="12" t="s">
        <v>2153</v>
      </c>
      <c r="B1745" s="12" t="s">
        <v>395</v>
      </c>
      <c r="C1745" s="17">
        <v>54.0</v>
      </c>
      <c r="D1745" s="12" t="s">
        <v>69</v>
      </c>
      <c r="E1745" s="12" t="s">
        <v>70</v>
      </c>
      <c r="F1745" s="12" t="s">
        <v>62</v>
      </c>
      <c r="G1745" s="12" t="s">
        <v>210</v>
      </c>
      <c r="H1745" s="15">
        <v>44666.0</v>
      </c>
      <c r="I1745" s="17">
        <v>1.0</v>
      </c>
      <c r="J1745" s="12" t="s">
        <v>53</v>
      </c>
      <c r="K1745" s="12" t="s">
        <v>81</v>
      </c>
      <c r="L1745" s="17">
        <v>589.0</v>
      </c>
      <c r="M1745" s="17">
        <v>2.0</v>
      </c>
      <c r="N1745" s="17">
        <v>3.0</v>
      </c>
      <c r="O1745" s="17">
        <v>20.1</v>
      </c>
      <c r="P1745" s="17">
        <v>2.5</v>
      </c>
      <c r="Q1745" s="15">
        <v>44700.0</v>
      </c>
      <c r="R1745" s="12" t="s">
        <v>2154</v>
      </c>
      <c r="S1745" s="12" t="s">
        <v>45</v>
      </c>
      <c r="T1745" s="12" t="s">
        <v>66</v>
      </c>
      <c r="U1745" s="17">
        <f t="shared" si="1"/>
        <v>1</v>
      </c>
    </row>
    <row r="1746">
      <c r="A1746" s="12" t="s">
        <v>2155</v>
      </c>
      <c r="B1746" s="12" t="s">
        <v>470</v>
      </c>
      <c r="C1746" s="17">
        <v>60.0</v>
      </c>
      <c r="D1746" s="12" t="s">
        <v>69</v>
      </c>
      <c r="E1746" s="12" t="s">
        <v>177</v>
      </c>
      <c r="F1746" s="12" t="s">
        <v>37</v>
      </c>
      <c r="G1746" s="12" t="s">
        <v>63</v>
      </c>
      <c r="H1746" s="15">
        <v>44910.0</v>
      </c>
      <c r="I1746" s="17">
        <v>39.0</v>
      </c>
      <c r="J1746" s="12" t="s">
        <v>429</v>
      </c>
      <c r="K1746" s="12" t="s">
        <v>65</v>
      </c>
      <c r="L1746" s="17">
        <v>1462.0</v>
      </c>
      <c r="M1746" s="17">
        <v>5.0</v>
      </c>
      <c r="N1746" s="17">
        <v>0.0</v>
      </c>
      <c r="O1746" s="17">
        <v>30.8</v>
      </c>
      <c r="P1746" s="17">
        <v>3.6</v>
      </c>
      <c r="Q1746" s="15">
        <v>45732.0</v>
      </c>
      <c r="R1746" s="12"/>
      <c r="S1746" s="12" t="s">
        <v>55</v>
      </c>
      <c r="T1746" s="12" t="s">
        <v>104</v>
      </c>
      <c r="U1746" s="17">
        <f t="shared" si="1"/>
        <v>1</v>
      </c>
    </row>
    <row r="1747">
      <c r="A1747" s="12" t="s">
        <v>670</v>
      </c>
      <c r="B1747" s="12" t="s">
        <v>333</v>
      </c>
      <c r="C1747" s="17">
        <v>53.0</v>
      </c>
      <c r="D1747" s="12" t="s">
        <v>69</v>
      </c>
      <c r="E1747" s="12" t="s">
        <v>177</v>
      </c>
      <c r="F1747" s="12" t="s">
        <v>62</v>
      </c>
      <c r="G1747" s="12" t="s">
        <v>647</v>
      </c>
      <c r="H1747" s="15">
        <v>45502.0</v>
      </c>
      <c r="I1747" s="17">
        <v>44.0</v>
      </c>
      <c r="J1747" s="12" t="s">
        <v>64</v>
      </c>
      <c r="K1747" s="12" t="s">
        <v>42</v>
      </c>
      <c r="L1747" s="17">
        <v>819.0</v>
      </c>
      <c r="M1747" s="17">
        <v>1.0</v>
      </c>
      <c r="N1747" s="17">
        <v>0.0</v>
      </c>
      <c r="O1747" s="17">
        <v>13.6</v>
      </c>
      <c r="P1747" s="17">
        <v>3.2</v>
      </c>
      <c r="Q1747" s="15">
        <v>45811.0</v>
      </c>
      <c r="R1747" s="12"/>
      <c r="S1747" s="12" t="s">
        <v>55</v>
      </c>
      <c r="T1747" s="12" t="s">
        <v>104</v>
      </c>
      <c r="U1747" s="17">
        <f t="shared" si="1"/>
        <v>4</v>
      </c>
    </row>
    <row r="1748">
      <c r="A1748" s="12" t="s">
        <v>2080</v>
      </c>
      <c r="B1748" s="12" t="s">
        <v>736</v>
      </c>
      <c r="C1748" s="17">
        <v>29.0</v>
      </c>
      <c r="D1748" s="12" t="s">
        <v>69</v>
      </c>
      <c r="E1748" s="12" t="s">
        <v>187</v>
      </c>
      <c r="F1748" s="12" t="s">
        <v>62</v>
      </c>
      <c r="G1748" s="12" t="s">
        <v>63</v>
      </c>
      <c r="H1748" s="15">
        <v>44661.0</v>
      </c>
      <c r="I1748" s="17">
        <v>21.0</v>
      </c>
      <c r="J1748" s="12" t="s">
        <v>40</v>
      </c>
      <c r="K1748" s="12" t="s">
        <v>42</v>
      </c>
      <c r="L1748" s="17">
        <v>624.0</v>
      </c>
      <c r="M1748" s="17">
        <v>0.0</v>
      </c>
      <c r="N1748" s="17">
        <v>1.0</v>
      </c>
      <c r="O1748" s="17">
        <v>11.0</v>
      </c>
      <c r="P1748" s="17">
        <v>3.5</v>
      </c>
      <c r="Q1748" s="15">
        <v>44732.0</v>
      </c>
      <c r="R1748" s="12"/>
      <c r="S1748" s="12" t="s">
        <v>55</v>
      </c>
      <c r="T1748" s="12" t="s">
        <v>104</v>
      </c>
      <c r="U1748" s="17">
        <f t="shared" si="1"/>
        <v>2</v>
      </c>
    </row>
    <row r="1749">
      <c r="A1749" s="12" t="s">
        <v>860</v>
      </c>
      <c r="B1749" s="12" t="s">
        <v>59</v>
      </c>
      <c r="C1749" s="17">
        <v>33.0</v>
      </c>
      <c r="D1749" s="12" t="s">
        <v>69</v>
      </c>
      <c r="E1749" s="12" t="s">
        <v>177</v>
      </c>
      <c r="F1749" s="12" t="s">
        <v>37</v>
      </c>
      <c r="G1749" s="12" t="s">
        <v>39</v>
      </c>
      <c r="H1749" s="15">
        <v>44626.0</v>
      </c>
      <c r="I1749" s="17">
        <v>36.0</v>
      </c>
      <c r="J1749" s="12" t="s">
        <v>53</v>
      </c>
      <c r="K1749" s="12" t="s">
        <v>42</v>
      </c>
      <c r="L1749" s="17">
        <v>1747.0</v>
      </c>
      <c r="M1749" s="17">
        <v>5.0</v>
      </c>
      <c r="N1749" s="17">
        <v>1.0</v>
      </c>
      <c r="O1749" s="17">
        <v>44.4</v>
      </c>
      <c r="P1749" s="17">
        <v>2.9</v>
      </c>
      <c r="Q1749" s="15">
        <v>45428.0</v>
      </c>
      <c r="R1749" s="12" t="s">
        <v>2156</v>
      </c>
      <c r="S1749" s="12" t="s">
        <v>45</v>
      </c>
      <c r="T1749" s="12" t="s">
        <v>47</v>
      </c>
      <c r="U1749" s="17">
        <f t="shared" si="1"/>
        <v>1</v>
      </c>
    </row>
    <row r="1750">
      <c r="A1750" s="12" t="s">
        <v>2157</v>
      </c>
      <c r="B1750" s="12" t="s">
        <v>734</v>
      </c>
      <c r="C1750" s="17">
        <v>49.0</v>
      </c>
      <c r="D1750" s="12" t="s">
        <v>35</v>
      </c>
      <c r="E1750" s="12" t="s">
        <v>140</v>
      </c>
      <c r="F1750" s="12" t="s">
        <v>79</v>
      </c>
      <c r="G1750" s="12" t="s">
        <v>52</v>
      </c>
      <c r="H1750" s="15">
        <v>45341.0</v>
      </c>
      <c r="I1750" s="17">
        <v>39.0</v>
      </c>
      <c r="J1750" s="12" t="s">
        <v>40</v>
      </c>
      <c r="K1750" s="12" t="s">
        <v>42</v>
      </c>
      <c r="L1750" s="17">
        <v>3212.0</v>
      </c>
      <c r="M1750" s="17">
        <v>4.0</v>
      </c>
      <c r="N1750" s="17">
        <v>0.0</v>
      </c>
      <c r="O1750" s="17">
        <v>40.8</v>
      </c>
      <c r="P1750" s="17">
        <v>3.7</v>
      </c>
      <c r="Q1750" s="15">
        <v>45978.0</v>
      </c>
      <c r="R1750" s="12"/>
      <c r="S1750" s="12" t="s">
        <v>55</v>
      </c>
      <c r="T1750" s="12" t="s">
        <v>104</v>
      </c>
      <c r="U1750" s="17">
        <f t="shared" si="1"/>
        <v>1</v>
      </c>
    </row>
    <row r="1751">
      <c r="A1751" s="12" t="s">
        <v>2158</v>
      </c>
      <c r="B1751" s="12" t="s">
        <v>184</v>
      </c>
      <c r="C1751" s="17">
        <v>20.0</v>
      </c>
      <c r="D1751" s="12" t="s">
        <v>60</v>
      </c>
      <c r="E1751" s="12" t="s">
        <v>97</v>
      </c>
      <c r="F1751" s="12" t="s">
        <v>62</v>
      </c>
      <c r="G1751" s="12" t="s">
        <v>52</v>
      </c>
      <c r="H1751" s="15">
        <v>44766.0</v>
      </c>
      <c r="I1751" s="17">
        <v>4.0</v>
      </c>
      <c r="J1751" s="12" t="s">
        <v>64</v>
      </c>
      <c r="K1751" s="12" t="s">
        <v>337</v>
      </c>
      <c r="L1751" s="17">
        <v>503.0</v>
      </c>
      <c r="M1751" s="17">
        <v>0.0</v>
      </c>
      <c r="N1751" s="17">
        <v>1.0</v>
      </c>
      <c r="O1751" s="17">
        <v>5.3</v>
      </c>
      <c r="P1751" s="17">
        <v>4.3</v>
      </c>
      <c r="Q1751" s="15">
        <v>44887.0</v>
      </c>
      <c r="R1751" s="12" t="s">
        <v>2159</v>
      </c>
      <c r="S1751" s="12" t="s">
        <v>45</v>
      </c>
      <c r="T1751" s="12" t="s">
        <v>66</v>
      </c>
      <c r="U1751" s="17">
        <f t="shared" si="1"/>
        <v>1</v>
      </c>
    </row>
    <row r="1752">
      <c r="A1752" s="12" t="s">
        <v>1672</v>
      </c>
      <c r="B1752" s="12" t="s">
        <v>232</v>
      </c>
      <c r="C1752" s="17">
        <v>60.0</v>
      </c>
      <c r="D1752" s="12" t="s">
        <v>60</v>
      </c>
      <c r="E1752" s="12" t="s">
        <v>61</v>
      </c>
      <c r="F1752" s="12" t="s">
        <v>62</v>
      </c>
      <c r="G1752" s="12" t="s">
        <v>120</v>
      </c>
      <c r="H1752" s="15">
        <v>44575.0</v>
      </c>
      <c r="I1752" s="17">
        <v>34.0</v>
      </c>
      <c r="J1752" s="12" t="s">
        <v>53</v>
      </c>
      <c r="K1752" s="12" t="s">
        <v>65</v>
      </c>
      <c r="L1752" s="17">
        <v>890.0</v>
      </c>
      <c r="M1752" s="17">
        <v>2.0</v>
      </c>
      <c r="N1752" s="17">
        <v>1.0</v>
      </c>
      <c r="O1752" s="17">
        <v>12.8</v>
      </c>
      <c r="P1752" s="17">
        <v>4.5</v>
      </c>
      <c r="Q1752" s="15">
        <v>44749.0</v>
      </c>
      <c r="R1752" s="12"/>
      <c r="S1752" s="12" t="s">
        <v>55</v>
      </c>
      <c r="T1752" s="12" t="s">
        <v>72</v>
      </c>
      <c r="U1752" s="17">
        <f t="shared" si="1"/>
        <v>2</v>
      </c>
    </row>
    <row r="1753">
      <c r="A1753" s="12" t="s">
        <v>2160</v>
      </c>
      <c r="B1753" s="12" t="s">
        <v>118</v>
      </c>
      <c r="C1753" s="17">
        <v>24.0</v>
      </c>
      <c r="D1753" s="12" t="s">
        <v>85</v>
      </c>
      <c r="E1753" s="12" t="s">
        <v>87</v>
      </c>
      <c r="F1753" s="12" t="s">
        <v>62</v>
      </c>
      <c r="G1753" s="12" t="s">
        <v>120</v>
      </c>
      <c r="H1753" s="15">
        <v>45266.0</v>
      </c>
      <c r="I1753" s="17">
        <v>0.0</v>
      </c>
      <c r="J1753" s="12" t="s">
        <v>40</v>
      </c>
      <c r="K1753" s="12" t="s">
        <v>65</v>
      </c>
      <c r="L1753" s="17">
        <v>557.0</v>
      </c>
      <c r="M1753" s="17">
        <v>3.0</v>
      </c>
      <c r="N1753" s="17">
        <v>2.0</v>
      </c>
      <c r="O1753" s="17">
        <v>24.7</v>
      </c>
      <c r="P1753" s="17">
        <v>3.8</v>
      </c>
      <c r="Q1753" s="15">
        <v>45740.0</v>
      </c>
      <c r="R1753" s="12"/>
      <c r="S1753" s="12" t="s">
        <v>55</v>
      </c>
      <c r="T1753" s="12" t="s">
        <v>75</v>
      </c>
      <c r="U1753" s="17">
        <f t="shared" si="1"/>
        <v>1</v>
      </c>
    </row>
    <row r="1754">
      <c r="A1754" s="12" t="s">
        <v>822</v>
      </c>
      <c r="B1754" s="12" t="s">
        <v>393</v>
      </c>
      <c r="C1754" s="17">
        <v>68.0</v>
      </c>
      <c r="D1754" s="12" t="s">
        <v>35</v>
      </c>
      <c r="E1754" s="12" t="s">
        <v>140</v>
      </c>
      <c r="F1754" s="12" t="s">
        <v>79</v>
      </c>
      <c r="G1754" s="12" t="s">
        <v>93</v>
      </c>
      <c r="H1754" s="15">
        <v>45433.0</v>
      </c>
      <c r="I1754" s="17">
        <v>16.0</v>
      </c>
      <c r="J1754" s="12" t="s">
        <v>53</v>
      </c>
      <c r="K1754" s="12" t="s">
        <v>81</v>
      </c>
      <c r="L1754" s="17">
        <v>1108.0</v>
      </c>
      <c r="M1754" s="17">
        <v>3.0</v>
      </c>
      <c r="N1754" s="17">
        <v>1.0</v>
      </c>
      <c r="O1754" s="17">
        <v>32.1</v>
      </c>
      <c r="P1754" s="17">
        <v>4.7</v>
      </c>
      <c r="Q1754" s="15">
        <v>45822.0</v>
      </c>
      <c r="R1754" s="12"/>
      <c r="S1754" s="12" t="s">
        <v>55</v>
      </c>
      <c r="T1754" s="12" t="s">
        <v>47</v>
      </c>
      <c r="U1754" s="17">
        <f t="shared" si="1"/>
        <v>3</v>
      </c>
    </row>
    <row r="1755">
      <c r="A1755" s="12" t="s">
        <v>719</v>
      </c>
      <c r="B1755" s="12" t="s">
        <v>126</v>
      </c>
      <c r="C1755" s="17">
        <v>65.0</v>
      </c>
      <c r="D1755" s="12" t="s">
        <v>60</v>
      </c>
      <c r="E1755" s="12" t="s">
        <v>107</v>
      </c>
      <c r="F1755" s="12" t="s">
        <v>37</v>
      </c>
      <c r="G1755" s="12" t="s">
        <v>120</v>
      </c>
      <c r="H1755" s="15">
        <v>44763.0</v>
      </c>
      <c r="I1755" s="17">
        <v>13.0</v>
      </c>
      <c r="J1755" s="12" t="s">
        <v>40</v>
      </c>
      <c r="K1755" s="12" t="s">
        <v>42</v>
      </c>
      <c r="L1755" s="17">
        <v>1488.0</v>
      </c>
      <c r="M1755" s="17">
        <v>2.0</v>
      </c>
      <c r="N1755" s="17">
        <v>0.0</v>
      </c>
      <c r="O1755" s="17">
        <v>29.6</v>
      </c>
      <c r="P1755" s="17">
        <v>3.6</v>
      </c>
      <c r="Q1755" s="15">
        <v>44919.0</v>
      </c>
      <c r="R1755" s="12"/>
      <c r="S1755" s="12" t="s">
        <v>55</v>
      </c>
      <c r="T1755" s="12" t="s">
        <v>72</v>
      </c>
      <c r="U1755" s="17">
        <f t="shared" si="1"/>
        <v>2</v>
      </c>
    </row>
    <row r="1756">
      <c r="A1756" s="12" t="s">
        <v>1712</v>
      </c>
      <c r="B1756" s="12" t="s">
        <v>331</v>
      </c>
      <c r="C1756" s="17">
        <v>62.0</v>
      </c>
      <c r="D1756" s="12" t="s">
        <v>85</v>
      </c>
      <c r="E1756" s="12" t="s">
        <v>292</v>
      </c>
      <c r="F1756" s="12" t="s">
        <v>62</v>
      </c>
      <c r="G1756" s="12" t="s">
        <v>93</v>
      </c>
      <c r="H1756" s="15">
        <v>45362.0</v>
      </c>
      <c r="I1756" s="17">
        <v>25.0</v>
      </c>
      <c r="J1756" s="12" t="s">
        <v>40</v>
      </c>
      <c r="K1756" s="12" t="s">
        <v>42</v>
      </c>
      <c r="L1756" s="17">
        <v>716.0</v>
      </c>
      <c r="M1756" s="17">
        <v>1.0</v>
      </c>
      <c r="N1756" s="17">
        <v>0.0</v>
      </c>
      <c r="O1756" s="17">
        <v>14.4</v>
      </c>
      <c r="P1756" s="17">
        <v>1.9</v>
      </c>
      <c r="Q1756" s="15">
        <v>45595.0</v>
      </c>
      <c r="R1756" s="12"/>
      <c r="S1756" s="12" t="s">
        <v>55</v>
      </c>
      <c r="T1756" s="12" t="s">
        <v>75</v>
      </c>
      <c r="U1756" s="17">
        <f t="shared" si="1"/>
        <v>2</v>
      </c>
    </row>
    <row r="1757">
      <c r="A1757" s="12" t="s">
        <v>2161</v>
      </c>
      <c r="B1757" s="12" t="s">
        <v>393</v>
      </c>
      <c r="C1757" s="17">
        <v>32.0</v>
      </c>
      <c r="D1757" s="12" t="s">
        <v>35</v>
      </c>
      <c r="E1757" s="12" t="s">
        <v>161</v>
      </c>
      <c r="F1757" s="12" t="s">
        <v>62</v>
      </c>
      <c r="G1757" s="12" t="s">
        <v>52</v>
      </c>
      <c r="H1757" s="15">
        <v>44771.0</v>
      </c>
      <c r="I1757" s="17">
        <v>24.0</v>
      </c>
      <c r="J1757" s="12" t="s">
        <v>53</v>
      </c>
      <c r="K1757" s="12" t="s">
        <v>65</v>
      </c>
      <c r="L1757" s="17">
        <v>760.0</v>
      </c>
      <c r="M1757" s="17">
        <v>4.0</v>
      </c>
      <c r="N1757" s="17">
        <v>0.0</v>
      </c>
      <c r="O1757" s="17">
        <v>23.9</v>
      </c>
      <c r="P1757" s="17">
        <v>4.6</v>
      </c>
      <c r="Q1757" s="15">
        <v>45396.0</v>
      </c>
      <c r="R1757" s="12"/>
      <c r="S1757" s="12" t="s">
        <v>602</v>
      </c>
      <c r="T1757" s="12" t="s">
        <v>75</v>
      </c>
      <c r="U1757" s="17">
        <f t="shared" si="1"/>
        <v>1</v>
      </c>
    </row>
    <row r="1758">
      <c r="A1758" s="12" t="s">
        <v>2162</v>
      </c>
      <c r="B1758" s="12" t="s">
        <v>395</v>
      </c>
      <c r="C1758" s="17">
        <v>19.0</v>
      </c>
      <c r="D1758" s="12" t="s">
        <v>60</v>
      </c>
      <c r="E1758" s="12" t="s">
        <v>133</v>
      </c>
      <c r="F1758" s="12" t="s">
        <v>62</v>
      </c>
      <c r="G1758" s="12" t="s">
        <v>80</v>
      </c>
      <c r="H1758" s="15">
        <v>45719.0</v>
      </c>
      <c r="I1758" s="17">
        <v>25.0</v>
      </c>
      <c r="J1758" s="12" t="s">
        <v>40</v>
      </c>
      <c r="K1758" s="12" t="s">
        <v>65</v>
      </c>
      <c r="L1758" s="17">
        <v>746.0</v>
      </c>
      <c r="M1758" s="17">
        <v>2.0</v>
      </c>
      <c r="N1758" s="17">
        <v>0.0</v>
      </c>
      <c r="O1758" s="17">
        <v>10.9</v>
      </c>
      <c r="P1758" s="17">
        <v>3.8</v>
      </c>
      <c r="Q1758" s="15">
        <v>46115.0</v>
      </c>
      <c r="R1758" s="12"/>
      <c r="S1758" s="12" t="s">
        <v>55</v>
      </c>
      <c r="T1758" s="12" t="s">
        <v>66</v>
      </c>
      <c r="U1758" s="17">
        <f t="shared" si="1"/>
        <v>1</v>
      </c>
    </row>
    <row r="1759">
      <c r="A1759" s="12" t="s">
        <v>727</v>
      </c>
      <c r="B1759" s="12" t="s">
        <v>340</v>
      </c>
      <c r="C1759" s="17">
        <v>61.0</v>
      </c>
      <c r="D1759" s="12" t="s">
        <v>85</v>
      </c>
      <c r="E1759" s="12" t="s">
        <v>111</v>
      </c>
      <c r="F1759" s="12" t="s">
        <v>62</v>
      </c>
      <c r="G1759" s="12" t="s">
        <v>39</v>
      </c>
      <c r="H1759" s="15">
        <v>45975.0</v>
      </c>
      <c r="I1759" s="17">
        <v>6.0</v>
      </c>
      <c r="J1759" s="12" t="s">
        <v>64</v>
      </c>
      <c r="K1759" s="12" t="s">
        <v>42</v>
      </c>
      <c r="L1759" s="17">
        <v>794.0</v>
      </c>
      <c r="M1759" s="17">
        <v>1.0</v>
      </c>
      <c r="N1759" s="17">
        <v>0.0</v>
      </c>
      <c r="O1759" s="17">
        <v>22.6</v>
      </c>
      <c r="P1759" s="17">
        <v>3.7</v>
      </c>
      <c r="Q1759" s="15">
        <v>46022.0</v>
      </c>
      <c r="R1759" s="12" t="s">
        <v>903</v>
      </c>
      <c r="S1759" s="12" t="s">
        <v>45</v>
      </c>
      <c r="T1759" s="12" t="s">
        <v>75</v>
      </c>
      <c r="U1759" s="17">
        <f t="shared" si="1"/>
        <v>3</v>
      </c>
    </row>
    <row r="1760">
      <c r="A1760" s="12" t="s">
        <v>2163</v>
      </c>
      <c r="B1760" s="12" t="s">
        <v>340</v>
      </c>
      <c r="C1760" s="17">
        <v>24.0</v>
      </c>
      <c r="D1760" s="12" t="s">
        <v>85</v>
      </c>
      <c r="E1760" s="12" t="s">
        <v>92</v>
      </c>
      <c r="F1760" s="12" t="s">
        <v>37</v>
      </c>
      <c r="G1760" s="12" t="s">
        <v>210</v>
      </c>
      <c r="H1760" s="15">
        <v>44693.0</v>
      </c>
      <c r="I1760" s="17">
        <v>3.0</v>
      </c>
      <c r="J1760" s="12" t="s">
        <v>64</v>
      </c>
      <c r="K1760" s="12" t="s">
        <v>65</v>
      </c>
      <c r="L1760" s="17">
        <v>1385.0</v>
      </c>
      <c r="M1760" s="17">
        <v>0.0</v>
      </c>
      <c r="N1760" s="17">
        <v>0.0</v>
      </c>
      <c r="O1760" s="17">
        <v>28.7</v>
      </c>
      <c r="P1760" s="17">
        <v>3.0</v>
      </c>
      <c r="Q1760" s="15">
        <v>44790.0</v>
      </c>
      <c r="R1760" s="12" t="s">
        <v>2164</v>
      </c>
      <c r="S1760" s="12" t="s">
        <v>45</v>
      </c>
      <c r="T1760" s="12" t="s">
        <v>47</v>
      </c>
      <c r="U1760" s="17">
        <f t="shared" si="1"/>
        <v>1</v>
      </c>
    </row>
    <row r="1761">
      <c r="A1761" s="12" t="s">
        <v>2074</v>
      </c>
      <c r="B1761" s="12" t="s">
        <v>345</v>
      </c>
      <c r="C1761" s="17">
        <v>40.0</v>
      </c>
      <c r="D1761" s="12" t="s">
        <v>69</v>
      </c>
      <c r="E1761" s="12" t="s">
        <v>177</v>
      </c>
      <c r="F1761" s="12" t="s">
        <v>37</v>
      </c>
      <c r="G1761" s="12" t="s">
        <v>80</v>
      </c>
      <c r="H1761" s="15">
        <v>44956.0</v>
      </c>
      <c r="I1761" s="17">
        <v>2.0</v>
      </c>
      <c r="J1761" s="12" t="s">
        <v>146</v>
      </c>
      <c r="K1761" s="12" t="s">
        <v>65</v>
      </c>
      <c r="L1761" s="17">
        <v>1456.0</v>
      </c>
      <c r="M1761" s="17">
        <v>2.0</v>
      </c>
      <c r="N1761" s="17">
        <v>0.0</v>
      </c>
      <c r="O1761" s="17">
        <v>30.0</v>
      </c>
      <c r="P1761" s="17">
        <v>2.6</v>
      </c>
      <c r="Q1761" s="15">
        <v>45017.0</v>
      </c>
      <c r="R1761" s="12"/>
      <c r="S1761" s="12" t="s">
        <v>55</v>
      </c>
      <c r="T1761" s="12" t="s">
        <v>66</v>
      </c>
      <c r="U1761" s="17">
        <f t="shared" si="1"/>
        <v>2</v>
      </c>
    </row>
    <row r="1762">
      <c r="A1762" s="12" t="s">
        <v>2165</v>
      </c>
      <c r="B1762" s="12" t="s">
        <v>639</v>
      </c>
      <c r="C1762" s="17">
        <v>26.0</v>
      </c>
      <c r="D1762" s="12" t="s">
        <v>60</v>
      </c>
      <c r="E1762" s="12" t="s">
        <v>133</v>
      </c>
      <c r="F1762" s="12" t="s">
        <v>79</v>
      </c>
      <c r="G1762" s="12" t="s">
        <v>80</v>
      </c>
      <c r="H1762" s="15">
        <v>45820.0</v>
      </c>
      <c r="I1762" s="17">
        <v>29.0</v>
      </c>
      <c r="J1762" s="12" t="s">
        <v>40</v>
      </c>
      <c r="K1762" s="12" t="s">
        <v>65</v>
      </c>
      <c r="L1762" s="17">
        <v>2329.0</v>
      </c>
      <c r="M1762" s="17">
        <v>3.0</v>
      </c>
      <c r="N1762" s="17">
        <v>1.0</v>
      </c>
      <c r="O1762" s="17">
        <v>27.0</v>
      </c>
      <c r="P1762" s="17">
        <v>5.0</v>
      </c>
      <c r="Q1762" s="15">
        <v>45968.0</v>
      </c>
      <c r="R1762" s="12"/>
      <c r="S1762" s="12" t="s">
        <v>55</v>
      </c>
      <c r="T1762" s="12" t="s">
        <v>66</v>
      </c>
      <c r="U1762" s="17">
        <f t="shared" si="1"/>
        <v>1</v>
      </c>
    </row>
    <row r="1763">
      <c r="A1763" s="12" t="s">
        <v>1501</v>
      </c>
      <c r="B1763" s="12" t="s">
        <v>135</v>
      </c>
      <c r="C1763" s="17">
        <v>50.0</v>
      </c>
      <c r="D1763" s="12" t="s">
        <v>60</v>
      </c>
      <c r="E1763" s="12" t="s">
        <v>133</v>
      </c>
      <c r="F1763" s="12" t="s">
        <v>62</v>
      </c>
      <c r="G1763" s="12" t="s">
        <v>52</v>
      </c>
      <c r="H1763" s="15">
        <v>44756.0</v>
      </c>
      <c r="I1763" s="17">
        <v>36.0</v>
      </c>
      <c r="J1763" s="12" t="s">
        <v>40</v>
      </c>
      <c r="K1763" s="12" t="s">
        <v>81</v>
      </c>
      <c r="L1763" s="17">
        <v>838.0</v>
      </c>
      <c r="M1763" s="17">
        <v>0.0</v>
      </c>
      <c r="N1763" s="17">
        <v>3.0</v>
      </c>
      <c r="O1763" s="17">
        <v>11.8</v>
      </c>
      <c r="P1763" s="17">
        <v>3.5</v>
      </c>
      <c r="Q1763" s="15">
        <v>44785.0</v>
      </c>
      <c r="R1763" s="12"/>
      <c r="S1763" s="12" t="s">
        <v>55</v>
      </c>
      <c r="T1763" s="12" t="s">
        <v>72</v>
      </c>
      <c r="U1763" s="17">
        <f t="shared" si="1"/>
        <v>2</v>
      </c>
    </row>
    <row r="1764">
      <c r="A1764" s="12" t="s">
        <v>2166</v>
      </c>
      <c r="B1764" s="12" t="s">
        <v>135</v>
      </c>
      <c r="C1764" s="17">
        <v>45.0</v>
      </c>
      <c r="D1764" s="12" t="s">
        <v>69</v>
      </c>
      <c r="E1764" s="12" t="s">
        <v>70</v>
      </c>
      <c r="F1764" s="12" t="s">
        <v>79</v>
      </c>
      <c r="G1764" s="12" t="s">
        <v>39</v>
      </c>
      <c r="H1764" s="15">
        <v>44902.0</v>
      </c>
      <c r="I1764" s="17">
        <v>11.0</v>
      </c>
      <c r="J1764" s="12" t="s">
        <v>64</v>
      </c>
      <c r="K1764" s="12" t="s">
        <v>65</v>
      </c>
      <c r="L1764" s="17">
        <v>2917.0</v>
      </c>
      <c r="M1764" s="17">
        <v>0.0</v>
      </c>
      <c r="N1764" s="17">
        <v>0.0</v>
      </c>
      <c r="O1764" s="17">
        <v>31.7</v>
      </c>
      <c r="P1764" s="17">
        <v>4.5</v>
      </c>
      <c r="Q1764" s="15">
        <v>44855.0</v>
      </c>
      <c r="R1764" s="12"/>
      <c r="S1764" s="12" t="s">
        <v>55</v>
      </c>
      <c r="T1764" s="12" t="s">
        <v>66</v>
      </c>
      <c r="U1764" s="17">
        <f t="shared" si="1"/>
        <v>1</v>
      </c>
    </row>
    <row r="1765">
      <c r="A1765" s="12" t="s">
        <v>1303</v>
      </c>
      <c r="B1765" s="12" t="s">
        <v>239</v>
      </c>
      <c r="C1765" s="17">
        <v>44.0</v>
      </c>
      <c r="D1765" s="12" t="s">
        <v>69</v>
      </c>
      <c r="E1765" s="12" t="s">
        <v>119</v>
      </c>
      <c r="F1765" s="12" t="s">
        <v>79</v>
      </c>
      <c r="G1765" s="12" t="s">
        <v>80</v>
      </c>
      <c r="H1765" s="15">
        <v>44707.0</v>
      </c>
      <c r="I1765" s="17">
        <v>6.0</v>
      </c>
      <c r="J1765" s="12" t="s">
        <v>64</v>
      </c>
      <c r="K1765" s="12" t="s">
        <v>42</v>
      </c>
      <c r="L1765" s="17">
        <v>3745.0</v>
      </c>
      <c r="M1765" s="17">
        <v>0.0</v>
      </c>
      <c r="N1765" s="17">
        <v>0.0</v>
      </c>
      <c r="O1765" s="17">
        <v>28.1</v>
      </c>
      <c r="P1765" s="17">
        <v>3.1</v>
      </c>
      <c r="Q1765" s="15">
        <v>44893.0</v>
      </c>
      <c r="R1765" s="12"/>
      <c r="S1765" s="12" t="s">
        <v>55</v>
      </c>
      <c r="T1765" s="12" t="s">
        <v>104</v>
      </c>
      <c r="U1765" s="17">
        <f t="shared" si="1"/>
        <v>3</v>
      </c>
    </row>
    <row r="1766">
      <c r="A1766" s="12" t="s">
        <v>2167</v>
      </c>
      <c r="B1766" s="12" t="s">
        <v>801</v>
      </c>
      <c r="C1766" s="17">
        <v>63.0</v>
      </c>
      <c r="D1766" s="12" t="s">
        <v>69</v>
      </c>
      <c r="E1766" s="12" t="s">
        <v>70</v>
      </c>
      <c r="F1766" s="12" t="s">
        <v>37</v>
      </c>
      <c r="G1766" s="12" t="s">
        <v>120</v>
      </c>
      <c r="H1766" s="15">
        <v>45573.0</v>
      </c>
      <c r="I1766" s="17">
        <v>23.0</v>
      </c>
      <c r="J1766" s="12" t="s">
        <v>40</v>
      </c>
      <c r="K1766" s="12" t="s">
        <v>65</v>
      </c>
      <c r="L1766" s="17">
        <v>1711.0</v>
      </c>
      <c r="M1766" s="17">
        <v>2.0</v>
      </c>
      <c r="N1766" s="17">
        <v>0.0</v>
      </c>
      <c r="O1766" s="17">
        <v>28.9</v>
      </c>
      <c r="P1766" s="17">
        <v>2.7</v>
      </c>
      <c r="Q1766" s="15">
        <v>45700.0</v>
      </c>
      <c r="R1766" s="12"/>
      <c r="S1766" s="12" t="s">
        <v>55</v>
      </c>
      <c r="T1766" s="12" t="s">
        <v>104</v>
      </c>
      <c r="U1766" s="17">
        <f t="shared" si="1"/>
        <v>1</v>
      </c>
    </row>
    <row r="1767">
      <c r="A1767" s="12" t="s">
        <v>407</v>
      </c>
      <c r="B1767" s="12" t="s">
        <v>316</v>
      </c>
      <c r="C1767" s="17">
        <v>62.0</v>
      </c>
      <c r="D1767" s="12" t="s">
        <v>35</v>
      </c>
      <c r="E1767" s="12" t="s">
        <v>140</v>
      </c>
      <c r="F1767" s="12" t="s">
        <v>37</v>
      </c>
      <c r="G1767" s="12" t="s">
        <v>80</v>
      </c>
      <c r="H1767" s="15">
        <v>45236.0</v>
      </c>
      <c r="I1767" s="17">
        <v>18.0</v>
      </c>
      <c r="J1767" s="12" t="s">
        <v>40</v>
      </c>
      <c r="K1767" s="12" t="s">
        <v>81</v>
      </c>
      <c r="L1767" s="17">
        <v>1045.0</v>
      </c>
      <c r="M1767" s="17">
        <v>1.0</v>
      </c>
      <c r="N1767" s="17">
        <v>2.0</v>
      </c>
      <c r="O1767" s="17">
        <v>27.0</v>
      </c>
      <c r="P1767" s="17">
        <v>3.2</v>
      </c>
      <c r="Q1767" s="15">
        <v>45303.0</v>
      </c>
      <c r="R1767" s="12"/>
      <c r="S1767" s="12" t="s">
        <v>55</v>
      </c>
      <c r="T1767" s="12" t="s">
        <v>72</v>
      </c>
      <c r="U1767" s="17">
        <f t="shared" si="1"/>
        <v>4</v>
      </c>
    </row>
    <row r="1768">
      <c r="A1768" s="12" t="s">
        <v>2168</v>
      </c>
      <c r="B1768" s="12" t="s">
        <v>2169</v>
      </c>
      <c r="C1768" s="17">
        <v>28.0</v>
      </c>
      <c r="D1768" s="12" t="s">
        <v>60</v>
      </c>
      <c r="E1768" s="12" t="s">
        <v>107</v>
      </c>
      <c r="F1768" s="12" t="s">
        <v>37</v>
      </c>
      <c r="G1768" s="12" t="s">
        <v>210</v>
      </c>
      <c r="H1768" s="15">
        <v>45593.0</v>
      </c>
      <c r="I1768" s="17">
        <v>15.0</v>
      </c>
      <c r="J1768" s="12" t="s">
        <v>53</v>
      </c>
      <c r="K1768" s="12" t="s">
        <v>65</v>
      </c>
      <c r="L1768" s="17">
        <v>1239.0</v>
      </c>
      <c r="M1768" s="17">
        <v>2.0</v>
      </c>
      <c r="N1768" s="17">
        <v>1.0</v>
      </c>
      <c r="O1768" s="17">
        <v>36.7</v>
      </c>
      <c r="P1768" s="17">
        <v>3.4</v>
      </c>
      <c r="Q1768" s="15">
        <v>45909.0</v>
      </c>
      <c r="R1768" s="12"/>
      <c r="S1768" s="12" t="s">
        <v>55</v>
      </c>
      <c r="T1768" s="12"/>
      <c r="U1768" s="17">
        <f t="shared" si="1"/>
        <v>1</v>
      </c>
    </row>
    <row r="1769">
      <c r="A1769" s="12" t="s">
        <v>2170</v>
      </c>
      <c r="B1769" s="12" t="s">
        <v>405</v>
      </c>
      <c r="C1769" s="17">
        <v>54.0</v>
      </c>
      <c r="D1769" s="12" t="s">
        <v>69</v>
      </c>
      <c r="E1769" s="12" t="s">
        <v>187</v>
      </c>
      <c r="F1769" s="12" t="s">
        <v>79</v>
      </c>
      <c r="G1769" s="12" t="s">
        <v>880</v>
      </c>
      <c r="H1769" s="15">
        <v>45262.0</v>
      </c>
      <c r="I1769" s="17">
        <v>7.0</v>
      </c>
      <c r="J1769" s="12" t="s">
        <v>40</v>
      </c>
      <c r="K1769" s="12" t="s">
        <v>81</v>
      </c>
      <c r="L1769" s="17">
        <v>3706.0</v>
      </c>
      <c r="M1769" s="17">
        <v>0.0</v>
      </c>
      <c r="N1769" s="17">
        <v>0.0</v>
      </c>
      <c r="O1769" s="17">
        <v>30.8</v>
      </c>
      <c r="P1769" s="17">
        <v>3.6</v>
      </c>
      <c r="Q1769" s="15">
        <v>45425.0</v>
      </c>
      <c r="R1769" s="12"/>
      <c r="S1769" s="12" t="s">
        <v>55</v>
      </c>
      <c r="T1769" s="12" t="s">
        <v>72</v>
      </c>
      <c r="U1769" s="17">
        <f t="shared" si="1"/>
        <v>1</v>
      </c>
    </row>
    <row r="1770">
      <c r="A1770" s="12" t="s">
        <v>806</v>
      </c>
      <c r="B1770" s="12" t="s">
        <v>476</v>
      </c>
      <c r="C1770" s="17">
        <v>33.0</v>
      </c>
      <c r="D1770" s="12" t="s">
        <v>85</v>
      </c>
      <c r="E1770" s="12" t="s">
        <v>111</v>
      </c>
      <c r="F1770" s="12" t="s">
        <v>79</v>
      </c>
      <c r="G1770" s="12" t="s">
        <v>63</v>
      </c>
      <c r="H1770" s="15">
        <v>46002.0</v>
      </c>
      <c r="I1770" s="17">
        <v>12.0</v>
      </c>
      <c r="J1770" s="12" t="s">
        <v>64</v>
      </c>
      <c r="K1770" s="12" t="s">
        <v>81</v>
      </c>
      <c r="L1770" s="17">
        <v>2247.0</v>
      </c>
      <c r="M1770" s="17">
        <v>6.0</v>
      </c>
      <c r="N1770" s="17">
        <v>0.0</v>
      </c>
      <c r="O1770" s="17">
        <v>38.1</v>
      </c>
      <c r="P1770" s="17">
        <v>2.5</v>
      </c>
      <c r="Q1770" s="15">
        <v>46368.0</v>
      </c>
      <c r="R1770" s="12"/>
      <c r="S1770" s="12" t="s">
        <v>55</v>
      </c>
      <c r="T1770" s="12" t="s">
        <v>72</v>
      </c>
      <c r="U1770" s="17">
        <f t="shared" si="1"/>
        <v>3</v>
      </c>
    </row>
    <row r="1771">
      <c r="A1771" s="12" t="s">
        <v>1134</v>
      </c>
      <c r="B1771" s="12" t="s">
        <v>470</v>
      </c>
      <c r="C1771" s="17">
        <v>19.0</v>
      </c>
      <c r="D1771" s="12" t="s">
        <v>60</v>
      </c>
      <c r="E1771" s="12" t="s">
        <v>61</v>
      </c>
      <c r="F1771" s="12" t="s">
        <v>37</v>
      </c>
      <c r="G1771" s="12" t="s">
        <v>52</v>
      </c>
      <c r="H1771" s="15">
        <v>45698.0</v>
      </c>
      <c r="I1771" s="17">
        <v>17.0</v>
      </c>
      <c r="J1771" s="12" t="s">
        <v>53</v>
      </c>
      <c r="K1771" s="12" t="s">
        <v>81</v>
      </c>
      <c r="L1771" s="17">
        <v>1320.0</v>
      </c>
      <c r="M1771" s="17">
        <v>4.0</v>
      </c>
      <c r="N1771" s="17">
        <v>0.0</v>
      </c>
      <c r="O1771" s="17">
        <v>41.6</v>
      </c>
      <c r="P1771" s="17">
        <v>5.0</v>
      </c>
      <c r="Q1771" s="15">
        <v>45930.0</v>
      </c>
      <c r="R1771" s="12"/>
      <c r="S1771" s="12" t="s">
        <v>55</v>
      </c>
      <c r="T1771" s="12" t="s">
        <v>75</v>
      </c>
      <c r="U1771" s="17">
        <f t="shared" si="1"/>
        <v>2</v>
      </c>
    </row>
    <row r="1772">
      <c r="A1772" s="12" t="s">
        <v>2171</v>
      </c>
      <c r="B1772" s="12" t="s">
        <v>152</v>
      </c>
      <c r="C1772" s="17">
        <v>54.0</v>
      </c>
      <c r="D1772" s="12" t="s">
        <v>60</v>
      </c>
      <c r="E1772" s="12" t="s">
        <v>61</v>
      </c>
      <c r="F1772" s="12" t="s">
        <v>37</v>
      </c>
      <c r="G1772" s="12" t="s">
        <v>120</v>
      </c>
      <c r="H1772" s="15">
        <v>45986.0</v>
      </c>
      <c r="I1772" s="17">
        <v>43.0</v>
      </c>
      <c r="J1772" s="12" t="s">
        <v>64</v>
      </c>
      <c r="K1772" s="12" t="s">
        <v>81</v>
      </c>
      <c r="L1772" s="17">
        <v>1550.0</v>
      </c>
      <c r="M1772" s="17">
        <v>5.0</v>
      </c>
      <c r="N1772" s="17">
        <v>2.0</v>
      </c>
      <c r="O1772" s="17">
        <v>51.3</v>
      </c>
      <c r="P1772" s="17">
        <v>4.1</v>
      </c>
      <c r="Q1772" s="15">
        <v>46273.0</v>
      </c>
      <c r="R1772" s="12"/>
      <c r="S1772" s="12" t="s">
        <v>55</v>
      </c>
      <c r="T1772" s="12" t="s">
        <v>66</v>
      </c>
      <c r="U1772" s="17">
        <f t="shared" si="1"/>
        <v>1</v>
      </c>
    </row>
    <row r="1773">
      <c r="A1773" s="12" t="s">
        <v>2172</v>
      </c>
      <c r="B1773" s="12" t="s">
        <v>247</v>
      </c>
      <c r="C1773" s="17">
        <v>23.0</v>
      </c>
      <c r="D1773" s="12" t="s">
        <v>35</v>
      </c>
      <c r="E1773" s="12" t="s">
        <v>140</v>
      </c>
      <c r="F1773" s="12" t="s">
        <v>37</v>
      </c>
      <c r="G1773" s="12" t="s">
        <v>93</v>
      </c>
      <c r="H1773" s="15">
        <v>44947.0</v>
      </c>
      <c r="I1773" s="17">
        <v>22.0</v>
      </c>
      <c r="J1773" s="12" t="s">
        <v>40</v>
      </c>
      <c r="K1773" s="12" t="s">
        <v>42</v>
      </c>
      <c r="L1773" s="17">
        <v>1094.0</v>
      </c>
      <c r="M1773" s="17">
        <v>3.0</v>
      </c>
      <c r="N1773" s="17">
        <v>2.0</v>
      </c>
      <c r="O1773" s="17">
        <v>27.7</v>
      </c>
      <c r="P1773" s="17">
        <v>3.2</v>
      </c>
      <c r="Q1773" s="15">
        <v>45367.0</v>
      </c>
      <c r="R1773" s="12"/>
      <c r="S1773" s="12" t="s">
        <v>55</v>
      </c>
      <c r="T1773" s="12" t="s">
        <v>66</v>
      </c>
      <c r="U1773" s="17">
        <f t="shared" si="1"/>
        <v>1</v>
      </c>
    </row>
    <row r="1774">
      <c r="A1774" s="12" t="s">
        <v>2173</v>
      </c>
      <c r="B1774" s="12" t="s">
        <v>126</v>
      </c>
      <c r="C1774" s="17">
        <v>38.0</v>
      </c>
      <c r="D1774" s="12" t="s">
        <v>69</v>
      </c>
      <c r="E1774" s="12" t="s">
        <v>119</v>
      </c>
      <c r="F1774" s="12" t="s">
        <v>37</v>
      </c>
      <c r="G1774" s="12" t="s">
        <v>586</v>
      </c>
      <c r="H1774" s="15">
        <v>45980.0</v>
      </c>
      <c r="I1774" s="17">
        <v>9.0</v>
      </c>
      <c r="J1774" s="12" t="s">
        <v>40</v>
      </c>
      <c r="K1774" s="12" t="s">
        <v>81</v>
      </c>
      <c r="L1774" s="17">
        <v>1230.0</v>
      </c>
      <c r="M1774" s="17">
        <v>1.0</v>
      </c>
      <c r="N1774" s="17">
        <v>1.0</v>
      </c>
      <c r="O1774" s="17">
        <v>26.9</v>
      </c>
      <c r="P1774" s="17">
        <v>4.5</v>
      </c>
      <c r="Q1774" s="15">
        <v>46140.0</v>
      </c>
      <c r="R1774" s="12"/>
      <c r="S1774" s="12" t="s">
        <v>55</v>
      </c>
      <c r="T1774" s="12" t="s">
        <v>47</v>
      </c>
      <c r="U1774" s="17">
        <f t="shared" si="1"/>
        <v>1</v>
      </c>
    </row>
    <row r="1775">
      <c r="A1775" s="12" t="s">
        <v>2174</v>
      </c>
      <c r="B1775" s="12" t="s">
        <v>160</v>
      </c>
      <c r="C1775" s="17">
        <v>46.0</v>
      </c>
      <c r="D1775" s="12" t="s">
        <v>69</v>
      </c>
      <c r="E1775" s="12" t="s">
        <v>177</v>
      </c>
      <c r="F1775" s="12" t="s">
        <v>62</v>
      </c>
      <c r="G1775" s="12" t="s">
        <v>80</v>
      </c>
      <c r="H1775" s="15">
        <v>45637.0</v>
      </c>
      <c r="I1775" s="17">
        <v>47.0</v>
      </c>
      <c r="J1775" s="12" t="s">
        <v>53</v>
      </c>
      <c r="K1775" s="12" t="s">
        <v>65</v>
      </c>
      <c r="L1775" s="17">
        <v>530.0</v>
      </c>
      <c r="M1775" s="17">
        <v>0.0</v>
      </c>
      <c r="N1775" s="17">
        <v>2.0</v>
      </c>
      <c r="O1775" s="17">
        <v>27.9</v>
      </c>
      <c r="P1775" s="17">
        <v>3.5</v>
      </c>
      <c r="Q1775" s="15">
        <v>46150.0</v>
      </c>
      <c r="R1775" s="12"/>
      <c r="S1775" s="12" t="s">
        <v>55</v>
      </c>
      <c r="T1775" s="12" t="s">
        <v>104</v>
      </c>
      <c r="U1775" s="17">
        <f t="shared" si="1"/>
        <v>1</v>
      </c>
    </row>
    <row r="1776">
      <c r="A1776" s="12" t="s">
        <v>1808</v>
      </c>
      <c r="B1776" s="12" t="s">
        <v>250</v>
      </c>
      <c r="C1776" s="17">
        <v>67.0</v>
      </c>
      <c r="D1776" s="12" t="s">
        <v>35</v>
      </c>
      <c r="E1776" s="12" t="s">
        <v>161</v>
      </c>
      <c r="F1776" s="12" t="s">
        <v>62</v>
      </c>
      <c r="G1776" s="12" t="s">
        <v>39</v>
      </c>
      <c r="H1776" s="15">
        <v>45169.0</v>
      </c>
      <c r="I1776" s="17">
        <v>36.0</v>
      </c>
      <c r="J1776" s="12" t="s">
        <v>53</v>
      </c>
      <c r="K1776" s="12" t="s">
        <v>42</v>
      </c>
      <c r="L1776" s="17">
        <v>637.0</v>
      </c>
      <c r="M1776" s="17">
        <v>2.0</v>
      </c>
      <c r="N1776" s="17">
        <v>1.0</v>
      </c>
      <c r="O1776" s="17">
        <v>26.4</v>
      </c>
      <c r="P1776" s="17">
        <v>4.5</v>
      </c>
      <c r="Q1776" s="15">
        <v>45242.0</v>
      </c>
      <c r="R1776" s="12" t="s">
        <v>465</v>
      </c>
      <c r="S1776" s="12" t="s">
        <v>45</v>
      </c>
      <c r="T1776" s="12" t="s">
        <v>66</v>
      </c>
      <c r="U1776" s="17">
        <f t="shared" si="1"/>
        <v>2</v>
      </c>
    </row>
    <row r="1777">
      <c r="A1777" s="12" t="s">
        <v>1608</v>
      </c>
      <c r="B1777" s="12" t="s">
        <v>152</v>
      </c>
      <c r="C1777" s="17">
        <v>58.0</v>
      </c>
      <c r="D1777" s="12" t="s">
        <v>85</v>
      </c>
      <c r="E1777" s="12" t="s">
        <v>87</v>
      </c>
      <c r="F1777" s="12" t="s">
        <v>62</v>
      </c>
      <c r="G1777" s="12" t="s">
        <v>63</v>
      </c>
      <c r="H1777" s="15">
        <v>44803.0</v>
      </c>
      <c r="I1777" s="17">
        <v>43.0</v>
      </c>
      <c r="J1777" s="12" t="s">
        <v>64</v>
      </c>
      <c r="K1777" s="12" t="s">
        <v>65</v>
      </c>
      <c r="L1777" s="12"/>
      <c r="M1777" s="17">
        <v>1.0</v>
      </c>
      <c r="N1777" s="17">
        <v>0.0</v>
      </c>
      <c r="O1777" s="17">
        <v>14.6</v>
      </c>
      <c r="P1777" s="17">
        <v>5.0</v>
      </c>
      <c r="Q1777" s="15">
        <v>45501.0</v>
      </c>
      <c r="R1777" s="12" t="s">
        <v>2175</v>
      </c>
      <c r="S1777" s="12" t="s">
        <v>45</v>
      </c>
      <c r="T1777" s="12" t="s">
        <v>104</v>
      </c>
      <c r="U1777" s="17">
        <f t="shared" si="1"/>
        <v>2</v>
      </c>
    </row>
    <row r="1778">
      <c r="A1778" s="12" t="s">
        <v>2176</v>
      </c>
      <c r="B1778" s="12" t="s">
        <v>78</v>
      </c>
      <c r="C1778" s="17">
        <v>38.0</v>
      </c>
      <c r="D1778" s="12" t="s">
        <v>85</v>
      </c>
      <c r="E1778" s="12" t="s">
        <v>92</v>
      </c>
      <c r="F1778" s="12" t="s">
        <v>62</v>
      </c>
      <c r="G1778" s="12" t="s">
        <v>80</v>
      </c>
      <c r="H1778" s="15">
        <v>45831.0</v>
      </c>
      <c r="I1778" s="17">
        <v>46.0</v>
      </c>
      <c r="J1778" s="12" t="s">
        <v>53</v>
      </c>
      <c r="K1778" s="12" t="s">
        <v>42</v>
      </c>
      <c r="L1778" s="17">
        <v>597.0</v>
      </c>
      <c r="M1778" s="17">
        <v>1.0</v>
      </c>
      <c r="N1778" s="17">
        <v>0.0</v>
      </c>
      <c r="O1778" s="17">
        <v>14.4</v>
      </c>
      <c r="P1778" s="17">
        <v>3.5</v>
      </c>
      <c r="Q1778" s="15">
        <v>46496.0</v>
      </c>
      <c r="R1778" s="12"/>
      <c r="S1778" s="12" t="s">
        <v>55</v>
      </c>
      <c r="T1778" s="12" t="s">
        <v>66</v>
      </c>
      <c r="U1778" s="17">
        <f t="shared" si="1"/>
        <v>1</v>
      </c>
    </row>
    <row r="1779">
      <c r="A1779" s="12" t="s">
        <v>1930</v>
      </c>
      <c r="B1779" s="12" t="s">
        <v>106</v>
      </c>
      <c r="C1779" s="17">
        <v>21.0</v>
      </c>
      <c r="D1779" s="12" t="s">
        <v>69</v>
      </c>
      <c r="E1779" s="12" t="s">
        <v>119</v>
      </c>
      <c r="F1779" s="12" t="s">
        <v>79</v>
      </c>
      <c r="G1779" s="12" t="s">
        <v>52</v>
      </c>
      <c r="H1779" s="15">
        <v>44706.0</v>
      </c>
      <c r="I1779" s="17">
        <v>2.0</v>
      </c>
      <c r="J1779" s="12" t="s">
        <v>64</v>
      </c>
      <c r="K1779" s="12" t="s">
        <v>42</v>
      </c>
      <c r="L1779" s="17">
        <v>2653.0</v>
      </c>
      <c r="M1779" s="17">
        <v>4.0</v>
      </c>
      <c r="N1779" s="17">
        <v>3.0</v>
      </c>
      <c r="O1779" s="17">
        <v>31.4</v>
      </c>
      <c r="P1779" s="17">
        <v>4.7</v>
      </c>
      <c r="Q1779" s="15">
        <v>44750.0</v>
      </c>
      <c r="R1779" s="12"/>
      <c r="S1779" s="12" t="s">
        <v>55</v>
      </c>
      <c r="T1779" s="12" t="s">
        <v>47</v>
      </c>
      <c r="U1779" s="17">
        <f t="shared" si="1"/>
        <v>2</v>
      </c>
    </row>
    <row r="1780">
      <c r="A1780" s="12" t="s">
        <v>660</v>
      </c>
      <c r="B1780" s="12" t="s">
        <v>333</v>
      </c>
      <c r="C1780" s="17">
        <v>24.0</v>
      </c>
      <c r="D1780" s="12" t="s">
        <v>85</v>
      </c>
      <c r="E1780" s="12" t="s">
        <v>87</v>
      </c>
      <c r="F1780" s="12" t="s">
        <v>62</v>
      </c>
      <c r="G1780" s="12" t="s">
        <v>52</v>
      </c>
      <c r="H1780" s="15">
        <v>45429.0</v>
      </c>
      <c r="I1780" s="17">
        <v>39.0</v>
      </c>
      <c r="J1780" s="12" t="s">
        <v>64</v>
      </c>
      <c r="K1780" s="12" t="s">
        <v>65</v>
      </c>
      <c r="L1780" s="17">
        <v>584.0</v>
      </c>
      <c r="M1780" s="17">
        <v>3.0</v>
      </c>
      <c r="N1780" s="17">
        <v>1.0</v>
      </c>
      <c r="O1780" s="17">
        <v>10.3</v>
      </c>
      <c r="P1780" s="17">
        <v>3.2</v>
      </c>
      <c r="Q1780" s="15">
        <v>45917.0</v>
      </c>
      <c r="R1780" s="12"/>
      <c r="S1780" s="12" t="s">
        <v>55</v>
      </c>
      <c r="T1780" s="12" t="s">
        <v>104</v>
      </c>
      <c r="U1780" s="17">
        <f t="shared" si="1"/>
        <v>6</v>
      </c>
    </row>
    <row r="1781">
      <c r="A1781" s="12" t="s">
        <v>1921</v>
      </c>
      <c r="B1781" s="12" t="s">
        <v>152</v>
      </c>
      <c r="C1781" s="17">
        <v>43.0</v>
      </c>
      <c r="D1781" s="12" t="s">
        <v>69</v>
      </c>
      <c r="E1781" s="12" t="s">
        <v>70</v>
      </c>
      <c r="F1781" s="12" t="s">
        <v>37</v>
      </c>
      <c r="G1781" s="12" t="s">
        <v>93</v>
      </c>
      <c r="H1781" s="15">
        <v>45034.0</v>
      </c>
      <c r="I1781" s="17">
        <v>20.0</v>
      </c>
      <c r="J1781" s="12" t="s">
        <v>53</v>
      </c>
      <c r="K1781" s="12" t="s">
        <v>81</v>
      </c>
      <c r="L1781" s="17">
        <v>1645.0</v>
      </c>
      <c r="M1781" s="17">
        <v>0.0</v>
      </c>
      <c r="N1781" s="17">
        <v>1.0</v>
      </c>
      <c r="O1781" s="17">
        <v>31.3</v>
      </c>
      <c r="P1781" s="17">
        <v>4.2</v>
      </c>
      <c r="Q1781" s="15">
        <v>45196.0</v>
      </c>
      <c r="R1781" s="12"/>
      <c r="S1781" s="12" t="s">
        <v>55</v>
      </c>
      <c r="T1781" s="12" t="s">
        <v>47</v>
      </c>
      <c r="U1781" s="17">
        <f t="shared" si="1"/>
        <v>2</v>
      </c>
    </row>
    <row r="1782">
      <c r="A1782" s="12" t="s">
        <v>2177</v>
      </c>
      <c r="B1782" s="12" t="s">
        <v>250</v>
      </c>
      <c r="C1782" s="17">
        <v>49.0</v>
      </c>
      <c r="D1782" s="12" t="s">
        <v>69</v>
      </c>
      <c r="E1782" s="12" t="s">
        <v>177</v>
      </c>
      <c r="F1782" s="12" t="s">
        <v>62</v>
      </c>
      <c r="G1782" s="12" t="s">
        <v>39</v>
      </c>
      <c r="H1782" s="15">
        <v>45176.0</v>
      </c>
      <c r="I1782" s="17">
        <v>44.0</v>
      </c>
      <c r="J1782" s="12" t="s">
        <v>53</v>
      </c>
      <c r="K1782" s="12" t="s">
        <v>42</v>
      </c>
      <c r="L1782" s="17">
        <v>808.0</v>
      </c>
      <c r="M1782" s="17">
        <v>2.0</v>
      </c>
      <c r="N1782" s="17">
        <v>0.0</v>
      </c>
      <c r="O1782" s="17">
        <v>22.6</v>
      </c>
      <c r="P1782" s="17">
        <v>3.8</v>
      </c>
      <c r="Q1782" s="15">
        <v>45673.0</v>
      </c>
      <c r="R1782" s="12"/>
      <c r="S1782" s="12" t="s">
        <v>55</v>
      </c>
      <c r="T1782" s="12" t="s">
        <v>66</v>
      </c>
      <c r="U1782" s="17">
        <f t="shared" si="1"/>
        <v>1</v>
      </c>
    </row>
    <row r="1783">
      <c r="A1783" s="12" t="s">
        <v>540</v>
      </c>
      <c r="B1783" s="12" t="s">
        <v>206</v>
      </c>
      <c r="C1783" s="17">
        <v>54.0</v>
      </c>
      <c r="D1783" s="12" t="s">
        <v>85</v>
      </c>
      <c r="E1783" s="12" t="s">
        <v>92</v>
      </c>
      <c r="F1783" s="12" t="s">
        <v>37</v>
      </c>
      <c r="G1783" s="12" t="s">
        <v>80</v>
      </c>
      <c r="H1783" s="15">
        <v>45452.0</v>
      </c>
      <c r="I1783" s="17">
        <v>24.0</v>
      </c>
      <c r="J1783" s="12" t="s">
        <v>53</v>
      </c>
      <c r="K1783" s="12" t="s">
        <v>65</v>
      </c>
      <c r="L1783" s="17">
        <v>1290.0</v>
      </c>
      <c r="M1783" s="17">
        <v>1.0</v>
      </c>
      <c r="N1783" s="17">
        <v>0.0</v>
      </c>
      <c r="O1783" s="17">
        <v>19.9</v>
      </c>
      <c r="P1783" s="17">
        <v>3.8</v>
      </c>
      <c r="Q1783" s="15">
        <v>46037.0</v>
      </c>
      <c r="R1783" s="12" t="s">
        <v>2178</v>
      </c>
      <c r="S1783" s="12" t="s">
        <v>45</v>
      </c>
      <c r="T1783" s="12" t="s">
        <v>104</v>
      </c>
      <c r="U1783" s="17">
        <f t="shared" si="1"/>
        <v>4</v>
      </c>
    </row>
    <row r="1784">
      <c r="A1784" s="12" t="s">
        <v>1525</v>
      </c>
      <c r="B1784" s="12" t="s">
        <v>232</v>
      </c>
      <c r="C1784" s="17">
        <v>49.0</v>
      </c>
      <c r="D1784" s="12" t="s">
        <v>60</v>
      </c>
      <c r="E1784" s="12" t="s">
        <v>97</v>
      </c>
      <c r="F1784" s="12" t="s">
        <v>62</v>
      </c>
      <c r="G1784" s="12" t="s">
        <v>93</v>
      </c>
      <c r="H1784" s="15">
        <v>44606.0</v>
      </c>
      <c r="I1784" s="17">
        <v>37.0</v>
      </c>
      <c r="J1784" s="12" t="s">
        <v>64</v>
      </c>
      <c r="K1784" s="12" t="s">
        <v>42</v>
      </c>
      <c r="L1784" s="17">
        <v>582.0</v>
      </c>
      <c r="M1784" s="17">
        <v>0.0</v>
      </c>
      <c r="N1784" s="17">
        <v>1.0</v>
      </c>
      <c r="O1784" s="17">
        <v>11.1</v>
      </c>
      <c r="P1784" s="17">
        <v>4.9</v>
      </c>
      <c r="Q1784" s="15">
        <v>45687.0</v>
      </c>
      <c r="R1784" s="12" t="s">
        <v>334</v>
      </c>
      <c r="S1784" s="12" t="s">
        <v>45</v>
      </c>
      <c r="T1784" s="12" t="s">
        <v>47</v>
      </c>
      <c r="U1784" s="17">
        <f t="shared" si="1"/>
        <v>2</v>
      </c>
    </row>
    <row r="1785">
      <c r="A1785" s="12" t="s">
        <v>2179</v>
      </c>
      <c r="B1785" s="12" t="s">
        <v>169</v>
      </c>
      <c r="C1785" s="17">
        <v>26.0</v>
      </c>
      <c r="D1785" s="12" t="s">
        <v>60</v>
      </c>
      <c r="E1785" s="12" t="s">
        <v>87</v>
      </c>
      <c r="F1785" s="12" t="s">
        <v>62</v>
      </c>
      <c r="G1785" s="12" t="s">
        <v>39</v>
      </c>
      <c r="H1785" s="15">
        <v>45222.0</v>
      </c>
      <c r="I1785" s="17">
        <v>39.0</v>
      </c>
      <c r="J1785" s="12" t="s">
        <v>64</v>
      </c>
      <c r="K1785" s="12" t="s">
        <v>81</v>
      </c>
      <c r="L1785" s="17">
        <v>739.0</v>
      </c>
      <c r="M1785" s="17">
        <v>5.0</v>
      </c>
      <c r="N1785" s="17">
        <v>0.0</v>
      </c>
      <c r="O1785" s="17">
        <v>28.0</v>
      </c>
      <c r="P1785" s="17">
        <v>3.8</v>
      </c>
      <c r="Q1785" s="15">
        <v>45323.0</v>
      </c>
      <c r="R1785" s="12"/>
      <c r="S1785" s="12" t="s">
        <v>55</v>
      </c>
      <c r="T1785" s="12" t="s">
        <v>47</v>
      </c>
      <c r="U1785" s="17">
        <f t="shared" si="1"/>
        <v>1</v>
      </c>
    </row>
    <row r="1786">
      <c r="A1786" s="12" t="s">
        <v>1796</v>
      </c>
      <c r="B1786" s="12" t="s">
        <v>34</v>
      </c>
      <c r="C1786" s="17">
        <v>61.0</v>
      </c>
      <c r="D1786" s="12" t="s">
        <v>35</v>
      </c>
      <c r="E1786" s="12" t="s">
        <v>161</v>
      </c>
      <c r="F1786" s="12" t="s">
        <v>62</v>
      </c>
      <c r="G1786" s="12" t="s">
        <v>80</v>
      </c>
      <c r="H1786" s="15">
        <v>45603.0</v>
      </c>
      <c r="I1786" s="17">
        <v>30.0</v>
      </c>
      <c r="J1786" s="12" t="s">
        <v>53</v>
      </c>
      <c r="K1786" s="12" t="s">
        <v>81</v>
      </c>
      <c r="L1786" s="17">
        <v>639.0</v>
      </c>
      <c r="M1786" s="17">
        <v>2.0</v>
      </c>
      <c r="N1786" s="17">
        <v>0.0</v>
      </c>
      <c r="O1786" s="17">
        <v>7.3</v>
      </c>
      <c r="P1786" s="17">
        <v>3.5</v>
      </c>
      <c r="Q1786" s="15">
        <v>46360.0</v>
      </c>
      <c r="R1786" s="12"/>
      <c r="S1786" s="12" t="s">
        <v>55</v>
      </c>
      <c r="T1786" s="12" t="s">
        <v>75</v>
      </c>
      <c r="U1786" s="17">
        <f t="shared" si="1"/>
        <v>3</v>
      </c>
    </row>
    <row r="1787">
      <c r="A1787" s="12" t="s">
        <v>1320</v>
      </c>
      <c r="B1787" s="12" t="s">
        <v>308</v>
      </c>
      <c r="C1787" s="17">
        <v>24.0</v>
      </c>
      <c r="D1787" s="12" t="s">
        <v>85</v>
      </c>
      <c r="E1787" s="12" t="s">
        <v>92</v>
      </c>
      <c r="F1787" s="12" t="s">
        <v>37</v>
      </c>
      <c r="G1787" s="12" t="s">
        <v>630</v>
      </c>
      <c r="H1787" s="15">
        <v>45997.0</v>
      </c>
      <c r="I1787" s="17">
        <v>7.0</v>
      </c>
      <c r="J1787" s="12" t="s">
        <v>53</v>
      </c>
      <c r="K1787" s="12" t="s">
        <v>81</v>
      </c>
      <c r="L1787" s="17">
        <v>1021.0</v>
      </c>
      <c r="M1787" s="17">
        <v>2.0</v>
      </c>
      <c r="N1787" s="17">
        <v>1.0</v>
      </c>
      <c r="O1787" s="17">
        <v>36.0</v>
      </c>
      <c r="P1787" s="17">
        <v>3.7</v>
      </c>
      <c r="Q1787" s="15">
        <v>46225.0</v>
      </c>
      <c r="R1787" s="12"/>
      <c r="S1787" s="12" t="s">
        <v>55</v>
      </c>
      <c r="T1787" s="12" t="s">
        <v>75</v>
      </c>
      <c r="U1787" s="17">
        <f t="shared" si="1"/>
        <v>3</v>
      </c>
    </row>
    <row r="1788">
      <c r="A1788" s="12" t="s">
        <v>2180</v>
      </c>
      <c r="B1788" s="12" t="s">
        <v>257</v>
      </c>
      <c r="C1788" s="17">
        <v>45.0</v>
      </c>
      <c r="D1788" s="12" t="s">
        <v>35</v>
      </c>
      <c r="E1788" s="12" t="s">
        <v>36</v>
      </c>
      <c r="F1788" s="12" t="s">
        <v>79</v>
      </c>
      <c r="G1788" s="12" t="s">
        <v>39</v>
      </c>
      <c r="H1788" s="15">
        <v>45634.0</v>
      </c>
      <c r="I1788" s="17">
        <v>17.0</v>
      </c>
      <c r="J1788" s="12" t="s">
        <v>53</v>
      </c>
      <c r="K1788" s="12" t="s">
        <v>81</v>
      </c>
      <c r="L1788" s="17">
        <v>2209.0</v>
      </c>
      <c r="M1788" s="17">
        <v>2.0</v>
      </c>
      <c r="N1788" s="17">
        <v>1.0</v>
      </c>
      <c r="O1788" s="17">
        <v>34.7</v>
      </c>
      <c r="P1788" s="17">
        <v>3.8</v>
      </c>
      <c r="Q1788" s="15">
        <v>45988.0</v>
      </c>
      <c r="R1788" s="12" t="s">
        <v>2181</v>
      </c>
      <c r="S1788" s="12" t="s">
        <v>45</v>
      </c>
      <c r="T1788" s="12" t="s">
        <v>72</v>
      </c>
      <c r="U1788" s="17">
        <f t="shared" si="1"/>
        <v>1</v>
      </c>
    </row>
    <row r="1789">
      <c r="A1789" s="12" t="s">
        <v>1751</v>
      </c>
      <c r="B1789" s="12" t="s">
        <v>78</v>
      </c>
      <c r="C1789" s="17">
        <v>32.0</v>
      </c>
      <c r="D1789" s="12" t="s">
        <v>60</v>
      </c>
      <c r="E1789" s="12" t="s">
        <v>61</v>
      </c>
      <c r="F1789" s="12" t="s">
        <v>37</v>
      </c>
      <c r="G1789" s="12" t="s">
        <v>80</v>
      </c>
      <c r="H1789" s="15">
        <v>45427.0</v>
      </c>
      <c r="I1789" s="17">
        <v>2.0</v>
      </c>
      <c r="J1789" s="12" t="s">
        <v>53</v>
      </c>
      <c r="K1789" s="12" t="s">
        <v>81</v>
      </c>
      <c r="L1789" s="17">
        <v>1502.0</v>
      </c>
      <c r="M1789" s="17">
        <v>4.0</v>
      </c>
      <c r="N1789" s="17">
        <v>1.0</v>
      </c>
      <c r="O1789" s="17">
        <v>28.8</v>
      </c>
      <c r="P1789" s="17">
        <v>1.9</v>
      </c>
      <c r="Q1789" s="15">
        <v>45474.0</v>
      </c>
      <c r="R1789" s="12"/>
      <c r="S1789" s="12" t="s">
        <v>55</v>
      </c>
      <c r="T1789" s="12" t="s">
        <v>47</v>
      </c>
      <c r="U1789" s="17">
        <f t="shared" si="1"/>
        <v>2</v>
      </c>
    </row>
    <row r="1790">
      <c r="A1790" s="12" t="s">
        <v>1661</v>
      </c>
      <c r="B1790" s="12" t="s">
        <v>257</v>
      </c>
      <c r="C1790" s="17">
        <v>38.0</v>
      </c>
      <c r="D1790" s="12" t="s">
        <v>85</v>
      </c>
      <c r="E1790" s="12" t="s">
        <v>92</v>
      </c>
      <c r="F1790" s="12" t="s">
        <v>62</v>
      </c>
      <c r="G1790" s="12" t="s">
        <v>210</v>
      </c>
      <c r="H1790" s="15">
        <v>45225.0</v>
      </c>
      <c r="I1790" s="17">
        <v>2.0</v>
      </c>
      <c r="J1790" s="12" t="s">
        <v>40</v>
      </c>
      <c r="K1790" s="12" t="s">
        <v>42</v>
      </c>
      <c r="L1790" s="17">
        <v>899.0</v>
      </c>
      <c r="M1790" s="17">
        <v>2.0</v>
      </c>
      <c r="N1790" s="17">
        <v>0.0</v>
      </c>
      <c r="O1790" s="17">
        <v>26.8</v>
      </c>
      <c r="P1790" s="17">
        <v>2.6</v>
      </c>
      <c r="Q1790" s="15">
        <v>45028.0</v>
      </c>
      <c r="R1790" s="12"/>
      <c r="S1790" s="12" t="s">
        <v>55</v>
      </c>
      <c r="T1790" s="12" t="s">
        <v>72</v>
      </c>
      <c r="U1790" s="17">
        <f t="shared" si="1"/>
        <v>3</v>
      </c>
    </row>
    <row r="1791">
      <c r="A1791" s="12" t="s">
        <v>1382</v>
      </c>
      <c r="B1791" s="12" t="s">
        <v>126</v>
      </c>
      <c r="C1791" s="17">
        <v>40.0</v>
      </c>
      <c r="D1791" s="12" t="s">
        <v>85</v>
      </c>
      <c r="E1791" s="12" t="s">
        <v>292</v>
      </c>
      <c r="F1791" s="12" t="s">
        <v>37</v>
      </c>
      <c r="G1791" s="12" t="s">
        <v>571</v>
      </c>
      <c r="H1791" s="15">
        <v>45661.0</v>
      </c>
      <c r="I1791" s="17">
        <v>38.0</v>
      </c>
      <c r="J1791" s="12" t="s">
        <v>40</v>
      </c>
      <c r="K1791" s="12" t="s">
        <v>81</v>
      </c>
      <c r="L1791" s="17">
        <v>1455.0</v>
      </c>
      <c r="M1791" s="17">
        <v>3.0</v>
      </c>
      <c r="N1791" s="17">
        <v>0.0</v>
      </c>
      <c r="O1791" s="17">
        <v>28.6</v>
      </c>
      <c r="P1791" s="17">
        <v>1.2</v>
      </c>
      <c r="Q1791" s="15">
        <v>46286.0</v>
      </c>
      <c r="R1791" s="12"/>
      <c r="S1791" s="12" t="s">
        <v>55</v>
      </c>
      <c r="T1791" s="12" t="s">
        <v>47</v>
      </c>
      <c r="U1791" s="17">
        <f t="shared" si="1"/>
        <v>2</v>
      </c>
    </row>
    <row r="1792">
      <c r="A1792" s="12" t="s">
        <v>2182</v>
      </c>
      <c r="B1792" s="12" t="s">
        <v>176</v>
      </c>
      <c r="C1792" s="17">
        <v>55.0</v>
      </c>
      <c r="D1792" s="12" t="s">
        <v>60</v>
      </c>
      <c r="E1792" s="12" t="s">
        <v>133</v>
      </c>
      <c r="F1792" s="12" t="s">
        <v>62</v>
      </c>
      <c r="G1792" s="12" t="s">
        <v>39</v>
      </c>
      <c r="H1792" s="15">
        <v>45332.0</v>
      </c>
      <c r="I1792" s="17">
        <v>20.0</v>
      </c>
      <c r="J1792" s="12" t="s">
        <v>40</v>
      </c>
      <c r="K1792" s="12" t="s">
        <v>81</v>
      </c>
      <c r="L1792" s="17">
        <v>535.0</v>
      </c>
      <c r="M1792" s="17">
        <v>2.0</v>
      </c>
      <c r="N1792" s="17">
        <v>0.0</v>
      </c>
      <c r="O1792" s="17">
        <v>9.7</v>
      </c>
      <c r="P1792" s="17">
        <v>2.9</v>
      </c>
      <c r="Q1792" s="15">
        <v>45597.0</v>
      </c>
      <c r="R1792" s="12"/>
      <c r="S1792" s="12" t="s">
        <v>55</v>
      </c>
      <c r="T1792" s="12" t="s">
        <v>75</v>
      </c>
      <c r="U1792" s="17">
        <f t="shared" si="1"/>
        <v>1</v>
      </c>
    </row>
    <row r="1793">
      <c r="A1793" s="12" t="s">
        <v>2145</v>
      </c>
      <c r="B1793" s="12" t="s">
        <v>383</v>
      </c>
      <c r="C1793" s="17">
        <v>54.0</v>
      </c>
      <c r="D1793" s="12" t="s">
        <v>35</v>
      </c>
      <c r="E1793" s="12" t="s">
        <v>140</v>
      </c>
      <c r="F1793" s="12" t="s">
        <v>62</v>
      </c>
      <c r="G1793" s="12" t="s">
        <v>80</v>
      </c>
      <c r="H1793" s="15">
        <v>45280.0</v>
      </c>
      <c r="I1793" s="17">
        <v>15.0</v>
      </c>
      <c r="J1793" s="12" t="s">
        <v>64</v>
      </c>
      <c r="K1793" s="12" t="s">
        <v>65</v>
      </c>
      <c r="L1793" s="17">
        <v>542.0</v>
      </c>
      <c r="M1793" s="17">
        <v>4.0</v>
      </c>
      <c r="N1793" s="17">
        <v>0.0</v>
      </c>
      <c r="O1793" s="17">
        <v>9.3</v>
      </c>
      <c r="P1793" s="17">
        <v>4.1</v>
      </c>
      <c r="Q1793" s="15">
        <v>45330.0</v>
      </c>
      <c r="R1793" s="12"/>
      <c r="S1793" s="12" t="s">
        <v>55</v>
      </c>
      <c r="T1793" s="12" t="s">
        <v>66</v>
      </c>
      <c r="U1793" s="17">
        <f t="shared" si="1"/>
        <v>2</v>
      </c>
    </row>
    <row r="1794">
      <c r="A1794" s="12" t="s">
        <v>2183</v>
      </c>
      <c r="B1794" s="12" t="s">
        <v>476</v>
      </c>
      <c r="C1794" s="17">
        <v>67.0</v>
      </c>
      <c r="D1794" s="12" t="s">
        <v>35</v>
      </c>
      <c r="E1794" s="12" t="s">
        <v>51</v>
      </c>
      <c r="F1794" s="12" t="s">
        <v>62</v>
      </c>
      <c r="G1794" s="12" t="s">
        <v>210</v>
      </c>
      <c r="H1794" s="15">
        <v>45878.0</v>
      </c>
      <c r="I1794" s="17">
        <v>33.0</v>
      </c>
      <c r="J1794" s="12" t="s">
        <v>53</v>
      </c>
      <c r="K1794" s="12" t="s">
        <v>42</v>
      </c>
      <c r="L1794" s="17">
        <v>574.0</v>
      </c>
      <c r="M1794" s="17">
        <v>5.0</v>
      </c>
      <c r="N1794" s="17">
        <v>0.0</v>
      </c>
      <c r="O1794" s="17">
        <v>11.8</v>
      </c>
      <c r="P1794" s="17">
        <v>5.0</v>
      </c>
      <c r="Q1794" s="15">
        <v>46358.0</v>
      </c>
      <c r="R1794" s="12" t="s">
        <v>2184</v>
      </c>
      <c r="S1794" s="12" t="s">
        <v>45</v>
      </c>
      <c r="T1794" s="12" t="s">
        <v>47</v>
      </c>
      <c r="U1794" s="17">
        <f t="shared" si="1"/>
        <v>1</v>
      </c>
    </row>
    <row r="1795">
      <c r="A1795" s="12" t="s">
        <v>815</v>
      </c>
      <c r="B1795" s="12" t="s">
        <v>232</v>
      </c>
      <c r="C1795" s="17">
        <v>44.0</v>
      </c>
      <c r="D1795" s="12" t="s">
        <v>60</v>
      </c>
      <c r="E1795" s="12" t="s">
        <v>133</v>
      </c>
      <c r="F1795" s="12" t="s">
        <v>62</v>
      </c>
      <c r="G1795" s="12" t="s">
        <v>39</v>
      </c>
      <c r="H1795" s="15">
        <v>45427.0</v>
      </c>
      <c r="I1795" s="17">
        <v>14.0</v>
      </c>
      <c r="J1795" s="12" t="s">
        <v>64</v>
      </c>
      <c r="K1795" s="12" t="s">
        <v>81</v>
      </c>
      <c r="L1795" s="17">
        <v>847.0</v>
      </c>
      <c r="M1795" s="17">
        <v>2.0</v>
      </c>
      <c r="N1795" s="17">
        <v>0.0</v>
      </c>
      <c r="O1795" s="17">
        <v>14.2</v>
      </c>
      <c r="P1795" s="17">
        <v>5.0</v>
      </c>
      <c r="Q1795" s="15">
        <v>45758.0</v>
      </c>
      <c r="R1795" s="12"/>
      <c r="S1795" s="12" t="s">
        <v>55</v>
      </c>
      <c r="T1795" s="12" t="s">
        <v>75</v>
      </c>
      <c r="U1795" s="17">
        <f t="shared" si="1"/>
        <v>3</v>
      </c>
    </row>
    <row r="1796">
      <c r="A1796" s="12" t="s">
        <v>1754</v>
      </c>
      <c r="B1796" s="12" t="s">
        <v>639</v>
      </c>
      <c r="C1796" s="17">
        <v>64.0</v>
      </c>
      <c r="D1796" s="12" t="s">
        <v>69</v>
      </c>
      <c r="E1796" s="12" t="s">
        <v>187</v>
      </c>
      <c r="F1796" s="12" t="s">
        <v>62</v>
      </c>
      <c r="G1796" s="12" t="s">
        <v>63</v>
      </c>
      <c r="H1796" s="15">
        <v>45942.0</v>
      </c>
      <c r="I1796" s="17">
        <v>10.0</v>
      </c>
      <c r="J1796" s="12" t="s">
        <v>64</v>
      </c>
      <c r="K1796" s="12" t="s">
        <v>42</v>
      </c>
      <c r="L1796" s="17">
        <v>688.0</v>
      </c>
      <c r="M1796" s="17">
        <v>0.0</v>
      </c>
      <c r="N1796" s="17">
        <v>0.0</v>
      </c>
      <c r="O1796" s="17">
        <v>9.1</v>
      </c>
      <c r="P1796" s="17">
        <v>4.1</v>
      </c>
      <c r="Q1796" s="15">
        <v>46167.0</v>
      </c>
      <c r="R1796" s="12"/>
      <c r="S1796" s="12" t="s">
        <v>55</v>
      </c>
      <c r="T1796" s="12" t="s">
        <v>75</v>
      </c>
      <c r="U1796" s="17">
        <f t="shared" si="1"/>
        <v>2</v>
      </c>
    </row>
    <row r="1797">
      <c r="A1797" s="12" t="s">
        <v>727</v>
      </c>
      <c r="B1797" s="12" t="s">
        <v>50</v>
      </c>
      <c r="C1797" s="17">
        <v>34.0</v>
      </c>
      <c r="D1797" s="12" t="s">
        <v>35</v>
      </c>
      <c r="E1797" s="12" t="s">
        <v>140</v>
      </c>
      <c r="F1797" s="12" t="s">
        <v>62</v>
      </c>
      <c r="G1797" s="12" t="s">
        <v>93</v>
      </c>
      <c r="H1797" s="15">
        <v>45293.0</v>
      </c>
      <c r="I1797" s="17">
        <v>30.0</v>
      </c>
      <c r="J1797" s="12" t="s">
        <v>53</v>
      </c>
      <c r="K1797" s="12" t="s">
        <v>65</v>
      </c>
      <c r="L1797" s="17">
        <v>718.0</v>
      </c>
      <c r="M1797" s="17">
        <v>0.0</v>
      </c>
      <c r="N1797" s="17">
        <v>0.0</v>
      </c>
      <c r="O1797" s="17">
        <v>21.1</v>
      </c>
      <c r="P1797" s="17">
        <v>3.5</v>
      </c>
      <c r="Q1797" s="15">
        <v>45726.0</v>
      </c>
      <c r="R1797" s="12"/>
      <c r="S1797" s="12" t="s">
        <v>55</v>
      </c>
      <c r="T1797" s="12" t="s">
        <v>66</v>
      </c>
      <c r="U1797" s="17">
        <f t="shared" si="1"/>
        <v>3</v>
      </c>
    </row>
    <row r="1798">
      <c r="A1798" s="12" t="s">
        <v>901</v>
      </c>
      <c r="B1798" s="12" t="s">
        <v>184</v>
      </c>
      <c r="C1798" s="17">
        <v>27.0</v>
      </c>
      <c r="D1798" s="12" t="s">
        <v>35</v>
      </c>
      <c r="E1798" s="12" t="s">
        <v>140</v>
      </c>
      <c r="F1798" s="12" t="s">
        <v>372</v>
      </c>
      <c r="G1798" s="12" t="s">
        <v>210</v>
      </c>
      <c r="H1798" s="15">
        <v>45577.0</v>
      </c>
      <c r="I1798" s="17">
        <v>24.0</v>
      </c>
      <c r="J1798" s="12" t="s">
        <v>64</v>
      </c>
      <c r="K1798" s="12" t="s">
        <v>65</v>
      </c>
      <c r="L1798" s="17">
        <v>1292.0</v>
      </c>
      <c r="M1798" s="17">
        <v>0.0</v>
      </c>
      <c r="N1798" s="17">
        <v>0.0</v>
      </c>
      <c r="O1798" s="17">
        <v>19.3</v>
      </c>
      <c r="P1798" s="17">
        <v>5.0</v>
      </c>
      <c r="Q1798" s="15">
        <v>45832.0</v>
      </c>
      <c r="R1798" s="12"/>
      <c r="S1798" s="12" t="s">
        <v>55</v>
      </c>
      <c r="T1798" s="12" t="s">
        <v>47</v>
      </c>
      <c r="U1798" s="17">
        <f t="shared" si="1"/>
        <v>4</v>
      </c>
    </row>
    <row r="1799">
      <c r="A1799" s="12" t="s">
        <v>1159</v>
      </c>
      <c r="B1799" s="12" t="s">
        <v>152</v>
      </c>
      <c r="C1799" s="17">
        <v>35.0</v>
      </c>
      <c r="D1799" s="12" t="s">
        <v>85</v>
      </c>
      <c r="E1799" s="12" t="s">
        <v>92</v>
      </c>
      <c r="F1799" s="12" t="s">
        <v>79</v>
      </c>
      <c r="G1799" s="12" t="s">
        <v>93</v>
      </c>
      <c r="H1799" s="15">
        <v>44618.0</v>
      </c>
      <c r="I1799" s="17">
        <v>16.0</v>
      </c>
      <c r="J1799" s="12" t="s">
        <v>40</v>
      </c>
      <c r="K1799" s="12" t="s">
        <v>42</v>
      </c>
      <c r="L1799" s="17">
        <v>3140.0</v>
      </c>
      <c r="M1799" s="17">
        <v>1.0</v>
      </c>
      <c r="N1799" s="17">
        <v>2.0</v>
      </c>
      <c r="O1799" s="17">
        <v>34.1</v>
      </c>
      <c r="P1799" s="17">
        <v>1.7</v>
      </c>
      <c r="Q1799" s="15">
        <v>44871.0</v>
      </c>
      <c r="R1799" s="12"/>
      <c r="S1799" s="12" t="s">
        <v>55</v>
      </c>
      <c r="T1799" s="12" t="s">
        <v>75</v>
      </c>
      <c r="U1799" s="17">
        <f t="shared" si="1"/>
        <v>2</v>
      </c>
    </row>
    <row r="1800">
      <c r="A1800" s="12" t="s">
        <v>2125</v>
      </c>
      <c r="B1800" s="12" t="s">
        <v>362</v>
      </c>
      <c r="C1800" s="17">
        <v>22.0</v>
      </c>
      <c r="D1800" s="12" t="s">
        <v>85</v>
      </c>
      <c r="E1800" s="12" t="s">
        <v>92</v>
      </c>
      <c r="F1800" s="12" t="s">
        <v>62</v>
      </c>
      <c r="G1800" s="12" t="s">
        <v>80</v>
      </c>
      <c r="H1800" s="15">
        <v>45473.0</v>
      </c>
      <c r="I1800" s="17">
        <v>23.0</v>
      </c>
      <c r="J1800" s="12" t="s">
        <v>64</v>
      </c>
      <c r="K1800" s="12" t="s">
        <v>81</v>
      </c>
      <c r="L1800" s="17">
        <v>544.0</v>
      </c>
      <c r="M1800" s="17">
        <v>4.0</v>
      </c>
      <c r="N1800" s="17">
        <v>4.0</v>
      </c>
      <c r="O1800" s="17">
        <v>11.5</v>
      </c>
      <c r="P1800" s="17">
        <v>3.6</v>
      </c>
      <c r="Q1800" s="15">
        <v>45965.0</v>
      </c>
      <c r="R1800" s="12"/>
      <c r="S1800" s="12" t="s">
        <v>55</v>
      </c>
      <c r="T1800" s="12" t="s">
        <v>104</v>
      </c>
      <c r="U1800" s="17">
        <f t="shared" si="1"/>
        <v>2</v>
      </c>
    </row>
    <row r="1801">
      <c r="A1801" s="12" t="s">
        <v>2185</v>
      </c>
      <c r="B1801" s="12" t="s">
        <v>420</v>
      </c>
      <c r="C1801" s="17">
        <v>40.0</v>
      </c>
      <c r="D1801" s="12" t="s">
        <v>35</v>
      </c>
      <c r="E1801" s="12" t="s">
        <v>161</v>
      </c>
      <c r="F1801" s="12" t="s">
        <v>37</v>
      </c>
      <c r="G1801" s="12" t="s">
        <v>93</v>
      </c>
      <c r="H1801" s="15">
        <v>45399.0</v>
      </c>
      <c r="I1801" s="17">
        <v>24.0</v>
      </c>
      <c r="J1801" s="12" t="s">
        <v>40</v>
      </c>
      <c r="K1801" s="12" t="s">
        <v>81</v>
      </c>
      <c r="L1801" s="17">
        <v>1517.0</v>
      </c>
      <c r="M1801" s="17">
        <v>1.0</v>
      </c>
      <c r="N1801" s="17">
        <v>1.0</v>
      </c>
      <c r="O1801" s="17">
        <v>22.1</v>
      </c>
      <c r="P1801" s="17">
        <v>4.5</v>
      </c>
      <c r="Q1801" s="15">
        <v>45656.0</v>
      </c>
      <c r="R1801" s="12"/>
      <c r="S1801" s="12" t="s">
        <v>55</v>
      </c>
      <c r="T1801" s="12" t="s">
        <v>72</v>
      </c>
      <c r="U1801" s="17">
        <f t="shared" si="1"/>
        <v>1</v>
      </c>
    </row>
    <row r="1802">
      <c r="A1802" s="12" t="s">
        <v>231</v>
      </c>
      <c r="B1802" s="12" t="s">
        <v>106</v>
      </c>
      <c r="C1802" s="17">
        <v>57.0</v>
      </c>
      <c r="D1802" s="12" t="s">
        <v>85</v>
      </c>
      <c r="E1802" s="12" t="s">
        <v>92</v>
      </c>
      <c r="F1802" s="12" t="s">
        <v>37</v>
      </c>
      <c r="G1802" s="12" t="s">
        <v>80</v>
      </c>
      <c r="H1802" s="15">
        <v>44994.0</v>
      </c>
      <c r="I1802" s="17">
        <v>19.0</v>
      </c>
      <c r="J1802" s="12" t="s">
        <v>64</v>
      </c>
      <c r="K1802" s="12" t="s">
        <v>65</v>
      </c>
      <c r="L1802" s="17">
        <v>1779.0</v>
      </c>
      <c r="M1802" s="17">
        <v>4.0</v>
      </c>
      <c r="N1802" s="17">
        <v>3.0</v>
      </c>
      <c r="O1802" s="17">
        <v>16.9</v>
      </c>
      <c r="P1802" s="17">
        <v>3.6</v>
      </c>
      <c r="Q1802" s="15">
        <v>45411.0</v>
      </c>
      <c r="R1802" s="12" t="s">
        <v>2026</v>
      </c>
      <c r="S1802" s="12" t="s">
        <v>45</v>
      </c>
      <c r="T1802" s="12" t="s">
        <v>47</v>
      </c>
      <c r="U1802" s="17">
        <f t="shared" si="1"/>
        <v>3</v>
      </c>
    </row>
    <row r="1803">
      <c r="A1803" s="12" t="s">
        <v>530</v>
      </c>
      <c r="B1803" s="12" t="s">
        <v>229</v>
      </c>
      <c r="C1803" s="17">
        <v>33.0</v>
      </c>
      <c r="D1803" s="12" t="s">
        <v>85</v>
      </c>
      <c r="E1803" s="12" t="s">
        <v>87</v>
      </c>
      <c r="F1803" s="12" t="s">
        <v>37</v>
      </c>
      <c r="G1803" s="12" t="s">
        <v>80</v>
      </c>
      <c r="H1803" s="15">
        <v>45642.0</v>
      </c>
      <c r="I1803" s="17">
        <v>16.0</v>
      </c>
      <c r="J1803" s="12" t="s">
        <v>40</v>
      </c>
      <c r="K1803" s="12" t="s">
        <v>65</v>
      </c>
      <c r="L1803" s="17">
        <v>1500.0</v>
      </c>
      <c r="M1803" s="17">
        <v>0.0</v>
      </c>
      <c r="N1803" s="17">
        <v>0.0</v>
      </c>
      <c r="O1803" s="17">
        <v>32.5</v>
      </c>
      <c r="P1803" s="17">
        <v>2.5</v>
      </c>
      <c r="Q1803" s="15">
        <v>45795.0</v>
      </c>
      <c r="R1803" s="12"/>
      <c r="S1803" s="12" t="s">
        <v>55</v>
      </c>
      <c r="T1803" s="12" t="s">
        <v>72</v>
      </c>
      <c r="U1803" s="17">
        <f t="shared" si="1"/>
        <v>2</v>
      </c>
    </row>
    <row r="1804">
      <c r="A1804" s="12" t="s">
        <v>1507</v>
      </c>
      <c r="B1804" s="12" t="s">
        <v>362</v>
      </c>
      <c r="C1804" s="12"/>
      <c r="D1804" s="12" t="s">
        <v>69</v>
      </c>
      <c r="E1804" s="12" t="s">
        <v>119</v>
      </c>
      <c r="F1804" s="12" t="s">
        <v>62</v>
      </c>
      <c r="G1804" s="12" t="s">
        <v>52</v>
      </c>
      <c r="H1804" s="15">
        <v>44710.0</v>
      </c>
      <c r="I1804" s="17">
        <v>7.0</v>
      </c>
      <c r="J1804" s="12" t="s">
        <v>53</v>
      </c>
      <c r="K1804" s="12" t="s">
        <v>42</v>
      </c>
      <c r="L1804" s="17">
        <v>779.0</v>
      </c>
      <c r="M1804" s="17">
        <v>3.0</v>
      </c>
      <c r="N1804" s="17">
        <v>0.0</v>
      </c>
      <c r="O1804" s="17">
        <v>16.7</v>
      </c>
      <c r="P1804" s="17">
        <v>2.9</v>
      </c>
      <c r="Q1804" s="15">
        <v>44754.0</v>
      </c>
      <c r="R1804" s="12"/>
      <c r="S1804" s="12" t="s">
        <v>55</v>
      </c>
      <c r="T1804" s="12" t="s">
        <v>104</v>
      </c>
      <c r="U1804" s="17">
        <f t="shared" si="1"/>
        <v>3</v>
      </c>
    </row>
    <row r="1805">
      <c r="A1805" s="12" t="s">
        <v>525</v>
      </c>
      <c r="B1805" s="12" t="s">
        <v>68</v>
      </c>
      <c r="C1805" s="17">
        <v>38.0</v>
      </c>
      <c r="D1805" s="12" t="s">
        <v>69</v>
      </c>
      <c r="E1805" s="12" t="s">
        <v>70</v>
      </c>
      <c r="F1805" s="12" t="s">
        <v>372</v>
      </c>
      <c r="G1805" s="12" t="s">
        <v>63</v>
      </c>
      <c r="H1805" s="15">
        <v>44701.0</v>
      </c>
      <c r="I1805" s="17">
        <v>32.0</v>
      </c>
      <c r="J1805" s="12" t="s">
        <v>64</v>
      </c>
      <c r="K1805" s="12" t="s">
        <v>81</v>
      </c>
      <c r="L1805" s="17">
        <v>590.0</v>
      </c>
      <c r="M1805" s="17">
        <v>3.0</v>
      </c>
      <c r="N1805" s="17">
        <v>1.0</v>
      </c>
      <c r="O1805" s="17">
        <v>10.7</v>
      </c>
      <c r="P1805" s="17">
        <v>5.0</v>
      </c>
      <c r="Q1805" s="15">
        <v>45406.0</v>
      </c>
      <c r="R1805" s="12"/>
      <c r="S1805" s="12" t="s">
        <v>55</v>
      </c>
      <c r="T1805" s="12" t="s">
        <v>104</v>
      </c>
      <c r="U1805" s="17">
        <f t="shared" si="1"/>
        <v>2</v>
      </c>
    </row>
    <row r="1806">
      <c r="A1806" s="12" t="s">
        <v>523</v>
      </c>
      <c r="B1806" s="12" t="s">
        <v>333</v>
      </c>
      <c r="C1806" s="17">
        <v>45.0</v>
      </c>
      <c r="D1806" s="12" t="s">
        <v>69</v>
      </c>
      <c r="E1806" s="12" t="s">
        <v>187</v>
      </c>
      <c r="F1806" s="12" t="s">
        <v>37</v>
      </c>
      <c r="G1806" s="12" t="s">
        <v>39</v>
      </c>
      <c r="H1806" s="15">
        <v>44565.0</v>
      </c>
      <c r="I1806" s="17">
        <v>8.0</v>
      </c>
      <c r="J1806" s="12" t="s">
        <v>40</v>
      </c>
      <c r="K1806" s="12" t="s">
        <v>65</v>
      </c>
      <c r="L1806" s="17">
        <v>1119.0</v>
      </c>
      <c r="M1806" s="17">
        <v>0.0</v>
      </c>
      <c r="N1806" s="17">
        <v>0.0</v>
      </c>
      <c r="O1806" s="17">
        <v>15.2</v>
      </c>
      <c r="P1806" s="17">
        <v>3.0</v>
      </c>
      <c r="Q1806" s="15">
        <v>44792.0</v>
      </c>
      <c r="R1806" s="12"/>
      <c r="S1806" s="12" t="s">
        <v>55</v>
      </c>
      <c r="T1806" s="12" t="s">
        <v>72</v>
      </c>
      <c r="U1806" s="17">
        <f t="shared" si="1"/>
        <v>3</v>
      </c>
    </row>
    <row r="1807">
      <c r="A1807" s="12" t="s">
        <v>540</v>
      </c>
      <c r="B1807" s="12" t="s">
        <v>206</v>
      </c>
      <c r="C1807" s="17">
        <v>54.0</v>
      </c>
      <c r="D1807" s="12" t="s">
        <v>85</v>
      </c>
      <c r="E1807" s="12" t="s">
        <v>92</v>
      </c>
      <c r="F1807" s="12" t="s">
        <v>37</v>
      </c>
      <c r="G1807" s="12" t="s">
        <v>80</v>
      </c>
      <c r="H1807" s="15">
        <v>45452.0</v>
      </c>
      <c r="I1807" s="17">
        <v>24.0</v>
      </c>
      <c r="J1807" s="12" t="s">
        <v>53</v>
      </c>
      <c r="K1807" s="12" t="s">
        <v>65</v>
      </c>
      <c r="L1807" s="17">
        <v>1290.0</v>
      </c>
      <c r="M1807" s="17">
        <v>1.0</v>
      </c>
      <c r="N1807" s="17">
        <v>0.0</v>
      </c>
      <c r="O1807" s="17">
        <v>19.9</v>
      </c>
      <c r="P1807" s="17">
        <v>3.8</v>
      </c>
      <c r="Q1807" s="15">
        <v>46037.0</v>
      </c>
      <c r="R1807" s="12" t="s">
        <v>2178</v>
      </c>
      <c r="S1807" s="12" t="s">
        <v>45</v>
      </c>
      <c r="T1807" s="12" t="s">
        <v>104</v>
      </c>
      <c r="U1807" s="17">
        <f t="shared" si="1"/>
        <v>4</v>
      </c>
    </row>
    <row r="1808">
      <c r="A1808" s="12" t="s">
        <v>1623</v>
      </c>
      <c r="B1808" s="12" t="s">
        <v>340</v>
      </c>
      <c r="C1808" s="17">
        <v>66.0</v>
      </c>
      <c r="D1808" s="12" t="s">
        <v>85</v>
      </c>
      <c r="E1808" s="12" t="s">
        <v>87</v>
      </c>
      <c r="F1808" s="12" t="s">
        <v>62</v>
      </c>
      <c r="G1808" s="12" t="s">
        <v>80</v>
      </c>
      <c r="H1808" s="15">
        <v>45386.0</v>
      </c>
      <c r="I1808" s="17">
        <v>14.0</v>
      </c>
      <c r="J1808" s="12" t="s">
        <v>40</v>
      </c>
      <c r="K1808" s="12" t="s">
        <v>81</v>
      </c>
      <c r="L1808" s="17">
        <v>816.0</v>
      </c>
      <c r="M1808" s="17">
        <v>4.0</v>
      </c>
      <c r="N1808" s="17">
        <v>0.0</v>
      </c>
      <c r="O1808" s="17">
        <v>20.3</v>
      </c>
      <c r="P1808" s="17">
        <v>2.6</v>
      </c>
      <c r="Q1808" s="15">
        <v>45792.0</v>
      </c>
      <c r="R1808" s="12"/>
      <c r="S1808" s="12" t="s">
        <v>55</v>
      </c>
      <c r="T1808" s="12" t="s">
        <v>75</v>
      </c>
      <c r="U1808" s="17">
        <f t="shared" si="1"/>
        <v>2</v>
      </c>
    </row>
    <row r="1809">
      <c r="A1809" s="12" t="s">
        <v>533</v>
      </c>
      <c r="B1809" s="12" t="s">
        <v>224</v>
      </c>
      <c r="C1809" s="17">
        <v>52.0</v>
      </c>
      <c r="D1809" s="12" t="s">
        <v>35</v>
      </c>
      <c r="E1809" s="12" t="s">
        <v>36</v>
      </c>
      <c r="F1809" s="12" t="s">
        <v>37</v>
      </c>
      <c r="G1809" s="12" t="s">
        <v>63</v>
      </c>
      <c r="H1809" s="15">
        <v>45917.0</v>
      </c>
      <c r="I1809" s="17">
        <v>17.0</v>
      </c>
      <c r="J1809" s="12" t="s">
        <v>40</v>
      </c>
      <c r="K1809" s="12" t="s">
        <v>65</v>
      </c>
      <c r="L1809" s="17">
        <v>1352.0</v>
      </c>
      <c r="M1809" s="17">
        <v>2.0</v>
      </c>
      <c r="N1809" s="17">
        <v>1.0</v>
      </c>
      <c r="O1809" s="17">
        <v>24.9</v>
      </c>
      <c r="P1809" s="17">
        <v>2.5</v>
      </c>
      <c r="Q1809" s="15">
        <v>46276.0</v>
      </c>
      <c r="R1809" s="12" t="s">
        <v>1653</v>
      </c>
      <c r="S1809" s="12" t="s">
        <v>45</v>
      </c>
      <c r="T1809" s="12" t="s">
        <v>75</v>
      </c>
      <c r="U1809" s="17">
        <f t="shared" si="1"/>
        <v>2</v>
      </c>
    </row>
    <row r="1810">
      <c r="A1810" s="12" t="s">
        <v>539</v>
      </c>
      <c r="B1810" s="12" t="s">
        <v>179</v>
      </c>
      <c r="C1810" s="17">
        <v>62.0</v>
      </c>
      <c r="D1810" s="12" t="s">
        <v>35</v>
      </c>
      <c r="E1810" s="12" t="s">
        <v>161</v>
      </c>
      <c r="F1810" s="12" t="s">
        <v>79</v>
      </c>
      <c r="G1810" s="12" t="s">
        <v>93</v>
      </c>
      <c r="H1810" s="15">
        <v>45071.0</v>
      </c>
      <c r="I1810" s="17">
        <v>39.0</v>
      </c>
      <c r="J1810" s="12" t="s">
        <v>40</v>
      </c>
      <c r="K1810" s="12" t="s">
        <v>81</v>
      </c>
      <c r="L1810" s="17">
        <v>2305.0</v>
      </c>
      <c r="M1810" s="17">
        <v>1.0</v>
      </c>
      <c r="N1810" s="17">
        <v>1.0</v>
      </c>
      <c r="O1810" s="17">
        <v>36.8</v>
      </c>
      <c r="P1810" s="17">
        <v>4.0</v>
      </c>
      <c r="Q1810" s="15">
        <v>45445.0</v>
      </c>
      <c r="R1810" s="12" t="s">
        <v>2014</v>
      </c>
      <c r="S1810" s="12" t="s">
        <v>45</v>
      </c>
      <c r="T1810" s="12" t="s">
        <v>75</v>
      </c>
      <c r="U1810" s="17">
        <f t="shared" si="1"/>
        <v>3</v>
      </c>
    </row>
    <row r="1811">
      <c r="A1811" s="12" t="s">
        <v>483</v>
      </c>
      <c r="B1811" s="12" t="s">
        <v>139</v>
      </c>
      <c r="C1811" s="17">
        <v>51.0</v>
      </c>
      <c r="D1811" s="12" t="s">
        <v>60</v>
      </c>
      <c r="E1811" s="12" t="s">
        <v>107</v>
      </c>
      <c r="F1811" s="12" t="s">
        <v>37</v>
      </c>
      <c r="G1811" s="12" t="s">
        <v>39</v>
      </c>
      <c r="H1811" s="15">
        <v>44609.0</v>
      </c>
      <c r="I1811" s="17">
        <v>2.0</v>
      </c>
      <c r="J1811" s="12" t="s">
        <v>40</v>
      </c>
      <c r="K1811" s="12" t="s">
        <v>81</v>
      </c>
      <c r="L1811" s="17">
        <v>1605.0</v>
      </c>
      <c r="M1811" s="17">
        <v>2.0</v>
      </c>
      <c r="N1811" s="17">
        <v>0.0</v>
      </c>
      <c r="O1811" s="17">
        <v>12.7</v>
      </c>
      <c r="P1811" s="17">
        <v>3.6</v>
      </c>
      <c r="Q1811" s="15">
        <v>44649.0</v>
      </c>
      <c r="R1811" s="12" t="s">
        <v>1056</v>
      </c>
      <c r="S1811" s="12" t="s">
        <v>45</v>
      </c>
      <c r="T1811" s="12" t="s">
        <v>104</v>
      </c>
      <c r="U1811" s="17">
        <f t="shared" si="1"/>
        <v>4</v>
      </c>
    </row>
    <row r="1812">
      <c r="A1812" s="12" t="s">
        <v>535</v>
      </c>
      <c r="B1812" s="12" t="s">
        <v>167</v>
      </c>
      <c r="C1812" s="17">
        <v>19.0</v>
      </c>
      <c r="D1812" s="12" t="s">
        <v>69</v>
      </c>
      <c r="E1812" s="12" t="s">
        <v>187</v>
      </c>
      <c r="F1812" s="12" t="s">
        <v>37</v>
      </c>
      <c r="G1812" s="12" t="s">
        <v>52</v>
      </c>
      <c r="H1812" s="15">
        <v>45488.0</v>
      </c>
      <c r="I1812" s="17">
        <v>16.0</v>
      </c>
      <c r="J1812" s="12" t="s">
        <v>53</v>
      </c>
      <c r="K1812" s="12" t="s">
        <v>42</v>
      </c>
      <c r="L1812" s="17">
        <v>1073.0</v>
      </c>
      <c r="M1812" s="17">
        <v>1.0</v>
      </c>
      <c r="N1812" s="17">
        <v>2.0</v>
      </c>
      <c r="O1812" s="17">
        <v>41.0</v>
      </c>
      <c r="P1812" s="17">
        <v>5.0</v>
      </c>
      <c r="Q1812" s="15">
        <v>45980.0</v>
      </c>
      <c r="R1812" s="12"/>
      <c r="S1812" s="12" t="s">
        <v>55</v>
      </c>
      <c r="T1812" s="12" t="s">
        <v>104</v>
      </c>
      <c r="U1812" s="17">
        <f t="shared" si="1"/>
        <v>3</v>
      </c>
    </row>
    <row r="1813">
      <c r="A1813" s="12" t="s">
        <v>1719</v>
      </c>
      <c r="B1813" s="12" t="s">
        <v>383</v>
      </c>
      <c r="C1813" s="17">
        <v>60.0</v>
      </c>
      <c r="D1813" s="12" t="s">
        <v>69</v>
      </c>
      <c r="E1813" s="12" t="s">
        <v>187</v>
      </c>
      <c r="F1813" s="12" t="s">
        <v>62</v>
      </c>
      <c r="G1813" s="12" t="s">
        <v>80</v>
      </c>
      <c r="H1813" s="15">
        <v>44956.0</v>
      </c>
      <c r="I1813" s="17">
        <v>28.0</v>
      </c>
      <c r="J1813" s="12" t="s">
        <v>64</v>
      </c>
      <c r="K1813" s="12" t="s">
        <v>65</v>
      </c>
      <c r="L1813" s="17">
        <v>605.0</v>
      </c>
      <c r="M1813" s="17">
        <v>0.0</v>
      </c>
      <c r="N1813" s="17">
        <v>0.0</v>
      </c>
      <c r="O1813" s="17">
        <v>6.5</v>
      </c>
      <c r="P1813" s="17">
        <v>3.5</v>
      </c>
      <c r="Q1813" s="12"/>
      <c r="R1813" s="12"/>
      <c r="S1813" s="12" t="s">
        <v>55</v>
      </c>
      <c r="T1813" s="12" t="s">
        <v>66</v>
      </c>
      <c r="U1813" s="17">
        <f t="shared" si="1"/>
        <v>3</v>
      </c>
    </row>
    <row r="1814">
      <c r="A1814" s="12" t="s">
        <v>1230</v>
      </c>
      <c r="B1814" s="12" t="s">
        <v>106</v>
      </c>
      <c r="C1814" s="17">
        <v>28.0</v>
      </c>
      <c r="D1814" s="12" t="s">
        <v>60</v>
      </c>
      <c r="E1814" s="12" t="s">
        <v>107</v>
      </c>
      <c r="F1814" s="12" t="s">
        <v>79</v>
      </c>
      <c r="G1814" s="12" t="s">
        <v>571</v>
      </c>
      <c r="H1814" s="15">
        <v>45724.0</v>
      </c>
      <c r="I1814" s="17">
        <v>41.0</v>
      </c>
      <c r="J1814" s="12" t="s">
        <v>64</v>
      </c>
      <c r="K1814" s="12" t="s">
        <v>65</v>
      </c>
      <c r="L1814" s="17">
        <v>3377.0</v>
      </c>
      <c r="M1814" s="17">
        <v>1.0</v>
      </c>
      <c r="N1814" s="17">
        <v>1.0</v>
      </c>
      <c r="O1814" s="17">
        <v>40.4</v>
      </c>
      <c r="P1814" s="17">
        <v>4.1</v>
      </c>
      <c r="Q1814" s="15">
        <v>46337.0</v>
      </c>
      <c r="R1814" s="12"/>
      <c r="S1814" s="12" t="s">
        <v>55</v>
      </c>
      <c r="T1814" s="12" t="s">
        <v>75</v>
      </c>
      <c r="U1814" s="17">
        <f t="shared" si="1"/>
        <v>4</v>
      </c>
    </row>
    <row r="1815">
      <c r="A1815" s="12" t="s">
        <v>347</v>
      </c>
      <c r="B1815" s="12" t="s">
        <v>239</v>
      </c>
      <c r="C1815" s="17">
        <v>35.0</v>
      </c>
      <c r="D1815" s="12" t="s">
        <v>69</v>
      </c>
      <c r="E1815" s="12" t="s">
        <v>187</v>
      </c>
      <c r="F1815" s="12" t="s">
        <v>37</v>
      </c>
      <c r="G1815" s="12" t="s">
        <v>120</v>
      </c>
      <c r="H1815" s="15">
        <v>44729.0</v>
      </c>
      <c r="I1815" s="17">
        <v>27.0</v>
      </c>
      <c r="J1815" s="12" t="s">
        <v>64</v>
      </c>
      <c r="K1815" s="12" t="s">
        <v>81</v>
      </c>
      <c r="L1815" s="12"/>
      <c r="M1815" s="17">
        <v>1.0</v>
      </c>
      <c r="N1815" s="17">
        <v>1.0</v>
      </c>
      <c r="O1815" s="17">
        <v>18.3</v>
      </c>
      <c r="P1815" s="17">
        <v>3.7</v>
      </c>
      <c r="Q1815" s="15">
        <v>45271.0</v>
      </c>
      <c r="R1815" s="12" t="s">
        <v>1562</v>
      </c>
      <c r="S1815" s="12" t="s">
        <v>45</v>
      </c>
      <c r="T1815" s="12" t="s">
        <v>47</v>
      </c>
      <c r="U1815" s="17">
        <f t="shared" si="1"/>
        <v>5</v>
      </c>
    </row>
    <row r="1816">
      <c r="A1816" s="12" t="s">
        <v>469</v>
      </c>
      <c r="B1816" s="12" t="s">
        <v>470</v>
      </c>
      <c r="C1816" s="17">
        <v>56.0</v>
      </c>
      <c r="D1816" s="12" t="s">
        <v>85</v>
      </c>
      <c r="E1816" s="12" t="s">
        <v>92</v>
      </c>
      <c r="F1816" s="12" t="s">
        <v>62</v>
      </c>
      <c r="G1816" s="12" t="s">
        <v>63</v>
      </c>
      <c r="H1816" s="15">
        <v>45963.0</v>
      </c>
      <c r="I1816" s="17">
        <v>18.0</v>
      </c>
      <c r="J1816" s="12" t="s">
        <v>40</v>
      </c>
      <c r="K1816" s="12" t="s">
        <v>81</v>
      </c>
      <c r="L1816" s="17">
        <v>787.0</v>
      </c>
      <c r="M1816" s="17">
        <v>4.0</v>
      </c>
      <c r="N1816" s="17">
        <v>1.0</v>
      </c>
      <c r="O1816" s="17">
        <v>14.2</v>
      </c>
      <c r="P1816" s="17">
        <v>3.8</v>
      </c>
      <c r="Q1816" s="15">
        <v>46156.0</v>
      </c>
      <c r="R1816" s="12" t="s">
        <v>472</v>
      </c>
      <c r="S1816" s="12" t="s">
        <v>45</v>
      </c>
      <c r="T1816" s="12" t="s">
        <v>75</v>
      </c>
      <c r="U1816" s="17">
        <f t="shared" si="1"/>
        <v>3</v>
      </c>
    </row>
    <row r="1817">
      <c r="A1817" s="12" t="s">
        <v>534</v>
      </c>
      <c r="B1817" s="12" t="s">
        <v>139</v>
      </c>
      <c r="C1817" s="17">
        <v>24.0</v>
      </c>
      <c r="D1817" s="12" t="s">
        <v>35</v>
      </c>
      <c r="E1817" s="12" t="s">
        <v>140</v>
      </c>
      <c r="F1817" s="12" t="s">
        <v>37</v>
      </c>
      <c r="G1817" s="12" t="s">
        <v>120</v>
      </c>
      <c r="H1817" s="15">
        <v>45927.0</v>
      </c>
      <c r="I1817" s="17">
        <v>6.0</v>
      </c>
      <c r="J1817" s="12" t="s">
        <v>64</v>
      </c>
      <c r="K1817" s="12" t="s">
        <v>81</v>
      </c>
      <c r="L1817" s="17">
        <v>1192.0</v>
      </c>
      <c r="M1817" s="17">
        <v>1.0</v>
      </c>
      <c r="N1817" s="17">
        <v>1.0</v>
      </c>
      <c r="O1817" s="17">
        <v>15.5</v>
      </c>
      <c r="P1817" s="17">
        <v>2.4</v>
      </c>
      <c r="Q1817" s="15">
        <v>46081.0</v>
      </c>
      <c r="R1817" s="12" t="s">
        <v>1742</v>
      </c>
      <c r="S1817" s="12" t="s">
        <v>45</v>
      </c>
      <c r="T1817" s="12" t="s">
        <v>104</v>
      </c>
      <c r="U1817" s="17">
        <f t="shared" si="1"/>
        <v>3</v>
      </c>
    </row>
    <row r="1818">
      <c r="A1818" s="12" t="s">
        <v>531</v>
      </c>
      <c r="B1818" s="12" t="s">
        <v>167</v>
      </c>
      <c r="C1818" s="17">
        <v>44.0</v>
      </c>
      <c r="D1818" s="12" t="s">
        <v>35</v>
      </c>
      <c r="E1818" s="12" t="s">
        <v>51</v>
      </c>
      <c r="F1818" s="12" t="s">
        <v>62</v>
      </c>
      <c r="G1818" s="12" t="s">
        <v>52</v>
      </c>
      <c r="H1818" s="15">
        <v>45786.0</v>
      </c>
      <c r="I1818" s="17">
        <v>43.0</v>
      </c>
      <c r="J1818" s="12" t="s">
        <v>40</v>
      </c>
      <c r="K1818" s="12" t="s">
        <v>65</v>
      </c>
      <c r="L1818" s="17">
        <v>633.0</v>
      </c>
      <c r="M1818" s="17">
        <v>1.0</v>
      </c>
      <c r="N1818" s="17">
        <v>1.0</v>
      </c>
      <c r="O1818" s="17">
        <v>23.5</v>
      </c>
      <c r="P1818" s="17">
        <v>3.1</v>
      </c>
      <c r="Q1818" s="15">
        <v>46492.0</v>
      </c>
      <c r="R1818" s="12"/>
      <c r="S1818" s="12" t="s">
        <v>55</v>
      </c>
      <c r="T1818" s="12" t="s">
        <v>104</v>
      </c>
      <c r="U1818" s="17">
        <f t="shared" si="1"/>
        <v>3</v>
      </c>
    </row>
    <row r="1819">
      <c r="A1819" s="12" t="s">
        <v>537</v>
      </c>
      <c r="B1819" s="12" t="s">
        <v>476</v>
      </c>
      <c r="C1819" s="17">
        <v>27.0</v>
      </c>
      <c r="D1819" s="12" t="s">
        <v>69</v>
      </c>
      <c r="E1819" s="12" t="s">
        <v>70</v>
      </c>
      <c r="F1819" s="12" t="s">
        <v>37</v>
      </c>
      <c r="G1819" s="12" t="s">
        <v>120</v>
      </c>
      <c r="H1819" s="15">
        <v>45435.0</v>
      </c>
      <c r="I1819" s="17">
        <v>28.0</v>
      </c>
      <c r="J1819" s="12" t="s">
        <v>64</v>
      </c>
      <c r="K1819" s="12" t="s">
        <v>81</v>
      </c>
      <c r="L1819" s="17">
        <v>1636.0</v>
      </c>
      <c r="M1819" s="17">
        <v>2.0</v>
      </c>
      <c r="N1819" s="17">
        <v>0.0</v>
      </c>
      <c r="O1819" s="17">
        <v>17.7</v>
      </c>
      <c r="P1819" s="17">
        <v>3.4</v>
      </c>
      <c r="Q1819" s="15">
        <v>45712.0</v>
      </c>
      <c r="R1819" s="12"/>
      <c r="S1819" s="12" t="s">
        <v>55</v>
      </c>
      <c r="T1819" s="12" t="s">
        <v>104</v>
      </c>
      <c r="U1819" s="17">
        <f t="shared" si="1"/>
        <v>3</v>
      </c>
    </row>
    <row r="1820">
      <c r="A1820" s="12" t="s">
        <v>1886</v>
      </c>
      <c r="B1820" s="12" t="s">
        <v>380</v>
      </c>
      <c r="C1820" s="17">
        <v>61.0</v>
      </c>
      <c r="D1820" s="12" t="s">
        <v>35</v>
      </c>
      <c r="E1820" s="12" t="s">
        <v>51</v>
      </c>
      <c r="F1820" s="12" t="s">
        <v>79</v>
      </c>
      <c r="G1820" s="12" t="s">
        <v>39</v>
      </c>
      <c r="H1820" s="15">
        <v>45192.0</v>
      </c>
      <c r="I1820" s="17">
        <v>40.0</v>
      </c>
      <c r="J1820" s="12" t="s">
        <v>53</v>
      </c>
      <c r="K1820" s="12" t="s">
        <v>81</v>
      </c>
      <c r="L1820" s="17">
        <v>788.0</v>
      </c>
      <c r="M1820" s="17">
        <v>5.0</v>
      </c>
      <c r="N1820" s="17">
        <v>1.0</v>
      </c>
      <c r="O1820" s="17">
        <v>24.6</v>
      </c>
      <c r="P1820" s="17">
        <v>2.9</v>
      </c>
      <c r="Q1820" s="15">
        <v>45869.0</v>
      </c>
      <c r="R1820" s="12"/>
      <c r="S1820" s="12" t="s">
        <v>602</v>
      </c>
      <c r="T1820" s="12" t="s">
        <v>104</v>
      </c>
      <c r="U1820" s="17">
        <f t="shared" si="1"/>
        <v>2</v>
      </c>
    </row>
    <row r="1821">
      <c r="A1821" s="12" t="s">
        <v>455</v>
      </c>
      <c r="B1821" s="12" t="s">
        <v>257</v>
      </c>
      <c r="C1821" s="17">
        <v>38.0</v>
      </c>
      <c r="D1821" s="12" t="s">
        <v>85</v>
      </c>
      <c r="E1821" s="12" t="s">
        <v>111</v>
      </c>
      <c r="F1821" s="12" t="s">
        <v>37</v>
      </c>
      <c r="G1821" s="12" t="s">
        <v>52</v>
      </c>
      <c r="H1821" s="15">
        <v>44980.0</v>
      </c>
      <c r="I1821" s="17">
        <v>26.0</v>
      </c>
      <c r="J1821" s="12" t="s">
        <v>53</v>
      </c>
      <c r="K1821" s="12" t="s">
        <v>65</v>
      </c>
      <c r="L1821" s="17">
        <v>1328.0</v>
      </c>
      <c r="M1821" s="17">
        <v>1.0</v>
      </c>
      <c r="N1821" s="17">
        <v>0.0</v>
      </c>
      <c r="O1821" s="17">
        <v>35.1</v>
      </c>
      <c r="P1821" s="17">
        <v>2.8</v>
      </c>
      <c r="Q1821" s="15">
        <v>45279.0</v>
      </c>
      <c r="R1821" s="12" t="s">
        <v>457</v>
      </c>
      <c r="S1821" s="12" t="s">
        <v>45</v>
      </c>
      <c r="T1821" s="12" t="s">
        <v>66</v>
      </c>
      <c r="U1821" s="17">
        <f t="shared" si="1"/>
        <v>5</v>
      </c>
    </row>
    <row r="1822">
      <c r="A1822" s="12" t="s">
        <v>423</v>
      </c>
      <c r="B1822" s="12" t="s">
        <v>424</v>
      </c>
      <c r="C1822" s="17">
        <v>25.0</v>
      </c>
      <c r="D1822" s="12" t="s">
        <v>60</v>
      </c>
      <c r="E1822" s="12" t="s">
        <v>97</v>
      </c>
      <c r="F1822" s="12" t="s">
        <v>62</v>
      </c>
      <c r="G1822" s="12" t="s">
        <v>52</v>
      </c>
      <c r="H1822" s="15">
        <v>45763.0</v>
      </c>
      <c r="I1822" s="17">
        <v>16.0</v>
      </c>
      <c r="J1822" s="12" t="s">
        <v>53</v>
      </c>
      <c r="K1822" s="12" t="s">
        <v>65</v>
      </c>
      <c r="L1822" s="17">
        <v>841.0</v>
      </c>
      <c r="M1822" s="17">
        <v>2.0</v>
      </c>
      <c r="N1822" s="17">
        <v>1.0</v>
      </c>
      <c r="O1822" s="17">
        <v>13.4</v>
      </c>
      <c r="P1822" s="17">
        <v>3.8</v>
      </c>
      <c r="Q1822" s="15">
        <v>46099.0</v>
      </c>
      <c r="R1822" s="12"/>
      <c r="S1822" s="12" t="s">
        <v>55</v>
      </c>
      <c r="T1822" s="12" t="s">
        <v>75</v>
      </c>
      <c r="U1822" s="17">
        <f t="shared" si="1"/>
        <v>3</v>
      </c>
    </row>
    <row r="1823">
      <c r="A1823" s="12" t="s">
        <v>1629</v>
      </c>
      <c r="B1823" s="12" t="s">
        <v>126</v>
      </c>
      <c r="C1823" s="17">
        <v>23.0</v>
      </c>
      <c r="D1823" s="12" t="s">
        <v>60</v>
      </c>
      <c r="E1823" s="12" t="s">
        <v>107</v>
      </c>
      <c r="F1823" s="12" t="s">
        <v>62</v>
      </c>
      <c r="G1823" s="12" t="s">
        <v>120</v>
      </c>
      <c r="H1823" s="15">
        <v>44645.0</v>
      </c>
      <c r="I1823" s="17">
        <v>20.0</v>
      </c>
      <c r="J1823" s="12" t="s">
        <v>40</v>
      </c>
      <c r="K1823" s="12" t="s">
        <v>81</v>
      </c>
      <c r="L1823" s="17">
        <v>714.0</v>
      </c>
      <c r="M1823" s="17">
        <v>4.0</v>
      </c>
      <c r="N1823" s="17">
        <v>2.0</v>
      </c>
      <c r="O1823" s="17">
        <v>8.6</v>
      </c>
      <c r="P1823" s="17">
        <v>3.9</v>
      </c>
      <c r="Q1823" s="15">
        <v>44996.0</v>
      </c>
      <c r="R1823" s="12" t="s">
        <v>1630</v>
      </c>
      <c r="S1823" s="12" t="s">
        <v>45</v>
      </c>
      <c r="T1823" s="12" t="s">
        <v>104</v>
      </c>
      <c r="U1823" s="17">
        <f t="shared" si="1"/>
        <v>3</v>
      </c>
    </row>
    <row r="1824">
      <c r="A1824" s="12" t="s">
        <v>1361</v>
      </c>
      <c r="B1824" s="12" t="s">
        <v>74</v>
      </c>
      <c r="C1824" s="17">
        <v>46.0</v>
      </c>
      <c r="D1824" s="12" t="s">
        <v>69</v>
      </c>
      <c r="E1824" s="12" t="s">
        <v>70</v>
      </c>
      <c r="F1824" s="12" t="s">
        <v>413</v>
      </c>
      <c r="G1824" s="12" t="s">
        <v>80</v>
      </c>
      <c r="H1824" s="15">
        <v>45248.0</v>
      </c>
      <c r="I1824" s="17">
        <v>18.0</v>
      </c>
      <c r="J1824" s="12" t="s">
        <v>40</v>
      </c>
      <c r="K1824" s="12" t="s">
        <v>81</v>
      </c>
      <c r="L1824" s="17">
        <v>875.0</v>
      </c>
      <c r="M1824" s="17">
        <v>2.0</v>
      </c>
      <c r="N1824" s="17">
        <v>0.0</v>
      </c>
      <c r="O1824" s="17">
        <v>24.8</v>
      </c>
      <c r="P1824" s="17">
        <v>4.1</v>
      </c>
      <c r="Q1824" s="15">
        <v>45333.0</v>
      </c>
      <c r="R1824" s="12"/>
      <c r="S1824" s="12" t="s">
        <v>55</v>
      </c>
      <c r="T1824" s="12" t="s">
        <v>66</v>
      </c>
      <c r="U1824" s="17">
        <f t="shared" si="1"/>
        <v>2</v>
      </c>
    </row>
    <row r="1825">
      <c r="A1825" s="12" t="s">
        <v>527</v>
      </c>
      <c r="B1825" s="12" t="s">
        <v>229</v>
      </c>
      <c r="C1825" s="17">
        <v>67.0</v>
      </c>
      <c r="D1825" s="12" t="s">
        <v>35</v>
      </c>
      <c r="E1825" s="12" t="s">
        <v>36</v>
      </c>
      <c r="F1825" s="12" t="s">
        <v>37</v>
      </c>
      <c r="G1825" s="12" t="s">
        <v>120</v>
      </c>
      <c r="H1825" s="15">
        <v>44929.0</v>
      </c>
      <c r="I1825" s="17">
        <v>12.0</v>
      </c>
      <c r="J1825" s="12" t="s">
        <v>64</v>
      </c>
      <c r="K1825" s="12" t="s">
        <v>65</v>
      </c>
      <c r="L1825" s="17">
        <v>1084.0</v>
      </c>
      <c r="M1825" s="17">
        <v>4.0</v>
      </c>
      <c r="N1825" s="17">
        <v>1.0</v>
      </c>
      <c r="O1825" s="17">
        <v>22.8</v>
      </c>
      <c r="P1825" s="17">
        <v>3.0</v>
      </c>
      <c r="Q1825" s="15">
        <v>45299.0</v>
      </c>
      <c r="R1825" s="12" t="s">
        <v>1027</v>
      </c>
      <c r="S1825" s="12" t="s">
        <v>45</v>
      </c>
      <c r="T1825" s="12" t="s">
        <v>66</v>
      </c>
      <c r="U1825" s="17">
        <f t="shared" si="1"/>
        <v>3</v>
      </c>
    </row>
    <row r="1826">
      <c r="A1826" s="12" t="s">
        <v>528</v>
      </c>
      <c r="B1826" s="12" t="s">
        <v>235</v>
      </c>
      <c r="C1826" s="17">
        <v>42.0</v>
      </c>
      <c r="D1826" s="12" t="s">
        <v>35</v>
      </c>
      <c r="E1826" s="12" t="s">
        <v>51</v>
      </c>
      <c r="F1826" s="12" t="s">
        <v>37</v>
      </c>
      <c r="G1826" s="12" t="s">
        <v>93</v>
      </c>
      <c r="H1826" s="15">
        <v>45405.0</v>
      </c>
      <c r="I1826" s="17">
        <v>6.0</v>
      </c>
      <c r="J1826" s="12" t="s">
        <v>64</v>
      </c>
      <c r="K1826" s="12" t="s">
        <v>81</v>
      </c>
      <c r="L1826" s="17">
        <v>1132.0</v>
      </c>
      <c r="M1826" s="17">
        <v>0.0</v>
      </c>
      <c r="N1826" s="17">
        <v>1.0</v>
      </c>
      <c r="O1826" s="17">
        <v>19.0</v>
      </c>
      <c r="P1826" s="17">
        <v>5.0</v>
      </c>
      <c r="Q1826" s="15">
        <v>45469.0</v>
      </c>
      <c r="R1826" s="12"/>
      <c r="S1826" s="12" t="s">
        <v>55</v>
      </c>
      <c r="T1826" s="12" t="s">
        <v>75</v>
      </c>
      <c r="U1826" s="17">
        <f t="shared" si="1"/>
        <v>6</v>
      </c>
    </row>
  </sheetData>
  <autoFilter ref="$A$1:$U$1826"/>
  <conditionalFormatting sqref="A1:A1826">
    <cfRule type="expression" dxfId="0" priority="1">
      <formula>COUNTIF($A$2:$A$1826, A2)&gt;1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6.38"/>
    <col customWidth="1" min="21" max="21" width="22.88"/>
  </cols>
  <sheetData>
    <row r="1">
      <c r="A1" s="1" t="s">
        <v>0</v>
      </c>
      <c r="B1" s="1" t="s">
        <v>2</v>
      </c>
      <c r="C1" s="3" t="s">
        <v>4</v>
      </c>
      <c r="D1" s="1" t="s">
        <v>6</v>
      </c>
      <c r="E1" s="1" t="s">
        <v>7</v>
      </c>
      <c r="F1" s="1" t="s">
        <v>8</v>
      </c>
      <c r="G1" s="1" t="s">
        <v>10</v>
      </c>
      <c r="H1" s="5" t="s">
        <v>12</v>
      </c>
      <c r="I1" s="3" t="s">
        <v>14</v>
      </c>
      <c r="J1" s="1" t="s">
        <v>17</v>
      </c>
      <c r="K1" s="1" t="s">
        <v>18</v>
      </c>
      <c r="L1" s="7" t="s">
        <v>19</v>
      </c>
      <c r="M1" s="8" t="s">
        <v>20</v>
      </c>
      <c r="N1" s="8" t="s">
        <v>21</v>
      </c>
      <c r="O1" s="8" t="s">
        <v>22</v>
      </c>
      <c r="P1" s="8" t="s">
        <v>23</v>
      </c>
      <c r="Q1" s="5" t="s">
        <v>24</v>
      </c>
      <c r="R1" s="5" t="s">
        <v>25</v>
      </c>
      <c r="S1" s="1" t="s">
        <v>26</v>
      </c>
      <c r="T1" s="1" t="s">
        <v>27</v>
      </c>
      <c r="U1" s="11" t="s">
        <v>31</v>
      </c>
    </row>
    <row r="2">
      <c r="A2" s="13" t="s">
        <v>30</v>
      </c>
      <c r="B2" s="13" t="s">
        <v>34</v>
      </c>
      <c r="C2" s="14" t="s">
        <v>38</v>
      </c>
      <c r="D2" s="13" t="s">
        <v>35</v>
      </c>
      <c r="E2" s="13" t="s">
        <v>36</v>
      </c>
      <c r="F2" s="13" t="s">
        <v>37</v>
      </c>
      <c r="G2" s="13" t="s">
        <v>39</v>
      </c>
      <c r="H2" s="16">
        <v>45019.0</v>
      </c>
      <c r="I2" s="14">
        <v>9.0</v>
      </c>
      <c r="J2" s="13" t="s">
        <v>40</v>
      </c>
      <c r="K2" s="13" t="s">
        <v>41</v>
      </c>
      <c r="L2" s="14">
        <v>1757.0</v>
      </c>
      <c r="M2" s="18" t="s">
        <v>43</v>
      </c>
      <c r="N2" s="18" t="s">
        <v>46</v>
      </c>
      <c r="O2" s="18">
        <v>32.0</v>
      </c>
      <c r="P2" s="18" t="s">
        <v>48</v>
      </c>
      <c r="Q2" s="16">
        <v>45308.0</v>
      </c>
      <c r="R2" s="16" t="s">
        <v>44</v>
      </c>
      <c r="S2" s="13" t="s">
        <v>45</v>
      </c>
      <c r="T2" s="13" t="s">
        <v>47</v>
      </c>
      <c r="U2" s="13">
        <f t="shared" ref="U2:U1826" si="1">COUNTIF($A$2:$A$1826, A2)</f>
        <v>1</v>
      </c>
      <c r="V2" s="13" t="str">
        <f t="shared" ref="V2:V1826" si="2">TEXTJOIN("|",FALSE, A2:T2)</f>
        <v>C01310|Meera Das||North|Delhi|Standard|Instagram|4/3/2023|9|Monthly|Upi|1,757|2|0|32.00|3.6|1/17/2024|16/06/2023|Churned|Cloud Storage</v>
      </c>
      <c r="W2" s="13">
        <f t="shared" ref="W2:W1826" si="3">COUNTIF($V$2:$V$1826, V2)</f>
        <v>1</v>
      </c>
      <c r="X2" s="13">
        <f>IFERROR(__xludf.DUMMYFUNCTION("COUNTUNIQUE(FILTER($B$2:$B$1826,$A$2:$A$1826=A2))"),1.0)</f>
        <v>1</v>
      </c>
    </row>
    <row r="3">
      <c r="A3" s="13" t="s">
        <v>49</v>
      </c>
      <c r="B3" s="13" t="s">
        <v>50</v>
      </c>
      <c r="C3" s="14">
        <v>40.0</v>
      </c>
      <c r="D3" s="13" t="s">
        <v>35</v>
      </c>
      <c r="E3" s="13" t="s">
        <v>51</v>
      </c>
      <c r="F3" s="13" t="s">
        <v>37</v>
      </c>
      <c r="G3" s="13" t="s">
        <v>52</v>
      </c>
      <c r="H3" s="16">
        <v>45678.0</v>
      </c>
      <c r="I3" s="14">
        <v>27.0</v>
      </c>
      <c r="J3" s="13" t="s">
        <v>53</v>
      </c>
      <c r="K3" s="13" t="s">
        <v>41</v>
      </c>
      <c r="L3" s="14">
        <v>1283.0</v>
      </c>
      <c r="M3" s="18" t="s">
        <v>46</v>
      </c>
      <c r="N3" s="18" t="s">
        <v>43</v>
      </c>
      <c r="O3" s="18">
        <v>40.6</v>
      </c>
      <c r="P3" s="18" t="s">
        <v>76</v>
      </c>
      <c r="Q3" s="16">
        <v>45694.0</v>
      </c>
      <c r="R3" s="16" t="s">
        <v>38</v>
      </c>
      <c r="S3" s="13" t="s">
        <v>55</v>
      </c>
      <c r="T3" s="13" t="s">
        <v>47</v>
      </c>
      <c r="U3" s="13">
        <f t="shared" si="1"/>
        <v>1</v>
      </c>
      <c r="V3" s="13" t="str">
        <f t="shared" si="2"/>
        <v>C00477|Rahul Das|40|North|Jaipur|Standard|Facebook|1/21/2025|27|Quarterly|Upi|1,283|0|2|40.60|4.4|2/6/2025||Active|Cloud Storage</v>
      </c>
      <c r="W3" s="13">
        <f t="shared" si="3"/>
        <v>1</v>
      </c>
      <c r="X3" s="13">
        <f>IFERROR(__xludf.DUMMYFUNCTION("COUNTUNIQUE(FILTER($B$2:$B$1826,$A$2:$A$1826=A3))"),1.0)</f>
        <v>1</v>
      </c>
    </row>
    <row r="4">
      <c r="A4" s="13" t="s">
        <v>58</v>
      </c>
      <c r="B4" s="13" t="s">
        <v>59</v>
      </c>
      <c r="C4" s="14">
        <v>24.0</v>
      </c>
      <c r="D4" s="13" t="s">
        <v>60</v>
      </c>
      <c r="E4" s="13" t="s">
        <v>61</v>
      </c>
      <c r="F4" s="13" t="s">
        <v>62</v>
      </c>
      <c r="G4" s="13" t="s">
        <v>63</v>
      </c>
      <c r="H4" s="16">
        <v>45297.0</v>
      </c>
      <c r="I4" s="14">
        <v>23.0</v>
      </c>
      <c r="J4" s="13" t="s">
        <v>64</v>
      </c>
      <c r="K4" s="13" t="s">
        <v>65</v>
      </c>
      <c r="L4" s="14">
        <v>521.0</v>
      </c>
      <c r="M4" s="18" t="s">
        <v>43</v>
      </c>
      <c r="N4" s="18" t="s">
        <v>46</v>
      </c>
      <c r="O4" s="18">
        <v>14.3</v>
      </c>
      <c r="P4" s="18" t="s">
        <v>89</v>
      </c>
      <c r="Q4" s="16">
        <v>45856.0</v>
      </c>
      <c r="R4" s="16" t="s">
        <v>38</v>
      </c>
      <c r="S4" s="13" t="s">
        <v>55</v>
      </c>
      <c r="T4" s="13" t="s">
        <v>66</v>
      </c>
      <c r="U4" s="13">
        <f t="shared" si="1"/>
        <v>1</v>
      </c>
      <c r="V4" s="13" t="str">
        <f t="shared" si="2"/>
        <v>C01564|Priya Das|24|East|Kolkata|Basic|Google Ads|1/6/2024|23|Annual|Credit Card|521|2|0|14.30|3.3|7/18/2025||Active|Automation</v>
      </c>
      <c r="W4" s="13">
        <f t="shared" si="3"/>
        <v>1</v>
      </c>
      <c r="X4" s="13">
        <f>IFERROR(__xludf.DUMMYFUNCTION("COUNTUNIQUE(FILTER($B$2:$B$1826,$A$2:$A$1826=A4))"),1.0)</f>
        <v>1</v>
      </c>
    </row>
    <row r="5">
      <c r="A5" s="13" t="s">
        <v>67</v>
      </c>
      <c r="B5" s="13" t="s">
        <v>68</v>
      </c>
      <c r="C5" s="14">
        <v>42.0</v>
      </c>
      <c r="D5" s="13" t="s">
        <v>69</v>
      </c>
      <c r="E5" s="13" t="s">
        <v>70</v>
      </c>
      <c r="F5" s="13" t="s">
        <v>62</v>
      </c>
      <c r="G5" s="13" t="s">
        <v>39</v>
      </c>
      <c r="H5" s="16">
        <v>45154.0</v>
      </c>
      <c r="I5" s="14">
        <v>6.0</v>
      </c>
      <c r="J5" s="13" t="s">
        <v>53</v>
      </c>
      <c r="K5" s="13" t="s">
        <v>41</v>
      </c>
      <c r="L5" s="14">
        <v>550.0</v>
      </c>
      <c r="M5" s="18" t="s">
        <v>98</v>
      </c>
      <c r="N5" s="18" t="s">
        <v>98</v>
      </c>
      <c r="O5" s="18">
        <v>9.9</v>
      </c>
      <c r="P5" s="18" t="s">
        <v>99</v>
      </c>
      <c r="Q5" s="16">
        <v>45280.0</v>
      </c>
      <c r="R5" s="16" t="s">
        <v>71</v>
      </c>
      <c r="S5" s="13" t="s">
        <v>45</v>
      </c>
      <c r="T5" s="13" t="s">
        <v>72</v>
      </c>
      <c r="U5" s="13">
        <f t="shared" si="1"/>
        <v>1</v>
      </c>
      <c r="V5" s="13" t="str">
        <f t="shared" si="2"/>
        <v>C00741|Anita Patel|42|South|Bengaluru|Basic|Instagram|8/16/2023|6|Quarterly|Upi|550|1|1|9.90|4|12/20/2023|24/02/2024|Churned|Collaboration</v>
      </c>
      <c r="W5" s="13">
        <f t="shared" si="3"/>
        <v>1</v>
      </c>
      <c r="X5" s="13">
        <f>IFERROR(__xludf.DUMMYFUNCTION("COUNTUNIQUE(FILTER($B$2:$B$1826,$A$2:$A$1826=A5))"),1.0)</f>
        <v>1</v>
      </c>
    </row>
    <row r="6">
      <c r="A6" s="13" t="s">
        <v>73</v>
      </c>
      <c r="B6" s="13" t="s">
        <v>74</v>
      </c>
      <c r="C6" s="14">
        <v>33.0</v>
      </c>
      <c r="D6" s="13" t="s">
        <v>35</v>
      </c>
      <c r="E6" s="13" t="s">
        <v>51</v>
      </c>
      <c r="F6" s="13" t="s">
        <v>37</v>
      </c>
      <c r="G6" s="13" t="s">
        <v>39</v>
      </c>
      <c r="H6" s="16">
        <v>44896.0</v>
      </c>
      <c r="I6" s="14">
        <v>30.0</v>
      </c>
      <c r="J6" s="13" t="s">
        <v>40</v>
      </c>
      <c r="K6" s="13" t="s">
        <v>65</v>
      </c>
      <c r="L6" s="14">
        <v>1703.0</v>
      </c>
      <c r="M6" s="18" t="s">
        <v>98</v>
      </c>
      <c r="N6" s="18" t="s">
        <v>98</v>
      </c>
      <c r="O6" s="18">
        <v>28.5</v>
      </c>
      <c r="P6" s="18" t="s">
        <v>108</v>
      </c>
      <c r="Q6" s="16">
        <v>45130.0</v>
      </c>
      <c r="R6" s="16" t="s">
        <v>38</v>
      </c>
      <c r="S6" s="13" t="s">
        <v>55</v>
      </c>
      <c r="T6" s="13" t="s">
        <v>75</v>
      </c>
      <c r="U6" s="13">
        <f t="shared" si="1"/>
        <v>3</v>
      </c>
      <c r="V6" s="13" t="str">
        <f t="shared" si="2"/>
        <v>C01438|Anita Kumar|33|North|Jaipur|Standard|Instagram|12/1/2022|30|Monthly|Credit Card|1,703|1|1|28.50|2.4|7/23/2023||Active|Security</v>
      </c>
      <c r="W6" s="13">
        <f t="shared" si="3"/>
        <v>1</v>
      </c>
      <c r="X6" s="13">
        <f>IFERROR(__xludf.DUMMYFUNCTION("COUNTUNIQUE(FILTER($B$2:$B$1826,$A$2:$A$1826=A6))"),3.0)</f>
        <v>3</v>
      </c>
    </row>
    <row r="7">
      <c r="A7" s="13" t="s">
        <v>77</v>
      </c>
      <c r="B7" s="13" t="s">
        <v>78</v>
      </c>
      <c r="C7" s="14">
        <v>34.0</v>
      </c>
      <c r="D7" s="13" t="s">
        <v>35</v>
      </c>
      <c r="E7" s="13" t="s">
        <v>51</v>
      </c>
      <c r="F7" s="13" t="s">
        <v>79</v>
      </c>
      <c r="G7" s="13" t="s">
        <v>80</v>
      </c>
      <c r="H7" s="16">
        <v>45206.0</v>
      </c>
      <c r="I7" s="14">
        <v>14.0</v>
      </c>
      <c r="J7" s="13" t="s">
        <v>64</v>
      </c>
      <c r="K7" s="13" t="s">
        <v>81</v>
      </c>
      <c r="L7" s="14">
        <v>2938.0</v>
      </c>
      <c r="M7" s="18" t="s">
        <v>43</v>
      </c>
      <c r="N7" s="18" t="s">
        <v>98</v>
      </c>
      <c r="O7" s="18">
        <v>33.2</v>
      </c>
      <c r="P7" s="18" t="s">
        <v>116</v>
      </c>
      <c r="Q7" s="16">
        <v>45289.0</v>
      </c>
      <c r="R7" s="16" t="s">
        <v>38</v>
      </c>
      <c r="S7" s="13" t="s">
        <v>55</v>
      </c>
      <c r="T7" s="13" t="s">
        <v>66</v>
      </c>
      <c r="U7" s="13">
        <f t="shared" si="1"/>
        <v>6</v>
      </c>
      <c r="V7" s="13" t="str">
        <f t="shared" si="2"/>
        <v>C00549|Vikram Patel|34|North|Jaipur|Premium|Organic Search|10/7/2023|14|Annual|Debit Card|2,938|2|1|33.20|3.4|12/29/2023||Active|Automation</v>
      </c>
      <c r="W7" s="13">
        <f t="shared" si="3"/>
        <v>1</v>
      </c>
      <c r="X7" s="13">
        <f>IFERROR(__xludf.DUMMYFUNCTION("COUNTUNIQUE(FILTER($B$2:$B$1826,$A$2:$A$1826=A7))"),6.0)</f>
        <v>6</v>
      </c>
    </row>
    <row r="8">
      <c r="A8" s="13" t="s">
        <v>82</v>
      </c>
      <c r="B8" s="13" t="s">
        <v>50</v>
      </c>
      <c r="C8" s="14">
        <v>57.0</v>
      </c>
      <c r="D8" s="13" t="s">
        <v>85</v>
      </c>
      <c r="E8" s="13" t="s">
        <v>87</v>
      </c>
      <c r="F8" s="13" t="s">
        <v>62</v>
      </c>
      <c r="G8" s="13" t="s">
        <v>39</v>
      </c>
      <c r="H8" s="16">
        <v>45605.0</v>
      </c>
      <c r="I8" s="14">
        <v>32.0</v>
      </c>
      <c r="J8" s="13" t="s">
        <v>40</v>
      </c>
      <c r="K8" s="13" t="s">
        <v>65</v>
      </c>
      <c r="L8" s="14">
        <v>523.0</v>
      </c>
      <c r="M8" s="18" t="s">
        <v>43</v>
      </c>
      <c r="N8" s="18" t="s">
        <v>98</v>
      </c>
      <c r="O8" s="18">
        <v>16.2</v>
      </c>
      <c r="P8" s="18" t="s">
        <v>123</v>
      </c>
      <c r="Q8" s="16">
        <v>46257.0</v>
      </c>
      <c r="R8" s="16" t="s">
        <v>38</v>
      </c>
      <c r="S8" s="13" t="s">
        <v>55</v>
      </c>
      <c r="T8" s="13" t="s">
        <v>75</v>
      </c>
      <c r="U8" s="13">
        <f t="shared" si="1"/>
        <v>2</v>
      </c>
      <c r="V8" s="13" t="str">
        <f t="shared" si="2"/>
        <v>C00539|Rahul Das|57|West|Surat|Basic|Instagram|11/9/2024|32|Monthly|Credit Card|523|2|1|16.20|4.1|8/23/2026||Active|Security</v>
      </c>
      <c r="W8" s="13">
        <f t="shared" si="3"/>
        <v>1</v>
      </c>
      <c r="X8" s="13">
        <f>IFERROR(__xludf.DUMMYFUNCTION("COUNTUNIQUE(FILTER($B$2:$B$1826,$A$2:$A$1826=A8))"),2.0)</f>
        <v>2</v>
      </c>
    </row>
    <row r="9">
      <c r="A9" s="13" t="s">
        <v>90</v>
      </c>
      <c r="B9" s="13" t="s">
        <v>91</v>
      </c>
      <c r="C9" s="14">
        <v>37.0</v>
      </c>
      <c r="D9" s="13" t="s">
        <v>85</v>
      </c>
      <c r="E9" s="13" t="s">
        <v>92</v>
      </c>
      <c r="F9" s="13" t="s">
        <v>79</v>
      </c>
      <c r="G9" s="13" t="s">
        <v>128</v>
      </c>
      <c r="H9" s="16">
        <v>44585.0</v>
      </c>
      <c r="I9" s="14">
        <v>44.0</v>
      </c>
      <c r="J9" s="13" t="s">
        <v>53</v>
      </c>
      <c r="K9" s="13" t="s">
        <v>41</v>
      </c>
      <c r="L9" s="14">
        <v>3536.0</v>
      </c>
      <c r="M9" s="18" t="s">
        <v>46</v>
      </c>
      <c r="N9" s="18" t="s">
        <v>46</v>
      </c>
      <c r="O9" s="18">
        <v>43.9</v>
      </c>
      <c r="P9" s="18" t="s">
        <v>130</v>
      </c>
      <c r="Q9" s="16">
        <v>45141.0</v>
      </c>
      <c r="R9" s="16" t="s">
        <v>94</v>
      </c>
      <c r="S9" s="13" t="s">
        <v>45</v>
      </c>
      <c r="T9" s="13" t="s">
        <v>75</v>
      </c>
      <c r="U9" s="13">
        <f t="shared" si="1"/>
        <v>2</v>
      </c>
      <c r="V9" s="13" t="str">
        <f t="shared" si="2"/>
        <v>C01221|Anita Sharma|37|West|Ahmedabad|Premium|Youtube|1/24/2022|44|Quarterly|Upi|3,536|0|0|43.90|3.9|8/3/2023|27/09/2025|Churned|Security</v>
      </c>
      <c r="W9" s="13">
        <f t="shared" si="3"/>
        <v>1</v>
      </c>
      <c r="X9" s="13">
        <f>IFERROR(__xludf.DUMMYFUNCTION("COUNTUNIQUE(FILTER($B$2:$B$1826,$A$2:$A$1826=A9))"),2.0)</f>
        <v>2</v>
      </c>
    </row>
    <row r="10">
      <c r="A10" s="13" t="s">
        <v>95</v>
      </c>
      <c r="B10" s="13" t="s">
        <v>96</v>
      </c>
      <c r="C10" s="14">
        <v>57.0</v>
      </c>
      <c r="D10" s="13" t="s">
        <v>60</v>
      </c>
      <c r="E10" s="13" t="s">
        <v>97</v>
      </c>
      <c r="F10" s="13" t="s">
        <v>37</v>
      </c>
      <c r="G10" s="13" t="s">
        <v>63</v>
      </c>
      <c r="H10" s="16">
        <v>45842.0</v>
      </c>
      <c r="I10" s="14">
        <v>20.0</v>
      </c>
      <c r="J10" s="13" t="s">
        <v>53</v>
      </c>
      <c r="K10" s="13" t="s">
        <v>65</v>
      </c>
      <c r="L10" s="14">
        <v>1622.0</v>
      </c>
      <c r="M10" s="18" t="s">
        <v>98</v>
      </c>
      <c r="N10" s="18" t="s">
        <v>98</v>
      </c>
      <c r="O10" s="18">
        <v>27.1</v>
      </c>
      <c r="P10" s="18" t="s">
        <v>116</v>
      </c>
      <c r="Q10" s="16">
        <v>46008.0</v>
      </c>
      <c r="R10" s="16" t="s">
        <v>101</v>
      </c>
      <c r="S10" s="13" t="s">
        <v>45</v>
      </c>
      <c r="T10" s="13" t="s">
        <v>104</v>
      </c>
      <c r="U10" s="13">
        <f t="shared" si="1"/>
        <v>4</v>
      </c>
      <c r="V10" s="13" t="str">
        <f t="shared" si="2"/>
        <v>C00007|Rahul Kumar|57|East|Bhubaneswar|Standard|Google Ads|7/4/2025|20|Quarterly|Credit Card|1,622|1|1|27.10|3.4|12/17/2025|20/08/2026|Churned|Analytics</v>
      </c>
      <c r="W10" s="13">
        <f t="shared" si="3"/>
        <v>1</v>
      </c>
      <c r="X10" s="13">
        <f>IFERROR(__xludf.DUMMYFUNCTION("COUNTUNIQUE(FILTER($B$2:$B$1826,$A$2:$A$1826=A10))"),4.0)</f>
        <v>4</v>
      </c>
    </row>
    <row r="11">
      <c r="A11" s="13" t="s">
        <v>105</v>
      </c>
      <c r="B11" s="13" t="s">
        <v>106</v>
      </c>
      <c r="C11" s="14">
        <v>61.0</v>
      </c>
      <c r="D11" s="13" t="s">
        <v>60</v>
      </c>
      <c r="E11" s="13" t="s">
        <v>107</v>
      </c>
      <c r="F11" s="13" t="s">
        <v>62</v>
      </c>
      <c r="G11" s="13" t="s">
        <v>39</v>
      </c>
      <c r="H11" s="16">
        <v>45723.0</v>
      </c>
      <c r="I11" s="14">
        <v>6.0</v>
      </c>
      <c r="J11" s="13" t="s">
        <v>53</v>
      </c>
      <c r="K11" s="13" t="s">
        <v>81</v>
      </c>
      <c r="L11" s="14">
        <v>747.0</v>
      </c>
      <c r="M11" s="18" t="s">
        <v>98</v>
      </c>
      <c r="N11" s="18" t="s">
        <v>46</v>
      </c>
      <c r="O11" s="18">
        <v>20.7</v>
      </c>
      <c r="P11" s="18" t="s">
        <v>143</v>
      </c>
      <c r="Q11" s="16">
        <v>45869.0</v>
      </c>
      <c r="R11" s="16" t="s">
        <v>38</v>
      </c>
      <c r="S11" s="13" t="s">
        <v>55</v>
      </c>
      <c r="T11" s="13" t="s">
        <v>47</v>
      </c>
      <c r="U11" s="13">
        <f t="shared" si="1"/>
        <v>3</v>
      </c>
      <c r="V11" s="13" t="str">
        <f t="shared" si="2"/>
        <v>C00230|Rahul Patel|61|East|Patna|Basic|Instagram|3/7/2025|6|Quarterly|Debit Card|747|1|0|20.70|2.1|7/31/2025||Active|Cloud Storage</v>
      </c>
      <c r="W11" s="13">
        <f t="shared" si="3"/>
        <v>1</v>
      </c>
      <c r="X11" s="13">
        <f>IFERROR(__xludf.DUMMYFUNCTION("COUNTUNIQUE(FILTER($B$2:$B$1826,$A$2:$A$1826=A11))"),3.0)</f>
        <v>3</v>
      </c>
    </row>
    <row r="12">
      <c r="A12" s="13" t="s">
        <v>109</v>
      </c>
      <c r="B12" s="13" t="s">
        <v>110</v>
      </c>
      <c r="C12" s="14">
        <v>26.0</v>
      </c>
      <c r="D12" s="13" t="s">
        <v>85</v>
      </c>
      <c r="E12" s="13" t="s">
        <v>111</v>
      </c>
      <c r="F12" s="13" t="s">
        <v>79</v>
      </c>
      <c r="G12" s="13" t="s">
        <v>128</v>
      </c>
      <c r="H12" s="16">
        <v>45974.0</v>
      </c>
      <c r="I12" s="14">
        <v>13.0</v>
      </c>
      <c r="J12" s="13" t="s">
        <v>40</v>
      </c>
      <c r="K12" s="13" t="s">
        <v>41</v>
      </c>
      <c r="L12" s="14">
        <v>3329.0</v>
      </c>
      <c r="M12" s="18" t="s">
        <v>43</v>
      </c>
      <c r="N12" s="18" t="s">
        <v>46</v>
      </c>
      <c r="O12" s="18">
        <v>42.7</v>
      </c>
      <c r="P12" s="18" t="s">
        <v>150</v>
      </c>
      <c r="Q12" s="16">
        <v>46175.0</v>
      </c>
      <c r="R12" s="16" t="s">
        <v>38</v>
      </c>
      <c r="S12" s="13" t="s">
        <v>55</v>
      </c>
      <c r="T12" s="13" t="s">
        <v>104</v>
      </c>
      <c r="U12" s="13">
        <f t="shared" si="1"/>
        <v>5</v>
      </c>
      <c r="V12" s="13" t="str">
        <f t="shared" si="2"/>
        <v>C00543|Sneha Nair|26|West|Pune|Premium|Youtube|11/13/2025|13|Monthly|Upi|3,329|2|0|42.70|4.5|6/2/2026||Active|Analytics</v>
      </c>
      <c r="W12" s="13">
        <f t="shared" si="3"/>
        <v>1</v>
      </c>
      <c r="X12" s="13">
        <f>IFERROR(__xludf.DUMMYFUNCTION("COUNTUNIQUE(FILTER($B$2:$B$1826,$A$2:$A$1826=A12))"),5.0)</f>
        <v>5</v>
      </c>
    </row>
    <row r="13">
      <c r="A13" s="13" t="s">
        <v>113</v>
      </c>
      <c r="B13" s="13" t="s">
        <v>91</v>
      </c>
      <c r="C13" s="14">
        <v>51.0</v>
      </c>
      <c r="D13" s="13" t="s">
        <v>35</v>
      </c>
      <c r="E13" s="13" t="s">
        <v>51</v>
      </c>
      <c r="F13" s="13" t="s">
        <v>37</v>
      </c>
      <c r="G13" s="13" t="s">
        <v>63</v>
      </c>
      <c r="H13" s="16">
        <v>44707.0</v>
      </c>
      <c r="I13" s="14">
        <v>46.0</v>
      </c>
      <c r="J13" s="13" t="s">
        <v>40</v>
      </c>
      <c r="K13" s="13" t="s">
        <v>65</v>
      </c>
      <c r="L13" s="14">
        <v>1068.0</v>
      </c>
      <c r="M13" s="18" t="s">
        <v>46</v>
      </c>
      <c r="N13" s="18" t="s">
        <v>46</v>
      </c>
      <c r="O13" s="18">
        <v>15.9</v>
      </c>
      <c r="P13" s="18" t="s">
        <v>158</v>
      </c>
      <c r="Q13" s="16">
        <v>44781.0</v>
      </c>
      <c r="R13" s="16" t="s">
        <v>38</v>
      </c>
      <c r="S13" s="13" t="s">
        <v>55</v>
      </c>
      <c r="T13" s="13" t="s">
        <v>75</v>
      </c>
      <c r="U13" s="13">
        <f t="shared" si="1"/>
        <v>3</v>
      </c>
      <c r="V13" s="13" t="str">
        <f t="shared" si="2"/>
        <v>C00693|Anita Sharma|51|North|Jaipur|Standard|Google Ads|5/26/2022|46|Monthly|Credit Card|1,068|0|0|15.90|4.7|8/8/2022||Active|Security</v>
      </c>
      <c r="W13" s="13">
        <f t="shared" si="3"/>
        <v>1</v>
      </c>
      <c r="X13" s="13">
        <f>IFERROR(__xludf.DUMMYFUNCTION("COUNTUNIQUE(FILTER($B$2:$B$1826,$A$2:$A$1826=A13))"),3.0)</f>
        <v>3</v>
      </c>
    </row>
    <row r="14">
      <c r="A14" s="13" t="s">
        <v>117</v>
      </c>
      <c r="B14" s="13" t="s">
        <v>118</v>
      </c>
      <c r="C14" s="14">
        <v>65.0</v>
      </c>
      <c r="D14" s="13" t="s">
        <v>69</v>
      </c>
      <c r="E14" s="13" t="s">
        <v>119</v>
      </c>
      <c r="F14" s="13" t="s">
        <v>62</v>
      </c>
      <c r="G14" s="13" t="s">
        <v>120</v>
      </c>
      <c r="H14" s="16">
        <v>45395.0</v>
      </c>
      <c r="I14" s="14">
        <v>13.0</v>
      </c>
      <c r="J14" s="13" t="s">
        <v>40</v>
      </c>
      <c r="K14" s="13" t="s">
        <v>81</v>
      </c>
      <c r="L14" s="14">
        <v>836.0</v>
      </c>
      <c r="M14" s="18" t="s">
        <v>164</v>
      </c>
      <c r="N14" s="18" t="s">
        <v>43</v>
      </c>
      <c r="O14" s="18">
        <v>27.4</v>
      </c>
      <c r="P14" s="18" t="s">
        <v>38</v>
      </c>
      <c r="Q14" s="16">
        <v>45621.0</v>
      </c>
      <c r="R14" s="16" t="s">
        <v>38</v>
      </c>
      <c r="S14" s="13" t="s">
        <v>55</v>
      </c>
      <c r="T14" s="13" t="s">
        <v>104</v>
      </c>
      <c r="U14" s="13">
        <f t="shared" si="1"/>
        <v>1</v>
      </c>
      <c r="V14" s="13" t="str">
        <f t="shared" si="2"/>
        <v>C00439|Karan Nair|65|South|Kochi|Basic|Email|4/13/2024|13|Monthly|Debit Card|836|3|2|27.40||11/25/2024||Active|Analytics</v>
      </c>
      <c r="W14" s="13">
        <f t="shared" si="3"/>
        <v>1</v>
      </c>
      <c r="X14" s="13">
        <f>IFERROR(__xludf.DUMMYFUNCTION("COUNTUNIQUE(FILTER($B$2:$B$1826,$A$2:$A$1826=A14))"),1.0)</f>
        <v>1</v>
      </c>
    </row>
    <row r="15">
      <c r="A15" s="13" t="s">
        <v>121</v>
      </c>
      <c r="B15" s="13" t="s">
        <v>169</v>
      </c>
      <c r="C15" s="14">
        <v>34.0</v>
      </c>
      <c r="D15" s="13" t="s">
        <v>85</v>
      </c>
      <c r="E15" s="13" t="s">
        <v>92</v>
      </c>
      <c r="F15" s="13" t="s">
        <v>37</v>
      </c>
      <c r="G15" s="13" t="s">
        <v>63</v>
      </c>
      <c r="H15" s="16">
        <v>45071.0</v>
      </c>
      <c r="I15" s="14">
        <v>13.0</v>
      </c>
      <c r="J15" s="13" t="s">
        <v>40</v>
      </c>
      <c r="K15" s="13" t="s">
        <v>65</v>
      </c>
      <c r="L15" s="14">
        <v>1142.0</v>
      </c>
      <c r="M15" s="18" t="s">
        <v>43</v>
      </c>
      <c r="N15" s="18" t="s">
        <v>46</v>
      </c>
      <c r="O15" s="18">
        <v>27.7</v>
      </c>
      <c r="P15" s="18" t="s">
        <v>173</v>
      </c>
      <c r="Q15" s="16">
        <v>45174.0</v>
      </c>
      <c r="R15" s="16" t="s">
        <v>38</v>
      </c>
      <c r="S15" s="13" t="s">
        <v>55</v>
      </c>
      <c r="T15" s="13" t="s">
        <v>66</v>
      </c>
      <c r="U15" s="13">
        <f t="shared" si="1"/>
        <v>2</v>
      </c>
      <c r="V15" s="13" t="str">
        <f t="shared" si="2"/>
        <v>C00125|Vikram Nair|34|West|Ahmedabad|Standard|Google Ads|5/25/2023|13|Monthly|Credit Card|1,142|2|0|27.70|5|9/5/2023||Active|Automation</v>
      </c>
      <c r="W15" s="13">
        <f t="shared" si="3"/>
        <v>1</v>
      </c>
      <c r="X15" s="13">
        <f>IFERROR(__xludf.DUMMYFUNCTION("COUNTUNIQUE(FILTER($B$2:$B$1826,$A$2:$A$1826=A15))"),2.0)</f>
        <v>2</v>
      </c>
    </row>
    <row r="16">
      <c r="A16" s="13" t="s">
        <v>125</v>
      </c>
      <c r="B16" s="13" t="s">
        <v>126</v>
      </c>
      <c r="C16" s="14">
        <v>43.0</v>
      </c>
      <c r="D16" s="13" t="s">
        <v>35</v>
      </c>
      <c r="E16" s="13" t="s">
        <v>36</v>
      </c>
      <c r="F16" s="13" t="s">
        <v>79</v>
      </c>
      <c r="G16" s="13" t="s">
        <v>128</v>
      </c>
      <c r="H16" s="16">
        <v>45046.0</v>
      </c>
      <c r="I16" s="14">
        <v>11.0</v>
      </c>
      <c r="J16" s="13" t="s">
        <v>40</v>
      </c>
      <c r="K16" s="13" t="s">
        <v>65</v>
      </c>
      <c r="L16" s="14">
        <v>3769.0</v>
      </c>
      <c r="M16" s="18" t="s">
        <v>164</v>
      </c>
      <c r="N16" s="18" t="s">
        <v>98</v>
      </c>
      <c r="O16" s="18">
        <v>38.7</v>
      </c>
      <c r="P16" s="18" t="s">
        <v>116</v>
      </c>
      <c r="Q16" s="16">
        <v>45261.0</v>
      </c>
      <c r="R16" s="16" t="s">
        <v>38</v>
      </c>
      <c r="S16" s="13" t="s">
        <v>55</v>
      </c>
      <c r="T16" s="13" t="s">
        <v>72</v>
      </c>
      <c r="U16" s="13">
        <f t="shared" si="1"/>
        <v>1</v>
      </c>
      <c r="V16" s="13" t="str">
        <f t="shared" si="2"/>
        <v>C00201|Arun Patel|43|North|Delhi|Premium|Youtube|4/30/2023|11|Monthly|Credit Card|3,769|3|1|38.70|3.4|12/1/2023||Active|Collaboration</v>
      </c>
      <c r="W16" s="13">
        <f t="shared" si="3"/>
        <v>1</v>
      </c>
      <c r="X16" s="13">
        <f>IFERROR(__xludf.DUMMYFUNCTION("COUNTUNIQUE(FILTER($B$2:$B$1826,$A$2:$A$1826=A16))"),1.0)</f>
        <v>1</v>
      </c>
    </row>
    <row r="17">
      <c r="A17" s="13" t="s">
        <v>131</v>
      </c>
      <c r="B17" s="13" t="s">
        <v>132</v>
      </c>
      <c r="C17" s="14">
        <v>66.0</v>
      </c>
      <c r="D17" s="13" t="s">
        <v>60</v>
      </c>
      <c r="E17" s="13" t="s">
        <v>133</v>
      </c>
      <c r="F17" s="13" t="s">
        <v>37</v>
      </c>
      <c r="G17" s="13" t="s">
        <v>52</v>
      </c>
      <c r="H17" s="16">
        <v>45700.0</v>
      </c>
      <c r="I17" s="14">
        <v>43.0</v>
      </c>
      <c r="J17" s="13" t="s">
        <v>53</v>
      </c>
      <c r="K17" s="13" t="s">
        <v>41</v>
      </c>
      <c r="L17" s="14">
        <v>1193.0</v>
      </c>
      <c r="M17" s="18" t="s">
        <v>173</v>
      </c>
      <c r="N17" s="18" t="s">
        <v>164</v>
      </c>
      <c r="O17" s="18">
        <v>21.5</v>
      </c>
      <c r="P17" s="18" t="s">
        <v>185</v>
      </c>
      <c r="Q17" s="16">
        <v>46155.0</v>
      </c>
      <c r="R17" s="16" t="s">
        <v>38</v>
      </c>
      <c r="S17" s="13" t="s">
        <v>55</v>
      </c>
      <c r="T17" s="13" t="s">
        <v>104</v>
      </c>
      <c r="U17" s="13">
        <f t="shared" si="1"/>
        <v>2</v>
      </c>
      <c r="V17" s="13" t="str">
        <f t="shared" si="2"/>
        <v>C00932|Arun Kumar|66|East|Guwahati|Standard|Facebook|2/12/2025|43|Quarterly|Upi|1,193|5|3|21.50|3.2|5/13/2026||Active|Analytics</v>
      </c>
      <c r="W17" s="13">
        <f t="shared" si="3"/>
        <v>1</v>
      </c>
      <c r="X17" s="13">
        <f>IFERROR(__xludf.DUMMYFUNCTION("COUNTUNIQUE(FILTER($B$2:$B$1826,$A$2:$A$1826=A17))"),2.0)</f>
        <v>2</v>
      </c>
    </row>
    <row r="18">
      <c r="A18" s="13" t="s">
        <v>134</v>
      </c>
      <c r="B18" s="13" t="s">
        <v>135</v>
      </c>
      <c r="C18" s="14">
        <v>55.0</v>
      </c>
      <c r="D18" s="13" t="s">
        <v>85</v>
      </c>
      <c r="E18" s="13" t="s">
        <v>111</v>
      </c>
      <c r="F18" s="13" t="s">
        <v>62</v>
      </c>
      <c r="G18" s="13" t="s">
        <v>80</v>
      </c>
      <c r="H18" s="16">
        <v>44726.0</v>
      </c>
      <c r="I18" s="14">
        <v>12.0</v>
      </c>
      <c r="J18" s="13" t="s">
        <v>40</v>
      </c>
      <c r="K18" s="13" t="s">
        <v>81</v>
      </c>
      <c r="L18" s="14">
        <v>533.0</v>
      </c>
      <c r="M18" s="18" t="s">
        <v>98</v>
      </c>
      <c r="N18" s="18" t="s">
        <v>43</v>
      </c>
      <c r="O18" s="18">
        <v>12.4</v>
      </c>
      <c r="P18" s="18" t="s">
        <v>116</v>
      </c>
      <c r="Q18" s="16">
        <v>44856.0</v>
      </c>
      <c r="R18" s="16" t="s">
        <v>38</v>
      </c>
      <c r="S18" s="13" t="s">
        <v>55</v>
      </c>
      <c r="T18" s="13" t="s">
        <v>66</v>
      </c>
      <c r="U18" s="13">
        <f t="shared" si="1"/>
        <v>1</v>
      </c>
      <c r="V18" s="13" t="str">
        <f t="shared" si="2"/>
        <v>C01197|Karan Sharma|55|West|Pune|Basic|Organic Search|6/14/2022|12|Monthly|Debit Card|533|1|2|12.40|3.4|10/22/2022||Active|Automation</v>
      </c>
      <c r="W18" s="13">
        <f t="shared" si="3"/>
        <v>1</v>
      </c>
      <c r="X18" s="13">
        <f>IFERROR(__xludf.DUMMYFUNCTION("COUNTUNIQUE(FILTER($B$2:$B$1826,$A$2:$A$1826=A18))"),1.0)</f>
        <v>1</v>
      </c>
    </row>
    <row r="19">
      <c r="A19" s="13" t="s">
        <v>138</v>
      </c>
      <c r="B19" s="13" t="s">
        <v>139</v>
      </c>
      <c r="C19" s="14">
        <v>27.0</v>
      </c>
      <c r="D19" s="13" t="s">
        <v>35</v>
      </c>
      <c r="E19" s="13" t="s">
        <v>140</v>
      </c>
      <c r="F19" s="13" t="s">
        <v>37</v>
      </c>
      <c r="G19" s="13" t="s">
        <v>80</v>
      </c>
      <c r="H19" s="16">
        <v>45632.0</v>
      </c>
      <c r="I19" s="14">
        <v>21.0</v>
      </c>
      <c r="J19" s="13" t="s">
        <v>64</v>
      </c>
      <c r="K19" s="13" t="s">
        <v>81</v>
      </c>
      <c r="L19" s="14">
        <v>1684.0</v>
      </c>
      <c r="M19" s="18" t="s">
        <v>98</v>
      </c>
      <c r="N19" s="18" t="s">
        <v>46</v>
      </c>
      <c r="O19" s="18">
        <v>6.8</v>
      </c>
      <c r="P19" s="18" t="s">
        <v>99</v>
      </c>
      <c r="Q19" s="16">
        <v>45963.0</v>
      </c>
      <c r="R19" s="16">
        <v>45817.0</v>
      </c>
      <c r="S19" s="13" t="s">
        <v>45</v>
      </c>
      <c r="T19" s="13" t="s">
        <v>72</v>
      </c>
      <c r="U19" s="13">
        <f t="shared" si="1"/>
        <v>2</v>
      </c>
      <c r="V19" s="13" t="str">
        <f t="shared" si="2"/>
        <v>C00082|Vikram Das|27|North|Lucknow|Standard|Organic Search|12/6/2024|21|Annual|Debit Card|1,684|1|0|6.80|4|11/2/2025|6/9/2025|Churned|Collaboration</v>
      </c>
      <c r="W19" s="13">
        <f t="shared" si="3"/>
        <v>1</v>
      </c>
      <c r="X19" s="13">
        <f>IFERROR(__xludf.DUMMYFUNCTION("COUNTUNIQUE(FILTER($B$2:$B$1826,$A$2:$A$1826=A19))"),2.0)</f>
        <v>2</v>
      </c>
    </row>
    <row r="20">
      <c r="A20" s="13" t="s">
        <v>142</v>
      </c>
      <c r="B20" s="13" t="s">
        <v>91</v>
      </c>
      <c r="C20" s="14">
        <v>34.0</v>
      </c>
      <c r="D20" s="13" t="s">
        <v>60</v>
      </c>
      <c r="E20" s="13" t="s">
        <v>61</v>
      </c>
      <c r="F20" s="13" t="s">
        <v>62</v>
      </c>
      <c r="G20" s="13" t="s">
        <v>80</v>
      </c>
      <c r="H20" s="16">
        <v>45715.0</v>
      </c>
      <c r="I20" s="14">
        <v>7.0</v>
      </c>
      <c r="J20" s="13" t="s">
        <v>53</v>
      </c>
      <c r="K20" s="13" t="s">
        <v>65</v>
      </c>
      <c r="L20" s="14">
        <v>608.0</v>
      </c>
      <c r="M20" s="18" t="s">
        <v>43</v>
      </c>
      <c r="N20" s="18" t="s">
        <v>43</v>
      </c>
      <c r="O20" s="18">
        <v>16.7</v>
      </c>
      <c r="P20" s="18" t="s">
        <v>123</v>
      </c>
      <c r="Q20" s="16">
        <v>45758.0</v>
      </c>
      <c r="R20" s="16" t="s">
        <v>38</v>
      </c>
      <c r="S20" s="13" t="s">
        <v>55</v>
      </c>
      <c r="T20" s="13" t="s">
        <v>47</v>
      </c>
      <c r="U20" s="13">
        <f t="shared" si="1"/>
        <v>1</v>
      </c>
      <c r="V20" s="13" t="str">
        <f t="shared" si="2"/>
        <v>C00937|Anita Sharma|34|East|Kolkata|Basic|Organic Search|2/27/2025|7|Quarterly|Credit Card|608|2|2|16.70|4.1|4/11/2025||Active|Cloud Storage</v>
      </c>
      <c r="W20" s="13">
        <f t="shared" si="3"/>
        <v>1</v>
      </c>
      <c r="X20" s="13">
        <f>IFERROR(__xludf.DUMMYFUNCTION("COUNTUNIQUE(FILTER($B$2:$B$1826,$A$2:$A$1826=A20))"),1.0)</f>
        <v>1</v>
      </c>
    </row>
    <row r="21">
      <c r="A21" s="13" t="s">
        <v>144</v>
      </c>
      <c r="B21" s="13" t="s">
        <v>145</v>
      </c>
      <c r="C21" s="14">
        <v>36.0</v>
      </c>
      <c r="D21" s="13" t="s">
        <v>60</v>
      </c>
      <c r="E21" s="13" t="s">
        <v>61</v>
      </c>
      <c r="F21" s="13" t="s">
        <v>37</v>
      </c>
      <c r="G21" s="13" t="s">
        <v>80</v>
      </c>
      <c r="H21" s="16">
        <v>45175.0</v>
      </c>
      <c r="I21" s="14">
        <v>43.0</v>
      </c>
      <c r="J21" s="13" t="s">
        <v>40</v>
      </c>
      <c r="K21" s="13" t="s">
        <v>81</v>
      </c>
      <c r="L21" s="14">
        <v>1269.0</v>
      </c>
      <c r="M21" s="18" t="s">
        <v>98</v>
      </c>
      <c r="N21" s="18" t="s">
        <v>98</v>
      </c>
      <c r="O21" s="18">
        <v>12.6</v>
      </c>
      <c r="P21" s="18" t="s">
        <v>203</v>
      </c>
      <c r="Q21" s="16">
        <v>45404.0</v>
      </c>
      <c r="R21" s="16" t="s">
        <v>38</v>
      </c>
      <c r="S21" s="13" t="s">
        <v>55</v>
      </c>
      <c r="T21" s="13" t="s">
        <v>47</v>
      </c>
      <c r="U21" s="13">
        <f t="shared" si="1"/>
        <v>1</v>
      </c>
      <c r="V21" s="13" t="str">
        <f t="shared" si="2"/>
        <v>C00898|Ravi Patel|36|East|Kolkata|Standard|Organic Search|9/6/2023|43|Monthly|Debit Card|1,269|1|1|12.60|3.7|4/22/2024||Active|Cloud Storage</v>
      </c>
      <c r="W21" s="13">
        <f t="shared" si="3"/>
        <v>1</v>
      </c>
      <c r="X21" s="13">
        <f>IFERROR(__xludf.DUMMYFUNCTION("COUNTUNIQUE(FILTER($B$2:$B$1826,$A$2:$A$1826=A21))"),1.0)</f>
        <v>1</v>
      </c>
    </row>
    <row r="22">
      <c r="A22" s="13" t="s">
        <v>151</v>
      </c>
      <c r="B22" s="13" t="s">
        <v>152</v>
      </c>
      <c r="C22" s="14">
        <v>19.0</v>
      </c>
      <c r="D22" s="13" t="s">
        <v>60</v>
      </c>
      <c r="E22" s="13" t="s">
        <v>97</v>
      </c>
      <c r="F22" s="13" t="s">
        <v>37</v>
      </c>
      <c r="G22" s="13" t="s">
        <v>128</v>
      </c>
      <c r="H22" s="16">
        <v>45102.0</v>
      </c>
      <c r="I22" s="14">
        <v>33.0</v>
      </c>
      <c r="J22" s="13" t="s">
        <v>53</v>
      </c>
      <c r="K22" s="13" t="s">
        <v>41</v>
      </c>
      <c r="L22" s="14">
        <v>1093.0</v>
      </c>
      <c r="M22" s="18" t="s">
        <v>98</v>
      </c>
      <c r="N22" s="18" t="s">
        <v>98</v>
      </c>
      <c r="O22" s="18">
        <v>26.5</v>
      </c>
      <c r="P22" s="18" t="s">
        <v>99</v>
      </c>
      <c r="Q22" s="16">
        <v>45545.0</v>
      </c>
      <c r="R22" s="16" t="s">
        <v>38</v>
      </c>
      <c r="S22" s="13" t="s">
        <v>55</v>
      </c>
      <c r="T22" s="13" t="s">
        <v>72</v>
      </c>
      <c r="U22" s="13">
        <f t="shared" si="1"/>
        <v>1</v>
      </c>
      <c r="V22" s="13" t="str">
        <f t="shared" si="2"/>
        <v>C01470|Vikram Kumar|19|East|Bhubaneswar|Standard|Youtube|6/25/2023|33|Quarterly|Upi|1,093|1|1|26.50|4|9/10/2024||Active|Collaboration</v>
      </c>
      <c r="W22" s="13">
        <f t="shared" si="3"/>
        <v>1</v>
      </c>
      <c r="X22" s="13">
        <f>IFERROR(__xludf.DUMMYFUNCTION("COUNTUNIQUE(FILTER($B$2:$B$1826,$A$2:$A$1826=A22))"),1.0)</f>
        <v>1</v>
      </c>
    </row>
    <row r="23">
      <c r="A23" s="13" t="s">
        <v>153</v>
      </c>
      <c r="B23" s="13" t="s">
        <v>145</v>
      </c>
      <c r="C23" s="14">
        <v>46.0</v>
      </c>
      <c r="D23" s="13" t="s">
        <v>85</v>
      </c>
      <c r="E23" s="13" t="s">
        <v>87</v>
      </c>
      <c r="F23" s="13" t="s">
        <v>37</v>
      </c>
      <c r="G23" s="13" t="s">
        <v>63</v>
      </c>
      <c r="H23" s="16">
        <v>44716.0</v>
      </c>
      <c r="I23" s="14">
        <v>45.0</v>
      </c>
      <c r="J23" s="13" t="s">
        <v>40</v>
      </c>
      <c r="K23" s="13" t="s">
        <v>41</v>
      </c>
      <c r="L23" s="14">
        <v>1035.0</v>
      </c>
      <c r="M23" s="18" t="s">
        <v>43</v>
      </c>
      <c r="N23" s="18" t="s">
        <v>43</v>
      </c>
      <c r="O23" s="18">
        <v>37.1</v>
      </c>
      <c r="P23" s="18" t="s">
        <v>76</v>
      </c>
      <c r="Q23" s="16">
        <v>45482.0</v>
      </c>
      <c r="R23" s="16">
        <v>45879.0</v>
      </c>
      <c r="S23" s="13" t="s">
        <v>45</v>
      </c>
      <c r="T23" s="13" t="s">
        <v>72</v>
      </c>
      <c r="U23" s="13">
        <f t="shared" si="1"/>
        <v>1</v>
      </c>
      <c r="V23" s="13" t="str">
        <f t="shared" si="2"/>
        <v>C00331|Ravi Patel|46|West|Surat|Standard|Google Ads|6/4/2022|45|Monthly|Upi|1,035|2|2|37.10|4.4|7/9/2024|8/10/2025|Churned|Collaboration</v>
      </c>
      <c r="W23" s="13">
        <f t="shared" si="3"/>
        <v>1</v>
      </c>
      <c r="X23" s="13">
        <f>IFERROR(__xludf.DUMMYFUNCTION("COUNTUNIQUE(FILTER($B$2:$B$1826,$A$2:$A$1826=A23))"),1.0)</f>
        <v>1</v>
      </c>
    </row>
    <row r="24">
      <c r="A24" s="13" t="s">
        <v>159</v>
      </c>
      <c r="B24" s="13" t="s">
        <v>160</v>
      </c>
      <c r="C24" s="14">
        <v>29.0</v>
      </c>
      <c r="D24" s="13" t="s">
        <v>35</v>
      </c>
      <c r="E24" s="13" t="s">
        <v>161</v>
      </c>
      <c r="F24" s="13" t="s">
        <v>62</v>
      </c>
      <c r="G24" s="13" t="s">
        <v>39</v>
      </c>
      <c r="H24" s="16">
        <v>45927.0</v>
      </c>
      <c r="I24" s="14">
        <v>7.0</v>
      </c>
      <c r="J24" s="13" t="s">
        <v>40</v>
      </c>
      <c r="K24" s="13" t="s">
        <v>65</v>
      </c>
      <c r="L24" s="14">
        <v>785.0</v>
      </c>
      <c r="M24" s="18" t="s">
        <v>46</v>
      </c>
      <c r="N24" s="18" t="s">
        <v>43</v>
      </c>
      <c r="O24" s="18">
        <v>10.1</v>
      </c>
      <c r="P24" s="18" t="s">
        <v>185</v>
      </c>
      <c r="Q24" s="16">
        <v>46095.0</v>
      </c>
      <c r="R24" s="16" t="s">
        <v>38</v>
      </c>
      <c r="S24" s="13" t="s">
        <v>55</v>
      </c>
      <c r="T24" s="13" t="s">
        <v>104</v>
      </c>
      <c r="U24" s="13">
        <f t="shared" si="1"/>
        <v>1</v>
      </c>
      <c r="V24" s="13" t="str">
        <f t="shared" si="2"/>
        <v>C00747|Rahul Singh|29|North|Chandigarh|Basic|Instagram|9/27/2025|7|Monthly|Credit Card|785|0|2|10.10|3.2|3/14/2026||Active|Analytics</v>
      </c>
      <c r="W24" s="13">
        <f t="shared" si="3"/>
        <v>1</v>
      </c>
      <c r="X24" s="13">
        <f>IFERROR(__xludf.DUMMYFUNCTION("COUNTUNIQUE(FILTER($B$2:$B$1826,$A$2:$A$1826=A24))"),1.0)</f>
        <v>1</v>
      </c>
    </row>
    <row r="25">
      <c r="A25" s="13" t="s">
        <v>162</v>
      </c>
      <c r="B25" s="13" t="s">
        <v>163</v>
      </c>
      <c r="C25" s="14">
        <v>31.0</v>
      </c>
      <c r="D25" s="13" t="s">
        <v>60</v>
      </c>
      <c r="E25" s="13" t="s">
        <v>133</v>
      </c>
      <c r="F25" s="13" t="s">
        <v>37</v>
      </c>
      <c r="G25" s="13" t="s">
        <v>128</v>
      </c>
      <c r="H25" s="16">
        <v>45070.0</v>
      </c>
      <c r="I25" s="14">
        <v>18.0</v>
      </c>
      <c r="J25" s="13" t="s">
        <v>53</v>
      </c>
      <c r="K25" s="13" t="s">
        <v>65</v>
      </c>
      <c r="L25" s="14">
        <v>1109.0</v>
      </c>
      <c r="M25" s="18" t="s">
        <v>98</v>
      </c>
      <c r="N25" s="18" t="s">
        <v>98</v>
      </c>
      <c r="O25" s="18">
        <v>15.6</v>
      </c>
      <c r="P25" s="18" t="s">
        <v>225</v>
      </c>
      <c r="Q25" s="16">
        <v>45119.0</v>
      </c>
      <c r="R25" s="16" t="s">
        <v>38</v>
      </c>
      <c r="S25" s="13" t="s">
        <v>55</v>
      </c>
      <c r="T25" s="13" t="s">
        <v>72</v>
      </c>
      <c r="U25" s="13">
        <f t="shared" si="1"/>
        <v>2</v>
      </c>
      <c r="V25" s="13" t="str">
        <f t="shared" si="2"/>
        <v>C00368|Sneha Singh|31|East|Guwahati|Standard|Youtube|5/24/2023|18|Quarterly|Credit Card|1,109|1|1|15.60|3.8|7/12/2023||Active|Collaboration</v>
      </c>
      <c r="W25" s="13">
        <f t="shared" si="3"/>
        <v>1</v>
      </c>
      <c r="X25" s="13">
        <f>IFERROR(__xludf.DUMMYFUNCTION("COUNTUNIQUE(FILTER($B$2:$B$1826,$A$2:$A$1826=A25))"),2.0)</f>
        <v>2</v>
      </c>
    </row>
    <row r="26">
      <c r="A26" s="13" t="s">
        <v>165</v>
      </c>
      <c r="B26" s="13" t="s">
        <v>167</v>
      </c>
      <c r="C26" s="14">
        <v>20.0</v>
      </c>
      <c r="D26" s="13" t="s">
        <v>69</v>
      </c>
      <c r="E26" s="13" t="s">
        <v>70</v>
      </c>
      <c r="F26" s="13" t="s">
        <v>37</v>
      </c>
      <c r="G26" s="13" t="s">
        <v>120</v>
      </c>
      <c r="H26" s="16">
        <v>45234.0</v>
      </c>
      <c r="I26" s="14">
        <v>18.0</v>
      </c>
      <c r="J26" s="13" t="s">
        <v>40</v>
      </c>
      <c r="K26" s="13" t="s">
        <v>65</v>
      </c>
      <c r="L26" s="14">
        <v>1284.0</v>
      </c>
      <c r="M26" s="18" t="s">
        <v>99</v>
      </c>
      <c r="N26" s="18" t="s">
        <v>98</v>
      </c>
      <c r="O26" s="18">
        <v>21.7</v>
      </c>
      <c r="P26" s="18" t="s">
        <v>116</v>
      </c>
      <c r="Q26" s="16">
        <v>45765.0</v>
      </c>
      <c r="R26" s="16" t="s">
        <v>170</v>
      </c>
      <c r="S26" s="13" t="s">
        <v>45</v>
      </c>
      <c r="T26" s="13" t="s">
        <v>47</v>
      </c>
      <c r="U26" s="13">
        <f t="shared" si="1"/>
        <v>2</v>
      </c>
      <c r="V26" s="13" t="str">
        <f t="shared" si="2"/>
        <v>C00467|Ravi Reddy|20|South|Bengaluru|Standard|Email|11/4/2023|18|Monthly|Credit Card|1,284|4|1|21.70|3.4|4/18/2025|16/01/2025|Churned|Cloud Storage</v>
      </c>
      <c r="W26" s="13">
        <f t="shared" si="3"/>
        <v>1</v>
      </c>
      <c r="X26" s="13">
        <f>IFERROR(__xludf.DUMMYFUNCTION("COUNTUNIQUE(FILTER($B$2:$B$1826,$A$2:$A$1826=A26))"),2.0)</f>
        <v>2</v>
      </c>
    </row>
    <row r="27">
      <c r="A27" s="13" t="s">
        <v>171</v>
      </c>
      <c r="B27" s="13" t="s">
        <v>172</v>
      </c>
      <c r="C27" s="14">
        <v>35.0</v>
      </c>
      <c r="D27" s="13" t="s">
        <v>60</v>
      </c>
      <c r="E27" s="13" t="s">
        <v>61</v>
      </c>
      <c r="F27" s="13" t="s">
        <v>62</v>
      </c>
      <c r="G27" s="13" t="s">
        <v>120</v>
      </c>
      <c r="H27" s="16">
        <v>45269.0</v>
      </c>
      <c r="I27" s="14">
        <v>47.0</v>
      </c>
      <c r="J27" s="13" t="s">
        <v>40</v>
      </c>
      <c r="K27" s="13" t="s">
        <v>81</v>
      </c>
      <c r="L27" s="14">
        <v>722.0</v>
      </c>
      <c r="M27" s="18" t="s">
        <v>38</v>
      </c>
      <c r="N27" s="18" t="s">
        <v>99</v>
      </c>
      <c r="O27" s="18">
        <v>15.4</v>
      </c>
      <c r="P27" s="18" t="s">
        <v>233</v>
      </c>
      <c r="Q27" s="16">
        <v>45515.0</v>
      </c>
      <c r="R27" s="16">
        <v>46176.0</v>
      </c>
      <c r="S27" s="13" t="s">
        <v>45</v>
      </c>
      <c r="T27" s="13" t="s">
        <v>75</v>
      </c>
      <c r="U27" s="13">
        <f t="shared" si="1"/>
        <v>3</v>
      </c>
      <c r="V27" s="13" t="str">
        <f t="shared" si="2"/>
        <v>C01190|Meera Singh|35|East|Kolkata|Basic|Email|12/9/2023|47|Monthly|Debit Card|722||4|15.40|3.5|8/11/2024|6/3/2026|Churned|Security</v>
      </c>
      <c r="W27" s="13">
        <f t="shared" si="3"/>
        <v>1</v>
      </c>
      <c r="X27" s="13">
        <f>IFERROR(__xludf.DUMMYFUNCTION("COUNTUNIQUE(FILTER($B$2:$B$1826,$A$2:$A$1826=A27))"),3.0)</f>
        <v>3</v>
      </c>
    </row>
    <row r="28">
      <c r="A28" s="13" t="s">
        <v>175</v>
      </c>
      <c r="B28" s="13" t="s">
        <v>176</v>
      </c>
      <c r="C28" s="14">
        <v>61.0</v>
      </c>
      <c r="D28" s="13" t="s">
        <v>69</v>
      </c>
      <c r="E28" s="13" t="s">
        <v>177</v>
      </c>
      <c r="F28" s="13" t="s">
        <v>62</v>
      </c>
      <c r="G28" s="13" t="s">
        <v>52</v>
      </c>
      <c r="H28" s="16">
        <v>45238.0</v>
      </c>
      <c r="I28" s="14">
        <v>40.0</v>
      </c>
      <c r="J28" s="13" t="s">
        <v>53</v>
      </c>
      <c r="K28" s="13" t="s">
        <v>65</v>
      </c>
      <c r="L28" s="14">
        <v>562.0</v>
      </c>
      <c r="M28" s="18" t="s">
        <v>46</v>
      </c>
      <c r="N28" s="18" t="s">
        <v>46</v>
      </c>
      <c r="O28" s="18">
        <v>19.8</v>
      </c>
      <c r="P28" s="18" t="s">
        <v>150</v>
      </c>
      <c r="Q28" s="16">
        <v>45863.0</v>
      </c>
      <c r="R28" s="16" t="s">
        <v>38</v>
      </c>
      <c r="S28" s="13" t="s">
        <v>55</v>
      </c>
      <c r="T28" s="13" t="s">
        <v>75</v>
      </c>
      <c r="U28" s="13">
        <f t="shared" si="1"/>
        <v>1</v>
      </c>
      <c r="V28" s="13" t="str">
        <f t="shared" si="2"/>
        <v>C00004|Ravi Iyer|61|South|Hyderabad|Basic|Facebook|11/8/2023|40|Quarterly|Credit Card|562|0|0|19.80|4.5|7/25/2025||Active|Security</v>
      </c>
      <c r="W28" s="13">
        <f t="shared" si="3"/>
        <v>1</v>
      </c>
      <c r="X28" s="13">
        <f>IFERROR(__xludf.DUMMYFUNCTION("COUNTUNIQUE(FILTER($B$2:$B$1826,$A$2:$A$1826=A28))"),1.0)</f>
        <v>1</v>
      </c>
    </row>
    <row r="29">
      <c r="A29" s="13" t="s">
        <v>178</v>
      </c>
      <c r="B29" s="13" t="s">
        <v>179</v>
      </c>
      <c r="C29" s="14">
        <v>38.0</v>
      </c>
      <c r="D29" s="13" t="s">
        <v>60</v>
      </c>
      <c r="E29" s="13" t="s">
        <v>97</v>
      </c>
      <c r="F29" s="13" t="s">
        <v>62</v>
      </c>
      <c r="G29" s="13" t="s">
        <v>52</v>
      </c>
      <c r="H29" s="16">
        <v>45338.0</v>
      </c>
      <c r="I29" s="14">
        <v>44.0</v>
      </c>
      <c r="J29" s="13" t="s">
        <v>53</v>
      </c>
      <c r="K29" s="13" t="s">
        <v>41</v>
      </c>
      <c r="L29" s="14">
        <v>588.0</v>
      </c>
      <c r="M29" s="18" t="s">
        <v>43</v>
      </c>
      <c r="N29" s="18" t="s">
        <v>98</v>
      </c>
      <c r="O29" s="18">
        <v>19.4</v>
      </c>
      <c r="P29" s="18" t="s">
        <v>248</v>
      </c>
      <c r="Q29" s="16">
        <v>45964.0</v>
      </c>
      <c r="R29" s="16" t="s">
        <v>182</v>
      </c>
      <c r="S29" s="13" t="s">
        <v>45</v>
      </c>
      <c r="T29" s="13" t="s">
        <v>75</v>
      </c>
      <c r="U29" s="13">
        <f t="shared" si="1"/>
        <v>2</v>
      </c>
      <c r="V29" s="13" t="str">
        <f t="shared" si="2"/>
        <v>C01428|Ravi Kumar|38|East|Bhubaneswar|Basic|Facebook|2/16/2024|44|Quarterly|Upi|588|2|1|19.40|2.6|11/3/2025|26/06/2026|Churned|Security</v>
      </c>
      <c r="W29" s="13">
        <f t="shared" si="3"/>
        <v>1</v>
      </c>
      <c r="X29" s="13">
        <f>IFERROR(__xludf.DUMMYFUNCTION("COUNTUNIQUE(FILTER($B$2:$B$1826,$A$2:$A$1826=A29))"),2.0)</f>
        <v>2</v>
      </c>
    </row>
    <row r="30">
      <c r="A30" s="13" t="s">
        <v>183</v>
      </c>
      <c r="B30" s="13" t="s">
        <v>184</v>
      </c>
      <c r="C30" s="14">
        <v>24.0</v>
      </c>
      <c r="D30" s="13" t="s">
        <v>60</v>
      </c>
      <c r="E30" s="13" t="s">
        <v>133</v>
      </c>
      <c r="F30" s="13" t="s">
        <v>62</v>
      </c>
      <c r="G30" s="13" t="s">
        <v>52</v>
      </c>
      <c r="H30" s="16">
        <v>44999.0</v>
      </c>
      <c r="I30" s="14">
        <v>33.0</v>
      </c>
      <c r="J30" s="13" t="s">
        <v>53</v>
      </c>
      <c r="K30" s="13" t="s">
        <v>81</v>
      </c>
      <c r="L30" s="14">
        <v>875.0</v>
      </c>
      <c r="M30" s="18" t="s">
        <v>99</v>
      </c>
      <c r="N30" s="18" t="s">
        <v>46</v>
      </c>
      <c r="O30" s="18">
        <v>27.3</v>
      </c>
      <c r="P30" s="18" t="s">
        <v>164</v>
      </c>
      <c r="Q30" s="16">
        <v>45095.0</v>
      </c>
      <c r="R30" s="16" t="s">
        <v>38</v>
      </c>
      <c r="S30" s="13" t="s">
        <v>55</v>
      </c>
      <c r="T30" s="13" t="s">
        <v>72</v>
      </c>
      <c r="U30" s="13">
        <f t="shared" si="1"/>
        <v>2</v>
      </c>
      <c r="V30" s="13" t="str">
        <f t="shared" si="2"/>
        <v>C01188|Vikram Reddy|24|East|Guwahati|Basic|Facebook|3/14/2023|33|Quarterly|Debit Card|875|4|0|27.30|3|6/18/2023||Active|Collaboration</v>
      </c>
      <c r="W30" s="13">
        <f t="shared" si="3"/>
        <v>1</v>
      </c>
      <c r="X30" s="13">
        <f>IFERROR(__xludf.DUMMYFUNCTION("COUNTUNIQUE(FILTER($B$2:$B$1826,$A$2:$A$1826=A30))"),2.0)</f>
        <v>2</v>
      </c>
    </row>
    <row r="31">
      <c r="A31" s="13" t="s">
        <v>186</v>
      </c>
      <c r="B31" s="13" t="s">
        <v>118</v>
      </c>
      <c r="C31" s="14">
        <v>44.0</v>
      </c>
      <c r="D31" s="13" t="s">
        <v>69</v>
      </c>
      <c r="E31" s="13" t="s">
        <v>187</v>
      </c>
      <c r="F31" s="13" t="s">
        <v>62</v>
      </c>
      <c r="G31" s="13" t="s">
        <v>39</v>
      </c>
      <c r="H31" s="16">
        <v>45535.0</v>
      </c>
      <c r="I31" s="14">
        <v>40.0</v>
      </c>
      <c r="J31" s="13" t="s">
        <v>40</v>
      </c>
      <c r="K31" s="13" t="s">
        <v>41</v>
      </c>
      <c r="L31" s="14">
        <v>536.0</v>
      </c>
      <c r="M31" s="18" t="s">
        <v>173</v>
      </c>
      <c r="N31" s="18" t="s">
        <v>98</v>
      </c>
      <c r="O31" s="18">
        <v>10.9</v>
      </c>
      <c r="P31" s="18" t="s">
        <v>164</v>
      </c>
      <c r="Q31" s="16">
        <v>46723.0</v>
      </c>
      <c r="R31" s="16">
        <v>45699.0</v>
      </c>
      <c r="S31" s="13" t="s">
        <v>45</v>
      </c>
      <c r="T31" s="13" t="s">
        <v>104</v>
      </c>
      <c r="U31" s="13">
        <f t="shared" si="1"/>
        <v>2</v>
      </c>
      <c r="V31" s="13" t="str">
        <f t="shared" si="2"/>
        <v>C00461|Karan Nair|44|South|Chennai|Basic|Instagram|8/31/2024|40|Monthly|Upi|536|5|1|10.90|3|12/2/2027|2/11/2025|Churned|Analytics</v>
      </c>
      <c r="W31" s="13">
        <f t="shared" si="3"/>
        <v>1</v>
      </c>
      <c r="X31" s="13">
        <f>IFERROR(__xludf.DUMMYFUNCTION("COUNTUNIQUE(FILTER($B$2:$B$1826,$A$2:$A$1826=A31))"),2.0)</f>
        <v>2</v>
      </c>
    </row>
    <row r="32">
      <c r="A32" s="13" t="s">
        <v>189</v>
      </c>
      <c r="B32" s="13" t="s">
        <v>190</v>
      </c>
      <c r="C32" s="14">
        <v>48.0</v>
      </c>
      <c r="D32" s="13" t="s">
        <v>35</v>
      </c>
      <c r="E32" s="13" t="s">
        <v>140</v>
      </c>
      <c r="F32" s="13" t="s">
        <v>62</v>
      </c>
      <c r="G32" s="13" t="s">
        <v>128</v>
      </c>
      <c r="H32" s="16">
        <v>45987.0</v>
      </c>
      <c r="I32" s="14">
        <v>34.0</v>
      </c>
      <c r="J32" s="13" t="s">
        <v>64</v>
      </c>
      <c r="K32" s="13" t="s">
        <v>81</v>
      </c>
      <c r="L32" s="14">
        <v>784.0</v>
      </c>
      <c r="M32" s="18" t="s">
        <v>98</v>
      </c>
      <c r="N32" s="18" t="s">
        <v>98</v>
      </c>
      <c r="O32" s="18">
        <v>23.0</v>
      </c>
      <c r="P32" s="18" t="s">
        <v>263</v>
      </c>
      <c r="Q32" s="16">
        <v>46245.0</v>
      </c>
      <c r="R32" s="16" t="s">
        <v>38</v>
      </c>
      <c r="S32" s="13" t="s">
        <v>55</v>
      </c>
      <c r="T32" s="13" t="s">
        <v>66</v>
      </c>
      <c r="U32" s="13">
        <f t="shared" si="1"/>
        <v>1</v>
      </c>
      <c r="V32" s="13" t="str">
        <f t="shared" si="2"/>
        <v>C01538|Sneha Patel|48|North|Lucknow|Basic|Youtube|11/26/2025|34|Annual|Debit Card|784|1|1|23.00|2.9|8/11/2026||Active|Automation</v>
      </c>
      <c r="W32" s="13">
        <f t="shared" si="3"/>
        <v>1</v>
      </c>
      <c r="X32" s="13">
        <f>IFERROR(__xludf.DUMMYFUNCTION("COUNTUNIQUE(FILTER($B$2:$B$1826,$A$2:$A$1826=A32))"),1.0)</f>
        <v>1</v>
      </c>
    </row>
    <row r="33">
      <c r="A33" s="13" t="s">
        <v>191</v>
      </c>
      <c r="B33" s="13" t="s">
        <v>110</v>
      </c>
      <c r="C33" s="14">
        <v>35.0</v>
      </c>
      <c r="D33" s="13" t="s">
        <v>60</v>
      </c>
      <c r="E33" s="13" t="s">
        <v>133</v>
      </c>
      <c r="F33" s="13" t="s">
        <v>37</v>
      </c>
      <c r="G33" s="13" t="s">
        <v>52</v>
      </c>
      <c r="H33" s="16">
        <v>45595.0</v>
      </c>
      <c r="I33" s="14">
        <v>28.0</v>
      </c>
      <c r="J33" s="13" t="s">
        <v>40</v>
      </c>
      <c r="K33" s="13" t="s">
        <v>81</v>
      </c>
      <c r="L33" s="14">
        <v>1455.0</v>
      </c>
      <c r="M33" s="18" t="s">
        <v>46</v>
      </c>
      <c r="N33" s="18" t="s">
        <v>99</v>
      </c>
      <c r="O33" s="18">
        <v>26.2</v>
      </c>
      <c r="P33" s="18" t="s">
        <v>275</v>
      </c>
      <c r="Q33" s="16">
        <v>45767.0</v>
      </c>
      <c r="R33" s="16" t="s">
        <v>195</v>
      </c>
      <c r="S33" s="13" t="s">
        <v>45</v>
      </c>
      <c r="T33" s="13" t="s">
        <v>72</v>
      </c>
      <c r="U33" s="13">
        <f t="shared" si="1"/>
        <v>3</v>
      </c>
      <c r="V33" s="13" t="str">
        <f t="shared" si="2"/>
        <v>C01220|Sneha Nair|35|East|Guwahati|Standard|Facebook|10/30/2024|28|Monthly|Debit Card|1,455|0|4|26.20|4.3|4/20/2025|30/12/2026|Churned|Collaboration</v>
      </c>
      <c r="W33" s="13">
        <f t="shared" si="3"/>
        <v>1</v>
      </c>
      <c r="X33" s="13">
        <f>IFERROR(__xludf.DUMMYFUNCTION("COUNTUNIQUE(FILTER($B$2:$B$1826,$A$2:$A$1826=A33))"),3.0)</f>
        <v>3</v>
      </c>
    </row>
    <row r="34">
      <c r="A34" s="13" t="s">
        <v>196</v>
      </c>
      <c r="B34" s="13" t="s">
        <v>160</v>
      </c>
      <c r="C34" s="14">
        <v>43.0</v>
      </c>
      <c r="D34" s="13" t="s">
        <v>85</v>
      </c>
      <c r="E34" s="13" t="s">
        <v>111</v>
      </c>
      <c r="F34" s="13" t="s">
        <v>62</v>
      </c>
      <c r="G34" s="13" t="s">
        <v>63</v>
      </c>
      <c r="H34" s="16">
        <v>45147.0</v>
      </c>
      <c r="I34" s="14">
        <v>16.0</v>
      </c>
      <c r="J34" s="13" t="s">
        <v>64</v>
      </c>
      <c r="K34" s="13" t="s">
        <v>41</v>
      </c>
      <c r="L34" s="14">
        <v>662.0</v>
      </c>
      <c r="M34" s="18" t="s">
        <v>43</v>
      </c>
      <c r="N34" s="18" t="s">
        <v>43</v>
      </c>
      <c r="O34" s="18">
        <v>11.2</v>
      </c>
      <c r="P34" s="18" t="s">
        <v>285</v>
      </c>
      <c r="Q34" s="16">
        <v>45227.0</v>
      </c>
      <c r="R34" s="16" t="s">
        <v>38</v>
      </c>
      <c r="S34" s="13" t="s">
        <v>55</v>
      </c>
      <c r="T34" s="13" t="s">
        <v>47</v>
      </c>
      <c r="U34" s="13">
        <f t="shared" si="1"/>
        <v>4</v>
      </c>
      <c r="V34" s="13" t="str">
        <f t="shared" si="2"/>
        <v>C01569|Rahul Singh|43|West|Pune|Basic|Google Ads|8/9/2023|16|Annual|Upi|662|2|2|11.20|2.3|10/28/2023||Active|Cloud Storage</v>
      </c>
      <c r="W34" s="13">
        <f t="shared" si="3"/>
        <v>1</v>
      </c>
      <c r="X34" s="13">
        <f>IFERROR(__xludf.DUMMYFUNCTION("COUNTUNIQUE(FILTER($B$2:$B$1826,$A$2:$A$1826=A34))"),4.0)</f>
        <v>4</v>
      </c>
    </row>
    <row r="35">
      <c r="A35" s="13" t="s">
        <v>197</v>
      </c>
      <c r="B35" s="13" t="s">
        <v>34</v>
      </c>
      <c r="C35" s="14">
        <v>49.0</v>
      </c>
      <c r="D35" s="13" t="s">
        <v>85</v>
      </c>
      <c r="E35" s="13" t="s">
        <v>87</v>
      </c>
      <c r="F35" s="13" t="s">
        <v>62</v>
      </c>
      <c r="G35" s="13" t="s">
        <v>120</v>
      </c>
      <c r="H35" s="16">
        <v>45413.0</v>
      </c>
      <c r="I35" s="14">
        <v>4.0</v>
      </c>
      <c r="J35" s="13" t="s">
        <v>40</v>
      </c>
      <c r="K35" s="13" t="s">
        <v>65</v>
      </c>
      <c r="L35" s="14">
        <v>714.0</v>
      </c>
      <c r="M35" s="18" t="s">
        <v>43</v>
      </c>
      <c r="N35" s="18" t="s">
        <v>43</v>
      </c>
      <c r="O35" s="18">
        <v>10.9</v>
      </c>
      <c r="P35" s="18" t="s">
        <v>225</v>
      </c>
      <c r="Q35" s="16">
        <v>45428.0</v>
      </c>
      <c r="R35" s="16" t="s">
        <v>38</v>
      </c>
      <c r="S35" s="13" t="s">
        <v>55</v>
      </c>
      <c r="T35" s="13" t="s">
        <v>72</v>
      </c>
      <c r="U35" s="13">
        <f t="shared" si="1"/>
        <v>2</v>
      </c>
      <c r="V35" s="13" t="str">
        <f t="shared" si="2"/>
        <v>C00132|Meera Das|49|West|Surat|Basic|Email|5/1/2024|4|Monthly|Credit Card|714|2|2|10.90|3.8|5/16/2024||Active|Collaboration</v>
      </c>
      <c r="W35" s="13">
        <f t="shared" si="3"/>
        <v>1</v>
      </c>
      <c r="X35" s="13">
        <f>IFERROR(__xludf.DUMMYFUNCTION("COUNTUNIQUE(FILTER($B$2:$B$1826,$A$2:$A$1826=A35))"),2.0)</f>
        <v>2</v>
      </c>
    </row>
    <row r="36">
      <c r="A36" s="13" t="s">
        <v>201</v>
      </c>
      <c r="B36" s="13" t="s">
        <v>202</v>
      </c>
      <c r="C36" s="14">
        <v>40.0</v>
      </c>
      <c r="D36" s="13" t="s">
        <v>85</v>
      </c>
      <c r="E36" s="13" t="s">
        <v>87</v>
      </c>
      <c r="F36" s="13" t="s">
        <v>37</v>
      </c>
      <c r="G36" s="13" t="s">
        <v>52</v>
      </c>
      <c r="H36" s="16">
        <v>45680.0</v>
      </c>
      <c r="I36" s="14">
        <v>39.0</v>
      </c>
      <c r="J36" s="13" t="s">
        <v>64</v>
      </c>
      <c r="K36" s="13" t="s">
        <v>81</v>
      </c>
      <c r="L36" s="14">
        <v>1223.0</v>
      </c>
      <c r="M36" s="18" t="s">
        <v>98</v>
      </c>
      <c r="N36" s="18" t="s">
        <v>99</v>
      </c>
      <c r="O36" s="18">
        <v>36.7</v>
      </c>
      <c r="P36" s="18" t="s">
        <v>296</v>
      </c>
      <c r="Q36" s="16">
        <v>46582.0</v>
      </c>
      <c r="R36" s="16" t="s">
        <v>204</v>
      </c>
      <c r="S36" s="13" t="s">
        <v>45</v>
      </c>
      <c r="T36" s="13" t="s">
        <v>75</v>
      </c>
      <c r="U36" s="13">
        <f t="shared" si="1"/>
        <v>2</v>
      </c>
      <c r="V36" s="13" t="str">
        <f t="shared" si="2"/>
        <v>C01544|Arun Das|40|West|Surat|Standard|Facebook|1/23/2025|39|Annual|Debit Card|1,223|1|4|36.70|4.6|7/14/2027|13/11/2027|Churned|Security</v>
      </c>
      <c r="W36" s="13">
        <f t="shared" si="3"/>
        <v>1</v>
      </c>
      <c r="X36" s="13">
        <f>IFERROR(__xludf.DUMMYFUNCTION("COUNTUNIQUE(FILTER($B$2:$B$1826,$A$2:$A$1826=A36))"),2.0)</f>
        <v>2</v>
      </c>
    </row>
    <row r="37">
      <c r="A37" s="13" t="s">
        <v>205</v>
      </c>
      <c r="B37" s="13" t="s">
        <v>206</v>
      </c>
      <c r="C37" s="14">
        <v>48.0</v>
      </c>
      <c r="D37" s="13" t="s">
        <v>69</v>
      </c>
      <c r="E37" s="13" t="s">
        <v>119</v>
      </c>
      <c r="F37" s="13" t="s">
        <v>79</v>
      </c>
      <c r="G37" s="13" t="s">
        <v>80</v>
      </c>
      <c r="H37" s="16">
        <v>45655.0</v>
      </c>
      <c r="I37" s="14">
        <v>2.0</v>
      </c>
      <c r="J37" s="13" t="s">
        <v>40</v>
      </c>
      <c r="K37" s="13" t="s">
        <v>41</v>
      </c>
      <c r="L37" s="14">
        <v>3356.0</v>
      </c>
      <c r="M37" s="18" t="s">
        <v>99</v>
      </c>
      <c r="N37" s="18" t="s">
        <v>98</v>
      </c>
      <c r="O37" s="18">
        <v>49.5</v>
      </c>
      <c r="P37" s="18" t="s">
        <v>203</v>
      </c>
      <c r="Q37" s="16">
        <v>45668.0</v>
      </c>
      <c r="R37" s="16">
        <v>45690.0</v>
      </c>
      <c r="S37" s="13" t="s">
        <v>45</v>
      </c>
      <c r="T37" s="13" t="s">
        <v>72</v>
      </c>
      <c r="U37" s="13">
        <f t="shared" si="1"/>
        <v>3</v>
      </c>
      <c r="V37" s="13" t="str">
        <f t="shared" si="2"/>
        <v>C01484|Karan Patel|48|South|Kochi|Premium|Organic Search|12/29/2024|2|Monthly|Upi|3,356|4|1|49.50|3.7|1/11/2025|2/2/2025|Churned|Collaboration</v>
      </c>
      <c r="W37" s="13">
        <f t="shared" si="3"/>
        <v>1</v>
      </c>
      <c r="X37" s="13">
        <f>IFERROR(__xludf.DUMMYFUNCTION("COUNTUNIQUE(FILTER($B$2:$B$1826,$A$2:$A$1826=A37))"),3.0)</f>
        <v>3</v>
      </c>
    </row>
    <row r="38">
      <c r="A38" s="13" t="s">
        <v>209</v>
      </c>
      <c r="B38" s="13" t="s">
        <v>132</v>
      </c>
      <c r="C38" s="14">
        <v>41.0</v>
      </c>
      <c r="D38" s="13" t="s">
        <v>60</v>
      </c>
      <c r="E38" s="13" t="s">
        <v>97</v>
      </c>
      <c r="F38" s="13" t="s">
        <v>37</v>
      </c>
      <c r="G38" s="13" t="s">
        <v>210</v>
      </c>
      <c r="H38" s="16">
        <v>45338.0</v>
      </c>
      <c r="I38" s="14">
        <v>18.0</v>
      </c>
      <c r="J38" s="13" t="s">
        <v>40</v>
      </c>
      <c r="K38" s="13" t="s">
        <v>81</v>
      </c>
      <c r="L38" s="14">
        <v>1257.0</v>
      </c>
      <c r="M38" s="18" t="s">
        <v>43</v>
      </c>
      <c r="N38" s="18" t="s">
        <v>98</v>
      </c>
      <c r="O38" s="18">
        <v>24.1</v>
      </c>
      <c r="P38" s="18" t="s">
        <v>225</v>
      </c>
      <c r="Q38" s="16">
        <v>45431.0</v>
      </c>
      <c r="R38" s="16">
        <v>45968.0</v>
      </c>
      <c r="S38" s="13" t="s">
        <v>45</v>
      </c>
      <c r="T38" s="13" t="s">
        <v>104</v>
      </c>
      <c r="U38" s="13">
        <f t="shared" si="1"/>
        <v>2</v>
      </c>
      <c r="V38" s="13" t="str">
        <f t="shared" si="2"/>
        <v>C00777|Arun Kumar|41|East|Bhubaneswar|Standard|Referral|2/16/2024|18|Monthly|Debit Card|1,257|2|1|24.10|3.8|5/19/2024|11/7/2025|Churned|Analytics</v>
      </c>
      <c r="W38" s="13">
        <f t="shared" si="3"/>
        <v>1</v>
      </c>
      <c r="X38" s="13">
        <f>IFERROR(__xludf.DUMMYFUNCTION("COUNTUNIQUE(FILTER($B$2:$B$1826,$A$2:$A$1826=A38))"),2.0)</f>
        <v>2</v>
      </c>
    </row>
    <row r="39">
      <c r="A39" s="13" t="s">
        <v>212</v>
      </c>
      <c r="B39" s="13" t="s">
        <v>172</v>
      </c>
      <c r="C39" s="14">
        <v>48.0</v>
      </c>
      <c r="D39" s="13" t="s">
        <v>35</v>
      </c>
      <c r="E39" s="13" t="s">
        <v>36</v>
      </c>
      <c r="F39" s="13" t="s">
        <v>79</v>
      </c>
      <c r="G39" s="13" t="s">
        <v>39</v>
      </c>
      <c r="H39" s="16">
        <v>44603.0</v>
      </c>
      <c r="I39" s="14">
        <v>40.0</v>
      </c>
      <c r="J39" s="13" t="s">
        <v>64</v>
      </c>
      <c r="K39" s="13" t="s">
        <v>65</v>
      </c>
      <c r="L39" s="14">
        <v>3370.0</v>
      </c>
      <c r="M39" s="18" t="s">
        <v>43</v>
      </c>
      <c r="N39" s="18" t="s">
        <v>98</v>
      </c>
      <c r="O39" s="18">
        <v>30.9</v>
      </c>
      <c r="P39" s="18" t="s">
        <v>116</v>
      </c>
      <c r="Q39" s="16">
        <v>44847.0</v>
      </c>
      <c r="R39" s="16" t="s">
        <v>38</v>
      </c>
      <c r="S39" s="13" t="s">
        <v>55</v>
      </c>
      <c r="T39" s="13" t="s">
        <v>72</v>
      </c>
      <c r="U39" s="13">
        <f t="shared" si="1"/>
        <v>1</v>
      </c>
      <c r="V39" s="13" t="str">
        <f t="shared" si="2"/>
        <v>C01600|Meera Singh|48|North|Delhi|Premium|Instagram|2/11/2022|40|Annual|Credit Card|3,370|2|1|30.90|3.4|10/13/2022||Active|Collaboration</v>
      </c>
      <c r="W39" s="13">
        <f t="shared" si="3"/>
        <v>1</v>
      </c>
      <c r="X39" s="13">
        <f>IFERROR(__xludf.DUMMYFUNCTION("COUNTUNIQUE(FILTER($B$2:$B$1826,$A$2:$A$1826=A39))"),1.0)</f>
        <v>1</v>
      </c>
    </row>
    <row r="40">
      <c r="A40" s="13" t="s">
        <v>214</v>
      </c>
      <c r="B40" s="13" t="s">
        <v>215</v>
      </c>
      <c r="C40" s="14">
        <v>56.0</v>
      </c>
      <c r="D40" s="13" t="s">
        <v>35</v>
      </c>
      <c r="E40" s="13" t="s">
        <v>51</v>
      </c>
      <c r="F40" s="13" t="s">
        <v>79</v>
      </c>
      <c r="G40" s="13" t="s">
        <v>63</v>
      </c>
      <c r="H40" s="16">
        <v>45747.0</v>
      </c>
      <c r="I40" s="14">
        <v>2.0</v>
      </c>
      <c r="J40" s="13" t="s">
        <v>64</v>
      </c>
      <c r="K40" s="13" t="s">
        <v>81</v>
      </c>
      <c r="L40" s="14">
        <v>3858.0</v>
      </c>
      <c r="M40" s="18" t="s">
        <v>99</v>
      </c>
      <c r="N40" s="18" t="s">
        <v>46</v>
      </c>
      <c r="O40" s="18">
        <v>38.4</v>
      </c>
      <c r="P40" s="18" t="s">
        <v>310</v>
      </c>
      <c r="Q40" s="16">
        <v>45805.0</v>
      </c>
      <c r="R40" s="16" t="s">
        <v>216</v>
      </c>
      <c r="S40" s="13" t="s">
        <v>45</v>
      </c>
      <c r="T40" s="13" t="s">
        <v>47</v>
      </c>
      <c r="U40" s="13">
        <f t="shared" si="1"/>
        <v>2</v>
      </c>
      <c r="V40" s="13" t="str">
        <f t="shared" si="2"/>
        <v>C00344|Neha Sharma|56|North|Jaipur|Premium|Google Ads|3/31/2025|2|Annual|Debit Card|3,858|4|0|38.40|3.1|5/28/2025|25/05/2025|Churned|Cloud Storage</v>
      </c>
      <c r="W40" s="13">
        <f t="shared" si="3"/>
        <v>1</v>
      </c>
      <c r="X40" s="13">
        <f>IFERROR(__xludf.DUMMYFUNCTION("COUNTUNIQUE(FILTER($B$2:$B$1826,$A$2:$A$1826=A40))"),2.0)</f>
        <v>2</v>
      </c>
    </row>
    <row r="41">
      <c r="A41" s="13" t="s">
        <v>218</v>
      </c>
      <c r="B41" s="13" t="s">
        <v>74</v>
      </c>
      <c r="C41" s="14">
        <v>45.0</v>
      </c>
      <c r="D41" s="13" t="s">
        <v>60</v>
      </c>
      <c r="E41" s="13" t="s">
        <v>61</v>
      </c>
      <c r="F41" s="13" t="s">
        <v>37</v>
      </c>
      <c r="G41" s="13" t="s">
        <v>80</v>
      </c>
      <c r="H41" s="16">
        <v>44646.0</v>
      </c>
      <c r="I41" s="14">
        <v>23.0</v>
      </c>
      <c r="J41" s="13" t="s">
        <v>53</v>
      </c>
      <c r="K41" s="13" t="s">
        <v>41</v>
      </c>
      <c r="L41" s="14">
        <v>1378.0</v>
      </c>
      <c r="M41" s="18" t="s">
        <v>98</v>
      </c>
      <c r="N41" s="18" t="s">
        <v>46</v>
      </c>
      <c r="O41" s="18">
        <v>22.7</v>
      </c>
      <c r="P41" s="18" t="s">
        <v>150</v>
      </c>
      <c r="Q41" s="16">
        <v>45174.0</v>
      </c>
      <c r="R41" s="16" t="s">
        <v>38</v>
      </c>
      <c r="S41" s="13" t="s">
        <v>55</v>
      </c>
      <c r="T41" s="13" t="s">
        <v>75</v>
      </c>
      <c r="U41" s="13">
        <f t="shared" si="1"/>
        <v>2</v>
      </c>
      <c r="V41" s="13" t="str">
        <f t="shared" si="2"/>
        <v>C00209|Anita Kumar|45|East|Kolkata|Standard|Organic Search|3/26/2022|23|Quarterly|Upi|1,378|1|0|22.70|4.5|9/5/2023||Active|Security</v>
      </c>
      <c r="W41" s="13">
        <f t="shared" si="3"/>
        <v>1</v>
      </c>
      <c r="X41" s="13">
        <f>IFERROR(__xludf.DUMMYFUNCTION("COUNTUNIQUE(FILTER($B$2:$B$1826,$A$2:$A$1826=A41))"),2.0)</f>
        <v>2</v>
      </c>
    </row>
    <row r="42">
      <c r="A42" s="13" t="s">
        <v>220</v>
      </c>
      <c r="B42" s="13" t="s">
        <v>222</v>
      </c>
      <c r="C42" s="14">
        <v>39.0</v>
      </c>
      <c r="D42" s="13" t="s">
        <v>85</v>
      </c>
      <c r="E42" s="13" t="s">
        <v>111</v>
      </c>
      <c r="F42" s="13" t="s">
        <v>62</v>
      </c>
      <c r="G42" s="13" t="s">
        <v>52</v>
      </c>
      <c r="H42" s="16">
        <v>45630.0</v>
      </c>
      <c r="I42" s="14">
        <v>42.0</v>
      </c>
      <c r="J42" s="13" t="s">
        <v>40</v>
      </c>
      <c r="K42" s="13" t="s">
        <v>41</v>
      </c>
      <c r="L42" s="14">
        <v>774.0</v>
      </c>
      <c r="M42" s="18" t="s">
        <v>98</v>
      </c>
      <c r="N42" s="18" t="s">
        <v>46</v>
      </c>
      <c r="O42" s="18">
        <v>11.8</v>
      </c>
      <c r="P42" s="18" t="s">
        <v>173</v>
      </c>
      <c r="Q42" s="16">
        <v>46592.0</v>
      </c>
      <c r="R42" s="16" t="s">
        <v>38</v>
      </c>
      <c r="S42" s="13" t="s">
        <v>55</v>
      </c>
      <c r="T42" s="13" t="s">
        <v>72</v>
      </c>
      <c r="U42" s="13">
        <f t="shared" si="1"/>
        <v>2</v>
      </c>
      <c r="V42" s="13" t="str">
        <f t="shared" si="2"/>
        <v>C00742|Karan Iyer|39|West|Pune|Basic|Facebook|12/4/2024|42|Monthly|Upi|774|1|0|11.80|5|7/24/2027||Active|Collaboration</v>
      </c>
      <c r="W42" s="13">
        <f t="shared" si="3"/>
        <v>1</v>
      </c>
      <c r="X42" s="13">
        <f>IFERROR(__xludf.DUMMYFUNCTION("COUNTUNIQUE(FILTER($B$2:$B$1826,$A$2:$A$1826=A42))"),2.0)</f>
        <v>2</v>
      </c>
    </row>
    <row r="43">
      <c r="A43" s="13" t="s">
        <v>223</v>
      </c>
      <c r="B43" s="13" t="s">
        <v>224</v>
      </c>
      <c r="C43" s="14">
        <v>40.0</v>
      </c>
      <c r="D43" s="13" t="s">
        <v>69</v>
      </c>
      <c r="E43" s="13" t="s">
        <v>119</v>
      </c>
      <c r="F43" s="13" t="s">
        <v>37</v>
      </c>
      <c r="G43" s="13" t="s">
        <v>52</v>
      </c>
      <c r="H43" s="16">
        <v>45338.0</v>
      </c>
      <c r="I43" s="14">
        <v>22.0</v>
      </c>
      <c r="J43" s="13" t="s">
        <v>53</v>
      </c>
      <c r="K43" s="13" t="s">
        <v>81</v>
      </c>
      <c r="L43" s="14">
        <v>1185.0</v>
      </c>
      <c r="M43" s="18" t="s">
        <v>164</v>
      </c>
      <c r="N43" s="18" t="s">
        <v>98</v>
      </c>
      <c r="O43" s="18">
        <v>42.1</v>
      </c>
      <c r="P43" s="18" t="s">
        <v>123</v>
      </c>
      <c r="Q43" s="16">
        <v>45565.0</v>
      </c>
      <c r="R43" s="16" t="s">
        <v>38</v>
      </c>
      <c r="S43" s="13" t="s">
        <v>55</v>
      </c>
      <c r="T43" s="13" t="s">
        <v>72</v>
      </c>
      <c r="U43" s="13">
        <f t="shared" si="1"/>
        <v>2</v>
      </c>
      <c r="V43" s="13" t="str">
        <f t="shared" si="2"/>
        <v>C00924|Anita Iyer|40|South|Kochi|Standard|Facebook|2/16/2024|22|Quarterly|Debit Card|1,185|3|1|42.10|4.1|9/30/2024||Active|Collaboration</v>
      </c>
      <c r="W43" s="13">
        <f t="shared" si="3"/>
        <v>1</v>
      </c>
      <c r="X43" s="13">
        <f>IFERROR(__xludf.DUMMYFUNCTION("COUNTUNIQUE(FILTER($B$2:$B$1826,$A$2:$A$1826=A43))"),2.0)</f>
        <v>2</v>
      </c>
    </row>
    <row r="44">
      <c r="A44" s="13" t="s">
        <v>226</v>
      </c>
      <c r="B44" s="13" t="s">
        <v>110</v>
      </c>
      <c r="C44" s="14">
        <v>20.0</v>
      </c>
      <c r="D44" s="13" t="s">
        <v>35</v>
      </c>
      <c r="E44" s="13" t="s">
        <v>51</v>
      </c>
      <c r="F44" s="13" t="s">
        <v>62</v>
      </c>
      <c r="G44" s="13" t="s">
        <v>52</v>
      </c>
      <c r="H44" s="16">
        <v>45394.0</v>
      </c>
      <c r="I44" s="14">
        <v>32.0</v>
      </c>
      <c r="J44" s="13" t="s">
        <v>40</v>
      </c>
      <c r="K44" s="13" t="s">
        <v>65</v>
      </c>
      <c r="L44" s="14">
        <v>622.0</v>
      </c>
      <c r="M44" s="18" t="s">
        <v>43</v>
      </c>
      <c r="N44" s="18" t="s">
        <v>46</v>
      </c>
      <c r="O44" s="18">
        <v>5.8</v>
      </c>
      <c r="P44" s="18" t="s">
        <v>89</v>
      </c>
      <c r="Q44" s="16">
        <v>46065.0</v>
      </c>
      <c r="R44" s="16" t="s">
        <v>38</v>
      </c>
      <c r="S44" s="13" t="s">
        <v>55</v>
      </c>
      <c r="T44" s="13" t="s">
        <v>47</v>
      </c>
      <c r="U44" s="13">
        <f t="shared" si="1"/>
        <v>5</v>
      </c>
      <c r="V44" s="13" t="str">
        <f t="shared" si="2"/>
        <v>C01139|Sneha Nair|20|North|Jaipur|Basic|Facebook|4/12/2024|32|Monthly|Credit Card|622|2|0|5.80|3.3|2/12/2026||Active|Cloud Storage</v>
      </c>
      <c r="W44" s="13">
        <f t="shared" si="3"/>
        <v>1</v>
      </c>
      <c r="X44" s="13">
        <f>IFERROR(__xludf.DUMMYFUNCTION("COUNTUNIQUE(FILTER($B$2:$B$1826,$A$2:$A$1826=A44))"),5.0)</f>
        <v>5</v>
      </c>
    </row>
    <row r="45">
      <c r="A45" s="13" t="s">
        <v>228</v>
      </c>
      <c r="B45" s="13" t="s">
        <v>229</v>
      </c>
      <c r="C45" s="14">
        <v>36.0</v>
      </c>
      <c r="D45" s="13" t="s">
        <v>69</v>
      </c>
      <c r="E45" s="13" t="s">
        <v>177</v>
      </c>
      <c r="F45" s="13" t="s">
        <v>37</v>
      </c>
      <c r="G45" s="13" t="s">
        <v>210</v>
      </c>
      <c r="H45" s="16">
        <v>45531.0</v>
      </c>
      <c r="I45" s="14">
        <v>36.0</v>
      </c>
      <c r="J45" s="13" t="s">
        <v>53</v>
      </c>
      <c r="K45" s="13" t="s">
        <v>65</v>
      </c>
      <c r="L45" s="14">
        <v>1762.0</v>
      </c>
      <c r="M45" s="18" t="s">
        <v>98</v>
      </c>
      <c r="N45" s="18" t="s">
        <v>98</v>
      </c>
      <c r="O45" s="18">
        <v>31.6</v>
      </c>
      <c r="P45" s="18" t="s">
        <v>76</v>
      </c>
      <c r="Q45" s="16">
        <v>46218.0</v>
      </c>
      <c r="R45" s="16" t="s">
        <v>38</v>
      </c>
      <c r="S45" s="13" t="s">
        <v>230</v>
      </c>
      <c r="T45" s="13" t="s">
        <v>47</v>
      </c>
      <c r="U45" s="13">
        <f t="shared" si="1"/>
        <v>1</v>
      </c>
      <c r="V45" s="13" t="str">
        <f t="shared" si="2"/>
        <v>C00829|Anita Nair|36|South|Hyderabad|Standard|Referral|8/27/2024|36|Quarterly|Credit Card|1,762|1|1|31.60|4.4|7/15/2026||Yes|Cloud Storage</v>
      </c>
      <c r="W45" s="13">
        <f t="shared" si="3"/>
        <v>1</v>
      </c>
      <c r="X45" s="13">
        <f>IFERROR(__xludf.DUMMYFUNCTION("COUNTUNIQUE(FILTER($B$2:$B$1826,$A$2:$A$1826=A45))"),1.0)</f>
        <v>1</v>
      </c>
    </row>
    <row r="46">
      <c r="A46" s="13" t="s">
        <v>231</v>
      </c>
      <c r="B46" s="13" t="s">
        <v>232</v>
      </c>
      <c r="C46" s="14">
        <v>25.0</v>
      </c>
      <c r="D46" s="13" t="s">
        <v>69</v>
      </c>
      <c r="E46" s="13" t="s">
        <v>177</v>
      </c>
      <c r="F46" s="13" t="s">
        <v>62</v>
      </c>
      <c r="G46" s="13" t="s">
        <v>80</v>
      </c>
      <c r="H46" s="16">
        <v>45975.0</v>
      </c>
      <c r="I46" s="14">
        <v>12.0</v>
      </c>
      <c r="J46" s="13" t="s">
        <v>40</v>
      </c>
      <c r="K46" s="13" t="s">
        <v>81</v>
      </c>
      <c r="L46" s="14">
        <v>877.0</v>
      </c>
      <c r="M46" s="18" t="s">
        <v>164</v>
      </c>
      <c r="N46" s="18" t="s">
        <v>98</v>
      </c>
      <c r="O46" s="18">
        <v>16.0</v>
      </c>
      <c r="P46" s="18" t="s">
        <v>248</v>
      </c>
      <c r="Q46" s="16">
        <v>46355.0</v>
      </c>
      <c r="R46" s="16" t="s">
        <v>38</v>
      </c>
      <c r="S46" s="13" t="s">
        <v>55</v>
      </c>
      <c r="T46" s="13" t="s">
        <v>47</v>
      </c>
      <c r="U46" s="13">
        <f t="shared" si="1"/>
        <v>3</v>
      </c>
      <c r="V46" s="13" t="str">
        <f t="shared" si="2"/>
        <v>C00248|Meera Iyer|25|South|Hyderabad|Basic|Organic Search|11/14/2025|12|Monthly|Debit Card|877|3|1|16.00|2.6|11/29/2026||Active|Cloud Storage</v>
      </c>
      <c r="W46" s="13">
        <f t="shared" si="3"/>
        <v>1</v>
      </c>
      <c r="X46" s="13">
        <f>IFERROR(__xludf.DUMMYFUNCTION("COUNTUNIQUE(FILTER($B$2:$B$1826,$A$2:$A$1826=A46))"),2.0)</f>
        <v>2</v>
      </c>
    </row>
    <row r="47">
      <c r="A47" s="13" t="s">
        <v>234</v>
      </c>
      <c r="B47" s="13" t="s">
        <v>235</v>
      </c>
      <c r="C47" s="14">
        <v>19.0</v>
      </c>
      <c r="D47" s="13" t="s">
        <v>69</v>
      </c>
      <c r="E47" s="13" t="s">
        <v>177</v>
      </c>
      <c r="F47" s="13" t="s">
        <v>62</v>
      </c>
      <c r="G47" s="13" t="s">
        <v>80</v>
      </c>
      <c r="H47" s="16">
        <v>44821.0</v>
      </c>
      <c r="I47" s="14">
        <v>18.0</v>
      </c>
      <c r="J47" s="13" t="s">
        <v>64</v>
      </c>
      <c r="K47" s="13" t="s">
        <v>65</v>
      </c>
      <c r="L47" s="14">
        <v>526.0</v>
      </c>
      <c r="M47" s="18" t="s">
        <v>98</v>
      </c>
      <c r="N47" s="18" t="s">
        <v>46</v>
      </c>
      <c r="O47" s="18">
        <v>27.3</v>
      </c>
      <c r="P47" s="18" t="s">
        <v>203</v>
      </c>
      <c r="Q47" s="16">
        <v>44960.0</v>
      </c>
      <c r="R47" s="16" t="s">
        <v>38</v>
      </c>
      <c r="S47" s="13" t="s">
        <v>55</v>
      </c>
      <c r="T47" s="13" t="s">
        <v>75</v>
      </c>
      <c r="U47" s="13">
        <f t="shared" si="1"/>
        <v>3</v>
      </c>
      <c r="V47" s="13" t="str">
        <f t="shared" si="2"/>
        <v>C00740|Sneha Sharma|19|South|Hyderabad|Basic|Organic Search|9/17/2022|18|Annual|Credit Card|526|1|0|27.30|3.7|2/3/2023||Active|Security</v>
      </c>
      <c r="W47" s="13">
        <f t="shared" si="3"/>
        <v>1</v>
      </c>
      <c r="X47" s="13">
        <f>IFERROR(__xludf.DUMMYFUNCTION("COUNTUNIQUE(FILTER($B$2:$B$1826,$A$2:$A$1826=A47))"),3.0)</f>
        <v>3</v>
      </c>
    </row>
    <row r="48">
      <c r="A48" s="13" t="s">
        <v>318</v>
      </c>
      <c r="B48" s="13" t="s">
        <v>239</v>
      </c>
      <c r="C48" s="14">
        <v>28.0</v>
      </c>
      <c r="D48" s="13" t="s">
        <v>85</v>
      </c>
      <c r="E48" s="13" t="s">
        <v>92</v>
      </c>
      <c r="F48" s="13" t="s">
        <v>62</v>
      </c>
      <c r="G48" s="13" t="s">
        <v>63</v>
      </c>
      <c r="H48" s="16">
        <v>45079.0</v>
      </c>
      <c r="I48" s="14">
        <v>31.0</v>
      </c>
      <c r="J48" s="13" t="s">
        <v>40</v>
      </c>
      <c r="K48" s="13" t="s">
        <v>81</v>
      </c>
      <c r="L48" s="14">
        <v>532.0</v>
      </c>
      <c r="M48" s="18" t="s">
        <v>164</v>
      </c>
      <c r="N48" s="18" t="s">
        <v>98</v>
      </c>
      <c r="O48" s="18">
        <v>16.4</v>
      </c>
      <c r="P48" s="18" t="s">
        <v>225</v>
      </c>
      <c r="Q48" s="16">
        <v>45164.0</v>
      </c>
      <c r="R48" s="16" t="s">
        <v>38</v>
      </c>
      <c r="S48" s="13" t="s">
        <v>55</v>
      </c>
      <c r="T48" s="13" t="s">
        <v>72</v>
      </c>
      <c r="U48" s="13">
        <f t="shared" si="1"/>
        <v>4</v>
      </c>
      <c r="V48" s="13" t="str">
        <f t="shared" si="2"/>
        <v>C00981|Meera Kumar|28|West|Ahmedabad|Basic|Google Ads|6/2/2023|31|Monthly|Debit Card|532|3|1|16.40|3.8|8/26/2023||Active|Collaboration</v>
      </c>
      <c r="W48" s="13">
        <f t="shared" si="3"/>
        <v>1</v>
      </c>
      <c r="X48" s="13">
        <f>IFERROR(__xludf.DUMMYFUNCTION("COUNTUNIQUE(FILTER($B$2:$B$1826,$A$2:$A$1826=A48))"),4.0)</f>
        <v>4</v>
      </c>
    </row>
    <row r="49">
      <c r="A49" s="13" t="s">
        <v>240</v>
      </c>
      <c r="B49" s="13" t="s">
        <v>241</v>
      </c>
      <c r="C49" s="14">
        <v>56.0</v>
      </c>
      <c r="D49" s="13" t="s">
        <v>69</v>
      </c>
      <c r="E49" s="13" t="s">
        <v>70</v>
      </c>
      <c r="F49" s="13" t="s">
        <v>37</v>
      </c>
      <c r="G49" s="13" t="s">
        <v>120</v>
      </c>
      <c r="H49" s="16">
        <v>45803.0</v>
      </c>
      <c r="I49" s="14">
        <v>39.0</v>
      </c>
      <c r="J49" s="13" t="s">
        <v>53</v>
      </c>
      <c r="K49" s="13" t="s">
        <v>65</v>
      </c>
      <c r="L49" s="14">
        <v>1793.0</v>
      </c>
      <c r="M49" s="18" t="s">
        <v>164</v>
      </c>
      <c r="N49" s="18" t="s">
        <v>46</v>
      </c>
      <c r="O49" s="18">
        <v>33.5</v>
      </c>
      <c r="P49" s="18" t="s">
        <v>225</v>
      </c>
      <c r="Q49" s="16">
        <v>46592.0</v>
      </c>
      <c r="R49" s="16">
        <v>46813.0</v>
      </c>
      <c r="S49" s="13" t="s">
        <v>45</v>
      </c>
      <c r="T49" s="13" t="s">
        <v>66</v>
      </c>
      <c r="U49" s="13">
        <f t="shared" si="1"/>
        <v>3</v>
      </c>
      <c r="V49" s="13" t="str">
        <f t="shared" si="2"/>
        <v>C00175|Sneha Iyer|56|South|Bengaluru|Standard|Email|5/26/2025|39|Quarterly|Credit Card|1,793|3|0|33.50|3.8|7/24/2027|3/1/2028|Churned|Automation</v>
      </c>
      <c r="W49" s="13">
        <f t="shared" si="3"/>
        <v>1</v>
      </c>
      <c r="X49" s="13">
        <f>IFERROR(__xludf.DUMMYFUNCTION("COUNTUNIQUE(FILTER($B$2:$B$1826,$A$2:$A$1826=A49))"),3.0)</f>
        <v>3</v>
      </c>
    </row>
    <row r="50">
      <c r="A50" s="13" t="s">
        <v>245</v>
      </c>
      <c r="B50" s="13" t="s">
        <v>247</v>
      </c>
      <c r="C50" s="14">
        <v>29.0</v>
      </c>
      <c r="D50" s="13" t="s">
        <v>35</v>
      </c>
      <c r="E50" s="13" t="s">
        <v>36</v>
      </c>
      <c r="F50" s="13" t="s">
        <v>79</v>
      </c>
      <c r="G50" s="13" t="s">
        <v>39</v>
      </c>
      <c r="H50" s="16">
        <v>45843.0</v>
      </c>
      <c r="I50" s="14">
        <v>14.0</v>
      </c>
      <c r="J50" s="13" t="s">
        <v>40</v>
      </c>
      <c r="K50" s="13" t="s">
        <v>65</v>
      </c>
      <c r="L50" s="14">
        <v>2490.0</v>
      </c>
      <c r="M50" s="18" t="s">
        <v>46</v>
      </c>
      <c r="N50" s="18" t="s">
        <v>46</v>
      </c>
      <c r="O50" s="18">
        <v>40.2</v>
      </c>
      <c r="P50" s="18" t="s">
        <v>310</v>
      </c>
      <c r="Q50" s="16">
        <v>45941.0</v>
      </c>
      <c r="R50" s="16" t="s">
        <v>38</v>
      </c>
      <c r="S50" s="13" t="s">
        <v>55</v>
      </c>
      <c r="T50" s="13" t="s">
        <v>75</v>
      </c>
      <c r="U50" s="13">
        <f t="shared" si="1"/>
        <v>4</v>
      </c>
      <c r="V50" s="13" t="str">
        <f t="shared" si="2"/>
        <v>C01272|Ravi Sharma|29|North|Delhi|Premium|Instagram|7/5/2025|14|Monthly|Credit Card|2,490|0|0|40.20|3.1|10/11/2025||Active|Security</v>
      </c>
      <c r="W50" s="13">
        <f t="shared" si="3"/>
        <v>1</v>
      </c>
      <c r="X50" s="13">
        <f>IFERROR(__xludf.DUMMYFUNCTION("COUNTUNIQUE(FILTER($B$2:$B$1826,$A$2:$A$1826=A50))"),4.0)</f>
        <v>4</v>
      </c>
    </row>
    <row r="51">
      <c r="A51" s="13" t="s">
        <v>249</v>
      </c>
      <c r="B51" s="13" t="s">
        <v>250</v>
      </c>
      <c r="C51" s="14">
        <v>46.0</v>
      </c>
      <c r="D51" s="13" t="s">
        <v>85</v>
      </c>
      <c r="E51" s="13" t="s">
        <v>92</v>
      </c>
      <c r="F51" s="13" t="s">
        <v>62</v>
      </c>
      <c r="G51" s="13" t="s">
        <v>210</v>
      </c>
      <c r="H51" s="16">
        <v>46009.0</v>
      </c>
      <c r="I51" s="14">
        <v>19.0</v>
      </c>
      <c r="J51" s="13" t="s">
        <v>40</v>
      </c>
      <c r="K51" s="13" t="s">
        <v>81</v>
      </c>
      <c r="L51" s="14">
        <v>731.0</v>
      </c>
      <c r="M51" s="18" t="s">
        <v>46</v>
      </c>
      <c r="N51" s="18" t="s">
        <v>164</v>
      </c>
      <c r="O51" s="18">
        <v>13.3</v>
      </c>
      <c r="P51" s="18" t="s">
        <v>150</v>
      </c>
      <c r="Q51" s="16">
        <v>46258.0</v>
      </c>
      <c r="R51" s="16" t="s">
        <v>38</v>
      </c>
      <c r="S51" s="13" t="s">
        <v>55</v>
      </c>
      <c r="T51" s="13" t="s">
        <v>47</v>
      </c>
      <c r="U51" s="13">
        <f t="shared" si="1"/>
        <v>1</v>
      </c>
      <c r="V51" s="13" t="str">
        <f t="shared" si="2"/>
        <v>C01412|Vikram Singh|46|West|Ahmedabad|Basic|Referral|12/18/2025|19|Monthly|Debit Card|731|0|3|13.30|4.5|8/24/2026||Active|Cloud Storage</v>
      </c>
      <c r="W51" s="13">
        <f t="shared" si="3"/>
        <v>1</v>
      </c>
      <c r="X51" s="13">
        <f>IFERROR(__xludf.DUMMYFUNCTION("COUNTUNIQUE(FILTER($B$2:$B$1826,$A$2:$A$1826=A51))"),1.0)</f>
        <v>1</v>
      </c>
    </row>
    <row r="52">
      <c r="A52" s="13" t="s">
        <v>251</v>
      </c>
      <c r="B52" s="13" t="s">
        <v>235</v>
      </c>
      <c r="C52" s="14">
        <v>48.0</v>
      </c>
      <c r="D52" s="13" t="s">
        <v>69</v>
      </c>
      <c r="E52" s="13" t="s">
        <v>177</v>
      </c>
      <c r="F52" s="13" t="s">
        <v>37</v>
      </c>
      <c r="G52" s="13" t="s">
        <v>63</v>
      </c>
      <c r="H52" s="16">
        <v>44684.0</v>
      </c>
      <c r="I52" s="14">
        <v>11.0</v>
      </c>
      <c r="J52" s="13" t="s">
        <v>64</v>
      </c>
      <c r="K52" s="13" t="s">
        <v>65</v>
      </c>
      <c r="L52" s="14">
        <v>1765.0</v>
      </c>
      <c r="M52" s="18" t="s">
        <v>98</v>
      </c>
      <c r="N52" s="18" t="s">
        <v>43</v>
      </c>
      <c r="O52" s="18">
        <v>23.0</v>
      </c>
      <c r="P52" s="18" t="s">
        <v>150</v>
      </c>
      <c r="Q52" s="16">
        <v>44985.0</v>
      </c>
      <c r="R52" s="16" t="s">
        <v>252</v>
      </c>
      <c r="S52" s="13" t="s">
        <v>45</v>
      </c>
      <c r="T52" s="13" t="s">
        <v>75</v>
      </c>
      <c r="U52" s="13">
        <f t="shared" si="1"/>
        <v>2</v>
      </c>
      <c r="V52" s="13" t="str">
        <f t="shared" si="2"/>
        <v>C01327|Sneha Sharma|48|South|Hyderabad|Standard|Google Ads|5/3/2022|11|Annual|Credit Card|1,765|1|2|23.00|4.5|2/28/2023|27/10/2022|Churned|Security</v>
      </c>
      <c r="W52" s="13">
        <f t="shared" si="3"/>
        <v>1</v>
      </c>
      <c r="X52" s="13">
        <f>IFERROR(__xludf.DUMMYFUNCTION("COUNTUNIQUE(FILTER($B$2:$B$1826,$A$2:$A$1826=A52))"),2.0)</f>
        <v>2</v>
      </c>
    </row>
    <row r="53">
      <c r="A53" s="13" t="s">
        <v>253</v>
      </c>
      <c r="B53" s="13" t="s">
        <v>239</v>
      </c>
      <c r="C53" s="14">
        <v>67.0</v>
      </c>
      <c r="D53" s="13" t="s">
        <v>85</v>
      </c>
      <c r="E53" s="13" t="s">
        <v>87</v>
      </c>
      <c r="F53" s="13" t="s">
        <v>62</v>
      </c>
      <c r="G53" s="13" t="s">
        <v>63</v>
      </c>
      <c r="H53" s="16">
        <v>45446.0</v>
      </c>
      <c r="I53" s="14">
        <v>48.0</v>
      </c>
      <c r="J53" s="13" t="s">
        <v>64</v>
      </c>
      <c r="K53" s="13" t="s">
        <v>65</v>
      </c>
      <c r="L53" s="14">
        <v>627.0</v>
      </c>
      <c r="M53" s="18" t="s">
        <v>164</v>
      </c>
      <c r="N53" s="18" t="s">
        <v>43</v>
      </c>
      <c r="O53" s="18">
        <v>28.2</v>
      </c>
      <c r="P53" s="18" t="s">
        <v>185</v>
      </c>
      <c r="Q53" s="16">
        <v>45924.0</v>
      </c>
      <c r="R53" s="16" t="s">
        <v>38</v>
      </c>
      <c r="S53" s="13" t="s">
        <v>55</v>
      </c>
      <c r="T53" s="13" t="s">
        <v>38</v>
      </c>
      <c r="U53" s="13">
        <f t="shared" si="1"/>
        <v>2</v>
      </c>
      <c r="V53" s="13" t="str">
        <f t="shared" si="2"/>
        <v>C00558|Meera Kumar|67|West|Surat|Basic|Google Ads|6/3/2024|48|Annual|Credit Card|627|3|2|28.20|3.2|9/24/2025||Active|</v>
      </c>
      <c r="W53" s="13">
        <f t="shared" si="3"/>
        <v>1</v>
      </c>
      <c r="X53" s="13">
        <f>IFERROR(__xludf.DUMMYFUNCTION("COUNTUNIQUE(FILTER($B$2:$B$1826,$A$2:$A$1826=A53))"),2.0)</f>
        <v>2</v>
      </c>
    </row>
    <row r="54">
      <c r="A54" s="13" t="s">
        <v>256</v>
      </c>
      <c r="B54" s="13" t="s">
        <v>257</v>
      </c>
      <c r="C54" s="14">
        <v>45.0</v>
      </c>
      <c r="D54" s="13" t="s">
        <v>69</v>
      </c>
      <c r="E54" s="13" t="s">
        <v>119</v>
      </c>
      <c r="F54" s="13" t="s">
        <v>37</v>
      </c>
      <c r="G54" s="13" t="s">
        <v>120</v>
      </c>
      <c r="H54" s="16">
        <v>45131.0</v>
      </c>
      <c r="I54" s="14">
        <v>12.0</v>
      </c>
      <c r="J54" s="13" t="s">
        <v>53</v>
      </c>
      <c r="K54" s="13" t="s">
        <v>65</v>
      </c>
      <c r="L54" s="14">
        <v>1649.0</v>
      </c>
      <c r="M54" s="18" t="s">
        <v>164</v>
      </c>
      <c r="N54" s="18" t="s">
        <v>46</v>
      </c>
      <c r="O54" s="18">
        <v>28.1</v>
      </c>
      <c r="P54" s="18" t="s">
        <v>150</v>
      </c>
      <c r="Q54" s="16">
        <v>45392.0</v>
      </c>
      <c r="R54" s="16">
        <v>45148.0</v>
      </c>
      <c r="S54" s="13" t="s">
        <v>45</v>
      </c>
      <c r="T54" s="13" t="s">
        <v>104</v>
      </c>
      <c r="U54" s="13">
        <f t="shared" si="1"/>
        <v>2</v>
      </c>
      <c r="V54" s="13" t="str">
        <f t="shared" si="2"/>
        <v>C00083|Sneha Reddy|45|South|Kochi|Standard|Email|7/24/2023|12|Quarterly|Credit Card|1,649|3|0|28.10|4.5|4/10/2024|8/10/2023|Churned|Analytics</v>
      </c>
      <c r="W54" s="13">
        <f t="shared" si="3"/>
        <v>1</v>
      </c>
      <c r="X54" s="13">
        <f>IFERROR(__xludf.DUMMYFUNCTION("COUNTUNIQUE(FILTER($B$2:$B$1826,$A$2:$A$1826=A54))"),2.0)</f>
        <v>2</v>
      </c>
    </row>
    <row r="55">
      <c r="A55" s="13" t="s">
        <v>259</v>
      </c>
      <c r="B55" s="13" t="s">
        <v>184</v>
      </c>
      <c r="C55" s="14">
        <v>26.0</v>
      </c>
      <c r="D55" s="13" t="s">
        <v>60</v>
      </c>
      <c r="E55" s="13" t="s">
        <v>133</v>
      </c>
      <c r="F55" s="13" t="s">
        <v>37</v>
      </c>
      <c r="G55" s="13" t="s">
        <v>210</v>
      </c>
      <c r="H55" s="16">
        <v>45918.0</v>
      </c>
      <c r="I55" s="14">
        <v>26.0</v>
      </c>
      <c r="J55" s="13" t="s">
        <v>53</v>
      </c>
      <c r="K55" s="13" t="s">
        <v>81</v>
      </c>
      <c r="L55" s="14">
        <v>1036.0</v>
      </c>
      <c r="M55" s="18" t="s">
        <v>99</v>
      </c>
      <c r="N55" s="18" t="s">
        <v>46</v>
      </c>
      <c r="O55" s="18">
        <v>30.6</v>
      </c>
      <c r="P55" s="18" t="s">
        <v>48</v>
      </c>
      <c r="Q55" s="16">
        <v>46018.0</v>
      </c>
      <c r="R55" s="16">
        <v>46151.0</v>
      </c>
      <c r="S55" s="13" t="s">
        <v>45</v>
      </c>
      <c r="T55" s="13" t="s">
        <v>104</v>
      </c>
      <c r="U55" s="13">
        <f t="shared" si="1"/>
        <v>2</v>
      </c>
      <c r="V55" s="13" t="str">
        <f t="shared" si="2"/>
        <v>C00330|Vikram Reddy|26|East|Guwahati|Standard|Referral|9/18/2025|26|Quarterly|Debit Card|1,036|4|0|30.60|3.6|12/27/2025|5/9/2026|Churned|Analytics</v>
      </c>
      <c r="W55" s="13">
        <f t="shared" si="3"/>
        <v>1</v>
      </c>
      <c r="X55" s="13">
        <f>IFERROR(__xludf.DUMMYFUNCTION("COUNTUNIQUE(FILTER($B$2:$B$1826,$A$2:$A$1826=A55))"),2.0)</f>
        <v>2</v>
      </c>
    </row>
    <row r="56">
      <c r="A56" s="13" t="s">
        <v>262</v>
      </c>
      <c r="B56" s="13" t="s">
        <v>78</v>
      </c>
      <c r="C56" s="14">
        <v>37.0</v>
      </c>
      <c r="D56" s="13" t="s">
        <v>85</v>
      </c>
      <c r="E56" s="13" t="s">
        <v>87</v>
      </c>
      <c r="F56" s="13" t="s">
        <v>62</v>
      </c>
      <c r="G56" s="13" t="s">
        <v>80</v>
      </c>
      <c r="H56" s="16">
        <v>45302.0</v>
      </c>
      <c r="I56" s="14">
        <v>40.0</v>
      </c>
      <c r="J56" s="13" t="s">
        <v>53</v>
      </c>
      <c r="K56" s="13" t="s">
        <v>81</v>
      </c>
      <c r="L56" s="14">
        <v>819.0</v>
      </c>
      <c r="M56" s="18" t="s">
        <v>43</v>
      </c>
      <c r="N56" s="18" t="s">
        <v>98</v>
      </c>
      <c r="O56" s="18">
        <v>27.3</v>
      </c>
      <c r="P56" s="18" t="s">
        <v>76</v>
      </c>
      <c r="Q56" s="16">
        <v>45417.0</v>
      </c>
      <c r="R56" s="16">
        <v>45661.0</v>
      </c>
      <c r="S56" s="13" t="s">
        <v>45</v>
      </c>
      <c r="T56" s="13" t="s">
        <v>75</v>
      </c>
      <c r="U56" s="13">
        <f t="shared" si="1"/>
        <v>2</v>
      </c>
      <c r="V56" s="13" t="str">
        <f t="shared" si="2"/>
        <v>C01347|Vikram Patel|37|West|Surat|Basic|Organic Search|1/11/2024|40|Quarterly|Debit Card|819|2|1|27.30|4.4|5/5/2024|1/4/2025|Churned|Security</v>
      </c>
      <c r="W56" s="13">
        <f t="shared" si="3"/>
        <v>1</v>
      </c>
      <c r="X56" s="13">
        <f>IFERROR(__xludf.DUMMYFUNCTION("COUNTUNIQUE(FILTER($B$2:$B$1826,$A$2:$A$1826=A56))"),2.0)</f>
        <v>2</v>
      </c>
    </row>
    <row r="57">
      <c r="A57" s="13" t="s">
        <v>265</v>
      </c>
      <c r="B57" s="13" t="s">
        <v>235</v>
      </c>
      <c r="C57" s="14">
        <v>60.0</v>
      </c>
      <c r="D57" s="13" t="s">
        <v>85</v>
      </c>
      <c r="E57" s="13" t="s">
        <v>51</v>
      </c>
      <c r="F57" s="13" t="s">
        <v>37</v>
      </c>
      <c r="G57" s="13" t="s">
        <v>210</v>
      </c>
      <c r="H57" s="16">
        <v>45690.0</v>
      </c>
      <c r="I57" s="14">
        <v>1.0</v>
      </c>
      <c r="J57" s="13" t="s">
        <v>40</v>
      </c>
      <c r="K57" s="13" t="s">
        <v>81</v>
      </c>
      <c r="L57" s="14">
        <v>1229.0</v>
      </c>
      <c r="M57" s="18" t="s">
        <v>43</v>
      </c>
      <c r="N57" s="18" t="s">
        <v>46</v>
      </c>
      <c r="O57" s="18">
        <v>11.3</v>
      </c>
      <c r="P57" s="18" t="s">
        <v>173</v>
      </c>
      <c r="Q57" s="16">
        <v>45707.0</v>
      </c>
      <c r="R57" s="16" t="s">
        <v>38</v>
      </c>
      <c r="S57" s="13" t="s">
        <v>55</v>
      </c>
      <c r="T57" s="13" t="s">
        <v>72</v>
      </c>
      <c r="U57" s="13">
        <f t="shared" si="1"/>
        <v>2</v>
      </c>
      <c r="V57" s="13" t="str">
        <f t="shared" si="2"/>
        <v>C00249|Sneha Sharma|60|West|Jaipur|Standard|Referral|2/2/2025|1|Monthly|Debit Card|1,229|2|0|11.30|5|2/19/2025||Active|Collaboration</v>
      </c>
      <c r="W57" s="13">
        <f t="shared" si="3"/>
        <v>1</v>
      </c>
      <c r="X57" s="13">
        <f>IFERROR(__xludf.DUMMYFUNCTION("COUNTUNIQUE(FILTER($B$2:$B$1826,$A$2:$A$1826=A57))"),2.0)</f>
        <v>2</v>
      </c>
    </row>
    <row r="58">
      <c r="A58" s="13" t="s">
        <v>272</v>
      </c>
      <c r="B58" s="13" t="s">
        <v>145</v>
      </c>
      <c r="C58" s="14">
        <v>23.0</v>
      </c>
      <c r="D58" s="13" t="s">
        <v>60</v>
      </c>
      <c r="E58" s="13" t="s">
        <v>38</v>
      </c>
      <c r="F58" s="13" t="s">
        <v>37</v>
      </c>
      <c r="G58" s="13" t="s">
        <v>120</v>
      </c>
      <c r="H58" s="16">
        <v>45061.0</v>
      </c>
      <c r="I58" s="14">
        <v>30.0</v>
      </c>
      <c r="J58" s="13" t="s">
        <v>53</v>
      </c>
      <c r="K58" s="13" t="s">
        <v>65</v>
      </c>
      <c r="L58" s="14">
        <v>1194.0</v>
      </c>
      <c r="M58" s="18" t="s">
        <v>46</v>
      </c>
      <c r="N58" s="18" t="s">
        <v>46</v>
      </c>
      <c r="O58" s="18">
        <v>32.9</v>
      </c>
      <c r="P58" s="18" t="s">
        <v>368</v>
      </c>
      <c r="Q58" s="16">
        <v>45684.0</v>
      </c>
      <c r="R58" s="16" t="s">
        <v>38</v>
      </c>
      <c r="S58" s="13" t="s">
        <v>55</v>
      </c>
      <c r="T58" s="13" t="s">
        <v>72</v>
      </c>
      <c r="U58" s="13">
        <f t="shared" si="1"/>
        <v>2</v>
      </c>
      <c r="V58" s="13" t="str">
        <f t="shared" si="2"/>
        <v>C01043|Ravi Patel|23|East||Standard|Email|5/15/2023|30|Quarterly|Credit Card|1,194|0|0|32.90|4.9|1/27/2025||Active|Collaboration</v>
      </c>
      <c r="W58" s="13">
        <f t="shared" si="3"/>
        <v>1</v>
      </c>
      <c r="X58" s="13">
        <f>IFERROR(__xludf.DUMMYFUNCTION("COUNTUNIQUE(FILTER($B$2:$B$1826,$A$2:$A$1826=A58))"),2.0)</f>
        <v>2</v>
      </c>
    </row>
    <row r="59">
      <c r="A59" s="13" t="s">
        <v>279</v>
      </c>
      <c r="B59" s="13" t="s">
        <v>281</v>
      </c>
      <c r="C59" s="14">
        <v>54.0</v>
      </c>
      <c r="D59" s="13" t="s">
        <v>60</v>
      </c>
      <c r="E59" s="13" t="s">
        <v>61</v>
      </c>
      <c r="F59" s="13" t="s">
        <v>62</v>
      </c>
      <c r="G59" s="13" t="s">
        <v>210</v>
      </c>
      <c r="H59" s="16">
        <v>45764.0</v>
      </c>
      <c r="I59" s="14">
        <v>38.0</v>
      </c>
      <c r="J59" s="13" t="s">
        <v>64</v>
      </c>
      <c r="K59" s="13" t="s">
        <v>65</v>
      </c>
      <c r="L59" s="14">
        <v>749.0</v>
      </c>
      <c r="M59" s="18" t="s">
        <v>43</v>
      </c>
      <c r="N59" s="18" t="s">
        <v>46</v>
      </c>
      <c r="O59" s="18">
        <v>14.5</v>
      </c>
      <c r="P59" s="18" t="s">
        <v>130</v>
      </c>
      <c r="Q59" s="16">
        <v>46877.0</v>
      </c>
      <c r="R59" s="16">
        <v>46785.0</v>
      </c>
      <c r="S59" s="13" t="s">
        <v>45</v>
      </c>
      <c r="T59" s="13" t="s">
        <v>75</v>
      </c>
      <c r="U59" s="13">
        <f t="shared" si="1"/>
        <v>2</v>
      </c>
      <c r="V59" s="13" t="str">
        <f t="shared" si="2"/>
        <v>C01040|Anita Reddy|54|East|Kolkata|Basic|Referral|4/17/2025|38|Annual|Credit Card|749|2|0|14.50|3.9|5/4/2028|2/2/2028|Churned|Security</v>
      </c>
      <c r="W59" s="13">
        <f t="shared" si="3"/>
        <v>1</v>
      </c>
      <c r="X59" s="13">
        <f>IFERROR(__xludf.DUMMYFUNCTION("COUNTUNIQUE(FILTER($B$2:$B$1826,$A$2:$A$1826=A59))"),2.0)</f>
        <v>2</v>
      </c>
    </row>
    <row r="60">
      <c r="A60" s="13" t="s">
        <v>286</v>
      </c>
      <c r="B60" s="13" t="s">
        <v>206</v>
      </c>
      <c r="C60" s="14">
        <v>50.0</v>
      </c>
      <c r="D60" s="13" t="s">
        <v>69</v>
      </c>
      <c r="E60" s="13" t="s">
        <v>187</v>
      </c>
      <c r="F60" s="13" t="s">
        <v>37</v>
      </c>
      <c r="G60" s="13" t="s">
        <v>39</v>
      </c>
      <c r="H60" s="16">
        <v>45403.0</v>
      </c>
      <c r="I60" s="14">
        <v>3.0</v>
      </c>
      <c r="J60" s="13" t="s">
        <v>40</v>
      </c>
      <c r="K60" s="13" t="s">
        <v>41</v>
      </c>
      <c r="L60" s="14">
        <v>1721.0</v>
      </c>
      <c r="M60" s="18" t="s">
        <v>99</v>
      </c>
      <c r="N60" s="18" t="s">
        <v>43</v>
      </c>
      <c r="O60" s="18">
        <v>37.2</v>
      </c>
      <c r="P60" s="18" t="s">
        <v>89</v>
      </c>
      <c r="Q60" s="16">
        <v>45461.0</v>
      </c>
      <c r="R60" s="16" t="s">
        <v>38</v>
      </c>
      <c r="S60" s="13" t="s">
        <v>55</v>
      </c>
      <c r="T60" s="13" t="s">
        <v>66</v>
      </c>
      <c r="U60" s="13">
        <f t="shared" si="1"/>
        <v>2</v>
      </c>
      <c r="V60" s="13" t="str">
        <f t="shared" si="2"/>
        <v>C00660|Karan Patel|50|South|Chennai|Standard|Instagram|4/21/2024|3|Monthly|Upi|1,721|4|2|37.20|3.3|6/18/2024||Active|Automation</v>
      </c>
      <c r="W60" s="13">
        <f t="shared" si="3"/>
        <v>1</v>
      </c>
      <c r="X60" s="13">
        <f>IFERROR(__xludf.DUMMYFUNCTION("COUNTUNIQUE(FILTER($B$2:$B$1826,$A$2:$A$1826=A60))"),2.0)</f>
        <v>2</v>
      </c>
    </row>
    <row r="61">
      <c r="A61" s="13" t="s">
        <v>287</v>
      </c>
      <c r="B61" s="13" t="s">
        <v>288</v>
      </c>
      <c r="C61" s="14">
        <v>49.0</v>
      </c>
      <c r="D61" s="13" t="s">
        <v>60</v>
      </c>
      <c r="E61" s="13" t="s">
        <v>61</v>
      </c>
      <c r="F61" s="13" t="s">
        <v>79</v>
      </c>
      <c r="G61" s="13" t="s">
        <v>120</v>
      </c>
      <c r="H61" s="16">
        <v>44766.0</v>
      </c>
      <c r="I61" s="14">
        <v>34.0</v>
      </c>
      <c r="J61" s="13" t="s">
        <v>53</v>
      </c>
      <c r="K61" s="13" t="s">
        <v>65</v>
      </c>
      <c r="L61" s="14">
        <v>2294.0</v>
      </c>
      <c r="M61" s="18" t="s">
        <v>98</v>
      </c>
      <c r="N61" s="18" t="s">
        <v>46</v>
      </c>
      <c r="O61" s="18">
        <v>35.6</v>
      </c>
      <c r="P61" s="18" t="s">
        <v>203</v>
      </c>
      <c r="Q61" s="16">
        <v>45615.0</v>
      </c>
      <c r="R61" s="16" t="s">
        <v>290</v>
      </c>
      <c r="S61" s="13" t="s">
        <v>45</v>
      </c>
      <c r="T61" s="13" t="s">
        <v>66</v>
      </c>
      <c r="U61" s="13">
        <f t="shared" si="1"/>
        <v>1</v>
      </c>
      <c r="V61" s="13" t="str">
        <f t="shared" si="2"/>
        <v>C01209|Rahul Sharma|49|East|Kolkata|Premium|Email|7/24/2022|34|Quarterly|Credit Card|2,294|1|0|35.60|3.7|11/19/2024|30/01/2025|Churned|Automation</v>
      </c>
      <c r="W61" s="13">
        <f t="shared" si="3"/>
        <v>1</v>
      </c>
      <c r="X61" s="13">
        <f>IFERROR(__xludf.DUMMYFUNCTION("COUNTUNIQUE(FILTER($B$2:$B$1826,$A$2:$A$1826=A61))"),1.0)</f>
        <v>1</v>
      </c>
    </row>
    <row r="62">
      <c r="A62" s="13" t="s">
        <v>291</v>
      </c>
      <c r="B62" s="13" t="s">
        <v>179</v>
      </c>
      <c r="C62" s="14">
        <v>58.0</v>
      </c>
      <c r="D62" s="13" t="s">
        <v>85</v>
      </c>
      <c r="E62" s="13" t="s">
        <v>292</v>
      </c>
      <c r="F62" s="13" t="s">
        <v>79</v>
      </c>
      <c r="G62" s="13" t="s">
        <v>128</v>
      </c>
      <c r="H62" s="16">
        <v>45943.0</v>
      </c>
      <c r="I62" s="14">
        <v>35.0</v>
      </c>
      <c r="J62" s="13" t="s">
        <v>40</v>
      </c>
      <c r="K62" s="13" t="s">
        <v>41</v>
      </c>
      <c r="L62" s="14">
        <v>3470.0</v>
      </c>
      <c r="M62" s="18" t="s">
        <v>99</v>
      </c>
      <c r="N62" s="18" t="s">
        <v>98</v>
      </c>
      <c r="O62" s="18">
        <v>40.6</v>
      </c>
      <c r="P62" s="18" t="s">
        <v>164</v>
      </c>
      <c r="Q62" s="16">
        <v>46952.0</v>
      </c>
      <c r="R62" s="16" t="s">
        <v>38</v>
      </c>
      <c r="S62" s="13" t="s">
        <v>55</v>
      </c>
      <c r="T62" s="13" t="s">
        <v>72</v>
      </c>
      <c r="U62" s="13">
        <f t="shared" si="1"/>
        <v>1</v>
      </c>
      <c r="V62" s="13" t="str">
        <f t="shared" si="2"/>
        <v>C01419|Ravi Kumar|58|West|Mumbai|Premium|Youtube|10/13/2025|35|Monthly|Upi|3,470|4|1|40.60|3|7/18/2028||Active|Collaboration</v>
      </c>
      <c r="W62" s="13">
        <f t="shared" si="3"/>
        <v>1</v>
      </c>
      <c r="X62" s="13">
        <f>IFERROR(__xludf.DUMMYFUNCTION("COUNTUNIQUE(FILTER($B$2:$B$1826,$A$2:$A$1826=A62))"),1.0)</f>
        <v>1</v>
      </c>
    </row>
    <row r="63">
      <c r="A63" s="13" t="s">
        <v>294</v>
      </c>
      <c r="B63" s="13" t="s">
        <v>295</v>
      </c>
      <c r="C63" s="14">
        <v>22.0</v>
      </c>
      <c r="D63" s="13" t="s">
        <v>35</v>
      </c>
      <c r="E63" s="13" t="s">
        <v>140</v>
      </c>
      <c r="F63" s="13" t="s">
        <v>79</v>
      </c>
      <c r="G63" s="13" t="s">
        <v>128</v>
      </c>
      <c r="H63" s="16">
        <v>45859.0</v>
      </c>
      <c r="I63" s="14">
        <v>46.0</v>
      </c>
      <c r="J63" s="13" t="s">
        <v>53</v>
      </c>
      <c r="K63" s="13" t="s">
        <v>65</v>
      </c>
      <c r="L63" s="14">
        <v>3420.0</v>
      </c>
      <c r="M63" s="18" t="s">
        <v>98</v>
      </c>
      <c r="N63" s="18" t="s">
        <v>43</v>
      </c>
      <c r="O63" s="18">
        <v>38.6</v>
      </c>
      <c r="P63" s="18" t="s">
        <v>296</v>
      </c>
      <c r="Q63" s="16">
        <v>46482.0</v>
      </c>
      <c r="R63" s="16" t="s">
        <v>297</v>
      </c>
      <c r="S63" s="13" t="s">
        <v>45</v>
      </c>
      <c r="T63" s="13" t="s">
        <v>72</v>
      </c>
      <c r="U63" s="13">
        <f t="shared" si="1"/>
        <v>3</v>
      </c>
      <c r="V63" s="13" t="str">
        <f t="shared" si="2"/>
        <v>C00466|Arun Reddy|22|North|Lucknow|Premium|Youtube|7/21/2025|46|Quarterly|Credit Card|3,420|1|2|38.60|4.6|4/5/2027|18/10/2025|Churned|Collaboration</v>
      </c>
      <c r="W63" s="13">
        <f t="shared" si="3"/>
        <v>1</v>
      </c>
      <c r="X63" s="13">
        <f>IFERROR(__xludf.DUMMYFUNCTION("COUNTUNIQUE(FILTER($B$2:$B$1826,$A$2:$A$1826=A63))"),3.0)</f>
        <v>3</v>
      </c>
    </row>
    <row r="64">
      <c r="A64" s="13" t="s">
        <v>298</v>
      </c>
      <c r="B64" s="13" t="s">
        <v>172</v>
      </c>
      <c r="C64" s="14">
        <v>50.0</v>
      </c>
      <c r="D64" s="13" t="s">
        <v>69</v>
      </c>
      <c r="E64" s="13" t="s">
        <v>187</v>
      </c>
      <c r="F64" s="13" t="s">
        <v>37</v>
      </c>
      <c r="G64" s="13" t="s">
        <v>80</v>
      </c>
      <c r="H64" s="16">
        <v>45958.0</v>
      </c>
      <c r="I64" s="14">
        <v>12.0</v>
      </c>
      <c r="J64" s="13" t="s">
        <v>64</v>
      </c>
      <c r="K64" s="13" t="s">
        <v>41</v>
      </c>
      <c r="L64" s="14">
        <v>1623.0</v>
      </c>
      <c r="M64" s="18" t="s">
        <v>99</v>
      </c>
      <c r="N64" s="18" t="s">
        <v>46</v>
      </c>
      <c r="O64" s="18">
        <v>39.6</v>
      </c>
      <c r="P64" s="18" t="s">
        <v>296</v>
      </c>
      <c r="Q64" s="16">
        <v>46163.0</v>
      </c>
      <c r="R64" s="16" t="s">
        <v>38</v>
      </c>
      <c r="S64" s="13" t="s">
        <v>55</v>
      </c>
      <c r="T64" s="13" t="s">
        <v>47</v>
      </c>
      <c r="U64" s="13">
        <f t="shared" si="1"/>
        <v>1</v>
      </c>
      <c r="V64" s="13" t="str">
        <f t="shared" si="2"/>
        <v>C00883|Meera Singh|50|South|Chennai|Standard|Organic Search|10/28/2025|12|Annual|Upi|1,623|4|0|39.60|4.6|5/21/2026||Active|Cloud Storage</v>
      </c>
      <c r="W64" s="13">
        <f t="shared" si="3"/>
        <v>1</v>
      </c>
      <c r="X64" s="13">
        <f>IFERROR(__xludf.DUMMYFUNCTION("COUNTUNIQUE(FILTER($B$2:$B$1826,$A$2:$A$1826=A64))"),1.0)</f>
        <v>1</v>
      </c>
    </row>
    <row r="65">
      <c r="A65" s="13" t="s">
        <v>299</v>
      </c>
      <c r="B65" s="13" t="s">
        <v>232</v>
      </c>
      <c r="C65" s="14">
        <v>59.0</v>
      </c>
      <c r="D65" s="13" t="s">
        <v>35</v>
      </c>
      <c r="E65" s="13" t="s">
        <v>133</v>
      </c>
      <c r="F65" s="13" t="s">
        <v>62</v>
      </c>
      <c r="G65" s="13" t="s">
        <v>63</v>
      </c>
      <c r="H65" s="16">
        <v>45514.0</v>
      </c>
      <c r="I65" s="14">
        <v>19.0</v>
      </c>
      <c r="J65" s="13" t="s">
        <v>53</v>
      </c>
      <c r="K65" s="13" t="s">
        <v>81</v>
      </c>
      <c r="L65" s="14">
        <v>579.0</v>
      </c>
      <c r="M65" s="18" t="s">
        <v>98</v>
      </c>
      <c r="N65" s="18" t="s">
        <v>98</v>
      </c>
      <c r="O65" s="18">
        <v>35.5</v>
      </c>
      <c r="P65" s="18" t="s">
        <v>164</v>
      </c>
      <c r="Q65" s="16">
        <v>45877.0</v>
      </c>
      <c r="R65" s="16" t="s">
        <v>38</v>
      </c>
      <c r="S65" s="13" t="s">
        <v>55</v>
      </c>
      <c r="T65" s="13" t="s">
        <v>72</v>
      </c>
      <c r="U65" s="13">
        <f t="shared" si="1"/>
        <v>1</v>
      </c>
      <c r="V65" s="13" t="str">
        <f t="shared" si="2"/>
        <v>C00945|Meera Iyer|59|North|Guwahati|Basic|Google Ads|8/10/2024|19|Quarterly|Debit Card|579|1|1|35.50|3|8/8/2025||Active|Collaboration</v>
      </c>
      <c r="W65" s="13">
        <f t="shared" si="3"/>
        <v>1</v>
      </c>
      <c r="X65" s="13">
        <f>IFERROR(__xludf.DUMMYFUNCTION("COUNTUNIQUE(FILTER($B$2:$B$1826,$A$2:$A$1826=A65))"),1.0)</f>
        <v>1</v>
      </c>
    </row>
    <row r="66">
      <c r="A66" s="13" t="s">
        <v>301</v>
      </c>
      <c r="B66" s="13" t="s">
        <v>152</v>
      </c>
      <c r="C66" s="14">
        <v>61.0</v>
      </c>
      <c r="D66" s="13" t="s">
        <v>60</v>
      </c>
      <c r="E66" s="13" t="s">
        <v>97</v>
      </c>
      <c r="F66" s="13" t="s">
        <v>79</v>
      </c>
      <c r="G66" s="13" t="s">
        <v>128</v>
      </c>
      <c r="H66" s="16">
        <v>45551.0</v>
      </c>
      <c r="I66" s="14">
        <v>7.0</v>
      </c>
      <c r="J66" s="13" t="s">
        <v>53</v>
      </c>
      <c r="K66" s="13" t="s">
        <v>65</v>
      </c>
      <c r="L66" s="14">
        <v>3176.0</v>
      </c>
      <c r="M66" s="18" t="s">
        <v>99</v>
      </c>
      <c r="N66" s="18" t="s">
        <v>43</v>
      </c>
      <c r="O66" s="18">
        <v>31.9</v>
      </c>
      <c r="P66" s="18" t="s">
        <v>225</v>
      </c>
      <c r="Q66" s="16">
        <v>45636.0</v>
      </c>
      <c r="R66" s="16" t="s">
        <v>38</v>
      </c>
      <c r="S66" s="13" t="s">
        <v>55</v>
      </c>
      <c r="T66" s="13" t="s">
        <v>104</v>
      </c>
      <c r="U66" s="13">
        <f t="shared" si="1"/>
        <v>1</v>
      </c>
      <c r="V66" s="13" t="str">
        <f t="shared" si="2"/>
        <v>C00936|Vikram Kumar|61|East|Bhubaneswar|Premium|Youtube|9/16/2024|7|Quarterly|Credit Card|3,176|4|2|31.90|3.8|12/10/2024||Active|Analytics</v>
      </c>
      <c r="W66" s="13">
        <f t="shared" si="3"/>
        <v>1</v>
      </c>
      <c r="X66" s="13">
        <f>IFERROR(__xludf.DUMMYFUNCTION("COUNTUNIQUE(FILTER($B$2:$B$1826,$A$2:$A$1826=A66))"),1.0)</f>
        <v>1</v>
      </c>
    </row>
    <row r="67">
      <c r="A67" s="13" t="s">
        <v>302</v>
      </c>
      <c r="B67" s="13" t="s">
        <v>303</v>
      </c>
      <c r="C67" s="14">
        <v>38.0</v>
      </c>
      <c r="D67" s="13" t="s">
        <v>35</v>
      </c>
      <c r="E67" s="13" t="s">
        <v>140</v>
      </c>
      <c r="F67" s="13" t="s">
        <v>37</v>
      </c>
      <c r="G67" s="13" t="s">
        <v>210</v>
      </c>
      <c r="H67" s="16">
        <v>45033.0</v>
      </c>
      <c r="I67" s="14">
        <v>120.0</v>
      </c>
      <c r="J67" s="13" t="s">
        <v>53</v>
      </c>
      <c r="K67" s="13" t="s">
        <v>41</v>
      </c>
      <c r="L67" s="14">
        <v>1650.0</v>
      </c>
      <c r="M67" s="18" t="s">
        <v>43</v>
      </c>
      <c r="N67" s="18" t="s">
        <v>46</v>
      </c>
      <c r="O67" s="18">
        <v>17.4</v>
      </c>
      <c r="P67" s="18" t="s">
        <v>173</v>
      </c>
      <c r="Q67" s="16">
        <v>45556.0</v>
      </c>
      <c r="R67" s="16" t="s">
        <v>304</v>
      </c>
      <c r="S67" s="13" t="s">
        <v>45</v>
      </c>
      <c r="T67" s="13" t="s">
        <v>66</v>
      </c>
      <c r="U67" s="13">
        <f t="shared" si="1"/>
        <v>2</v>
      </c>
      <c r="V67" s="13" t="str">
        <f t="shared" si="2"/>
        <v>C01160|Priya Kumar|38|North|Lucknow|Standard|Referral|4/17/2023|120|Quarterly|Upi|1,650|2|0|17.40|5|9/21/2024|21/02/2024|Churned|Automation</v>
      </c>
      <c r="W67" s="13">
        <f t="shared" si="3"/>
        <v>1</v>
      </c>
      <c r="X67" s="13">
        <f>IFERROR(__xludf.DUMMYFUNCTION("COUNTUNIQUE(FILTER($B$2:$B$1826,$A$2:$A$1826=A67))"),2.0)</f>
        <v>2</v>
      </c>
    </row>
    <row r="68">
      <c r="A68" s="13" t="s">
        <v>305</v>
      </c>
      <c r="B68" s="13" t="s">
        <v>78</v>
      </c>
      <c r="C68" s="14">
        <v>35.0</v>
      </c>
      <c r="D68" s="13" t="s">
        <v>69</v>
      </c>
      <c r="E68" s="13" t="s">
        <v>70</v>
      </c>
      <c r="F68" s="13" t="s">
        <v>79</v>
      </c>
      <c r="G68" s="13" t="s">
        <v>210</v>
      </c>
      <c r="H68" s="16">
        <v>45412.0</v>
      </c>
      <c r="I68" s="14">
        <v>12.0</v>
      </c>
      <c r="J68" s="13" t="s">
        <v>53</v>
      </c>
      <c r="K68" s="13" t="s">
        <v>65</v>
      </c>
      <c r="L68" s="14">
        <v>3086.0</v>
      </c>
      <c r="M68" s="18" t="s">
        <v>43</v>
      </c>
      <c r="N68" s="18" t="s">
        <v>43</v>
      </c>
      <c r="O68" s="18">
        <v>47.4</v>
      </c>
      <c r="P68" s="18" t="s">
        <v>89</v>
      </c>
      <c r="Q68" s="16">
        <v>45678.0</v>
      </c>
      <c r="R68" s="16" t="s">
        <v>38</v>
      </c>
      <c r="S68" s="13" t="s">
        <v>55</v>
      </c>
      <c r="T68" s="13" t="s">
        <v>72</v>
      </c>
      <c r="U68" s="13">
        <f t="shared" si="1"/>
        <v>1</v>
      </c>
      <c r="V68" s="13" t="str">
        <f t="shared" si="2"/>
        <v>C00748|Vikram Patel|35|South|Bengaluru|Premium|Referral|4/30/2024|12|Quarterly|Credit Card|3,086|2|2|47.40|3.3|1/21/2025||Active|Collaboration</v>
      </c>
      <c r="W68" s="13">
        <f t="shared" si="3"/>
        <v>1</v>
      </c>
      <c r="X68" s="13">
        <f>IFERROR(__xludf.DUMMYFUNCTION("COUNTUNIQUE(FILTER($B$2:$B$1826,$A$2:$A$1826=A68))"),1.0)</f>
        <v>1</v>
      </c>
    </row>
    <row r="69">
      <c r="A69" s="13" t="s">
        <v>307</v>
      </c>
      <c r="B69" s="13" t="s">
        <v>308</v>
      </c>
      <c r="C69" s="14">
        <v>35.0</v>
      </c>
      <c r="D69" s="13" t="s">
        <v>69</v>
      </c>
      <c r="E69" s="13" t="s">
        <v>292</v>
      </c>
      <c r="F69" s="13" t="s">
        <v>62</v>
      </c>
      <c r="G69" s="13" t="s">
        <v>39</v>
      </c>
      <c r="H69" s="16">
        <v>45947.0</v>
      </c>
      <c r="I69" s="14">
        <v>47.0</v>
      </c>
      <c r="J69" s="13" t="s">
        <v>64</v>
      </c>
      <c r="K69" s="13" t="s">
        <v>41</v>
      </c>
      <c r="L69" s="14">
        <v>702.0</v>
      </c>
      <c r="M69" s="18" t="s">
        <v>98</v>
      </c>
      <c r="N69" s="18" t="s">
        <v>46</v>
      </c>
      <c r="O69" s="18">
        <v>17.1</v>
      </c>
      <c r="P69" s="18" t="s">
        <v>400</v>
      </c>
      <c r="Q69" s="16">
        <v>46141.0</v>
      </c>
      <c r="R69" s="16" t="s">
        <v>38</v>
      </c>
      <c r="S69" s="13" t="s">
        <v>55</v>
      </c>
      <c r="T69" s="13" t="s">
        <v>75</v>
      </c>
      <c r="U69" s="13">
        <f t="shared" si="1"/>
        <v>3</v>
      </c>
      <c r="V69" s="13" t="str">
        <f t="shared" si="2"/>
        <v>C00236|Karan Kumar|35|South|Mumbai|Basic|Instagram|10/17/2025|47|Annual|Upi|702|1|0|17.10|4.8|4/29/2026||Active|Security</v>
      </c>
      <c r="W69" s="13">
        <f t="shared" si="3"/>
        <v>1</v>
      </c>
      <c r="X69" s="13">
        <f>IFERROR(__xludf.DUMMYFUNCTION("COUNTUNIQUE(FILTER($B$2:$B$1826,$A$2:$A$1826=A69))"),3.0)</f>
        <v>3</v>
      </c>
    </row>
    <row r="70">
      <c r="A70" s="13" t="s">
        <v>311</v>
      </c>
      <c r="B70" s="13" t="s">
        <v>312</v>
      </c>
      <c r="C70" s="14">
        <v>60.0</v>
      </c>
      <c r="D70" s="13" t="s">
        <v>60</v>
      </c>
      <c r="E70" s="13" t="s">
        <v>133</v>
      </c>
      <c r="F70" s="13" t="s">
        <v>37</v>
      </c>
      <c r="G70" s="13" t="s">
        <v>210</v>
      </c>
      <c r="H70" s="16">
        <v>44783.0</v>
      </c>
      <c r="I70" s="14">
        <v>44.0</v>
      </c>
      <c r="J70" s="13" t="s">
        <v>40</v>
      </c>
      <c r="K70" s="13" t="s">
        <v>81</v>
      </c>
      <c r="L70" s="14">
        <v>1633.0</v>
      </c>
      <c r="M70" s="18" t="s">
        <v>376</v>
      </c>
      <c r="N70" s="18" t="s">
        <v>98</v>
      </c>
      <c r="O70" s="18">
        <v>30.1</v>
      </c>
      <c r="P70" s="18" t="s">
        <v>99</v>
      </c>
      <c r="Q70" s="16">
        <v>45942.0</v>
      </c>
      <c r="R70" s="16" t="s">
        <v>38</v>
      </c>
      <c r="S70" s="13" t="s">
        <v>55</v>
      </c>
      <c r="T70" s="13" t="s">
        <v>75</v>
      </c>
      <c r="U70" s="13">
        <f t="shared" si="1"/>
        <v>3</v>
      </c>
      <c r="V70" s="13" t="str">
        <f t="shared" si="2"/>
        <v>C00755|Anita Singh|60|East|Guwahati|Standard|Referral|8/10/2022|44|Monthly|Debit Card|1,633|6|1|30.10|4|10/12/2025||Active|Security</v>
      </c>
      <c r="W70" s="13">
        <f t="shared" si="3"/>
        <v>1</v>
      </c>
      <c r="X70" s="13">
        <f>IFERROR(__xludf.DUMMYFUNCTION("COUNTUNIQUE(FILTER($B$2:$B$1826,$A$2:$A$1826=A70))"),3.0)</f>
        <v>3</v>
      </c>
    </row>
    <row r="71">
      <c r="A71" s="13" t="s">
        <v>313</v>
      </c>
      <c r="B71" s="13" t="s">
        <v>118</v>
      </c>
      <c r="C71" s="14">
        <v>42.0</v>
      </c>
      <c r="D71" s="13" t="s">
        <v>60</v>
      </c>
      <c r="E71" s="13" t="s">
        <v>133</v>
      </c>
      <c r="F71" s="13" t="s">
        <v>62</v>
      </c>
      <c r="G71" s="13" t="s">
        <v>63</v>
      </c>
      <c r="H71" s="16">
        <v>44638.0</v>
      </c>
      <c r="I71" s="14">
        <v>20.0</v>
      </c>
      <c r="J71" s="13" t="s">
        <v>64</v>
      </c>
      <c r="K71" s="13" t="s">
        <v>81</v>
      </c>
      <c r="L71" s="14">
        <v>558.0</v>
      </c>
      <c r="M71" s="18" t="s">
        <v>43</v>
      </c>
      <c r="N71" s="18" t="s">
        <v>46</v>
      </c>
      <c r="O71" s="18">
        <v>19.0</v>
      </c>
      <c r="P71" s="18" t="s">
        <v>408</v>
      </c>
      <c r="Q71" s="16">
        <v>45198.0</v>
      </c>
      <c r="R71" s="16">
        <v>44601.0</v>
      </c>
      <c r="S71" s="13" t="s">
        <v>45</v>
      </c>
      <c r="T71" s="13" t="s">
        <v>66</v>
      </c>
      <c r="U71" s="13">
        <f t="shared" si="1"/>
        <v>2</v>
      </c>
      <c r="V71" s="13" t="str">
        <f t="shared" si="2"/>
        <v>C01436|Karan Nair|42|East|Guwahati|Basic|Google Ads|3/18/2022|20|Annual|Debit Card|558|2|0|19.00|4.2|9/29/2023|2/9/2022|Churned|Automation</v>
      </c>
      <c r="W71" s="13">
        <f t="shared" si="3"/>
        <v>1</v>
      </c>
      <c r="X71" s="13">
        <f>IFERROR(__xludf.DUMMYFUNCTION("COUNTUNIQUE(FILTER($B$2:$B$1826,$A$2:$A$1826=A71))"),2.0)</f>
        <v>2</v>
      </c>
    </row>
    <row r="72">
      <c r="A72" s="13" t="s">
        <v>315</v>
      </c>
      <c r="B72" s="13" t="s">
        <v>316</v>
      </c>
      <c r="C72" s="14">
        <v>47.0</v>
      </c>
      <c r="D72" s="13" t="s">
        <v>69</v>
      </c>
      <c r="E72" s="13" t="s">
        <v>119</v>
      </c>
      <c r="F72" s="13" t="s">
        <v>37</v>
      </c>
      <c r="G72" s="13" t="s">
        <v>128</v>
      </c>
      <c r="H72" s="16">
        <v>45564.0</v>
      </c>
      <c r="I72" s="14">
        <v>40.0</v>
      </c>
      <c r="J72" s="13" t="s">
        <v>40</v>
      </c>
      <c r="K72" s="13" t="s">
        <v>65</v>
      </c>
      <c r="L72" s="14">
        <v>1032.0</v>
      </c>
      <c r="M72" s="18" t="s">
        <v>99</v>
      </c>
      <c r="N72" s="18" t="s">
        <v>43</v>
      </c>
      <c r="O72" s="18">
        <v>30.7</v>
      </c>
      <c r="P72" s="18" t="s">
        <v>164</v>
      </c>
      <c r="Q72" s="16">
        <v>46332.0</v>
      </c>
      <c r="R72" s="16" t="s">
        <v>38</v>
      </c>
      <c r="S72" s="13" t="s">
        <v>55</v>
      </c>
      <c r="T72" s="13" t="s">
        <v>104</v>
      </c>
      <c r="U72" s="13">
        <f t="shared" si="1"/>
        <v>3</v>
      </c>
      <c r="V72" s="13" t="str">
        <f t="shared" si="2"/>
        <v>C00859|Neha Nair|47|South|Kochi|Standard|Youtube|9/29/2024|40|Monthly|Credit Card|1,032|4|2|30.70|3|11/6/2026||Active|Analytics</v>
      </c>
      <c r="W72" s="13">
        <f t="shared" si="3"/>
        <v>1</v>
      </c>
      <c r="X72" s="13">
        <f>IFERROR(__xludf.DUMMYFUNCTION("COUNTUNIQUE(FILTER($B$2:$B$1826,$A$2:$A$1826=A72))"),3.0)</f>
        <v>3</v>
      </c>
    </row>
    <row r="73">
      <c r="A73" s="13" t="s">
        <v>317</v>
      </c>
      <c r="B73" s="13" t="s">
        <v>239</v>
      </c>
      <c r="C73" s="14">
        <v>22.0</v>
      </c>
      <c r="D73" s="13" t="s">
        <v>60</v>
      </c>
      <c r="E73" s="13" t="s">
        <v>107</v>
      </c>
      <c r="F73" s="13" t="s">
        <v>62</v>
      </c>
      <c r="G73" s="13" t="s">
        <v>210</v>
      </c>
      <c r="H73" s="16">
        <v>44950.0</v>
      </c>
      <c r="I73" s="14">
        <v>8.0</v>
      </c>
      <c r="J73" s="13" t="s">
        <v>53</v>
      </c>
      <c r="K73" s="13" t="s">
        <v>41</v>
      </c>
      <c r="L73" s="14">
        <v>731.0</v>
      </c>
      <c r="M73" s="18" t="s">
        <v>43</v>
      </c>
      <c r="N73" s="18" t="s">
        <v>46</v>
      </c>
      <c r="O73" s="18">
        <v>23.2</v>
      </c>
      <c r="P73" s="18" t="s">
        <v>368</v>
      </c>
      <c r="Q73" s="16">
        <v>45014.0</v>
      </c>
      <c r="R73" s="16">
        <v>45085.0</v>
      </c>
      <c r="S73" s="13" t="s">
        <v>45</v>
      </c>
      <c r="T73" s="13" t="s">
        <v>47</v>
      </c>
      <c r="U73" s="13">
        <f t="shared" si="1"/>
        <v>2</v>
      </c>
      <c r="V73" s="13" t="str">
        <f t="shared" si="2"/>
        <v>C01405|Meera Kumar|22|East|Patna|Basic|Referral|1/24/2023|8|Quarterly|Upi|731|2|0|23.20|4.9|3/29/2023|6/8/2023|Churned|Cloud Storage</v>
      </c>
      <c r="W73" s="13">
        <f t="shared" si="3"/>
        <v>1</v>
      </c>
      <c r="X73" s="13">
        <f>IFERROR(__xludf.DUMMYFUNCTION("COUNTUNIQUE(FILTER($B$2:$B$1826,$A$2:$A$1826=A73))"),2.0)</f>
        <v>2</v>
      </c>
    </row>
    <row r="74">
      <c r="A74" s="13" t="s">
        <v>320</v>
      </c>
      <c r="B74" s="13" t="s">
        <v>239</v>
      </c>
      <c r="C74" s="14">
        <v>36.0</v>
      </c>
      <c r="D74" s="13" t="s">
        <v>69</v>
      </c>
      <c r="E74" s="13" t="s">
        <v>70</v>
      </c>
      <c r="F74" s="13" t="s">
        <v>37</v>
      </c>
      <c r="G74" s="13" t="s">
        <v>80</v>
      </c>
      <c r="H74" s="16">
        <v>44986.0</v>
      </c>
      <c r="I74" s="14">
        <v>38.0</v>
      </c>
      <c r="J74" s="13" t="s">
        <v>40</v>
      </c>
      <c r="K74" s="13" t="s">
        <v>41</v>
      </c>
      <c r="L74" s="14">
        <v>1335.0</v>
      </c>
      <c r="M74" s="18" t="s">
        <v>164</v>
      </c>
      <c r="N74" s="18" t="s">
        <v>43</v>
      </c>
      <c r="O74" s="18">
        <v>36.5</v>
      </c>
      <c r="P74" s="18" t="s">
        <v>143</v>
      </c>
      <c r="Q74" s="16">
        <v>45298.0</v>
      </c>
      <c r="R74" s="16" t="s">
        <v>38</v>
      </c>
      <c r="S74" s="13" t="s">
        <v>55</v>
      </c>
      <c r="T74" s="13" t="s">
        <v>66</v>
      </c>
      <c r="U74" s="13">
        <f t="shared" si="1"/>
        <v>2</v>
      </c>
      <c r="V74" s="13" t="str">
        <f t="shared" si="2"/>
        <v>C01157|Meera Kumar|36|South|Bengaluru|Standard|Organic Search|3/1/2023|38|Monthly|Upi|1,335|3|2|36.50|2.1|1/7/2024||Active|Automation</v>
      </c>
      <c r="W74" s="13">
        <f t="shared" si="3"/>
        <v>1</v>
      </c>
      <c r="X74" s="13">
        <f>IFERROR(__xludf.DUMMYFUNCTION("COUNTUNIQUE(FILTER($B$2:$B$1826,$A$2:$A$1826=A74))"),2.0)</f>
        <v>2</v>
      </c>
    </row>
    <row r="75">
      <c r="A75" s="13" t="s">
        <v>321</v>
      </c>
      <c r="B75" s="13" t="s">
        <v>322</v>
      </c>
      <c r="C75" s="14">
        <v>22.0</v>
      </c>
      <c r="D75" s="13" t="s">
        <v>69</v>
      </c>
      <c r="E75" s="13" t="s">
        <v>70</v>
      </c>
      <c r="F75" s="13" t="s">
        <v>37</v>
      </c>
      <c r="G75" s="13" t="s">
        <v>63</v>
      </c>
      <c r="H75" s="16">
        <v>44831.0</v>
      </c>
      <c r="I75" s="14">
        <v>1.0</v>
      </c>
      <c r="J75" s="13" t="s">
        <v>40</v>
      </c>
      <c r="K75" s="13" t="s">
        <v>81</v>
      </c>
      <c r="L75" s="14">
        <v>1601.0</v>
      </c>
      <c r="M75" s="18" t="s">
        <v>43</v>
      </c>
      <c r="N75" s="18" t="s">
        <v>98</v>
      </c>
      <c r="O75" s="18">
        <v>35.9</v>
      </c>
      <c r="P75" s="18" t="s">
        <v>99</v>
      </c>
      <c r="Q75" s="16">
        <v>44842.0</v>
      </c>
      <c r="R75" s="16" t="s">
        <v>38</v>
      </c>
      <c r="S75" s="13" t="s">
        <v>55</v>
      </c>
      <c r="T75" s="13" t="s">
        <v>75</v>
      </c>
      <c r="U75" s="13">
        <f t="shared" si="1"/>
        <v>2</v>
      </c>
      <c r="V75" s="13" t="str">
        <f t="shared" si="2"/>
        <v>C00514|Rahul Iyer|22|South|Bengaluru|Standard|Google Ads|9/27/2022|1|Monthly|Debit Card|1,601|2|1|35.90|4|10/8/2022||Active|Security</v>
      </c>
      <c r="W75" s="13">
        <f t="shared" si="3"/>
        <v>1</v>
      </c>
      <c r="X75" s="13">
        <f>IFERROR(__xludf.DUMMYFUNCTION("COUNTUNIQUE(FILTER($B$2:$B$1826,$A$2:$A$1826=A75))"),2.0)</f>
        <v>2</v>
      </c>
    </row>
    <row r="76">
      <c r="A76" s="13" t="s">
        <v>323</v>
      </c>
      <c r="B76" s="13" t="s">
        <v>239</v>
      </c>
      <c r="C76" s="14">
        <v>65.0</v>
      </c>
      <c r="D76" s="13" t="s">
        <v>35</v>
      </c>
      <c r="E76" s="13" t="s">
        <v>36</v>
      </c>
      <c r="F76" s="13" t="s">
        <v>37</v>
      </c>
      <c r="G76" s="13" t="s">
        <v>128</v>
      </c>
      <c r="H76" s="16">
        <v>45303.0</v>
      </c>
      <c r="I76" s="14">
        <v>33.0</v>
      </c>
      <c r="J76" s="13" t="s">
        <v>64</v>
      </c>
      <c r="K76" s="13" t="s">
        <v>81</v>
      </c>
      <c r="L76" s="14">
        <v>1514.0</v>
      </c>
      <c r="M76" s="18" t="s">
        <v>43</v>
      </c>
      <c r="N76" s="18" t="s">
        <v>46</v>
      </c>
      <c r="O76" s="18">
        <v>31.1</v>
      </c>
      <c r="P76" s="18" t="s">
        <v>203</v>
      </c>
      <c r="Q76" s="16">
        <v>46281.0</v>
      </c>
      <c r="R76" s="16" t="s">
        <v>38</v>
      </c>
      <c r="S76" s="13" t="s">
        <v>55</v>
      </c>
      <c r="T76" s="13" t="s">
        <v>72</v>
      </c>
      <c r="U76" s="13">
        <f t="shared" si="1"/>
        <v>2</v>
      </c>
      <c r="V76" s="13" t="str">
        <f t="shared" si="2"/>
        <v>C01078|Meera Kumar|65|North|Delhi|Standard|Youtube|1/12/2024|33|Annual|Debit Card|1,514|2|0|31.10|3.7|9/16/2026||Active|Collaboration</v>
      </c>
      <c r="W76" s="13">
        <f t="shared" si="3"/>
        <v>1</v>
      </c>
      <c r="X76" s="13">
        <f>IFERROR(__xludf.DUMMYFUNCTION("COUNTUNIQUE(FILTER($B$2:$B$1826,$A$2:$A$1826=A76))"),2.0)</f>
        <v>2</v>
      </c>
    </row>
    <row r="77">
      <c r="A77" s="13" t="s">
        <v>391</v>
      </c>
      <c r="B77" s="13" t="s">
        <v>325</v>
      </c>
      <c r="C77" s="14">
        <v>39.0</v>
      </c>
      <c r="D77" s="13" t="s">
        <v>35</v>
      </c>
      <c r="E77" s="13" t="s">
        <v>36</v>
      </c>
      <c r="F77" s="13" t="s">
        <v>79</v>
      </c>
      <c r="G77" s="13" t="s">
        <v>128</v>
      </c>
      <c r="H77" s="16">
        <v>45384.0</v>
      </c>
      <c r="I77" s="14">
        <v>28.0</v>
      </c>
      <c r="J77" s="13" t="s">
        <v>64</v>
      </c>
      <c r="K77" s="13" t="s">
        <v>41</v>
      </c>
      <c r="L77" s="14">
        <v>3862.0</v>
      </c>
      <c r="M77" s="18" t="s">
        <v>98</v>
      </c>
      <c r="N77" s="18" t="s">
        <v>43</v>
      </c>
      <c r="O77" s="18">
        <v>40.9</v>
      </c>
      <c r="P77" s="18" t="s">
        <v>263</v>
      </c>
      <c r="Q77" s="16">
        <v>45848.0</v>
      </c>
      <c r="R77" s="16" t="s">
        <v>38</v>
      </c>
      <c r="S77" s="13" t="s">
        <v>55</v>
      </c>
      <c r="T77" s="13" t="s">
        <v>104</v>
      </c>
      <c r="U77" s="13">
        <f t="shared" si="1"/>
        <v>1</v>
      </c>
      <c r="V77" s="13" t="str">
        <f t="shared" si="2"/>
        <v>C00939|Priya Sharma|39|North|Delhi|Premium|Youtube|4/2/2024|28|Annual|Upi|3,862|1|2|40.90|2.9|7/10/2025||Active|Analytics</v>
      </c>
      <c r="W77" s="13">
        <f t="shared" si="3"/>
        <v>1</v>
      </c>
      <c r="X77" s="13">
        <f>IFERROR(__xludf.DUMMYFUNCTION("COUNTUNIQUE(FILTER($B$2:$B$1826,$A$2:$A$1826=A77))"),1.0)</f>
        <v>1</v>
      </c>
    </row>
    <row r="78">
      <c r="A78" s="13" t="s">
        <v>327</v>
      </c>
      <c r="B78" s="13" t="s">
        <v>395</v>
      </c>
      <c r="C78" s="14">
        <v>46.0</v>
      </c>
      <c r="D78" s="13" t="s">
        <v>60</v>
      </c>
      <c r="E78" s="13" t="s">
        <v>107</v>
      </c>
      <c r="F78" s="13" t="s">
        <v>62</v>
      </c>
      <c r="G78" s="13" t="s">
        <v>80</v>
      </c>
      <c r="H78" s="16">
        <v>45648.0</v>
      </c>
      <c r="I78" s="14">
        <v>19.0</v>
      </c>
      <c r="J78" s="13" t="s">
        <v>53</v>
      </c>
      <c r="K78" s="13" t="s">
        <v>41</v>
      </c>
      <c r="L78" s="14">
        <v>808.0</v>
      </c>
      <c r="M78" s="18" t="s">
        <v>46</v>
      </c>
      <c r="N78" s="18" t="s">
        <v>46</v>
      </c>
      <c r="O78" s="18">
        <v>14.4</v>
      </c>
      <c r="P78" s="18" t="s">
        <v>89</v>
      </c>
      <c r="Q78" s="16">
        <v>45775.0</v>
      </c>
      <c r="R78" s="16" t="s">
        <v>38</v>
      </c>
      <c r="S78" s="13" t="s">
        <v>55</v>
      </c>
      <c r="T78" s="13" t="s">
        <v>75</v>
      </c>
      <c r="U78" s="13">
        <f t="shared" si="1"/>
        <v>3</v>
      </c>
      <c r="V78" s="13" t="str">
        <f t="shared" si="2"/>
        <v>C00259|Ravi Singh|46|East|Patna|Basic|Organic Search|12/22/2024|19|Quarterly|Upi|808|0|0|14.40|3.3|4/28/2025||Active|Security</v>
      </c>
      <c r="W78" s="13">
        <f t="shared" si="3"/>
        <v>1</v>
      </c>
      <c r="X78" s="13">
        <f>IFERROR(__xludf.DUMMYFUNCTION("COUNTUNIQUE(FILTER($B$2:$B$1826,$A$2:$A$1826=A78))"),3.0)</f>
        <v>3</v>
      </c>
    </row>
    <row r="79">
      <c r="A79" s="13" t="s">
        <v>329</v>
      </c>
      <c r="B79" s="13" t="s">
        <v>235</v>
      </c>
      <c r="C79" s="14">
        <v>24.0</v>
      </c>
      <c r="D79" s="13" t="s">
        <v>85</v>
      </c>
      <c r="E79" s="13" t="s">
        <v>87</v>
      </c>
      <c r="F79" s="13" t="s">
        <v>62</v>
      </c>
      <c r="G79" s="13" t="s">
        <v>63</v>
      </c>
      <c r="H79" s="16">
        <v>45202.0</v>
      </c>
      <c r="I79" s="14">
        <v>28.0</v>
      </c>
      <c r="J79" s="13" t="s">
        <v>40</v>
      </c>
      <c r="K79" s="13" t="s">
        <v>41</v>
      </c>
      <c r="L79" s="14">
        <v>629.0</v>
      </c>
      <c r="M79" s="18" t="s">
        <v>46</v>
      </c>
      <c r="N79" s="18" t="s">
        <v>46</v>
      </c>
      <c r="O79" s="18">
        <v>11.5</v>
      </c>
      <c r="P79" s="18" t="s">
        <v>185</v>
      </c>
      <c r="Q79" s="16">
        <v>45368.0</v>
      </c>
      <c r="R79" s="16" t="s">
        <v>38</v>
      </c>
      <c r="S79" s="13" t="s">
        <v>55</v>
      </c>
      <c r="T79" s="13" t="s">
        <v>75</v>
      </c>
      <c r="U79" s="13">
        <f t="shared" si="1"/>
        <v>2</v>
      </c>
      <c r="V79" s="13" t="str">
        <f t="shared" si="2"/>
        <v>C00695|Sneha Sharma|24|West|Surat|Basic|Google Ads|10/3/2023|28|Monthly|Upi|629|0|0|11.50|3.2|3/17/2024||Active|Security</v>
      </c>
      <c r="W79" s="13">
        <f t="shared" si="3"/>
        <v>1</v>
      </c>
      <c r="X79" s="13">
        <f>IFERROR(__xludf.DUMMYFUNCTION("COUNTUNIQUE(FILTER($B$2:$B$1826,$A$2:$A$1826=A79))"),2.0)</f>
        <v>2</v>
      </c>
    </row>
    <row r="80">
      <c r="A80" s="13" t="s">
        <v>330</v>
      </c>
      <c r="B80" s="13" t="s">
        <v>331</v>
      </c>
      <c r="C80" s="14">
        <v>57.0</v>
      </c>
      <c r="D80" s="13" t="s">
        <v>60</v>
      </c>
      <c r="E80" s="13" t="s">
        <v>97</v>
      </c>
      <c r="F80" s="13" t="s">
        <v>37</v>
      </c>
      <c r="G80" s="13" t="s">
        <v>80</v>
      </c>
      <c r="H80" s="16">
        <v>45712.0</v>
      </c>
      <c r="I80" s="14">
        <v>36.0</v>
      </c>
      <c r="J80" s="13" t="s">
        <v>53</v>
      </c>
      <c r="K80" s="13" t="s">
        <v>65</v>
      </c>
      <c r="L80" s="14">
        <v>1419.0</v>
      </c>
      <c r="M80" s="18" t="s">
        <v>43</v>
      </c>
      <c r="N80" s="18" t="s">
        <v>46</v>
      </c>
      <c r="O80" s="18">
        <v>16.5</v>
      </c>
      <c r="P80" s="18" t="s">
        <v>233</v>
      </c>
      <c r="Q80" s="16">
        <v>46588.0</v>
      </c>
      <c r="R80" s="16" t="s">
        <v>38</v>
      </c>
      <c r="S80" s="13" t="s">
        <v>55</v>
      </c>
      <c r="T80" s="13" t="s">
        <v>104</v>
      </c>
      <c r="U80" s="13">
        <f t="shared" si="1"/>
        <v>1</v>
      </c>
      <c r="V80" s="13" t="str">
        <f t="shared" si="2"/>
        <v>C00198|Arun Iyer|57|East|Bhubaneswar|Standard|Organic Search|2/24/2025|36|Quarterly|Credit Card|1,419|2|0|16.50|3.5|7/20/2027||Active|Analytics</v>
      </c>
      <c r="W80" s="13">
        <f t="shared" si="3"/>
        <v>1</v>
      </c>
      <c r="X80" s="13">
        <f>IFERROR(__xludf.DUMMYFUNCTION("COUNTUNIQUE(FILTER($B$2:$B$1826,$A$2:$A$1826=A80))"),1.0)</f>
        <v>1</v>
      </c>
    </row>
    <row r="81">
      <c r="A81" s="13" t="s">
        <v>332</v>
      </c>
      <c r="B81" s="13" t="s">
        <v>333</v>
      </c>
      <c r="C81" s="14">
        <v>54.0</v>
      </c>
      <c r="D81" s="13" t="s">
        <v>69</v>
      </c>
      <c r="E81" s="13" t="s">
        <v>187</v>
      </c>
      <c r="F81" s="13" t="s">
        <v>37</v>
      </c>
      <c r="G81" s="13" t="s">
        <v>39</v>
      </c>
      <c r="H81" s="16">
        <v>44783.0</v>
      </c>
      <c r="I81" s="14">
        <v>23.0</v>
      </c>
      <c r="J81" s="13" t="s">
        <v>64</v>
      </c>
      <c r="K81" s="13" t="s">
        <v>81</v>
      </c>
      <c r="L81" s="14">
        <v>1116.0</v>
      </c>
      <c r="M81" s="18" t="s">
        <v>46</v>
      </c>
      <c r="N81" s="18" t="s">
        <v>43</v>
      </c>
      <c r="O81" s="18">
        <v>32.1</v>
      </c>
      <c r="P81" s="18" t="s">
        <v>400</v>
      </c>
      <c r="Q81" s="16">
        <v>45078.0</v>
      </c>
      <c r="R81" s="16" t="s">
        <v>334</v>
      </c>
      <c r="S81" s="13" t="s">
        <v>45</v>
      </c>
      <c r="T81" s="13" t="s">
        <v>66</v>
      </c>
      <c r="U81" s="13">
        <f t="shared" si="1"/>
        <v>4</v>
      </c>
      <c r="V81" s="13" t="str">
        <f t="shared" si="2"/>
        <v>C01184|Neha Das|54|South|Chennai|Standard|Instagram|8/10/2022|23|Annual|Debit Card|1,116|0|2|32.10|4.8|6/1/2023|18/04/2024|Churned|Automation</v>
      </c>
      <c r="W81" s="13">
        <f t="shared" si="3"/>
        <v>1</v>
      </c>
      <c r="X81" s="13">
        <f>IFERROR(__xludf.DUMMYFUNCTION("COUNTUNIQUE(FILTER($B$2:$B$1826,$A$2:$A$1826=A81))"),4.0)</f>
        <v>4</v>
      </c>
    </row>
    <row r="82">
      <c r="A82" s="13" t="s">
        <v>335</v>
      </c>
      <c r="B82" s="13" t="s">
        <v>336</v>
      </c>
      <c r="C82" s="14">
        <v>66.0</v>
      </c>
      <c r="D82" s="13" t="s">
        <v>60</v>
      </c>
      <c r="E82" s="13" t="s">
        <v>61</v>
      </c>
      <c r="F82" s="13" t="s">
        <v>62</v>
      </c>
      <c r="G82" s="13" t="s">
        <v>52</v>
      </c>
      <c r="H82" s="16">
        <v>45194.0</v>
      </c>
      <c r="I82" s="14">
        <v>22.0</v>
      </c>
      <c r="J82" s="13" t="s">
        <v>64</v>
      </c>
      <c r="K82" s="13" t="s">
        <v>65</v>
      </c>
      <c r="L82" s="14">
        <v>591.0</v>
      </c>
      <c r="M82" s="18" t="s">
        <v>43</v>
      </c>
      <c r="N82" s="18" t="s">
        <v>98</v>
      </c>
      <c r="O82" s="18">
        <v>24.8</v>
      </c>
      <c r="P82" s="18" t="s">
        <v>310</v>
      </c>
      <c r="Q82" s="16">
        <v>45614.0</v>
      </c>
      <c r="R82" s="16" t="s">
        <v>38</v>
      </c>
      <c r="S82" s="13" t="s">
        <v>55</v>
      </c>
      <c r="T82" s="13" t="s">
        <v>104</v>
      </c>
      <c r="U82" s="13">
        <f t="shared" si="1"/>
        <v>1</v>
      </c>
      <c r="V82" s="13" t="str">
        <f t="shared" si="2"/>
        <v>C00054|Priya Patel|66|East|Kolkata|Basic|Facebook|9/25/2023|22|Annual|Credit Card|591|2|1|24.80|3.1|11/18/2024||Active|Analytics</v>
      </c>
      <c r="W82" s="13">
        <f t="shared" si="3"/>
        <v>1</v>
      </c>
      <c r="X82" s="13">
        <f>IFERROR(__xludf.DUMMYFUNCTION("COUNTUNIQUE(FILTER($B$2:$B$1826,$A$2:$A$1826=A82))"),1.0)</f>
        <v>1</v>
      </c>
    </row>
    <row r="83">
      <c r="A83" s="13" t="s">
        <v>339</v>
      </c>
      <c r="B83" s="13" t="s">
        <v>340</v>
      </c>
      <c r="C83" s="14">
        <v>22.0</v>
      </c>
      <c r="D83" s="13" t="s">
        <v>69</v>
      </c>
      <c r="E83" s="13" t="s">
        <v>119</v>
      </c>
      <c r="F83" s="13" t="s">
        <v>62</v>
      </c>
      <c r="G83" s="13" t="s">
        <v>210</v>
      </c>
      <c r="H83" s="16">
        <v>44884.0</v>
      </c>
      <c r="I83" s="14">
        <v>24.0</v>
      </c>
      <c r="J83" s="13" t="s">
        <v>40</v>
      </c>
      <c r="K83" s="13" t="s">
        <v>41</v>
      </c>
      <c r="L83" s="14">
        <v>665.0</v>
      </c>
      <c r="M83" s="18" t="s">
        <v>43</v>
      </c>
      <c r="N83" s="18" t="s">
        <v>46</v>
      </c>
      <c r="O83" s="18">
        <v>5.9</v>
      </c>
      <c r="P83" s="18" t="s">
        <v>368</v>
      </c>
      <c r="Q83" s="16">
        <v>45475.0</v>
      </c>
      <c r="R83" s="16" t="s">
        <v>38</v>
      </c>
      <c r="S83" s="13" t="s">
        <v>55</v>
      </c>
      <c r="T83" s="13" t="s">
        <v>66</v>
      </c>
      <c r="U83" s="13">
        <f t="shared" si="1"/>
        <v>1</v>
      </c>
      <c r="V83" s="13" t="str">
        <f t="shared" si="2"/>
        <v>C01529|Meera Sharma|22|South|Kochi|Basic|Referral|11/19/2022|24|Monthly|Upi|665|2|0|5.90|4.9|7/2/2024||Active|Automation</v>
      </c>
      <c r="W83" s="13">
        <f t="shared" si="3"/>
        <v>1</v>
      </c>
      <c r="X83" s="13">
        <f>IFERROR(__xludf.DUMMYFUNCTION("COUNTUNIQUE(FILTER($B$2:$B$1826,$A$2:$A$1826=A83))"),1.0)</f>
        <v>1</v>
      </c>
    </row>
    <row r="84">
      <c r="A84" s="13" t="s">
        <v>341</v>
      </c>
      <c r="B84" s="13" t="s">
        <v>342</v>
      </c>
      <c r="C84" s="14">
        <v>46.0</v>
      </c>
      <c r="D84" s="13" t="s">
        <v>35</v>
      </c>
      <c r="E84" s="13" t="s">
        <v>161</v>
      </c>
      <c r="F84" s="13" t="s">
        <v>62</v>
      </c>
      <c r="G84" s="13" t="s">
        <v>120</v>
      </c>
      <c r="H84" s="16">
        <v>45556.0</v>
      </c>
      <c r="I84" s="14">
        <v>120.0</v>
      </c>
      <c r="J84" s="13" t="s">
        <v>40</v>
      </c>
      <c r="K84" s="13" t="s">
        <v>65</v>
      </c>
      <c r="L84" s="14">
        <v>638.0</v>
      </c>
      <c r="M84" s="18" t="s">
        <v>43</v>
      </c>
      <c r="N84" s="18" t="s">
        <v>98</v>
      </c>
      <c r="O84" s="18">
        <v>22.6</v>
      </c>
      <c r="P84" s="18" t="s">
        <v>99</v>
      </c>
      <c r="Q84" s="16">
        <v>46615.0</v>
      </c>
      <c r="R84" s="16" t="s">
        <v>38</v>
      </c>
      <c r="S84" s="13" t="s">
        <v>55</v>
      </c>
      <c r="T84" s="13" t="s">
        <v>66</v>
      </c>
      <c r="U84" s="13">
        <f t="shared" si="1"/>
        <v>2</v>
      </c>
      <c r="V84" s="13" t="str">
        <f t="shared" si="2"/>
        <v>C00102|Priya Reddy|46|North|Chandigarh|Basic|Email|9/21/2024|120|Monthly|Credit Card|638|2|1|22.60|4|8/16/2027||Active|Automation</v>
      </c>
      <c r="W84" s="13">
        <f t="shared" si="3"/>
        <v>1</v>
      </c>
      <c r="X84" s="13">
        <f>IFERROR(__xludf.DUMMYFUNCTION("COUNTUNIQUE(FILTER($B$2:$B$1826,$A$2:$A$1826=A84))"),2.0)</f>
        <v>2</v>
      </c>
    </row>
    <row r="85">
      <c r="A85" s="13" t="s">
        <v>343</v>
      </c>
      <c r="B85" s="13" t="s">
        <v>184</v>
      </c>
      <c r="C85" s="14">
        <v>26.0</v>
      </c>
      <c r="D85" s="13" t="s">
        <v>60</v>
      </c>
      <c r="E85" s="13" t="s">
        <v>61</v>
      </c>
      <c r="F85" s="13" t="s">
        <v>62</v>
      </c>
      <c r="G85" s="13" t="s">
        <v>80</v>
      </c>
      <c r="H85" s="16">
        <v>44674.0</v>
      </c>
      <c r="I85" s="14">
        <v>1.0</v>
      </c>
      <c r="J85" s="13" t="s">
        <v>40</v>
      </c>
      <c r="K85" s="13" t="s">
        <v>65</v>
      </c>
      <c r="L85" s="14">
        <v>607.0</v>
      </c>
      <c r="M85" s="18" t="s">
        <v>98</v>
      </c>
      <c r="N85" s="18" t="s">
        <v>46</v>
      </c>
      <c r="O85" s="18">
        <v>11.5</v>
      </c>
      <c r="P85" s="18" t="s">
        <v>263</v>
      </c>
      <c r="Q85" s="16">
        <v>44700.0</v>
      </c>
      <c r="R85" s="16" t="s">
        <v>38</v>
      </c>
      <c r="S85" s="13" t="s">
        <v>55</v>
      </c>
      <c r="T85" s="13" t="s">
        <v>75</v>
      </c>
      <c r="U85" s="13">
        <f t="shared" si="1"/>
        <v>2</v>
      </c>
      <c r="V85" s="13" t="str">
        <f t="shared" si="2"/>
        <v>C00997|Vikram Reddy|26|East|Kolkata|Basic|Organic Search|4/23/2022|1|Monthly|Credit Card|607|1|0|11.50|2.9|5/19/2022||Active|Security</v>
      </c>
      <c r="W85" s="13">
        <f t="shared" si="3"/>
        <v>1</v>
      </c>
      <c r="X85" s="13">
        <f>IFERROR(__xludf.DUMMYFUNCTION("COUNTUNIQUE(FILTER($B$2:$B$1826,$A$2:$A$1826=A85))"),2.0)</f>
        <v>2</v>
      </c>
    </row>
    <row r="86">
      <c r="A86" s="13" t="s">
        <v>344</v>
      </c>
      <c r="B86" s="13" t="s">
        <v>345</v>
      </c>
      <c r="C86" s="14">
        <v>23.0</v>
      </c>
      <c r="D86" s="13" t="s">
        <v>69</v>
      </c>
      <c r="E86" s="13" t="s">
        <v>119</v>
      </c>
      <c r="F86" s="13" t="s">
        <v>37</v>
      </c>
      <c r="G86" s="13" t="s">
        <v>39</v>
      </c>
      <c r="H86" s="16">
        <v>45586.0</v>
      </c>
      <c r="I86" s="14">
        <v>36.0</v>
      </c>
      <c r="J86" s="13" t="s">
        <v>53</v>
      </c>
      <c r="K86" s="13" t="s">
        <v>81</v>
      </c>
      <c r="L86" s="14">
        <v>1072.0</v>
      </c>
      <c r="M86" s="18" t="s">
        <v>46</v>
      </c>
      <c r="N86" s="18" t="s">
        <v>43</v>
      </c>
      <c r="O86" s="18">
        <v>22.8</v>
      </c>
      <c r="P86" s="18" t="s">
        <v>449</v>
      </c>
      <c r="Q86" s="16">
        <v>45682.0</v>
      </c>
      <c r="R86" s="16">
        <v>46423.0</v>
      </c>
      <c r="S86" s="13" t="s">
        <v>45</v>
      </c>
      <c r="T86" s="13" t="s">
        <v>75</v>
      </c>
      <c r="U86" s="13">
        <f t="shared" si="1"/>
        <v>3</v>
      </c>
      <c r="V86" s="13" t="str">
        <f t="shared" si="2"/>
        <v>C00360|Arun Nair|23|South|Kochi|Standard|Instagram|10/21/2024|36|Quarterly|Debit Card|1,072|0|2|22.80|2.7|1/25/2025|2/5/2027|Churned|Security</v>
      </c>
      <c r="W86" s="13">
        <f t="shared" si="3"/>
        <v>1</v>
      </c>
      <c r="X86" s="13">
        <f>IFERROR(__xludf.DUMMYFUNCTION("COUNTUNIQUE(FILTER($B$2:$B$1826,$A$2:$A$1826=A86))"),3.0)</f>
        <v>3</v>
      </c>
    </row>
    <row r="87">
      <c r="A87" s="13" t="s">
        <v>347</v>
      </c>
      <c r="B87" s="13" t="s">
        <v>59</v>
      </c>
      <c r="C87" s="14">
        <v>25.0</v>
      </c>
      <c r="D87" s="13" t="s">
        <v>85</v>
      </c>
      <c r="E87" s="13" t="s">
        <v>87</v>
      </c>
      <c r="F87" s="13" t="s">
        <v>62</v>
      </c>
      <c r="G87" s="13" t="s">
        <v>120</v>
      </c>
      <c r="H87" s="16">
        <v>44604.0</v>
      </c>
      <c r="I87" s="14">
        <v>21.0</v>
      </c>
      <c r="J87" s="13" t="s">
        <v>40</v>
      </c>
      <c r="K87" s="13" t="s">
        <v>65</v>
      </c>
      <c r="L87" s="14">
        <v>815.0</v>
      </c>
      <c r="M87" s="18" t="s">
        <v>46</v>
      </c>
      <c r="N87" s="18" t="s">
        <v>98</v>
      </c>
      <c r="O87" s="18">
        <v>17.9</v>
      </c>
      <c r="P87" s="18" t="s">
        <v>173</v>
      </c>
      <c r="Q87" s="16">
        <v>44984.0</v>
      </c>
      <c r="R87" s="16" t="s">
        <v>38</v>
      </c>
      <c r="S87" s="13" t="s">
        <v>55</v>
      </c>
      <c r="T87" s="13" t="s">
        <v>66</v>
      </c>
      <c r="U87" s="13">
        <f t="shared" si="1"/>
        <v>5</v>
      </c>
      <c r="V87" s="13" t="str">
        <f t="shared" si="2"/>
        <v>C01175|Priya Das|25|West|Surat|Basic|Email|2/12/2022|21|Monthly|Credit Card|815|0|1|17.90|5|2/27/2023||Active|Automation</v>
      </c>
      <c r="W87" s="13">
        <f t="shared" si="3"/>
        <v>1</v>
      </c>
      <c r="X87" s="13">
        <f>IFERROR(__xludf.DUMMYFUNCTION("COUNTUNIQUE(FILTER($B$2:$B$1826,$A$2:$A$1826=A87))"),4.0)</f>
        <v>4</v>
      </c>
    </row>
    <row r="88">
      <c r="A88" s="13" t="s">
        <v>348</v>
      </c>
      <c r="B88" s="13" t="s">
        <v>349</v>
      </c>
      <c r="C88" s="14">
        <v>68.0</v>
      </c>
      <c r="D88" s="13" t="s">
        <v>35</v>
      </c>
      <c r="E88" s="13" t="s">
        <v>140</v>
      </c>
      <c r="F88" s="13" t="s">
        <v>79</v>
      </c>
      <c r="G88" s="13" t="s">
        <v>52</v>
      </c>
      <c r="H88" s="16">
        <v>45257.0</v>
      </c>
      <c r="I88" s="14">
        <v>15.0</v>
      </c>
      <c r="J88" s="13" t="s">
        <v>53</v>
      </c>
      <c r="K88" s="13" t="s">
        <v>65</v>
      </c>
      <c r="L88" s="14">
        <v>3044.0</v>
      </c>
      <c r="M88" s="18" t="s">
        <v>46</v>
      </c>
      <c r="N88" s="18" t="s">
        <v>46</v>
      </c>
      <c r="O88" s="18">
        <v>34.5</v>
      </c>
      <c r="P88" s="18" t="s">
        <v>173</v>
      </c>
      <c r="Q88" s="16">
        <v>45591.0</v>
      </c>
      <c r="R88" s="16" t="s">
        <v>38</v>
      </c>
      <c r="S88" s="13" t="s">
        <v>55</v>
      </c>
      <c r="T88" s="13" t="s">
        <v>47</v>
      </c>
      <c r="U88" s="13">
        <f t="shared" si="1"/>
        <v>1</v>
      </c>
      <c r="V88" s="13" t="str">
        <f t="shared" si="2"/>
        <v>C00821|Priya Singh|68|North|Lucknow|Premium|Facebook|11/27/2023|15|Quarterly|Credit Card|3,044|0|0|34.50|5|10/26/2024||Active|Cloud Storage</v>
      </c>
      <c r="W88" s="13">
        <f t="shared" si="3"/>
        <v>1</v>
      </c>
      <c r="X88" s="13">
        <f>IFERROR(__xludf.DUMMYFUNCTION("COUNTUNIQUE(FILTER($B$2:$B$1826,$A$2:$A$1826=A88))"),1.0)</f>
        <v>1</v>
      </c>
    </row>
    <row r="89">
      <c r="A89" s="13" t="s">
        <v>350</v>
      </c>
      <c r="B89" s="13" t="s">
        <v>351</v>
      </c>
      <c r="C89" s="14">
        <v>62.0</v>
      </c>
      <c r="D89" s="13" t="s">
        <v>35</v>
      </c>
      <c r="E89" s="13" t="s">
        <v>51</v>
      </c>
      <c r="F89" s="13" t="s">
        <v>62</v>
      </c>
      <c r="G89" s="13" t="s">
        <v>39</v>
      </c>
      <c r="H89" s="16">
        <v>45795.0</v>
      </c>
      <c r="I89" s="14">
        <v>10.0</v>
      </c>
      <c r="J89" s="13" t="s">
        <v>64</v>
      </c>
      <c r="K89" s="13" t="s">
        <v>81</v>
      </c>
      <c r="L89" s="14">
        <v>834.0</v>
      </c>
      <c r="M89" s="18" t="s">
        <v>164</v>
      </c>
      <c r="N89" s="18" t="s">
        <v>46</v>
      </c>
      <c r="O89" s="18">
        <v>29.2</v>
      </c>
      <c r="P89" s="18" t="s">
        <v>456</v>
      </c>
      <c r="Q89" s="16">
        <v>46057.0</v>
      </c>
      <c r="R89" s="16">
        <v>46267.0</v>
      </c>
      <c r="S89" s="13" t="s">
        <v>45</v>
      </c>
      <c r="T89" s="13" t="s">
        <v>66</v>
      </c>
      <c r="U89" s="13">
        <f t="shared" si="1"/>
        <v>4</v>
      </c>
      <c r="V89" s="13" t="str">
        <f t="shared" si="2"/>
        <v>C00484|Meera Nair|62|North|Jaipur|Basic|Instagram|5/18/2025|10|Annual|Debit Card|834|3|0|29.20|2.5|2/4/2026|9/2/2026|Churned|Automation</v>
      </c>
      <c r="W89" s="13">
        <f t="shared" si="3"/>
        <v>1</v>
      </c>
      <c r="X89" s="13">
        <f>IFERROR(__xludf.DUMMYFUNCTION("COUNTUNIQUE(FILTER($B$2:$B$1826,$A$2:$A$1826=A89))"),4.0)</f>
        <v>4</v>
      </c>
    </row>
    <row r="90">
      <c r="A90" s="13" t="s">
        <v>353</v>
      </c>
      <c r="B90" s="13" t="s">
        <v>247</v>
      </c>
      <c r="C90" s="14">
        <v>38.0</v>
      </c>
      <c r="D90" s="13" t="s">
        <v>60</v>
      </c>
      <c r="E90" s="13" t="s">
        <v>97</v>
      </c>
      <c r="F90" s="13" t="s">
        <v>62</v>
      </c>
      <c r="G90" s="13" t="s">
        <v>120</v>
      </c>
      <c r="H90" s="16">
        <v>45467.0</v>
      </c>
      <c r="I90" s="14">
        <v>41.0</v>
      </c>
      <c r="J90" s="13" t="s">
        <v>53</v>
      </c>
      <c r="K90" s="13" t="s">
        <v>65</v>
      </c>
      <c r="L90" s="14">
        <v>639.0</v>
      </c>
      <c r="M90" s="18" t="s">
        <v>98</v>
      </c>
      <c r="N90" s="18" t="s">
        <v>46</v>
      </c>
      <c r="O90" s="18">
        <v>12.8</v>
      </c>
      <c r="P90" s="18" t="s">
        <v>89</v>
      </c>
      <c r="Q90" s="16">
        <v>46197.0</v>
      </c>
      <c r="R90" s="16" t="s">
        <v>38</v>
      </c>
      <c r="S90" s="13" t="s">
        <v>55</v>
      </c>
      <c r="T90" s="13" t="s">
        <v>104</v>
      </c>
      <c r="U90" s="13">
        <f t="shared" si="1"/>
        <v>3</v>
      </c>
      <c r="V90" s="13" t="str">
        <f t="shared" si="2"/>
        <v>C00662|Ravi Sharma|38|East|Bhubaneswar|Basic|Email|6/24/2024|41|Quarterly|Credit Card|639|1|0|12.80|3.3|6/24/2026||Active|Analytics</v>
      </c>
      <c r="W90" s="13">
        <f t="shared" si="3"/>
        <v>1</v>
      </c>
      <c r="X90" s="13">
        <f>IFERROR(__xludf.DUMMYFUNCTION("COUNTUNIQUE(FILTER($B$2:$B$1826,$A$2:$A$1826=A90))"),3.0)</f>
        <v>3</v>
      </c>
    </row>
    <row r="91">
      <c r="A91" s="13" t="s">
        <v>354</v>
      </c>
      <c r="B91" s="13" t="s">
        <v>345</v>
      </c>
      <c r="C91" s="14">
        <v>55.0</v>
      </c>
      <c r="D91" s="13" t="s">
        <v>60</v>
      </c>
      <c r="E91" s="13" t="s">
        <v>107</v>
      </c>
      <c r="F91" s="13" t="s">
        <v>62</v>
      </c>
      <c r="G91" s="13" t="s">
        <v>128</v>
      </c>
      <c r="H91" s="16">
        <v>44746.0</v>
      </c>
      <c r="I91" s="14">
        <v>40.0</v>
      </c>
      <c r="J91" s="13" t="s">
        <v>64</v>
      </c>
      <c r="K91" s="13" t="s">
        <v>41</v>
      </c>
      <c r="L91" s="14" t="s">
        <v>38</v>
      </c>
      <c r="M91" s="18" t="s">
        <v>98</v>
      </c>
      <c r="N91" s="18" t="s">
        <v>43</v>
      </c>
      <c r="O91" s="18">
        <v>1.0</v>
      </c>
      <c r="P91" s="18" t="s">
        <v>275</v>
      </c>
      <c r="Q91" s="16">
        <v>45891.0</v>
      </c>
      <c r="R91" s="16" t="s">
        <v>38</v>
      </c>
      <c r="S91" s="13" t="s">
        <v>55</v>
      </c>
      <c r="T91" s="13" t="s">
        <v>72</v>
      </c>
      <c r="U91" s="13">
        <f t="shared" si="1"/>
        <v>1</v>
      </c>
      <c r="V91" s="13" t="str">
        <f t="shared" si="2"/>
        <v>C00117|Arun Nair|55|East|Patna|Basic|Youtube|7/4/2022|40|Annual|Upi||1|2|1.00|4.3|8/22/2025||Active|Collaboration</v>
      </c>
      <c r="W91" s="13">
        <f t="shared" si="3"/>
        <v>1</v>
      </c>
      <c r="X91" s="13">
        <f>IFERROR(__xludf.DUMMYFUNCTION("COUNTUNIQUE(FILTER($B$2:$B$1826,$A$2:$A$1826=A91))"),1.0)</f>
        <v>1</v>
      </c>
    </row>
    <row r="92">
      <c r="A92" s="13" t="s">
        <v>428</v>
      </c>
      <c r="B92" s="13" t="s">
        <v>316</v>
      </c>
      <c r="C92" s="14">
        <v>47.0</v>
      </c>
      <c r="D92" s="13" t="s">
        <v>85</v>
      </c>
      <c r="E92" s="13" t="s">
        <v>111</v>
      </c>
      <c r="F92" s="13" t="s">
        <v>79</v>
      </c>
      <c r="G92" s="13" t="s">
        <v>120</v>
      </c>
      <c r="H92" s="16">
        <v>44773.0</v>
      </c>
      <c r="I92" s="14">
        <v>22.0</v>
      </c>
      <c r="J92" s="13" t="s">
        <v>64</v>
      </c>
      <c r="K92" s="13" t="s">
        <v>81</v>
      </c>
      <c r="L92" s="14">
        <v>3322.0</v>
      </c>
      <c r="M92" s="18" t="s">
        <v>98</v>
      </c>
      <c r="N92" s="18" t="s">
        <v>43</v>
      </c>
      <c r="O92" s="18">
        <v>33.4</v>
      </c>
      <c r="P92" s="18" t="s">
        <v>76</v>
      </c>
      <c r="Q92" s="16">
        <v>44959.0</v>
      </c>
      <c r="R92" s="16">
        <v>44814.0</v>
      </c>
      <c r="S92" s="13" t="s">
        <v>45</v>
      </c>
      <c r="T92" s="13" t="s">
        <v>66</v>
      </c>
      <c r="U92" s="13">
        <f t="shared" si="1"/>
        <v>3</v>
      </c>
      <c r="V92" s="13" t="str">
        <f t="shared" si="2"/>
        <v>C01240|Neha Nair|47|West|Pune|Premium|Email|7/31/2022|22|Annual|Debit Card|3,322|1|2|33.40|4.4|2/2/2023|9/10/2022|Churned|Automation</v>
      </c>
      <c r="W92" s="13">
        <f t="shared" si="3"/>
        <v>1</v>
      </c>
      <c r="X92" s="13">
        <f>IFERROR(__xludf.DUMMYFUNCTION("COUNTUNIQUE(FILTER($B$2:$B$1826,$A$2:$A$1826=A92))"),3.0)</f>
        <v>3</v>
      </c>
    </row>
    <row r="93">
      <c r="A93" s="13" t="s">
        <v>358</v>
      </c>
      <c r="B93" s="13" t="s">
        <v>342</v>
      </c>
      <c r="C93" s="14">
        <v>25.0</v>
      </c>
      <c r="D93" s="13" t="s">
        <v>60</v>
      </c>
      <c r="E93" s="13" t="s">
        <v>107</v>
      </c>
      <c r="F93" s="13" t="s">
        <v>37</v>
      </c>
      <c r="G93" s="13" t="s">
        <v>120</v>
      </c>
      <c r="H93" s="16">
        <v>45399.0</v>
      </c>
      <c r="I93" s="14">
        <v>22.0</v>
      </c>
      <c r="J93" s="13" t="s">
        <v>64</v>
      </c>
      <c r="K93" s="13" t="s">
        <v>81</v>
      </c>
      <c r="L93" s="14">
        <v>3324.0</v>
      </c>
      <c r="M93" s="18" t="s">
        <v>98</v>
      </c>
      <c r="N93" s="18" t="s">
        <v>98</v>
      </c>
      <c r="O93" s="18">
        <v>45.5</v>
      </c>
      <c r="P93" s="18" t="s">
        <v>164</v>
      </c>
      <c r="Q93" s="16">
        <v>45751.0</v>
      </c>
      <c r="R93" s="16" t="s">
        <v>38</v>
      </c>
      <c r="S93" s="13" t="s">
        <v>55</v>
      </c>
      <c r="T93" s="13" t="s">
        <v>75</v>
      </c>
      <c r="U93" s="13">
        <f t="shared" si="1"/>
        <v>2</v>
      </c>
      <c r="V93" s="13" t="str">
        <f t="shared" si="2"/>
        <v>C00326|Priya Reddy|25|East|Patna|Standard|Email|4/17/2024|22|Annual|Debit Card|3,324|1|1|45.50|3|4/4/2025||Active|Security</v>
      </c>
      <c r="W93" s="13">
        <f t="shared" si="3"/>
        <v>1</v>
      </c>
      <c r="X93" s="13">
        <f>IFERROR(__xludf.DUMMYFUNCTION("COUNTUNIQUE(FILTER($B$2:$B$1826,$A$2:$A$1826=A93))"),2.0)</f>
        <v>2</v>
      </c>
    </row>
    <row r="94">
      <c r="A94" s="13" t="s">
        <v>359</v>
      </c>
      <c r="B94" s="13" t="s">
        <v>340</v>
      </c>
      <c r="C94" s="14">
        <v>38.0</v>
      </c>
      <c r="D94" s="13" t="s">
        <v>60</v>
      </c>
      <c r="E94" s="13" t="s">
        <v>97</v>
      </c>
      <c r="F94" s="13" t="s">
        <v>62</v>
      </c>
      <c r="G94" s="13" t="s">
        <v>80</v>
      </c>
      <c r="H94" s="16">
        <v>45921.0</v>
      </c>
      <c r="I94" s="14">
        <v>10.0</v>
      </c>
      <c r="J94" s="13" t="s">
        <v>64</v>
      </c>
      <c r="K94" s="13" t="s">
        <v>65</v>
      </c>
      <c r="L94" s="14">
        <v>657.0</v>
      </c>
      <c r="M94" s="18" t="s">
        <v>43</v>
      </c>
      <c r="N94" s="18" t="s">
        <v>46</v>
      </c>
      <c r="O94" s="18">
        <v>14.3</v>
      </c>
      <c r="P94" s="18" t="s">
        <v>116</v>
      </c>
      <c r="Q94" s="16">
        <v>46131.0</v>
      </c>
      <c r="R94" s="16" t="s">
        <v>360</v>
      </c>
      <c r="S94" s="13" t="s">
        <v>45</v>
      </c>
      <c r="T94" s="13" t="s">
        <v>72</v>
      </c>
      <c r="U94" s="13">
        <f t="shared" si="1"/>
        <v>3</v>
      </c>
      <c r="V94" s="13" t="str">
        <f t="shared" si="2"/>
        <v>C00582|Meera Sharma|38|East|Bhubaneswar|Basic|Organic Search|9/21/2025|10|Annual|Credit Card|657|2|0|14.30|3.4|4/19/2026|26/12/2025|Churned|Collaboration</v>
      </c>
      <c r="W94" s="13">
        <f t="shared" si="3"/>
        <v>1</v>
      </c>
      <c r="X94" s="13">
        <f>IFERROR(__xludf.DUMMYFUNCTION("COUNTUNIQUE(FILTER($B$2:$B$1826,$A$2:$A$1826=A94))"),3.0)</f>
        <v>3</v>
      </c>
    </row>
    <row r="95">
      <c r="A95" s="13" t="s">
        <v>361</v>
      </c>
      <c r="B95" s="13" t="s">
        <v>362</v>
      </c>
      <c r="C95" s="14">
        <v>27.0</v>
      </c>
      <c r="D95" s="13" t="s">
        <v>35</v>
      </c>
      <c r="E95" s="13" t="s">
        <v>140</v>
      </c>
      <c r="F95" s="13" t="s">
        <v>37</v>
      </c>
      <c r="G95" s="13" t="s">
        <v>63</v>
      </c>
      <c r="H95" s="16">
        <v>45304.0</v>
      </c>
      <c r="I95" s="14">
        <v>20.0</v>
      </c>
      <c r="J95" s="13" t="s">
        <v>40</v>
      </c>
      <c r="K95" s="13" t="s">
        <v>41</v>
      </c>
      <c r="L95" s="14">
        <v>1348.0</v>
      </c>
      <c r="M95" s="18" t="s">
        <v>46</v>
      </c>
      <c r="N95" s="18" t="s">
        <v>46</v>
      </c>
      <c r="O95" s="18">
        <v>50.3</v>
      </c>
      <c r="P95" s="18" t="s">
        <v>285</v>
      </c>
      <c r="Q95" s="16">
        <v>45811.0</v>
      </c>
      <c r="R95" s="16" t="s">
        <v>38</v>
      </c>
      <c r="S95" s="13" t="s">
        <v>55</v>
      </c>
      <c r="T95" s="13" t="s">
        <v>72</v>
      </c>
      <c r="U95" s="13">
        <f t="shared" si="1"/>
        <v>2</v>
      </c>
      <c r="V95" s="13" t="str">
        <f t="shared" si="2"/>
        <v>C00262|Neha Singh|27|North|Lucknow|Standard|Google Ads|1/13/2024|20|Monthly|Upi|1,348|0|0|50.30|2.3|6/3/2025||Active|Collaboration</v>
      </c>
      <c r="W95" s="13">
        <f t="shared" si="3"/>
        <v>1</v>
      </c>
      <c r="X95" s="13">
        <f>IFERROR(__xludf.DUMMYFUNCTION("COUNTUNIQUE(FILTER($B$2:$B$1826,$A$2:$A$1826=A95))"),2.0)</f>
        <v>2</v>
      </c>
    </row>
    <row r="96">
      <c r="A96" s="13" t="s">
        <v>363</v>
      </c>
      <c r="B96" s="13" t="s">
        <v>364</v>
      </c>
      <c r="C96" s="14">
        <v>45.0</v>
      </c>
      <c r="D96" s="13" t="s">
        <v>35</v>
      </c>
      <c r="E96" s="13" t="s">
        <v>161</v>
      </c>
      <c r="F96" s="13" t="s">
        <v>79</v>
      </c>
      <c r="G96" s="13" t="s">
        <v>80</v>
      </c>
      <c r="H96" s="16">
        <v>44830.0</v>
      </c>
      <c r="I96" s="14">
        <v>39.0</v>
      </c>
      <c r="J96" s="13" t="s">
        <v>53</v>
      </c>
      <c r="K96" s="13" t="s">
        <v>81</v>
      </c>
      <c r="L96" s="14">
        <v>3701.0</v>
      </c>
      <c r="M96" s="18" t="s">
        <v>99</v>
      </c>
      <c r="N96" s="18" t="s">
        <v>46</v>
      </c>
      <c r="O96" s="18">
        <v>33.2</v>
      </c>
      <c r="P96" s="18" t="s">
        <v>76</v>
      </c>
      <c r="Q96" s="16">
        <v>45179.0</v>
      </c>
      <c r="R96" s="16" t="s">
        <v>38</v>
      </c>
      <c r="S96" s="13" t="s">
        <v>230</v>
      </c>
      <c r="T96" s="13" t="s">
        <v>47</v>
      </c>
      <c r="U96" s="13">
        <f t="shared" si="1"/>
        <v>2</v>
      </c>
      <c r="V96" s="13" t="str">
        <f t="shared" si="2"/>
        <v>C00208|Sneha Kumar|45|North|Chandigarh|Premium|Organic Search|9/26/2022|39|Quarterly|Debit Card|3,701|4|0|33.20|4.4|9/10/2023||Yes|Cloud Storage</v>
      </c>
      <c r="W96" s="13">
        <f t="shared" si="3"/>
        <v>1</v>
      </c>
      <c r="X96" s="13">
        <f>IFERROR(__xludf.DUMMYFUNCTION("COUNTUNIQUE(FILTER($B$2:$B$1826,$A$2:$A$1826=A96))"),2.0)</f>
        <v>2</v>
      </c>
    </row>
    <row r="97">
      <c r="A97" s="13" t="s">
        <v>365</v>
      </c>
      <c r="B97" s="13" t="s">
        <v>241</v>
      </c>
      <c r="C97" s="14">
        <v>68.0</v>
      </c>
      <c r="D97" s="13" t="s">
        <v>60</v>
      </c>
      <c r="E97" s="13" t="s">
        <v>133</v>
      </c>
      <c r="F97" s="13" t="s">
        <v>62</v>
      </c>
      <c r="G97" s="13" t="s">
        <v>39</v>
      </c>
      <c r="H97" s="16">
        <v>45195.0</v>
      </c>
      <c r="I97" s="14">
        <v>31.0</v>
      </c>
      <c r="J97" s="13" t="s">
        <v>53</v>
      </c>
      <c r="K97" s="13" t="s">
        <v>81</v>
      </c>
      <c r="L97" s="14">
        <v>598.0</v>
      </c>
      <c r="M97" s="18" t="s">
        <v>98</v>
      </c>
      <c r="N97" s="18" t="s">
        <v>43</v>
      </c>
      <c r="O97" s="18">
        <v>19.4</v>
      </c>
      <c r="P97" s="18" t="s">
        <v>225</v>
      </c>
      <c r="Q97" s="16">
        <v>45789.0</v>
      </c>
      <c r="R97" s="16" t="s">
        <v>366</v>
      </c>
      <c r="S97" s="13" t="s">
        <v>45</v>
      </c>
      <c r="T97" s="13" t="s">
        <v>66</v>
      </c>
      <c r="U97" s="13">
        <f t="shared" si="1"/>
        <v>2</v>
      </c>
      <c r="V97" s="13" t="str">
        <f t="shared" si="2"/>
        <v>C00910|Sneha Iyer|68|East|Guwahati|Basic|Instagram|9/26/2023|31|Quarterly|Debit Card|598|1|2|19.40|3.8|5/12/2025|19/01/2025|Churned|Automation</v>
      </c>
      <c r="W97" s="13">
        <f t="shared" si="3"/>
        <v>1</v>
      </c>
      <c r="X97" s="13">
        <f>IFERROR(__xludf.DUMMYFUNCTION("COUNTUNIQUE(FILTER($B$2:$B$1826,$A$2:$A$1826=A97))"),2.0)</f>
        <v>2</v>
      </c>
    </row>
    <row r="98">
      <c r="A98" s="13" t="s">
        <v>367</v>
      </c>
      <c r="B98" s="13" t="s">
        <v>247</v>
      </c>
      <c r="C98" s="14">
        <v>37.0</v>
      </c>
      <c r="D98" s="13" t="s">
        <v>69</v>
      </c>
      <c r="E98" s="13" t="s">
        <v>187</v>
      </c>
      <c r="F98" s="13" t="s">
        <v>37</v>
      </c>
      <c r="G98" s="13" t="s">
        <v>39</v>
      </c>
      <c r="H98" s="16">
        <v>45074.0</v>
      </c>
      <c r="I98" s="14">
        <v>4.0</v>
      </c>
      <c r="J98" s="13" t="s">
        <v>40</v>
      </c>
      <c r="K98" s="13" t="s">
        <v>41</v>
      </c>
      <c r="L98" s="14">
        <v>1566.0</v>
      </c>
      <c r="M98" s="18" t="s">
        <v>98</v>
      </c>
      <c r="N98" s="18" t="s">
        <v>46</v>
      </c>
      <c r="O98" s="18">
        <v>30.7</v>
      </c>
      <c r="P98" s="18" t="s">
        <v>89</v>
      </c>
      <c r="Q98" s="16">
        <v>45110.0</v>
      </c>
      <c r="R98" s="16" t="s">
        <v>38</v>
      </c>
      <c r="S98" s="13" t="s">
        <v>55</v>
      </c>
      <c r="T98" s="13" t="s">
        <v>72</v>
      </c>
      <c r="U98" s="13">
        <f t="shared" si="1"/>
        <v>3</v>
      </c>
      <c r="V98" s="13" t="str">
        <f t="shared" si="2"/>
        <v>C00858|Ravi Sharma|37|South|Chennai|Standard|Instagram|5/28/2023|4|Monthly|Upi|1,566|1|0|30.70|3.3|7/3/2023||Active|Collaboration</v>
      </c>
      <c r="W98" s="13">
        <f t="shared" si="3"/>
        <v>1</v>
      </c>
      <c r="X98" s="13">
        <f>IFERROR(__xludf.DUMMYFUNCTION("COUNTUNIQUE(FILTER($B$2:$B$1826,$A$2:$A$1826=A98))"),3.0)</f>
        <v>3</v>
      </c>
    </row>
    <row r="99">
      <c r="A99" s="13" t="s">
        <v>369</v>
      </c>
      <c r="B99" s="13" t="s">
        <v>333</v>
      </c>
      <c r="C99" s="14">
        <v>24.0</v>
      </c>
      <c r="D99" s="13" t="s">
        <v>69</v>
      </c>
      <c r="E99" s="13" t="s">
        <v>119</v>
      </c>
      <c r="F99" s="13" t="s">
        <v>62</v>
      </c>
      <c r="G99" s="13" t="s">
        <v>39</v>
      </c>
      <c r="H99" s="16">
        <v>45485.0</v>
      </c>
      <c r="I99" s="14">
        <v>23.0</v>
      </c>
      <c r="J99" s="13" t="s">
        <v>53</v>
      </c>
      <c r="K99" s="13" t="s">
        <v>41</v>
      </c>
      <c r="L99" s="14">
        <v>711.0</v>
      </c>
      <c r="M99" s="18" t="s">
        <v>164</v>
      </c>
      <c r="N99" s="18" t="s">
        <v>98</v>
      </c>
      <c r="O99" s="18">
        <v>22.3</v>
      </c>
      <c r="P99" s="18" t="s">
        <v>296</v>
      </c>
      <c r="Q99" s="16">
        <v>46009.0</v>
      </c>
      <c r="R99" s="16" t="s">
        <v>370</v>
      </c>
      <c r="S99" s="13" t="s">
        <v>45</v>
      </c>
      <c r="T99" s="13" t="s">
        <v>104</v>
      </c>
      <c r="U99" s="13">
        <f t="shared" si="1"/>
        <v>3</v>
      </c>
      <c r="V99" s="13" t="str">
        <f t="shared" si="2"/>
        <v>C00921|Neha Das|24|South|Kochi|Basic|Instagram|7/12/2024|23|Quarterly|Upi|711|3|1|22.30|4.6|12/18/2025|28/08/2025|Churned|Analytics</v>
      </c>
      <c r="W99" s="13">
        <f t="shared" si="3"/>
        <v>1</v>
      </c>
      <c r="X99" s="13">
        <f>IFERROR(__xludf.DUMMYFUNCTION("COUNTUNIQUE(FILTER($B$2:$B$1826,$A$2:$A$1826=A99))"),3.0)</f>
        <v>3</v>
      </c>
    </row>
    <row r="100">
      <c r="A100" s="13" t="s">
        <v>371</v>
      </c>
      <c r="B100" s="13" t="s">
        <v>364</v>
      </c>
      <c r="C100" s="14">
        <v>24.0</v>
      </c>
      <c r="D100" s="13" t="s">
        <v>35</v>
      </c>
      <c r="E100" s="13" t="s">
        <v>161</v>
      </c>
      <c r="F100" s="13" t="s">
        <v>62</v>
      </c>
      <c r="G100" s="13" t="s">
        <v>39</v>
      </c>
      <c r="H100" s="16">
        <v>44640.0</v>
      </c>
      <c r="I100" s="14">
        <v>19.0</v>
      </c>
      <c r="J100" s="13" t="s">
        <v>40</v>
      </c>
      <c r="K100" s="13" t="s">
        <v>65</v>
      </c>
      <c r="L100" s="14">
        <v>1711.0</v>
      </c>
      <c r="M100" s="18" t="s">
        <v>43</v>
      </c>
      <c r="N100" s="18" t="s">
        <v>46</v>
      </c>
      <c r="O100" s="18">
        <v>22.6</v>
      </c>
      <c r="P100" s="18" t="s">
        <v>518</v>
      </c>
      <c r="Q100" s="16">
        <v>44792.0</v>
      </c>
      <c r="R100" s="16">
        <v>45268.0</v>
      </c>
      <c r="S100" s="13" t="s">
        <v>45</v>
      </c>
      <c r="T100" s="13" t="s">
        <v>47</v>
      </c>
      <c r="U100" s="13">
        <f t="shared" si="1"/>
        <v>2</v>
      </c>
      <c r="V100" s="13" t="str">
        <f t="shared" si="2"/>
        <v>C00653|Sneha Kumar|24|North|Chandigarh|Basic|Instagram|3/20/2022|19|Monthly|Credit Card|1,711|2|0|22.60|1.7|8/19/2022|12/8/2023|Churned|Cloud Storage</v>
      </c>
      <c r="W100" s="13">
        <f t="shared" si="3"/>
        <v>1</v>
      </c>
      <c r="X100" s="13">
        <f>IFERROR(__xludf.DUMMYFUNCTION("COUNTUNIQUE(FILTER($B$2:$B$1826,$A$2:$A$1826=A100))"),1.0)</f>
        <v>1</v>
      </c>
    </row>
    <row r="101">
      <c r="A101" s="13" t="s">
        <v>374</v>
      </c>
      <c r="B101" s="13" t="s">
        <v>235</v>
      </c>
      <c r="C101" s="14">
        <v>26.0</v>
      </c>
      <c r="D101" s="13" t="s">
        <v>85</v>
      </c>
      <c r="E101" s="13" t="s">
        <v>292</v>
      </c>
      <c r="F101" s="13" t="s">
        <v>37</v>
      </c>
      <c r="G101" s="13" t="s">
        <v>39</v>
      </c>
      <c r="H101" s="16">
        <v>45178.0</v>
      </c>
      <c r="I101" s="14">
        <v>8.0</v>
      </c>
      <c r="J101" s="13" t="s">
        <v>53</v>
      </c>
      <c r="K101" s="13" t="s">
        <v>81</v>
      </c>
      <c r="L101" s="14">
        <v>1653.0</v>
      </c>
      <c r="M101" s="18" t="s">
        <v>38</v>
      </c>
      <c r="N101" s="18" t="s">
        <v>43</v>
      </c>
      <c r="O101" s="18">
        <v>26.1</v>
      </c>
      <c r="P101" s="18" t="s">
        <v>76</v>
      </c>
      <c r="Q101" s="16">
        <v>45347.0</v>
      </c>
      <c r="R101" s="16" t="s">
        <v>38</v>
      </c>
      <c r="S101" s="13" t="s">
        <v>55</v>
      </c>
      <c r="T101" s="13" t="s">
        <v>66</v>
      </c>
      <c r="U101" s="13">
        <f t="shared" si="1"/>
        <v>3</v>
      </c>
      <c r="V101" s="13" t="str">
        <f t="shared" si="2"/>
        <v>C00307|Sneha Sharma|26|West|Mumbai|Standard|Instagram|9/9/2023|8|Quarterly|Debit Card|1,653||2|26.10|4.4|2/25/2024||Active|Automation</v>
      </c>
      <c r="W101" s="13">
        <f t="shared" si="3"/>
        <v>1</v>
      </c>
      <c r="X101" s="13">
        <f>IFERROR(__xludf.DUMMYFUNCTION("COUNTUNIQUE(FILTER($B$2:$B$1826,$A$2:$A$1826=A101))"),3.0)</f>
        <v>3</v>
      </c>
    </row>
    <row r="102">
      <c r="A102" s="13" t="s">
        <v>375</v>
      </c>
      <c r="B102" s="13" t="s">
        <v>342</v>
      </c>
      <c r="C102" s="14">
        <v>23.0</v>
      </c>
      <c r="D102" s="13" t="s">
        <v>69</v>
      </c>
      <c r="E102" s="13" t="s">
        <v>187</v>
      </c>
      <c r="F102" s="13" t="s">
        <v>62</v>
      </c>
      <c r="G102" s="13" t="s">
        <v>63</v>
      </c>
      <c r="H102" s="16">
        <v>45821.0</v>
      </c>
      <c r="I102" s="14">
        <v>23.0</v>
      </c>
      <c r="J102" s="13" t="s">
        <v>64</v>
      </c>
      <c r="K102" s="13" t="s">
        <v>81</v>
      </c>
      <c r="L102" s="14">
        <v>712.0</v>
      </c>
      <c r="M102" s="18" t="s">
        <v>99</v>
      </c>
      <c r="N102" s="18" t="s">
        <v>46</v>
      </c>
      <c r="O102" s="18">
        <v>20.7</v>
      </c>
      <c r="P102" s="18" t="s">
        <v>89</v>
      </c>
      <c r="Q102" s="16">
        <v>46515.0</v>
      </c>
      <c r="R102" s="16" t="s">
        <v>38</v>
      </c>
      <c r="S102" s="13" t="s">
        <v>55</v>
      </c>
      <c r="T102" s="13" t="s">
        <v>66</v>
      </c>
      <c r="U102" s="13">
        <f t="shared" si="1"/>
        <v>2</v>
      </c>
      <c r="V102" s="13" t="str">
        <f t="shared" si="2"/>
        <v>C00034|Priya Reddy|23|South|Chennai|Basic|Google Ads|6/13/2025|23|Annual|Debit Card|712|4|0|20.70|3.3|5/8/2027||Active|Automation</v>
      </c>
      <c r="W102" s="13">
        <f t="shared" si="3"/>
        <v>1</v>
      </c>
      <c r="X102" s="13">
        <f>IFERROR(__xludf.DUMMYFUNCTION("COUNTUNIQUE(FILTER($B$2:$B$1826,$A$2:$A$1826=A102))"),2.0)</f>
        <v>2</v>
      </c>
    </row>
    <row r="103">
      <c r="A103" s="13" t="s">
        <v>279</v>
      </c>
      <c r="B103" s="13" t="s">
        <v>312</v>
      </c>
      <c r="C103" s="14">
        <v>65.0</v>
      </c>
      <c r="D103" s="13" t="s">
        <v>35</v>
      </c>
      <c r="E103" s="13" t="s">
        <v>140</v>
      </c>
      <c r="F103" s="13" t="s">
        <v>79</v>
      </c>
      <c r="G103" s="13" t="s">
        <v>63</v>
      </c>
      <c r="H103" s="16">
        <v>45863.0</v>
      </c>
      <c r="I103" s="14">
        <v>25.0</v>
      </c>
      <c r="J103" s="13" t="s">
        <v>64</v>
      </c>
      <c r="K103" s="13" t="s">
        <v>81</v>
      </c>
      <c r="L103" s="14">
        <v>2032.0</v>
      </c>
      <c r="M103" s="18" t="s">
        <v>46</v>
      </c>
      <c r="N103" s="18" t="s">
        <v>164</v>
      </c>
      <c r="O103" s="18">
        <v>44.6</v>
      </c>
      <c r="P103" s="18" t="s">
        <v>263</v>
      </c>
      <c r="Q103" s="16">
        <v>46238.0</v>
      </c>
      <c r="R103" s="16">
        <v>45668.0</v>
      </c>
      <c r="S103" s="13" t="s">
        <v>45</v>
      </c>
      <c r="T103" s="13" t="s">
        <v>104</v>
      </c>
      <c r="U103" s="13">
        <f t="shared" si="1"/>
        <v>2</v>
      </c>
      <c r="V103" s="13" t="str">
        <f t="shared" si="2"/>
        <v>C01040|Anita Singh|65|North|Lucknow|Premium|Google Ads|7/25/2025|25|Annual|Debit Card|2,032|0|3|44.60|2.9|8/4/2026|1/11/2025|Churned|Analytics</v>
      </c>
      <c r="W103" s="13">
        <f t="shared" si="3"/>
        <v>1</v>
      </c>
      <c r="X103" s="13">
        <f>IFERROR(__xludf.DUMMYFUNCTION("COUNTUNIQUE(FILTER($B$2:$B$1826,$A$2:$A$1826=A103))"),2.0)</f>
        <v>2</v>
      </c>
    </row>
    <row r="104">
      <c r="A104" s="13" t="s">
        <v>378</v>
      </c>
      <c r="B104" s="13" t="s">
        <v>106</v>
      </c>
      <c r="C104" s="14">
        <v>23.0</v>
      </c>
      <c r="D104" s="13" t="s">
        <v>60</v>
      </c>
      <c r="E104" s="13" t="s">
        <v>97</v>
      </c>
      <c r="F104" s="13" t="s">
        <v>62</v>
      </c>
      <c r="G104" s="13" t="s">
        <v>80</v>
      </c>
      <c r="H104" s="16">
        <v>45255.0</v>
      </c>
      <c r="I104" s="14">
        <v>42.0</v>
      </c>
      <c r="J104" s="13" t="s">
        <v>64</v>
      </c>
      <c r="K104" s="13" t="s">
        <v>65</v>
      </c>
      <c r="L104" s="14">
        <v>897.0</v>
      </c>
      <c r="M104" s="18" t="s">
        <v>98</v>
      </c>
      <c r="N104" s="18" t="s">
        <v>43</v>
      </c>
      <c r="O104" s="18">
        <v>28.3</v>
      </c>
      <c r="P104" s="18" t="s">
        <v>89</v>
      </c>
      <c r="Q104" s="16">
        <v>46245.0</v>
      </c>
      <c r="R104" s="16" t="s">
        <v>38</v>
      </c>
      <c r="S104" s="13" t="s">
        <v>55</v>
      </c>
      <c r="T104" s="13" t="s">
        <v>104</v>
      </c>
      <c r="U104" s="13">
        <f t="shared" si="1"/>
        <v>2</v>
      </c>
      <c r="V104" s="13" t="str">
        <f t="shared" si="2"/>
        <v>C01581|Rahul Patel|23|East|Bhubaneswar|Basic|Organic Search|11/25/2023|42|Annual|Credit Card|897|1|2|28.30|3.3|8/11/2026||Active|Analytics</v>
      </c>
      <c r="W104" s="13">
        <f t="shared" si="3"/>
        <v>1</v>
      </c>
      <c r="X104" s="13">
        <f>IFERROR(__xludf.DUMMYFUNCTION("COUNTUNIQUE(FILTER($B$2:$B$1826,$A$2:$A$1826=A104))"),2.0)</f>
        <v>2</v>
      </c>
    </row>
    <row r="105">
      <c r="A105" s="13" t="s">
        <v>379</v>
      </c>
      <c r="B105" s="13" t="s">
        <v>380</v>
      </c>
      <c r="C105" s="14">
        <v>41.0</v>
      </c>
      <c r="D105" s="13" t="s">
        <v>69</v>
      </c>
      <c r="E105" s="13" t="s">
        <v>70</v>
      </c>
      <c r="F105" s="13" t="s">
        <v>37</v>
      </c>
      <c r="G105" s="13" t="s">
        <v>63</v>
      </c>
      <c r="H105" s="16">
        <v>45208.0</v>
      </c>
      <c r="I105" s="14">
        <v>20.0</v>
      </c>
      <c r="J105" s="13" t="s">
        <v>40</v>
      </c>
      <c r="K105" s="13" t="s">
        <v>81</v>
      </c>
      <c r="L105" s="14">
        <v>1483.0</v>
      </c>
      <c r="M105" s="18" t="s">
        <v>98</v>
      </c>
      <c r="N105" s="18" t="s">
        <v>46</v>
      </c>
      <c r="O105" s="18">
        <v>31.3</v>
      </c>
      <c r="P105" s="18" t="s">
        <v>173</v>
      </c>
      <c r="Q105" s="16">
        <v>45255.0</v>
      </c>
      <c r="R105" s="16" t="s">
        <v>38</v>
      </c>
      <c r="S105" s="13" t="s">
        <v>55</v>
      </c>
      <c r="T105" s="13" t="s">
        <v>72</v>
      </c>
      <c r="U105" s="13">
        <f t="shared" si="1"/>
        <v>3</v>
      </c>
      <c r="V105" s="13" t="str">
        <f t="shared" si="2"/>
        <v>C00601|Neha Iyer|41|South|Bengaluru|Standard|Google Ads|10/9/2023|20|Monthly|Debit Card|1,483|1|0|31.30|5|11/25/2023||Active|Collaboration</v>
      </c>
      <c r="W105" s="13">
        <f t="shared" si="3"/>
        <v>1</v>
      </c>
      <c r="X105" s="13">
        <f>IFERROR(__xludf.DUMMYFUNCTION("COUNTUNIQUE(FILTER($B$2:$B$1826,$A$2:$A$1826=A105))"),3.0)</f>
        <v>3</v>
      </c>
    </row>
    <row r="106">
      <c r="A106" s="13" t="s">
        <v>381</v>
      </c>
      <c r="B106" s="13" t="s">
        <v>224</v>
      </c>
      <c r="C106" s="14">
        <v>24.0</v>
      </c>
      <c r="D106" s="13" t="s">
        <v>35</v>
      </c>
      <c r="E106" s="13" t="s">
        <v>161</v>
      </c>
      <c r="F106" s="13" t="s">
        <v>62</v>
      </c>
      <c r="G106" s="13" t="s">
        <v>120</v>
      </c>
      <c r="H106" s="16">
        <v>45462.0</v>
      </c>
      <c r="I106" s="14">
        <v>25.0</v>
      </c>
      <c r="J106" s="13" t="s">
        <v>64</v>
      </c>
      <c r="K106" s="13" t="s">
        <v>65</v>
      </c>
      <c r="L106" s="14">
        <v>594.0</v>
      </c>
      <c r="M106" s="18" t="s">
        <v>164</v>
      </c>
      <c r="N106" s="18" t="s">
        <v>98</v>
      </c>
      <c r="O106" s="18">
        <v>19.4</v>
      </c>
      <c r="P106" s="18" t="s">
        <v>150</v>
      </c>
      <c r="Q106" s="16">
        <v>45981.0</v>
      </c>
      <c r="R106" s="16" t="s">
        <v>38</v>
      </c>
      <c r="S106" s="13" t="s">
        <v>55</v>
      </c>
      <c r="T106" s="13" t="s">
        <v>104</v>
      </c>
      <c r="U106" s="13">
        <f t="shared" si="1"/>
        <v>1</v>
      </c>
      <c r="V106" s="13" t="str">
        <f t="shared" si="2"/>
        <v>C00560|Anita Iyer|24|North|Chandigarh|Basic|Email|6/19/2024|25|Annual|Credit Card|594|3|1|19.40|4.5|11/20/2025||Active|Analytics</v>
      </c>
      <c r="W106" s="13">
        <f t="shared" si="3"/>
        <v>1</v>
      </c>
      <c r="X106" s="13">
        <f>IFERROR(__xludf.DUMMYFUNCTION("COUNTUNIQUE(FILTER($B$2:$B$1826,$A$2:$A$1826=A106))"),1.0)</f>
        <v>1</v>
      </c>
    </row>
    <row r="107">
      <c r="A107" s="13" t="s">
        <v>382</v>
      </c>
      <c r="B107" s="13" t="s">
        <v>383</v>
      </c>
      <c r="C107" s="14">
        <v>41.0</v>
      </c>
      <c r="D107" s="13" t="s">
        <v>69</v>
      </c>
      <c r="E107" s="13" t="s">
        <v>177</v>
      </c>
      <c r="F107" s="13" t="s">
        <v>62</v>
      </c>
      <c r="G107" s="13" t="s">
        <v>63</v>
      </c>
      <c r="H107" s="16">
        <v>45233.0</v>
      </c>
      <c r="I107" s="14">
        <v>43.0</v>
      </c>
      <c r="J107" s="13" t="s">
        <v>53</v>
      </c>
      <c r="K107" s="13" t="s">
        <v>41</v>
      </c>
      <c r="L107" s="14">
        <v>727.0</v>
      </c>
      <c r="M107" s="18" t="s">
        <v>376</v>
      </c>
      <c r="N107" s="18" t="s">
        <v>98</v>
      </c>
      <c r="O107" s="18">
        <v>16.4</v>
      </c>
      <c r="P107" s="18" t="s">
        <v>203</v>
      </c>
      <c r="Q107" s="16">
        <v>46115.0</v>
      </c>
      <c r="R107" s="16" t="s">
        <v>38</v>
      </c>
      <c r="S107" s="13" t="s">
        <v>55</v>
      </c>
      <c r="T107" s="13" t="s">
        <v>72</v>
      </c>
      <c r="U107" s="13">
        <f t="shared" si="1"/>
        <v>1</v>
      </c>
      <c r="V107" s="13" t="str">
        <f t="shared" si="2"/>
        <v>C00882|Rahul Nair|41|South|Hyderabad|Basic|Google Ads|11/3/2023|43|Quarterly|Upi|727|6|1|16.40|3.7|4/3/2026||Active|Collaboration</v>
      </c>
      <c r="W107" s="13">
        <f t="shared" si="3"/>
        <v>1</v>
      </c>
      <c r="X107" s="13">
        <f>IFERROR(__xludf.DUMMYFUNCTION("COUNTUNIQUE(FILTER($B$2:$B$1826,$A$2:$A$1826=A107))"),1.0)</f>
        <v>1</v>
      </c>
    </row>
    <row r="108">
      <c r="A108" s="13" t="s">
        <v>385</v>
      </c>
      <c r="B108" s="13" t="s">
        <v>126</v>
      </c>
      <c r="C108" s="14">
        <v>57.0</v>
      </c>
      <c r="D108" s="13" t="s">
        <v>85</v>
      </c>
      <c r="E108" s="13" t="s">
        <v>92</v>
      </c>
      <c r="F108" s="13" t="s">
        <v>37</v>
      </c>
      <c r="G108" s="13" t="s">
        <v>128</v>
      </c>
      <c r="H108" s="16">
        <v>44679.0</v>
      </c>
      <c r="I108" s="14">
        <v>5.0</v>
      </c>
      <c r="J108" s="13" t="s">
        <v>64</v>
      </c>
      <c r="K108" s="13" t="s">
        <v>65</v>
      </c>
      <c r="L108" s="14">
        <v>1371.0</v>
      </c>
      <c r="M108" s="18" t="s">
        <v>164</v>
      </c>
      <c r="N108" s="18" t="s">
        <v>43</v>
      </c>
      <c r="O108" s="18">
        <v>40.7</v>
      </c>
      <c r="P108" s="18" t="s">
        <v>185</v>
      </c>
      <c r="Q108" s="16">
        <v>44729.0</v>
      </c>
      <c r="R108" s="16" t="s">
        <v>38</v>
      </c>
      <c r="S108" s="13" t="s">
        <v>55</v>
      </c>
      <c r="T108" s="13" t="s">
        <v>104</v>
      </c>
      <c r="U108" s="13">
        <f t="shared" si="1"/>
        <v>2</v>
      </c>
      <c r="V108" s="13" t="str">
        <f t="shared" si="2"/>
        <v>C01260|Arun Patel|57|West|Ahmedabad|Standard|Youtube|4/28/2022|5|Annual|Credit Card|1,371|3|2|40.70|3.2|6/17/2022||Active|Analytics</v>
      </c>
      <c r="W108" s="13">
        <f t="shared" si="3"/>
        <v>1</v>
      </c>
      <c r="X108" s="13">
        <f>IFERROR(__xludf.DUMMYFUNCTION("COUNTUNIQUE(FILTER($B$2:$B$1826,$A$2:$A$1826=A108))"),2.0)</f>
        <v>2</v>
      </c>
    </row>
    <row r="109">
      <c r="A109" s="13" t="s">
        <v>327</v>
      </c>
      <c r="B109" s="13" t="s">
        <v>281</v>
      </c>
      <c r="C109" s="14">
        <v>47.0</v>
      </c>
      <c r="D109" s="13" t="s">
        <v>35</v>
      </c>
      <c r="E109" s="13" t="s">
        <v>51</v>
      </c>
      <c r="F109" s="13" t="s">
        <v>37</v>
      </c>
      <c r="G109" s="13" t="s">
        <v>210</v>
      </c>
      <c r="H109" s="16">
        <v>45303.0</v>
      </c>
      <c r="I109" s="14">
        <v>25.0</v>
      </c>
      <c r="J109" s="13" t="s">
        <v>40</v>
      </c>
      <c r="K109" s="13" t="s">
        <v>81</v>
      </c>
      <c r="L109" s="14">
        <v>1618.0</v>
      </c>
      <c r="M109" s="18" t="s">
        <v>98</v>
      </c>
      <c r="N109" s="18" t="s">
        <v>46</v>
      </c>
      <c r="O109" s="18">
        <v>48.3</v>
      </c>
      <c r="P109" s="18" t="s">
        <v>408</v>
      </c>
      <c r="Q109" s="16">
        <v>46008.0</v>
      </c>
      <c r="R109" s="16" t="s">
        <v>386</v>
      </c>
      <c r="S109" s="13" t="s">
        <v>45</v>
      </c>
      <c r="T109" s="13" t="s">
        <v>47</v>
      </c>
      <c r="U109" s="13">
        <f t="shared" si="1"/>
        <v>3</v>
      </c>
      <c r="V109" s="13" t="str">
        <f t="shared" si="2"/>
        <v>C00259|Anita Reddy|47|North|Jaipur|Standard|Referral|1/12/2024|25|Monthly|Debit Card|1,618|1|0|48.30|4.2|12/17/2025|16/05/2025|Churned|Cloud Storage</v>
      </c>
      <c r="W109" s="13">
        <f t="shared" si="3"/>
        <v>1</v>
      </c>
      <c r="X109" s="13">
        <f>IFERROR(__xludf.DUMMYFUNCTION("COUNTUNIQUE(FILTER($B$2:$B$1826,$A$2:$A$1826=A109))"),3.0)</f>
        <v>3</v>
      </c>
    </row>
    <row r="110">
      <c r="A110" s="13" t="s">
        <v>471</v>
      </c>
      <c r="B110" s="13" t="s">
        <v>247</v>
      </c>
      <c r="C110" s="14">
        <v>35.0</v>
      </c>
      <c r="D110" s="13" t="s">
        <v>60</v>
      </c>
      <c r="E110" s="13" t="s">
        <v>133</v>
      </c>
      <c r="F110" s="13" t="s">
        <v>62</v>
      </c>
      <c r="G110" s="13" t="s">
        <v>210</v>
      </c>
      <c r="H110" s="16">
        <v>45073.0</v>
      </c>
      <c r="I110" s="14">
        <v>8.0</v>
      </c>
      <c r="J110" s="13" t="s">
        <v>53</v>
      </c>
      <c r="K110" s="13" t="s">
        <v>81</v>
      </c>
      <c r="L110" s="14">
        <v>594.0</v>
      </c>
      <c r="M110" s="18" t="s">
        <v>164</v>
      </c>
      <c r="N110" s="18" t="s">
        <v>98</v>
      </c>
      <c r="O110" s="18">
        <v>9.9</v>
      </c>
      <c r="P110" s="18" t="s">
        <v>568</v>
      </c>
      <c r="Q110" s="16">
        <v>45182.0</v>
      </c>
      <c r="R110" s="16" t="s">
        <v>38</v>
      </c>
      <c r="S110" s="13" t="s">
        <v>55</v>
      </c>
      <c r="T110" s="13" t="s">
        <v>75</v>
      </c>
      <c r="U110" s="13">
        <f t="shared" si="1"/>
        <v>1</v>
      </c>
      <c r="V110" s="13" t="str">
        <f t="shared" si="2"/>
        <v>C01085|Ravi Sharma|35|East|Guwahati|Basic|Referral|5/27/2023|8|Quarterly|Debit Card|594|3|1|9.90|2.2|9/13/2023||Active|Security</v>
      </c>
      <c r="W110" s="13">
        <f t="shared" si="3"/>
        <v>1</v>
      </c>
      <c r="X110" s="13">
        <f>IFERROR(__xludf.DUMMYFUNCTION("COUNTUNIQUE(FILTER($B$2:$B$1826,$A$2:$A$1826=A110))"),1.0)</f>
        <v>1</v>
      </c>
    </row>
    <row r="111">
      <c r="A111" s="13" t="s">
        <v>388</v>
      </c>
      <c r="B111" s="13" t="s">
        <v>281</v>
      </c>
      <c r="C111" s="14">
        <v>64.0</v>
      </c>
      <c r="D111" s="13" t="s">
        <v>60</v>
      </c>
      <c r="E111" s="13" t="s">
        <v>133</v>
      </c>
      <c r="F111" s="13" t="s">
        <v>62</v>
      </c>
      <c r="G111" s="13" t="s">
        <v>39</v>
      </c>
      <c r="H111" s="16">
        <v>44713.0</v>
      </c>
      <c r="I111" s="14">
        <v>29.0</v>
      </c>
      <c r="J111" s="13" t="s">
        <v>40</v>
      </c>
      <c r="K111" s="13" t="s">
        <v>81</v>
      </c>
      <c r="L111" s="14">
        <v>864.0</v>
      </c>
      <c r="M111" s="18" t="s">
        <v>98</v>
      </c>
      <c r="N111" s="18" t="s">
        <v>98</v>
      </c>
      <c r="O111" s="18">
        <v>15.9</v>
      </c>
      <c r="P111" s="18" t="s">
        <v>285</v>
      </c>
      <c r="Q111" s="16">
        <v>45552.0</v>
      </c>
      <c r="R111" s="16" t="s">
        <v>38</v>
      </c>
      <c r="S111" s="13" t="s">
        <v>55</v>
      </c>
      <c r="T111" s="13" t="s">
        <v>66</v>
      </c>
      <c r="U111" s="13">
        <f t="shared" si="1"/>
        <v>1</v>
      </c>
      <c r="V111" s="13" t="str">
        <f t="shared" si="2"/>
        <v>C00440|Anita Reddy|64|East|Guwahati|Basic|Instagram|6/1/2022|29|Monthly|Debit Card|864|1|1|15.90|2.3|9/17/2024||Active|Automation</v>
      </c>
      <c r="W111" s="13">
        <f t="shared" si="3"/>
        <v>1</v>
      </c>
      <c r="X111" s="13">
        <f>IFERROR(__xludf.DUMMYFUNCTION("COUNTUNIQUE(FILTER($B$2:$B$1826,$A$2:$A$1826=A111))"),1.0)</f>
        <v>1</v>
      </c>
    </row>
    <row r="112">
      <c r="A112" s="13" t="s">
        <v>389</v>
      </c>
      <c r="B112" s="13" t="s">
        <v>316</v>
      </c>
      <c r="C112" s="14">
        <v>20.0</v>
      </c>
      <c r="D112" s="13" t="s">
        <v>60</v>
      </c>
      <c r="E112" s="13" t="s">
        <v>97</v>
      </c>
      <c r="F112" s="13" t="s">
        <v>37</v>
      </c>
      <c r="G112" s="13" t="s">
        <v>52</v>
      </c>
      <c r="H112" s="16">
        <v>45868.0</v>
      </c>
      <c r="I112" s="14">
        <v>12.0</v>
      </c>
      <c r="J112" s="13" t="s">
        <v>53</v>
      </c>
      <c r="K112" s="13" t="s">
        <v>81</v>
      </c>
      <c r="L112" s="14">
        <v>1228.0</v>
      </c>
      <c r="M112" s="18" t="s">
        <v>43</v>
      </c>
      <c r="N112" s="18" t="s">
        <v>98</v>
      </c>
      <c r="O112" s="18">
        <v>26.2</v>
      </c>
      <c r="P112" s="18" t="s">
        <v>275</v>
      </c>
      <c r="Q112" s="16">
        <v>45980.0</v>
      </c>
      <c r="R112" s="16">
        <v>45880.0</v>
      </c>
      <c r="S112" s="13" t="s">
        <v>45</v>
      </c>
      <c r="T112" s="13" t="s">
        <v>66</v>
      </c>
      <c r="U112" s="13">
        <f t="shared" si="1"/>
        <v>3</v>
      </c>
      <c r="V112" s="13" t="str">
        <f t="shared" si="2"/>
        <v>C00595|Neha Nair|20|East|Bhubaneswar|Standard|Facebook|7/30/2025|12|Quarterly|Debit Card|1,228|2|1|26.20|4.3|11/19/2025|8/11/2025|Churned|Automation</v>
      </c>
      <c r="W112" s="13">
        <f t="shared" si="3"/>
        <v>1</v>
      </c>
      <c r="X112" s="13">
        <f>IFERROR(__xludf.DUMMYFUNCTION("COUNTUNIQUE(FILTER($B$2:$B$1826,$A$2:$A$1826=A112))"),3.0)</f>
        <v>3</v>
      </c>
    </row>
    <row r="113">
      <c r="A113" s="13" t="s">
        <v>392</v>
      </c>
      <c r="B113" s="13" t="s">
        <v>393</v>
      </c>
      <c r="C113" s="14">
        <v>55.0</v>
      </c>
      <c r="D113" s="13" t="s">
        <v>85</v>
      </c>
      <c r="E113" s="13" t="s">
        <v>111</v>
      </c>
      <c r="F113" s="13" t="s">
        <v>37</v>
      </c>
      <c r="G113" s="13" t="s">
        <v>63</v>
      </c>
      <c r="H113" s="16">
        <v>44696.0</v>
      </c>
      <c r="I113" s="14">
        <v>20.0</v>
      </c>
      <c r="J113" s="13" t="s">
        <v>40</v>
      </c>
      <c r="K113" s="13" t="s">
        <v>41</v>
      </c>
      <c r="L113" s="14">
        <v>1735.0</v>
      </c>
      <c r="M113" s="18" t="s">
        <v>164</v>
      </c>
      <c r="N113" s="18" t="s">
        <v>98</v>
      </c>
      <c r="O113" s="18">
        <v>21.6</v>
      </c>
      <c r="P113" s="18" t="s">
        <v>48</v>
      </c>
      <c r="Q113" s="16">
        <v>45244.0</v>
      </c>
      <c r="R113" s="16" t="s">
        <v>38</v>
      </c>
      <c r="S113" s="13" t="s">
        <v>55</v>
      </c>
      <c r="T113" s="13" t="s">
        <v>72</v>
      </c>
      <c r="U113" s="13">
        <f t="shared" si="1"/>
        <v>2</v>
      </c>
      <c r="V113" s="13" t="str">
        <f t="shared" si="2"/>
        <v>C00756|Karan Das|55|West|Pune|Standard|Google Ads|5/15/2022|20|Monthly|Upi|1,735|3|1|21.60|3.6|11/14/2023||Active|Collaboration</v>
      </c>
      <c r="W113" s="13">
        <f t="shared" si="3"/>
        <v>1</v>
      </c>
      <c r="X113" s="13">
        <f>IFERROR(__xludf.DUMMYFUNCTION("COUNTUNIQUE(FILTER($B$2:$B$1826,$A$2:$A$1826=A113))"),2.0)</f>
        <v>2</v>
      </c>
    </row>
    <row r="114">
      <c r="A114" s="13" t="s">
        <v>394</v>
      </c>
      <c r="B114" s="13" t="s">
        <v>308</v>
      </c>
      <c r="C114" s="14">
        <v>26.0</v>
      </c>
      <c r="D114" s="13" t="s">
        <v>35</v>
      </c>
      <c r="E114" s="13" t="s">
        <v>140</v>
      </c>
      <c r="F114" s="13" t="s">
        <v>37</v>
      </c>
      <c r="G114" s="13" t="s">
        <v>80</v>
      </c>
      <c r="H114" s="16">
        <v>45267.0</v>
      </c>
      <c r="I114" s="14">
        <v>9.0</v>
      </c>
      <c r="J114" s="13" t="s">
        <v>64</v>
      </c>
      <c r="K114" s="13" t="s">
        <v>41</v>
      </c>
      <c r="L114" s="14">
        <v>1563.0</v>
      </c>
      <c r="M114" s="18" t="s">
        <v>98</v>
      </c>
      <c r="N114" s="18" t="s">
        <v>98</v>
      </c>
      <c r="O114" s="18">
        <v>27.1</v>
      </c>
      <c r="P114" s="18" t="s">
        <v>225</v>
      </c>
      <c r="Q114" s="16">
        <v>45370.0</v>
      </c>
      <c r="R114" s="16">
        <v>45629.0</v>
      </c>
      <c r="S114" s="13" t="s">
        <v>45</v>
      </c>
      <c r="T114" s="13" t="s">
        <v>72</v>
      </c>
      <c r="U114" s="13">
        <f t="shared" si="1"/>
        <v>1</v>
      </c>
      <c r="V114" s="13" t="str">
        <f t="shared" si="2"/>
        <v>C01316|Karan Kumar|26|North|Lucknow|Standard|Organic Search|12/7/2023|9|Annual|Upi|1,563|1|1|27.10|3.8|3/19/2024|12/3/2024|Churned|Collaboration</v>
      </c>
      <c r="W114" s="13">
        <f t="shared" si="3"/>
        <v>1</v>
      </c>
      <c r="X114" s="13">
        <f>IFERROR(__xludf.DUMMYFUNCTION("COUNTUNIQUE(FILTER($B$2:$B$1826,$A$2:$A$1826=A114))"),1.0)</f>
        <v>1</v>
      </c>
    </row>
    <row r="115">
      <c r="A115" s="13" t="s">
        <v>505</v>
      </c>
      <c r="B115" s="13" t="s">
        <v>398</v>
      </c>
      <c r="C115" s="14">
        <v>51.0</v>
      </c>
      <c r="D115" s="13" t="s">
        <v>69</v>
      </c>
      <c r="E115" s="13" t="s">
        <v>177</v>
      </c>
      <c r="F115" s="13" t="s">
        <v>79</v>
      </c>
      <c r="G115" s="13" t="s">
        <v>39</v>
      </c>
      <c r="H115" s="16">
        <v>45270.0</v>
      </c>
      <c r="I115" s="14">
        <v>34.0</v>
      </c>
      <c r="J115" s="13" t="s">
        <v>64</v>
      </c>
      <c r="K115" s="13" t="s">
        <v>41</v>
      </c>
      <c r="L115" s="14">
        <v>2401.0</v>
      </c>
      <c r="M115" s="18" t="s">
        <v>43</v>
      </c>
      <c r="N115" s="18" t="s">
        <v>46</v>
      </c>
      <c r="O115" s="18">
        <v>49.1</v>
      </c>
      <c r="P115" s="18" t="s">
        <v>38</v>
      </c>
      <c r="Q115" s="16">
        <v>45842.0</v>
      </c>
      <c r="R115" s="16" t="s">
        <v>399</v>
      </c>
      <c r="S115" s="13" t="s">
        <v>45</v>
      </c>
      <c r="T115" s="13" t="s">
        <v>66</v>
      </c>
      <c r="U115" s="13">
        <f t="shared" si="1"/>
        <v>2</v>
      </c>
      <c r="V115" s="13" t="str">
        <f t="shared" si="2"/>
        <v>C00338|Vikram Sharma|51|South|Hyderabad|Premium|Instagram|12/10/2023|34|Annual|Upi|2,401|2|0|49.10||7/4/2025|16/05/2024|Churned|Automation</v>
      </c>
      <c r="W115" s="13">
        <f t="shared" si="3"/>
        <v>1</v>
      </c>
      <c r="X115" s="13">
        <f>IFERROR(__xludf.DUMMYFUNCTION("COUNTUNIQUE(FILTER($B$2:$B$1826,$A$2:$A$1826=A115))"),2.0)</f>
        <v>2</v>
      </c>
    </row>
    <row r="116">
      <c r="A116" s="13" t="s">
        <v>171</v>
      </c>
      <c r="B116" s="13" t="s">
        <v>331</v>
      </c>
      <c r="C116" s="14">
        <v>60.0</v>
      </c>
      <c r="D116" s="13" t="s">
        <v>69</v>
      </c>
      <c r="E116" s="13" t="s">
        <v>187</v>
      </c>
      <c r="F116" s="13" t="s">
        <v>37</v>
      </c>
      <c r="G116" s="13" t="s">
        <v>52</v>
      </c>
      <c r="H116" s="16">
        <v>45801.0</v>
      </c>
      <c r="I116" s="14">
        <v>22.0</v>
      </c>
      <c r="J116" s="13" t="s">
        <v>40</v>
      </c>
      <c r="K116" s="13" t="s">
        <v>81</v>
      </c>
      <c r="L116" s="14">
        <v>1041.0</v>
      </c>
      <c r="M116" s="18" t="s">
        <v>43</v>
      </c>
      <c r="N116" s="18" t="s">
        <v>98</v>
      </c>
      <c r="O116" s="18">
        <v>30.3</v>
      </c>
      <c r="P116" s="18" t="s">
        <v>233</v>
      </c>
      <c r="Q116" s="16">
        <v>45840.0</v>
      </c>
      <c r="R116" s="16" t="s">
        <v>401</v>
      </c>
      <c r="S116" s="13" t="s">
        <v>45</v>
      </c>
      <c r="T116" s="13" t="s">
        <v>75</v>
      </c>
      <c r="U116" s="13">
        <f t="shared" si="1"/>
        <v>3</v>
      </c>
      <c r="V116" s="13" t="str">
        <f t="shared" si="2"/>
        <v>C01190|Arun Iyer|60|South|Chennai|Standard|Facebook|5/24/2025|22|Monthly|Debit Card|1,041|2|1|30.30|3.5|7/2/2025|14/09/2025|Churned|Security</v>
      </c>
      <c r="W116" s="13">
        <f t="shared" si="3"/>
        <v>1</v>
      </c>
      <c r="X116" s="13">
        <f>IFERROR(__xludf.DUMMYFUNCTION("COUNTUNIQUE(FILTER($B$2:$B$1826,$A$2:$A$1826=A116))"),3.0)</f>
        <v>3</v>
      </c>
    </row>
    <row r="117">
      <c r="A117" s="13" t="s">
        <v>402</v>
      </c>
      <c r="B117" s="13" t="s">
        <v>235</v>
      </c>
      <c r="C117" s="14">
        <v>63.0</v>
      </c>
      <c r="D117" s="13" t="s">
        <v>35</v>
      </c>
      <c r="E117" s="13" t="s">
        <v>140</v>
      </c>
      <c r="F117" s="13" t="s">
        <v>79</v>
      </c>
      <c r="G117" s="13" t="s">
        <v>80</v>
      </c>
      <c r="H117" s="16">
        <v>45155.0</v>
      </c>
      <c r="I117" s="14">
        <v>42.0</v>
      </c>
      <c r="J117" s="13" t="s">
        <v>40</v>
      </c>
      <c r="K117" s="13" t="s">
        <v>41</v>
      </c>
      <c r="L117" s="14">
        <v>3647.0</v>
      </c>
      <c r="M117" s="18" t="s">
        <v>46</v>
      </c>
      <c r="N117" s="18" t="s">
        <v>46</v>
      </c>
      <c r="O117" s="18">
        <v>45.5</v>
      </c>
      <c r="P117" s="18" t="s">
        <v>400</v>
      </c>
      <c r="Q117" s="16">
        <v>45996.0</v>
      </c>
      <c r="R117" s="16" t="s">
        <v>403</v>
      </c>
      <c r="S117" s="13" t="s">
        <v>45</v>
      </c>
      <c r="T117" s="13" t="s">
        <v>75</v>
      </c>
      <c r="U117" s="13">
        <f t="shared" si="1"/>
        <v>2</v>
      </c>
      <c r="V117" s="13" t="str">
        <f t="shared" si="2"/>
        <v>C01266|Sneha Sharma|63|North|Lucknow|Premium|Organic Search|8/17/2023|42|Monthly|Upi|3,647|0|0|45.50|4.8|12/5/2025|17/05/2025|Churned|Security</v>
      </c>
      <c r="W117" s="13">
        <f t="shared" si="3"/>
        <v>1</v>
      </c>
      <c r="X117" s="13">
        <f>IFERROR(__xludf.DUMMYFUNCTION("COUNTUNIQUE(FILTER($B$2:$B$1826,$A$2:$A$1826=A117))"),2.0)</f>
        <v>2</v>
      </c>
    </row>
    <row r="118">
      <c r="A118" s="13" t="s">
        <v>404</v>
      </c>
      <c r="B118" s="13" t="s">
        <v>405</v>
      </c>
      <c r="C118" s="14">
        <v>51.0</v>
      </c>
      <c r="D118" s="13" t="s">
        <v>85</v>
      </c>
      <c r="E118" s="13" t="s">
        <v>87</v>
      </c>
      <c r="F118" s="13" t="s">
        <v>62</v>
      </c>
      <c r="G118" s="13" t="s">
        <v>80</v>
      </c>
      <c r="H118" s="16">
        <v>44856.0</v>
      </c>
      <c r="I118" s="14">
        <v>21.0</v>
      </c>
      <c r="J118" s="13" t="s">
        <v>64</v>
      </c>
      <c r="K118" s="13" t="s">
        <v>41</v>
      </c>
      <c r="L118" s="14">
        <v>662.0</v>
      </c>
      <c r="M118" s="18" t="s">
        <v>46</v>
      </c>
      <c r="N118" s="18" t="s">
        <v>46</v>
      </c>
      <c r="O118" s="18">
        <v>23.8</v>
      </c>
      <c r="P118" s="18" t="s">
        <v>449</v>
      </c>
      <c r="Q118" s="16">
        <v>45219.0</v>
      </c>
      <c r="R118" s="16">
        <v>45352.0</v>
      </c>
      <c r="S118" s="13" t="s">
        <v>45</v>
      </c>
      <c r="T118" s="13" t="s">
        <v>72</v>
      </c>
      <c r="U118" s="13">
        <f t="shared" si="1"/>
        <v>1</v>
      </c>
      <c r="V118" s="13" t="str">
        <f t="shared" si="2"/>
        <v>C00852|Rahul Reddy|51|West|Surat|Basic|Organic Search|10/22/2022|21|Annual|Upi|662|0|0|23.80|2.7|10/20/2023|3/1/2024|Churned|Collaboration</v>
      </c>
      <c r="W118" s="13">
        <f t="shared" si="3"/>
        <v>1</v>
      </c>
      <c r="X118" s="13">
        <f>IFERROR(__xludf.DUMMYFUNCTION("COUNTUNIQUE(FILTER($B$2:$B$1826,$A$2:$A$1826=A118))"),1.0)</f>
        <v>1</v>
      </c>
    </row>
    <row r="119">
      <c r="A119" s="13" t="s">
        <v>407</v>
      </c>
      <c r="B119" s="13" t="s">
        <v>405</v>
      </c>
      <c r="C119" s="14">
        <v>55.0</v>
      </c>
      <c r="D119" s="13" t="s">
        <v>85</v>
      </c>
      <c r="E119" s="13" t="s">
        <v>292</v>
      </c>
      <c r="F119" s="13" t="s">
        <v>62</v>
      </c>
      <c r="G119" s="13" t="s">
        <v>39</v>
      </c>
      <c r="H119" s="16">
        <v>44850.0</v>
      </c>
      <c r="I119" s="14">
        <v>7.0</v>
      </c>
      <c r="J119" s="13" t="s">
        <v>64</v>
      </c>
      <c r="K119" s="13" t="s">
        <v>65</v>
      </c>
      <c r="L119" s="14">
        <v>695.0</v>
      </c>
      <c r="M119" s="18" t="s">
        <v>43</v>
      </c>
      <c r="N119" s="18" t="s">
        <v>46</v>
      </c>
      <c r="O119" s="18">
        <v>13.8</v>
      </c>
      <c r="P119" s="18" t="s">
        <v>123</v>
      </c>
      <c r="Q119" s="16">
        <v>44923.0</v>
      </c>
      <c r="R119" s="16" t="s">
        <v>38</v>
      </c>
      <c r="S119" s="13" t="s">
        <v>55</v>
      </c>
      <c r="T119" s="13" t="s">
        <v>47</v>
      </c>
      <c r="U119" s="13">
        <f t="shared" si="1"/>
        <v>4</v>
      </c>
      <c r="V119" s="13" t="str">
        <f t="shared" si="2"/>
        <v>C00496|Rahul Reddy|55|West|Mumbai|Basic|Instagram|10/16/2022|7|Annual|Credit Card|695|2|0|13.80|4.1|12/28/2022||Active|Cloud Storage</v>
      </c>
      <c r="W119" s="13">
        <f t="shared" si="3"/>
        <v>1</v>
      </c>
      <c r="X119" s="13">
        <f>IFERROR(__xludf.DUMMYFUNCTION("COUNTUNIQUE(FILTER($B$2:$B$1826,$A$2:$A$1826=A119))"),4.0)</f>
        <v>4</v>
      </c>
    </row>
    <row r="120">
      <c r="A120" s="13" t="s">
        <v>409</v>
      </c>
      <c r="B120" s="13" t="s">
        <v>362</v>
      </c>
      <c r="C120" s="14">
        <v>56.0</v>
      </c>
      <c r="D120" s="13" t="s">
        <v>69</v>
      </c>
      <c r="E120" s="13" t="s">
        <v>119</v>
      </c>
      <c r="F120" s="13" t="s">
        <v>79</v>
      </c>
      <c r="G120" s="13" t="s">
        <v>120</v>
      </c>
      <c r="H120" s="16">
        <v>45583.0</v>
      </c>
      <c r="I120" s="14">
        <v>20.0</v>
      </c>
      <c r="J120" s="13" t="s">
        <v>53</v>
      </c>
      <c r="K120" s="13" t="s">
        <v>41</v>
      </c>
      <c r="L120" s="14">
        <v>3034.0</v>
      </c>
      <c r="M120" s="18" t="s">
        <v>164</v>
      </c>
      <c r="N120" s="18" t="s">
        <v>46</v>
      </c>
      <c r="O120" s="18">
        <v>43.7</v>
      </c>
      <c r="P120" s="18" t="s">
        <v>123</v>
      </c>
      <c r="Q120" s="16">
        <v>46061.0</v>
      </c>
      <c r="R120" s="16" t="s">
        <v>38</v>
      </c>
      <c r="S120" s="13" t="s">
        <v>55</v>
      </c>
      <c r="T120" s="13" t="s">
        <v>104</v>
      </c>
      <c r="U120" s="13">
        <f t="shared" si="1"/>
        <v>2</v>
      </c>
      <c r="V120" s="13" t="str">
        <f t="shared" si="2"/>
        <v>C01563|Neha Singh|56|South|Kochi|Premium|Email|10/18/2024|20|Quarterly|Upi|3,034|3|0|43.70|4.1|2/8/2026||Active|Analytics</v>
      </c>
      <c r="W120" s="13">
        <f t="shared" si="3"/>
        <v>1</v>
      </c>
      <c r="X120" s="13">
        <f>IFERROR(__xludf.DUMMYFUNCTION("COUNTUNIQUE(FILTER($B$2:$B$1826,$A$2:$A$1826=A120))"),2.0)</f>
        <v>2</v>
      </c>
    </row>
    <row r="121">
      <c r="A121" s="13" t="s">
        <v>410</v>
      </c>
      <c r="B121" s="13" t="s">
        <v>411</v>
      </c>
      <c r="C121" s="14">
        <v>21.0</v>
      </c>
      <c r="D121" s="13" t="s">
        <v>85</v>
      </c>
      <c r="E121" s="13" t="s">
        <v>87</v>
      </c>
      <c r="F121" s="13" t="s">
        <v>62</v>
      </c>
      <c r="G121" s="13" t="s">
        <v>63</v>
      </c>
      <c r="H121" s="16">
        <v>44782.0</v>
      </c>
      <c r="I121" s="14">
        <v>28.0</v>
      </c>
      <c r="J121" s="13" t="s">
        <v>53</v>
      </c>
      <c r="K121" s="13" t="s">
        <v>41</v>
      </c>
      <c r="L121" s="14">
        <v>634.0</v>
      </c>
      <c r="M121" s="18" t="s">
        <v>164</v>
      </c>
      <c r="N121" s="18" t="s">
        <v>98</v>
      </c>
      <c r="O121" s="18">
        <v>4.6</v>
      </c>
      <c r="P121" s="18" t="s">
        <v>173</v>
      </c>
      <c r="Q121" s="16">
        <v>45574.0</v>
      </c>
      <c r="R121" s="16" t="s">
        <v>38</v>
      </c>
      <c r="S121" s="13" t="s">
        <v>55</v>
      </c>
      <c r="T121" s="13" t="s">
        <v>66</v>
      </c>
      <c r="U121" s="13">
        <f t="shared" si="1"/>
        <v>2</v>
      </c>
      <c r="V121" s="13" t="str">
        <f t="shared" si="2"/>
        <v>C00577|Karan Reddy|21|West|Surat|Basic|Google Ads|8/9/2022|28|Quarterly|Upi|634|3|1|4.60|5|10/9/2024||Active|Automation</v>
      </c>
      <c r="W121" s="13">
        <f t="shared" si="3"/>
        <v>1</v>
      </c>
      <c r="X121" s="13">
        <f>IFERROR(__xludf.DUMMYFUNCTION("COUNTUNIQUE(FILTER($B$2:$B$1826,$A$2:$A$1826=A121))"),2.0)</f>
        <v>2</v>
      </c>
    </row>
    <row r="122">
      <c r="A122" s="13" t="s">
        <v>412</v>
      </c>
      <c r="B122" s="13" t="s">
        <v>340</v>
      </c>
      <c r="C122" s="14">
        <v>27.0</v>
      </c>
      <c r="D122" s="13" t="s">
        <v>69</v>
      </c>
      <c r="E122" s="13" t="s">
        <v>177</v>
      </c>
      <c r="F122" s="13" t="s">
        <v>79</v>
      </c>
      <c r="G122" s="13" t="s">
        <v>63</v>
      </c>
      <c r="H122" s="16">
        <v>45353.0</v>
      </c>
      <c r="I122" s="14">
        <v>33.0</v>
      </c>
      <c r="J122" s="13" t="s">
        <v>40</v>
      </c>
      <c r="K122" s="13" t="s">
        <v>65</v>
      </c>
      <c r="L122" s="14">
        <v>1285.0</v>
      </c>
      <c r="M122" s="18" t="s">
        <v>43</v>
      </c>
      <c r="N122" s="18" t="s">
        <v>46</v>
      </c>
      <c r="O122" s="18">
        <v>34.1</v>
      </c>
      <c r="P122" s="18" t="s">
        <v>108</v>
      </c>
      <c r="Q122" s="16">
        <v>46001.0</v>
      </c>
      <c r="R122" s="16" t="s">
        <v>38</v>
      </c>
      <c r="S122" s="13" t="s">
        <v>55</v>
      </c>
      <c r="T122" s="13" t="s">
        <v>72</v>
      </c>
      <c r="U122" s="13">
        <f t="shared" si="1"/>
        <v>1</v>
      </c>
      <c r="V122" s="13" t="str">
        <f t="shared" si="2"/>
        <v>C01151|Meera Sharma|27|South|Hyderabad|Premium|Google Ads|3/2/2024|33|Monthly|Credit Card|1,285|2|0|34.10|2.4|12/10/2025||Active|Collaboration</v>
      </c>
      <c r="W122" s="13">
        <f t="shared" si="3"/>
        <v>1</v>
      </c>
      <c r="X122" s="13">
        <f>IFERROR(__xludf.DUMMYFUNCTION("COUNTUNIQUE(FILTER($B$2:$B$1826,$A$2:$A$1826=A122))"),1.0)</f>
        <v>1</v>
      </c>
    </row>
    <row r="123">
      <c r="A123" s="13" t="s">
        <v>329</v>
      </c>
      <c r="B123" s="13" t="s">
        <v>110</v>
      </c>
      <c r="C123" s="14">
        <v>28.0</v>
      </c>
      <c r="D123" s="13" t="s">
        <v>60</v>
      </c>
      <c r="E123" s="13" t="s">
        <v>97</v>
      </c>
      <c r="F123" s="13" t="s">
        <v>62</v>
      </c>
      <c r="G123" s="13" t="s">
        <v>80</v>
      </c>
      <c r="H123" s="16">
        <v>45384.0</v>
      </c>
      <c r="I123" s="14">
        <v>33.0</v>
      </c>
      <c r="J123" s="13" t="s">
        <v>64</v>
      </c>
      <c r="K123" s="13" t="s">
        <v>81</v>
      </c>
      <c r="L123" s="14">
        <v>518.0</v>
      </c>
      <c r="M123" s="18" t="s">
        <v>43</v>
      </c>
      <c r="N123" s="18" t="s">
        <v>46</v>
      </c>
      <c r="O123" s="18">
        <v>25.8</v>
      </c>
      <c r="P123" s="18" t="s">
        <v>203</v>
      </c>
      <c r="Q123" s="16">
        <v>45735.0</v>
      </c>
      <c r="R123" s="16" t="s">
        <v>38</v>
      </c>
      <c r="S123" s="13" t="s">
        <v>55</v>
      </c>
      <c r="T123" s="13" t="s">
        <v>47</v>
      </c>
      <c r="U123" s="13">
        <f t="shared" si="1"/>
        <v>2</v>
      </c>
      <c r="V123" s="13" t="str">
        <f t="shared" si="2"/>
        <v>C00695|Sneha Nair|28|East|Bhubaneswar|Basic|Organic Search|4/2/2024|33|Annual|Debit Card|518|2|0|25.80|3.7|3/19/2025||Active|Cloud Storage</v>
      </c>
      <c r="W123" s="13">
        <f t="shared" si="3"/>
        <v>1</v>
      </c>
      <c r="X123" s="13">
        <f>IFERROR(__xludf.DUMMYFUNCTION("COUNTUNIQUE(FILTER($B$2:$B$1826,$A$2:$A$1826=A123))"),2.0)</f>
        <v>2</v>
      </c>
    </row>
    <row r="124">
      <c r="A124" s="13" t="s">
        <v>414</v>
      </c>
      <c r="B124" s="13" t="s">
        <v>364</v>
      </c>
      <c r="C124" s="14">
        <v>42.0</v>
      </c>
      <c r="D124" s="13" t="s">
        <v>60</v>
      </c>
      <c r="E124" s="13" t="s">
        <v>97</v>
      </c>
      <c r="F124" s="13" t="s">
        <v>62</v>
      </c>
      <c r="G124" s="13" t="s">
        <v>80</v>
      </c>
      <c r="H124" s="16">
        <v>45174.0</v>
      </c>
      <c r="I124" s="14">
        <v>38.0</v>
      </c>
      <c r="J124" s="13" t="s">
        <v>53</v>
      </c>
      <c r="K124" s="13" t="s">
        <v>81</v>
      </c>
      <c r="L124" s="14">
        <v>759.0</v>
      </c>
      <c r="M124" s="18" t="s">
        <v>98</v>
      </c>
      <c r="N124" s="18" t="s">
        <v>164</v>
      </c>
      <c r="O124" s="18">
        <v>35.2</v>
      </c>
      <c r="P124" s="18" t="s">
        <v>275</v>
      </c>
      <c r="Q124" s="16">
        <v>45797.0</v>
      </c>
      <c r="R124" s="16" t="s">
        <v>38</v>
      </c>
      <c r="S124" s="13" t="s">
        <v>55</v>
      </c>
      <c r="T124" s="13" t="s">
        <v>104</v>
      </c>
      <c r="U124" s="13">
        <f t="shared" si="1"/>
        <v>1</v>
      </c>
      <c r="V124" s="13" t="str">
        <f t="shared" si="2"/>
        <v>C00672|Sneha Kumar|42|East|Bhubaneswar|Basic|Organic Search|9/5/2023|38|Quarterly|Debit Card|759|1|3|35.20|4.3|5/20/2025||Active|Analytics</v>
      </c>
      <c r="W124" s="13">
        <f t="shared" si="3"/>
        <v>1</v>
      </c>
      <c r="X124" s="13">
        <f>IFERROR(__xludf.DUMMYFUNCTION("COUNTUNIQUE(FILTER($B$2:$B$1826,$A$2:$A$1826=A124))"),1.0)</f>
        <v>1</v>
      </c>
    </row>
    <row r="125">
      <c r="A125" s="13" t="s">
        <v>415</v>
      </c>
      <c r="B125" s="13" t="s">
        <v>50</v>
      </c>
      <c r="C125" s="14">
        <v>28.0</v>
      </c>
      <c r="D125" s="13" t="s">
        <v>60</v>
      </c>
      <c r="E125" s="13" t="s">
        <v>61</v>
      </c>
      <c r="F125" s="13" t="s">
        <v>37</v>
      </c>
      <c r="G125" s="13" t="s">
        <v>210</v>
      </c>
      <c r="H125" s="16">
        <v>45904.0</v>
      </c>
      <c r="I125" s="14">
        <v>38.0</v>
      </c>
      <c r="J125" s="13" t="s">
        <v>64</v>
      </c>
      <c r="K125" s="13" t="s">
        <v>41</v>
      </c>
      <c r="L125" s="14">
        <v>1051.0</v>
      </c>
      <c r="M125" s="18" t="s">
        <v>164</v>
      </c>
      <c r="N125" s="18" t="s">
        <v>46</v>
      </c>
      <c r="O125" s="18">
        <v>15.0</v>
      </c>
      <c r="P125" s="18" t="s">
        <v>408</v>
      </c>
      <c r="Q125" s="16">
        <v>46897.0</v>
      </c>
      <c r="R125" s="16" t="s">
        <v>38</v>
      </c>
      <c r="S125" s="13" t="s">
        <v>55</v>
      </c>
      <c r="T125" s="13" t="s">
        <v>104</v>
      </c>
      <c r="U125" s="13">
        <f t="shared" si="1"/>
        <v>2</v>
      </c>
      <c r="V125" s="13" t="str">
        <f t="shared" si="2"/>
        <v>C00854|Rahul Das|28|East|Kolkata|Standard|Referral|9/4/2025|38|Annual|Upi|1,051|3|0|15.00|4.2|5/24/2028||Active|Analytics</v>
      </c>
      <c r="W125" s="13">
        <f t="shared" si="3"/>
        <v>1</v>
      </c>
      <c r="X125" s="13">
        <f>IFERROR(__xludf.DUMMYFUNCTION("COUNTUNIQUE(FILTER($B$2:$B$1826,$A$2:$A$1826=A125))"),2.0)</f>
        <v>2</v>
      </c>
    </row>
    <row r="126">
      <c r="A126" s="13" t="s">
        <v>546</v>
      </c>
      <c r="B126" s="13" t="s">
        <v>126</v>
      </c>
      <c r="C126" s="14">
        <v>52.0</v>
      </c>
      <c r="D126" s="13" t="s">
        <v>35</v>
      </c>
      <c r="E126" s="13" t="s">
        <v>51</v>
      </c>
      <c r="F126" s="13" t="s">
        <v>62</v>
      </c>
      <c r="G126" s="13" t="s">
        <v>210</v>
      </c>
      <c r="H126" s="16">
        <v>45419.0</v>
      </c>
      <c r="I126" s="14">
        <v>10.0</v>
      </c>
      <c r="J126" s="13" t="s">
        <v>40</v>
      </c>
      <c r="K126" s="13" t="s">
        <v>81</v>
      </c>
      <c r="L126" s="14">
        <v>603.0</v>
      </c>
      <c r="M126" s="18" t="s">
        <v>43</v>
      </c>
      <c r="N126" s="18" t="s">
        <v>43</v>
      </c>
      <c r="O126" s="18">
        <v>20.0</v>
      </c>
      <c r="P126" s="18" t="s">
        <v>296</v>
      </c>
      <c r="Q126" s="16">
        <v>45670.0</v>
      </c>
      <c r="R126" s="16" t="s">
        <v>38</v>
      </c>
      <c r="S126" s="13" t="s">
        <v>55</v>
      </c>
      <c r="T126" s="13" t="s">
        <v>72</v>
      </c>
      <c r="U126" s="13">
        <f t="shared" si="1"/>
        <v>5</v>
      </c>
      <c r="V126" s="13" t="str">
        <f t="shared" si="2"/>
        <v>C01173|Arun Patel|52|North|Jaipur|Basic|Referral|5/7/2024|10|Monthly|Debit Card|603|2|2|20.00|4.6|1/13/2025||Active|Collaboration</v>
      </c>
      <c r="W126" s="13">
        <f t="shared" si="3"/>
        <v>1</v>
      </c>
      <c r="X126" s="13">
        <f>IFERROR(__xludf.DUMMYFUNCTION("COUNTUNIQUE(FILTER($B$2:$B$1826,$A$2:$A$1826=A126))"),5.0)</f>
        <v>5</v>
      </c>
    </row>
    <row r="127">
      <c r="A127" s="13" t="s">
        <v>417</v>
      </c>
      <c r="B127" s="13" t="s">
        <v>351</v>
      </c>
      <c r="C127" s="14">
        <v>31.0</v>
      </c>
      <c r="D127" s="13" t="s">
        <v>85</v>
      </c>
      <c r="E127" s="13" t="s">
        <v>87</v>
      </c>
      <c r="F127" s="13" t="s">
        <v>62</v>
      </c>
      <c r="G127" s="13" t="s">
        <v>39</v>
      </c>
      <c r="H127" s="16">
        <v>45503.0</v>
      </c>
      <c r="I127" s="14">
        <v>35.0</v>
      </c>
      <c r="J127" s="13" t="s">
        <v>40</v>
      </c>
      <c r="K127" s="13" t="s">
        <v>65</v>
      </c>
      <c r="L127" s="14">
        <v>680.0</v>
      </c>
      <c r="M127" s="18" t="s">
        <v>98</v>
      </c>
      <c r="N127" s="18" t="s">
        <v>46</v>
      </c>
      <c r="O127" s="18">
        <v>13.0</v>
      </c>
      <c r="P127" s="18" t="s">
        <v>203</v>
      </c>
      <c r="Q127" s="16">
        <v>46054.0</v>
      </c>
      <c r="R127" s="16" t="s">
        <v>38</v>
      </c>
      <c r="S127" s="13" t="s">
        <v>55</v>
      </c>
      <c r="T127" s="13" t="s">
        <v>66</v>
      </c>
      <c r="U127" s="13">
        <f t="shared" si="1"/>
        <v>1</v>
      </c>
      <c r="V127" s="13" t="str">
        <f t="shared" si="2"/>
        <v>C01357|Meera Nair|31|West|Surat|Basic|Instagram|7/30/2024|35|Monthly|Credit Card|680|1|0|13.00|3.7|2/1/2026||Active|Automation</v>
      </c>
      <c r="W127" s="13">
        <f t="shared" si="3"/>
        <v>1</v>
      </c>
      <c r="X127" s="13">
        <f>IFERROR(__xludf.DUMMYFUNCTION("COUNTUNIQUE(FILTER($B$2:$B$1826,$A$2:$A$1826=A127))"),1.0)</f>
        <v>1</v>
      </c>
    </row>
    <row r="128">
      <c r="A128" s="13" t="s">
        <v>419</v>
      </c>
      <c r="B128" s="13" t="s">
        <v>420</v>
      </c>
      <c r="C128" s="14">
        <v>26.0</v>
      </c>
      <c r="D128" s="13" t="s">
        <v>69</v>
      </c>
      <c r="E128" s="13" t="s">
        <v>177</v>
      </c>
      <c r="F128" s="13" t="s">
        <v>37</v>
      </c>
      <c r="G128" s="13" t="s">
        <v>39</v>
      </c>
      <c r="H128" s="16">
        <v>44986.0</v>
      </c>
      <c r="I128" s="14">
        <v>45.0</v>
      </c>
      <c r="J128" s="13" t="s">
        <v>64</v>
      </c>
      <c r="K128" s="13" t="s">
        <v>81</v>
      </c>
      <c r="L128" s="14">
        <v>1490.0</v>
      </c>
      <c r="M128" s="18" t="s">
        <v>98</v>
      </c>
      <c r="N128" s="18" t="s">
        <v>46</v>
      </c>
      <c r="O128" s="18">
        <v>16.5</v>
      </c>
      <c r="P128" s="18" t="s">
        <v>408</v>
      </c>
      <c r="Q128" s="16">
        <v>46143.0</v>
      </c>
      <c r="R128" s="16" t="s">
        <v>38</v>
      </c>
      <c r="S128" s="13" t="s">
        <v>55</v>
      </c>
      <c r="T128" s="13" t="s">
        <v>66</v>
      </c>
      <c r="U128" s="13">
        <f t="shared" si="1"/>
        <v>2</v>
      </c>
      <c r="V128" s="13" t="str">
        <f t="shared" si="2"/>
        <v>C00612|Vikram Iyer|26|South|Hyderabad|Standard|Instagram|3/1/2023|45|Annual|Debit Card|1,490|1|0|16.50|4.2|5/1/2026||Active|Automation</v>
      </c>
      <c r="W128" s="13">
        <f t="shared" si="3"/>
        <v>1</v>
      </c>
      <c r="X128" s="13">
        <f>IFERROR(__xludf.DUMMYFUNCTION("COUNTUNIQUE(FILTER($B$2:$B$1826,$A$2:$A$1826=A128))"),2.0)</f>
        <v>2</v>
      </c>
    </row>
    <row r="129">
      <c r="A129" s="13" t="s">
        <v>422</v>
      </c>
      <c r="B129" s="13" t="s">
        <v>169</v>
      </c>
      <c r="C129" s="14">
        <v>32.0</v>
      </c>
      <c r="D129" s="13" t="s">
        <v>85</v>
      </c>
      <c r="E129" s="13" t="s">
        <v>92</v>
      </c>
      <c r="F129" s="13" t="s">
        <v>79</v>
      </c>
      <c r="G129" s="13" t="s">
        <v>128</v>
      </c>
      <c r="H129" s="16">
        <v>44861.0</v>
      </c>
      <c r="I129" s="14">
        <v>19.0</v>
      </c>
      <c r="J129" s="13" t="s">
        <v>40</v>
      </c>
      <c r="K129" s="13" t="s">
        <v>81</v>
      </c>
      <c r="L129" s="14">
        <v>2708.0</v>
      </c>
      <c r="M129" s="18" t="s">
        <v>99</v>
      </c>
      <c r="N129" s="18" t="s">
        <v>46</v>
      </c>
      <c r="O129" s="18">
        <v>30.2</v>
      </c>
      <c r="P129" s="18" t="s">
        <v>296</v>
      </c>
      <c r="Q129" s="16">
        <v>45323.0</v>
      </c>
      <c r="R129" s="16" t="s">
        <v>38</v>
      </c>
      <c r="S129" s="13" t="s">
        <v>55</v>
      </c>
      <c r="T129" s="13" t="s">
        <v>72</v>
      </c>
      <c r="U129" s="13">
        <f t="shared" si="1"/>
        <v>2</v>
      </c>
      <c r="V129" s="13" t="str">
        <f t="shared" si="2"/>
        <v>C00778|Vikram Nair|32|West|Ahmedabad|Premium|Youtube|10/27/2022|19|Monthly|Debit Card|2,708|4|0|30.20|4.6|2/1/2024||Active|Collaboration</v>
      </c>
      <c r="W129" s="13">
        <f t="shared" si="3"/>
        <v>1</v>
      </c>
      <c r="X129" s="13">
        <f>IFERROR(__xludf.DUMMYFUNCTION("COUNTUNIQUE(FILTER($B$2:$B$1826,$A$2:$A$1826=A129))"),2.0)</f>
        <v>2</v>
      </c>
    </row>
    <row r="130">
      <c r="A130" s="13" t="s">
        <v>423</v>
      </c>
      <c r="B130" s="13" t="s">
        <v>424</v>
      </c>
      <c r="C130" s="14">
        <v>25.0</v>
      </c>
      <c r="D130" s="13" t="s">
        <v>60</v>
      </c>
      <c r="E130" s="13" t="s">
        <v>97</v>
      </c>
      <c r="F130" s="13" t="s">
        <v>62</v>
      </c>
      <c r="G130" s="13" t="s">
        <v>52</v>
      </c>
      <c r="H130" s="16">
        <v>45763.0</v>
      </c>
      <c r="I130" s="14">
        <v>16.0</v>
      </c>
      <c r="J130" s="13" t="s">
        <v>53</v>
      </c>
      <c r="K130" s="13" t="s">
        <v>65</v>
      </c>
      <c r="L130" s="14">
        <v>841.0</v>
      </c>
      <c r="M130" s="18" t="s">
        <v>43</v>
      </c>
      <c r="N130" s="18" t="s">
        <v>98</v>
      </c>
      <c r="O130" s="18">
        <v>13.4</v>
      </c>
      <c r="P130" s="18" t="s">
        <v>225</v>
      </c>
      <c r="Q130" s="16">
        <v>46099.0</v>
      </c>
      <c r="R130" s="16" t="s">
        <v>38</v>
      </c>
      <c r="S130" s="13" t="s">
        <v>55</v>
      </c>
      <c r="T130" s="13" t="s">
        <v>75</v>
      </c>
      <c r="U130" s="13">
        <f t="shared" si="1"/>
        <v>3</v>
      </c>
      <c r="V130" s="13" t="str">
        <f t="shared" si="2"/>
        <v>C01152|Neha Kumar|25|East|Bhubaneswar|Basic|Facebook|4/16/2025|16|Quarterly|Credit Card|841|2|1|13.40|3.8|3/18/2026||Active|Security</v>
      </c>
      <c r="W130" s="13">
        <f t="shared" si="3"/>
        <v>2</v>
      </c>
      <c r="X130" s="13">
        <f>IFERROR(__xludf.DUMMYFUNCTION("COUNTUNIQUE(FILTER($B$2:$B$1826,$A$2:$A$1826=A130))"),2.0)</f>
        <v>2</v>
      </c>
    </row>
    <row r="131">
      <c r="A131" s="13" t="s">
        <v>425</v>
      </c>
      <c r="B131" s="13" t="s">
        <v>224</v>
      </c>
      <c r="C131" s="14">
        <v>60.0</v>
      </c>
      <c r="D131" s="13" t="s">
        <v>69</v>
      </c>
      <c r="E131" s="13" t="s">
        <v>70</v>
      </c>
      <c r="F131" s="13" t="s">
        <v>79</v>
      </c>
      <c r="G131" s="13" t="s">
        <v>39</v>
      </c>
      <c r="H131" s="16">
        <v>45395.0</v>
      </c>
      <c r="I131" s="14">
        <v>42.0</v>
      </c>
      <c r="J131" s="13" t="s">
        <v>40</v>
      </c>
      <c r="K131" s="13" t="s">
        <v>41</v>
      </c>
      <c r="L131" s="14">
        <v>3331.0</v>
      </c>
      <c r="M131" s="18" t="s">
        <v>164</v>
      </c>
      <c r="N131" s="18" t="s">
        <v>164</v>
      </c>
      <c r="O131" s="18">
        <v>39.4</v>
      </c>
      <c r="P131" s="18" t="s">
        <v>116</v>
      </c>
      <c r="Q131" s="16">
        <v>45813.0</v>
      </c>
      <c r="R131" s="16" t="s">
        <v>426</v>
      </c>
      <c r="S131" s="13" t="s">
        <v>45</v>
      </c>
      <c r="T131" s="13" t="s">
        <v>66</v>
      </c>
      <c r="U131" s="13">
        <f t="shared" si="1"/>
        <v>2</v>
      </c>
      <c r="V131" s="13" t="str">
        <f t="shared" si="2"/>
        <v>C00206|Anita Iyer|60|South|Bengaluru|Premium|Instagram|4/13/2024|42|Monthly|Upi|3,331|3|3|39.40|3.4|6/5/2025|22/12/2025|Churned|Automation</v>
      </c>
      <c r="W131" s="13">
        <f t="shared" si="3"/>
        <v>1</v>
      </c>
      <c r="X131" s="13">
        <f>IFERROR(__xludf.DUMMYFUNCTION("COUNTUNIQUE(FILTER($B$2:$B$1826,$A$2:$A$1826=A131))"),2.0)</f>
        <v>2</v>
      </c>
    </row>
    <row r="132">
      <c r="A132" s="13" t="s">
        <v>427</v>
      </c>
      <c r="B132" s="13" t="s">
        <v>132</v>
      </c>
      <c r="C132" s="14">
        <v>38.0</v>
      </c>
      <c r="D132" s="13" t="s">
        <v>35</v>
      </c>
      <c r="E132" s="13" t="s">
        <v>51</v>
      </c>
      <c r="F132" s="13" t="s">
        <v>62</v>
      </c>
      <c r="G132" s="13" t="s">
        <v>128</v>
      </c>
      <c r="H132" s="16">
        <v>44922.0</v>
      </c>
      <c r="I132" s="14">
        <v>3.0</v>
      </c>
      <c r="J132" s="13" t="s">
        <v>40</v>
      </c>
      <c r="K132" s="13" t="s">
        <v>81</v>
      </c>
      <c r="L132" s="14">
        <v>702.0</v>
      </c>
      <c r="M132" s="18" t="s">
        <v>46</v>
      </c>
      <c r="N132" s="18" t="s">
        <v>98</v>
      </c>
      <c r="O132" s="18">
        <v>3.9</v>
      </c>
      <c r="P132" s="18" t="s">
        <v>158</v>
      </c>
      <c r="Q132" s="16">
        <v>45027.0</v>
      </c>
      <c r="R132" s="16">
        <v>45019.0</v>
      </c>
      <c r="S132" s="13" t="s">
        <v>45</v>
      </c>
      <c r="T132" s="13" t="s">
        <v>104</v>
      </c>
      <c r="U132" s="13">
        <f t="shared" si="1"/>
        <v>2</v>
      </c>
      <c r="V132" s="13" t="str">
        <f t="shared" si="2"/>
        <v>C00476|Arun Kumar|38|North|Jaipur|Basic|Youtube|12/27/2022|3|Monthly|Debit Card|702|0|1|3.90|4.7|4/11/2023|4/3/2023|Churned|Analytics</v>
      </c>
      <c r="W132" s="13">
        <f t="shared" si="3"/>
        <v>1</v>
      </c>
      <c r="X132" s="13">
        <f>IFERROR(__xludf.DUMMYFUNCTION("COUNTUNIQUE(FILTER($B$2:$B$1826,$A$2:$A$1826=A132))"),2.0)</f>
        <v>2</v>
      </c>
    </row>
    <row r="133">
      <c r="A133" s="13" t="s">
        <v>431</v>
      </c>
      <c r="B133" s="13" t="s">
        <v>342</v>
      </c>
      <c r="C133" s="14">
        <v>29.0</v>
      </c>
      <c r="D133" s="13" t="s">
        <v>60</v>
      </c>
      <c r="E133" s="13" t="s">
        <v>133</v>
      </c>
      <c r="F133" s="13" t="s">
        <v>79</v>
      </c>
      <c r="G133" s="13" t="s">
        <v>80</v>
      </c>
      <c r="H133" s="16">
        <v>45635.0</v>
      </c>
      <c r="I133" s="14">
        <v>32.0</v>
      </c>
      <c r="J133" s="13" t="s">
        <v>64</v>
      </c>
      <c r="K133" s="13" t="s">
        <v>65</v>
      </c>
      <c r="L133" s="14">
        <v>2957.0</v>
      </c>
      <c r="M133" s="18" t="s">
        <v>98</v>
      </c>
      <c r="N133" s="18" t="s">
        <v>164</v>
      </c>
      <c r="O133" s="18">
        <v>37.4</v>
      </c>
      <c r="P133" s="18" t="s">
        <v>275</v>
      </c>
      <c r="Q133" s="16">
        <v>45924.0</v>
      </c>
      <c r="R133" s="16" t="s">
        <v>432</v>
      </c>
      <c r="S133" s="13" t="s">
        <v>45</v>
      </c>
      <c r="T133" s="13" t="s">
        <v>72</v>
      </c>
      <c r="U133" s="13">
        <f t="shared" si="1"/>
        <v>4</v>
      </c>
      <c r="V133" s="13" t="str">
        <f t="shared" si="2"/>
        <v>C00687|Priya Reddy|29|East|Guwahati|Premium|Organic Search|12/9/2024|32|Annual|Credit Card|2,957|1|3|37.40|4.3|9/24/2025|24/07/2025|Churned|Collaboration</v>
      </c>
      <c r="W133" s="13">
        <f t="shared" si="3"/>
        <v>1</v>
      </c>
      <c r="X133" s="13">
        <f>IFERROR(__xludf.DUMMYFUNCTION("COUNTUNIQUE(FILTER($B$2:$B$1826,$A$2:$A$1826=A133))"),4.0)</f>
        <v>4</v>
      </c>
    </row>
    <row r="134">
      <c r="A134" s="13" t="s">
        <v>433</v>
      </c>
      <c r="B134" s="13" t="s">
        <v>411</v>
      </c>
      <c r="C134" s="14">
        <v>24.0</v>
      </c>
      <c r="D134" s="13" t="s">
        <v>69</v>
      </c>
      <c r="E134" s="13" t="s">
        <v>70</v>
      </c>
      <c r="F134" s="13" t="s">
        <v>37</v>
      </c>
      <c r="G134" s="13" t="s">
        <v>128</v>
      </c>
      <c r="H134" s="16">
        <v>45166.0</v>
      </c>
      <c r="I134" s="14">
        <v>37.0</v>
      </c>
      <c r="J134" s="13" t="s">
        <v>53</v>
      </c>
      <c r="K134" s="13" t="s">
        <v>81</v>
      </c>
      <c r="L134" s="14">
        <v>1178.0</v>
      </c>
      <c r="M134" s="18" t="s">
        <v>98</v>
      </c>
      <c r="N134" s="18" t="s">
        <v>46</v>
      </c>
      <c r="O134" s="18">
        <v>34.7</v>
      </c>
      <c r="P134" s="18" t="s">
        <v>123</v>
      </c>
      <c r="Q134" s="16">
        <v>46006.0</v>
      </c>
      <c r="R134" s="16" t="s">
        <v>38</v>
      </c>
      <c r="S134" s="13" t="s">
        <v>55</v>
      </c>
      <c r="T134" s="13" t="s">
        <v>104</v>
      </c>
      <c r="U134" s="13">
        <f t="shared" si="1"/>
        <v>3</v>
      </c>
      <c r="V134" s="13" t="str">
        <f t="shared" si="2"/>
        <v>C01472|Karan Reddy|24|South|Bengaluru|Standard|Youtube|8/28/2023|37|Quarterly|Debit Card|1,178|1|0|34.70|4.1|12/15/2025||Active|Analytics</v>
      </c>
      <c r="W134" s="13">
        <f t="shared" si="3"/>
        <v>1</v>
      </c>
      <c r="X134" s="13">
        <f>IFERROR(__xludf.DUMMYFUNCTION("COUNTUNIQUE(FILTER($B$2:$B$1826,$A$2:$A$1826=A134))"),3.0)</f>
        <v>3</v>
      </c>
    </row>
    <row r="135">
      <c r="A135" s="13" t="s">
        <v>434</v>
      </c>
      <c r="B135" s="13" t="s">
        <v>152</v>
      </c>
      <c r="C135" s="14">
        <v>35.0</v>
      </c>
      <c r="D135" s="13" t="s">
        <v>69</v>
      </c>
      <c r="E135" s="13" t="s">
        <v>119</v>
      </c>
      <c r="F135" s="13" t="s">
        <v>62</v>
      </c>
      <c r="G135" s="13" t="s">
        <v>39</v>
      </c>
      <c r="H135" s="16">
        <v>44575.0</v>
      </c>
      <c r="I135" s="14">
        <v>17.0</v>
      </c>
      <c r="J135" s="13" t="s">
        <v>64</v>
      </c>
      <c r="K135" s="13" t="s">
        <v>65</v>
      </c>
      <c r="L135" s="14">
        <v>727.0</v>
      </c>
      <c r="M135" s="18" t="s">
        <v>46</v>
      </c>
      <c r="N135" s="18" t="s">
        <v>98</v>
      </c>
      <c r="O135" s="18">
        <v>24.5</v>
      </c>
      <c r="P135" s="18" t="s">
        <v>225</v>
      </c>
      <c r="Q135" s="16">
        <v>44922.0</v>
      </c>
      <c r="R135" s="16" t="s">
        <v>38</v>
      </c>
      <c r="S135" s="13" t="s">
        <v>55</v>
      </c>
      <c r="T135" s="13" t="s">
        <v>47</v>
      </c>
      <c r="U135" s="13">
        <f t="shared" si="1"/>
        <v>4</v>
      </c>
      <c r="V135" s="13" t="str">
        <f t="shared" si="2"/>
        <v>C00379|Vikram Kumar|35|South|Kochi|Basic|Instagram|1/14/2022|17|Annual|Credit Card|727|0|1|24.50|3.8|12/27/2022||Active|Cloud Storage</v>
      </c>
      <c r="W135" s="13">
        <f t="shared" si="3"/>
        <v>1</v>
      </c>
      <c r="X135" s="13">
        <f>IFERROR(__xludf.DUMMYFUNCTION("COUNTUNIQUE(FILTER($B$2:$B$1826,$A$2:$A$1826=A135))"),4.0)</f>
        <v>4</v>
      </c>
    </row>
    <row r="136">
      <c r="A136" s="13" t="s">
        <v>435</v>
      </c>
      <c r="B136" s="13" t="s">
        <v>184</v>
      </c>
      <c r="C136" s="14">
        <v>58.0</v>
      </c>
      <c r="D136" s="13" t="s">
        <v>35</v>
      </c>
      <c r="E136" s="13" t="s">
        <v>140</v>
      </c>
      <c r="F136" s="13" t="s">
        <v>62</v>
      </c>
      <c r="G136" s="13" t="s">
        <v>120</v>
      </c>
      <c r="H136" s="16">
        <v>45967.0</v>
      </c>
      <c r="I136" s="14">
        <v>33.0</v>
      </c>
      <c r="J136" s="13" t="s">
        <v>40</v>
      </c>
      <c r="K136" s="13" t="s">
        <v>41</v>
      </c>
      <c r="L136" s="14">
        <v>859.0</v>
      </c>
      <c r="M136" s="18" t="s">
        <v>99</v>
      </c>
      <c r="N136" s="18" t="s">
        <v>98</v>
      </c>
      <c r="O136" s="18">
        <v>17.7</v>
      </c>
      <c r="P136" s="18" t="s">
        <v>275</v>
      </c>
      <c r="Q136" s="16">
        <v>46683.0</v>
      </c>
      <c r="R136" s="16">
        <v>46146.0</v>
      </c>
      <c r="S136" s="13" t="s">
        <v>45</v>
      </c>
      <c r="T136" s="13" t="s">
        <v>47</v>
      </c>
      <c r="U136" s="13">
        <f t="shared" si="1"/>
        <v>1</v>
      </c>
      <c r="V136" s="13" t="str">
        <f t="shared" si="2"/>
        <v>C00128|Vikram Reddy|58|North|Lucknow|Basic|Email|11/6/2025|33|Monthly|Upi|859|4|1|17.70|4.3|10/23/2027|5/4/2026|Churned|Cloud Storage</v>
      </c>
      <c r="W136" s="13">
        <f t="shared" si="3"/>
        <v>1</v>
      </c>
      <c r="X136" s="13">
        <f>IFERROR(__xludf.DUMMYFUNCTION("COUNTUNIQUE(FILTER($B$2:$B$1826,$A$2:$A$1826=A136))"),1.0)</f>
        <v>1</v>
      </c>
    </row>
    <row r="137">
      <c r="A137" s="13" t="s">
        <v>437</v>
      </c>
      <c r="B137" s="13" t="s">
        <v>362</v>
      </c>
      <c r="C137" s="14">
        <v>62.0</v>
      </c>
      <c r="D137" s="13" t="s">
        <v>69</v>
      </c>
      <c r="E137" s="13" t="s">
        <v>119</v>
      </c>
      <c r="F137" s="13" t="s">
        <v>37</v>
      </c>
      <c r="G137" s="13" t="s">
        <v>80</v>
      </c>
      <c r="H137" s="16">
        <v>45327.0</v>
      </c>
      <c r="I137" s="14">
        <v>27.0</v>
      </c>
      <c r="J137" s="13" t="s">
        <v>64</v>
      </c>
      <c r="K137" s="13" t="s">
        <v>41</v>
      </c>
      <c r="L137" s="14">
        <v>1774.0</v>
      </c>
      <c r="M137" s="18" t="s">
        <v>98</v>
      </c>
      <c r="N137" s="18" t="s">
        <v>46</v>
      </c>
      <c r="O137" s="18">
        <v>19.7</v>
      </c>
      <c r="P137" s="18" t="s">
        <v>368</v>
      </c>
      <c r="Q137" s="16">
        <v>46017.0</v>
      </c>
      <c r="R137" s="16" t="s">
        <v>38</v>
      </c>
      <c r="S137" s="13" t="s">
        <v>55</v>
      </c>
      <c r="T137" s="13" t="s">
        <v>66</v>
      </c>
      <c r="U137" s="13">
        <f t="shared" si="1"/>
        <v>2</v>
      </c>
      <c r="V137" s="13" t="str">
        <f t="shared" si="2"/>
        <v>C00980|Neha Singh|62|South|Kochi|Standard|Organic Search|2/5/2024|27|Annual|Upi|1,774|1|0|19.70|4.9|12/26/2025||Active|Automation</v>
      </c>
      <c r="W137" s="13">
        <f t="shared" si="3"/>
        <v>1</v>
      </c>
      <c r="X137" s="13">
        <f>IFERROR(__xludf.DUMMYFUNCTION("COUNTUNIQUE(FILTER($B$2:$B$1826,$A$2:$A$1826=A137))"),2.0)</f>
        <v>2</v>
      </c>
    </row>
    <row r="138">
      <c r="A138" s="13" t="s">
        <v>438</v>
      </c>
      <c r="B138" s="13" t="s">
        <v>229</v>
      </c>
      <c r="C138" s="14">
        <v>26.0</v>
      </c>
      <c r="D138" s="13" t="s">
        <v>60</v>
      </c>
      <c r="E138" s="13" t="s">
        <v>61</v>
      </c>
      <c r="F138" s="13" t="s">
        <v>79</v>
      </c>
      <c r="G138" s="13" t="s">
        <v>63</v>
      </c>
      <c r="H138" s="16">
        <v>44688.0</v>
      </c>
      <c r="I138" s="14">
        <v>36.0</v>
      </c>
      <c r="J138" s="13" t="s">
        <v>64</v>
      </c>
      <c r="K138" s="13" t="s">
        <v>41</v>
      </c>
      <c r="L138" s="14">
        <v>3098.0</v>
      </c>
      <c r="M138" s="18" t="s">
        <v>164</v>
      </c>
      <c r="N138" s="18" t="s">
        <v>46</v>
      </c>
      <c r="O138" s="18">
        <v>49.6</v>
      </c>
      <c r="P138" s="18" t="s">
        <v>130</v>
      </c>
      <c r="Q138" s="16">
        <v>45004.0</v>
      </c>
      <c r="R138" s="16">
        <v>45143.0</v>
      </c>
      <c r="S138" s="13" t="s">
        <v>45</v>
      </c>
      <c r="T138" s="13" t="s">
        <v>66</v>
      </c>
      <c r="U138" s="13">
        <f t="shared" si="1"/>
        <v>3</v>
      </c>
      <c r="V138" s="13" t="str">
        <f t="shared" si="2"/>
        <v>C00915|Anita Nair|26|East|Kolkata|Premium|Google Ads|5/7/2022|36|Annual|Upi|3,098|3|0|49.60|3.9|3/19/2023|8/5/2023|Churned|Automation</v>
      </c>
      <c r="W138" s="13">
        <f t="shared" si="3"/>
        <v>1</v>
      </c>
      <c r="X138" s="13">
        <f>IFERROR(__xludf.DUMMYFUNCTION("COUNTUNIQUE(FILTER($B$2:$B$1826,$A$2:$A$1826=A138))"),3.0)</f>
        <v>3</v>
      </c>
    </row>
    <row r="139">
      <c r="A139" s="13" t="s">
        <v>440</v>
      </c>
      <c r="B139" s="13" t="s">
        <v>152</v>
      </c>
      <c r="C139" s="14">
        <v>44.0</v>
      </c>
      <c r="D139" s="13" t="s">
        <v>35</v>
      </c>
      <c r="E139" s="13" t="s">
        <v>140</v>
      </c>
      <c r="F139" s="13" t="s">
        <v>37</v>
      </c>
      <c r="G139" s="13" t="s">
        <v>120</v>
      </c>
      <c r="H139" s="16">
        <v>44832.0</v>
      </c>
      <c r="I139" s="14">
        <v>33.0</v>
      </c>
      <c r="J139" s="13" t="s">
        <v>53</v>
      </c>
      <c r="K139" s="13" t="s">
        <v>41</v>
      </c>
      <c r="L139" s="14">
        <v>1058.0</v>
      </c>
      <c r="M139" s="18" t="s">
        <v>99</v>
      </c>
      <c r="N139" s="18" t="s">
        <v>98</v>
      </c>
      <c r="O139" s="18">
        <v>33.7</v>
      </c>
      <c r="P139" s="18" t="s">
        <v>203</v>
      </c>
      <c r="Q139" s="16">
        <v>45315.0</v>
      </c>
      <c r="R139" s="16" t="s">
        <v>38</v>
      </c>
      <c r="S139" s="13" t="s">
        <v>45</v>
      </c>
      <c r="T139" s="13" t="s">
        <v>47</v>
      </c>
      <c r="U139" s="13">
        <f t="shared" si="1"/>
        <v>2</v>
      </c>
      <c r="V139" s="13" t="str">
        <f t="shared" si="2"/>
        <v>C01002|Vikram Kumar|44|North|Lucknow|Standard|Email|9/28/2022|33|Quarterly|Upi|1,058|4|1|33.70|3.7|1/24/2024||Churned|Cloud Storage</v>
      </c>
      <c r="W139" s="13">
        <f t="shared" si="3"/>
        <v>1</v>
      </c>
      <c r="X139" s="13">
        <f>IFERROR(__xludf.DUMMYFUNCTION("COUNTUNIQUE(FILTER($B$2:$B$1826,$A$2:$A$1826=A139))"),2.0)</f>
        <v>2</v>
      </c>
    </row>
    <row r="140">
      <c r="A140" s="13" t="s">
        <v>441</v>
      </c>
      <c r="B140" s="13" t="s">
        <v>106</v>
      </c>
      <c r="C140" s="14">
        <v>68.0</v>
      </c>
      <c r="D140" s="13" t="s">
        <v>35</v>
      </c>
      <c r="E140" s="13" t="s">
        <v>36</v>
      </c>
      <c r="F140" s="13" t="s">
        <v>62</v>
      </c>
      <c r="G140" s="13" t="s">
        <v>52</v>
      </c>
      <c r="H140" s="16">
        <v>44692.0</v>
      </c>
      <c r="I140" s="14">
        <v>35.0</v>
      </c>
      <c r="J140" s="13" t="s">
        <v>64</v>
      </c>
      <c r="K140" s="13" t="s">
        <v>81</v>
      </c>
      <c r="L140" s="14">
        <v>534.0</v>
      </c>
      <c r="M140" s="18" t="s">
        <v>43</v>
      </c>
      <c r="N140" s="18" t="s">
        <v>46</v>
      </c>
      <c r="O140" s="18">
        <v>14.4</v>
      </c>
      <c r="P140" s="18" t="s">
        <v>173</v>
      </c>
      <c r="Q140" s="16">
        <v>45289.0</v>
      </c>
      <c r="R140" s="16" t="s">
        <v>442</v>
      </c>
      <c r="S140" s="13" t="s">
        <v>45</v>
      </c>
      <c r="T140" s="13" t="s">
        <v>75</v>
      </c>
      <c r="U140" s="13">
        <f t="shared" si="1"/>
        <v>4</v>
      </c>
      <c r="V140" s="13" t="str">
        <f t="shared" si="2"/>
        <v>C01185|Rahul Patel|68|North|Delhi|Basic|Facebook|5/11/2022|35|Annual|Debit Card|534|2|0|14.40|5|12/29/2023|24/09/2024|Churned|Security</v>
      </c>
      <c r="W140" s="13">
        <f t="shared" si="3"/>
        <v>1</v>
      </c>
      <c r="X140" s="13">
        <f>IFERROR(__xludf.DUMMYFUNCTION("COUNTUNIQUE(FILTER($B$2:$B$1826,$A$2:$A$1826=A140))"),4.0)</f>
        <v>4</v>
      </c>
    </row>
    <row r="141">
      <c r="A141" s="13" t="s">
        <v>443</v>
      </c>
      <c r="B141" s="13" t="s">
        <v>91</v>
      </c>
      <c r="C141" s="14">
        <v>30.0</v>
      </c>
      <c r="D141" s="13" t="s">
        <v>85</v>
      </c>
      <c r="E141" s="13" t="s">
        <v>87</v>
      </c>
      <c r="F141" s="13" t="s">
        <v>79</v>
      </c>
      <c r="G141" s="13" t="s">
        <v>120</v>
      </c>
      <c r="H141" s="16">
        <v>45331.0</v>
      </c>
      <c r="I141" s="14">
        <v>6.0</v>
      </c>
      <c r="J141" s="13" t="s">
        <v>64</v>
      </c>
      <c r="K141" s="13" t="s">
        <v>65</v>
      </c>
      <c r="L141" s="14">
        <v>2271.0</v>
      </c>
      <c r="M141" s="18" t="s">
        <v>98</v>
      </c>
      <c r="N141" s="18" t="s">
        <v>46</v>
      </c>
      <c r="O141" s="18">
        <v>27.2</v>
      </c>
      <c r="P141" s="18" t="s">
        <v>263</v>
      </c>
      <c r="Q141" s="16">
        <v>45508.0</v>
      </c>
      <c r="R141" s="16" t="s">
        <v>38</v>
      </c>
      <c r="S141" s="13" t="s">
        <v>55</v>
      </c>
      <c r="T141" s="13" t="s">
        <v>66</v>
      </c>
      <c r="U141" s="13">
        <f t="shared" si="1"/>
        <v>1</v>
      </c>
      <c r="V141" s="13" t="str">
        <f t="shared" si="2"/>
        <v>C00767|Anita Sharma|30|West|Surat|Premium|Email|2/9/2024|6|Annual|Credit Card|2,271|1|0|27.20|2.9|8/4/2024||Active|Automation</v>
      </c>
      <c r="W141" s="13">
        <f t="shared" si="3"/>
        <v>1</v>
      </c>
      <c r="X141" s="13">
        <f>IFERROR(__xludf.DUMMYFUNCTION("COUNTUNIQUE(FILTER($B$2:$B$1826,$A$2:$A$1826=A141))"),1.0)</f>
        <v>1</v>
      </c>
    </row>
    <row r="142">
      <c r="A142" s="13" t="s">
        <v>444</v>
      </c>
      <c r="B142" s="13" t="s">
        <v>316</v>
      </c>
      <c r="C142" s="14">
        <v>41.0</v>
      </c>
      <c r="D142" s="13" t="s">
        <v>35</v>
      </c>
      <c r="E142" s="13" t="s">
        <v>70</v>
      </c>
      <c r="F142" s="13" t="s">
        <v>37</v>
      </c>
      <c r="G142" s="13" t="s">
        <v>210</v>
      </c>
      <c r="H142" s="16">
        <v>45510.0</v>
      </c>
      <c r="I142" s="14">
        <v>44.0</v>
      </c>
      <c r="J142" s="13" t="s">
        <v>40</v>
      </c>
      <c r="K142" s="13" t="s">
        <v>65</v>
      </c>
      <c r="L142" s="14">
        <v>1543.0</v>
      </c>
      <c r="M142" s="18" t="s">
        <v>164</v>
      </c>
      <c r="N142" s="18" t="s">
        <v>46</v>
      </c>
      <c r="O142" s="18">
        <v>12.5</v>
      </c>
      <c r="P142" s="18" t="s">
        <v>248</v>
      </c>
      <c r="Q142" s="16">
        <v>45990.0</v>
      </c>
      <c r="R142" s="16" t="s">
        <v>38</v>
      </c>
      <c r="S142" s="13" t="s">
        <v>55</v>
      </c>
      <c r="T142" s="13" t="s">
        <v>47</v>
      </c>
      <c r="U142" s="13">
        <f t="shared" si="1"/>
        <v>2</v>
      </c>
      <c r="V142" s="13" t="str">
        <f t="shared" si="2"/>
        <v>C00261|Neha Nair|41|North|Bengaluru|Standard|Referral|8/6/2024|44|Monthly|Credit Card|1,543|3|0|12.50|2.6|11/29/2025||Active|Cloud Storage</v>
      </c>
      <c r="W142" s="13">
        <f t="shared" si="3"/>
        <v>1</v>
      </c>
      <c r="X142" s="13">
        <f>IFERROR(__xludf.DUMMYFUNCTION("COUNTUNIQUE(FILTER($B$2:$B$1826,$A$2:$A$1826=A142))"),2.0)</f>
        <v>2</v>
      </c>
    </row>
    <row r="143">
      <c r="A143" s="13" t="s">
        <v>446</v>
      </c>
      <c r="B143" s="13" t="s">
        <v>364</v>
      </c>
      <c r="C143" s="14">
        <v>34.0</v>
      </c>
      <c r="D143" s="13" t="s">
        <v>35</v>
      </c>
      <c r="E143" s="13" t="s">
        <v>36</v>
      </c>
      <c r="F143" s="13" t="s">
        <v>37</v>
      </c>
      <c r="G143" s="13" t="s">
        <v>120</v>
      </c>
      <c r="H143" s="16">
        <v>45821.0</v>
      </c>
      <c r="I143" s="14">
        <v>2.0</v>
      </c>
      <c r="J143" s="13" t="s">
        <v>64</v>
      </c>
      <c r="K143" s="13" t="s">
        <v>41</v>
      </c>
      <c r="L143" s="14">
        <v>1102.0</v>
      </c>
      <c r="M143" s="18" t="s">
        <v>164</v>
      </c>
      <c r="N143" s="18" t="s">
        <v>98</v>
      </c>
      <c r="O143" s="18">
        <v>35.9</v>
      </c>
      <c r="P143" s="18" t="s">
        <v>233</v>
      </c>
      <c r="Q143" s="16">
        <v>45835.0</v>
      </c>
      <c r="R143" s="16" t="s">
        <v>38</v>
      </c>
      <c r="S143" s="13" t="s">
        <v>55</v>
      </c>
      <c r="T143" s="13" t="s">
        <v>75</v>
      </c>
      <c r="U143" s="13">
        <f t="shared" si="1"/>
        <v>1</v>
      </c>
      <c r="V143" s="13" t="str">
        <f t="shared" si="2"/>
        <v>C01485|Sneha Kumar|34|North|Delhi|Standard|Email|6/13/2025|2|Annual|Upi|1,102|3|1|35.90|3.5|6/27/2025||Active|Security</v>
      </c>
      <c r="W143" s="13">
        <f t="shared" si="3"/>
        <v>1</v>
      </c>
      <c r="X143" s="13">
        <f>IFERROR(__xludf.DUMMYFUNCTION("COUNTUNIQUE(FILTER($B$2:$B$1826,$A$2:$A$1826=A143))"),1.0)</f>
        <v>1</v>
      </c>
    </row>
    <row r="144">
      <c r="A144" s="13" t="s">
        <v>447</v>
      </c>
      <c r="B144" s="13" t="s">
        <v>448</v>
      </c>
      <c r="C144" s="14">
        <v>34.0</v>
      </c>
      <c r="D144" s="13" t="s">
        <v>69</v>
      </c>
      <c r="E144" s="13" t="s">
        <v>187</v>
      </c>
      <c r="F144" s="13" t="s">
        <v>37</v>
      </c>
      <c r="G144" s="13" t="s">
        <v>128</v>
      </c>
      <c r="H144" s="16">
        <v>44677.0</v>
      </c>
      <c r="I144" s="14">
        <v>9.0</v>
      </c>
      <c r="J144" s="13" t="s">
        <v>53</v>
      </c>
      <c r="K144" s="13" t="s">
        <v>41</v>
      </c>
      <c r="L144" s="14">
        <v>1238.0</v>
      </c>
      <c r="M144" s="18" t="s">
        <v>43</v>
      </c>
      <c r="N144" s="18" t="s">
        <v>46</v>
      </c>
      <c r="O144" s="18">
        <v>29.3</v>
      </c>
      <c r="P144" s="18" t="s">
        <v>123</v>
      </c>
      <c r="Q144" s="16">
        <v>44850.0</v>
      </c>
      <c r="R144" s="16" t="s">
        <v>38</v>
      </c>
      <c r="S144" s="13" t="s">
        <v>55</v>
      </c>
      <c r="T144" s="13" t="s">
        <v>66</v>
      </c>
      <c r="U144" s="13">
        <f t="shared" si="1"/>
        <v>1</v>
      </c>
      <c r="V144" s="13" t="str">
        <f t="shared" si="2"/>
        <v>C00899|Meera Reddy|34|South|Chennai|Standard|Youtube|4/26/2022|9|Quarterly|Upi|1,238|2|0|29.30|4.1|10/16/2022||Active|Automation</v>
      </c>
      <c r="W144" s="13">
        <f t="shared" si="3"/>
        <v>1</v>
      </c>
      <c r="X144" s="13">
        <f>IFERROR(__xludf.DUMMYFUNCTION("COUNTUNIQUE(FILTER($B$2:$B$1826,$A$2:$A$1826=A144))"),1.0)</f>
        <v>1</v>
      </c>
    </row>
    <row r="145">
      <c r="A145" s="13" t="s">
        <v>450</v>
      </c>
      <c r="B145" s="13" t="s">
        <v>295</v>
      </c>
      <c r="C145" s="14">
        <v>60.0</v>
      </c>
      <c r="D145" s="13" t="s">
        <v>85</v>
      </c>
      <c r="E145" s="13" t="s">
        <v>92</v>
      </c>
      <c r="F145" s="13" t="s">
        <v>62</v>
      </c>
      <c r="G145" s="13" t="s">
        <v>80</v>
      </c>
      <c r="H145" s="16">
        <v>45773.0</v>
      </c>
      <c r="I145" s="14">
        <v>48.0</v>
      </c>
      <c r="J145" s="13" t="s">
        <v>64</v>
      </c>
      <c r="K145" s="13" t="s">
        <v>65</v>
      </c>
      <c r="L145" s="14">
        <v>819.0</v>
      </c>
      <c r="M145" s="18" t="s">
        <v>43</v>
      </c>
      <c r="N145" s="18" t="s">
        <v>99</v>
      </c>
      <c r="O145" s="18">
        <v>13.0</v>
      </c>
      <c r="P145" s="18" t="s">
        <v>185</v>
      </c>
      <c r="Q145" s="16">
        <v>46921.0</v>
      </c>
      <c r="R145" s="16">
        <v>46907.0</v>
      </c>
      <c r="S145" s="13" t="s">
        <v>45</v>
      </c>
      <c r="T145" s="13" t="s">
        <v>66</v>
      </c>
      <c r="U145" s="13">
        <f t="shared" si="1"/>
        <v>2</v>
      </c>
      <c r="V145" s="13" t="str">
        <f t="shared" si="2"/>
        <v>C00453|Arun Reddy|60|West|Ahmedabad|Basic|Organic Search|4/26/2025|48|Annual|Credit Card|819|2|4|13.00|3.2|6/17/2028|6/3/2028|Churned|Automation</v>
      </c>
      <c r="W145" s="13">
        <f t="shared" si="3"/>
        <v>1</v>
      </c>
      <c r="X145" s="13">
        <f>IFERROR(__xludf.DUMMYFUNCTION("COUNTUNIQUE(FILTER($B$2:$B$1826,$A$2:$A$1826=A145))"),2.0)</f>
        <v>2</v>
      </c>
    </row>
    <row r="146">
      <c r="A146" s="13" t="s">
        <v>371</v>
      </c>
      <c r="B146" s="13" t="s">
        <v>364</v>
      </c>
      <c r="C146" s="14">
        <v>54.0</v>
      </c>
      <c r="D146" s="13" t="s">
        <v>85</v>
      </c>
      <c r="E146" s="13" t="s">
        <v>87</v>
      </c>
      <c r="F146" s="13" t="s">
        <v>62</v>
      </c>
      <c r="G146" s="13" t="s">
        <v>120</v>
      </c>
      <c r="H146" s="16">
        <v>44938.0</v>
      </c>
      <c r="I146" s="14">
        <v>35.0</v>
      </c>
      <c r="J146" s="13" t="s">
        <v>53</v>
      </c>
      <c r="K146" s="13" t="s">
        <v>65</v>
      </c>
      <c r="L146" s="14">
        <v>614.0</v>
      </c>
      <c r="M146" s="18" t="s">
        <v>98</v>
      </c>
      <c r="N146" s="18" t="s">
        <v>98</v>
      </c>
      <c r="O146" s="18">
        <v>29.4</v>
      </c>
      <c r="P146" s="18" t="s">
        <v>185</v>
      </c>
      <c r="Q146" s="16">
        <v>45243.0</v>
      </c>
      <c r="R146" s="16" t="s">
        <v>38</v>
      </c>
      <c r="S146" s="13" t="s">
        <v>55</v>
      </c>
      <c r="T146" s="13" t="s">
        <v>66</v>
      </c>
      <c r="U146" s="13">
        <f t="shared" si="1"/>
        <v>2</v>
      </c>
      <c r="V146" s="13" t="str">
        <f t="shared" si="2"/>
        <v>C00653|Sneha Kumar|54|West|Surat|Basic|Email|1/12/2023|35|Quarterly|Credit Card|614|1|1|29.40|3.2|11/13/2023||Active|Automation</v>
      </c>
      <c r="W146" s="13">
        <f t="shared" si="3"/>
        <v>1</v>
      </c>
      <c r="X146" s="13">
        <f>IFERROR(__xludf.DUMMYFUNCTION("COUNTUNIQUE(FILTER($B$2:$B$1826,$A$2:$A$1826=A146))"),1.0)</f>
        <v>1</v>
      </c>
    </row>
    <row r="147">
      <c r="A147" s="13" t="s">
        <v>452</v>
      </c>
      <c r="B147" s="13" t="s">
        <v>424</v>
      </c>
      <c r="C147" s="14">
        <v>36.0</v>
      </c>
      <c r="D147" s="13" t="s">
        <v>69</v>
      </c>
      <c r="E147" s="13" t="s">
        <v>119</v>
      </c>
      <c r="F147" s="13" t="s">
        <v>62</v>
      </c>
      <c r="G147" s="13" t="s">
        <v>39</v>
      </c>
      <c r="H147" s="16">
        <v>45238.0</v>
      </c>
      <c r="I147" s="14">
        <v>42.0</v>
      </c>
      <c r="J147" s="13" t="s">
        <v>53</v>
      </c>
      <c r="K147" s="13" t="s">
        <v>81</v>
      </c>
      <c r="L147" s="14">
        <v>729.0</v>
      </c>
      <c r="M147" s="18" t="s">
        <v>43</v>
      </c>
      <c r="N147" s="18" t="s">
        <v>98</v>
      </c>
      <c r="O147" s="18">
        <v>19.6</v>
      </c>
      <c r="P147" s="18" t="s">
        <v>285</v>
      </c>
      <c r="Q147" s="16">
        <v>46344.0</v>
      </c>
      <c r="R147" s="16" t="s">
        <v>38</v>
      </c>
      <c r="S147" s="13" t="s">
        <v>55</v>
      </c>
      <c r="T147" s="13" t="s">
        <v>66</v>
      </c>
      <c r="U147" s="13">
        <f t="shared" si="1"/>
        <v>1</v>
      </c>
      <c r="V147" s="13" t="str">
        <f t="shared" si="2"/>
        <v>C01086|Neha Kumar|36|South|Kochi|Basic|Instagram|11/8/2023|42|Quarterly|Debit Card|729|2|1|19.60|2.3|11/18/2026||Active|Automation</v>
      </c>
      <c r="W147" s="13">
        <f t="shared" si="3"/>
        <v>1</v>
      </c>
      <c r="X147" s="13">
        <f>IFERROR(__xludf.DUMMYFUNCTION("COUNTUNIQUE(FILTER($B$2:$B$1826,$A$2:$A$1826=A147))"),1.0)</f>
        <v>1</v>
      </c>
    </row>
    <row r="148">
      <c r="A148" s="13" t="s">
        <v>453</v>
      </c>
      <c r="B148" s="13" t="s">
        <v>152</v>
      </c>
      <c r="C148" s="14">
        <v>32.0</v>
      </c>
      <c r="D148" s="13" t="s">
        <v>35</v>
      </c>
      <c r="E148" s="13" t="s">
        <v>36</v>
      </c>
      <c r="F148" s="13" t="s">
        <v>62</v>
      </c>
      <c r="G148" s="13" t="s">
        <v>128</v>
      </c>
      <c r="H148" s="16">
        <v>45765.0</v>
      </c>
      <c r="I148" s="14">
        <v>47.0</v>
      </c>
      <c r="J148" s="13" t="s">
        <v>40</v>
      </c>
      <c r="K148" s="13" t="s">
        <v>41</v>
      </c>
      <c r="L148" s="14">
        <v>610.0</v>
      </c>
      <c r="M148" s="18" t="s">
        <v>98</v>
      </c>
      <c r="N148" s="18" t="s">
        <v>98</v>
      </c>
      <c r="O148" s="18">
        <v>22.3</v>
      </c>
      <c r="P148" s="18" t="s">
        <v>158</v>
      </c>
      <c r="Q148" s="16">
        <v>46456.0</v>
      </c>
      <c r="R148" s="16" t="s">
        <v>38</v>
      </c>
      <c r="S148" s="13" t="s">
        <v>55</v>
      </c>
      <c r="T148" s="13" t="s">
        <v>104</v>
      </c>
      <c r="U148" s="13">
        <f t="shared" si="1"/>
        <v>1</v>
      </c>
      <c r="V148" s="13" t="str">
        <f t="shared" si="2"/>
        <v>C01235|Vikram Kumar|32|North|Delhi|Basic|Youtube|4/18/2025|47|Monthly|Upi|610|1|1|22.30|4.7|3/10/2027||Active|Analytics</v>
      </c>
      <c r="W148" s="13">
        <f t="shared" si="3"/>
        <v>1</v>
      </c>
      <c r="X148" s="13">
        <f>IFERROR(__xludf.DUMMYFUNCTION("COUNTUNIQUE(FILTER($B$2:$B$1826,$A$2:$A$1826=A148))"),1.0)</f>
        <v>1</v>
      </c>
    </row>
    <row r="149">
      <c r="A149" s="13" t="s">
        <v>455</v>
      </c>
      <c r="B149" s="13" t="s">
        <v>257</v>
      </c>
      <c r="C149" s="14">
        <v>38.0</v>
      </c>
      <c r="D149" s="13" t="s">
        <v>85</v>
      </c>
      <c r="E149" s="13" t="s">
        <v>111</v>
      </c>
      <c r="F149" s="13" t="s">
        <v>37</v>
      </c>
      <c r="G149" s="13" t="s">
        <v>52</v>
      </c>
      <c r="H149" s="16">
        <v>44980.0</v>
      </c>
      <c r="I149" s="14">
        <v>26.0</v>
      </c>
      <c r="J149" s="13" t="s">
        <v>53</v>
      </c>
      <c r="K149" s="13" t="s">
        <v>65</v>
      </c>
      <c r="L149" s="14">
        <v>1328.0</v>
      </c>
      <c r="M149" s="18" t="s">
        <v>98</v>
      </c>
      <c r="N149" s="18" t="s">
        <v>46</v>
      </c>
      <c r="O149" s="18">
        <v>35.1</v>
      </c>
      <c r="P149" s="18" t="s">
        <v>701</v>
      </c>
      <c r="Q149" s="16">
        <v>45279.0</v>
      </c>
      <c r="R149" s="16" t="s">
        <v>457</v>
      </c>
      <c r="S149" s="13" t="s">
        <v>45</v>
      </c>
      <c r="T149" s="13" t="s">
        <v>66</v>
      </c>
      <c r="U149" s="13">
        <f t="shared" si="1"/>
        <v>5</v>
      </c>
      <c r="V149" s="13" t="str">
        <f t="shared" si="2"/>
        <v>C01530|Sneha Reddy|38|West|Pune|Standard|Facebook|2/23/2023|26|Quarterly|Credit Card|1,328|1|0|35.10|2.8|12/19/2023|17/04/2024|Churned|Automation</v>
      </c>
      <c r="W149" s="13">
        <f t="shared" si="3"/>
        <v>2</v>
      </c>
      <c r="X149" s="13">
        <f>IFERROR(__xludf.DUMMYFUNCTION("COUNTUNIQUE(FILTER($B$2:$B$1826,$A$2:$A$1826=A149))"),4.0)</f>
        <v>4</v>
      </c>
    </row>
    <row r="150">
      <c r="A150" s="13" t="s">
        <v>458</v>
      </c>
      <c r="B150" s="13" t="s">
        <v>459</v>
      </c>
      <c r="C150" s="14">
        <v>20.0</v>
      </c>
      <c r="D150" s="13" t="s">
        <v>85</v>
      </c>
      <c r="E150" s="13" t="s">
        <v>292</v>
      </c>
      <c r="F150" s="13" t="s">
        <v>37</v>
      </c>
      <c r="G150" s="13" t="s">
        <v>52</v>
      </c>
      <c r="H150" s="16">
        <v>45523.0</v>
      </c>
      <c r="I150" s="14">
        <v>21.0</v>
      </c>
      <c r="J150" s="13" t="s">
        <v>53</v>
      </c>
      <c r="K150" s="13" t="s">
        <v>81</v>
      </c>
      <c r="L150" s="14">
        <v>1319.0</v>
      </c>
      <c r="M150" s="18" t="s">
        <v>164</v>
      </c>
      <c r="N150" s="18" t="s">
        <v>98</v>
      </c>
      <c r="O150" s="18">
        <v>23.9</v>
      </c>
      <c r="P150" s="18" t="s">
        <v>130</v>
      </c>
      <c r="Q150" s="16">
        <v>45579.0</v>
      </c>
      <c r="R150" s="16" t="s">
        <v>460</v>
      </c>
      <c r="S150" s="13" t="s">
        <v>45</v>
      </c>
      <c r="T150" s="13" t="s">
        <v>66</v>
      </c>
      <c r="U150" s="13">
        <f t="shared" si="1"/>
        <v>1</v>
      </c>
      <c r="V150" s="13" t="str">
        <f t="shared" si="2"/>
        <v>C01019|Neha Patel|20|West|Mumbai|Standard|Facebook|8/19/2024|21|Quarterly|Debit Card|1,319|3|1|23.90|3.9|10/14/2024|17/04/2026|Churned|Automation</v>
      </c>
      <c r="W150" s="13">
        <f t="shared" si="3"/>
        <v>1</v>
      </c>
      <c r="X150" s="13">
        <f>IFERROR(__xludf.DUMMYFUNCTION("COUNTUNIQUE(FILTER($B$2:$B$1826,$A$2:$A$1826=A150))"),1.0)</f>
        <v>1</v>
      </c>
    </row>
    <row r="151">
      <c r="A151" s="13" t="s">
        <v>461</v>
      </c>
      <c r="B151" s="13" t="s">
        <v>224</v>
      </c>
      <c r="C151" s="14">
        <v>67.0</v>
      </c>
      <c r="D151" s="13" t="s">
        <v>85</v>
      </c>
      <c r="E151" s="13" t="s">
        <v>92</v>
      </c>
      <c r="F151" s="13" t="s">
        <v>62</v>
      </c>
      <c r="G151" s="13" t="s">
        <v>210</v>
      </c>
      <c r="H151" s="16">
        <v>45033.0</v>
      </c>
      <c r="I151" s="14">
        <v>25.0</v>
      </c>
      <c r="J151" s="13" t="s">
        <v>53</v>
      </c>
      <c r="K151" s="13" t="s">
        <v>81</v>
      </c>
      <c r="L151" s="14">
        <v>624.0</v>
      </c>
      <c r="M151" s="18" t="s">
        <v>164</v>
      </c>
      <c r="N151" s="18" t="s">
        <v>99</v>
      </c>
      <c r="O151" s="18">
        <v>23.5</v>
      </c>
      <c r="P151" s="18" t="s">
        <v>173</v>
      </c>
      <c r="Q151" s="16">
        <v>45713.0</v>
      </c>
      <c r="R151" s="16" t="s">
        <v>38</v>
      </c>
      <c r="S151" s="13" t="s">
        <v>55</v>
      </c>
      <c r="T151" s="13" t="s">
        <v>75</v>
      </c>
      <c r="U151" s="13">
        <f t="shared" si="1"/>
        <v>1</v>
      </c>
      <c r="V151" s="13" t="str">
        <f t="shared" si="2"/>
        <v>C01187|Anita Iyer|67|West|Ahmedabad|Basic|Referral|4/17/2023|25|Quarterly|Debit Card|624|3|4|23.50|5|2/25/2025||Active|Security</v>
      </c>
      <c r="W151" s="13">
        <f t="shared" si="3"/>
        <v>1</v>
      </c>
      <c r="X151" s="13">
        <f>IFERROR(__xludf.DUMMYFUNCTION("COUNTUNIQUE(FILTER($B$2:$B$1826,$A$2:$A$1826=A151))"),1.0)</f>
        <v>1</v>
      </c>
    </row>
    <row r="152">
      <c r="A152" s="13" t="s">
        <v>462</v>
      </c>
      <c r="B152" s="13" t="s">
        <v>179</v>
      </c>
      <c r="C152" s="14">
        <v>23.0</v>
      </c>
      <c r="D152" s="13" t="s">
        <v>69</v>
      </c>
      <c r="E152" s="13" t="s">
        <v>177</v>
      </c>
      <c r="F152" s="13" t="s">
        <v>62</v>
      </c>
      <c r="G152" s="13" t="s">
        <v>52</v>
      </c>
      <c r="H152" s="16">
        <v>45681.0</v>
      </c>
      <c r="I152" s="14">
        <v>32.0</v>
      </c>
      <c r="J152" s="13" t="s">
        <v>64</v>
      </c>
      <c r="K152" s="13" t="s">
        <v>41</v>
      </c>
      <c r="L152" s="14">
        <v>776.0</v>
      </c>
      <c r="M152" s="18" t="s">
        <v>98</v>
      </c>
      <c r="N152" s="18" t="s">
        <v>43</v>
      </c>
      <c r="O152" s="18">
        <v>26.1</v>
      </c>
      <c r="P152" s="18" t="s">
        <v>173</v>
      </c>
      <c r="Q152" s="16">
        <v>45751.0</v>
      </c>
      <c r="R152" s="16" t="s">
        <v>38</v>
      </c>
      <c r="S152" s="13" t="s">
        <v>55</v>
      </c>
      <c r="T152" s="13" t="s">
        <v>104</v>
      </c>
      <c r="U152" s="13">
        <f t="shared" si="1"/>
        <v>5</v>
      </c>
      <c r="V152" s="13" t="str">
        <f t="shared" si="2"/>
        <v>C00944|Ravi Kumar|23|South|Hyderabad|Basic|Facebook|1/24/2025|32|Annual|Upi|776|1|2|26.10|5|4/4/2025||Active|Analytics</v>
      </c>
      <c r="W152" s="13">
        <f t="shared" si="3"/>
        <v>1</v>
      </c>
      <c r="X152" s="13">
        <f>IFERROR(__xludf.DUMMYFUNCTION("COUNTUNIQUE(FILTER($B$2:$B$1826,$A$2:$A$1826=A152))"),5.0)</f>
        <v>5</v>
      </c>
    </row>
    <row r="153">
      <c r="A153" s="13" t="s">
        <v>463</v>
      </c>
      <c r="B153" s="13" t="s">
        <v>351</v>
      </c>
      <c r="C153" s="14">
        <v>61.0</v>
      </c>
      <c r="D153" s="13" t="s">
        <v>69</v>
      </c>
      <c r="E153" s="13" t="s">
        <v>187</v>
      </c>
      <c r="F153" s="13" t="s">
        <v>62</v>
      </c>
      <c r="G153" s="13" t="s">
        <v>39</v>
      </c>
      <c r="H153" s="16">
        <v>44580.0</v>
      </c>
      <c r="I153" s="14">
        <v>14.0</v>
      </c>
      <c r="J153" s="13" t="s">
        <v>53</v>
      </c>
      <c r="K153" s="13" t="s">
        <v>41</v>
      </c>
      <c r="L153" s="14">
        <v>690.0</v>
      </c>
      <c r="M153" s="18" t="s">
        <v>43</v>
      </c>
      <c r="N153" s="18" t="s">
        <v>43</v>
      </c>
      <c r="O153" s="18">
        <v>16.7</v>
      </c>
      <c r="P153" s="18" t="s">
        <v>225</v>
      </c>
      <c r="Q153" s="16">
        <v>44916.0</v>
      </c>
      <c r="R153" s="16" t="s">
        <v>38</v>
      </c>
      <c r="S153" s="13" t="s">
        <v>55</v>
      </c>
      <c r="T153" s="13" t="s">
        <v>104</v>
      </c>
      <c r="U153" s="13">
        <f t="shared" si="1"/>
        <v>2</v>
      </c>
      <c r="V153" s="13" t="str">
        <f t="shared" si="2"/>
        <v>C00845|Meera Nair|61|South|Chennai|Basic|Instagram|1/19/2022|14|Quarterly|Upi|690|2|2|16.70|3.8|12/21/2022||Active|Analytics</v>
      </c>
      <c r="W153" s="13">
        <f t="shared" si="3"/>
        <v>1</v>
      </c>
      <c r="X153" s="13">
        <f>IFERROR(__xludf.DUMMYFUNCTION("COUNTUNIQUE(FILTER($B$2:$B$1826,$A$2:$A$1826=A153))"),2.0)</f>
        <v>2</v>
      </c>
    </row>
    <row r="154">
      <c r="A154" s="13" t="s">
        <v>464</v>
      </c>
      <c r="B154" s="13" t="s">
        <v>325</v>
      </c>
      <c r="C154" s="14">
        <v>52.0</v>
      </c>
      <c r="D154" s="13" t="s">
        <v>85</v>
      </c>
      <c r="E154" s="13" t="s">
        <v>292</v>
      </c>
      <c r="F154" s="13" t="s">
        <v>62</v>
      </c>
      <c r="G154" s="13" t="s">
        <v>52</v>
      </c>
      <c r="H154" s="16">
        <v>45124.0</v>
      </c>
      <c r="I154" s="14">
        <v>35.0</v>
      </c>
      <c r="J154" s="13" t="s">
        <v>40</v>
      </c>
      <c r="K154" s="13" t="s">
        <v>41</v>
      </c>
      <c r="L154" s="14">
        <v>507.0</v>
      </c>
      <c r="M154" s="18" t="s">
        <v>43</v>
      </c>
      <c r="N154" s="18" t="s">
        <v>43</v>
      </c>
      <c r="O154" s="18">
        <v>19.5</v>
      </c>
      <c r="P154" s="18" t="s">
        <v>203</v>
      </c>
      <c r="Q154" s="16">
        <v>46015.0</v>
      </c>
      <c r="R154" s="16" t="s">
        <v>465</v>
      </c>
      <c r="S154" s="13" t="s">
        <v>45</v>
      </c>
      <c r="T154" s="13" t="s">
        <v>47</v>
      </c>
      <c r="U154" s="13">
        <f t="shared" si="1"/>
        <v>2</v>
      </c>
      <c r="V154" s="13" t="str">
        <f t="shared" si="2"/>
        <v>C01090|Priya Sharma|52|West|Mumbai|Basic|Facebook|7/17/2023|35|Monthly|Upi|507|2|2|19.50|3.7|12/24/2025|17/08/2024|Churned|Cloud Storage</v>
      </c>
      <c r="W154" s="13">
        <f t="shared" si="3"/>
        <v>1</v>
      </c>
      <c r="X154" s="13">
        <f>IFERROR(__xludf.DUMMYFUNCTION("COUNTUNIQUE(FILTER($B$2:$B$1826,$A$2:$A$1826=A154))"),2.0)</f>
        <v>2</v>
      </c>
    </row>
    <row r="155">
      <c r="A155" s="13" t="s">
        <v>466</v>
      </c>
      <c r="B155" s="13" t="s">
        <v>398</v>
      </c>
      <c r="C155" s="14">
        <v>60.0</v>
      </c>
      <c r="D155" s="13" t="s">
        <v>60</v>
      </c>
      <c r="E155" s="13" t="s">
        <v>107</v>
      </c>
      <c r="F155" s="13" t="s">
        <v>62</v>
      </c>
      <c r="G155" s="13" t="s">
        <v>120</v>
      </c>
      <c r="H155" s="16">
        <v>44723.0</v>
      </c>
      <c r="I155" s="14">
        <v>24.0</v>
      </c>
      <c r="J155" s="13" t="s">
        <v>64</v>
      </c>
      <c r="K155" s="13" t="s">
        <v>41</v>
      </c>
      <c r="L155" s="14">
        <v>734.0</v>
      </c>
      <c r="M155" s="18" t="s">
        <v>99</v>
      </c>
      <c r="N155" s="18" t="s">
        <v>43</v>
      </c>
      <c r="O155" s="18">
        <v>20.0</v>
      </c>
      <c r="P155" s="18" t="s">
        <v>173</v>
      </c>
      <c r="Q155" s="16">
        <v>45446.0</v>
      </c>
      <c r="R155" s="16" t="s">
        <v>467</v>
      </c>
      <c r="S155" s="13" t="s">
        <v>45</v>
      </c>
      <c r="T155" s="13" t="s">
        <v>104</v>
      </c>
      <c r="U155" s="13">
        <f t="shared" si="1"/>
        <v>3</v>
      </c>
      <c r="V155" s="13" t="str">
        <f t="shared" si="2"/>
        <v>C01270|Vikram Sharma|60|East|Patna|Basic|Email|6/11/2022|24|Annual|Upi|734|4|2|20.00|5|6/3/2024|27/02/2023|Churned|Analytics</v>
      </c>
      <c r="W155" s="13">
        <f t="shared" si="3"/>
        <v>1</v>
      </c>
      <c r="X155" s="13">
        <f>IFERROR(__xludf.DUMMYFUNCTION("COUNTUNIQUE(FILTER($B$2:$B$1826,$A$2:$A$1826=A155))"),3.0)</f>
        <v>3</v>
      </c>
    </row>
    <row r="156">
      <c r="A156" s="13" t="s">
        <v>468</v>
      </c>
      <c r="B156" s="13" t="s">
        <v>91</v>
      </c>
      <c r="C156" s="14">
        <v>52.0</v>
      </c>
      <c r="D156" s="13" t="s">
        <v>85</v>
      </c>
      <c r="E156" s="13" t="s">
        <v>87</v>
      </c>
      <c r="F156" s="13" t="s">
        <v>37</v>
      </c>
      <c r="G156" s="13" t="s">
        <v>63</v>
      </c>
      <c r="H156" s="16">
        <v>45866.0</v>
      </c>
      <c r="I156" s="14">
        <v>1.0</v>
      </c>
      <c r="J156" s="13" t="s">
        <v>40</v>
      </c>
      <c r="K156" s="13" t="s">
        <v>41</v>
      </c>
      <c r="L156" s="14">
        <v>1510.0</v>
      </c>
      <c r="M156" s="18" t="s">
        <v>46</v>
      </c>
      <c r="N156" s="18" t="s">
        <v>98</v>
      </c>
      <c r="O156" s="18">
        <v>36.6</v>
      </c>
      <c r="P156" s="18" t="s">
        <v>701</v>
      </c>
      <c r="Q156" s="16">
        <v>45903.0</v>
      </c>
      <c r="R156" s="16" t="s">
        <v>38</v>
      </c>
      <c r="S156" s="13" t="s">
        <v>55</v>
      </c>
      <c r="T156" s="13" t="s">
        <v>47</v>
      </c>
      <c r="U156" s="13">
        <f t="shared" si="1"/>
        <v>1</v>
      </c>
      <c r="V156" s="13" t="str">
        <f t="shared" si="2"/>
        <v>C00831|Anita Sharma|52|West|Surat|Standard|Google Ads|7/28/2025|1|Monthly|Upi|1,510|0|1|36.60|2.8|9/3/2025||Active|Cloud Storage</v>
      </c>
      <c r="W156" s="13">
        <f t="shared" si="3"/>
        <v>1</v>
      </c>
      <c r="X156" s="13">
        <f>IFERROR(__xludf.DUMMYFUNCTION("COUNTUNIQUE(FILTER($B$2:$B$1826,$A$2:$A$1826=A156))"),1.0)</f>
        <v>1</v>
      </c>
    </row>
    <row r="157">
      <c r="A157" s="13" t="s">
        <v>469</v>
      </c>
      <c r="B157" s="13" t="s">
        <v>470</v>
      </c>
      <c r="C157" s="14">
        <v>56.0</v>
      </c>
      <c r="D157" s="13" t="s">
        <v>85</v>
      </c>
      <c r="E157" s="13" t="s">
        <v>92</v>
      </c>
      <c r="F157" s="13" t="s">
        <v>62</v>
      </c>
      <c r="G157" s="13" t="s">
        <v>63</v>
      </c>
      <c r="H157" s="16">
        <v>45963.0</v>
      </c>
      <c r="I157" s="14">
        <v>18.0</v>
      </c>
      <c r="J157" s="13" t="s">
        <v>40</v>
      </c>
      <c r="K157" s="13" t="s">
        <v>81</v>
      </c>
      <c r="L157" s="14">
        <v>787.0</v>
      </c>
      <c r="M157" s="18" t="s">
        <v>99</v>
      </c>
      <c r="N157" s="18" t="s">
        <v>98</v>
      </c>
      <c r="O157" s="18">
        <v>14.2</v>
      </c>
      <c r="P157" s="18" t="s">
        <v>225</v>
      </c>
      <c r="Q157" s="16">
        <v>46156.0</v>
      </c>
      <c r="R157" s="16" t="s">
        <v>472</v>
      </c>
      <c r="S157" s="13" t="s">
        <v>45</v>
      </c>
      <c r="T157" s="13" t="s">
        <v>75</v>
      </c>
      <c r="U157" s="13">
        <f t="shared" si="1"/>
        <v>3</v>
      </c>
      <c r="V157" s="13" t="str">
        <f t="shared" si="2"/>
        <v>C01418|Arun Singh|56|West|Ahmedabad|Basic|Google Ads|11/2/2025|18|Monthly|Debit Card|787|4|1|14.20|3.8|5/14/2026|20/10/2026|Churned|Security</v>
      </c>
      <c r="W157" s="13">
        <f t="shared" si="3"/>
        <v>2</v>
      </c>
      <c r="X157" s="13">
        <f>IFERROR(__xludf.DUMMYFUNCTION("COUNTUNIQUE(FILTER($B$2:$B$1826,$A$2:$A$1826=A157))"),2.0)</f>
        <v>2</v>
      </c>
    </row>
    <row r="158">
      <c r="A158" s="13" t="s">
        <v>473</v>
      </c>
      <c r="B158" s="13" t="s">
        <v>167</v>
      </c>
      <c r="C158" s="14">
        <v>22.0</v>
      </c>
      <c r="D158" s="13" t="s">
        <v>60</v>
      </c>
      <c r="E158" s="13" t="s">
        <v>97</v>
      </c>
      <c r="F158" s="13" t="s">
        <v>37</v>
      </c>
      <c r="G158" s="13" t="s">
        <v>80</v>
      </c>
      <c r="H158" s="16">
        <v>45358.0</v>
      </c>
      <c r="I158" s="14">
        <v>44.0</v>
      </c>
      <c r="J158" s="13" t="s">
        <v>40</v>
      </c>
      <c r="K158" s="13" t="s">
        <v>65</v>
      </c>
      <c r="L158" s="14">
        <v>1392.0</v>
      </c>
      <c r="M158" s="18" t="s">
        <v>43</v>
      </c>
      <c r="N158" s="18" t="s">
        <v>43</v>
      </c>
      <c r="O158" s="18">
        <v>40.5</v>
      </c>
      <c r="P158" s="18" t="s">
        <v>48</v>
      </c>
      <c r="Q158" s="16">
        <v>45654.0</v>
      </c>
      <c r="R158" s="16" t="s">
        <v>474</v>
      </c>
      <c r="S158" s="13" t="s">
        <v>45</v>
      </c>
      <c r="T158" s="13" t="s">
        <v>47</v>
      </c>
      <c r="U158" s="13">
        <f t="shared" si="1"/>
        <v>4</v>
      </c>
      <c r="V158" s="13" t="str">
        <f t="shared" si="2"/>
        <v>C00158|Ravi Reddy|22|East|Bhubaneswar|Standard|Organic Search|3/7/2024|44|Monthly|Credit Card|1,392|2|2|40.50|3.6|12/28/2024|13/09/2024|Churned|Cloud Storage</v>
      </c>
      <c r="W158" s="13">
        <f t="shared" si="3"/>
        <v>1</v>
      </c>
      <c r="X158" s="13">
        <f>IFERROR(__xludf.DUMMYFUNCTION("COUNTUNIQUE(FILTER($B$2:$B$1826,$A$2:$A$1826=A158))"),4.0)</f>
        <v>4</v>
      </c>
    </row>
    <row r="159">
      <c r="A159" s="13" t="s">
        <v>475</v>
      </c>
      <c r="B159" s="13" t="s">
        <v>476</v>
      </c>
      <c r="C159" s="14">
        <v>46.0</v>
      </c>
      <c r="D159" s="13" t="s">
        <v>60</v>
      </c>
      <c r="E159" s="13" t="s">
        <v>133</v>
      </c>
      <c r="F159" s="13" t="s">
        <v>79</v>
      </c>
      <c r="G159" s="13" t="s">
        <v>210</v>
      </c>
      <c r="H159" s="16">
        <v>44622.0</v>
      </c>
      <c r="I159" s="14">
        <v>41.0</v>
      </c>
      <c r="J159" s="13" t="s">
        <v>40</v>
      </c>
      <c r="K159" s="13" t="s">
        <v>81</v>
      </c>
      <c r="L159" s="14">
        <v>2466.0</v>
      </c>
      <c r="M159" s="18" t="s">
        <v>43</v>
      </c>
      <c r="N159" s="18" t="s">
        <v>43</v>
      </c>
      <c r="O159" s="18">
        <v>41.5</v>
      </c>
      <c r="P159" s="18" t="s">
        <v>185</v>
      </c>
      <c r="Q159" s="16">
        <v>45360.0</v>
      </c>
      <c r="R159" s="16" t="s">
        <v>38</v>
      </c>
      <c r="S159" s="13" t="s">
        <v>55</v>
      </c>
      <c r="T159" s="13" t="s">
        <v>66</v>
      </c>
      <c r="U159" s="13">
        <f t="shared" si="1"/>
        <v>1</v>
      </c>
      <c r="V159" s="13" t="str">
        <f t="shared" si="2"/>
        <v>C00156|Ravi Das|46|East|Guwahati|Premium|Referral|3/2/2022|41|Monthly|Debit Card|2,466|2|2|41.50|3.2|3/9/2024||Active|Automation</v>
      </c>
      <c r="W159" s="13">
        <f t="shared" si="3"/>
        <v>1</v>
      </c>
      <c r="X159" s="13">
        <f>IFERROR(__xludf.DUMMYFUNCTION("COUNTUNIQUE(FILTER($B$2:$B$1826,$A$2:$A$1826=A159))"),1.0)</f>
        <v>1</v>
      </c>
    </row>
    <row r="160">
      <c r="A160" s="13" t="s">
        <v>478</v>
      </c>
      <c r="B160" s="13" t="s">
        <v>50</v>
      </c>
      <c r="C160" s="14">
        <v>39.0</v>
      </c>
      <c r="D160" s="13" t="s">
        <v>85</v>
      </c>
      <c r="E160" s="13" t="s">
        <v>292</v>
      </c>
      <c r="F160" s="13" t="s">
        <v>37</v>
      </c>
      <c r="G160" s="13" t="s">
        <v>39</v>
      </c>
      <c r="H160" s="16">
        <v>45066.0</v>
      </c>
      <c r="I160" s="14">
        <v>46.0</v>
      </c>
      <c r="J160" s="13" t="s">
        <v>53</v>
      </c>
      <c r="K160" s="13" t="s">
        <v>41</v>
      </c>
      <c r="L160" s="14">
        <v>1156.0</v>
      </c>
      <c r="M160" s="18" t="s">
        <v>43</v>
      </c>
      <c r="N160" s="18" t="s">
        <v>46</v>
      </c>
      <c r="O160" s="18">
        <v>33.2</v>
      </c>
      <c r="P160" s="18" t="s">
        <v>48</v>
      </c>
      <c r="Q160" s="16">
        <v>46374.0</v>
      </c>
      <c r="R160" s="16" t="s">
        <v>38</v>
      </c>
      <c r="S160" s="13" t="s">
        <v>55</v>
      </c>
      <c r="T160" s="13" t="s">
        <v>104</v>
      </c>
      <c r="U160" s="13">
        <f t="shared" si="1"/>
        <v>2</v>
      </c>
      <c r="V160" s="13" t="str">
        <f t="shared" si="2"/>
        <v>C01354|Rahul Das|39|West|Mumbai|Standard|Instagram|5/20/2023|46|Quarterly|Upi|1,156|2|0|33.20|3.6|12/18/2026||Active|Analytics</v>
      </c>
      <c r="W160" s="13">
        <f t="shared" si="3"/>
        <v>1</v>
      </c>
      <c r="X160" s="13">
        <f>IFERROR(__xludf.DUMMYFUNCTION("COUNTUNIQUE(FILTER($B$2:$B$1826,$A$2:$A$1826=A160))"),2.0)</f>
        <v>2</v>
      </c>
    </row>
    <row r="161">
      <c r="A161" s="13" t="s">
        <v>479</v>
      </c>
      <c r="B161" s="13" t="s">
        <v>135</v>
      </c>
      <c r="C161" s="14">
        <v>20.0</v>
      </c>
      <c r="D161" s="13" t="s">
        <v>60</v>
      </c>
      <c r="E161" s="13" t="s">
        <v>133</v>
      </c>
      <c r="F161" s="13" t="s">
        <v>62</v>
      </c>
      <c r="G161" s="13" t="s">
        <v>210</v>
      </c>
      <c r="H161" s="16">
        <v>44771.0</v>
      </c>
      <c r="I161" s="14">
        <v>9.0</v>
      </c>
      <c r="J161" s="13" t="s">
        <v>40</v>
      </c>
      <c r="K161" s="13" t="s">
        <v>65</v>
      </c>
      <c r="L161" s="14">
        <v>719.0</v>
      </c>
      <c r="M161" s="18" t="s">
        <v>43</v>
      </c>
      <c r="N161" s="18" t="s">
        <v>46</v>
      </c>
      <c r="O161" s="18">
        <v>17.6</v>
      </c>
      <c r="P161" s="18" t="s">
        <v>130</v>
      </c>
      <c r="Q161" s="16">
        <v>45043.0</v>
      </c>
      <c r="R161" s="16" t="s">
        <v>38</v>
      </c>
      <c r="S161" s="13" t="s">
        <v>55</v>
      </c>
      <c r="T161" s="13" t="s">
        <v>66</v>
      </c>
      <c r="U161" s="13">
        <f t="shared" si="1"/>
        <v>2</v>
      </c>
      <c r="V161" s="13" t="str">
        <f t="shared" si="2"/>
        <v>C00011|Karan Sharma|20|East|Guwahati|Basic|Referral|7/29/2022|9|Monthly|Credit Card|719|2|0|17.60|3.9|4/27/2023||Active|Automation</v>
      </c>
      <c r="W161" s="13">
        <f t="shared" si="3"/>
        <v>1</v>
      </c>
      <c r="X161" s="13">
        <f>IFERROR(__xludf.DUMMYFUNCTION("COUNTUNIQUE(FILTER($B$2:$B$1826,$A$2:$A$1826=A161))"),2.0)</f>
        <v>2</v>
      </c>
    </row>
    <row r="162">
      <c r="A162" s="13" t="s">
        <v>483</v>
      </c>
      <c r="B162" s="13" t="s">
        <v>206</v>
      </c>
      <c r="C162" s="14" t="s">
        <v>38</v>
      </c>
      <c r="D162" s="13" t="s">
        <v>60</v>
      </c>
      <c r="E162" s="13" t="s">
        <v>133</v>
      </c>
      <c r="F162" s="13" t="s">
        <v>62</v>
      </c>
      <c r="G162" s="13" t="s">
        <v>120</v>
      </c>
      <c r="H162" s="16">
        <v>45356.0</v>
      </c>
      <c r="I162" s="14">
        <v>6.0</v>
      </c>
      <c r="J162" s="13" t="s">
        <v>53</v>
      </c>
      <c r="K162" s="13" t="s">
        <v>65</v>
      </c>
      <c r="L162" s="14">
        <v>785.0</v>
      </c>
      <c r="M162" s="18" t="s">
        <v>164</v>
      </c>
      <c r="N162" s="18" t="s">
        <v>99</v>
      </c>
      <c r="O162" s="18">
        <v>8.0</v>
      </c>
      <c r="P162" s="18" t="s">
        <v>173</v>
      </c>
      <c r="Q162" s="16">
        <v>45499.0</v>
      </c>
      <c r="R162" s="16" t="s">
        <v>487</v>
      </c>
      <c r="S162" s="13" t="s">
        <v>45</v>
      </c>
      <c r="T162" s="13" t="s">
        <v>72</v>
      </c>
      <c r="U162" s="13">
        <f t="shared" si="1"/>
        <v>4</v>
      </c>
      <c r="V162" s="13" t="str">
        <f t="shared" si="2"/>
        <v>C00191|Karan Patel||East|Guwahati|Basic|Email|3/5/2024|6|Quarterly|Credit Card|785|3|4|8.00|5|7/26/2024|17/05/2024|Churned|Collaboration</v>
      </c>
      <c r="W162" s="13">
        <f t="shared" si="3"/>
        <v>1</v>
      </c>
      <c r="X162" s="13">
        <f>IFERROR(__xludf.DUMMYFUNCTION("COUNTUNIQUE(FILTER($B$2:$B$1826,$A$2:$A$1826=A162))"),3.0)</f>
        <v>3</v>
      </c>
    </row>
    <row r="163">
      <c r="A163" s="13" t="s">
        <v>490</v>
      </c>
      <c r="B163" s="13" t="s">
        <v>163</v>
      </c>
      <c r="C163" s="14">
        <v>48.0</v>
      </c>
      <c r="D163" s="13" t="s">
        <v>69</v>
      </c>
      <c r="E163" s="13" t="s">
        <v>70</v>
      </c>
      <c r="F163" s="13" t="s">
        <v>62</v>
      </c>
      <c r="G163" s="13" t="s">
        <v>210</v>
      </c>
      <c r="H163" s="16">
        <v>45424.0</v>
      </c>
      <c r="I163" s="14">
        <v>20.0</v>
      </c>
      <c r="J163" s="13" t="s">
        <v>40</v>
      </c>
      <c r="K163" s="13" t="s">
        <v>41</v>
      </c>
      <c r="L163" s="14">
        <v>538.0</v>
      </c>
      <c r="M163" s="18" t="s">
        <v>46</v>
      </c>
      <c r="N163" s="18" t="s">
        <v>164</v>
      </c>
      <c r="O163" s="18">
        <v>10.4</v>
      </c>
      <c r="P163" s="18" t="s">
        <v>99</v>
      </c>
      <c r="Q163" s="16">
        <v>45686.0</v>
      </c>
      <c r="R163" s="16" t="s">
        <v>38</v>
      </c>
      <c r="S163" s="13" t="s">
        <v>55</v>
      </c>
      <c r="T163" s="13" t="s">
        <v>72</v>
      </c>
      <c r="U163" s="13">
        <f t="shared" si="1"/>
        <v>1</v>
      </c>
      <c r="V163" s="13" t="str">
        <f t="shared" si="2"/>
        <v>C01010|Sneha Singh|48|South|Bengaluru|Basic|Referral|5/12/2024|20|Monthly|Upi|538|0|3|10.40|4|1/29/2025||Active|Collaboration</v>
      </c>
      <c r="W163" s="13">
        <f t="shared" si="3"/>
        <v>1</v>
      </c>
      <c r="X163" s="13">
        <f>IFERROR(__xludf.DUMMYFUNCTION("COUNTUNIQUE(FILTER($B$2:$B$1826,$A$2:$A$1826=A163))"),1.0)</f>
        <v>1</v>
      </c>
    </row>
    <row r="164">
      <c r="A164" s="13" t="s">
        <v>495</v>
      </c>
      <c r="B164" s="13" t="s">
        <v>312</v>
      </c>
      <c r="C164" s="14">
        <v>49.0</v>
      </c>
      <c r="D164" s="13" t="s">
        <v>85</v>
      </c>
      <c r="E164" s="13" t="s">
        <v>92</v>
      </c>
      <c r="F164" s="13" t="s">
        <v>37</v>
      </c>
      <c r="G164" s="13" t="s">
        <v>120</v>
      </c>
      <c r="H164" s="16">
        <v>45236.0</v>
      </c>
      <c r="I164" s="14">
        <v>29.0</v>
      </c>
      <c r="J164" s="13" t="s">
        <v>53</v>
      </c>
      <c r="K164" s="13" t="s">
        <v>41</v>
      </c>
      <c r="L164" s="14">
        <v>1607.0</v>
      </c>
      <c r="M164" s="18" t="s">
        <v>98</v>
      </c>
      <c r="N164" s="18" t="s">
        <v>46</v>
      </c>
      <c r="O164" s="18">
        <v>22.6</v>
      </c>
      <c r="P164" s="18" t="s">
        <v>173</v>
      </c>
      <c r="Q164" s="16">
        <v>45553.0</v>
      </c>
      <c r="R164" s="16" t="s">
        <v>38</v>
      </c>
      <c r="S164" s="13" t="s">
        <v>55</v>
      </c>
      <c r="T164" s="13" t="s">
        <v>75</v>
      </c>
      <c r="U164" s="13">
        <f t="shared" si="1"/>
        <v>2</v>
      </c>
      <c r="V164" s="13" t="str">
        <f t="shared" si="2"/>
        <v>C00014|Anita Singh|49|West|Ahmedabad|Standard|Email|11/6/2023|29|Quarterly|Upi|1,607|1|0|22.60|5|9/18/2024||Active|Security</v>
      </c>
      <c r="W164" s="13">
        <f t="shared" si="3"/>
        <v>1</v>
      </c>
      <c r="X164" s="13">
        <f>IFERROR(__xludf.DUMMYFUNCTION("COUNTUNIQUE(FILTER($B$2:$B$1826,$A$2:$A$1826=A164))"),2.0)</f>
        <v>2</v>
      </c>
    </row>
    <row r="165">
      <c r="A165" s="13" t="s">
        <v>502</v>
      </c>
      <c r="B165" s="13" t="s">
        <v>459</v>
      </c>
      <c r="C165" s="14">
        <v>62.0</v>
      </c>
      <c r="D165" s="13" t="s">
        <v>60</v>
      </c>
      <c r="E165" s="13" t="s">
        <v>133</v>
      </c>
      <c r="F165" s="13" t="s">
        <v>79</v>
      </c>
      <c r="G165" s="13" t="s">
        <v>128</v>
      </c>
      <c r="H165" s="16">
        <v>45058.0</v>
      </c>
      <c r="I165" s="14">
        <v>21.0</v>
      </c>
      <c r="J165" s="13" t="s">
        <v>64</v>
      </c>
      <c r="K165" s="13" t="s">
        <v>41</v>
      </c>
      <c r="L165" s="14">
        <v>2232.0</v>
      </c>
      <c r="M165" s="18" t="s">
        <v>43</v>
      </c>
      <c r="N165" s="18" t="s">
        <v>46</v>
      </c>
      <c r="O165" s="18">
        <v>25.3</v>
      </c>
      <c r="P165" s="18" t="s">
        <v>408</v>
      </c>
      <c r="Q165" s="16">
        <v>45645.0</v>
      </c>
      <c r="R165" s="16" t="s">
        <v>38</v>
      </c>
      <c r="S165" s="13" t="s">
        <v>55</v>
      </c>
      <c r="T165" s="13" t="s">
        <v>75</v>
      </c>
      <c r="U165" s="13">
        <f t="shared" si="1"/>
        <v>2</v>
      </c>
      <c r="V165" s="13" t="str">
        <f t="shared" si="2"/>
        <v>C00654|Neha Patel|62|East|Guwahati|Premium|Youtube|5/12/2023|21|Annual|Upi|2,232|2|0|25.30|4.2|12/19/2024||Active|Security</v>
      </c>
      <c r="W165" s="13">
        <f t="shared" si="3"/>
        <v>1</v>
      </c>
      <c r="X165" s="13">
        <f>IFERROR(__xludf.DUMMYFUNCTION("COUNTUNIQUE(FILTER($B$2:$B$1826,$A$2:$A$1826=A165))"),2.0)</f>
        <v>2</v>
      </c>
    </row>
    <row r="166">
      <c r="A166" s="13" t="s">
        <v>506</v>
      </c>
      <c r="B166" s="13" t="s">
        <v>380</v>
      </c>
      <c r="C166" s="14">
        <v>61.0</v>
      </c>
      <c r="D166" s="13" t="s">
        <v>35</v>
      </c>
      <c r="E166" s="13" t="s">
        <v>119</v>
      </c>
      <c r="F166" s="13" t="s">
        <v>37</v>
      </c>
      <c r="G166" s="13" t="s">
        <v>128</v>
      </c>
      <c r="H166" s="16">
        <v>45980.0</v>
      </c>
      <c r="I166" s="14">
        <v>5.0</v>
      </c>
      <c r="J166" s="13" t="s">
        <v>40</v>
      </c>
      <c r="K166" s="13" t="s">
        <v>81</v>
      </c>
      <c r="L166" s="14">
        <v>1688.0</v>
      </c>
      <c r="M166" s="18" t="s">
        <v>43</v>
      </c>
      <c r="N166" s="18" t="s">
        <v>164</v>
      </c>
      <c r="O166" s="18">
        <v>26.6</v>
      </c>
      <c r="P166" s="18" t="s">
        <v>310</v>
      </c>
      <c r="Q166" s="16">
        <v>46025.0</v>
      </c>
      <c r="R166" s="16">
        <v>46176.0</v>
      </c>
      <c r="S166" s="13" t="s">
        <v>45</v>
      </c>
      <c r="T166" s="13" t="s">
        <v>75</v>
      </c>
      <c r="U166" s="13">
        <f t="shared" si="1"/>
        <v>4</v>
      </c>
      <c r="V166" s="13" t="str">
        <f t="shared" si="2"/>
        <v>C01451|Neha Iyer|61|North|Kochi|Standard|Youtube|11/19/2025|5|Monthly|Debit Card|1,688|2|3|26.60|3.1|1/3/2026|6/3/2026|Churned|Security</v>
      </c>
      <c r="W166" s="13">
        <f t="shared" si="3"/>
        <v>1</v>
      </c>
      <c r="X166" s="13">
        <f>IFERROR(__xludf.DUMMYFUNCTION("COUNTUNIQUE(FILTER($B$2:$B$1826,$A$2:$A$1826=A166))"),4.0)</f>
        <v>4</v>
      </c>
    </row>
    <row r="167">
      <c r="A167" s="13" t="s">
        <v>512</v>
      </c>
      <c r="B167" s="13" t="s">
        <v>91</v>
      </c>
      <c r="C167" s="14">
        <v>25.0</v>
      </c>
      <c r="D167" s="13" t="s">
        <v>35</v>
      </c>
      <c r="E167" s="13" t="s">
        <v>140</v>
      </c>
      <c r="F167" s="13" t="s">
        <v>79</v>
      </c>
      <c r="G167" s="13" t="s">
        <v>120</v>
      </c>
      <c r="H167" s="16">
        <v>45754.0</v>
      </c>
      <c r="I167" s="14">
        <v>26.0</v>
      </c>
      <c r="J167" s="13" t="s">
        <v>64</v>
      </c>
      <c r="K167" s="13" t="s">
        <v>81</v>
      </c>
      <c r="L167" s="14">
        <v>3112.0</v>
      </c>
      <c r="M167" s="18" t="s">
        <v>43</v>
      </c>
      <c r="N167" s="18" t="s">
        <v>98</v>
      </c>
      <c r="O167" s="18">
        <v>30.3</v>
      </c>
      <c r="P167" s="18" t="s">
        <v>203</v>
      </c>
      <c r="Q167" s="16" t="s">
        <v>38</v>
      </c>
      <c r="R167" s="16" t="s">
        <v>38</v>
      </c>
      <c r="S167" s="13" t="s">
        <v>55</v>
      </c>
      <c r="T167" s="13" t="s">
        <v>72</v>
      </c>
      <c r="U167" s="13">
        <f t="shared" si="1"/>
        <v>2</v>
      </c>
      <c r="V167" s="13" t="str">
        <f t="shared" si="2"/>
        <v>C00773|Anita Sharma|25|North|Lucknow|Premium|Email|4/7/2025|26|Annual|Debit Card|3,112|2|1|30.30|3.7|||Active|Collaboration</v>
      </c>
      <c r="W167" s="13">
        <f t="shared" si="3"/>
        <v>1</v>
      </c>
      <c r="X167" s="13">
        <f>IFERROR(__xludf.DUMMYFUNCTION("COUNTUNIQUE(FILTER($B$2:$B$1826,$A$2:$A$1826=A167))"),2.0)</f>
        <v>2</v>
      </c>
    </row>
    <row r="168">
      <c r="A168" s="13" t="s">
        <v>517</v>
      </c>
      <c r="B168" s="13" t="s">
        <v>395</v>
      </c>
      <c r="C168" s="14">
        <v>47.0</v>
      </c>
      <c r="D168" s="13" t="s">
        <v>35</v>
      </c>
      <c r="E168" s="13" t="s">
        <v>140</v>
      </c>
      <c r="F168" s="13" t="s">
        <v>79</v>
      </c>
      <c r="G168" s="13" t="s">
        <v>210</v>
      </c>
      <c r="H168" s="16">
        <v>45443.0</v>
      </c>
      <c r="I168" s="14">
        <v>7.0</v>
      </c>
      <c r="J168" s="13" t="s">
        <v>53</v>
      </c>
      <c r="K168" s="13" t="s">
        <v>65</v>
      </c>
      <c r="L168" s="14">
        <v>3044.0</v>
      </c>
      <c r="M168" s="18" t="s">
        <v>46</v>
      </c>
      <c r="N168" s="18" t="s">
        <v>46</v>
      </c>
      <c r="O168" s="18">
        <v>42.2</v>
      </c>
      <c r="P168" s="18" t="s">
        <v>173</v>
      </c>
      <c r="Q168" s="16">
        <v>45644.0</v>
      </c>
      <c r="R168" s="16" t="s">
        <v>38</v>
      </c>
      <c r="S168" s="13" t="s">
        <v>55</v>
      </c>
      <c r="T168" s="13" t="s">
        <v>75</v>
      </c>
      <c r="U168" s="13">
        <f t="shared" si="1"/>
        <v>3</v>
      </c>
      <c r="V168" s="13" t="str">
        <f t="shared" si="2"/>
        <v>C00341|Ravi Singh|47|North|Lucknow|Premium|Referral|5/31/2024|7|Quarterly|Credit Card|3,044|0|0|42.20|5|12/18/2024||Active|Security</v>
      </c>
      <c r="W168" s="13">
        <f t="shared" si="3"/>
        <v>1</v>
      </c>
      <c r="X168" s="13">
        <f>IFERROR(__xludf.DUMMYFUNCTION("COUNTUNIQUE(FILTER($B$2:$B$1826,$A$2:$A$1826=A168))"),3.0)</f>
        <v>3</v>
      </c>
    </row>
    <row r="169">
      <c r="A169" s="13" t="s">
        <v>519</v>
      </c>
      <c r="B169" s="13" t="s">
        <v>224</v>
      </c>
      <c r="C169" s="14">
        <v>40.0</v>
      </c>
      <c r="D169" s="13" t="s">
        <v>69</v>
      </c>
      <c r="E169" s="13" t="s">
        <v>177</v>
      </c>
      <c r="F169" s="13" t="s">
        <v>79</v>
      </c>
      <c r="G169" s="13" t="s">
        <v>120</v>
      </c>
      <c r="H169" s="16">
        <v>44776.0</v>
      </c>
      <c r="I169" s="14">
        <v>19.0</v>
      </c>
      <c r="J169" s="13" t="s">
        <v>53</v>
      </c>
      <c r="K169" s="13" t="s">
        <v>41</v>
      </c>
      <c r="L169" s="14">
        <v>3701.0</v>
      </c>
      <c r="M169" s="18" t="s">
        <v>98</v>
      </c>
      <c r="N169" s="18" t="s">
        <v>46</v>
      </c>
      <c r="O169" s="18">
        <v>31.0</v>
      </c>
      <c r="P169" s="18" t="s">
        <v>203</v>
      </c>
      <c r="Q169" s="16">
        <v>44931.0</v>
      </c>
      <c r="R169" s="16" t="s">
        <v>38</v>
      </c>
      <c r="S169" s="13" t="s">
        <v>55</v>
      </c>
      <c r="T169" s="13" t="s">
        <v>66</v>
      </c>
      <c r="U169" s="13">
        <f t="shared" si="1"/>
        <v>2</v>
      </c>
      <c r="V169" s="13" t="str">
        <f t="shared" si="2"/>
        <v>C01582|Anita Iyer|40|South|Hyderabad|Premium|Email|8/3/2022|19|Quarterly|Upi|3,701|1|0|31.00|3.7|1/5/2023||Active|Automation</v>
      </c>
      <c r="W169" s="13">
        <f t="shared" si="3"/>
        <v>1</v>
      </c>
      <c r="X169" s="13">
        <f>IFERROR(__xludf.DUMMYFUNCTION("COUNTUNIQUE(FILTER($B$2:$B$1826,$A$2:$A$1826=A169))"),2.0)</f>
        <v>2</v>
      </c>
    </row>
    <row r="170">
      <c r="A170" s="13" t="s">
        <v>520</v>
      </c>
      <c r="B170" s="13" t="s">
        <v>303</v>
      </c>
      <c r="C170" s="14">
        <v>40.0</v>
      </c>
      <c r="D170" s="13" t="s">
        <v>60</v>
      </c>
      <c r="E170" s="13" t="s">
        <v>133</v>
      </c>
      <c r="F170" s="13" t="s">
        <v>62</v>
      </c>
      <c r="G170" s="13" t="s">
        <v>52</v>
      </c>
      <c r="H170" s="16">
        <v>45988.0</v>
      </c>
      <c r="I170" s="14">
        <v>29.0</v>
      </c>
      <c r="J170" s="13" t="s">
        <v>64</v>
      </c>
      <c r="K170" s="13" t="s">
        <v>41</v>
      </c>
      <c r="L170" s="14">
        <v>652.0</v>
      </c>
      <c r="M170" s="18" t="s">
        <v>164</v>
      </c>
      <c r="N170" s="18" t="s">
        <v>46</v>
      </c>
      <c r="O170" s="18">
        <v>10.0</v>
      </c>
      <c r="P170" s="18" t="s">
        <v>116</v>
      </c>
      <c r="Q170" s="16">
        <v>46725.0</v>
      </c>
      <c r="R170" s="16" t="s">
        <v>38</v>
      </c>
      <c r="S170" s="13" t="s">
        <v>55</v>
      </c>
      <c r="T170" s="13" t="s">
        <v>47</v>
      </c>
      <c r="U170" s="13">
        <f t="shared" si="1"/>
        <v>2</v>
      </c>
      <c r="V170" s="13" t="str">
        <f t="shared" si="2"/>
        <v>C00990|Priya Kumar|40|East|Guwahati|Basic|Facebook|11/27/2025|29|Annual|Upi|652|3|0|10.00|3.4|12/4/2027||Active|Cloud Storage</v>
      </c>
      <c r="W170" s="13">
        <f t="shared" si="3"/>
        <v>1</v>
      </c>
      <c r="X170" s="13">
        <f>IFERROR(__xludf.DUMMYFUNCTION("COUNTUNIQUE(FILTER($B$2:$B$1826,$A$2:$A$1826=A170))"),2.0)</f>
        <v>2</v>
      </c>
    </row>
    <row r="171">
      <c r="A171" s="13" t="s">
        <v>521</v>
      </c>
      <c r="B171" s="13" t="s">
        <v>393</v>
      </c>
      <c r="C171" s="14">
        <v>20.0</v>
      </c>
      <c r="D171" s="13" t="s">
        <v>69</v>
      </c>
      <c r="E171" s="13" t="s">
        <v>187</v>
      </c>
      <c r="F171" s="13" t="s">
        <v>37</v>
      </c>
      <c r="G171" s="13" t="s">
        <v>210</v>
      </c>
      <c r="H171" s="16">
        <v>45708.0</v>
      </c>
      <c r="I171" s="14">
        <v>28.0</v>
      </c>
      <c r="J171" s="13" t="s">
        <v>64</v>
      </c>
      <c r="K171" s="13" t="s">
        <v>81</v>
      </c>
      <c r="L171" s="14">
        <v>1413.0</v>
      </c>
      <c r="M171" s="18" t="s">
        <v>98</v>
      </c>
      <c r="N171" s="18" t="s">
        <v>98</v>
      </c>
      <c r="O171" s="18">
        <v>30.2</v>
      </c>
      <c r="P171" s="18" t="s">
        <v>164</v>
      </c>
      <c r="Q171" s="16">
        <v>45906.0</v>
      </c>
      <c r="R171" s="16" t="s">
        <v>522</v>
      </c>
      <c r="S171" s="13" t="s">
        <v>45</v>
      </c>
      <c r="T171" s="13" t="s">
        <v>47</v>
      </c>
      <c r="U171" s="13">
        <f t="shared" si="1"/>
        <v>4</v>
      </c>
      <c r="V171" s="13" t="str">
        <f t="shared" si="2"/>
        <v>C01517|Karan Das|20|South|Chennai|Standard|Referral|2/20/2025|28|Annual|Debit Card|1,413|1|1|30.20|3|9/6/2025|28/09/2025|Churned|Cloud Storage</v>
      </c>
      <c r="W171" s="13">
        <f t="shared" si="3"/>
        <v>1</v>
      </c>
      <c r="X171" s="13">
        <f>IFERROR(__xludf.DUMMYFUNCTION("COUNTUNIQUE(FILTER($B$2:$B$1826,$A$2:$A$1826=A171))"),4.0)</f>
        <v>4</v>
      </c>
    </row>
    <row r="172">
      <c r="A172" s="13" t="s">
        <v>369</v>
      </c>
      <c r="B172" s="13" t="s">
        <v>281</v>
      </c>
      <c r="C172" s="14">
        <v>31.0</v>
      </c>
      <c r="D172" s="13" t="s">
        <v>85</v>
      </c>
      <c r="E172" s="13" t="s">
        <v>87</v>
      </c>
      <c r="F172" s="13" t="s">
        <v>62</v>
      </c>
      <c r="G172" s="13" t="s">
        <v>39</v>
      </c>
      <c r="H172" s="16">
        <v>44983.0</v>
      </c>
      <c r="I172" s="14">
        <v>18.0</v>
      </c>
      <c r="J172" s="13" t="s">
        <v>53</v>
      </c>
      <c r="K172" s="13" t="s">
        <v>41</v>
      </c>
      <c r="L172" s="14">
        <v>531.0</v>
      </c>
      <c r="M172" s="18" t="s">
        <v>173</v>
      </c>
      <c r="N172" s="18" t="s">
        <v>164</v>
      </c>
      <c r="O172" s="18">
        <v>32.5</v>
      </c>
      <c r="P172" s="18" t="s">
        <v>99</v>
      </c>
      <c r="Q172" s="16">
        <v>45542.0</v>
      </c>
      <c r="R172" s="16">
        <v>45056.0</v>
      </c>
      <c r="S172" s="13" t="s">
        <v>45</v>
      </c>
      <c r="T172" s="13" t="s">
        <v>72</v>
      </c>
      <c r="U172" s="13">
        <f t="shared" si="1"/>
        <v>3</v>
      </c>
      <c r="V172" s="13" t="str">
        <f t="shared" si="2"/>
        <v>C00921|Anita Reddy|31|West|Surat|Basic|Instagram|2/26/2023|18|Quarterly|Upi|531|5|3|32.50|4|9/7/2024|5/10/2023|Churned|Collaboration</v>
      </c>
      <c r="W172" s="13">
        <f t="shared" si="3"/>
        <v>1</v>
      </c>
      <c r="X172" s="13">
        <f>IFERROR(__xludf.DUMMYFUNCTION("COUNTUNIQUE(FILTER($B$2:$B$1826,$A$2:$A$1826=A172))"),3.0)</f>
        <v>3</v>
      </c>
    </row>
    <row r="173">
      <c r="A173" s="13" t="s">
        <v>526</v>
      </c>
      <c r="B173" s="13" t="s">
        <v>398</v>
      </c>
      <c r="C173" s="14">
        <v>62.0</v>
      </c>
      <c r="D173" s="13" t="s">
        <v>85</v>
      </c>
      <c r="E173" s="13" t="s">
        <v>92</v>
      </c>
      <c r="F173" s="13" t="s">
        <v>37</v>
      </c>
      <c r="G173" s="13" t="s">
        <v>80</v>
      </c>
      <c r="H173" s="16">
        <v>45365.0</v>
      </c>
      <c r="I173" s="14">
        <v>38.0</v>
      </c>
      <c r="J173" s="13" t="s">
        <v>40</v>
      </c>
      <c r="K173" s="13" t="s">
        <v>65</v>
      </c>
      <c r="L173" s="14">
        <v>1467.0</v>
      </c>
      <c r="M173" s="18" t="s">
        <v>98</v>
      </c>
      <c r="N173" s="18" t="s">
        <v>46</v>
      </c>
      <c r="O173" s="18">
        <v>31.2</v>
      </c>
      <c r="P173" s="18" t="s">
        <v>173</v>
      </c>
      <c r="Q173" s="16">
        <v>45994.0</v>
      </c>
      <c r="R173" s="16" t="s">
        <v>38</v>
      </c>
      <c r="S173" s="13" t="s">
        <v>529</v>
      </c>
      <c r="T173" s="13" t="s">
        <v>104</v>
      </c>
      <c r="U173" s="13">
        <f t="shared" si="1"/>
        <v>2</v>
      </c>
      <c r="V173" s="13" t="str">
        <f t="shared" si="2"/>
        <v>C01374|Vikram Sharma|62|West|Ahmedabad|Standard|Organic Search|3/14/2024|38|Monthly|Credit Card|1,467|1|0|31.20|5|12/3/2025||No|Analytics</v>
      </c>
      <c r="W173" s="13">
        <f t="shared" si="3"/>
        <v>1</v>
      </c>
      <c r="X173" s="13">
        <f>IFERROR(__xludf.DUMMYFUNCTION("COUNTUNIQUE(FILTER($B$2:$B$1826,$A$2:$A$1826=A173))"),2.0)</f>
        <v>2</v>
      </c>
    </row>
    <row r="174">
      <c r="A174" s="13" t="s">
        <v>532</v>
      </c>
      <c r="B174" s="13" t="s">
        <v>206</v>
      </c>
      <c r="C174" s="14">
        <v>50.0</v>
      </c>
      <c r="D174" s="13" t="s">
        <v>60</v>
      </c>
      <c r="E174" s="13" t="s">
        <v>61</v>
      </c>
      <c r="F174" s="13" t="s">
        <v>62</v>
      </c>
      <c r="G174" s="13" t="s">
        <v>52</v>
      </c>
      <c r="H174" s="16">
        <v>44851.0</v>
      </c>
      <c r="I174" s="14">
        <v>33.0</v>
      </c>
      <c r="J174" s="13" t="s">
        <v>64</v>
      </c>
      <c r="K174" s="13" t="s">
        <v>81</v>
      </c>
      <c r="L174" s="14">
        <v>804.0</v>
      </c>
      <c r="M174" s="18" t="s">
        <v>164</v>
      </c>
      <c r="N174" s="18" t="s">
        <v>46</v>
      </c>
      <c r="O174" s="18">
        <v>12.8</v>
      </c>
      <c r="P174" s="18" t="s">
        <v>89</v>
      </c>
      <c r="Q174" s="16">
        <v>45253.0</v>
      </c>
      <c r="R174" s="16" t="s">
        <v>38</v>
      </c>
      <c r="S174" s="13" t="s">
        <v>55</v>
      </c>
      <c r="T174" s="13" t="s">
        <v>47</v>
      </c>
      <c r="U174" s="13">
        <f t="shared" si="1"/>
        <v>2</v>
      </c>
      <c r="V174" s="13" t="str">
        <f t="shared" si="2"/>
        <v>C00489|Karan Patel|50|East|Kolkata|Basic|Facebook|10/17/2022|33|Annual|Debit Card|804|3|0|12.80|3.3|11/23/2023||Active|Cloud Storage</v>
      </c>
      <c r="W174" s="13">
        <f t="shared" si="3"/>
        <v>1</v>
      </c>
      <c r="X174" s="13">
        <f>IFERROR(__xludf.DUMMYFUNCTION("COUNTUNIQUE(FILTER($B$2:$B$1826,$A$2:$A$1826=A174))"),2.0)</f>
        <v>2</v>
      </c>
    </row>
    <row r="175">
      <c r="A175" s="13" t="s">
        <v>536</v>
      </c>
      <c r="B175" s="13" t="s">
        <v>333</v>
      </c>
      <c r="C175" s="14">
        <v>54.0</v>
      </c>
      <c r="D175" s="13" t="s">
        <v>69</v>
      </c>
      <c r="E175" s="13" t="s">
        <v>119</v>
      </c>
      <c r="F175" s="13" t="s">
        <v>62</v>
      </c>
      <c r="G175" s="13" t="s">
        <v>39</v>
      </c>
      <c r="H175" s="16">
        <v>45206.0</v>
      </c>
      <c r="I175" s="14">
        <v>29.0</v>
      </c>
      <c r="J175" s="13" t="s">
        <v>64</v>
      </c>
      <c r="K175" s="13" t="s">
        <v>81</v>
      </c>
      <c r="L175" s="14">
        <v>682.0</v>
      </c>
      <c r="M175" s="18" t="s">
        <v>164</v>
      </c>
      <c r="N175" s="18" t="s">
        <v>164</v>
      </c>
      <c r="O175" s="18">
        <v>22.9</v>
      </c>
      <c r="P175" s="18" t="s">
        <v>158</v>
      </c>
      <c r="Q175" s="16">
        <v>45355.0</v>
      </c>
      <c r="R175" s="16" t="s">
        <v>38</v>
      </c>
      <c r="S175" s="13" t="s">
        <v>55</v>
      </c>
      <c r="T175" s="13" t="s">
        <v>75</v>
      </c>
      <c r="U175" s="13">
        <f t="shared" si="1"/>
        <v>2</v>
      </c>
      <c r="V175" s="13" t="str">
        <f t="shared" si="2"/>
        <v>C01137|Neha Das|54|South|Kochi|Basic|Instagram|10/7/2023|29|Annual|Debit Card|682|3|3|22.90|4.7|3/4/2024||Active|Security</v>
      </c>
      <c r="W175" s="13">
        <f t="shared" si="3"/>
        <v>1</v>
      </c>
      <c r="X175" s="13">
        <f>IFERROR(__xludf.DUMMYFUNCTION("COUNTUNIQUE(FILTER($B$2:$B$1826,$A$2:$A$1826=A175))"),2.0)</f>
        <v>2</v>
      </c>
    </row>
    <row r="176">
      <c r="A176" s="13" t="s">
        <v>541</v>
      </c>
      <c r="B176" s="13" t="s">
        <v>331</v>
      </c>
      <c r="C176" s="14">
        <v>33.0</v>
      </c>
      <c r="D176" s="13" t="s">
        <v>85</v>
      </c>
      <c r="E176" s="13" t="s">
        <v>87</v>
      </c>
      <c r="F176" s="13" t="s">
        <v>37</v>
      </c>
      <c r="G176" s="13" t="s">
        <v>120</v>
      </c>
      <c r="H176" s="16">
        <v>45562.0</v>
      </c>
      <c r="I176" s="14">
        <v>11.0</v>
      </c>
      <c r="J176" s="13" t="s">
        <v>64</v>
      </c>
      <c r="K176" s="13" t="s">
        <v>65</v>
      </c>
      <c r="L176" s="14">
        <v>1778.0</v>
      </c>
      <c r="M176" s="18" t="s">
        <v>46</v>
      </c>
      <c r="N176" s="18" t="s">
        <v>46</v>
      </c>
      <c r="O176" s="18">
        <v>24.0</v>
      </c>
      <c r="P176" s="18" t="s">
        <v>130</v>
      </c>
      <c r="Q176" s="16">
        <v>45721.0</v>
      </c>
      <c r="R176" s="16" t="s">
        <v>38</v>
      </c>
      <c r="S176" s="13" t="s">
        <v>55</v>
      </c>
      <c r="T176" s="13" t="s">
        <v>47</v>
      </c>
      <c r="U176" s="13">
        <f t="shared" si="1"/>
        <v>1</v>
      </c>
      <c r="V176" s="13" t="str">
        <f t="shared" si="2"/>
        <v>C00838|Arun Iyer|33|West|Surat|Standard|Email|9/27/2024|11|Annual|Credit Card|1,778|0|0|24.00|3.9|3/5/2025||Active|Cloud Storage</v>
      </c>
      <c r="W176" s="13">
        <f t="shared" si="3"/>
        <v>1</v>
      </c>
      <c r="X176" s="13">
        <f>IFERROR(__xludf.DUMMYFUNCTION("COUNTUNIQUE(FILTER($B$2:$B$1826,$A$2:$A$1826=A176))"),1.0)</f>
        <v>1</v>
      </c>
    </row>
    <row r="177">
      <c r="A177" s="13" t="s">
        <v>542</v>
      </c>
      <c r="B177" s="13" t="s">
        <v>345</v>
      </c>
      <c r="C177" s="14">
        <v>53.0</v>
      </c>
      <c r="D177" s="13" t="s">
        <v>85</v>
      </c>
      <c r="E177" s="13" t="s">
        <v>87</v>
      </c>
      <c r="F177" s="13" t="s">
        <v>37</v>
      </c>
      <c r="G177" s="13" t="s">
        <v>63</v>
      </c>
      <c r="H177" s="16">
        <v>45734.0</v>
      </c>
      <c r="I177" s="14">
        <v>8.0</v>
      </c>
      <c r="J177" s="13" t="s">
        <v>40</v>
      </c>
      <c r="K177" s="13" t="s">
        <v>65</v>
      </c>
      <c r="L177" s="14">
        <v>1374.0</v>
      </c>
      <c r="M177" s="18" t="s">
        <v>164</v>
      </c>
      <c r="N177" s="18" t="s">
        <v>98</v>
      </c>
      <c r="O177" s="18">
        <v>36.7</v>
      </c>
      <c r="P177" s="18" t="s">
        <v>48</v>
      </c>
      <c r="Q177" s="16">
        <v>45954.0</v>
      </c>
      <c r="R177" s="16" t="s">
        <v>38</v>
      </c>
      <c r="S177" s="13" t="s">
        <v>55</v>
      </c>
      <c r="T177" s="13" t="s">
        <v>104</v>
      </c>
      <c r="U177" s="13">
        <f t="shared" si="1"/>
        <v>2</v>
      </c>
      <c r="V177" s="13" t="str">
        <f t="shared" si="2"/>
        <v>C01599|Arun Nair|53|West|Surat|Standard|Google Ads|3/18/2025|8|Monthly|Credit Card|1,374|3|1|36.70|3.6|10/24/2025||Active|Analytics</v>
      </c>
      <c r="W177" s="13">
        <f t="shared" si="3"/>
        <v>1</v>
      </c>
      <c r="X177" s="13">
        <f>IFERROR(__xludf.DUMMYFUNCTION("COUNTUNIQUE(FILTER($B$2:$B$1826,$A$2:$A$1826=A177))"),2.0)</f>
        <v>2</v>
      </c>
    </row>
    <row r="178">
      <c r="A178" s="13" t="s">
        <v>543</v>
      </c>
      <c r="B178" s="13" t="s">
        <v>362</v>
      </c>
      <c r="C178" s="14">
        <v>66.0</v>
      </c>
      <c r="D178" s="13" t="s">
        <v>69</v>
      </c>
      <c r="E178" s="13" t="s">
        <v>177</v>
      </c>
      <c r="F178" s="13" t="s">
        <v>79</v>
      </c>
      <c r="G178" s="13" t="s">
        <v>63</v>
      </c>
      <c r="H178" s="16">
        <v>45483.0</v>
      </c>
      <c r="I178" s="14">
        <v>17.0</v>
      </c>
      <c r="J178" s="13" t="s">
        <v>64</v>
      </c>
      <c r="K178" s="13" t="s">
        <v>81</v>
      </c>
      <c r="L178" s="14">
        <v>3771.0</v>
      </c>
      <c r="M178" s="18" t="s">
        <v>99</v>
      </c>
      <c r="N178" s="18" t="s">
        <v>46</v>
      </c>
      <c r="O178" s="18">
        <v>25.5</v>
      </c>
      <c r="P178" s="18" t="s">
        <v>173</v>
      </c>
      <c r="Q178" s="16">
        <v>45613.0</v>
      </c>
      <c r="R178" s="16" t="s">
        <v>38</v>
      </c>
      <c r="S178" s="13" t="s">
        <v>55</v>
      </c>
      <c r="T178" s="13" t="s">
        <v>72</v>
      </c>
      <c r="U178" s="13">
        <f t="shared" si="1"/>
        <v>3</v>
      </c>
      <c r="V178" s="13" t="str">
        <f t="shared" si="2"/>
        <v>C01508|Neha Singh|66|South|Hyderabad|Premium|Google Ads|7/10/2024|17|Annual|Debit Card|3,771|4|0|25.50|5|11/17/2024||Active|Collaboration</v>
      </c>
      <c r="W178" s="13">
        <f t="shared" si="3"/>
        <v>1</v>
      </c>
      <c r="X178" s="13">
        <f>IFERROR(__xludf.DUMMYFUNCTION("COUNTUNIQUE(FILTER($B$2:$B$1826,$A$2:$A$1826=A178))"),3.0)</f>
        <v>3</v>
      </c>
    </row>
    <row r="179">
      <c r="A179" s="13" t="s">
        <v>544</v>
      </c>
      <c r="B179" s="13" t="s">
        <v>145</v>
      </c>
      <c r="C179" s="14">
        <v>39.0</v>
      </c>
      <c r="D179" s="13" t="s">
        <v>85</v>
      </c>
      <c r="E179" s="13" t="s">
        <v>111</v>
      </c>
      <c r="F179" s="13" t="s">
        <v>79</v>
      </c>
      <c r="G179" s="13" t="s">
        <v>128</v>
      </c>
      <c r="H179" s="16">
        <v>44985.0</v>
      </c>
      <c r="I179" s="14">
        <v>14.0</v>
      </c>
      <c r="J179" s="13" t="s">
        <v>64</v>
      </c>
      <c r="K179" s="13" t="s">
        <v>65</v>
      </c>
      <c r="L179" s="14">
        <v>1358.0</v>
      </c>
      <c r="M179" s="18" t="s">
        <v>98</v>
      </c>
      <c r="N179" s="18" t="s">
        <v>43</v>
      </c>
      <c r="O179" s="18">
        <v>34.4</v>
      </c>
      <c r="P179" s="18" t="s">
        <v>130</v>
      </c>
      <c r="Q179" s="16">
        <v>45138.0</v>
      </c>
      <c r="R179" s="16" t="s">
        <v>545</v>
      </c>
      <c r="S179" s="13" t="s">
        <v>45</v>
      </c>
      <c r="T179" s="13" t="s">
        <v>72</v>
      </c>
      <c r="U179" s="13">
        <f t="shared" si="1"/>
        <v>5</v>
      </c>
      <c r="V179" s="13" t="str">
        <f t="shared" si="2"/>
        <v>C01456|Ravi Patel|39|West|Pune|Premium|Youtube|2/28/2023|14|Annual|Credit Card|1,358|1|2|34.40|3.9|7/31/2023|29/01/2024|Churned|Collaboration</v>
      </c>
      <c r="W179" s="13">
        <f t="shared" si="3"/>
        <v>1</v>
      </c>
      <c r="X179" s="13">
        <f>IFERROR(__xludf.DUMMYFUNCTION("COUNTUNIQUE(FILTER($B$2:$B$1826,$A$2:$A$1826=A179))"),5.0)</f>
        <v>5</v>
      </c>
    </row>
    <row r="180">
      <c r="A180" s="13" t="s">
        <v>546</v>
      </c>
      <c r="B180" s="13" t="s">
        <v>405</v>
      </c>
      <c r="C180" s="14">
        <v>34.0</v>
      </c>
      <c r="D180" s="13" t="s">
        <v>60</v>
      </c>
      <c r="E180" s="13" t="s">
        <v>61</v>
      </c>
      <c r="F180" s="13" t="s">
        <v>62</v>
      </c>
      <c r="G180" s="13" t="s">
        <v>128</v>
      </c>
      <c r="H180" s="16">
        <v>45404.0</v>
      </c>
      <c r="I180" s="14">
        <v>4.0</v>
      </c>
      <c r="J180" s="13" t="s">
        <v>64</v>
      </c>
      <c r="K180" s="13" t="s">
        <v>65</v>
      </c>
      <c r="L180" s="14">
        <v>834.0</v>
      </c>
      <c r="M180" s="18" t="s">
        <v>98</v>
      </c>
      <c r="N180" s="18" t="s">
        <v>98</v>
      </c>
      <c r="O180" s="18">
        <v>22.0</v>
      </c>
      <c r="P180" s="18" t="s">
        <v>130</v>
      </c>
      <c r="Q180" s="16">
        <v>45447.0</v>
      </c>
      <c r="R180" s="16" t="s">
        <v>548</v>
      </c>
      <c r="S180" s="13" t="s">
        <v>45</v>
      </c>
      <c r="T180" s="13" t="s">
        <v>75</v>
      </c>
      <c r="U180" s="13">
        <f t="shared" si="1"/>
        <v>5</v>
      </c>
      <c r="V180" s="13" t="str">
        <f t="shared" si="2"/>
        <v>C01173|Rahul Reddy|34|East|Kolkata|Basic|Youtube|4/22/2024|4|Annual|Credit Card|834|1|1|22.00|3.9|6/4/2024|22/06/2024|Churned|Security</v>
      </c>
      <c r="W180" s="13">
        <f t="shared" si="3"/>
        <v>1</v>
      </c>
      <c r="X180" s="13">
        <f>IFERROR(__xludf.DUMMYFUNCTION("COUNTUNIQUE(FILTER($B$2:$B$1826,$A$2:$A$1826=A180))"),5.0)</f>
        <v>5</v>
      </c>
    </row>
    <row r="181">
      <c r="A181" s="13" t="s">
        <v>549</v>
      </c>
      <c r="B181" s="13" t="s">
        <v>110</v>
      </c>
      <c r="C181" s="14">
        <v>39.0</v>
      </c>
      <c r="D181" s="13" t="s">
        <v>60</v>
      </c>
      <c r="E181" s="13" t="s">
        <v>133</v>
      </c>
      <c r="F181" s="13" t="s">
        <v>62</v>
      </c>
      <c r="G181" s="13" t="s">
        <v>63</v>
      </c>
      <c r="H181" s="16">
        <v>45859.0</v>
      </c>
      <c r="I181" s="14">
        <v>6.0</v>
      </c>
      <c r="J181" s="13" t="s">
        <v>64</v>
      </c>
      <c r="K181" s="13" t="s">
        <v>41</v>
      </c>
      <c r="L181" s="14">
        <v>882.0</v>
      </c>
      <c r="M181" s="18" t="s">
        <v>43</v>
      </c>
      <c r="N181" s="18" t="s">
        <v>98</v>
      </c>
      <c r="O181" s="18">
        <v>17.8</v>
      </c>
      <c r="P181" s="18" t="s">
        <v>400</v>
      </c>
      <c r="Q181" s="16">
        <v>45963.0</v>
      </c>
      <c r="R181" s="16" t="s">
        <v>38</v>
      </c>
      <c r="S181" s="13" t="s">
        <v>55</v>
      </c>
      <c r="T181" s="13" t="s">
        <v>104</v>
      </c>
      <c r="U181" s="13">
        <f t="shared" si="1"/>
        <v>3</v>
      </c>
      <c r="V181" s="13" t="str">
        <f t="shared" si="2"/>
        <v>C00292|Sneha Nair|39|East|Guwahati|Basic|Google Ads|7/21/2025|6|Annual|Upi|882|2|1|17.80|4.8|11/2/2025||Active|Analytics</v>
      </c>
      <c r="W181" s="13">
        <f t="shared" si="3"/>
        <v>1</v>
      </c>
      <c r="X181" s="13">
        <f>IFERROR(__xludf.DUMMYFUNCTION("COUNTUNIQUE(FILTER($B$2:$B$1826,$A$2:$A$1826=A181))"),3.0)</f>
        <v>3</v>
      </c>
    </row>
    <row r="182">
      <c r="A182" s="13" t="s">
        <v>553</v>
      </c>
      <c r="B182" s="13" t="s">
        <v>224</v>
      </c>
      <c r="C182" s="14">
        <v>40.0</v>
      </c>
      <c r="D182" s="13" t="s">
        <v>85</v>
      </c>
      <c r="E182" s="13" t="s">
        <v>92</v>
      </c>
      <c r="F182" s="13" t="s">
        <v>79</v>
      </c>
      <c r="G182" s="13" t="s">
        <v>128</v>
      </c>
      <c r="H182" s="16">
        <v>45656.0</v>
      </c>
      <c r="I182" s="14">
        <v>26.0</v>
      </c>
      <c r="J182" s="13" t="s">
        <v>40</v>
      </c>
      <c r="K182" s="13" t="s">
        <v>81</v>
      </c>
      <c r="L182" s="14">
        <v>3012.0</v>
      </c>
      <c r="M182" s="18" t="s">
        <v>43</v>
      </c>
      <c r="N182" s="18" t="s">
        <v>98</v>
      </c>
      <c r="O182" s="18">
        <v>28.8</v>
      </c>
      <c r="P182" s="18" t="s">
        <v>99</v>
      </c>
      <c r="Q182" s="16">
        <v>45940.0</v>
      </c>
      <c r="R182" s="16" t="s">
        <v>38</v>
      </c>
      <c r="S182" s="13" t="s">
        <v>55</v>
      </c>
      <c r="T182" s="13" t="s">
        <v>47</v>
      </c>
      <c r="U182" s="13">
        <f t="shared" si="1"/>
        <v>1</v>
      </c>
      <c r="V182" s="13" t="str">
        <f t="shared" si="2"/>
        <v>C01497|Anita Iyer|40|West|Ahmedabad|Premium|Youtube|12/30/2024|26|Monthly|Debit Card|3,012|2|1|28.80|4|10/10/2025||Active|Cloud Storage</v>
      </c>
      <c r="W182" s="13">
        <f t="shared" si="3"/>
        <v>1</v>
      </c>
      <c r="X182" s="13">
        <f>IFERROR(__xludf.DUMMYFUNCTION("COUNTUNIQUE(FILTER($B$2:$B$1826,$A$2:$A$1826=A182))"),1.0)</f>
        <v>1</v>
      </c>
    </row>
    <row r="183">
      <c r="A183" s="13" t="s">
        <v>302</v>
      </c>
      <c r="B183" s="13" t="s">
        <v>110</v>
      </c>
      <c r="C183" s="14">
        <v>19.0</v>
      </c>
      <c r="D183" s="13" t="s">
        <v>85</v>
      </c>
      <c r="E183" s="13" t="s">
        <v>92</v>
      </c>
      <c r="F183" s="13" t="s">
        <v>79</v>
      </c>
      <c r="G183" s="13" t="s">
        <v>128</v>
      </c>
      <c r="H183" s="16">
        <v>44661.0</v>
      </c>
      <c r="I183" s="14">
        <v>3.0</v>
      </c>
      <c r="J183" s="13" t="s">
        <v>53</v>
      </c>
      <c r="K183" s="13" t="s">
        <v>41</v>
      </c>
      <c r="L183" s="14">
        <v>2253.0</v>
      </c>
      <c r="M183" s="18" t="s">
        <v>43</v>
      </c>
      <c r="N183" s="18" t="s">
        <v>46</v>
      </c>
      <c r="O183" s="18">
        <v>34.3</v>
      </c>
      <c r="P183" s="18" t="s">
        <v>99</v>
      </c>
      <c r="Q183" s="16">
        <v>44691.0</v>
      </c>
      <c r="R183" s="16" t="s">
        <v>38</v>
      </c>
      <c r="S183" s="13" t="s">
        <v>55</v>
      </c>
      <c r="T183" s="13" t="s">
        <v>47</v>
      </c>
      <c r="U183" s="13">
        <f t="shared" si="1"/>
        <v>2</v>
      </c>
      <c r="V183" s="13" t="str">
        <f t="shared" si="2"/>
        <v>C01160|Sneha Nair|19|West|Ahmedabad|Premium|Youtube|4/10/2022|3|Quarterly|Upi|2,253|2|0|34.30|4|5/10/2022||Active|Cloud Storage</v>
      </c>
      <c r="W183" s="13">
        <f t="shared" si="3"/>
        <v>1</v>
      </c>
      <c r="X183" s="13">
        <f>IFERROR(__xludf.DUMMYFUNCTION("COUNTUNIQUE(FILTER($B$2:$B$1826,$A$2:$A$1826=A183))"),2.0)</f>
        <v>2</v>
      </c>
    </row>
    <row r="184">
      <c r="A184" s="13" t="s">
        <v>567</v>
      </c>
      <c r="B184" s="13" t="s">
        <v>202</v>
      </c>
      <c r="C184" s="14">
        <v>59.0</v>
      </c>
      <c r="D184" s="13" t="s">
        <v>60</v>
      </c>
      <c r="E184" s="13" t="s">
        <v>97</v>
      </c>
      <c r="F184" s="13" t="s">
        <v>79</v>
      </c>
      <c r="G184" s="13" t="s">
        <v>80</v>
      </c>
      <c r="H184" s="16">
        <v>44753.0</v>
      </c>
      <c r="I184" s="14">
        <v>42.0</v>
      </c>
      <c r="J184" s="13" t="s">
        <v>53</v>
      </c>
      <c r="K184" s="13" t="s">
        <v>81</v>
      </c>
      <c r="L184" s="14">
        <v>3359.0</v>
      </c>
      <c r="M184" s="18" t="s">
        <v>43</v>
      </c>
      <c r="N184" s="18" t="s">
        <v>46</v>
      </c>
      <c r="O184" s="18">
        <v>38.6</v>
      </c>
      <c r="P184" s="18" t="s">
        <v>456</v>
      </c>
      <c r="Q184" s="16">
        <v>45101.0</v>
      </c>
      <c r="R184" s="16" t="s">
        <v>38</v>
      </c>
      <c r="S184" s="13" t="s">
        <v>55</v>
      </c>
      <c r="T184" s="13" t="s">
        <v>47</v>
      </c>
      <c r="U184" s="13">
        <f t="shared" si="1"/>
        <v>1</v>
      </c>
      <c r="V184" s="13" t="str">
        <f t="shared" si="2"/>
        <v>C01332|Arun Das|59|East|Bhubaneswar|Premium|Organic Search|7/11/2022|42|Quarterly|Debit Card|3,359|2|0|38.60|2.5|6/24/2023||Active|Cloud Storage</v>
      </c>
      <c r="W184" s="13">
        <f t="shared" si="3"/>
        <v>1</v>
      </c>
      <c r="X184" s="13">
        <f>IFERROR(__xludf.DUMMYFUNCTION("COUNTUNIQUE(FILTER($B$2:$B$1826,$A$2:$A$1826=A184))"),1.0)</f>
        <v>1</v>
      </c>
    </row>
    <row r="185">
      <c r="A185" s="13" t="s">
        <v>579</v>
      </c>
      <c r="B185" s="13" t="s">
        <v>295</v>
      </c>
      <c r="C185" s="14">
        <v>26.0</v>
      </c>
      <c r="D185" s="13" t="s">
        <v>35</v>
      </c>
      <c r="E185" s="13" t="s">
        <v>36</v>
      </c>
      <c r="F185" s="13" t="s">
        <v>62</v>
      </c>
      <c r="G185" s="13" t="s">
        <v>120</v>
      </c>
      <c r="H185" s="16">
        <v>44721.0</v>
      </c>
      <c r="I185" s="14">
        <v>9.0</v>
      </c>
      <c r="J185" s="13" t="s">
        <v>53</v>
      </c>
      <c r="K185" s="13" t="s">
        <v>81</v>
      </c>
      <c r="L185" s="14">
        <v>764.0</v>
      </c>
      <c r="M185" s="18" t="s">
        <v>98</v>
      </c>
      <c r="N185" s="18" t="s">
        <v>46</v>
      </c>
      <c r="O185" s="18">
        <v>30.0</v>
      </c>
      <c r="P185" s="18" t="s">
        <v>150</v>
      </c>
      <c r="Q185" s="16">
        <v>44735.0</v>
      </c>
      <c r="R185" s="16" t="s">
        <v>38</v>
      </c>
      <c r="S185" s="13" t="s">
        <v>55</v>
      </c>
      <c r="T185" s="13" t="s">
        <v>47</v>
      </c>
      <c r="U185" s="13">
        <f t="shared" si="1"/>
        <v>1</v>
      </c>
      <c r="V185" s="13" t="str">
        <f t="shared" si="2"/>
        <v>C00880|Arun Reddy|26|North|Delhi|Basic|Email|6/9/2022|9|Quarterly|Debit Card|764|1|0|30.00|4.5|6/23/2022||Active|Cloud Storage</v>
      </c>
      <c r="W185" s="13">
        <f t="shared" si="3"/>
        <v>1</v>
      </c>
      <c r="X185" s="13">
        <f>IFERROR(__xludf.DUMMYFUNCTION("COUNTUNIQUE(FILTER($B$2:$B$1826,$A$2:$A$1826=A185))"),1.0)</f>
        <v>1</v>
      </c>
    </row>
    <row r="186">
      <c r="A186" s="13" t="s">
        <v>581</v>
      </c>
      <c r="B186" s="13" t="s">
        <v>106</v>
      </c>
      <c r="C186" s="14">
        <v>23.0</v>
      </c>
      <c r="D186" s="13" t="s">
        <v>35</v>
      </c>
      <c r="E186" s="13" t="s">
        <v>51</v>
      </c>
      <c r="F186" s="13" t="s">
        <v>62</v>
      </c>
      <c r="G186" s="13" t="s">
        <v>52</v>
      </c>
      <c r="H186" s="16">
        <v>44771.0</v>
      </c>
      <c r="I186" s="14">
        <v>7.0</v>
      </c>
      <c r="J186" s="13" t="s">
        <v>64</v>
      </c>
      <c r="K186" s="13" t="s">
        <v>81</v>
      </c>
      <c r="L186" s="14">
        <v>652.0</v>
      </c>
      <c r="M186" s="18" t="s">
        <v>173</v>
      </c>
      <c r="N186" s="18" t="s">
        <v>46</v>
      </c>
      <c r="O186" s="18">
        <v>24.8</v>
      </c>
      <c r="P186" s="18" t="s">
        <v>400</v>
      </c>
      <c r="Q186" s="16">
        <v>44979.0</v>
      </c>
      <c r="R186" s="16" t="s">
        <v>38</v>
      </c>
      <c r="S186" s="13" t="s">
        <v>55</v>
      </c>
      <c r="T186" s="13" t="s">
        <v>104</v>
      </c>
      <c r="U186" s="13">
        <f t="shared" si="1"/>
        <v>2</v>
      </c>
      <c r="V186" s="13" t="str">
        <f t="shared" si="2"/>
        <v>C00979|Rahul Patel|23|North|Jaipur|Basic|Facebook|7/29/2022|7|Annual|Debit Card|652|5|0|24.80|4.8|2/22/2023||Active|Analytics</v>
      </c>
      <c r="W186" s="13">
        <f t="shared" si="3"/>
        <v>1</v>
      </c>
      <c r="X186" s="13">
        <f>IFERROR(__xludf.DUMMYFUNCTION("COUNTUNIQUE(FILTER($B$2:$B$1826,$A$2:$A$1826=A186))"),2.0)</f>
        <v>2</v>
      </c>
    </row>
    <row r="187">
      <c r="A187" s="13" t="s">
        <v>582</v>
      </c>
      <c r="B187" s="13" t="s">
        <v>215</v>
      </c>
      <c r="C187" s="14">
        <v>25.0</v>
      </c>
      <c r="D187" s="13" t="s">
        <v>69</v>
      </c>
      <c r="E187" s="13" t="s">
        <v>119</v>
      </c>
      <c r="F187" s="13" t="s">
        <v>62</v>
      </c>
      <c r="G187" s="13" t="s">
        <v>39</v>
      </c>
      <c r="H187" s="16">
        <v>45848.0</v>
      </c>
      <c r="I187" s="14">
        <v>48.0</v>
      </c>
      <c r="J187" s="13" t="s">
        <v>40</v>
      </c>
      <c r="K187" s="13" t="s">
        <v>41</v>
      </c>
      <c r="L187" s="14">
        <v>709.0</v>
      </c>
      <c r="M187" s="18" t="s">
        <v>43</v>
      </c>
      <c r="N187" s="18" t="s">
        <v>46</v>
      </c>
      <c r="O187" s="18">
        <v>17.4</v>
      </c>
      <c r="P187" s="18" t="s">
        <v>203</v>
      </c>
      <c r="Q187" s="16">
        <v>46764.0</v>
      </c>
      <c r="R187" s="16" t="s">
        <v>38</v>
      </c>
      <c r="S187" s="13" t="s">
        <v>55</v>
      </c>
      <c r="T187" s="13" t="s">
        <v>66</v>
      </c>
      <c r="U187" s="13">
        <f t="shared" si="1"/>
        <v>1</v>
      </c>
      <c r="V187" s="13" t="str">
        <f t="shared" si="2"/>
        <v>C01250|Neha Sharma|25|South|Kochi|Basic|Instagram|7/10/2025|48|Monthly|Upi|709|2|0|17.40|3.7|1/12/2028||Active|Automation</v>
      </c>
      <c r="W187" s="13">
        <f t="shared" si="3"/>
        <v>1</v>
      </c>
      <c r="X187" s="13">
        <f>IFERROR(__xludf.DUMMYFUNCTION("COUNTUNIQUE(FILTER($B$2:$B$1826,$A$2:$A$1826=A187))"),1.0)</f>
        <v>1</v>
      </c>
    </row>
    <row r="188">
      <c r="A188" s="13" t="s">
        <v>725</v>
      </c>
      <c r="B188" s="13" t="s">
        <v>232</v>
      </c>
      <c r="C188" s="14">
        <v>68.0</v>
      </c>
      <c r="D188" s="13" t="s">
        <v>85</v>
      </c>
      <c r="E188" s="13" t="s">
        <v>92</v>
      </c>
      <c r="F188" s="13" t="s">
        <v>79</v>
      </c>
      <c r="G188" s="13" t="s">
        <v>210</v>
      </c>
      <c r="H188" s="16">
        <v>44848.0</v>
      </c>
      <c r="I188" s="14">
        <v>16.0</v>
      </c>
      <c r="J188" s="13" t="s">
        <v>64</v>
      </c>
      <c r="K188" s="13" t="s">
        <v>41</v>
      </c>
      <c r="L188" s="14">
        <v>3132.0</v>
      </c>
      <c r="M188" s="18" t="s">
        <v>43</v>
      </c>
      <c r="N188" s="18" t="s">
        <v>46</v>
      </c>
      <c r="O188" s="18">
        <v>43.9</v>
      </c>
      <c r="P188" s="18" t="s">
        <v>48</v>
      </c>
      <c r="Q188" s="16">
        <v>45165.0</v>
      </c>
      <c r="R188" s="16" t="s">
        <v>38</v>
      </c>
      <c r="S188" s="13" t="s">
        <v>55</v>
      </c>
      <c r="T188" s="13" t="s">
        <v>72</v>
      </c>
      <c r="U188" s="13">
        <f t="shared" si="1"/>
        <v>1</v>
      </c>
      <c r="V188" s="13" t="str">
        <f t="shared" si="2"/>
        <v>C01496|Meera Iyer|68|West|Ahmedabad|Premium|Referral|10/14/2022|16|Annual|Upi|3,132|2|0|43.90|3.6|8/27/2023||Active|Collaboration</v>
      </c>
      <c r="W188" s="13">
        <f t="shared" si="3"/>
        <v>1</v>
      </c>
      <c r="X188" s="13">
        <f>IFERROR(__xludf.DUMMYFUNCTION("COUNTUNIQUE(FILTER($B$2:$B$1826,$A$2:$A$1826=A188))"),1.0)</f>
        <v>1</v>
      </c>
    </row>
    <row r="189">
      <c r="A189" s="13" t="s">
        <v>585</v>
      </c>
      <c r="B189" s="13" t="s">
        <v>303</v>
      </c>
      <c r="C189" s="14">
        <v>42.0</v>
      </c>
      <c r="D189" s="13" t="s">
        <v>69</v>
      </c>
      <c r="E189" s="13" t="s">
        <v>119</v>
      </c>
      <c r="F189" s="13" t="s">
        <v>62</v>
      </c>
      <c r="G189" s="13" t="s">
        <v>63</v>
      </c>
      <c r="H189" s="16">
        <v>45052.0</v>
      </c>
      <c r="I189" s="14">
        <v>32.0</v>
      </c>
      <c r="J189" s="13" t="s">
        <v>53</v>
      </c>
      <c r="K189" s="13" t="s">
        <v>41</v>
      </c>
      <c r="L189" s="14">
        <v>622.0</v>
      </c>
      <c r="M189" s="18" t="s">
        <v>43</v>
      </c>
      <c r="N189" s="18" t="s">
        <v>98</v>
      </c>
      <c r="O189" s="18">
        <v>25.3</v>
      </c>
      <c r="P189" s="18" t="s">
        <v>99</v>
      </c>
      <c r="Q189" s="16">
        <v>45670.0</v>
      </c>
      <c r="R189" s="16" t="s">
        <v>38</v>
      </c>
      <c r="S189" s="13" t="s">
        <v>529</v>
      </c>
      <c r="T189" s="13" t="s">
        <v>75</v>
      </c>
      <c r="U189" s="13">
        <f t="shared" si="1"/>
        <v>2</v>
      </c>
      <c r="V189" s="13" t="str">
        <f t="shared" si="2"/>
        <v>C00421|Priya Kumar|42|South|Kochi|Basic|Google Ads|5/6/2023|32|Quarterly|Upi|622|2|1|25.30|4|1/13/2025||No|Security</v>
      </c>
      <c r="W189" s="13">
        <f t="shared" si="3"/>
        <v>1</v>
      </c>
      <c r="X189" s="13">
        <f>IFERROR(__xludf.DUMMYFUNCTION("COUNTUNIQUE(FILTER($B$2:$B$1826,$A$2:$A$1826=A189))"),2.0)</f>
        <v>2</v>
      </c>
    </row>
    <row r="190">
      <c r="A190" s="13" t="s">
        <v>588</v>
      </c>
      <c r="B190" s="13" t="s">
        <v>132</v>
      </c>
      <c r="C190" s="14">
        <v>44.0</v>
      </c>
      <c r="D190" s="13" t="s">
        <v>85</v>
      </c>
      <c r="E190" s="13" t="s">
        <v>92</v>
      </c>
      <c r="F190" s="13" t="s">
        <v>79</v>
      </c>
      <c r="G190" s="13" t="s">
        <v>39</v>
      </c>
      <c r="H190" s="16">
        <v>45526.0</v>
      </c>
      <c r="I190" s="14">
        <v>5.0</v>
      </c>
      <c r="J190" s="13" t="s">
        <v>64</v>
      </c>
      <c r="K190" s="13" t="s">
        <v>65</v>
      </c>
      <c r="L190" s="14">
        <v>1013.0</v>
      </c>
      <c r="M190" s="18" t="s">
        <v>43</v>
      </c>
      <c r="N190" s="18" t="s">
        <v>98</v>
      </c>
      <c r="O190" s="18">
        <v>20.5</v>
      </c>
      <c r="P190" s="18" t="s">
        <v>275</v>
      </c>
      <c r="Q190" s="16">
        <v>45591.0</v>
      </c>
      <c r="R190" s="16" t="s">
        <v>38</v>
      </c>
      <c r="S190" s="13" t="s">
        <v>55</v>
      </c>
      <c r="T190" s="13" t="s">
        <v>66</v>
      </c>
      <c r="U190" s="13">
        <f t="shared" si="1"/>
        <v>2</v>
      </c>
      <c r="V190" s="13" t="str">
        <f t="shared" si="2"/>
        <v>C01165|Arun Kumar|44|West|Ahmedabad|Premium|Instagram|8/22/2024|5|Annual|Credit Card|1,013|2|1|20.50|4.3|10/26/2024||Active|Automation</v>
      </c>
      <c r="W190" s="13">
        <f t="shared" si="3"/>
        <v>1</v>
      </c>
      <c r="X190" s="13">
        <f>IFERROR(__xludf.DUMMYFUNCTION("COUNTUNIQUE(FILTER($B$2:$B$1826,$A$2:$A$1826=A190))"),2.0)</f>
        <v>2</v>
      </c>
    </row>
    <row r="191">
      <c r="A191" s="13" t="s">
        <v>590</v>
      </c>
      <c r="B191" s="13" t="s">
        <v>349</v>
      </c>
      <c r="C191" s="14">
        <v>28.0</v>
      </c>
      <c r="D191" s="13" t="s">
        <v>85</v>
      </c>
      <c r="E191" s="13" t="s">
        <v>87</v>
      </c>
      <c r="F191" s="13" t="s">
        <v>37</v>
      </c>
      <c r="G191" s="13" t="s">
        <v>63</v>
      </c>
      <c r="H191" s="16">
        <v>45873.0</v>
      </c>
      <c r="I191" s="14">
        <v>35.0</v>
      </c>
      <c r="J191" s="13" t="s">
        <v>64</v>
      </c>
      <c r="K191" s="13" t="s">
        <v>65</v>
      </c>
      <c r="L191" s="14">
        <v>1283.0</v>
      </c>
      <c r="M191" s="18" t="s">
        <v>173</v>
      </c>
      <c r="N191" s="18" t="s">
        <v>43</v>
      </c>
      <c r="O191" s="18">
        <v>26.5</v>
      </c>
      <c r="P191" s="18" t="s">
        <v>130</v>
      </c>
      <c r="Q191" s="16">
        <v>46517.0</v>
      </c>
      <c r="R191" s="16" t="s">
        <v>38</v>
      </c>
      <c r="S191" s="13" t="s">
        <v>55</v>
      </c>
      <c r="T191" s="13" t="s">
        <v>75</v>
      </c>
      <c r="U191" s="13">
        <f t="shared" si="1"/>
        <v>3</v>
      </c>
      <c r="V191" s="13" t="str">
        <f t="shared" si="2"/>
        <v>C01572|Priya Singh|28|West|Surat|Standard|Google Ads|8/4/2025|35|Annual|Credit Card|1,283|5|2|26.50|3.9|5/10/2027||Active|Security</v>
      </c>
      <c r="W191" s="13">
        <f t="shared" si="3"/>
        <v>1</v>
      </c>
      <c r="X191" s="13">
        <f>IFERROR(__xludf.DUMMYFUNCTION("COUNTUNIQUE(FILTER($B$2:$B$1826,$A$2:$A$1826=A191))"),3.0)</f>
        <v>3</v>
      </c>
    </row>
    <row r="192">
      <c r="A192" s="13" t="s">
        <v>591</v>
      </c>
      <c r="B192" s="13" t="s">
        <v>78</v>
      </c>
      <c r="C192" s="14">
        <v>26.0</v>
      </c>
      <c r="D192" s="13" t="s">
        <v>35</v>
      </c>
      <c r="E192" s="13" t="s">
        <v>161</v>
      </c>
      <c r="F192" s="13" t="s">
        <v>37</v>
      </c>
      <c r="G192" s="13" t="s">
        <v>52</v>
      </c>
      <c r="H192" s="16">
        <v>45050.0</v>
      </c>
      <c r="I192" s="14">
        <v>4.0</v>
      </c>
      <c r="J192" s="13" t="s">
        <v>40</v>
      </c>
      <c r="K192" s="13" t="s">
        <v>81</v>
      </c>
      <c r="L192" s="14">
        <v>1117.0</v>
      </c>
      <c r="M192" s="18" t="s">
        <v>43</v>
      </c>
      <c r="N192" s="18" t="s">
        <v>98</v>
      </c>
      <c r="O192" s="18">
        <v>29.6</v>
      </c>
      <c r="P192" s="18" t="s">
        <v>123</v>
      </c>
      <c r="Q192" s="16">
        <v>45074.0</v>
      </c>
      <c r="R192" s="16" t="s">
        <v>38</v>
      </c>
      <c r="S192" s="13" t="s">
        <v>55</v>
      </c>
      <c r="T192" s="13" t="s">
        <v>47</v>
      </c>
      <c r="U192" s="13">
        <f t="shared" si="1"/>
        <v>1</v>
      </c>
      <c r="V192" s="13" t="str">
        <f t="shared" si="2"/>
        <v>C01202|Vikram Patel|26|North|Chandigarh|Standard|Facebook|5/4/2023|4|Monthly|Debit Card|1,117|2|1|29.60|4.1|5/28/2023||Active|Cloud Storage</v>
      </c>
      <c r="W192" s="13">
        <f t="shared" si="3"/>
        <v>1</v>
      </c>
      <c r="X192" s="13">
        <f>IFERROR(__xludf.DUMMYFUNCTION("COUNTUNIQUE(FILTER($B$2:$B$1826,$A$2:$A$1826=A192))"),1.0)</f>
        <v>1</v>
      </c>
    </row>
    <row r="193">
      <c r="A193" s="13" t="s">
        <v>595</v>
      </c>
      <c r="B193" s="13" t="s">
        <v>398</v>
      </c>
      <c r="C193" s="14">
        <v>68.0</v>
      </c>
      <c r="D193" s="13" t="s">
        <v>60</v>
      </c>
      <c r="E193" s="13" t="s">
        <v>51</v>
      </c>
      <c r="F193" s="13" t="s">
        <v>37</v>
      </c>
      <c r="G193" s="13" t="s">
        <v>210</v>
      </c>
      <c r="H193" s="16">
        <v>45633.0</v>
      </c>
      <c r="I193" s="14">
        <v>34.0</v>
      </c>
      <c r="J193" s="13" t="s">
        <v>40</v>
      </c>
      <c r="K193" s="13" t="s">
        <v>65</v>
      </c>
      <c r="L193" s="14">
        <v>1264.0</v>
      </c>
      <c r="M193" s="18" t="s">
        <v>98</v>
      </c>
      <c r="N193" s="18" t="s">
        <v>43</v>
      </c>
      <c r="O193" s="18">
        <v>30.4</v>
      </c>
      <c r="P193" s="18" t="s">
        <v>164</v>
      </c>
      <c r="Q193" s="16">
        <v>46404.0</v>
      </c>
      <c r="R193" s="16" t="s">
        <v>601</v>
      </c>
      <c r="S193" s="13" t="s">
        <v>55</v>
      </c>
      <c r="T193" s="13" t="s">
        <v>75</v>
      </c>
      <c r="U193" s="13">
        <f t="shared" si="1"/>
        <v>2</v>
      </c>
      <c r="V193" s="13" t="str">
        <f t="shared" si="2"/>
        <v>C01437|Vikram Sharma|68|East|Jaipur|Standard|Referral|12/7/2024|34|Monthly|Credit Card|1,264|1|2|30.40|3|1/17/2027|15/05/2025|Active|Security</v>
      </c>
      <c r="W193" s="13">
        <f t="shared" si="3"/>
        <v>1</v>
      </c>
      <c r="X193" s="13">
        <f>IFERROR(__xludf.DUMMYFUNCTION("COUNTUNIQUE(FILTER($B$2:$B$1826,$A$2:$A$1826=A193))"),2.0)</f>
        <v>2</v>
      </c>
    </row>
    <row r="194">
      <c r="A194" s="13" t="s">
        <v>253</v>
      </c>
      <c r="B194" s="13" t="s">
        <v>605</v>
      </c>
      <c r="C194" s="14">
        <v>42.0</v>
      </c>
      <c r="D194" s="13" t="s">
        <v>35</v>
      </c>
      <c r="E194" s="13" t="s">
        <v>161</v>
      </c>
      <c r="F194" s="13" t="s">
        <v>37</v>
      </c>
      <c r="G194" s="13" t="s">
        <v>80</v>
      </c>
      <c r="H194" s="16">
        <v>45847.0</v>
      </c>
      <c r="I194" s="14">
        <v>5.0</v>
      </c>
      <c r="J194" s="13" t="s">
        <v>40</v>
      </c>
      <c r="K194" s="13" t="s">
        <v>65</v>
      </c>
      <c r="L194" s="14">
        <v>1367.0</v>
      </c>
      <c r="M194" s="18" t="s">
        <v>164</v>
      </c>
      <c r="N194" s="18" t="s">
        <v>164</v>
      </c>
      <c r="O194" s="18">
        <v>30.7</v>
      </c>
      <c r="P194" s="18" t="s">
        <v>173</v>
      </c>
      <c r="Q194" s="16">
        <v>45984.0</v>
      </c>
      <c r="R194" s="16" t="s">
        <v>38</v>
      </c>
      <c r="S194" s="13" t="s">
        <v>55</v>
      </c>
      <c r="T194" s="13" t="s">
        <v>104</v>
      </c>
      <c r="U194" s="13">
        <f t="shared" si="1"/>
        <v>2</v>
      </c>
      <c r="V194" s="13" t="str">
        <f t="shared" si="2"/>
        <v>C00558|Meera Patel|42|North|Chandigarh|Standard|Organic Search|7/9/2025|5|Monthly|Credit Card|1,367|3|3|30.70|5|11/23/2025||Active|Analytics</v>
      </c>
      <c r="W194" s="13">
        <f t="shared" si="3"/>
        <v>1</v>
      </c>
      <c r="X194" s="13">
        <f>IFERROR(__xludf.DUMMYFUNCTION("COUNTUNIQUE(FILTER($B$2:$B$1826,$A$2:$A$1826=A194))"),2.0)</f>
        <v>2</v>
      </c>
    </row>
    <row r="195">
      <c r="A195" s="13" t="s">
        <v>609</v>
      </c>
      <c r="B195" s="13" t="s">
        <v>96</v>
      </c>
      <c r="C195" s="14">
        <v>54.0</v>
      </c>
      <c r="D195" s="13" t="s">
        <v>60</v>
      </c>
      <c r="E195" s="13" t="s">
        <v>51</v>
      </c>
      <c r="F195" s="13" t="s">
        <v>37</v>
      </c>
      <c r="G195" s="13" t="s">
        <v>63</v>
      </c>
      <c r="H195" s="16">
        <v>44652.0</v>
      </c>
      <c r="I195" s="14">
        <v>1.0</v>
      </c>
      <c r="J195" s="13" t="s">
        <v>64</v>
      </c>
      <c r="K195" s="13" t="s">
        <v>81</v>
      </c>
      <c r="L195" s="14">
        <v>1371.0</v>
      </c>
      <c r="M195" s="18" t="s">
        <v>46</v>
      </c>
      <c r="N195" s="18" t="s">
        <v>98</v>
      </c>
      <c r="O195" s="18">
        <v>38.3</v>
      </c>
      <c r="P195" s="18" t="s">
        <v>233</v>
      </c>
      <c r="Q195" s="16">
        <v>44671.0</v>
      </c>
      <c r="R195" s="16" t="s">
        <v>38</v>
      </c>
      <c r="S195" s="13" t="s">
        <v>55</v>
      </c>
      <c r="T195" s="13" t="s">
        <v>75</v>
      </c>
      <c r="U195" s="13">
        <f t="shared" si="1"/>
        <v>1</v>
      </c>
      <c r="V195" s="13" t="str">
        <f t="shared" si="2"/>
        <v>C01176|Rahul Kumar|54|East|Jaipur|Standard|Google Ads|4/1/2022|1|Annual|Debit Card|1,371|0|1|38.30|3.5|4/20/2022||Active|Security</v>
      </c>
      <c r="W195" s="13">
        <f t="shared" si="3"/>
        <v>1</v>
      </c>
      <c r="X195" s="13">
        <f>IFERROR(__xludf.DUMMYFUNCTION("COUNTUNIQUE(FILTER($B$2:$B$1826,$A$2:$A$1826=A195))"),1.0)</f>
        <v>1</v>
      </c>
    </row>
    <row r="196">
      <c r="A196" s="13" t="s">
        <v>613</v>
      </c>
      <c r="B196" s="13" t="s">
        <v>160</v>
      </c>
      <c r="C196" s="14">
        <v>52.0</v>
      </c>
      <c r="D196" s="13" t="s">
        <v>60</v>
      </c>
      <c r="E196" s="13" t="s">
        <v>97</v>
      </c>
      <c r="F196" s="13" t="s">
        <v>62</v>
      </c>
      <c r="G196" s="13" t="s">
        <v>52</v>
      </c>
      <c r="H196" s="16">
        <v>45217.0</v>
      </c>
      <c r="I196" s="14">
        <v>18.0</v>
      </c>
      <c r="J196" s="13" t="s">
        <v>64</v>
      </c>
      <c r="K196" s="13" t="s">
        <v>65</v>
      </c>
      <c r="L196" s="14">
        <v>791.0</v>
      </c>
      <c r="M196" s="18" t="s">
        <v>43</v>
      </c>
      <c r="N196" s="18" t="s">
        <v>98</v>
      </c>
      <c r="O196" s="18">
        <v>9.2</v>
      </c>
      <c r="P196" s="18" t="s">
        <v>108</v>
      </c>
      <c r="Q196" s="16">
        <v>45741.0</v>
      </c>
      <c r="R196" s="16">
        <v>45536.0</v>
      </c>
      <c r="S196" s="13" t="s">
        <v>45</v>
      </c>
      <c r="T196" s="13" t="s">
        <v>104</v>
      </c>
      <c r="U196" s="13">
        <f t="shared" si="1"/>
        <v>2</v>
      </c>
      <c r="V196" s="13" t="str">
        <f t="shared" si="2"/>
        <v>C00460|Rahul Singh|52|East|Bhubaneswar|Basic|Facebook|10/18/2023|18|Annual|Credit Card|791|2|1|9.20|2.4|3/25/2025|9/1/2024|Churned|Analytics</v>
      </c>
      <c r="W196" s="13">
        <f t="shared" si="3"/>
        <v>1</v>
      </c>
      <c r="X196" s="13">
        <f>IFERROR(__xludf.DUMMYFUNCTION("COUNTUNIQUE(FILTER($B$2:$B$1826,$A$2:$A$1826=A196))"),2.0)</f>
        <v>2</v>
      </c>
    </row>
    <row r="197">
      <c r="A197" s="13" t="s">
        <v>624</v>
      </c>
      <c r="B197" s="13" t="s">
        <v>172</v>
      </c>
      <c r="C197" s="14">
        <v>48.0</v>
      </c>
      <c r="D197" s="13" t="s">
        <v>60</v>
      </c>
      <c r="E197" s="13" t="s">
        <v>107</v>
      </c>
      <c r="F197" s="13" t="s">
        <v>62</v>
      </c>
      <c r="G197" s="13" t="s">
        <v>80</v>
      </c>
      <c r="H197" s="16">
        <v>45497.0</v>
      </c>
      <c r="I197" s="14">
        <v>1.0</v>
      </c>
      <c r="J197" s="13" t="s">
        <v>53</v>
      </c>
      <c r="K197" s="13" t="s">
        <v>81</v>
      </c>
      <c r="L197" s="14">
        <v>648.0</v>
      </c>
      <c r="M197" s="18" t="s">
        <v>46</v>
      </c>
      <c r="N197" s="18" t="s">
        <v>43</v>
      </c>
      <c r="O197" s="18">
        <v>7.7</v>
      </c>
      <c r="P197" s="18" t="s">
        <v>185</v>
      </c>
      <c r="Q197" s="16">
        <v>45526.0</v>
      </c>
      <c r="R197" s="16" t="s">
        <v>38</v>
      </c>
      <c r="S197" s="13" t="s">
        <v>55</v>
      </c>
      <c r="T197" s="13" t="s">
        <v>75</v>
      </c>
      <c r="U197" s="13">
        <f t="shared" si="1"/>
        <v>1</v>
      </c>
      <c r="V197" s="13" t="str">
        <f t="shared" si="2"/>
        <v>C00953|Meera Singh|48|East|Patna|Basic|Organic Search|7/24/2024|1|Quarterly|Debit Card|648|0|2|7.70|3.2|8/22/2024||Active|Security</v>
      </c>
      <c r="W197" s="13">
        <f t="shared" si="3"/>
        <v>1</v>
      </c>
      <c r="X197" s="13">
        <f>IFERROR(__xludf.DUMMYFUNCTION("COUNTUNIQUE(FILTER($B$2:$B$1826,$A$2:$A$1826=A197))"),1.0)</f>
        <v>1</v>
      </c>
    </row>
    <row r="198">
      <c r="A198" s="13" t="s">
        <v>629</v>
      </c>
      <c r="B198" s="13" t="s">
        <v>74</v>
      </c>
      <c r="C198" s="14">
        <v>67.0</v>
      </c>
      <c r="D198" s="13" t="s">
        <v>69</v>
      </c>
      <c r="E198" s="13" t="s">
        <v>187</v>
      </c>
      <c r="F198" s="13" t="s">
        <v>62</v>
      </c>
      <c r="G198" s="13" t="s">
        <v>63</v>
      </c>
      <c r="H198" s="16">
        <v>44610.0</v>
      </c>
      <c r="I198" s="14">
        <v>15.0</v>
      </c>
      <c r="J198" s="13" t="s">
        <v>64</v>
      </c>
      <c r="K198" s="13" t="s">
        <v>65</v>
      </c>
      <c r="L198" s="14">
        <v>824.0</v>
      </c>
      <c r="M198" s="18" t="s">
        <v>164</v>
      </c>
      <c r="N198" s="18" t="s">
        <v>46</v>
      </c>
      <c r="O198" s="18">
        <v>1.0</v>
      </c>
      <c r="P198" s="18" t="s">
        <v>310</v>
      </c>
      <c r="Q198" s="16">
        <v>44624.0</v>
      </c>
      <c r="R198" s="16" t="s">
        <v>38</v>
      </c>
      <c r="S198" s="13" t="s">
        <v>55</v>
      </c>
      <c r="T198" s="13" t="s">
        <v>72</v>
      </c>
      <c r="U198" s="13">
        <f t="shared" si="1"/>
        <v>2</v>
      </c>
      <c r="V198" s="13" t="str">
        <f t="shared" si="2"/>
        <v>C01583|Anita Kumar|67|South|Chennai|Basic|Google Ads|2/18/2022|15|Annual|Credit Card|824|3|0|1.00|3.1|3/4/2022||Active|Collaboration</v>
      </c>
      <c r="W198" s="13">
        <f t="shared" si="3"/>
        <v>1</v>
      </c>
      <c r="X198" s="13">
        <f>IFERROR(__xludf.DUMMYFUNCTION("COUNTUNIQUE(FILTER($B$2:$B$1826,$A$2:$A$1826=A198))"),2.0)</f>
        <v>2</v>
      </c>
    </row>
    <row r="199">
      <c r="A199" s="13" t="s">
        <v>631</v>
      </c>
      <c r="B199" s="13" t="s">
        <v>411</v>
      </c>
      <c r="C199" s="14">
        <v>48.0</v>
      </c>
      <c r="D199" s="13" t="s">
        <v>69</v>
      </c>
      <c r="E199" s="13" t="s">
        <v>187</v>
      </c>
      <c r="F199" s="13" t="s">
        <v>62</v>
      </c>
      <c r="G199" s="13" t="s">
        <v>63</v>
      </c>
      <c r="H199" s="16">
        <v>44853.0</v>
      </c>
      <c r="I199" s="14">
        <v>46.0</v>
      </c>
      <c r="J199" s="13" t="s">
        <v>64</v>
      </c>
      <c r="K199" s="13" t="s">
        <v>41</v>
      </c>
      <c r="L199" s="14">
        <v>521.0</v>
      </c>
      <c r="M199" s="18" t="s">
        <v>99</v>
      </c>
      <c r="N199" s="18" t="s">
        <v>43</v>
      </c>
      <c r="O199" s="18">
        <v>6.9</v>
      </c>
      <c r="P199" s="18" t="s">
        <v>568</v>
      </c>
      <c r="Q199" s="16">
        <v>45927.0</v>
      </c>
      <c r="R199" s="16" t="s">
        <v>38</v>
      </c>
      <c r="S199" s="13" t="s">
        <v>55</v>
      </c>
      <c r="T199" s="13" t="s">
        <v>66</v>
      </c>
      <c r="U199" s="13">
        <f t="shared" si="1"/>
        <v>4</v>
      </c>
      <c r="V199" s="13" t="str">
        <f t="shared" si="2"/>
        <v>C00213|Karan Reddy|48|South|Chennai|Basic|Google Ads|10/19/2022|46|Annual|Upi|521|4|2|6.90|2.2|9/27/2025||Active|Automation</v>
      </c>
      <c r="W199" s="13">
        <f t="shared" si="3"/>
        <v>1</v>
      </c>
      <c r="X199" s="13">
        <f>IFERROR(__xludf.DUMMYFUNCTION("COUNTUNIQUE(FILTER($B$2:$B$1826,$A$2:$A$1826=A199))"),4.0)</f>
        <v>4</v>
      </c>
    </row>
    <row r="200">
      <c r="A200" s="13" t="s">
        <v>632</v>
      </c>
      <c r="B200" s="13" t="s">
        <v>633</v>
      </c>
      <c r="C200" s="14">
        <v>63.0</v>
      </c>
      <c r="D200" s="13" t="s">
        <v>69</v>
      </c>
      <c r="E200" s="13" t="s">
        <v>38</v>
      </c>
      <c r="F200" s="13" t="s">
        <v>62</v>
      </c>
      <c r="G200" s="13" t="s">
        <v>80</v>
      </c>
      <c r="H200" s="16">
        <v>44689.0</v>
      </c>
      <c r="I200" s="14">
        <v>28.0</v>
      </c>
      <c r="J200" s="13" t="s">
        <v>64</v>
      </c>
      <c r="K200" s="13" t="s">
        <v>65</v>
      </c>
      <c r="L200" s="14">
        <v>565.0</v>
      </c>
      <c r="M200" s="18" t="s">
        <v>43</v>
      </c>
      <c r="N200" s="18" t="s">
        <v>98</v>
      </c>
      <c r="O200" s="18">
        <v>24.1</v>
      </c>
      <c r="P200" s="18" t="s">
        <v>99</v>
      </c>
      <c r="Q200" s="16">
        <v>44966.0</v>
      </c>
      <c r="R200" s="16" t="s">
        <v>38</v>
      </c>
      <c r="S200" s="13" t="s">
        <v>55</v>
      </c>
      <c r="T200" s="13" t="s">
        <v>72</v>
      </c>
      <c r="U200" s="13">
        <f t="shared" si="1"/>
        <v>2</v>
      </c>
      <c r="V200" s="13" t="str">
        <f t="shared" si="2"/>
        <v>C00196|Anita Das|63|South||Basic|Organic Search|5/8/2022|28|Annual|Credit Card|565|2|1|24.10|4|2/9/2023||Active|Collaboration</v>
      </c>
      <c r="W200" s="13">
        <f t="shared" si="3"/>
        <v>1</v>
      </c>
      <c r="X200" s="13">
        <f>IFERROR(__xludf.DUMMYFUNCTION("COUNTUNIQUE(FILTER($B$2:$B$1826,$A$2:$A$1826=A200))"),2.0)</f>
        <v>2</v>
      </c>
    </row>
    <row r="201">
      <c r="A201" s="13" t="s">
        <v>634</v>
      </c>
      <c r="B201" s="13" t="s">
        <v>633</v>
      </c>
      <c r="C201" s="14">
        <v>26.0</v>
      </c>
      <c r="D201" s="13" t="s">
        <v>60</v>
      </c>
      <c r="E201" s="13" t="s">
        <v>97</v>
      </c>
      <c r="F201" s="13" t="s">
        <v>37</v>
      </c>
      <c r="G201" s="13" t="s">
        <v>39</v>
      </c>
      <c r="H201" s="16">
        <v>44840.0</v>
      </c>
      <c r="I201" s="14">
        <v>38.0</v>
      </c>
      <c r="J201" s="13" t="s">
        <v>64</v>
      </c>
      <c r="K201" s="13" t="s">
        <v>65</v>
      </c>
      <c r="L201" s="14">
        <v>553.0</v>
      </c>
      <c r="M201" s="18" t="s">
        <v>98</v>
      </c>
      <c r="N201" s="18" t="s">
        <v>46</v>
      </c>
      <c r="O201" s="18">
        <v>17.7</v>
      </c>
      <c r="P201" s="18" t="s">
        <v>701</v>
      </c>
      <c r="Q201" s="16">
        <v>45804.0</v>
      </c>
      <c r="R201" s="16" t="s">
        <v>38</v>
      </c>
      <c r="S201" s="13" t="s">
        <v>55</v>
      </c>
      <c r="T201" s="13" t="s">
        <v>47</v>
      </c>
      <c r="U201" s="13">
        <f t="shared" si="1"/>
        <v>1</v>
      </c>
      <c r="V201" s="13" t="str">
        <f t="shared" si="2"/>
        <v>C00928|Anita Das|26|East|Bhubaneswar|Standard|Instagram|10/6/2022|38|Annual|Credit Card|553|1|0|17.70|2.8|5/27/2025||Active|Cloud Storage</v>
      </c>
      <c r="W201" s="13">
        <f t="shared" si="3"/>
        <v>1</v>
      </c>
      <c r="X201" s="13">
        <f>IFERROR(__xludf.DUMMYFUNCTION("COUNTUNIQUE(FILTER($B$2:$B$1826,$A$2:$A$1826=A201))"),1.0)</f>
        <v>1</v>
      </c>
    </row>
    <row r="202">
      <c r="A202" s="13" t="s">
        <v>635</v>
      </c>
      <c r="B202" s="13" t="s">
        <v>636</v>
      </c>
      <c r="C202" s="14">
        <v>28.0</v>
      </c>
      <c r="D202" s="13" t="s">
        <v>60</v>
      </c>
      <c r="E202" s="13" t="s">
        <v>133</v>
      </c>
      <c r="F202" s="13" t="s">
        <v>62</v>
      </c>
      <c r="G202" s="13" t="s">
        <v>63</v>
      </c>
      <c r="H202" s="16">
        <v>44747.0</v>
      </c>
      <c r="I202" s="14">
        <v>11.0</v>
      </c>
      <c r="J202" s="13" t="s">
        <v>40</v>
      </c>
      <c r="K202" s="13" t="s">
        <v>81</v>
      </c>
      <c r="L202" s="14">
        <v>654.0</v>
      </c>
      <c r="M202" s="18" t="s">
        <v>164</v>
      </c>
      <c r="N202" s="18" t="s">
        <v>98</v>
      </c>
      <c r="O202" s="18">
        <v>19.4</v>
      </c>
      <c r="P202" s="18" t="s">
        <v>173</v>
      </c>
      <c r="Q202" s="16">
        <v>45065.0</v>
      </c>
      <c r="R202" s="16" t="s">
        <v>637</v>
      </c>
      <c r="S202" s="13" t="s">
        <v>45</v>
      </c>
      <c r="T202" s="13" t="s">
        <v>47</v>
      </c>
      <c r="U202" s="13">
        <f t="shared" si="1"/>
        <v>1</v>
      </c>
      <c r="V202" s="13" t="str">
        <f t="shared" si="2"/>
        <v>C00926|Neha Reddy|28|East|Guwahati|Basic|Google Ads|7/5/2022|11|Monthly|Debit Card|654|3|1|19.40|5|5/19/2023|24/08/2022|Churned|Cloud Storage</v>
      </c>
      <c r="W202" s="13">
        <f t="shared" si="3"/>
        <v>1</v>
      </c>
      <c r="X202" s="13">
        <f>IFERROR(__xludf.DUMMYFUNCTION("COUNTUNIQUE(FILTER($B$2:$B$1826,$A$2:$A$1826=A202))"),1.0)</f>
        <v>1</v>
      </c>
    </row>
    <row r="203">
      <c r="A203" s="13" t="s">
        <v>638</v>
      </c>
      <c r="B203" s="13" t="s">
        <v>639</v>
      </c>
      <c r="C203" s="14">
        <v>25.0</v>
      </c>
      <c r="D203" s="13" t="s">
        <v>85</v>
      </c>
      <c r="E203" s="13" t="s">
        <v>292</v>
      </c>
      <c r="F203" s="13" t="s">
        <v>37</v>
      </c>
      <c r="G203" s="13" t="s">
        <v>210</v>
      </c>
      <c r="H203" s="16">
        <v>44918.0</v>
      </c>
      <c r="I203" s="14">
        <v>2.0</v>
      </c>
      <c r="J203" s="13" t="s">
        <v>40</v>
      </c>
      <c r="K203" s="13" t="s">
        <v>41</v>
      </c>
      <c r="L203" s="14">
        <v>1568.0</v>
      </c>
      <c r="M203" s="18" t="s">
        <v>98</v>
      </c>
      <c r="N203" s="18" t="s">
        <v>98</v>
      </c>
      <c r="O203" s="18">
        <v>32.4</v>
      </c>
      <c r="P203" s="18" t="s">
        <v>701</v>
      </c>
      <c r="Q203" s="16">
        <v>44998.0</v>
      </c>
      <c r="R203" s="16">
        <v>45079.0</v>
      </c>
      <c r="S203" s="13" t="s">
        <v>45</v>
      </c>
      <c r="T203" s="13" t="s">
        <v>104</v>
      </c>
      <c r="U203" s="13">
        <f t="shared" si="1"/>
        <v>3</v>
      </c>
      <c r="V203" s="13" t="str">
        <f t="shared" si="2"/>
        <v>C00729|Priya Nair|25|West|Mumbai|Standard|Referral|12/23/2022|2|Monthly|Upi|1,568|1|1|32.40|2.8|3/13/2023|6/2/2023|Churned|Analytics</v>
      </c>
      <c r="W203" s="13">
        <f t="shared" si="3"/>
        <v>1</v>
      </c>
      <c r="X203" s="13">
        <f>IFERROR(__xludf.DUMMYFUNCTION("COUNTUNIQUE(FILTER($B$2:$B$1826,$A$2:$A$1826=A203))"),3.0)</f>
        <v>3</v>
      </c>
    </row>
    <row r="204">
      <c r="A204" s="13" t="s">
        <v>641</v>
      </c>
      <c r="B204" s="13" t="s">
        <v>398</v>
      </c>
      <c r="C204" s="14">
        <v>20.0</v>
      </c>
      <c r="D204" s="13" t="s">
        <v>69</v>
      </c>
      <c r="E204" s="13" t="s">
        <v>187</v>
      </c>
      <c r="F204" s="13" t="s">
        <v>62</v>
      </c>
      <c r="G204" s="13" t="s">
        <v>120</v>
      </c>
      <c r="H204" s="16">
        <v>45324.0</v>
      </c>
      <c r="I204" s="14">
        <v>44.0</v>
      </c>
      <c r="J204" s="13" t="s">
        <v>40</v>
      </c>
      <c r="K204" s="13" t="s">
        <v>41</v>
      </c>
      <c r="L204" s="14">
        <v>829.0</v>
      </c>
      <c r="M204" s="18" t="s">
        <v>99</v>
      </c>
      <c r="N204" s="18" t="s">
        <v>43</v>
      </c>
      <c r="O204" s="18">
        <v>5.3</v>
      </c>
      <c r="P204" s="18" t="s">
        <v>123</v>
      </c>
      <c r="Q204" s="16">
        <v>46534.0</v>
      </c>
      <c r="R204" s="16" t="s">
        <v>38</v>
      </c>
      <c r="S204" s="13" t="s">
        <v>55</v>
      </c>
      <c r="T204" s="13" t="s">
        <v>75</v>
      </c>
      <c r="U204" s="13">
        <f t="shared" si="1"/>
        <v>1</v>
      </c>
      <c r="V204" s="13" t="str">
        <f t="shared" si="2"/>
        <v>C00127|Vikram Sharma|20|South|Chennai|Basic|Email|2/2/2024|44|Monthly|Upi|829|4|2|5.30|4.1|5/27/2027||Active|Security</v>
      </c>
      <c r="W204" s="13">
        <f t="shared" si="3"/>
        <v>1</v>
      </c>
      <c r="X204" s="13">
        <f>IFERROR(__xludf.DUMMYFUNCTION("COUNTUNIQUE(FILTER($B$2:$B$1826,$A$2:$A$1826=A204))"),1.0)</f>
        <v>1</v>
      </c>
    </row>
    <row r="205">
      <c r="A205" s="13" t="s">
        <v>642</v>
      </c>
      <c r="B205" s="13" t="s">
        <v>393</v>
      </c>
      <c r="C205" s="14">
        <v>30.0</v>
      </c>
      <c r="D205" s="13" t="s">
        <v>35</v>
      </c>
      <c r="E205" s="13" t="s">
        <v>161</v>
      </c>
      <c r="F205" s="13" t="s">
        <v>62</v>
      </c>
      <c r="G205" s="13" t="s">
        <v>120</v>
      </c>
      <c r="H205" s="16">
        <v>44665.0</v>
      </c>
      <c r="I205" s="14">
        <v>11.0</v>
      </c>
      <c r="J205" s="13" t="s">
        <v>53</v>
      </c>
      <c r="K205" s="13" t="s">
        <v>41</v>
      </c>
      <c r="L205" s="14">
        <v>720.0</v>
      </c>
      <c r="M205" s="18" t="s">
        <v>98</v>
      </c>
      <c r="N205" s="18" t="s">
        <v>98</v>
      </c>
      <c r="O205" s="18">
        <v>18.4</v>
      </c>
      <c r="P205" s="18" t="s">
        <v>203</v>
      </c>
      <c r="Q205" s="16">
        <v>44929.0</v>
      </c>
      <c r="R205" s="16" t="s">
        <v>643</v>
      </c>
      <c r="S205" s="13" t="s">
        <v>45</v>
      </c>
      <c r="T205" s="13" t="s">
        <v>47</v>
      </c>
      <c r="U205" s="13">
        <f t="shared" si="1"/>
        <v>1</v>
      </c>
      <c r="V205" s="13" t="str">
        <f t="shared" si="2"/>
        <v>C00264|Karan Das|30|North|Chandigarh|Basic|Email|4/14/2022|11|Quarterly|Upi|720|1|1|18.40|3.7|1/3/2023|29/05/2022|Churned|Cloud Storage</v>
      </c>
      <c r="W205" s="13">
        <f t="shared" si="3"/>
        <v>1</v>
      </c>
      <c r="X205" s="13">
        <f>IFERROR(__xludf.DUMMYFUNCTION("COUNTUNIQUE(FILTER($B$2:$B$1826,$A$2:$A$1826=A205))"),1.0)</f>
        <v>1</v>
      </c>
    </row>
    <row r="206">
      <c r="A206" s="13" t="s">
        <v>644</v>
      </c>
      <c r="B206" s="13" t="s">
        <v>645</v>
      </c>
      <c r="C206" s="14">
        <v>22.0</v>
      </c>
      <c r="D206" s="13" t="s">
        <v>60</v>
      </c>
      <c r="E206" s="13" t="s">
        <v>133</v>
      </c>
      <c r="F206" s="13" t="s">
        <v>79</v>
      </c>
      <c r="G206" s="13" t="s">
        <v>63</v>
      </c>
      <c r="H206" s="16">
        <v>45819.0</v>
      </c>
      <c r="I206" s="14">
        <v>40.0</v>
      </c>
      <c r="J206" s="13" t="s">
        <v>40</v>
      </c>
      <c r="K206" s="13" t="s">
        <v>65</v>
      </c>
      <c r="L206" s="14">
        <v>3020.0</v>
      </c>
      <c r="M206" s="18" t="s">
        <v>164</v>
      </c>
      <c r="N206" s="18" t="s">
        <v>98</v>
      </c>
      <c r="O206" s="18">
        <v>28.0</v>
      </c>
      <c r="P206" s="18" t="s">
        <v>310</v>
      </c>
      <c r="Q206" s="16" t="s">
        <v>38</v>
      </c>
      <c r="R206" s="16" t="s">
        <v>38</v>
      </c>
      <c r="S206" s="13" t="s">
        <v>55</v>
      </c>
      <c r="T206" s="13" t="s">
        <v>75</v>
      </c>
      <c r="U206" s="13">
        <f t="shared" si="1"/>
        <v>2</v>
      </c>
      <c r="V206" s="13" t="str">
        <f t="shared" si="2"/>
        <v>C00564|Ravi Nair|22|East|Guwahati|Premium|Google Ads|6/11/2025|40|Monthly|Credit Card|3,020|3|1|28.00|3.1|||Active|Security</v>
      </c>
      <c r="W206" s="13">
        <f t="shared" si="3"/>
        <v>1</v>
      </c>
      <c r="X206" s="13">
        <f>IFERROR(__xludf.DUMMYFUNCTION("COUNTUNIQUE(FILTER($B$2:$B$1826,$A$2:$A$1826=A206))"),2.0)</f>
        <v>2</v>
      </c>
    </row>
    <row r="207">
      <c r="A207" s="13" t="s">
        <v>646</v>
      </c>
      <c r="B207" s="13" t="s">
        <v>229</v>
      </c>
      <c r="C207" s="14">
        <v>53.0</v>
      </c>
      <c r="D207" s="13" t="s">
        <v>85</v>
      </c>
      <c r="E207" s="13" t="s">
        <v>111</v>
      </c>
      <c r="F207" s="13" t="s">
        <v>37</v>
      </c>
      <c r="G207" s="13" t="s">
        <v>63</v>
      </c>
      <c r="H207" s="16">
        <v>45638.0</v>
      </c>
      <c r="I207" s="14">
        <v>16.0</v>
      </c>
      <c r="J207" s="13" t="s">
        <v>53</v>
      </c>
      <c r="K207" s="13" t="s">
        <v>65</v>
      </c>
      <c r="L207" s="14">
        <v>1018.0</v>
      </c>
      <c r="M207" s="18" t="s">
        <v>98</v>
      </c>
      <c r="N207" s="18" t="s">
        <v>43</v>
      </c>
      <c r="O207" s="18">
        <v>21.3</v>
      </c>
      <c r="P207" s="18" t="s">
        <v>173</v>
      </c>
      <c r="Q207" s="16">
        <v>46048.0</v>
      </c>
      <c r="R207" s="16" t="s">
        <v>38</v>
      </c>
      <c r="S207" s="13" t="s">
        <v>55</v>
      </c>
      <c r="T207" s="13" t="s">
        <v>66</v>
      </c>
      <c r="U207" s="13">
        <f t="shared" si="1"/>
        <v>3</v>
      </c>
      <c r="V207" s="13" t="str">
        <f t="shared" si="2"/>
        <v>C00282|Anita Nair|53|West|Pune|Standard|Google Ads|12/12/2024|16|Quarterly|Credit Card|1,018|1|2|21.30|5|1/26/2026||Active|Automation</v>
      </c>
      <c r="W207" s="13">
        <f t="shared" si="3"/>
        <v>1</v>
      </c>
      <c r="X207" s="13">
        <f>IFERROR(__xludf.DUMMYFUNCTION("COUNTUNIQUE(FILTER($B$2:$B$1826,$A$2:$A$1826=A207))"),3.0)</f>
        <v>3</v>
      </c>
    </row>
    <row r="208">
      <c r="A208" s="13" t="s">
        <v>648</v>
      </c>
      <c r="B208" s="13" t="s">
        <v>167</v>
      </c>
      <c r="C208" s="14">
        <v>68.0</v>
      </c>
      <c r="D208" s="13" t="s">
        <v>60</v>
      </c>
      <c r="E208" s="13" t="s">
        <v>133</v>
      </c>
      <c r="F208" s="13" t="s">
        <v>62</v>
      </c>
      <c r="G208" s="13" t="s">
        <v>63</v>
      </c>
      <c r="H208" s="16">
        <v>45215.0</v>
      </c>
      <c r="I208" s="14">
        <v>39.0</v>
      </c>
      <c r="J208" s="13" t="s">
        <v>64</v>
      </c>
      <c r="K208" s="13" t="s">
        <v>41</v>
      </c>
      <c r="L208" s="14">
        <v>897.0</v>
      </c>
      <c r="M208" s="18" t="s">
        <v>98</v>
      </c>
      <c r="N208" s="18" t="s">
        <v>98</v>
      </c>
      <c r="O208" s="18">
        <v>27.8</v>
      </c>
      <c r="P208" s="18" t="s">
        <v>173</v>
      </c>
      <c r="Q208" s="16">
        <v>46191.0</v>
      </c>
      <c r="R208" s="16" t="s">
        <v>38</v>
      </c>
      <c r="S208" s="13" t="s">
        <v>55</v>
      </c>
      <c r="T208" s="13" t="s">
        <v>47</v>
      </c>
      <c r="U208" s="13">
        <f t="shared" si="1"/>
        <v>1</v>
      </c>
      <c r="V208" s="13" t="str">
        <f t="shared" si="2"/>
        <v>C01029|Ravi Reddy|68|East|Guwahati|Basic|Google Ads|10/16/2023|39|Annual|Upi|897|1|1|27.80|5|6/18/2026||Active|Cloud Storage</v>
      </c>
      <c r="W208" s="13">
        <f t="shared" si="3"/>
        <v>1</v>
      </c>
      <c r="X208" s="13">
        <f>IFERROR(__xludf.DUMMYFUNCTION("COUNTUNIQUE(FILTER($B$2:$B$1826,$A$2:$A$1826=A208))"),1.0)</f>
        <v>1</v>
      </c>
    </row>
    <row r="209">
      <c r="A209" s="13" t="s">
        <v>425</v>
      </c>
      <c r="B209" s="13" t="s">
        <v>106</v>
      </c>
      <c r="C209" s="14">
        <v>34.0</v>
      </c>
      <c r="D209" s="13" t="s">
        <v>69</v>
      </c>
      <c r="E209" s="13" t="s">
        <v>187</v>
      </c>
      <c r="F209" s="13" t="s">
        <v>62</v>
      </c>
      <c r="G209" s="13" t="s">
        <v>128</v>
      </c>
      <c r="H209" s="16">
        <v>44676.0</v>
      </c>
      <c r="I209" s="14">
        <v>15.0</v>
      </c>
      <c r="J209" s="13" t="s">
        <v>64</v>
      </c>
      <c r="K209" s="13" t="s">
        <v>65</v>
      </c>
      <c r="L209" s="14">
        <v>697.0</v>
      </c>
      <c r="M209" s="18" t="s">
        <v>98</v>
      </c>
      <c r="N209" s="18" t="s">
        <v>98</v>
      </c>
      <c r="O209" s="18">
        <v>20.5</v>
      </c>
      <c r="P209" s="18" t="s">
        <v>851</v>
      </c>
      <c r="Q209" s="16">
        <v>45115.0</v>
      </c>
      <c r="R209" s="16" t="s">
        <v>38</v>
      </c>
      <c r="S209" s="13" t="s">
        <v>55</v>
      </c>
      <c r="T209" s="13" t="s">
        <v>72</v>
      </c>
      <c r="U209" s="13">
        <f t="shared" si="1"/>
        <v>2</v>
      </c>
      <c r="V209" s="13" t="str">
        <f t="shared" si="2"/>
        <v>C00206|Rahul Patel|34|South|Chennai|Basic|Youtube|4/25/2022|15|Annual|Credit Card|697|1|1|20.50|9|7/8/2023||Active|Collaboration</v>
      </c>
      <c r="W209" s="13">
        <f t="shared" si="3"/>
        <v>1</v>
      </c>
      <c r="X209" s="13">
        <f>IFERROR(__xludf.DUMMYFUNCTION("COUNTUNIQUE(FILTER($B$2:$B$1826,$A$2:$A$1826=A209))"),2.0)</f>
        <v>2</v>
      </c>
    </row>
    <row r="210">
      <c r="A210" s="13" t="s">
        <v>650</v>
      </c>
      <c r="B210" s="13" t="s">
        <v>651</v>
      </c>
      <c r="C210" s="14">
        <v>22.0</v>
      </c>
      <c r="D210" s="13" t="s">
        <v>35</v>
      </c>
      <c r="E210" s="13" t="s">
        <v>161</v>
      </c>
      <c r="F210" s="13" t="s">
        <v>79</v>
      </c>
      <c r="G210" s="13" t="s">
        <v>80</v>
      </c>
      <c r="H210" s="16">
        <v>44853.0</v>
      </c>
      <c r="I210" s="14">
        <v>37.0</v>
      </c>
      <c r="J210" s="13" t="s">
        <v>40</v>
      </c>
      <c r="K210" s="13" t="s">
        <v>81</v>
      </c>
      <c r="L210" s="14">
        <v>2631.0</v>
      </c>
      <c r="M210" s="18" t="s">
        <v>98</v>
      </c>
      <c r="N210" s="18" t="s">
        <v>46</v>
      </c>
      <c r="O210" s="18">
        <v>45.8</v>
      </c>
      <c r="P210" s="18" t="s">
        <v>158</v>
      </c>
      <c r="Q210" s="16">
        <v>45222.0</v>
      </c>
      <c r="R210" s="16" t="s">
        <v>652</v>
      </c>
      <c r="S210" s="13" t="s">
        <v>45</v>
      </c>
      <c r="T210" s="13" t="s">
        <v>47</v>
      </c>
      <c r="U210" s="13">
        <f t="shared" si="1"/>
        <v>1</v>
      </c>
      <c r="V210" s="13" t="str">
        <f t="shared" si="2"/>
        <v>C01212|Arun Sharma|22|North|Chandigarh|Premium|Organic Search|10/19/2022|37|Monthly|Debit Card|2,631|1|0|45.80|4.7|10/23/2023|18/08/2025|Churned|Cloud Storage</v>
      </c>
      <c r="W210" s="13">
        <f t="shared" si="3"/>
        <v>1</v>
      </c>
      <c r="X210" s="13">
        <f>IFERROR(__xludf.DUMMYFUNCTION("COUNTUNIQUE(FILTER($B$2:$B$1826,$A$2:$A$1826=A210))"),1.0)</f>
        <v>1</v>
      </c>
    </row>
    <row r="211">
      <c r="A211" s="13" t="s">
        <v>653</v>
      </c>
      <c r="B211" s="13" t="s">
        <v>106</v>
      </c>
      <c r="C211" s="14">
        <v>68.0</v>
      </c>
      <c r="D211" s="13" t="s">
        <v>85</v>
      </c>
      <c r="E211" s="13" t="s">
        <v>292</v>
      </c>
      <c r="F211" s="13" t="s">
        <v>62</v>
      </c>
      <c r="G211" s="13" t="s">
        <v>80</v>
      </c>
      <c r="H211" s="16">
        <v>44974.0</v>
      </c>
      <c r="I211" s="14">
        <v>9.0</v>
      </c>
      <c r="J211" s="13" t="s">
        <v>40</v>
      </c>
      <c r="K211" s="13" t="s">
        <v>81</v>
      </c>
      <c r="L211" s="14">
        <v>589.0</v>
      </c>
      <c r="M211" s="18" t="s">
        <v>98</v>
      </c>
      <c r="N211" s="18" t="s">
        <v>46</v>
      </c>
      <c r="O211" s="18">
        <v>22.6</v>
      </c>
      <c r="P211" s="18" t="s">
        <v>173</v>
      </c>
      <c r="Q211" s="16">
        <v>44995.0</v>
      </c>
      <c r="R211" s="16" t="s">
        <v>38</v>
      </c>
      <c r="S211" s="13" t="s">
        <v>55</v>
      </c>
      <c r="T211" s="13" t="s">
        <v>72</v>
      </c>
      <c r="U211" s="13">
        <f t="shared" si="1"/>
        <v>1</v>
      </c>
      <c r="V211" s="13" t="str">
        <f t="shared" si="2"/>
        <v>C00041|Rahul Patel|68|West|Mumbai|Basic|Organic Search|2/17/2023|9|Monthly|Debit Card|589|1|0|22.60|5|3/10/2023||Active|Collaboration</v>
      </c>
      <c r="W211" s="13">
        <f t="shared" si="3"/>
        <v>1</v>
      </c>
      <c r="X211" s="13">
        <f>IFERROR(__xludf.DUMMYFUNCTION("COUNTUNIQUE(FILTER($B$2:$B$1826,$A$2:$A$1826=A211))"),1.0)</f>
        <v>1</v>
      </c>
    </row>
    <row r="212">
      <c r="A212" s="13" t="s">
        <v>654</v>
      </c>
      <c r="B212" s="13" t="s">
        <v>257</v>
      </c>
      <c r="C212" s="14">
        <v>30.0</v>
      </c>
      <c r="D212" s="13" t="s">
        <v>60</v>
      </c>
      <c r="E212" s="13" t="s">
        <v>133</v>
      </c>
      <c r="F212" s="13" t="s">
        <v>37</v>
      </c>
      <c r="G212" s="13" t="s">
        <v>63</v>
      </c>
      <c r="H212" s="16">
        <v>45180.0</v>
      </c>
      <c r="I212" s="14">
        <v>21.0</v>
      </c>
      <c r="J212" s="13" t="s">
        <v>64</v>
      </c>
      <c r="K212" s="13" t="s">
        <v>81</v>
      </c>
      <c r="L212" s="14">
        <v>1748.0</v>
      </c>
      <c r="M212" s="18" t="s">
        <v>98</v>
      </c>
      <c r="N212" s="18" t="s">
        <v>98</v>
      </c>
      <c r="O212" s="18">
        <v>19.2</v>
      </c>
      <c r="P212" s="18" t="s">
        <v>310</v>
      </c>
      <c r="Q212" s="16">
        <v>45637.0</v>
      </c>
      <c r="R212" s="16" t="s">
        <v>38</v>
      </c>
      <c r="S212" s="13" t="s">
        <v>55</v>
      </c>
      <c r="T212" s="13" t="s">
        <v>66</v>
      </c>
      <c r="U212" s="13">
        <f t="shared" si="1"/>
        <v>2</v>
      </c>
      <c r="V212" s="13" t="str">
        <f t="shared" si="2"/>
        <v>C00149|Sneha Reddy|30|East|Guwahati|Standard|Google Ads|9/11/2023|21|Annual|Debit Card|1,748|1|1|19.20|3.1|12/11/2024||Active|Automation</v>
      </c>
      <c r="W212" s="13">
        <f t="shared" si="3"/>
        <v>1</v>
      </c>
      <c r="X212" s="13">
        <f>IFERROR(__xludf.DUMMYFUNCTION("COUNTUNIQUE(FILTER($B$2:$B$1826,$A$2:$A$1826=A212))"),2.0)</f>
        <v>2</v>
      </c>
    </row>
    <row r="213">
      <c r="A213" s="13" t="s">
        <v>656</v>
      </c>
      <c r="B213" s="13" t="s">
        <v>239</v>
      </c>
      <c r="C213" s="14">
        <v>30.0</v>
      </c>
      <c r="D213" s="13" t="s">
        <v>69</v>
      </c>
      <c r="E213" s="13" t="s">
        <v>187</v>
      </c>
      <c r="F213" s="13" t="s">
        <v>62</v>
      </c>
      <c r="G213" s="13" t="s">
        <v>52</v>
      </c>
      <c r="H213" s="16">
        <v>45972.0</v>
      </c>
      <c r="I213" s="14">
        <v>19.0</v>
      </c>
      <c r="J213" s="13" t="s">
        <v>64</v>
      </c>
      <c r="K213" s="13" t="s">
        <v>65</v>
      </c>
      <c r="L213" s="14">
        <v>872.0</v>
      </c>
      <c r="M213" s="18" t="s">
        <v>99</v>
      </c>
      <c r="N213" s="18" t="s">
        <v>46</v>
      </c>
      <c r="O213" s="18">
        <v>13.0</v>
      </c>
      <c r="P213" s="18" t="s">
        <v>275</v>
      </c>
      <c r="Q213" s="16">
        <v>46382.0</v>
      </c>
      <c r="R213" s="16" t="s">
        <v>38</v>
      </c>
      <c r="S213" s="13" t="s">
        <v>55</v>
      </c>
      <c r="T213" s="13" t="s">
        <v>66</v>
      </c>
      <c r="U213" s="13">
        <f t="shared" si="1"/>
        <v>1</v>
      </c>
      <c r="V213" s="13" t="str">
        <f t="shared" si="2"/>
        <v>C00731|Meera Kumar|30|South|Chennai|Basic|Facebook|11/11/2025|19|Annual|Credit Card|872|4|0|13.00|4.3|12/26/2026||Active|Automation</v>
      </c>
      <c r="W213" s="13">
        <f t="shared" si="3"/>
        <v>1</v>
      </c>
      <c r="X213" s="13">
        <f>IFERROR(__xludf.DUMMYFUNCTION("COUNTUNIQUE(FILTER($B$2:$B$1826,$A$2:$A$1826=A213))"),1.0)</f>
        <v>1</v>
      </c>
    </row>
    <row r="214">
      <c r="A214" s="13" t="s">
        <v>450</v>
      </c>
      <c r="B214" s="13" t="s">
        <v>342</v>
      </c>
      <c r="C214" s="14">
        <v>47.0</v>
      </c>
      <c r="D214" s="13" t="s">
        <v>35</v>
      </c>
      <c r="E214" s="13" t="s">
        <v>140</v>
      </c>
      <c r="F214" s="13" t="s">
        <v>37</v>
      </c>
      <c r="G214" s="13" t="s">
        <v>52</v>
      </c>
      <c r="H214" s="16">
        <v>44721.0</v>
      </c>
      <c r="I214" s="14">
        <v>16.0</v>
      </c>
      <c r="J214" s="13" t="s">
        <v>40</v>
      </c>
      <c r="K214" s="13" t="s">
        <v>65</v>
      </c>
      <c r="L214" s="14">
        <v>662.0</v>
      </c>
      <c r="M214" s="18" t="s">
        <v>43</v>
      </c>
      <c r="N214" s="18" t="s">
        <v>43</v>
      </c>
      <c r="O214" s="18">
        <v>23.6</v>
      </c>
      <c r="P214" s="18" t="s">
        <v>173</v>
      </c>
      <c r="Q214" s="16">
        <v>45184.0</v>
      </c>
      <c r="R214" s="16" t="s">
        <v>38</v>
      </c>
      <c r="S214" s="13" t="s">
        <v>55</v>
      </c>
      <c r="T214" s="13" t="s">
        <v>47</v>
      </c>
      <c r="U214" s="13">
        <f t="shared" si="1"/>
        <v>2</v>
      </c>
      <c r="V214" s="13" t="str">
        <f t="shared" si="2"/>
        <v>C00453|Priya Reddy|47|North|Lucknow|Standard|Facebook|6/9/2022|16|Monthly|Credit Card|662|2|2|23.60|5|9/15/2023||Active|Cloud Storage</v>
      </c>
      <c r="W214" s="13">
        <f t="shared" si="3"/>
        <v>1</v>
      </c>
      <c r="X214" s="13">
        <f>IFERROR(__xludf.DUMMYFUNCTION("COUNTUNIQUE(FILTER($B$2:$B$1826,$A$2:$A$1826=A214))"),2.0)</f>
        <v>2</v>
      </c>
    </row>
    <row r="215">
      <c r="A215" s="13" t="s">
        <v>657</v>
      </c>
      <c r="B215" s="13" t="s">
        <v>118</v>
      </c>
      <c r="C215" s="14">
        <v>43.0</v>
      </c>
      <c r="D215" s="13" t="s">
        <v>35</v>
      </c>
      <c r="E215" s="13" t="s">
        <v>161</v>
      </c>
      <c r="F215" s="13" t="s">
        <v>62</v>
      </c>
      <c r="G215" s="13" t="s">
        <v>63</v>
      </c>
      <c r="H215" s="16">
        <v>44564.0</v>
      </c>
      <c r="I215" s="14">
        <v>4.0</v>
      </c>
      <c r="J215" s="13" t="s">
        <v>53</v>
      </c>
      <c r="K215" s="13" t="s">
        <v>81</v>
      </c>
      <c r="L215" s="14">
        <v>874.0</v>
      </c>
      <c r="M215" s="18" t="s">
        <v>98</v>
      </c>
      <c r="N215" s="18" t="s">
        <v>98</v>
      </c>
      <c r="O215" s="18">
        <v>10.1</v>
      </c>
      <c r="P215" s="18" t="s">
        <v>275</v>
      </c>
      <c r="Q215" s="16">
        <v>44616.0</v>
      </c>
      <c r="R215" s="16" t="s">
        <v>38</v>
      </c>
      <c r="S215" s="13" t="s">
        <v>55</v>
      </c>
      <c r="T215" s="13" t="s">
        <v>75</v>
      </c>
      <c r="U215" s="13">
        <f t="shared" si="1"/>
        <v>3</v>
      </c>
      <c r="V215" s="13" t="str">
        <f t="shared" si="2"/>
        <v>C00512|Karan Nair|43|North|Chandigarh|Basic|Google Ads|1/3/2022|4|Quarterly|Debit Card|874|1|1|10.10|4.3|2/24/2022||Active|Security</v>
      </c>
      <c r="W215" s="13">
        <f t="shared" si="3"/>
        <v>1</v>
      </c>
      <c r="X215" s="13">
        <f>IFERROR(__xludf.DUMMYFUNCTION("COUNTUNIQUE(FILTER($B$2:$B$1826,$A$2:$A$1826=A215))"),3.0)</f>
        <v>3</v>
      </c>
    </row>
    <row r="216">
      <c r="A216" s="13" t="s">
        <v>363</v>
      </c>
      <c r="B216" s="13" t="s">
        <v>50</v>
      </c>
      <c r="C216" s="14">
        <v>29.0</v>
      </c>
      <c r="D216" s="13" t="s">
        <v>85</v>
      </c>
      <c r="E216" s="13" t="s">
        <v>111</v>
      </c>
      <c r="F216" s="13" t="s">
        <v>62</v>
      </c>
      <c r="G216" s="13" t="s">
        <v>63</v>
      </c>
      <c r="H216" s="16">
        <v>44630.0</v>
      </c>
      <c r="I216" s="14">
        <v>19.0</v>
      </c>
      <c r="J216" s="13" t="s">
        <v>64</v>
      </c>
      <c r="K216" s="13" t="s">
        <v>41</v>
      </c>
      <c r="L216" s="14">
        <v>632.0</v>
      </c>
      <c r="M216" s="18" t="s">
        <v>164</v>
      </c>
      <c r="N216" s="18" t="s">
        <v>46</v>
      </c>
      <c r="O216" s="18">
        <v>28.5</v>
      </c>
      <c r="P216" s="18" t="s">
        <v>248</v>
      </c>
      <c r="Q216" s="16">
        <v>44990.0</v>
      </c>
      <c r="R216" s="16" t="s">
        <v>38</v>
      </c>
      <c r="S216" s="13" t="s">
        <v>55</v>
      </c>
      <c r="T216" s="13" t="s">
        <v>66</v>
      </c>
      <c r="U216" s="13">
        <f t="shared" si="1"/>
        <v>2</v>
      </c>
      <c r="V216" s="13" t="str">
        <f t="shared" si="2"/>
        <v>C00208|Rahul Das|29|West|Pune|Basic|Google Ads|3/10/2022|19|Annual|Upi|632|3|0|28.50|2.6|3/5/2023||Active|Automation</v>
      </c>
      <c r="W216" s="13">
        <f t="shared" si="3"/>
        <v>1</v>
      </c>
      <c r="X216" s="13">
        <f>IFERROR(__xludf.DUMMYFUNCTION("COUNTUNIQUE(FILTER($B$2:$B$1826,$A$2:$A$1826=A216))"),2.0)</f>
        <v>2</v>
      </c>
    </row>
    <row r="217">
      <c r="A217" s="13" t="s">
        <v>483</v>
      </c>
      <c r="B217" s="13" t="s">
        <v>312</v>
      </c>
      <c r="C217" s="14">
        <v>31.0</v>
      </c>
      <c r="D217" s="13" t="s">
        <v>60</v>
      </c>
      <c r="E217" s="13" t="s">
        <v>133</v>
      </c>
      <c r="F217" s="13" t="s">
        <v>37</v>
      </c>
      <c r="G217" s="13" t="s">
        <v>120</v>
      </c>
      <c r="H217" s="16">
        <v>45900.0</v>
      </c>
      <c r="I217" s="14">
        <v>11.0</v>
      </c>
      <c r="J217" s="13" t="s">
        <v>53</v>
      </c>
      <c r="K217" s="13" t="s">
        <v>81</v>
      </c>
      <c r="L217" s="14">
        <v>1159.0</v>
      </c>
      <c r="M217" s="18" t="s">
        <v>43</v>
      </c>
      <c r="N217" s="18" t="s">
        <v>98</v>
      </c>
      <c r="O217" s="18">
        <v>37.7</v>
      </c>
      <c r="P217" s="18" t="s">
        <v>225</v>
      </c>
      <c r="Q217" s="16">
        <v>45961.0</v>
      </c>
      <c r="R217" s="16" t="s">
        <v>38</v>
      </c>
      <c r="S217" s="13" t="s">
        <v>55</v>
      </c>
      <c r="T217" s="13" t="s">
        <v>66</v>
      </c>
      <c r="U217" s="13">
        <f t="shared" si="1"/>
        <v>4</v>
      </c>
      <c r="V217" s="13" t="str">
        <f t="shared" si="2"/>
        <v>C00191|Anita Singh|31|East|Guwahati|Standard|Email|8/31/2025|11|Quarterly|Debit Card|1,159|2|1|37.70|3.8|10/31/2025||Active|Automation</v>
      </c>
      <c r="W217" s="13">
        <f t="shared" si="3"/>
        <v>1</v>
      </c>
      <c r="X217" s="13">
        <f>IFERROR(__xludf.DUMMYFUNCTION("COUNTUNIQUE(FILTER($B$2:$B$1826,$A$2:$A$1826=A217))"),3.0)</f>
        <v>3</v>
      </c>
    </row>
    <row r="218">
      <c r="A218" s="13" t="s">
        <v>659</v>
      </c>
      <c r="B218" s="13" t="s">
        <v>202</v>
      </c>
      <c r="C218" s="14">
        <v>24.0</v>
      </c>
      <c r="D218" s="13" t="s">
        <v>60</v>
      </c>
      <c r="E218" s="13" t="s">
        <v>107</v>
      </c>
      <c r="F218" s="13" t="s">
        <v>62</v>
      </c>
      <c r="G218" s="13" t="s">
        <v>63</v>
      </c>
      <c r="H218" s="16">
        <v>44663.0</v>
      </c>
      <c r="I218" s="14">
        <v>26.0</v>
      </c>
      <c r="J218" s="13" t="s">
        <v>53</v>
      </c>
      <c r="K218" s="13" t="s">
        <v>81</v>
      </c>
      <c r="L218" s="14">
        <v>750.0</v>
      </c>
      <c r="M218" s="18" t="s">
        <v>98</v>
      </c>
      <c r="N218" s="18" t="s">
        <v>46</v>
      </c>
      <c r="O218" s="18">
        <v>22.0</v>
      </c>
      <c r="P218" s="18" t="s">
        <v>408</v>
      </c>
      <c r="Q218" s="16">
        <v>45042.0</v>
      </c>
      <c r="R218" s="16" t="s">
        <v>38</v>
      </c>
      <c r="S218" s="13" t="s">
        <v>55</v>
      </c>
      <c r="T218" s="13" t="s">
        <v>66</v>
      </c>
      <c r="U218" s="13">
        <f t="shared" si="1"/>
        <v>2</v>
      </c>
      <c r="V218" s="13" t="str">
        <f t="shared" si="2"/>
        <v>C01479|Arun Das|24|East|Patna|Basic|Google Ads|4/12/2022|26|Quarterly|Debit Card|750|1|0|22.00|4.2|4/26/2023||Active|Automation</v>
      </c>
      <c r="W218" s="13">
        <f t="shared" si="3"/>
        <v>1</v>
      </c>
      <c r="X218" s="13">
        <f>IFERROR(__xludf.DUMMYFUNCTION("COUNTUNIQUE(FILTER($B$2:$B$1826,$A$2:$A$1826=A218))"),2.0)</f>
        <v>2</v>
      </c>
    </row>
    <row r="219">
      <c r="A219" s="13" t="s">
        <v>660</v>
      </c>
      <c r="B219" s="13" t="s">
        <v>241</v>
      </c>
      <c r="C219" s="14">
        <v>24.0</v>
      </c>
      <c r="D219" s="13" t="s">
        <v>69</v>
      </c>
      <c r="E219" s="13" t="s">
        <v>70</v>
      </c>
      <c r="F219" s="13" t="s">
        <v>62</v>
      </c>
      <c r="G219" s="13" t="s">
        <v>39</v>
      </c>
      <c r="H219" s="16">
        <v>45869.0</v>
      </c>
      <c r="I219" s="14">
        <v>19.0</v>
      </c>
      <c r="J219" s="13" t="s">
        <v>40</v>
      </c>
      <c r="K219" s="13" t="s">
        <v>81</v>
      </c>
      <c r="L219" s="14">
        <v>741.0</v>
      </c>
      <c r="M219" s="18" t="s">
        <v>46</v>
      </c>
      <c r="N219" s="18" t="s">
        <v>43</v>
      </c>
      <c r="O219" s="18">
        <v>11.7</v>
      </c>
      <c r="P219" s="18" t="s">
        <v>456</v>
      </c>
      <c r="Q219" s="16">
        <v>46286.0</v>
      </c>
      <c r="R219" s="16" t="s">
        <v>661</v>
      </c>
      <c r="S219" s="13" t="s">
        <v>45</v>
      </c>
      <c r="T219" s="13" t="s">
        <v>75</v>
      </c>
      <c r="U219" s="13">
        <f t="shared" si="1"/>
        <v>6</v>
      </c>
      <c r="V219" s="13" t="str">
        <f t="shared" si="2"/>
        <v>C00984|Sneha Iyer|24|South|Bengaluru|Basic|Instagram|7/31/2025|19|Monthly|Debit Card|741|0|2|11.70|2.5|9/21/2026|25/12/2026|Churned|Security</v>
      </c>
      <c r="W219" s="13">
        <f t="shared" si="3"/>
        <v>1</v>
      </c>
      <c r="X219" s="13">
        <f>IFERROR(__xludf.DUMMYFUNCTION("COUNTUNIQUE(FILTER($B$2:$B$1826,$A$2:$A$1826=A219))"),6.0)</f>
        <v>6</v>
      </c>
    </row>
    <row r="220">
      <c r="A220" s="13" t="s">
        <v>434</v>
      </c>
      <c r="B220" s="13" t="s">
        <v>239</v>
      </c>
      <c r="C220" s="14">
        <v>28.0</v>
      </c>
      <c r="D220" s="13" t="s">
        <v>60</v>
      </c>
      <c r="E220" s="13" t="s">
        <v>133</v>
      </c>
      <c r="F220" s="13" t="s">
        <v>62</v>
      </c>
      <c r="G220" s="13" t="s">
        <v>120</v>
      </c>
      <c r="H220" s="16">
        <v>44653.0</v>
      </c>
      <c r="I220" s="14">
        <v>17.0</v>
      </c>
      <c r="J220" s="13" t="s">
        <v>64</v>
      </c>
      <c r="K220" s="13" t="s">
        <v>81</v>
      </c>
      <c r="L220" s="14">
        <v>633.0</v>
      </c>
      <c r="M220" s="18" t="s">
        <v>173</v>
      </c>
      <c r="N220" s="18" t="s">
        <v>46</v>
      </c>
      <c r="O220" s="18">
        <v>9.2</v>
      </c>
      <c r="P220" s="18" t="s">
        <v>876</v>
      </c>
      <c r="Q220" s="16">
        <v>44938.0</v>
      </c>
      <c r="R220" s="16" t="s">
        <v>38</v>
      </c>
      <c r="S220" s="13" t="s">
        <v>55</v>
      </c>
      <c r="T220" s="13" t="s">
        <v>104</v>
      </c>
      <c r="U220" s="13">
        <f t="shared" si="1"/>
        <v>4</v>
      </c>
      <c r="V220" s="13" t="str">
        <f t="shared" si="2"/>
        <v>C00379|Meera Kumar|28|East|Guwahati|Basic|Email|4/2/2022|17|Annual|Debit Card|633|5|0|9.20|1.8|1/12/2023||Active|Analytics</v>
      </c>
      <c r="W220" s="13">
        <f t="shared" si="3"/>
        <v>1</v>
      </c>
      <c r="X220" s="13">
        <f>IFERROR(__xludf.DUMMYFUNCTION("COUNTUNIQUE(FILTER($B$2:$B$1826,$A$2:$A$1826=A220))"),4.0)</f>
        <v>4</v>
      </c>
    </row>
    <row r="221">
      <c r="A221" s="13" t="s">
        <v>662</v>
      </c>
      <c r="B221" s="13" t="s">
        <v>172</v>
      </c>
      <c r="C221" s="14">
        <v>49.0</v>
      </c>
      <c r="D221" s="13" t="s">
        <v>60</v>
      </c>
      <c r="E221" s="13" t="s">
        <v>133</v>
      </c>
      <c r="F221" s="13" t="s">
        <v>79</v>
      </c>
      <c r="G221" s="13" t="s">
        <v>80</v>
      </c>
      <c r="H221" s="16">
        <v>45027.0</v>
      </c>
      <c r="I221" s="14">
        <v>36.0</v>
      </c>
      <c r="J221" s="13" t="s">
        <v>53</v>
      </c>
      <c r="K221" s="13" t="s">
        <v>41</v>
      </c>
      <c r="L221" s="14">
        <v>2856.0</v>
      </c>
      <c r="M221" s="18" t="s">
        <v>173</v>
      </c>
      <c r="N221" s="18" t="s">
        <v>98</v>
      </c>
      <c r="O221" s="18">
        <v>34.5</v>
      </c>
      <c r="P221" s="18" t="s">
        <v>158</v>
      </c>
      <c r="Q221" s="16">
        <v>46009.0</v>
      </c>
      <c r="R221" s="16" t="s">
        <v>38</v>
      </c>
      <c r="S221" s="13" t="s">
        <v>55</v>
      </c>
      <c r="T221" s="13" t="s">
        <v>75</v>
      </c>
      <c r="U221" s="13">
        <f t="shared" si="1"/>
        <v>1</v>
      </c>
      <c r="V221" s="13" t="str">
        <f t="shared" si="2"/>
        <v>C00176|Meera Singh|49|East|Guwahati|Premium|Organic Search|4/11/2023|36|Quarterly|Upi|2,856|5|1|34.50|4.7|12/18/2025||Active|Security</v>
      </c>
      <c r="W221" s="13">
        <f t="shared" si="3"/>
        <v>1</v>
      </c>
      <c r="X221" s="13">
        <f>IFERROR(__xludf.DUMMYFUNCTION("COUNTUNIQUE(FILTER($B$2:$B$1826,$A$2:$A$1826=A221))"),1.0)</f>
        <v>1</v>
      </c>
    </row>
    <row r="222">
      <c r="A222" s="13" t="s">
        <v>663</v>
      </c>
      <c r="B222" s="13" t="s">
        <v>202</v>
      </c>
      <c r="C222" s="14">
        <v>24.0</v>
      </c>
      <c r="D222" s="13" t="s">
        <v>35</v>
      </c>
      <c r="E222" s="13" t="s">
        <v>51</v>
      </c>
      <c r="F222" s="13" t="s">
        <v>62</v>
      </c>
      <c r="G222" s="13" t="s">
        <v>128</v>
      </c>
      <c r="H222" s="16">
        <v>45481.0</v>
      </c>
      <c r="I222" s="14">
        <v>12.0</v>
      </c>
      <c r="J222" s="13" t="s">
        <v>64</v>
      </c>
      <c r="K222" s="13" t="s">
        <v>65</v>
      </c>
      <c r="L222" s="14">
        <v>584.0</v>
      </c>
      <c r="M222" s="18" t="s">
        <v>164</v>
      </c>
      <c r="N222" s="18" t="s">
        <v>164</v>
      </c>
      <c r="O222" s="18">
        <v>9.7</v>
      </c>
      <c r="P222" s="18" t="s">
        <v>368</v>
      </c>
      <c r="Q222" s="16">
        <v>45589.0</v>
      </c>
      <c r="R222" s="16">
        <v>45575.0</v>
      </c>
      <c r="S222" s="13" t="s">
        <v>45</v>
      </c>
      <c r="T222" s="13" t="s">
        <v>47</v>
      </c>
      <c r="U222" s="13">
        <f t="shared" si="1"/>
        <v>1</v>
      </c>
      <c r="V222" s="13" t="str">
        <f t="shared" si="2"/>
        <v>C01463|Arun Das|24|North|Jaipur|Basic|Youtube|7/8/2024|12|Annual|Credit Card|584|3|3|9.70|4.9|10/24/2024|10/10/2024|Churned|Cloud Storage</v>
      </c>
      <c r="W222" s="13">
        <f t="shared" si="3"/>
        <v>1</v>
      </c>
      <c r="X222" s="13">
        <f>IFERROR(__xludf.DUMMYFUNCTION("COUNTUNIQUE(FILTER($B$2:$B$1826,$A$2:$A$1826=A222))"),1.0)</f>
        <v>1</v>
      </c>
    </row>
    <row r="223">
      <c r="A223" s="13" t="s">
        <v>665</v>
      </c>
      <c r="B223" s="13" t="s">
        <v>645</v>
      </c>
      <c r="C223" s="14">
        <v>19.0</v>
      </c>
      <c r="D223" s="13" t="s">
        <v>69</v>
      </c>
      <c r="E223" s="13" t="s">
        <v>177</v>
      </c>
      <c r="F223" s="13" t="s">
        <v>62</v>
      </c>
      <c r="G223" s="13" t="s">
        <v>52</v>
      </c>
      <c r="H223" s="16">
        <v>44699.0</v>
      </c>
      <c r="I223" s="14">
        <v>6.0</v>
      </c>
      <c r="J223" s="13" t="s">
        <v>64</v>
      </c>
      <c r="K223" s="13" t="s">
        <v>81</v>
      </c>
      <c r="L223" s="14">
        <v>702.0</v>
      </c>
      <c r="M223" s="18" t="s">
        <v>43</v>
      </c>
      <c r="N223" s="18" t="s">
        <v>46</v>
      </c>
      <c r="O223" s="18">
        <v>12.8</v>
      </c>
      <c r="P223" s="18" t="s">
        <v>408</v>
      </c>
      <c r="Q223" s="16">
        <v>44779.0</v>
      </c>
      <c r="R223" s="16" t="s">
        <v>38</v>
      </c>
      <c r="S223" s="13" t="s">
        <v>55</v>
      </c>
      <c r="T223" s="13" t="s">
        <v>66</v>
      </c>
      <c r="U223" s="13">
        <f t="shared" si="1"/>
        <v>2</v>
      </c>
      <c r="V223" s="13" t="str">
        <f t="shared" si="2"/>
        <v>C01285|Ravi Nair|19|South|Hyderabad|Basic|Facebook|5/18/2022|6|Annual|Debit Card|702|2|0|12.80|4.2|8/6/2022||Active|Automation</v>
      </c>
      <c r="W223" s="13">
        <f t="shared" si="3"/>
        <v>1</v>
      </c>
      <c r="X223" s="13">
        <f>IFERROR(__xludf.DUMMYFUNCTION("COUNTUNIQUE(FILTER($B$2:$B$1826,$A$2:$A$1826=A223))"),2.0)</f>
        <v>2</v>
      </c>
    </row>
    <row r="224">
      <c r="A224" s="13" t="s">
        <v>666</v>
      </c>
      <c r="B224" s="13" t="s">
        <v>184</v>
      </c>
      <c r="C224" s="14">
        <v>45.0</v>
      </c>
      <c r="D224" s="13" t="s">
        <v>85</v>
      </c>
      <c r="E224" s="13" t="s">
        <v>292</v>
      </c>
      <c r="F224" s="13" t="s">
        <v>62</v>
      </c>
      <c r="G224" s="13" t="s">
        <v>39</v>
      </c>
      <c r="H224" s="16">
        <v>45722.0</v>
      </c>
      <c r="I224" s="14">
        <v>38.0</v>
      </c>
      <c r="J224" s="13" t="s">
        <v>53</v>
      </c>
      <c r="K224" s="13" t="s">
        <v>65</v>
      </c>
      <c r="L224" s="14">
        <v>550.0</v>
      </c>
      <c r="M224" s="18" t="s">
        <v>98</v>
      </c>
      <c r="N224" s="18" t="s">
        <v>98</v>
      </c>
      <c r="O224" s="18">
        <v>22.1</v>
      </c>
      <c r="P224" s="18" t="s">
        <v>203</v>
      </c>
      <c r="Q224" s="16">
        <v>45938.0</v>
      </c>
      <c r="R224" s="16" t="s">
        <v>38</v>
      </c>
      <c r="S224" s="13" t="s">
        <v>55</v>
      </c>
      <c r="T224" s="13" t="s">
        <v>75</v>
      </c>
      <c r="U224" s="13">
        <f t="shared" si="1"/>
        <v>4</v>
      </c>
      <c r="V224" s="13" t="str">
        <f t="shared" si="2"/>
        <v>C01071|Vikram Reddy|45|West|Mumbai|Basic|Instagram|3/6/2025|38|Quarterly|Credit Card|550|1|1|22.10|3.7|10/8/2025||Active|Security</v>
      </c>
      <c r="W224" s="13">
        <f t="shared" si="3"/>
        <v>1</v>
      </c>
      <c r="X224" s="13">
        <f>IFERROR(__xludf.DUMMYFUNCTION("COUNTUNIQUE(FILTER($B$2:$B$1826,$A$2:$A$1826=A224))"),4.0)</f>
        <v>4</v>
      </c>
    </row>
    <row r="225">
      <c r="A225" s="13" t="s">
        <v>667</v>
      </c>
      <c r="B225" s="13" t="s">
        <v>312</v>
      </c>
      <c r="C225" s="14">
        <v>22.0</v>
      </c>
      <c r="D225" s="13" t="s">
        <v>85</v>
      </c>
      <c r="E225" s="13" t="s">
        <v>292</v>
      </c>
      <c r="F225" s="13" t="s">
        <v>62</v>
      </c>
      <c r="G225" s="13" t="s">
        <v>120</v>
      </c>
      <c r="H225" s="16">
        <v>44856.0</v>
      </c>
      <c r="I225" s="14">
        <v>40.0</v>
      </c>
      <c r="J225" s="13" t="s">
        <v>64</v>
      </c>
      <c r="K225" s="13" t="s">
        <v>65</v>
      </c>
      <c r="L225" s="14">
        <v>854.0</v>
      </c>
      <c r="M225" s="18" t="s">
        <v>98</v>
      </c>
      <c r="N225" s="18" t="s">
        <v>98</v>
      </c>
      <c r="O225" s="18">
        <v>20.3</v>
      </c>
      <c r="P225" s="18" t="s">
        <v>164</v>
      </c>
      <c r="Q225" s="16">
        <v>45676.0</v>
      </c>
      <c r="R225" s="16" t="s">
        <v>38</v>
      </c>
      <c r="S225" s="13" t="s">
        <v>55</v>
      </c>
      <c r="T225" s="13" t="s">
        <v>72</v>
      </c>
      <c r="U225" s="13">
        <f t="shared" si="1"/>
        <v>4</v>
      </c>
      <c r="V225" s="13" t="str">
        <f t="shared" si="2"/>
        <v>C01172|Anita Singh|22|West|Mumbai|Basic|Email|10/22/2022|40|Annual|Credit Card|854|1|1|20.30|3|1/19/2025||Active|Collaboration</v>
      </c>
      <c r="W225" s="13">
        <f t="shared" si="3"/>
        <v>1</v>
      </c>
      <c r="X225" s="13">
        <f>IFERROR(__xludf.DUMMYFUNCTION("COUNTUNIQUE(FILTER($B$2:$B$1826,$A$2:$A$1826=A225))"),4.0)</f>
        <v>4</v>
      </c>
    </row>
    <row r="226">
      <c r="A226" s="13" t="s">
        <v>668</v>
      </c>
      <c r="B226" s="13" t="s">
        <v>169</v>
      </c>
      <c r="C226" s="14">
        <v>68.0</v>
      </c>
      <c r="D226" s="13" t="s">
        <v>35</v>
      </c>
      <c r="E226" s="13" t="s">
        <v>161</v>
      </c>
      <c r="F226" s="13" t="s">
        <v>37</v>
      </c>
      <c r="G226" s="13" t="s">
        <v>210</v>
      </c>
      <c r="H226" s="16">
        <v>45198.0</v>
      </c>
      <c r="I226" s="14">
        <v>18.0</v>
      </c>
      <c r="J226" s="13" t="s">
        <v>53</v>
      </c>
      <c r="K226" s="13" t="s">
        <v>65</v>
      </c>
      <c r="L226" s="14">
        <v>1700.0</v>
      </c>
      <c r="M226" s="18" t="s">
        <v>98</v>
      </c>
      <c r="N226" s="18" t="s">
        <v>43</v>
      </c>
      <c r="O226" s="18">
        <v>22.5</v>
      </c>
      <c r="P226" s="18" t="s">
        <v>48</v>
      </c>
      <c r="Q226" s="16">
        <v>45441.0</v>
      </c>
      <c r="R226" s="16" t="s">
        <v>669</v>
      </c>
      <c r="S226" s="13" t="s">
        <v>45</v>
      </c>
      <c r="T226" s="13" t="s">
        <v>75</v>
      </c>
      <c r="U226" s="13">
        <f t="shared" si="1"/>
        <v>4</v>
      </c>
      <c r="V226" s="13" t="str">
        <f t="shared" si="2"/>
        <v>C00763|Vikram Nair|68|North|Chandigarh|Standard|Referral|9/29/2023|18|Quarterly|Credit Card|1,700|1|2|22.50|3.6|5/29/2024|14/03/2024|Churned|Security</v>
      </c>
      <c r="W226" s="13">
        <f t="shared" si="3"/>
        <v>1</v>
      </c>
      <c r="X226" s="13">
        <f>IFERROR(__xludf.DUMMYFUNCTION("COUNTUNIQUE(FILTER($B$2:$B$1826,$A$2:$A$1826=A226))"),4.0)</f>
        <v>4</v>
      </c>
    </row>
    <row r="227">
      <c r="A227" s="13" t="s">
        <v>670</v>
      </c>
      <c r="B227" s="13" t="s">
        <v>145</v>
      </c>
      <c r="C227" s="14">
        <v>23.0</v>
      </c>
      <c r="D227" s="13" t="s">
        <v>35</v>
      </c>
      <c r="E227" s="13" t="s">
        <v>51</v>
      </c>
      <c r="F227" s="13" t="s">
        <v>62</v>
      </c>
      <c r="G227" s="13" t="s">
        <v>128</v>
      </c>
      <c r="H227" s="16">
        <v>45395.0</v>
      </c>
      <c r="I227" s="14">
        <v>48.0</v>
      </c>
      <c r="J227" s="13" t="s">
        <v>40</v>
      </c>
      <c r="K227" s="13" t="s">
        <v>81</v>
      </c>
      <c r="L227" s="14">
        <v>763.0</v>
      </c>
      <c r="M227" s="18" t="s">
        <v>98</v>
      </c>
      <c r="N227" s="18" t="s">
        <v>164</v>
      </c>
      <c r="O227" s="18">
        <v>13.1</v>
      </c>
      <c r="P227" s="18" t="s">
        <v>116</v>
      </c>
      <c r="Q227" s="16">
        <v>45520.0</v>
      </c>
      <c r="R227" s="16" t="s">
        <v>38</v>
      </c>
      <c r="S227" s="13" t="s">
        <v>55</v>
      </c>
      <c r="T227" s="13" t="s">
        <v>66</v>
      </c>
      <c r="U227" s="13">
        <f t="shared" si="1"/>
        <v>4</v>
      </c>
      <c r="V227" s="13" t="str">
        <f t="shared" si="2"/>
        <v>C01239|Ravi Patel|23|North|Jaipur|Basic|Youtube|4/13/2024|48|Monthly|Debit Card|763|1|3|13.10|3.4|8/16/2024||Active|Automation</v>
      </c>
      <c r="W227" s="13">
        <f t="shared" si="3"/>
        <v>1</v>
      </c>
      <c r="X227" s="13">
        <f>IFERROR(__xludf.DUMMYFUNCTION("COUNTUNIQUE(FILTER($B$2:$B$1826,$A$2:$A$1826=A227))"),4.0)</f>
        <v>4</v>
      </c>
    </row>
    <row r="228">
      <c r="A228" s="13" t="s">
        <v>671</v>
      </c>
      <c r="B228" s="13" t="s">
        <v>380</v>
      </c>
      <c r="C228" s="14">
        <v>42.0</v>
      </c>
      <c r="D228" s="13" t="s">
        <v>69</v>
      </c>
      <c r="E228" s="13" t="s">
        <v>70</v>
      </c>
      <c r="F228" s="13" t="s">
        <v>62</v>
      </c>
      <c r="G228" s="13" t="s">
        <v>128</v>
      </c>
      <c r="H228" s="16">
        <v>44973.0</v>
      </c>
      <c r="I228" s="14">
        <v>4.0</v>
      </c>
      <c r="J228" s="13" t="s">
        <v>53</v>
      </c>
      <c r="K228" s="13" t="s">
        <v>81</v>
      </c>
      <c r="L228" s="14">
        <v>732.0</v>
      </c>
      <c r="M228" s="18" t="s">
        <v>43</v>
      </c>
      <c r="N228" s="18" t="s">
        <v>43</v>
      </c>
      <c r="O228" s="18">
        <v>25.6</v>
      </c>
      <c r="P228" s="18" t="s">
        <v>108</v>
      </c>
      <c r="Q228" s="16">
        <v>45075.0</v>
      </c>
      <c r="R228" s="16" t="s">
        <v>38</v>
      </c>
      <c r="S228" s="13" t="s">
        <v>55</v>
      </c>
      <c r="T228" s="13" t="s">
        <v>75</v>
      </c>
      <c r="U228" s="13">
        <f t="shared" si="1"/>
        <v>2</v>
      </c>
      <c r="V228" s="13" t="str">
        <f t="shared" si="2"/>
        <v>C00827|Neha Iyer|42|South|Bengaluru|Basic|Youtube|2/16/2023|4|Quarterly|Debit Card|732|2|2|25.60|2.4|5/29/2023||Active|Security</v>
      </c>
      <c r="W228" s="13">
        <f t="shared" si="3"/>
        <v>1</v>
      </c>
      <c r="X228" s="13">
        <f>IFERROR(__xludf.DUMMYFUNCTION("COUNTUNIQUE(FILTER($B$2:$B$1826,$A$2:$A$1826=A228))"),2.0)</f>
        <v>2</v>
      </c>
    </row>
    <row r="229">
      <c r="A229" s="13" t="s">
        <v>672</v>
      </c>
      <c r="B229" s="13" t="s">
        <v>68</v>
      </c>
      <c r="C229" s="14">
        <v>35.0</v>
      </c>
      <c r="D229" s="13" t="s">
        <v>35</v>
      </c>
      <c r="E229" s="13" t="s">
        <v>36</v>
      </c>
      <c r="F229" s="13" t="s">
        <v>62</v>
      </c>
      <c r="G229" s="13" t="s">
        <v>120</v>
      </c>
      <c r="H229" s="16">
        <v>45778.0</v>
      </c>
      <c r="I229" s="14">
        <v>29.0</v>
      </c>
      <c r="J229" s="13" t="s">
        <v>64</v>
      </c>
      <c r="K229" s="13" t="s">
        <v>81</v>
      </c>
      <c r="L229" s="14">
        <v>741.0</v>
      </c>
      <c r="M229" s="18" t="s">
        <v>164</v>
      </c>
      <c r="N229" s="18" t="s">
        <v>98</v>
      </c>
      <c r="O229" s="18">
        <v>8.6</v>
      </c>
      <c r="P229" s="18" t="s">
        <v>143</v>
      </c>
      <c r="Q229" s="16">
        <v>46146.0</v>
      </c>
      <c r="R229" s="16" t="s">
        <v>38</v>
      </c>
      <c r="S229" s="13" t="s">
        <v>55</v>
      </c>
      <c r="T229" s="13" t="s">
        <v>104</v>
      </c>
      <c r="U229" s="13">
        <f t="shared" si="1"/>
        <v>2</v>
      </c>
      <c r="V229" s="13" t="str">
        <f t="shared" si="2"/>
        <v>C01302|Anita Patel|35|North|Delhi|Basic|Email|5/1/2025|29|Annual|Debit Card|741|3|1|8.60|2.1|5/4/2026||Active|Analytics</v>
      </c>
      <c r="W229" s="13">
        <f t="shared" si="3"/>
        <v>1</v>
      </c>
      <c r="X229" s="13">
        <f>IFERROR(__xludf.DUMMYFUNCTION("COUNTUNIQUE(FILTER($B$2:$B$1826,$A$2:$A$1826=A229))"),2.0)</f>
        <v>2</v>
      </c>
    </row>
    <row r="230">
      <c r="A230" s="13" t="s">
        <v>674</v>
      </c>
      <c r="B230" s="13" t="s">
        <v>308</v>
      </c>
      <c r="C230" s="14">
        <v>68.0</v>
      </c>
      <c r="D230" s="13" t="s">
        <v>35</v>
      </c>
      <c r="E230" s="13" t="s">
        <v>140</v>
      </c>
      <c r="F230" s="13" t="s">
        <v>62</v>
      </c>
      <c r="G230" s="13" t="s">
        <v>128</v>
      </c>
      <c r="H230" s="16">
        <v>45733.0</v>
      </c>
      <c r="I230" s="14">
        <v>14.0</v>
      </c>
      <c r="J230" s="13" t="s">
        <v>64</v>
      </c>
      <c r="K230" s="13" t="s">
        <v>41</v>
      </c>
      <c r="L230" s="14">
        <v>830.0</v>
      </c>
      <c r="M230" s="18" t="s">
        <v>98</v>
      </c>
      <c r="N230" s="18" t="s">
        <v>46</v>
      </c>
      <c r="O230" s="18">
        <v>13.6</v>
      </c>
      <c r="P230" s="18" t="s">
        <v>123</v>
      </c>
      <c r="Q230" s="16">
        <v>45848.0</v>
      </c>
      <c r="R230" s="16" t="s">
        <v>676</v>
      </c>
      <c r="S230" s="13" t="s">
        <v>45</v>
      </c>
      <c r="T230" s="13" t="s">
        <v>75</v>
      </c>
      <c r="U230" s="13">
        <f t="shared" si="1"/>
        <v>2</v>
      </c>
      <c r="V230" s="13" t="str">
        <f t="shared" si="2"/>
        <v>C00584|Karan Kumar|68|North|Lucknow|Basic|Youtube|3/17/2025|14|Annual|Upi|830|1|0|13.60|4.1|7/10/2025|31/08/2025|Churned|Security</v>
      </c>
      <c r="W230" s="13">
        <f t="shared" si="3"/>
        <v>1</v>
      </c>
      <c r="X230" s="13">
        <f>IFERROR(__xludf.DUMMYFUNCTION("COUNTUNIQUE(FILTER($B$2:$B$1826,$A$2:$A$1826=A230))"),2.0)</f>
        <v>2</v>
      </c>
    </row>
    <row r="231">
      <c r="A231" s="13" t="s">
        <v>677</v>
      </c>
      <c r="B231" s="13" t="s">
        <v>241</v>
      </c>
      <c r="C231" s="14">
        <v>32.0</v>
      </c>
      <c r="D231" s="13" t="s">
        <v>69</v>
      </c>
      <c r="E231" s="13" t="s">
        <v>70</v>
      </c>
      <c r="F231" s="13" t="s">
        <v>62</v>
      </c>
      <c r="G231" s="13" t="s">
        <v>80</v>
      </c>
      <c r="H231" s="16">
        <v>45187.0</v>
      </c>
      <c r="I231" s="14">
        <v>46.0</v>
      </c>
      <c r="J231" s="13" t="s">
        <v>53</v>
      </c>
      <c r="K231" s="13" t="s">
        <v>65</v>
      </c>
      <c r="L231" s="14">
        <v>828.0</v>
      </c>
      <c r="M231" s="18" t="s">
        <v>164</v>
      </c>
      <c r="N231" s="18" t="s">
        <v>98</v>
      </c>
      <c r="O231" s="18">
        <v>10.0</v>
      </c>
      <c r="P231" s="18" t="s">
        <v>203</v>
      </c>
      <c r="Q231" s="16">
        <v>45968.0</v>
      </c>
      <c r="R231" s="16">
        <v>45667.0</v>
      </c>
      <c r="S231" s="13" t="s">
        <v>45</v>
      </c>
      <c r="T231" s="13" t="s">
        <v>66</v>
      </c>
      <c r="U231" s="13">
        <f t="shared" si="1"/>
        <v>5</v>
      </c>
      <c r="V231" s="13" t="str">
        <f t="shared" si="2"/>
        <v>C00271|Sneha Iyer|32|South|Bengaluru|Basic|Organic Search|9/18/2023|46|Quarterly|Credit Card|828|3|1|10.00|3.7|11/7/2025|1/10/2025|Churned|Automation</v>
      </c>
      <c r="W231" s="13">
        <f t="shared" si="3"/>
        <v>1</v>
      </c>
      <c r="X231" s="13">
        <f>IFERROR(__xludf.DUMMYFUNCTION("COUNTUNIQUE(FILTER($B$2:$B$1826,$A$2:$A$1826=A231))"),5.0)</f>
        <v>5</v>
      </c>
    </row>
    <row r="232">
      <c r="A232" s="13" t="s">
        <v>680</v>
      </c>
      <c r="B232" s="13" t="s">
        <v>235</v>
      </c>
      <c r="C232" s="14">
        <v>40.0</v>
      </c>
      <c r="D232" s="13" t="s">
        <v>85</v>
      </c>
      <c r="E232" s="13" t="s">
        <v>292</v>
      </c>
      <c r="F232" s="13" t="s">
        <v>62</v>
      </c>
      <c r="G232" s="13" t="s">
        <v>52</v>
      </c>
      <c r="H232" s="16">
        <v>45328.0</v>
      </c>
      <c r="I232" s="14">
        <v>36.0</v>
      </c>
      <c r="J232" s="13" t="s">
        <v>53</v>
      </c>
      <c r="K232" s="13" t="s">
        <v>81</v>
      </c>
      <c r="L232" s="14">
        <v>810.0</v>
      </c>
      <c r="M232" s="18" t="s">
        <v>43</v>
      </c>
      <c r="N232" s="18" t="s">
        <v>98</v>
      </c>
      <c r="O232" s="18">
        <v>27.3</v>
      </c>
      <c r="P232" s="18" t="s">
        <v>263</v>
      </c>
      <c r="Q232" s="16">
        <v>45559.0</v>
      </c>
      <c r="R232" s="16" t="s">
        <v>38</v>
      </c>
      <c r="S232" s="13" t="s">
        <v>55</v>
      </c>
      <c r="T232" s="13" t="s">
        <v>72</v>
      </c>
      <c r="U232" s="13">
        <f t="shared" si="1"/>
        <v>1</v>
      </c>
      <c r="V232" s="13" t="str">
        <f t="shared" si="2"/>
        <v>C01278|Sneha Sharma|40|West|Mumbai|Basic|Facebook|2/6/2024|36|Quarterly|Debit Card|810|2|1|27.30|2.9|9/24/2024||Active|Collaboration</v>
      </c>
      <c r="W232" s="13">
        <f t="shared" si="3"/>
        <v>1</v>
      </c>
      <c r="X232" s="13">
        <f>IFERROR(__xludf.DUMMYFUNCTION("COUNTUNIQUE(FILTER($B$2:$B$1826,$A$2:$A$1826=A232))"),1.0)</f>
        <v>1</v>
      </c>
    </row>
    <row r="233">
      <c r="A233" s="13" t="s">
        <v>681</v>
      </c>
      <c r="B233" s="13" t="s">
        <v>96</v>
      </c>
      <c r="C233" s="14">
        <v>60.0</v>
      </c>
      <c r="D233" s="13" t="s">
        <v>60</v>
      </c>
      <c r="E233" s="13" t="s">
        <v>107</v>
      </c>
      <c r="F233" s="13" t="s">
        <v>62</v>
      </c>
      <c r="G233" s="13" t="s">
        <v>80</v>
      </c>
      <c r="H233" s="16">
        <v>45054.0</v>
      </c>
      <c r="I233" s="14">
        <v>4.0</v>
      </c>
      <c r="J233" s="13" t="s">
        <v>53</v>
      </c>
      <c r="K233" s="13" t="s">
        <v>65</v>
      </c>
      <c r="L233" s="14">
        <v>806.0</v>
      </c>
      <c r="M233" s="18" t="s">
        <v>43</v>
      </c>
      <c r="N233" s="18" t="s">
        <v>98</v>
      </c>
      <c r="O233" s="18">
        <v>12.6</v>
      </c>
      <c r="P233" s="18" t="s">
        <v>296</v>
      </c>
      <c r="Q233" s="16">
        <v>45145.0</v>
      </c>
      <c r="R233" s="16">
        <v>44966.0</v>
      </c>
      <c r="S233" s="13" t="s">
        <v>45</v>
      </c>
      <c r="T233" s="13" t="s">
        <v>72</v>
      </c>
      <c r="U233" s="13">
        <f t="shared" si="1"/>
        <v>2</v>
      </c>
      <c r="V233" s="13" t="str">
        <f t="shared" si="2"/>
        <v>C00568|Rahul Kumar|60|East|Patna|Basic|Organic Search|5/8/2023|4|Quarterly|Credit Card|806|2|1|12.60|4.6|8/7/2023|2/9/2023|Churned|Collaboration</v>
      </c>
      <c r="W233" s="13">
        <f t="shared" si="3"/>
        <v>1</v>
      </c>
      <c r="X233" s="13">
        <f>IFERROR(__xludf.DUMMYFUNCTION("COUNTUNIQUE(FILTER($B$2:$B$1826,$A$2:$A$1826=A233))"),2.0)</f>
        <v>2</v>
      </c>
    </row>
    <row r="234">
      <c r="A234" s="13" t="s">
        <v>367</v>
      </c>
      <c r="B234" s="13" t="s">
        <v>257</v>
      </c>
      <c r="C234" s="14">
        <v>51.0</v>
      </c>
      <c r="D234" s="13" t="s">
        <v>85</v>
      </c>
      <c r="E234" s="13" t="s">
        <v>87</v>
      </c>
      <c r="F234" s="13" t="s">
        <v>37</v>
      </c>
      <c r="G234" s="13" t="s">
        <v>80</v>
      </c>
      <c r="H234" s="16">
        <v>46012.0</v>
      </c>
      <c r="I234" s="14">
        <v>37.0</v>
      </c>
      <c r="J234" s="13" t="s">
        <v>53</v>
      </c>
      <c r="K234" s="13" t="s">
        <v>41</v>
      </c>
      <c r="L234" s="14">
        <v>1742.0</v>
      </c>
      <c r="M234" s="18" t="s">
        <v>173</v>
      </c>
      <c r="N234" s="18" t="s">
        <v>98</v>
      </c>
      <c r="O234" s="18">
        <v>27.3</v>
      </c>
      <c r="P234" s="18" t="s">
        <v>150</v>
      </c>
      <c r="Q234" s="16">
        <v>46477.0</v>
      </c>
      <c r="R234" s="16" t="s">
        <v>683</v>
      </c>
      <c r="S234" s="13" t="s">
        <v>45</v>
      </c>
      <c r="T234" s="13" t="s">
        <v>66</v>
      </c>
      <c r="U234" s="13">
        <f t="shared" si="1"/>
        <v>3</v>
      </c>
      <c r="V234" s="13" t="str">
        <f t="shared" si="2"/>
        <v>C00858|Sneha Reddy|51|West|Surat|Standard|Organic Search|12/21/2025|37|Quarterly|Upi|1,742|5|1|27.30|4.5|3/31/2027|18/01/2029|Churned|Automation</v>
      </c>
      <c r="W234" s="13">
        <f t="shared" si="3"/>
        <v>1</v>
      </c>
      <c r="X234" s="13">
        <f>IFERROR(__xludf.DUMMYFUNCTION("COUNTUNIQUE(FILTER($B$2:$B$1826,$A$2:$A$1826=A234))"),3.0)</f>
        <v>3</v>
      </c>
    </row>
    <row r="235">
      <c r="A235" s="13" t="s">
        <v>684</v>
      </c>
      <c r="B235" s="13" t="s">
        <v>349</v>
      </c>
      <c r="C235" s="14">
        <v>41.0</v>
      </c>
      <c r="D235" s="13" t="s">
        <v>60</v>
      </c>
      <c r="E235" s="13" t="s">
        <v>61</v>
      </c>
      <c r="F235" s="13" t="s">
        <v>37</v>
      </c>
      <c r="G235" s="13" t="s">
        <v>52</v>
      </c>
      <c r="H235" s="16">
        <v>45091.0</v>
      </c>
      <c r="I235" s="14">
        <v>47.0</v>
      </c>
      <c r="J235" s="13" t="s">
        <v>40</v>
      </c>
      <c r="K235" s="13" t="s">
        <v>81</v>
      </c>
      <c r="L235" s="14">
        <v>1186.0</v>
      </c>
      <c r="M235" s="18" t="s">
        <v>98</v>
      </c>
      <c r="N235" s="18" t="s">
        <v>46</v>
      </c>
      <c r="O235" s="18">
        <v>28.7</v>
      </c>
      <c r="P235" s="18" t="s">
        <v>173</v>
      </c>
      <c r="Q235" s="16">
        <v>46493.0</v>
      </c>
      <c r="R235" s="16" t="s">
        <v>685</v>
      </c>
      <c r="S235" s="13" t="s">
        <v>45</v>
      </c>
      <c r="T235" s="13" t="s">
        <v>72</v>
      </c>
      <c r="U235" s="13">
        <f t="shared" si="1"/>
        <v>2</v>
      </c>
      <c r="V235" s="13" t="str">
        <f t="shared" si="2"/>
        <v>C00371|Priya Singh|41|East|Kolkata|Standard|Facebook|6/14/2023|47|Monthly|Debit Card|1,186|1|0|28.70|5|4/16/2027|31/05/2025|Churned|Collaboration</v>
      </c>
      <c r="W235" s="13">
        <f t="shared" si="3"/>
        <v>1</v>
      </c>
      <c r="X235" s="13">
        <f>IFERROR(__xludf.DUMMYFUNCTION("COUNTUNIQUE(FILTER($B$2:$B$1826,$A$2:$A$1826=A235))"),2.0)</f>
        <v>2</v>
      </c>
    </row>
    <row r="236">
      <c r="A236" s="13" t="s">
        <v>686</v>
      </c>
      <c r="B236" s="13" t="s">
        <v>340</v>
      </c>
      <c r="C236" s="14">
        <v>49.0</v>
      </c>
      <c r="D236" s="13" t="s">
        <v>60</v>
      </c>
      <c r="E236" s="13" t="s">
        <v>107</v>
      </c>
      <c r="F236" s="13" t="s">
        <v>62</v>
      </c>
      <c r="G236" s="13" t="s">
        <v>210</v>
      </c>
      <c r="H236" s="16">
        <v>45511.0</v>
      </c>
      <c r="I236" s="14">
        <v>8.0</v>
      </c>
      <c r="J236" s="13" t="s">
        <v>40</v>
      </c>
      <c r="K236" s="13" t="s">
        <v>81</v>
      </c>
      <c r="L236" s="14">
        <v>823.0</v>
      </c>
      <c r="M236" s="18" t="s">
        <v>46</v>
      </c>
      <c r="N236" s="18" t="s">
        <v>46</v>
      </c>
      <c r="O236" s="18">
        <v>15.1</v>
      </c>
      <c r="P236" s="18" t="s">
        <v>130</v>
      </c>
      <c r="Q236" s="16">
        <v>45762.0</v>
      </c>
      <c r="R236" s="16" t="s">
        <v>38</v>
      </c>
      <c r="S236" s="13" t="s">
        <v>55</v>
      </c>
      <c r="T236" s="13" t="s">
        <v>104</v>
      </c>
      <c r="U236" s="13">
        <f t="shared" si="1"/>
        <v>1</v>
      </c>
      <c r="V236" s="13" t="str">
        <f t="shared" si="2"/>
        <v>C00862|Meera Sharma|49|East|Patna|Basic|Referral|8/7/2024|8|Monthly|Debit Card|823|0|0|15.10|3.9|4/15/2025||Active|Analytics</v>
      </c>
      <c r="W236" s="13">
        <f t="shared" si="3"/>
        <v>1</v>
      </c>
      <c r="X236" s="13">
        <f>IFERROR(__xludf.DUMMYFUNCTION("COUNTUNIQUE(FILTER($B$2:$B$1826,$A$2:$A$1826=A236))"),1.0)</f>
        <v>1</v>
      </c>
    </row>
    <row r="237">
      <c r="A237" s="13" t="s">
        <v>687</v>
      </c>
      <c r="B237" s="13" t="s">
        <v>68</v>
      </c>
      <c r="C237" s="14">
        <v>68.0</v>
      </c>
      <c r="D237" s="13" t="s">
        <v>85</v>
      </c>
      <c r="E237" s="13" t="s">
        <v>92</v>
      </c>
      <c r="F237" s="13" t="s">
        <v>62</v>
      </c>
      <c r="G237" s="13" t="s">
        <v>128</v>
      </c>
      <c r="H237" s="16">
        <v>44870.0</v>
      </c>
      <c r="I237" s="14">
        <v>9.0</v>
      </c>
      <c r="J237" s="13" t="s">
        <v>40</v>
      </c>
      <c r="K237" s="13" t="s">
        <v>65</v>
      </c>
      <c r="L237" s="14">
        <v>674.0</v>
      </c>
      <c r="M237" s="18" t="s">
        <v>164</v>
      </c>
      <c r="N237" s="18" t="s">
        <v>46</v>
      </c>
      <c r="O237" s="18">
        <v>7.2</v>
      </c>
      <c r="P237" s="18" t="s">
        <v>701</v>
      </c>
      <c r="Q237" s="16">
        <v>45114.0</v>
      </c>
      <c r="R237" s="16" t="s">
        <v>688</v>
      </c>
      <c r="S237" s="13" t="s">
        <v>45</v>
      </c>
      <c r="T237" s="13" t="s">
        <v>72</v>
      </c>
      <c r="U237" s="13">
        <f t="shared" si="1"/>
        <v>2</v>
      </c>
      <c r="V237" s="13" t="str">
        <f t="shared" si="2"/>
        <v>C01395|Anita Patel|68|West|Ahmedabad|Basic|Youtube|11/5/2022|9|Monthly|Credit Card|674|3|0|7.20|2.8|7/7/2023|16/02/2023|Churned|Collaboration</v>
      </c>
      <c r="W237" s="13">
        <f t="shared" si="3"/>
        <v>1</v>
      </c>
      <c r="X237" s="13">
        <f>IFERROR(__xludf.DUMMYFUNCTION("COUNTUNIQUE(FILTER($B$2:$B$1826,$A$2:$A$1826=A237))"),2.0)</f>
        <v>2</v>
      </c>
    </row>
    <row r="238">
      <c r="A238" s="13" t="s">
        <v>689</v>
      </c>
      <c r="B238" s="13" t="s">
        <v>235</v>
      </c>
      <c r="C238" s="14">
        <v>27.0</v>
      </c>
      <c r="D238" s="13" t="s">
        <v>69</v>
      </c>
      <c r="E238" s="13" t="s">
        <v>177</v>
      </c>
      <c r="F238" s="13" t="s">
        <v>37</v>
      </c>
      <c r="G238" s="13" t="s">
        <v>63</v>
      </c>
      <c r="H238" s="16">
        <v>45487.0</v>
      </c>
      <c r="I238" s="14">
        <v>18.0</v>
      </c>
      <c r="J238" s="13" t="s">
        <v>64</v>
      </c>
      <c r="K238" s="13" t="s">
        <v>65</v>
      </c>
      <c r="L238" s="14">
        <v>1171.0</v>
      </c>
      <c r="M238" s="18" t="s">
        <v>43</v>
      </c>
      <c r="N238" s="18" t="s">
        <v>46</v>
      </c>
      <c r="O238" s="18">
        <v>30.3</v>
      </c>
      <c r="P238" s="18" t="s">
        <v>310</v>
      </c>
      <c r="Q238" s="16">
        <v>45659.0</v>
      </c>
      <c r="R238" s="16" t="s">
        <v>38</v>
      </c>
      <c r="S238" s="13" t="s">
        <v>55</v>
      </c>
      <c r="T238" s="13" t="s">
        <v>75</v>
      </c>
      <c r="U238" s="13">
        <f t="shared" si="1"/>
        <v>5</v>
      </c>
      <c r="V238" s="13" t="str">
        <f t="shared" si="2"/>
        <v>C01293|Sneha Sharma|27|South|Hyderabad|Standard|Google Ads|7/14/2024|18|Annual|Credit Card|1,171|2|0|30.30|3.1|1/2/2025||Active|Security</v>
      </c>
      <c r="W238" s="13">
        <f t="shared" si="3"/>
        <v>1</v>
      </c>
      <c r="X238" s="13">
        <f>IFERROR(__xludf.DUMMYFUNCTION("COUNTUNIQUE(FILTER($B$2:$B$1826,$A$2:$A$1826=A238))"),5.0)</f>
        <v>5</v>
      </c>
    </row>
    <row r="239">
      <c r="A239" s="13" t="s">
        <v>671</v>
      </c>
      <c r="B239" s="13" t="s">
        <v>132</v>
      </c>
      <c r="C239" s="14">
        <v>59.0</v>
      </c>
      <c r="D239" s="13" t="s">
        <v>85</v>
      </c>
      <c r="E239" s="13" t="s">
        <v>87</v>
      </c>
      <c r="F239" s="13" t="s">
        <v>62</v>
      </c>
      <c r="G239" s="13" t="s">
        <v>63</v>
      </c>
      <c r="H239" s="16">
        <v>45655.0</v>
      </c>
      <c r="I239" s="14">
        <v>13.0</v>
      </c>
      <c r="J239" s="13" t="s">
        <v>64</v>
      </c>
      <c r="K239" s="13" t="s">
        <v>41</v>
      </c>
      <c r="L239" s="14">
        <v>506.0</v>
      </c>
      <c r="M239" s="18" t="s">
        <v>98</v>
      </c>
      <c r="N239" s="18" t="s">
        <v>46</v>
      </c>
      <c r="O239" s="18">
        <v>22.9</v>
      </c>
      <c r="P239" s="18" t="s">
        <v>368</v>
      </c>
      <c r="Q239" s="16">
        <v>45936.0</v>
      </c>
      <c r="R239" s="16">
        <v>45782.0</v>
      </c>
      <c r="S239" s="13" t="s">
        <v>45</v>
      </c>
      <c r="T239" s="13" t="s">
        <v>47</v>
      </c>
      <c r="U239" s="13">
        <f t="shared" si="1"/>
        <v>2</v>
      </c>
      <c r="V239" s="13" t="str">
        <f t="shared" si="2"/>
        <v>C00827|Arun Kumar|59|West|Surat|Basic|Google Ads|12/29/2024|13|Annual|Upi|506|1|0|22.90|4.9|10/6/2025|5/5/2025|Churned|Cloud Storage</v>
      </c>
      <c r="W239" s="13">
        <f t="shared" si="3"/>
        <v>1</v>
      </c>
      <c r="X239" s="13">
        <f>IFERROR(__xludf.DUMMYFUNCTION("COUNTUNIQUE(FILTER($B$2:$B$1826,$A$2:$A$1826=A239))"),2.0)</f>
        <v>2</v>
      </c>
    </row>
    <row r="240">
      <c r="A240" s="13" t="s">
        <v>691</v>
      </c>
      <c r="B240" s="13" t="s">
        <v>257</v>
      </c>
      <c r="C240" s="14">
        <v>46.0</v>
      </c>
      <c r="D240" s="13" t="s">
        <v>60</v>
      </c>
      <c r="E240" s="13" t="s">
        <v>107</v>
      </c>
      <c r="F240" s="13" t="s">
        <v>62</v>
      </c>
      <c r="G240" s="13" t="s">
        <v>120</v>
      </c>
      <c r="H240" s="16">
        <v>45592.0</v>
      </c>
      <c r="I240" s="14">
        <v>38.0</v>
      </c>
      <c r="J240" s="13" t="s">
        <v>64</v>
      </c>
      <c r="K240" s="13" t="s">
        <v>41</v>
      </c>
      <c r="L240" s="14">
        <v>532.0</v>
      </c>
      <c r="M240" s="18" t="s">
        <v>43</v>
      </c>
      <c r="N240" s="18" t="s">
        <v>43</v>
      </c>
      <c r="O240" s="18">
        <v>28.6</v>
      </c>
      <c r="P240" s="18" t="s">
        <v>408</v>
      </c>
      <c r="Q240" s="16">
        <v>46197.0</v>
      </c>
      <c r="R240" s="16" t="s">
        <v>38</v>
      </c>
      <c r="S240" s="13" t="s">
        <v>55</v>
      </c>
      <c r="T240" s="13" t="s">
        <v>72</v>
      </c>
      <c r="U240" s="13">
        <f t="shared" si="1"/>
        <v>2</v>
      </c>
      <c r="V240" s="13" t="str">
        <f t="shared" si="2"/>
        <v>C01421|Sneha Reddy|46|East|Patna|Basic|Email|10/27/2024|38|Annual|Upi|532|2|2|28.60|4.2|6/24/2026||Active|Collaboration</v>
      </c>
      <c r="W240" s="13">
        <f t="shared" si="3"/>
        <v>1</v>
      </c>
      <c r="X240" s="13">
        <f>IFERROR(__xludf.DUMMYFUNCTION("COUNTUNIQUE(FILTER($B$2:$B$1826,$A$2:$A$1826=A240))"),2.0)</f>
        <v>2</v>
      </c>
    </row>
    <row r="241">
      <c r="A241" s="13" t="s">
        <v>692</v>
      </c>
      <c r="B241" s="13" t="s">
        <v>605</v>
      </c>
      <c r="C241" s="14">
        <v>26.0</v>
      </c>
      <c r="D241" s="13" t="s">
        <v>60</v>
      </c>
      <c r="E241" s="13" t="s">
        <v>97</v>
      </c>
      <c r="F241" s="13" t="s">
        <v>62</v>
      </c>
      <c r="G241" s="13" t="s">
        <v>128</v>
      </c>
      <c r="H241" s="16">
        <v>45388.0</v>
      </c>
      <c r="I241" s="14">
        <v>2.0</v>
      </c>
      <c r="J241" s="13" t="s">
        <v>53</v>
      </c>
      <c r="K241" s="13" t="s">
        <v>81</v>
      </c>
      <c r="L241" s="14">
        <v>871.0</v>
      </c>
      <c r="M241" s="18" t="s">
        <v>99</v>
      </c>
      <c r="N241" s="18" t="s">
        <v>46</v>
      </c>
      <c r="O241" s="18">
        <v>18.5</v>
      </c>
      <c r="P241" s="18" t="s">
        <v>130</v>
      </c>
      <c r="Q241" s="16">
        <v>45400.0</v>
      </c>
      <c r="R241" s="16" t="s">
        <v>38</v>
      </c>
      <c r="S241" s="13" t="s">
        <v>55</v>
      </c>
      <c r="T241" s="13" t="s">
        <v>104</v>
      </c>
      <c r="U241" s="13">
        <f t="shared" si="1"/>
        <v>2</v>
      </c>
      <c r="V241" s="13" t="str">
        <f t="shared" si="2"/>
        <v>C01004|Meera Patel|26|East|Bhubaneswar|Basic|Youtube|4/6/2024|2|Quarterly|Debit Card|871|4|0|18.50|3.9|4/18/2024||Active|Analytics</v>
      </c>
      <c r="W241" s="13">
        <f t="shared" si="3"/>
        <v>1</v>
      </c>
      <c r="X241" s="13">
        <f>IFERROR(__xludf.DUMMYFUNCTION("COUNTUNIQUE(FILTER($B$2:$B$1826,$A$2:$A$1826=A241))"),2.0)</f>
        <v>2</v>
      </c>
    </row>
    <row r="242">
      <c r="A242" s="13" t="s">
        <v>693</v>
      </c>
      <c r="B242" s="13" t="s">
        <v>118</v>
      </c>
      <c r="C242" s="14">
        <v>43.0</v>
      </c>
      <c r="D242" s="13" t="s">
        <v>60</v>
      </c>
      <c r="E242" s="13" t="s">
        <v>61</v>
      </c>
      <c r="F242" s="13" t="s">
        <v>37</v>
      </c>
      <c r="G242" s="13" t="s">
        <v>63</v>
      </c>
      <c r="H242" s="16">
        <v>45917.0</v>
      </c>
      <c r="I242" s="14">
        <v>7.0</v>
      </c>
      <c r="J242" s="13" t="s">
        <v>40</v>
      </c>
      <c r="K242" s="13" t="s">
        <v>81</v>
      </c>
      <c r="L242" s="14">
        <v>1048.0</v>
      </c>
      <c r="M242" s="18" t="s">
        <v>164</v>
      </c>
      <c r="N242" s="18" t="s">
        <v>46</v>
      </c>
      <c r="O242" s="18">
        <v>19.6</v>
      </c>
      <c r="P242" s="18" t="s">
        <v>916</v>
      </c>
      <c r="Q242" s="16">
        <v>45956.0</v>
      </c>
      <c r="R242" s="16" t="s">
        <v>38</v>
      </c>
      <c r="S242" s="13" t="s">
        <v>55</v>
      </c>
      <c r="T242" s="13" t="s">
        <v>72</v>
      </c>
      <c r="U242" s="13">
        <f t="shared" si="1"/>
        <v>1</v>
      </c>
      <c r="V242" s="13" t="str">
        <f t="shared" si="2"/>
        <v>C00769|Karan Nair|43|East|Kolkata|Standard|Google Ads|9/17/2025|7|Monthly|Debit Card|1,048|3|0|19.60|1.9|10/26/2025||Active|Collaboration</v>
      </c>
      <c r="W242" s="13">
        <f t="shared" si="3"/>
        <v>1</v>
      </c>
      <c r="X242" s="13">
        <f>IFERROR(__xludf.DUMMYFUNCTION("COUNTUNIQUE(FILTER($B$2:$B$1826,$A$2:$A$1826=A242))"),1.0)</f>
        <v>1</v>
      </c>
    </row>
    <row r="243">
      <c r="A243" s="13" t="s">
        <v>695</v>
      </c>
      <c r="B243" s="13" t="s">
        <v>605</v>
      </c>
      <c r="C243" s="14">
        <v>45.0</v>
      </c>
      <c r="D243" s="13" t="s">
        <v>69</v>
      </c>
      <c r="E243" s="13" t="s">
        <v>187</v>
      </c>
      <c r="F243" s="13" t="s">
        <v>37</v>
      </c>
      <c r="G243" s="13" t="s">
        <v>52</v>
      </c>
      <c r="H243" s="16">
        <v>44581.0</v>
      </c>
      <c r="I243" s="14">
        <v>20.0</v>
      </c>
      <c r="J243" s="13" t="s">
        <v>40</v>
      </c>
      <c r="K243" s="13" t="s">
        <v>81</v>
      </c>
      <c r="L243" s="14">
        <v>1677.0</v>
      </c>
      <c r="M243" s="18" t="s">
        <v>164</v>
      </c>
      <c r="N243" s="18" t="s">
        <v>43</v>
      </c>
      <c r="O243" s="18">
        <v>29.7</v>
      </c>
      <c r="P243" s="18" t="s">
        <v>48</v>
      </c>
      <c r="Q243" s="16">
        <v>44867.0</v>
      </c>
      <c r="R243" s="16" t="s">
        <v>38</v>
      </c>
      <c r="S243" s="13" t="s">
        <v>55</v>
      </c>
      <c r="T243" s="13" t="s">
        <v>66</v>
      </c>
      <c r="U243" s="13">
        <f t="shared" si="1"/>
        <v>6</v>
      </c>
      <c r="V243" s="13" t="str">
        <f t="shared" si="2"/>
        <v>C00972|Meera Patel|45|South|Chennai|Standard|Facebook|1/20/2022|20|Monthly|Debit Card|1,677|3|2|29.70|3.6|11/2/2022||Active|Automation</v>
      </c>
      <c r="W243" s="13">
        <f t="shared" si="3"/>
        <v>1</v>
      </c>
      <c r="X243" s="13">
        <f>IFERROR(__xludf.DUMMYFUNCTION("COUNTUNIQUE(FILTER($B$2:$B$1826,$A$2:$A$1826=A243))"),6.0)</f>
        <v>6</v>
      </c>
    </row>
    <row r="244">
      <c r="A244" s="13" t="s">
        <v>696</v>
      </c>
      <c r="B244" s="13" t="s">
        <v>633</v>
      </c>
      <c r="C244" s="14">
        <v>37.0</v>
      </c>
      <c r="D244" s="13" t="s">
        <v>60</v>
      </c>
      <c r="E244" s="13" t="s">
        <v>61</v>
      </c>
      <c r="F244" s="13" t="s">
        <v>62</v>
      </c>
      <c r="G244" s="13" t="s">
        <v>120</v>
      </c>
      <c r="H244" s="16">
        <v>44968.0</v>
      </c>
      <c r="I244" s="14">
        <v>39.0</v>
      </c>
      <c r="J244" s="13" t="s">
        <v>40</v>
      </c>
      <c r="K244" s="13" t="s">
        <v>41</v>
      </c>
      <c r="L244" s="14">
        <v>1534.0</v>
      </c>
      <c r="M244" s="18" t="s">
        <v>99</v>
      </c>
      <c r="N244" s="18" t="s">
        <v>164</v>
      </c>
      <c r="O244" s="18">
        <v>26.0</v>
      </c>
      <c r="P244" s="18" t="s">
        <v>173</v>
      </c>
      <c r="Q244" s="16">
        <v>45391.0</v>
      </c>
      <c r="R244" s="16" t="s">
        <v>38</v>
      </c>
      <c r="S244" s="13" t="s">
        <v>55</v>
      </c>
      <c r="T244" s="13" t="s">
        <v>66</v>
      </c>
      <c r="U244" s="13">
        <f t="shared" si="1"/>
        <v>2</v>
      </c>
      <c r="V244" s="13" t="str">
        <f t="shared" si="2"/>
        <v>C00242|Anita Das|37|East|Kolkata|Basic|Email|2/11/2023|39|Monthly|Upi|1,534|4|3|26.00|5|4/9/2024||Active|Automation</v>
      </c>
      <c r="W244" s="13">
        <f t="shared" si="3"/>
        <v>1</v>
      </c>
      <c r="X244" s="13">
        <f>IFERROR(__xludf.DUMMYFUNCTION("COUNTUNIQUE(FILTER($B$2:$B$1826,$A$2:$A$1826=A244))"),2.0)</f>
        <v>2</v>
      </c>
    </row>
    <row r="245">
      <c r="A245" s="13" t="s">
        <v>697</v>
      </c>
      <c r="B245" s="13" t="s">
        <v>288</v>
      </c>
      <c r="C245" s="14">
        <v>68.0</v>
      </c>
      <c r="D245" s="13" t="s">
        <v>69</v>
      </c>
      <c r="E245" s="13" t="s">
        <v>119</v>
      </c>
      <c r="F245" s="13" t="s">
        <v>62</v>
      </c>
      <c r="G245" s="13" t="s">
        <v>63</v>
      </c>
      <c r="H245" s="16">
        <v>44588.0</v>
      </c>
      <c r="I245" s="14">
        <v>43.0</v>
      </c>
      <c r="J245" s="13" t="s">
        <v>64</v>
      </c>
      <c r="K245" s="13" t="s">
        <v>41</v>
      </c>
      <c r="L245" s="14">
        <v>555.0</v>
      </c>
      <c r="M245" s="18" t="s">
        <v>43</v>
      </c>
      <c r="N245" s="18" t="s">
        <v>43</v>
      </c>
      <c r="O245" s="18">
        <v>17.2</v>
      </c>
      <c r="P245" s="18" t="s">
        <v>48</v>
      </c>
      <c r="Q245" s="16">
        <v>45609.0</v>
      </c>
      <c r="R245" s="16" t="s">
        <v>38</v>
      </c>
      <c r="S245" s="13" t="s">
        <v>55</v>
      </c>
      <c r="T245" s="13" t="s">
        <v>104</v>
      </c>
      <c r="U245" s="13">
        <f t="shared" si="1"/>
        <v>2</v>
      </c>
      <c r="V245" s="13" t="str">
        <f t="shared" si="2"/>
        <v>C01017|Rahul Sharma|68|South|Kochi|Basic|Google Ads|1/27/2022|43|Annual|Upi|555|2|2|17.20|3.6|11/13/2024||Active|Analytics</v>
      </c>
      <c r="W245" s="13">
        <f t="shared" si="3"/>
        <v>1</v>
      </c>
      <c r="X245" s="13">
        <f>IFERROR(__xludf.DUMMYFUNCTION("COUNTUNIQUE(FILTER($B$2:$B$1826,$A$2:$A$1826=A245))"),2.0)</f>
        <v>2</v>
      </c>
    </row>
    <row r="246">
      <c r="A246" s="13" t="s">
        <v>699</v>
      </c>
      <c r="B246" s="13" t="s">
        <v>281</v>
      </c>
      <c r="C246" s="14">
        <v>46.0</v>
      </c>
      <c r="D246" s="13" t="s">
        <v>69</v>
      </c>
      <c r="E246" s="13" t="s">
        <v>119</v>
      </c>
      <c r="F246" s="13" t="s">
        <v>79</v>
      </c>
      <c r="G246" s="13" t="s">
        <v>210</v>
      </c>
      <c r="H246" s="16">
        <v>45102.0</v>
      </c>
      <c r="I246" s="14">
        <v>30.0</v>
      </c>
      <c r="J246" s="13" t="s">
        <v>64</v>
      </c>
      <c r="K246" s="13" t="s">
        <v>41</v>
      </c>
      <c r="L246" s="14">
        <v>3744.0</v>
      </c>
      <c r="M246" s="18" t="s">
        <v>43</v>
      </c>
      <c r="N246" s="18" t="s">
        <v>164</v>
      </c>
      <c r="O246" s="18">
        <v>56.4</v>
      </c>
      <c r="P246" s="18" t="s">
        <v>158</v>
      </c>
      <c r="Q246" s="16">
        <v>45409.0</v>
      </c>
      <c r="R246" s="16" t="s">
        <v>38</v>
      </c>
      <c r="S246" s="13" t="s">
        <v>529</v>
      </c>
      <c r="T246" s="13" t="s">
        <v>104</v>
      </c>
      <c r="U246" s="13">
        <f t="shared" si="1"/>
        <v>1</v>
      </c>
      <c r="V246" s="13" t="str">
        <f t="shared" si="2"/>
        <v>C00525|Anita Reddy|46|South|Kochi|Premium|Referral|6/25/2023|30|Annual|Upi|3,744|2|3|56.40|4.7|4/27/2024||No|Analytics</v>
      </c>
      <c r="W246" s="13">
        <f t="shared" si="3"/>
        <v>1</v>
      </c>
      <c r="X246" s="13">
        <f>IFERROR(__xludf.DUMMYFUNCTION("COUNTUNIQUE(FILTER($B$2:$B$1826,$A$2:$A$1826=A246))"),1.0)</f>
        <v>1</v>
      </c>
    </row>
    <row r="247">
      <c r="A247" s="13" t="s">
        <v>700</v>
      </c>
      <c r="B247" s="13" t="s">
        <v>281</v>
      </c>
      <c r="C247" s="14">
        <v>30.0</v>
      </c>
      <c r="D247" s="13" t="s">
        <v>35</v>
      </c>
      <c r="E247" s="13" t="s">
        <v>36</v>
      </c>
      <c r="F247" s="13" t="s">
        <v>79</v>
      </c>
      <c r="G247" s="13" t="s">
        <v>52</v>
      </c>
      <c r="H247" s="16">
        <v>45887.0</v>
      </c>
      <c r="I247" s="14">
        <v>11.0</v>
      </c>
      <c r="J247" s="13" t="s">
        <v>40</v>
      </c>
      <c r="K247" s="13" t="s">
        <v>65</v>
      </c>
      <c r="L247" s="14">
        <v>2548.0</v>
      </c>
      <c r="M247" s="18" t="s">
        <v>46</v>
      </c>
      <c r="N247" s="18" t="s">
        <v>46</v>
      </c>
      <c r="O247" s="18">
        <v>36.9</v>
      </c>
      <c r="P247" s="18" t="s">
        <v>248</v>
      </c>
      <c r="Q247" s="16">
        <v>45944.0</v>
      </c>
      <c r="R247" s="16" t="s">
        <v>38</v>
      </c>
      <c r="S247" s="13" t="s">
        <v>55</v>
      </c>
      <c r="T247" s="13" t="s">
        <v>75</v>
      </c>
      <c r="U247" s="13">
        <f t="shared" si="1"/>
        <v>1</v>
      </c>
      <c r="V247" s="13" t="str">
        <f t="shared" si="2"/>
        <v>C01553|Anita Reddy|30|North|Delhi|Premium|Facebook|8/18/2025|11|Monthly|Credit Card|2,548|0|0|36.90|2.6|10/14/2025||Active|Security</v>
      </c>
      <c r="W247" s="13">
        <f t="shared" si="3"/>
        <v>1</v>
      </c>
      <c r="X247" s="13">
        <f>IFERROR(__xludf.DUMMYFUNCTION("COUNTUNIQUE(FILTER($B$2:$B$1826,$A$2:$A$1826=A247))"),1.0)</f>
        <v>1</v>
      </c>
    </row>
    <row r="248">
      <c r="A248" s="13" t="s">
        <v>702</v>
      </c>
      <c r="B248" s="13" t="s">
        <v>59</v>
      </c>
      <c r="C248" s="14">
        <v>56.0</v>
      </c>
      <c r="D248" s="13" t="s">
        <v>60</v>
      </c>
      <c r="E248" s="13" t="s">
        <v>38</v>
      </c>
      <c r="F248" s="13" t="s">
        <v>37</v>
      </c>
      <c r="G248" s="13" t="s">
        <v>120</v>
      </c>
      <c r="H248" s="16">
        <v>45425.0</v>
      </c>
      <c r="I248" s="14">
        <v>42.0</v>
      </c>
      <c r="J248" s="13" t="s">
        <v>53</v>
      </c>
      <c r="K248" s="13" t="s">
        <v>81</v>
      </c>
      <c r="L248" s="14">
        <v>1114.0</v>
      </c>
      <c r="M248" s="18" t="s">
        <v>43</v>
      </c>
      <c r="N248" s="18" t="s">
        <v>43</v>
      </c>
      <c r="O248" s="18">
        <v>26.3</v>
      </c>
      <c r="P248" s="18" t="s">
        <v>263</v>
      </c>
      <c r="Q248" s="16">
        <v>45555.0</v>
      </c>
      <c r="R248" s="16">
        <v>45752.0</v>
      </c>
      <c r="S248" s="13" t="s">
        <v>45</v>
      </c>
      <c r="T248" s="13" t="s">
        <v>75</v>
      </c>
      <c r="U248" s="13">
        <f t="shared" si="1"/>
        <v>1</v>
      </c>
      <c r="V248" s="13" t="str">
        <f t="shared" si="2"/>
        <v>C00935|Priya Das|56|East||Standard|Email|5/13/2024|42|Quarterly|Debit Card|1,114|2|2|26.30|2.9|9/20/2024|4/5/2025|Churned|Security</v>
      </c>
      <c r="W248" s="13">
        <f t="shared" si="3"/>
        <v>1</v>
      </c>
      <c r="X248" s="13">
        <f>IFERROR(__xludf.DUMMYFUNCTION("COUNTUNIQUE(FILTER($B$2:$B$1826,$A$2:$A$1826=A248))"),1.0)</f>
        <v>1</v>
      </c>
    </row>
    <row r="249">
      <c r="A249" s="13" t="s">
        <v>704</v>
      </c>
      <c r="B249" s="13" t="s">
        <v>118</v>
      </c>
      <c r="C249" s="14">
        <v>21.0</v>
      </c>
      <c r="D249" s="13" t="s">
        <v>85</v>
      </c>
      <c r="E249" s="13" t="s">
        <v>92</v>
      </c>
      <c r="F249" s="13" t="s">
        <v>37</v>
      </c>
      <c r="G249" s="13" t="s">
        <v>128</v>
      </c>
      <c r="H249" s="16">
        <v>45963.0</v>
      </c>
      <c r="I249" s="14">
        <v>47.0</v>
      </c>
      <c r="J249" s="13" t="s">
        <v>40</v>
      </c>
      <c r="K249" s="13" t="s">
        <v>65</v>
      </c>
      <c r="L249" s="14">
        <v>1493.0</v>
      </c>
      <c r="M249" s="18" t="s">
        <v>98</v>
      </c>
      <c r="N249" s="18" t="s">
        <v>98</v>
      </c>
      <c r="O249" s="18">
        <v>37.6</v>
      </c>
      <c r="P249" s="18" t="s">
        <v>185</v>
      </c>
      <c r="Q249" s="16">
        <v>46972.0</v>
      </c>
      <c r="R249" s="16" t="s">
        <v>705</v>
      </c>
      <c r="S249" s="13" t="s">
        <v>45</v>
      </c>
      <c r="T249" s="13" t="s">
        <v>72</v>
      </c>
      <c r="U249" s="13">
        <f t="shared" si="1"/>
        <v>1</v>
      </c>
      <c r="V249" s="13" t="str">
        <f t="shared" si="2"/>
        <v>C00372|Karan Nair|21|West|Ahmedabad|Standard|Youtube|11/2/2025|47|Monthly|Credit Card|1,493|1|1|37.60|3.2|8/7/2028|21/07/2026|Churned|Collaboration</v>
      </c>
      <c r="W249" s="13">
        <f t="shared" si="3"/>
        <v>1</v>
      </c>
      <c r="X249" s="13">
        <f>IFERROR(__xludf.DUMMYFUNCTION("COUNTUNIQUE(FILTER($B$2:$B$1826,$A$2:$A$1826=A249))"),1.0)</f>
        <v>1</v>
      </c>
    </row>
    <row r="250">
      <c r="A250" s="13" t="s">
        <v>706</v>
      </c>
      <c r="B250" s="13" t="s">
        <v>633</v>
      </c>
      <c r="C250" s="14">
        <v>28.0</v>
      </c>
      <c r="D250" s="13" t="s">
        <v>69</v>
      </c>
      <c r="E250" s="13" t="s">
        <v>177</v>
      </c>
      <c r="F250" s="13" t="s">
        <v>37</v>
      </c>
      <c r="G250" s="13" t="s">
        <v>52</v>
      </c>
      <c r="H250" s="16">
        <v>45996.0</v>
      </c>
      <c r="I250" s="14">
        <v>40.0</v>
      </c>
      <c r="J250" s="13" t="s">
        <v>64</v>
      </c>
      <c r="K250" s="13" t="s">
        <v>81</v>
      </c>
      <c r="L250" s="14">
        <v>1743.0</v>
      </c>
      <c r="M250" s="18" t="s">
        <v>43</v>
      </c>
      <c r="N250" s="18" t="s">
        <v>46</v>
      </c>
      <c r="O250" s="18">
        <v>21.7</v>
      </c>
      <c r="P250" s="18" t="s">
        <v>275</v>
      </c>
      <c r="Q250" s="16">
        <v>46992.0</v>
      </c>
      <c r="R250" s="16" t="s">
        <v>38</v>
      </c>
      <c r="S250" s="13" t="s">
        <v>55</v>
      </c>
      <c r="T250" s="13" t="s">
        <v>104</v>
      </c>
      <c r="U250" s="13">
        <f t="shared" si="1"/>
        <v>3</v>
      </c>
      <c r="V250" s="13" t="str">
        <f t="shared" si="2"/>
        <v>C00026|Anita Das|28|South|Hyderabad|Standard|Facebook|12/5/2025|40|Annual|Debit Card|1,743|2|0|21.70|4.3|8/27/2028||Active|Analytics</v>
      </c>
      <c r="W250" s="13">
        <f t="shared" si="3"/>
        <v>1</v>
      </c>
      <c r="X250" s="13">
        <f>IFERROR(__xludf.DUMMYFUNCTION("COUNTUNIQUE(FILTER($B$2:$B$1826,$A$2:$A$1826=A250))"),3.0)</f>
        <v>3</v>
      </c>
    </row>
    <row r="251">
      <c r="A251" s="13" t="s">
        <v>707</v>
      </c>
      <c r="B251" s="13" t="s">
        <v>395</v>
      </c>
      <c r="C251" s="14">
        <v>54.0</v>
      </c>
      <c r="D251" s="13" t="s">
        <v>69</v>
      </c>
      <c r="E251" s="13" t="s">
        <v>119</v>
      </c>
      <c r="F251" s="13" t="s">
        <v>79</v>
      </c>
      <c r="G251" s="13" t="s">
        <v>128</v>
      </c>
      <c r="H251" s="16">
        <v>44900.0</v>
      </c>
      <c r="I251" s="14">
        <v>5.0</v>
      </c>
      <c r="J251" s="13" t="s">
        <v>64</v>
      </c>
      <c r="K251" s="13" t="s">
        <v>65</v>
      </c>
      <c r="L251" s="14">
        <v>2676.0</v>
      </c>
      <c r="M251" s="18" t="s">
        <v>164</v>
      </c>
      <c r="N251" s="18" t="s">
        <v>43</v>
      </c>
      <c r="O251" s="18">
        <v>43.8</v>
      </c>
      <c r="P251" s="18" t="s">
        <v>116</v>
      </c>
      <c r="Q251" s="16">
        <v>44981.0</v>
      </c>
      <c r="R251" s="16" t="s">
        <v>708</v>
      </c>
      <c r="S251" s="13" t="s">
        <v>45</v>
      </c>
      <c r="T251" s="13" t="s">
        <v>75</v>
      </c>
      <c r="U251" s="13">
        <f t="shared" si="1"/>
        <v>1</v>
      </c>
      <c r="V251" s="13" t="str">
        <f t="shared" si="2"/>
        <v>C00024|Ravi Singh|54|South|Kochi|Premium|Youtube|12/5/2022|5|Annual|Credit Card|2,676|3|2|43.80|3.4|2/24/2023|16/01/2023|Churned|Security</v>
      </c>
      <c r="W251" s="13">
        <f t="shared" si="3"/>
        <v>1</v>
      </c>
      <c r="X251" s="13">
        <f>IFERROR(__xludf.DUMMYFUNCTION("COUNTUNIQUE(FILTER($B$2:$B$1826,$A$2:$A$1826=A251))"),1.0)</f>
        <v>1</v>
      </c>
    </row>
    <row r="252">
      <c r="A252" s="13" t="s">
        <v>860</v>
      </c>
      <c r="B252" s="13" t="s">
        <v>651</v>
      </c>
      <c r="C252" s="14">
        <v>44.0</v>
      </c>
      <c r="D252" s="13" t="s">
        <v>35</v>
      </c>
      <c r="E252" s="13" t="s">
        <v>140</v>
      </c>
      <c r="F252" s="13" t="s">
        <v>62</v>
      </c>
      <c r="G252" s="13" t="s">
        <v>80</v>
      </c>
      <c r="H252" s="16">
        <v>45479.0</v>
      </c>
      <c r="I252" s="14">
        <v>6.0</v>
      </c>
      <c r="J252" s="13" t="s">
        <v>53</v>
      </c>
      <c r="K252" s="13" t="s">
        <v>41</v>
      </c>
      <c r="L252" s="14">
        <v>727.0</v>
      </c>
      <c r="M252" s="18" t="s">
        <v>46</v>
      </c>
      <c r="N252" s="18" t="s">
        <v>98</v>
      </c>
      <c r="O252" s="18">
        <v>31.4</v>
      </c>
      <c r="P252" s="18" t="s">
        <v>164</v>
      </c>
      <c r="Q252" s="16">
        <v>45616.0</v>
      </c>
      <c r="R252" s="16" t="s">
        <v>366</v>
      </c>
      <c r="S252" s="13" t="s">
        <v>45</v>
      </c>
      <c r="T252" s="13" t="s">
        <v>66</v>
      </c>
      <c r="U252" s="13">
        <f t="shared" si="1"/>
        <v>2</v>
      </c>
      <c r="V252" s="13" t="str">
        <f t="shared" si="2"/>
        <v>C00482|Arun Sharma|44|North|Lucknow|Basic|Organic Search|7/6/2024|6|Quarterly|Upi|727|0|1|31.40|3|11/20/2024|19/01/2025|Churned|Automation</v>
      </c>
      <c r="W252" s="13">
        <f t="shared" si="3"/>
        <v>1</v>
      </c>
      <c r="X252" s="13">
        <f>IFERROR(__xludf.DUMMYFUNCTION("COUNTUNIQUE(FILTER($B$2:$B$1826,$A$2:$A$1826=A252))"),2.0)</f>
        <v>2</v>
      </c>
    </row>
    <row r="253">
      <c r="A253" s="13" t="s">
        <v>710</v>
      </c>
      <c r="B253" s="13" t="s">
        <v>74</v>
      </c>
      <c r="C253" s="14">
        <v>33.0</v>
      </c>
      <c r="D253" s="13" t="s">
        <v>35</v>
      </c>
      <c r="E253" s="13" t="s">
        <v>36</v>
      </c>
      <c r="F253" s="13" t="s">
        <v>37</v>
      </c>
      <c r="G253" s="13" t="s">
        <v>80</v>
      </c>
      <c r="H253" s="16">
        <v>45867.0</v>
      </c>
      <c r="I253" s="14">
        <v>20.0</v>
      </c>
      <c r="J253" s="13" t="s">
        <v>53</v>
      </c>
      <c r="K253" s="13" t="s">
        <v>65</v>
      </c>
      <c r="L253" s="14">
        <v>1210.0</v>
      </c>
      <c r="M253" s="18" t="s">
        <v>98</v>
      </c>
      <c r="N253" s="18" t="s">
        <v>98</v>
      </c>
      <c r="O253" s="18">
        <v>23.6</v>
      </c>
      <c r="P253" s="18" t="s">
        <v>173</v>
      </c>
      <c r="Q253" s="16">
        <v>46344.0</v>
      </c>
      <c r="R253" s="16">
        <v>46364.0</v>
      </c>
      <c r="S253" s="13" t="s">
        <v>45</v>
      </c>
      <c r="T253" s="13" t="s">
        <v>66</v>
      </c>
      <c r="U253" s="13">
        <f t="shared" si="1"/>
        <v>2</v>
      </c>
      <c r="V253" s="13" t="str">
        <f t="shared" si="2"/>
        <v>C01125|Anita Kumar|33|North|Delhi|Standard|Organic Search|7/29/2025|20|Quarterly|Credit Card|1,210|1|1|23.60|5|11/18/2026|12/8/2026|Churned|Automation</v>
      </c>
      <c r="W253" s="13">
        <f t="shared" si="3"/>
        <v>1</v>
      </c>
      <c r="X253" s="13">
        <f>IFERROR(__xludf.DUMMYFUNCTION("COUNTUNIQUE(FILTER($B$2:$B$1826,$A$2:$A$1826=A253))"),2.0)</f>
        <v>2</v>
      </c>
    </row>
    <row r="254">
      <c r="A254" s="13" t="s">
        <v>590</v>
      </c>
      <c r="B254" s="13" t="s">
        <v>184</v>
      </c>
      <c r="C254" s="14">
        <v>63.0</v>
      </c>
      <c r="D254" s="13" t="s">
        <v>85</v>
      </c>
      <c r="E254" s="13" t="s">
        <v>92</v>
      </c>
      <c r="F254" s="13" t="s">
        <v>37</v>
      </c>
      <c r="G254" s="13" t="s">
        <v>63</v>
      </c>
      <c r="H254" s="16">
        <v>44761.0</v>
      </c>
      <c r="I254" s="14">
        <v>43.0</v>
      </c>
      <c r="J254" s="13" t="s">
        <v>40</v>
      </c>
      <c r="K254" s="13" t="s">
        <v>41</v>
      </c>
      <c r="L254" s="14">
        <v>1362.0</v>
      </c>
      <c r="M254" s="18" t="s">
        <v>38</v>
      </c>
      <c r="N254" s="18" t="s">
        <v>98</v>
      </c>
      <c r="O254" s="18">
        <v>44.5</v>
      </c>
      <c r="P254" s="18" t="s">
        <v>400</v>
      </c>
      <c r="Q254" s="16">
        <v>46068.0</v>
      </c>
      <c r="R254" s="16" t="s">
        <v>38</v>
      </c>
      <c r="S254" s="13" t="s">
        <v>55</v>
      </c>
      <c r="T254" s="13" t="s">
        <v>47</v>
      </c>
      <c r="U254" s="13">
        <f t="shared" si="1"/>
        <v>3</v>
      </c>
      <c r="V254" s="13" t="str">
        <f t="shared" si="2"/>
        <v>C01572|Vikram Reddy|63|West|Ahmedabad|Standard|Google Ads|7/19/2022|43|Monthly|Upi|1,362||1|44.50|4.8|2/15/2026||Active|Cloud Storage</v>
      </c>
      <c r="W254" s="13">
        <f t="shared" si="3"/>
        <v>1</v>
      </c>
      <c r="X254" s="13">
        <f>IFERROR(__xludf.DUMMYFUNCTION("COUNTUNIQUE(FILTER($B$2:$B$1826,$A$2:$A$1826=A254))"),3.0)</f>
        <v>3</v>
      </c>
    </row>
    <row r="255">
      <c r="A255" s="13" t="s">
        <v>523</v>
      </c>
      <c r="B255" s="13" t="s">
        <v>636</v>
      </c>
      <c r="C255" s="14">
        <v>25.0</v>
      </c>
      <c r="D255" s="13" t="s">
        <v>69</v>
      </c>
      <c r="E255" s="13" t="s">
        <v>119</v>
      </c>
      <c r="F255" s="13" t="s">
        <v>62</v>
      </c>
      <c r="G255" s="13" t="s">
        <v>80</v>
      </c>
      <c r="H255" s="16">
        <v>44963.0</v>
      </c>
      <c r="I255" s="14">
        <v>13.0</v>
      </c>
      <c r="J255" s="13" t="s">
        <v>53</v>
      </c>
      <c r="K255" s="13" t="s">
        <v>41</v>
      </c>
      <c r="L255" s="14">
        <v>700.0</v>
      </c>
      <c r="M255" s="18" t="s">
        <v>99</v>
      </c>
      <c r="N255" s="18" t="s">
        <v>46</v>
      </c>
      <c r="O255" s="18">
        <v>16.6</v>
      </c>
      <c r="P255" s="18" t="s">
        <v>89</v>
      </c>
      <c r="Q255" s="16">
        <v>45373.0</v>
      </c>
      <c r="R255" s="16" t="s">
        <v>38</v>
      </c>
      <c r="S255" s="13" t="s">
        <v>55</v>
      </c>
      <c r="T255" s="13" t="s">
        <v>66</v>
      </c>
      <c r="U255" s="13">
        <f t="shared" si="1"/>
        <v>3</v>
      </c>
      <c r="V255" s="13" t="str">
        <f t="shared" si="2"/>
        <v>C01009|Neha Reddy|25|South|Kochi|Basic|Organic Search|2/6/2023|13|Quarterly|Upi|700|4|0|16.60|3.3|3/22/2024||Active|Automation</v>
      </c>
      <c r="W255" s="13">
        <f t="shared" si="3"/>
        <v>1</v>
      </c>
      <c r="X255" s="13">
        <f>IFERROR(__xludf.DUMMYFUNCTION("COUNTUNIQUE(FILTER($B$2:$B$1826,$A$2:$A$1826=A255))"),2.0)</f>
        <v>2</v>
      </c>
    </row>
    <row r="256">
      <c r="A256" s="13" t="s">
        <v>713</v>
      </c>
      <c r="B256" s="13" t="s">
        <v>118</v>
      </c>
      <c r="C256" s="14">
        <v>51.0</v>
      </c>
      <c r="D256" s="13" t="s">
        <v>85</v>
      </c>
      <c r="E256" s="13" t="s">
        <v>87</v>
      </c>
      <c r="F256" s="13" t="s">
        <v>37</v>
      </c>
      <c r="G256" s="13" t="s">
        <v>80</v>
      </c>
      <c r="H256" s="16">
        <v>44837.0</v>
      </c>
      <c r="I256" s="14">
        <v>32.0</v>
      </c>
      <c r="J256" s="13" t="s">
        <v>40</v>
      </c>
      <c r="K256" s="13" t="s">
        <v>81</v>
      </c>
      <c r="L256" s="14">
        <v>1048.0</v>
      </c>
      <c r="M256" s="18" t="s">
        <v>46</v>
      </c>
      <c r="N256" s="18" t="s">
        <v>46</v>
      </c>
      <c r="O256" s="18">
        <v>22.3</v>
      </c>
      <c r="P256" s="18" t="s">
        <v>43</v>
      </c>
      <c r="Q256" s="16">
        <v>45804.0</v>
      </c>
      <c r="R256" s="16" t="s">
        <v>38</v>
      </c>
      <c r="S256" s="13" t="s">
        <v>55</v>
      </c>
      <c r="T256" s="13" t="s">
        <v>66</v>
      </c>
      <c r="U256" s="13">
        <f t="shared" si="1"/>
        <v>3</v>
      </c>
      <c r="V256" s="13" t="str">
        <f t="shared" si="2"/>
        <v>C00253|Karan Nair|51|West|Surat|Standard|Organic Search|10/3/2022|32|Monthly|Debit Card|1,048|0|0|22.30|2|5/27/2025||Active|Automation</v>
      </c>
      <c r="W256" s="13">
        <f t="shared" si="3"/>
        <v>1</v>
      </c>
      <c r="X256" s="13">
        <f>IFERROR(__xludf.DUMMYFUNCTION("COUNTUNIQUE(FILTER($B$2:$B$1826,$A$2:$A$1826=A256))"),3.0)</f>
        <v>3</v>
      </c>
    </row>
    <row r="257">
      <c r="A257" s="13" t="s">
        <v>714</v>
      </c>
      <c r="B257" s="13" t="s">
        <v>139</v>
      </c>
      <c r="C257" s="14">
        <v>40.0</v>
      </c>
      <c r="D257" s="13" t="s">
        <v>69</v>
      </c>
      <c r="E257" s="13" t="s">
        <v>70</v>
      </c>
      <c r="F257" s="13" t="s">
        <v>62</v>
      </c>
      <c r="G257" s="13" t="s">
        <v>80</v>
      </c>
      <c r="H257" s="16">
        <v>45803.0</v>
      </c>
      <c r="I257" s="14">
        <v>21.0</v>
      </c>
      <c r="J257" s="13" t="s">
        <v>53</v>
      </c>
      <c r="K257" s="13" t="s">
        <v>41</v>
      </c>
      <c r="L257" s="14">
        <v>695.0</v>
      </c>
      <c r="M257" s="18" t="s">
        <v>173</v>
      </c>
      <c r="N257" s="18" t="s">
        <v>46</v>
      </c>
      <c r="O257" s="18">
        <v>30.1</v>
      </c>
      <c r="P257" s="18" t="s">
        <v>275</v>
      </c>
      <c r="Q257" s="16">
        <v>46067.0</v>
      </c>
      <c r="R257" s="16" t="s">
        <v>38</v>
      </c>
      <c r="S257" s="13" t="s">
        <v>55</v>
      </c>
      <c r="T257" s="13" t="s">
        <v>47</v>
      </c>
      <c r="U257" s="13">
        <f t="shared" si="1"/>
        <v>1</v>
      </c>
      <c r="V257" s="13" t="str">
        <f t="shared" si="2"/>
        <v>C00356|Vikram Das|40|South|Bengaluru|Basic|Organic Search|5/26/2025|21|Quarterly|Upi|695|5|0|30.10|4.3|2/14/2026||Active|Cloud Storage</v>
      </c>
      <c r="W257" s="13">
        <f t="shared" si="3"/>
        <v>1</v>
      </c>
      <c r="X257" s="13">
        <f>IFERROR(__xludf.DUMMYFUNCTION("COUNTUNIQUE(FILTER($B$2:$B$1826,$A$2:$A$1826=A257))"),1.0)</f>
        <v>1</v>
      </c>
    </row>
    <row r="258">
      <c r="A258" s="13" t="s">
        <v>871</v>
      </c>
      <c r="B258" s="13" t="s">
        <v>232</v>
      </c>
      <c r="C258" s="14">
        <v>62.0</v>
      </c>
      <c r="D258" s="13" t="s">
        <v>85</v>
      </c>
      <c r="E258" s="13" t="s">
        <v>92</v>
      </c>
      <c r="F258" s="13" t="s">
        <v>62</v>
      </c>
      <c r="G258" s="13" t="s">
        <v>80</v>
      </c>
      <c r="H258" s="16">
        <v>45204.0</v>
      </c>
      <c r="I258" s="14">
        <v>46.0</v>
      </c>
      <c r="J258" s="13" t="s">
        <v>53</v>
      </c>
      <c r="K258" s="13" t="s">
        <v>81</v>
      </c>
      <c r="L258" s="14">
        <v>1646.0</v>
      </c>
      <c r="M258" s="18" t="s">
        <v>43</v>
      </c>
      <c r="N258" s="18" t="s">
        <v>46</v>
      </c>
      <c r="O258" s="18">
        <v>37.2</v>
      </c>
      <c r="P258" s="18" t="s">
        <v>116</v>
      </c>
      <c r="Q258" s="16">
        <v>45625.0</v>
      </c>
      <c r="R258" s="16">
        <v>45809.0</v>
      </c>
      <c r="S258" s="13" t="s">
        <v>45</v>
      </c>
      <c r="T258" s="13" t="s">
        <v>47</v>
      </c>
      <c r="U258" s="13">
        <f t="shared" si="1"/>
        <v>1</v>
      </c>
      <c r="V258" s="13" t="str">
        <f t="shared" si="2"/>
        <v>C00283|Meera Iyer|62|West|Ahmedabad|Basic|Organic Search|10/5/2023|46|Quarterly|Debit Card|1,646|2|0|37.20|3.4|11/29/2024|6/1/2025|Churned|Cloud Storage</v>
      </c>
      <c r="W258" s="13">
        <f t="shared" si="3"/>
        <v>1</v>
      </c>
      <c r="X258" s="13">
        <f>IFERROR(__xludf.DUMMYFUNCTION("COUNTUNIQUE(FILTER($B$2:$B$1826,$A$2:$A$1826=A258))"),1.0)</f>
        <v>1</v>
      </c>
    </row>
    <row r="259">
      <c r="A259" s="13" t="s">
        <v>718</v>
      </c>
      <c r="B259" s="13" t="s">
        <v>176</v>
      </c>
      <c r="C259" s="14">
        <v>46.0</v>
      </c>
      <c r="D259" s="13" t="s">
        <v>69</v>
      </c>
      <c r="E259" s="13" t="s">
        <v>177</v>
      </c>
      <c r="F259" s="13" t="s">
        <v>37</v>
      </c>
      <c r="G259" s="13" t="s">
        <v>128</v>
      </c>
      <c r="H259" s="16">
        <v>45283.0</v>
      </c>
      <c r="I259" s="14">
        <v>36.0</v>
      </c>
      <c r="J259" s="13" t="s">
        <v>40</v>
      </c>
      <c r="K259" s="13" t="s">
        <v>81</v>
      </c>
      <c r="L259" s="14">
        <v>1682.0</v>
      </c>
      <c r="M259" s="18" t="s">
        <v>46</v>
      </c>
      <c r="N259" s="18" t="s">
        <v>46</v>
      </c>
      <c r="O259" s="18">
        <v>16.7</v>
      </c>
      <c r="P259" s="18" t="s">
        <v>248</v>
      </c>
      <c r="Q259" s="16">
        <v>46147.0</v>
      </c>
      <c r="R259" s="16" t="s">
        <v>38</v>
      </c>
      <c r="S259" s="13" t="s">
        <v>55</v>
      </c>
      <c r="T259" s="13" t="s">
        <v>104</v>
      </c>
      <c r="U259" s="13">
        <f t="shared" si="1"/>
        <v>1</v>
      </c>
      <c r="V259" s="13" t="str">
        <f t="shared" si="2"/>
        <v>C01455|Ravi Iyer|46|South|Hyderabad|Standard|Youtube|12/23/2023|36|Monthly|Debit Card|1,682|0|0|16.70|2.6|5/5/2026||Active|Analytics</v>
      </c>
      <c r="W259" s="13">
        <f t="shared" si="3"/>
        <v>1</v>
      </c>
      <c r="X259" s="13">
        <f>IFERROR(__xludf.DUMMYFUNCTION("COUNTUNIQUE(FILTER($B$2:$B$1826,$A$2:$A$1826=A259))"),1.0)</f>
        <v>1</v>
      </c>
    </row>
    <row r="260">
      <c r="A260" s="13" t="s">
        <v>719</v>
      </c>
      <c r="B260" s="13" t="s">
        <v>331</v>
      </c>
      <c r="C260" s="14">
        <v>32.0</v>
      </c>
      <c r="D260" s="13" t="s">
        <v>85</v>
      </c>
      <c r="E260" s="13" t="s">
        <v>111</v>
      </c>
      <c r="F260" s="13" t="s">
        <v>62</v>
      </c>
      <c r="G260" s="13" t="s">
        <v>63</v>
      </c>
      <c r="H260" s="16">
        <v>44971.0</v>
      </c>
      <c r="I260" s="14">
        <v>18.0</v>
      </c>
      <c r="J260" s="13" t="s">
        <v>64</v>
      </c>
      <c r="K260" s="13" t="s">
        <v>41</v>
      </c>
      <c r="L260" s="14">
        <v>581.0</v>
      </c>
      <c r="M260" s="18" t="s">
        <v>164</v>
      </c>
      <c r="N260" s="18" t="s">
        <v>43</v>
      </c>
      <c r="O260" s="18">
        <v>13.8</v>
      </c>
      <c r="P260" s="18" t="s">
        <v>76</v>
      </c>
      <c r="Q260" s="16">
        <v>45237.0</v>
      </c>
      <c r="R260" s="16">
        <v>45268.0</v>
      </c>
      <c r="S260" s="13" t="s">
        <v>45</v>
      </c>
      <c r="T260" s="13" t="s">
        <v>72</v>
      </c>
      <c r="U260" s="13">
        <f t="shared" si="1"/>
        <v>2</v>
      </c>
      <c r="V260" s="13" t="str">
        <f t="shared" si="2"/>
        <v>C00052|Arun Iyer|32|West|Pune|Basic|Google Ads|2/14/2023|18|Annual|Upi|581|3|2|13.80|4.4|11/7/2023|12/8/2023|Churned|Collaboration</v>
      </c>
      <c r="W260" s="13">
        <f t="shared" si="3"/>
        <v>1</v>
      </c>
      <c r="X260" s="13">
        <f>IFERROR(__xludf.DUMMYFUNCTION("COUNTUNIQUE(FILTER($B$2:$B$1826,$A$2:$A$1826=A260))"),2.0)</f>
        <v>2</v>
      </c>
    </row>
    <row r="261">
      <c r="A261" s="13" t="s">
        <v>720</v>
      </c>
      <c r="B261" s="13" t="s">
        <v>202</v>
      </c>
      <c r="C261" s="14">
        <v>43.0</v>
      </c>
      <c r="D261" s="13" t="s">
        <v>35</v>
      </c>
      <c r="E261" s="13" t="s">
        <v>51</v>
      </c>
      <c r="F261" s="13" t="s">
        <v>37</v>
      </c>
      <c r="G261" s="13" t="s">
        <v>80</v>
      </c>
      <c r="H261" s="16">
        <v>45358.0</v>
      </c>
      <c r="I261" s="14">
        <v>16.0</v>
      </c>
      <c r="J261" s="13" t="s">
        <v>53</v>
      </c>
      <c r="K261" s="13" t="s">
        <v>81</v>
      </c>
      <c r="L261" s="14">
        <v>1293.0</v>
      </c>
      <c r="M261" s="18" t="s">
        <v>43</v>
      </c>
      <c r="N261" s="18" t="s">
        <v>46</v>
      </c>
      <c r="O261" s="18">
        <v>32.1</v>
      </c>
      <c r="P261" s="18" t="s">
        <v>185</v>
      </c>
      <c r="Q261" s="16">
        <v>45708.0</v>
      </c>
      <c r="R261" s="16" t="s">
        <v>38</v>
      </c>
      <c r="S261" s="13" t="s">
        <v>55</v>
      </c>
      <c r="T261" s="13" t="s">
        <v>72</v>
      </c>
      <c r="U261" s="13">
        <f t="shared" si="1"/>
        <v>2</v>
      </c>
      <c r="V261" s="13" t="str">
        <f t="shared" si="2"/>
        <v>C00927|Arun Das|43|North|Jaipur|Standard|Organic Search|3/7/2024|16|Quarterly|Debit Card|1,293|2|0|32.10|3.2|2/20/2025||Active|Collaboration</v>
      </c>
      <c r="W261" s="13">
        <f t="shared" si="3"/>
        <v>1</v>
      </c>
      <c r="X261" s="13">
        <f>IFERROR(__xludf.DUMMYFUNCTION("COUNTUNIQUE(FILTER($B$2:$B$1826,$A$2:$A$1826=A261))"),2.0)</f>
        <v>2</v>
      </c>
    </row>
    <row r="262">
      <c r="A262" s="13" t="s">
        <v>721</v>
      </c>
      <c r="B262" s="13" t="s">
        <v>172</v>
      </c>
      <c r="C262" s="14">
        <v>68.0</v>
      </c>
      <c r="D262" s="13" t="s">
        <v>35</v>
      </c>
      <c r="E262" s="13" t="s">
        <v>36</v>
      </c>
      <c r="F262" s="13" t="s">
        <v>37</v>
      </c>
      <c r="G262" s="13" t="s">
        <v>39</v>
      </c>
      <c r="H262" s="16">
        <v>45832.0</v>
      </c>
      <c r="I262" s="14">
        <v>29.0</v>
      </c>
      <c r="J262" s="13" t="s">
        <v>64</v>
      </c>
      <c r="K262" s="13" t="s">
        <v>41</v>
      </c>
      <c r="L262" s="14">
        <v>1720.0</v>
      </c>
      <c r="M262" s="18" t="s">
        <v>164</v>
      </c>
      <c r="N262" s="18" t="s">
        <v>98</v>
      </c>
      <c r="O262" s="18">
        <v>27.8</v>
      </c>
      <c r="P262" s="18" t="s">
        <v>173</v>
      </c>
      <c r="Q262" s="16">
        <v>46505.0</v>
      </c>
      <c r="R262" s="16">
        <v>46120.0</v>
      </c>
      <c r="S262" s="13" t="s">
        <v>45</v>
      </c>
      <c r="T262" s="13" t="s">
        <v>72</v>
      </c>
      <c r="U262" s="13">
        <f t="shared" si="1"/>
        <v>1</v>
      </c>
      <c r="V262" s="13" t="str">
        <f t="shared" si="2"/>
        <v>C01131|Meera Singh|68|North|Delhi|Standard|Instagram|6/24/2025|29|Annual|Upi|1,720|3|1|27.80|5|4/28/2027|4/8/2026|Churned|Collaboration</v>
      </c>
      <c r="W262" s="13">
        <f t="shared" si="3"/>
        <v>1</v>
      </c>
      <c r="X262" s="13">
        <f>IFERROR(__xludf.DUMMYFUNCTION("COUNTUNIQUE(FILTER($B$2:$B$1826,$A$2:$A$1826=A262))"),1.0)</f>
        <v>1</v>
      </c>
    </row>
    <row r="263">
      <c r="A263" s="13" t="s">
        <v>723</v>
      </c>
      <c r="B263" s="13" t="s">
        <v>106</v>
      </c>
      <c r="C263" s="14">
        <v>56.0</v>
      </c>
      <c r="D263" s="13" t="s">
        <v>69</v>
      </c>
      <c r="E263" s="13" t="s">
        <v>70</v>
      </c>
      <c r="F263" s="13" t="s">
        <v>62</v>
      </c>
      <c r="G263" s="13" t="s">
        <v>39</v>
      </c>
      <c r="H263" s="16">
        <v>45614.0</v>
      </c>
      <c r="I263" s="14">
        <v>8.0</v>
      </c>
      <c r="J263" s="13" t="s">
        <v>53</v>
      </c>
      <c r="K263" s="13" t="s">
        <v>41</v>
      </c>
      <c r="L263" s="14">
        <v>718.0</v>
      </c>
      <c r="M263" s="18" t="s">
        <v>98</v>
      </c>
      <c r="N263" s="18" t="s">
        <v>46</v>
      </c>
      <c r="O263" s="18">
        <v>24.1</v>
      </c>
      <c r="P263" s="18" t="s">
        <v>400</v>
      </c>
      <c r="Q263" s="16">
        <v>45691.0</v>
      </c>
      <c r="R263" s="16" t="s">
        <v>38</v>
      </c>
      <c r="S263" s="13" t="s">
        <v>55</v>
      </c>
      <c r="T263" s="13" t="s">
        <v>72</v>
      </c>
      <c r="U263" s="13">
        <f t="shared" si="1"/>
        <v>3</v>
      </c>
      <c r="V263" s="13" t="str">
        <f t="shared" si="2"/>
        <v>C00920|Rahul Patel|56|South|Bengaluru|Basic|Instagram|11/18/2024|8|Quarterly|Upi|718|1|0|24.10|4.8|2/3/2025||Active|Collaboration</v>
      </c>
      <c r="W263" s="13">
        <f t="shared" si="3"/>
        <v>1</v>
      </c>
      <c r="X263" s="13">
        <f>IFERROR(__xludf.DUMMYFUNCTION("COUNTUNIQUE(FILTER($B$2:$B$1826,$A$2:$A$1826=A263))"),3.0)</f>
        <v>3</v>
      </c>
    </row>
    <row r="264">
      <c r="A264" s="13" t="s">
        <v>724</v>
      </c>
      <c r="B264" s="13" t="s">
        <v>448</v>
      </c>
      <c r="C264" s="14">
        <v>23.0</v>
      </c>
      <c r="D264" s="13" t="s">
        <v>69</v>
      </c>
      <c r="E264" s="13" t="s">
        <v>70</v>
      </c>
      <c r="F264" s="13" t="s">
        <v>62</v>
      </c>
      <c r="G264" s="13" t="s">
        <v>210</v>
      </c>
      <c r="H264" s="16">
        <v>45784.0</v>
      </c>
      <c r="I264" s="14">
        <v>4.0</v>
      </c>
      <c r="J264" s="13" t="s">
        <v>64</v>
      </c>
      <c r="K264" s="13" t="s">
        <v>65</v>
      </c>
      <c r="L264" s="14">
        <v>819.0</v>
      </c>
      <c r="M264" s="18" t="s">
        <v>43</v>
      </c>
      <c r="N264" s="18" t="s">
        <v>46</v>
      </c>
      <c r="O264" s="18">
        <v>10.2</v>
      </c>
      <c r="P264" s="18" t="s">
        <v>263</v>
      </c>
      <c r="Q264" s="16">
        <v>45871.0</v>
      </c>
      <c r="R264" s="16">
        <v>45846.0</v>
      </c>
      <c r="S264" s="13" t="s">
        <v>45</v>
      </c>
      <c r="T264" s="13" t="s">
        <v>66</v>
      </c>
      <c r="U264" s="13">
        <f t="shared" si="1"/>
        <v>1</v>
      </c>
      <c r="V264" s="13" t="str">
        <f t="shared" si="2"/>
        <v>C00956|Meera Reddy|23|South|Bengaluru|Basic|Referral|5/7/2025|4|Annual|Credit Card|819|2|0|10.20|2.9|8/2/2025|7/8/2025|Churned|Automation</v>
      </c>
      <c r="W264" s="13">
        <f t="shared" si="3"/>
        <v>1</v>
      </c>
      <c r="X264" s="13">
        <f>IFERROR(__xludf.DUMMYFUNCTION("COUNTUNIQUE(FILTER($B$2:$B$1826,$A$2:$A$1826=A264))"),1.0)</f>
        <v>1</v>
      </c>
    </row>
    <row r="265">
      <c r="A265" s="13" t="s">
        <v>727</v>
      </c>
      <c r="B265" s="13" t="s">
        <v>281</v>
      </c>
      <c r="C265" s="14">
        <v>42.0</v>
      </c>
      <c r="D265" s="13" t="s">
        <v>69</v>
      </c>
      <c r="E265" s="13" t="s">
        <v>70</v>
      </c>
      <c r="F265" s="13" t="s">
        <v>37</v>
      </c>
      <c r="G265" s="13" t="s">
        <v>39</v>
      </c>
      <c r="H265" s="16">
        <v>45413.0</v>
      </c>
      <c r="I265" s="14">
        <v>35.0</v>
      </c>
      <c r="J265" s="13" t="s">
        <v>53</v>
      </c>
      <c r="K265" s="13" t="s">
        <v>41</v>
      </c>
      <c r="L265" s="14">
        <v>1356.0</v>
      </c>
      <c r="M265" s="18" t="s">
        <v>98</v>
      </c>
      <c r="N265" s="18" t="s">
        <v>98</v>
      </c>
      <c r="O265" s="18">
        <v>25.6</v>
      </c>
      <c r="P265" s="18" t="s">
        <v>173</v>
      </c>
      <c r="Q265" s="16">
        <v>45859.0</v>
      </c>
      <c r="R265" s="16" t="s">
        <v>38</v>
      </c>
      <c r="S265" s="13" t="s">
        <v>55</v>
      </c>
      <c r="T265" s="13" t="s">
        <v>66</v>
      </c>
      <c r="U265" s="13">
        <f t="shared" si="1"/>
        <v>3</v>
      </c>
      <c r="V265" s="13" t="str">
        <f t="shared" si="2"/>
        <v>C00451|Anita Reddy|42|South|Bengaluru|Standard|Instagram|5/1/2024|35|Quarterly|Upi|1,356|1|1|25.60|5|7/21/2025||Active|Automation</v>
      </c>
      <c r="W265" s="13">
        <f t="shared" si="3"/>
        <v>1</v>
      </c>
      <c r="X265" s="13">
        <f>IFERROR(__xludf.DUMMYFUNCTION("COUNTUNIQUE(FILTER($B$2:$B$1826,$A$2:$A$1826=A265))"),3.0)</f>
        <v>3</v>
      </c>
    </row>
    <row r="266">
      <c r="A266" s="13" t="s">
        <v>728</v>
      </c>
      <c r="B266" s="13" t="s">
        <v>633</v>
      </c>
      <c r="C266" s="14">
        <v>26.0</v>
      </c>
      <c r="D266" s="13" t="s">
        <v>85</v>
      </c>
      <c r="E266" s="13" t="s">
        <v>292</v>
      </c>
      <c r="F266" s="13" t="s">
        <v>62</v>
      </c>
      <c r="G266" s="13" t="s">
        <v>210</v>
      </c>
      <c r="H266" s="16">
        <v>45474.0</v>
      </c>
      <c r="I266" s="14">
        <v>16.0</v>
      </c>
      <c r="J266" s="13" t="s">
        <v>53</v>
      </c>
      <c r="K266" s="13" t="s">
        <v>65</v>
      </c>
      <c r="L266" s="14">
        <v>813.0</v>
      </c>
      <c r="M266" s="18" t="s">
        <v>43</v>
      </c>
      <c r="N266" s="18" t="s">
        <v>46</v>
      </c>
      <c r="O266" s="18">
        <v>18.8</v>
      </c>
      <c r="P266" s="18" t="s">
        <v>449</v>
      </c>
      <c r="Q266" s="16">
        <v>45974.0</v>
      </c>
      <c r="R266" s="16" t="s">
        <v>729</v>
      </c>
      <c r="S266" s="13" t="s">
        <v>45</v>
      </c>
      <c r="T266" s="13" t="s">
        <v>66</v>
      </c>
      <c r="U266" s="13">
        <f t="shared" si="1"/>
        <v>3</v>
      </c>
      <c r="V266" s="13" t="str">
        <f t="shared" si="2"/>
        <v>C01087|Anita Das|26|West|Mumbai|Basic|Referral|7/1/2024|16|Quarterly|Credit Card|813|2|0|18.80|2.7|11/13/2025|20/08/2024|Churned|Automation</v>
      </c>
      <c r="W266" s="13">
        <f t="shared" si="3"/>
        <v>1</v>
      </c>
      <c r="X266" s="13">
        <f>IFERROR(__xludf.DUMMYFUNCTION("COUNTUNIQUE(FILTER($B$2:$B$1826,$A$2:$A$1826=A266))"),3.0)</f>
        <v>3</v>
      </c>
    </row>
    <row r="267">
      <c r="A267" s="13" t="s">
        <v>730</v>
      </c>
      <c r="B267" s="13" t="s">
        <v>636</v>
      </c>
      <c r="C267" s="14">
        <v>51.0</v>
      </c>
      <c r="D267" s="13" t="s">
        <v>60</v>
      </c>
      <c r="E267" s="13" t="s">
        <v>61</v>
      </c>
      <c r="F267" s="13" t="s">
        <v>79</v>
      </c>
      <c r="G267" s="13" t="s">
        <v>128</v>
      </c>
      <c r="H267" s="16">
        <v>45329.0</v>
      </c>
      <c r="I267" s="14">
        <v>33.0</v>
      </c>
      <c r="J267" s="13" t="s">
        <v>40</v>
      </c>
      <c r="K267" s="13" t="s">
        <v>41</v>
      </c>
      <c r="L267" s="14">
        <v>2088.0</v>
      </c>
      <c r="M267" s="18" t="s">
        <v>43</v>
      </c>
      <c r="N267" s="18" t="s">
        <v>98</v>
      </c>
      <c r="O267" s="18">
        <v>40.0</v>
      </c>
      <c r="P267" s="18" t="s">
        <v>225</v>
      </c>
      <c r="Q267" s="16">
        <v>45642.0</v>
      </c>
      <c r="R267" s="16" t="s">
        <v>731</v>
      </c>
      <c r="S267" s="13" t="s">
        <v>45</v>
      </c>
      <c r="T267" s="13" t="s">
        <v>47</v>
      </c>
      <c r="U267" s="13">
        <f t="shared" si="1"/>
        <v>1</v>
      </c>
      <c r="V267" s="13" t="str">
        <f t="shared" si="2"/>
        <v>C01483|Neha Reddy|51|East|Kolkata|Premium|Youtube|2/7/2024|33|Monthly|Upi|2,088|2|1|40.00|3.8|12/16/2024|13/09/2026|Churned|Cloud Storage</v>
      </c>
      <c r="W267" s="13">
        <f t="shared" si="3"/>
        <v>1</v>
      </c>
      <c r="X267" s="13">
        <f>IFERROR(__xludf.DUMMYFUNCTION("COUNTUNIQUE(FILTER($B$2:$B$1826,$A$2:$A$1826=A267))"),1.0)</f>
        <v>1</v>
      </c>
    </row>
    <row r="268">
      <c r="A268" s="13" t="s">
        <v>732</v>
      </c>
      <c r="B268" s="13" t="s">
        <v>336</v>
      </c>
      <c r="C268" s="14">
        <v>20.0</v>
      </c>
      <c r="D268" s="13" t="s">
        <v>35</v>
      </c>
      <c r="E268" s="13" t="s">
        <v>36</v>
      </c>
      <c r="F268" s="13" t="s">
        <v>62</v>
      </c>
      <c r="G268" s="13" t="s">
        <v>52</v>
      </c>
      <c r="H268" s="16">
        <v>44998.0</v>
      </c>
      <c r="I268" s="14">
        <v>44.0</v>
      </c>
      <c r="J268" s="13" t="s">
        <v>53</v>
      </c>
      <c r="K268" s="13" t="s">
        <v>81</v>
      </c>
      <c r="L268" s="14">
        <v>552.0</v>
      </c>
      <c r="M268" s="18" t="s">
        <v>98</v>
      </c>
      <c r="N268" s="18" t="s">
        <v>43</v>
      </c>
      <c r="O268" s="18">
        <v>24.4</v>
      </c>
      <c r="P268" s="18" t="s">
        <v>248</v>
      </c>
      <c r="Q268" s="16">
        <v>45899.0</v>
      </c>
      <c r="R268" s="16" t="s">
        <v>38</v>
      </c>
      <c r="S268" s="13" t="s">
        <v>55</v>
      </c>
      <c r="T268" s="13" t="s">
        <v>72</v>
      </c>
      <c r="U268" s="13">
        <f t="shared" si="1"/>
        <v>1</v>
      </c>
      <c r="V268" s="13" t="str">
        <f t="shared" si="2"/>
        <v>C01584|Priya Patel|20|North|Delhi|Basic|Facebook|3/13/2023|44|Quarterly|Debit Card|552|1|2|24.40|2.6|8/30/2025||Active|Collaboration</v>
      </c>
      <c r="W268" s="13">
        <f t="shared" si="3"/>
        <v>1</v>
      </c>
      <c r="X268" s="13">
        <f>IFERROR(__xludf.DUMMYFUNCTION("COUNTUNIQUE(FILTER($B$2:$B$1826,$A$2:$A$1826=A268))"),1.0)</f>
        <v>1</v>
      </c>
    </row>
    <row r="269">
      <c r="A269" s="13" t="s">
        <v>733</v>
      </c>
      <c r="B269" s="13" t="s">
        <v>734</v>
      </c>
      <c r="C269" s="14">
        <v>46.0</v>
      </c>
      <c r="D269" s="13" t="s">
        <v>35</v>
      </c>
      <c r="E269" s="13" t="s">
        <v>36</v>
      </c>
      <c r="F269" s="13" t="s">
        <v>62</v>
      </c>
      <c r="G269" s="13" t="s">
        <v>128</v>
      </c>
      <c r="H269" s="16">
        <v>45077.0</v>
      </c>
      <c r="I269" s="14">
        <v>36.0</v>
      </c>
      <c r="J269" s="13" t="s">
        <v>53</v>
      </c>
      <c r="K269" s="13" t="s">
        <v>41</v>
      </c>
      <c r="L269" s="14">
        <v>615.0</v>
      </c>
      <c r="M269" s="18" t="s">
        <v>98</v>
      </c>
      <c r="N269" s="18" t="s">
        <v>46</v>
      </c>
      <c r="O269" s="18">
        <v>11.5</v>
      </c>
      <c r="P269" s="18" t="s">
        <v>116</v>
      </c>
      <c r="Q269" s="16">
        <v>45881.0</v>
      </c>
      <c r="R269" s="16" t="s">
        <v>38</v>
      </c>
      <c r="S269" s="13" t="s">
        <v>55</v>
      </c>
      <c r="T269" s="13" t="s">
        <v>75</v>
      </c>
      <c r="U269" s="13">
        <f t="shared" si="1"/>
        <v>4</v>
      </c>
      <c r="V269" s="13" t="str">
        <f t="shared" si="2"/>
        <v>C00078|Sneha Das|46|North|Delhi|Basic|Youtube|5/31/2023|36|Quarterly|Upi|615|1|0|11.50|3.4|8/12/2025||Active|Security</v>
      </c>
      <c r="W269" s="13">
        <f t="shared" si="3"/>
        <v>1</v>
      </c>
      <c r="X269" s="13">
        <f>IFERROR(__xludf.DUMMYFUNCTION("COUNTUNIQUE(FILTER($B$2:$B$1826,$A$2:$A$1826=A269))"),4.0)</f>
        <v>4</v>
      </c>
    </row>
    <row r="270">
      <c r="A270" s="13" t="s">
        <v>735</v>
      </c>
      <c r="B270" s="13" t="s">
        <v>736</v>
      </c>
      <c r="C270" s="14">
        <v>62.0</v>
      </c>
      <c r="D270" s="13" t="s">
        <v>69</v>
      </c>
      <c r="E270" s="13" t="s">
        <v>36</v>
      </c>
      <c r="F270" s="13" t="s">
        <v>37</v>
      </c>
      <c r="G270" s="13" t="s">
        <v>80</v>
      </c>
      <c r="H270" s="16">
        <v>44691.0</v>
      </c>
      <c r="I270" s="14">
        <v>48.0</v>
      </c>
      <c r="J270" s="13" t="s">
        <v>53</v>
      </c>
      <c r="K270" s="13" t="s">
        <v>81</v>
      </c>
      <c r="L270" s="14">
        <v>1073.0</v>
      </c>
      <c r="M270" s="18" t="s">
        <v>98</v>
      </c>
      <c r="N270" s="18" t="s">
        <v>43</v>
      </c>
      <c r="O270" s="18">
        <v>29.6</v>
      </c>
      <c r="P270" s="18" t="s">
        <v>158</v>
      </c>
      <c r="Q270" s="16">
        <v>45730.0</v>
      </c>
      <c r="R270" s="16" t="s">
        <v>38</v>
      </c>
      <c r="S270" s="13" t="s">
        <v>55</v>
      </c>
      <c r="T270" s="13" t="s">
        <v>104</v>
      </c>
      <c r="U270" s="13">
        <f t="shared" si="1"/>
        <v>3</v>
      </c>
      <c r="V270" s="13" t="str">
        <f t="shared" si="2"/>
        <v>C01379|Priya Iyer|62|South|Delhi|Standard|Organic Search|5/10/2022|48|Quarterly|Debit Card|1,073|1|2|29.60|4.7|3/14/2025||Active|Analytics</v>
      </c>
      <c r="W270" s="13">
        <f t="shared" si="3"/>
        <v>1</v>
      </c>
      <c r="X270" s="13">
        <f>IFERROR(__xludf.DUMMYFUNCTION("COUNTUNIQUE(FILTER($B$2:$B$1826,$A$2:$A$1826=A270))"),3.0)</f>
        <v>3</v>
      </c>
    </row>
    <row r="271">
      <c r="A271" s="13" t="s">
        <v>410</v>
      </c>
      <c r="B271" s="13" t="s">
        <v>176</v>
      </c>
      <c r="C271" s="14">
        <v>59.0</v>
      </c>
      <c r="D271" s="13" t="s">
        <v>85</v>
      </c>
      <c r="E271" s="13" t="s">
        <v>87</v>
      </c>
      <c r="F271" s="13" t="s">
        <v>62</v>
      </c>
      <c r="G271" s="13" t="s">
        <v>52</v>
      </c>
      <c r="H271" s="16">
        <v>44625.0</v>
      </c>
      <c r="I271" s="14">
        <v>31.0</v>
      </c>
      <c r="J271" s="13" t="s">
        <v>40</v>
      </c>
      <c r="K271" s="13" t="s">
        <v>65</v>
      </c>
      <c r="L271" s="14">
        <v>611.0</v>
      </c>
      <c r="M271" s="18" t="s">
        <v>46</v>
      </c>
      <c r="N271" s="18" t="s">
        <v>98</v>
      </c>
      <c r="O271" s="18">
        <v>21.0</v>
      </c>
      <c r="P271" s="18" t="s">
        <v>173</v>
      </c>
      <c r="Q271" s="16">
        <v>45035.0</v>
      </c>
      <c r="R271" s="16" t="s">
        <v>38</v>
      </c>
      <c r="S271" s="13" t="s">
        <v>55</v>
      </c>
      <c r="T271" s="13" t="s">
        <v>72</v>
      </c>
      <c r="U271" s="13">
        <f t="shared" si="1"/>
        <v>2</v>
      </c>
      <c r="V271" s="13" t="str">
        <f t="shared" si="2"/>
        <v>C00577|Ravi Iyer|59|West|Surat|Basic|Facebook|3/5/2022|31|Monthly|Credit Card|611|0|1|21.00|5|4/19/2023||Active|Collaboration</v>
      </c>
      <c r="W271" s="13">
        <f t="shared" si="3"/>
        <v>1</v>
      </c>
      <c r="X271" s="13">
        <f>IFERROR(__xludf.DUMMYFUNCTION("COUNTUNIQUE(FILTER($B$2:$B$1826,$A$2:$A$1826=A271))"),2.0)</f>
        <v>2</v>
      </c>
    </row>
    <row r="272">
      <c r="A272" s="13" t="s">
        <v>737</v>
      </c>
      <c r="B272" s="13" t="s">
        <v>312</v>
      </c>
      <c r="C272" s="14">
        <v>45.0</v>
      </c>
      <c r="D272" s="13" t="s">
        <v>69</v>
      </c>
      <c r="E272" s="13" t="s">
        <v>70</v>
      </c>
      <c r="F272" s="13" t="s">
        <v>62</v>
      </c>
      <c r="G272" s="13" t="s">
        <v>80</v>
      </c>
      <c r="H272" s="16">
        <v>45783.0</v>
      </c>
      <c r="I272" s="14">
        <v>26.0</v>
      </c>
      <c r="J272" s="13" t="s">
        <v>64</v>
      </c>
      <c r="K272" s="13" t="s">
        <v>81</v>
      </c>
      <c r="L272" s="14">
        <v>542.0</v>
      </c>
      <c r="M272" s="18" t="s">
        <v>43</v>
      </c>
      <c r="N272" s="18" t="s">
        <v>98</v>
      </c>
      <c r="O272" s="18">
        <v>21.5</v>
      </c>
      <c r="P272" s="18" t="s">
        <v>150</v>
      </c>
      <c r="Q272" s="16">
        <v>46559.0</v>
      </c>
      <c r="R272" s="16" t="s">
        <v>38</v>
      </c>
      <c r="S272" s="13" t="s">
        <v>55</v>
      </c>
      <c r="T272" s="13" t="s">
        <v>47</v>
      </c>
      <c r="U272" s="13">
        <f t="shared" si="1"/>
        <v>1</v>
      </c>
      <c r="V272" s="13" t="str">
        <f t="shared" si="2"/>
        <v>C00023|Anita Singh|45|South|Bengaluru|Basic|Organic Search|5/6/2025|26|Annual|Debit Card|542|2|1|21.50|4.5|6/21/2027||Active|Cloud Storage</v>
      </c>
      <c r="W272" s="13">
        <f t="shared" si="3"/>
        <v>1</v>
      </c>
      <c r="X272" s="13">
        <f>IFERROR(__xludf.DUMMYFUNCTION("COUNTUNIQUE(FILTER($B$2:$B$1826,$A$2:$A$1826=A272))"),1.0)</f>
        <v>1</v>
      </c>
    </row>
    <row r="273">
      <c r="A273" s="13" t="s">
        <v>259</v>
      </c>
      <c r="B273" s="13" t="s">
        <v>645</v>
      </c>
      <c r="C273" s="14">
        <v>60.0</v>
      </c>
      <c r="D273" s="13" t="s">
        <v>69</v>
      </c>
      <c r="E273" s="13" t="s">
        <v>187</v>
      </c>
      <c r="F273" s="13" t="s">
        <v>37</v>
      </c>
      <c r="G273" s="13" t="s">
        <v>210</v>
      </c>
      <c r="H273" s="16">
        <v>44959.0</v>
      </c>
      <c r="I273" s="14">
        <v>8.0</v>
      </c>
      <c r="J273" s="13" t="s">
        <v>64</v>
      </c>
      <c r="K273" s="13" t="s">
        <v>41</v>
      </c>
      <c r="L273" s="14">
        <v>1054.0</v>
      </c>
      <c r="M273" s="18" t="s">
        <v>98</v>
      </c>
      <c r="N273" s="18" t="s">
        <v>98</v>
      </c>
      <c r="O273" s="18">
        <v>39.2</v>
      </c>
      <c r="P273" s="18" t="s">
        <v>225</v>
      </c>
      <c r="Q273" s="16">
        <v>45161.0</v>
      </c>
      <c r="R273" s="16" t="s">
        <v>38</v>
      </c>
      <c r="S273" s="13" t="s">
        <v>55</v>
      </c>
      <c r="T273" s="13" t="s">
        <v>72</v>
      </c>
      <c r="U273" s="13">
        <f t="shared" si="1"/>
        <v>2</v>
      </c>
      <c r="V273" s="13" t="str">
        <f t="shared" si="2"/>
        <v>C00330|Ravi Nair|60|South|Chennai|Standard|Referral|2/2/2023|8|Annual|Upi|1,054|1|1|39.20|3.8|8/23/2023||Active|Collaboration</v>
      </c>
      <c r="W273" s="13">
        <f t="shared" si="3"/>
        <v>1</v>
      </c>
      <c r="X273" s="13">
        <f>IFERROR(__xludf.DUMMYFUNCTION("COUNTUNIQUE(FILTER($B$2:$B$1826,$A$2:$A$1826=A273))"),2.0)</f>
        <v>2</v>
      </c>
    </row>
    <row r="274">
      <c r="A274" s="13" t="s">
        <v>739</v>
      </c>
      <c r="B274" s="13" t="s">
        <v>736</v>
      </c>
      <c r="C274" s="14">
        <v>58.0</v>
      </c>
      <c r="D274" s="13" t="s">
        <v>35</v>
      </c>
      <c r="E274" s="13" t="s">
        <v>161</v>
      </c>
      <c r="F274" s="13" t="s">
        <v>62</v>
      </c>
      <c r="G274" s="13" t="s">
        <v>52</v>
      </c>
      <c r="H274" s="16">
        <v>45751.0</v>
      </c>
      <c r="I274" s="14">
        <v>32.0</v>
      </c>
      <c r="J274" s="13" t="s">
        <v>40</v>
      </c>
      <c r="K274" s="13" t="s">
        <v>41</v>
      </c>
      <c r="L274" s="14">
        <v>681.0</v>
      </c>
      <c r="M274" s="18" t="s">
        <v>43</v>
      </c>
      <c r="N274" s="18" t="s">
        <v>46</v>
      </c>
      <c r="O274" s="18">
        <v>12.3</v>
      </c>
      <c r="P274" s="18" t="s">
        <v>185</v>
      </c>
      <c r="Q274" s="16">
        <v>46432.0</v>
      </c>
      <c r="R274" s="16" t="s">
        <v>740</v>
      </c>
      <c r="S274" s="13" t="s">
        <v>55</v>
      </c>
      <c r="T274" s="13" t="s">
        <v>72</v>
      </c>
      <c r="U274" s="13">
        <f t="shared" si="1"/>
        <v>1</v>
      </c>
      <c r="V274" s="13" t="str">
        <f t="shared" si="2"/>
        <v>C01376|Priya Iyer|58|North|Chandigarh|Basic|Facebook|4/4/2025|32|Monthly|Upi|681|2|0|12.30|3.2|2/14/2027|30/12/2025|Active|Collaboration</v>
      </c>
      <c r="W274" s="13">
        <f t="shared" si="3"/>
        <v>1</v>
      </c>
      <c r="X274" s="13">
        <f>IFERROR(__xludf.DUMMYFUNCTION("COUNTUNIQUE(FILTER($B$2:$B$1826,$A$2:$A$1826=A274))"),1.0)</f>
        <v>1</v>
      </c>
    </row>
    <row r="275">
      <c r="A275" s="13" t="s">
        <v>741</v>
      </c>
      <c r="B275" s="13" t="s">
        <v>206</v>
      </c>
      <c r="C275" s="14">
        <v>99.0</v>
      </c>
      <c r="D275" s="13" t="s">
        <v>85</v>
      </c>
      <c r="E275" s="13" t="s">
        <v>92</v>
      </c>
      <c r="F275" s="13" t="s">
        <v>37</v>
      </c>
      <c r="G275" s="13" t="s">
        <v>210</v>
      </c>
      <c r="H275" s="16">
        <v>45982.0</v>
      </c>
      <c r="I275" s="14">
        <v>38.0</v>
      </c>
      <c r="J275" s="13" t="s">
        <v>53</v>
      </c>
      <c r="K275" s="13" t="s">
        <v>41</v>
      </c>
      <c r="L275" s="14">
        <v>1372.0</v>
      </c>
      <c r="M275" s="18" t="s">
        <v>164</v>
      </c>
      <c r="N275" s="18" t="s">
        <v>46</v>
      </c>
      <c r="O275" s="18">
        <v>25.1</v>
      </c>
      <c r="P275" s="18" t="s">
        <v>408</v>
      </c>
      <c r="Q275" s="16">
        <v>46639.0</v>
      </c>
      <c r="R275" s="16" t="s">
        <v>38</v>
      </c>
      <c r="S275" s="13" t="s">
        <v>45</v>
      </c>
      <c r="T275" s="13" t="s">
        <v>47</v>
      </c>
      <c r="U275" s="13">
        <f t="shared" si="1"/>
        <v>3</v>
      </c>
      <c r="V275" s="13" t="str">
        <f t="shared" si="2"/>
        <v>C00996|Karan Patel|99|West|Ahmedabad|Standard|Referral|11/21/2025|38|Quarterly|Upi|1,372|3|0|25.10|4.2|9/9/2027||Churned|Cloud Storage</v>
      </c>
      <c r="W275" s="13">
        <f t="shared" si="3"/>
        <v>1</v>
      </c>
      <c r="X275" s="13">
        <f>IFERROR(__xludf.DUMMYFUNCTION("COUNTUNIQUE(FILTER($B$2:$B$1826,$A$2:$A$1826=A275))"),3.0)</f>
        <v>3</v>
      </c>
    </row>
    <row r="276">
      <c r="A276" s="13" t="s">
        <v>742</v>
      </c>
      <c r="B276" s="13" t="s">
        <v>169</v>
      </c>
      <c r="C276" s="14">
        <v>54.0</v>
      </c>
      <c r="D276" s="13" t="s">
        <v>85</v>
      </c>
      <c r="E276" s="13" t="s">
        <v>92</v>
      </c>
      <c r="F276" s="13" t="s">
        <v>37</v>
      </c>
      <c r="G276" s="13" t="s">
        <v>39</v>
      </c>
      <c r="H276" s="16">
        <v>45953.0</v>
      </c>
      <c r="I276" s="14">
        <v>47.0</v>
      </c>
      <c r="J276" s="13" t="s">
        <v>40</v>
      </c>
      <c r="K276" s="13" t="s">
        <v>41</v>
      </c>
      <c r="L276" s="14">
        <v>1472.0</v>
      </c>
      <c r="M276" s="18" t="s">
        <v>43</v>
      </c>
      <c r="N276" s="18" t="s">
        <v>43</v>
      </c>
      <c r="O276" s="18">
        <v>35.1</v>
      </c>
      <c r="P276" s="18" t="s">
        <v>48</v>
      </c>
      <c r="Q276" s="16">
        <v>46697.0</v>
      </c>
      <c r="R276" s="16" t="s">
        <v>38</v>
      </c>
      <c r="S276" s="13" t="s">
        <v>55</v>
      </c>
      <c r="T276" s="13" t="s">
        <v>66</v>
      </c>
      <c r="U276" s="13">
        <f t="shared" si="1"/>
        <v>1</v>
      </c>
      <c r="V276" s="13" t="str">
        <f t="shared" si="2"/>
        <v>C01459|Vikram Nair|54|West|Ahmedabad|Standard|Instagram|10/23/2025|47|Monthly|Upi|1,472|2|2|35.10|3.6|11/6/2027||Active|Automation</v>
      </c>
      <c r="W276" s="13">
        <f t="shared" si="3"/>
        <v>1</v>
      </c>
      <c r="X276" s="13">
        <f>IFERROR(__xludf.DUMMYFUNCTION("COUNTUNIQUE(FILTER($B$2:$B$1826,$A$2:$A$1826=A276))"),1.0)</f>
        <v>1</v>
      </c>
    </row>
    <row r="277">
      <c r="A277" s="13" t="s">
        <v>743</v>
      </c>
      <c r="B277" s="13" t="s">
        <v>202</v>
      </c>
      <c r="C277" s="14">
        <v>68.0</v>
      </c>
      <c r="D277" s="13" t="s">
        <v>60</v>
      </c>
      <c r="E277" s="13" t="s">
        <v>97</v>
      </c>
      <c r="F277" s="13" t="s">
        <v>79</v>
      </c>
      <c r="G277" s="13" t="s">
        <v>39</v>
      </c>
      <c r="H277" s="16">
        <v>45101.0</v>
      </c>
      <c r="I277" s="14">
        <v>47.0</v>
      </c>
      <c r="J277" s="13" t="s">
        <v>64</v>
      </c>
      <c r="K277" s="13" t="s">
        <v>41</v>
      </c>
      <c r="L277" s="14">
        <v>2153.0</v>
      </c>
      <c r="M277" s="18" t="s">
        <v>43</v>
      </c>
      <c r="N277" s="18" t="s">
        <v>43</v>
      </c>
      <c r="O277" s="18">
        <v>38.9</v>
      </c>
      <c r="P277" s="18" t="s">
        <v>108</v>
      </c>
      <c r="Q277" s="16">
        <v>45149.0</v>
      </c>
      <c r="R277" s="16" t="s">
        <v>744</v>
      </c>
      <c r="S277" s="13" t="s">
        <v>45</v>
      </c>
      <c r="T277" s="13" t="s">
        <v>104</v>
      </c>
      <c r="U277" s="13">
        <f t="shared" si="1"/>
        <v>1</v>
      </c>
      <c r="V277" s="13" t="str">
        <f t="shared" si="2"/>
        <v>C00168|Arun Das|68|East|Bhubaneswar|Premium|Instagram|6/24/2023|47|Annual|Upi|2,153|2|2|38.90|2.4|8/11/2023|27/05/2026|Churned|Analytics</v>
      </c>
      <c r="W277" s="13">
        <f t="shared" si="3"/>
        <v>1</v>
      </c>
      <c r="X277" s="13">
        <f>IFERROR(__xludf.DUMMYFUNCTION("COUNTUNIQUE(FILTER($B$2:$B$1826,$A$2:$A$1826=A277))"),1.0)</f>
        <v>1</v>
      </c>
    </row>
    <row r="278">
      <c r="A278" s="13" t="s">
        <v>745</v>
      </c>
      <c r="B278" s="13" t="s">
        <v>383</v>
      </c>
      <c r="C278" s="14">
        <v>51.0</v>
      </c>
      <c r="D278" s="13" t="s">
        <v>60</v>
      </c>
      <c r="E278" s="13" t="s">
        <v>133</v>
      </c>
      <c r="F278" s="13" t="s">
        <v>37</v>
      </c>
      <c r="G278" s="13" t="s">
        <v>39</v>
      </c>
      <c r="H278" s="16">
        <v>45311.0</v>
      </c>
      <c r="I278" s="14">
        <v>26.0</v>
      </c>
      <c r="J278" s="13" t="s">
        <v>64</v>
      </c>
      <c r="K278" s="13" t="s">
        <v>41</v>
      </c>
      <c r="L278" s="14">
        <v>1602.0</v>
      </c>
      <c r="M278" s="18" t="s">
        <v>98</v>
      </c>
      <c r="N278" s="18" t="s">
        <v>98</v>
      </c>
      <c r="O278" s="18">
        <v>28.5</v>
      </c>
      <c r="P278" s="18" t="s">
        <v>150</v>
      </c>
      <c r="Q278" s="16">
        <v>45618.0</v>
      </c>
      <c r="R278" s="16" t="s">
        <v>38</v>
      </c>
      <c r="S278" s="13" t="s">
        <v>55</v>
      </c>
      <c r="T278" s="13" t="s">
        <v>75</v>
      </c>
      <c r="U278" s="13">
        <f t="shared" si="1"/>
        <v>2</v>
      </c>
      <c r="V278" s="13" t="str">
        <f t="shared" si="2"/>
        <v>C01130|Rahul Nair|51|East|Guwahati|Standard|Instagram|1/20/2024|26|Annual|Upi|1,602|1|1|28.50|4.5|11/22/2024||Active|Security</v>
      </c>
      <c r="W278" s="13">
        <f t="shared" si="3"/>
        <v>1</v>
      </c>
      <c r="X278" s="13">
        <f>IFERROR(__xludf.DUMMYFUNCTION("COUNTUNIQUE(FILTER($B$2:$B$1826,$A$2:$A$1826=A278))"),2.0)</f>
        <v>2</v>
      </c>
    </row>
    <row r="279">
      <c r="A279" s="13" t="s">
        <v>908</v>
      </c>
      <c r="B279" s="13" t="s">
        <v>106</v>
      </c>
      <c r="C279" s="14">
        <v>66.0</v>
      </c>
      <c r="D279" s="13" t="s">
        <v>35</v>
      </c>
      <c r="E279" s="13" t="s">
        <v>51</v>
      </c>
      <c r="F279" s="13" t="s">
        <v>37</v>
      </c>
      <c r="G279" s="13" t="s">
        <v>128</v>
      </c>
      <c r="H279" s="16">
        <v>45819.0</v>
      </c>
      <c r="I279" s="14">
        <v>44.0</v>
      </c>
      <c r="J279" s="13" t="s">
        <v>64</v>
      </c>
      <c r="K279" s="13" t="s">
        <v>65</v>
      </c>
      <c r="L279" s="14">
        <v>1142.0</v>
      </c>
      <c r="M279" s="18" t="s">
        <v>43</v>
      </c>
      <c r="N279" s="18" t="s">
        <v>46</v>
      </c>
      <c r="O279" s="18">
        <v>25.3</v>
      </c>
      <c r="P279" s="18" t="s">
        <v>89</v>
      </c>
      <c r="Q279" s="16">
        <v>46155.0</v>
      </c>
      <c r="R279" s="16" t="s">
        <v>38</v>
      </c>
      <c r="S279" s="13" t="s">
        <v>55</v>
      </c>
      <c r="T279" s="13" t="s">
        <v>72</v>
      </c>
      <c r="U279" s="13">
        <f t="shared" si="1"/>
        <v>1</v>
      </c>
      <c r="V279" s="13" t="str">
        <f t="shared" si="2"/>
        <v>C00746|Rahul Patel|66|North|Jaipur|Standard|Youtube|6/11/2025|44|Annual|Credit Card|1,142|2|0|25.30|3.3|5/13/2026||Active|Collaboration</v>
      </c>
      <c r="W279" s="13">
        <f t="shared" si="3"/>
        <v>1</v>
      </c>
      <c r="X279" s="13">
        <f>IFERROR(__xludf.DUMMYFUNCTION("COUNTUNIQUE(FILTER($B$2:$B$1826,$A$2:$A$1826=A279))"),1.0)</f>
        <v>1</v>
      </c>
    </row>
    <row r="280">
      <c r="A280" s="13" t="s">
        <v>256</v>
      </c>
      <c r="B280" s="13" t="s">
        <v>633</v>
      </c>
      <c r="C280" s="14">
        <v>49.0</v>
      </c>
      <c r="D280" s="13" t="s">
        <v>69</v>
      </c>
      <c r="E280" s="13" t="s">
        <v>119</v>
      </c>
      <c r="F280" s="13" t="s">
        <v>62</v>
      </c>
      <c r="G280" s="13" t="s">
        <v>210</v>
      </c>
      <c r="H280" s="16">
        <v>45318.0</v>
      </c>
      <c r="I280" s="14">
        <v>15.0</v>
      </c>
      <c r="J280" s="13" t="s">
        <v>53</v>
      </c>
      <c r="K280" s="13" t="s">
        <v>41</v>
      </c>
      <c r="L280" s="14">
        <v>604.0</v>
      </c>
      <c r="M280" s="18" t="s">
        <v>46</v>
      </c>
      <c r="N280" s="18" t="s">
        <v>43</v>
      </c>
      <c r="O280" s="18">
        <v>34.5</v>
      </c>
      <c r="P280" s="18" t="s">
        <v>449</v>
      </c>
      <c r="Q280" s="16">
        <v>45733.0</v>
      </c>
      <c r="R280" s="16" t="s">
        <v>38</v>
      </c>
      <c r="S280" s="13" t="s">
        <v>55</v>
      </c>
      <c r="T280" s="13" t="s">
        <v>104</v>
      </c>
      <c r="U280" s="13">
        <f t="shared" si="1"/>
        <v>2</v>
      </c>
      <c r="V280" s="13" t="str">
        <f t="shared" si="2"/>
        <v>C00083|Anita Das|49|South|Kochi|Basic|Referral|1/27/2024|15|Quarterly|Upi|604|0|2|34.50|2.7|3/17/2025||Active|Analytics</v>
      </c>
      <c r="W280" s="13">
        <f t="shared" si="3"/>
        <v>1</v>
      </c>
      <c r="X280" s="13">
        <f>IFERROR(__xludf.DUMMYFUNCTION("COUNTUNIQUE(FILTER($B$2:$B$1826,$A$2:$A$1826=A280))"),2.0)</f>
        <v>2</v>
      </c>
    </row>
    <row r="281">
      <c r="A281" s="13" t="s">
        <v>748</v>
      </c>
      <c r="B281" s="13" t="s">
        <v>411</v>
      </c>
      <c r="C281" s="14">
        <v>56.0</v>
      </c>
      <c r="D281" s="13" t="s">
        <v>60</v>
      </c>
      <c r="E281" s="13" t="s">
        <v>61</v>
      </c>
      <c r="F281" s="13" t="s">
        <v>37</v>
      </c>
      <c r="G281" s="13" t="s">
        <v>80</v>
      </c>
      <c r="H281" s="16">
        <v>45859.0</v>
      </c>
      <c r="I281" s="14">
        <v>18.0</v>
      </c>
      <c r="J281" s="13" t="s">
        <v>64</v>
      </c>
      <c r="K281" s="13" t="s">
        <v>41</v>
      </c>
      <c r="L281" s="14">
        <v>1591.0</v>
      </c>
      <c r="M281" s="18" t="s">
        <v>164</v>
      </c>
      <c r="N281" s="18" t="s">
        <v>43</v>
      </c>
      <c r="O281" s="18">
        <v>27.4</v>
      </c>
      <c r="P281" s="18" t="s">
        <v>123</v>
      </c>
      <c r="Q281" s="16">
        <v>46047.0</v>
      </c>
      <c r="R281" s="16">
        <v>46274.0</v>
      </c>
      <c r="S281" s="13" t="s">
        <v>45</v>
      </c>
      <c r="T281" s="13" t="s">
        <v>66</v>
      </c>
      <c r="U281" s="13">
        <f t="shared" si="1"/>
        <v>1</v>
      </c>
      <c r="V281" s="13" t="str">
        <f t="shared" si="2"/>
        <v>C01329|Karan Reddy|56|East|Kolkata|Standard|Organic Search|7/21/2025|18|Annual|Upi|1,591|3|2|27.40|4.1|1/25/2026|9/9/2026|Churned|Automation</v>
      </c>
      <c r="W281" s="13">
        <f t="shared" si="3"/>
        <v>1</v>
      </c>
      <c r="X281" s="13">
        <f>IFERROR(__xludf.DUMMYFUNCTION("COUNTUNIQUE(FILTER($B$2:$B$1826,$A$2:$A$1826=A281))"),1.0)</f>
        <v>1</v>
      </c>
    </row>
    <row r="282">
      <c r="A282" s="13" t="s">
        <v>750</v>
      </c>
      <c r="B282" s="13" t="s">
        <v>190</v>
      </c>
      <c r="C282" s="14">
        <v>33.0</v>
      </c>
      <c r="D282" s="13" t="s">
        <v>85</v>
      </c>
      <c r="E282" s="13" t="s">
        <v>111</v>
      </c>
      <c r="F282" s="13" t="s">
        <v>37</v>
      </c>
      <c r="G282" s="13" t="s">
        <v>210</v>
      </c>
      <c r="H282" s="16">
        <v>45268.0</v>
      </c>
      <c r="I282" s="14">
        <v>32.0</v>
      </c>
      <c r="J282" s="13" t="s">
        <v>40</v>
      </c>
      <c r="K282" s="13" t="s">
        <v>81</v>
      </c>
      <c r="L282" s="14">
        <v>1005.0</v>
      </c>
      <c r="M282" s="18" t="s">
        <v>164</v>
      </c>
      <c r="N282" s="18" t="s">
        <v>98</v>
      </c>
      <c r="O282" s="18">
        <v>28.3</v>
      </c>
      <c r="P282" s="18" t="s">
        <v>233</v>
      </c>
      <c r="Q282" s="16">
        <v>46181.0</v>
      </c>
      <c r="R282" s="16" t="s">
        <v>751</v>
      </c>
      <c r="S282" s="13" t="s">
        <v>45</v>
      </c>
      <c r="T282" s="13" t="s">
        <v>72</v>
      </c>
      <c r="U282" s="13">
        <f t="shared" si="1"/>
        <v>2</v>
      </c>
      <c r="V282" s="13" t="str">
        <f t="shared" si="2"/>
        <v>C00516|Sneha Patel|33|West|Pune|Standard|Referral|12/8/2023|32|Monthly|Debit Card|1,005|3|1|28.30|3.5|6/8/2026|28/05/2024|Churned|Collaboration</v>
      </c>
      <c r="W282" s="13">
        <f t="shared" si="3"/>
        <v>1</v>
      </c>
      <c r="X282" s="13">
        <f>IFERROR(__xludf.DUMMYFUNCTION("COUNTUNIQUE(FILTER($B$2:$B$1826,$A$2:$A$1826=A282))"),2.0)</f>
        <v>2</v>
      </c>
    </row>
    <row r="283">
      <c r="A283" s="13" t="s">
        <v>752</v>
      </c>
      <c r="B283" s="13" t="s">
        <v>110</v>
      </c>
      <c r="C283" s="14">
        <v>32.0</v>
      </c>
      <c r="D283" s="13" t="s">
        <v>69</v>
      </c>
      <c r="E283" s="13" t="s">
        <v>187</v>
      </c>
      <c r="F283" s="13" t="s">
        <v>62</v>
      </c>
      <c r="G283" s="13" t="s">
        <v>80</v>
      </c>
      <c r="H283" s="16">
        <v>44804.0</v>
      </c>
      <c r="I283" s="14">
        <v>43.0</v>
      </c>
      <c r="J283" s="13" t="s">
        <v>64</v>
      </c>
      <c r="K283" s="13" t="s">
        <v>41</v>
      </c>
      <c r="L283" s="14">
        <v>668.0</v>
      </c>
      <c r="M283" s="18" t="s">
        <v>43</v>
      </c>
      <c r="N283" s="18" t="s">
        <v>43</v>
      </c>
      <c r="O283" s="18">
        <v>20.2</v>
      </c>
      <c r="P283" s="18" t="s">
        <v>99</v>
      </c>
      <c r="Q283" s="16">
        <v>45800.0</v>
      </c>
      <c r="R283" s="16" t="s">
        <v>38</v>
      </c>
      <c r="S283" s="13" t="s">
        <v>55</v>
      </c>
      <c r="T283" s="13" t="s">
        <v>75</v>
      </c>
      <c r="U283" s="13">
        <f t="shared" si="1"/>
        <v>2</v>
      </c>
      <c r="V283" s="13" t="str">
        <f t="shared" si="2"/>
        <v>C00434|Sneha Nair|32|South|Chennai|Basic|Organic Search|8/31/2022|43|Annual|Upi|668|2|2|20.20|4|5/23/2025||Active|Security</v>
      </c>
      <c r="W283" s="13">
        <f t="shared" si="3"/>
        <v>1</v>
      </c>
      <c r="X283" s="13">
        <f>IFERROR(__xludf.DUMMYFUNCTION("COUNTUNIQUE(FILTER($B$2:$B$1826,$A$2:$A$1826=A283))"),2.0)</f>
        <v>2</v>
      </c>
    </row>
    <row r="284">
      <c r="A284" s="13" t="s">
        <v>753</v>
      </c>
      <c r="B284" s="13" t="s">
        <v>322</v>
      </c>
      <c r="C284" s="14">
        <v>30.0</v>
      </c>
      <c r="D284" s="13" t="s">
        <v>69</v>
      </c>
      <c r="E284" s="13" t="s">
        <v>70</v>
      </c>
      <c r="F284" s="13" t="s">
        <v>62</v>
      </c>
      <c r="G284" s="13" t="s">
        <v>80</v>
      </c>
      <c r="H284" s="16">
        <v>44891.0</v>
      </c>
      <c r="I284" s="14">
        <v>9.0</v>
      </c>
      <c r="J284" s="13" t="s">
        <v>64</v>
      </c>
      <c r="K284" s="13" t="s">
        <v>65</v>
      </c>
      <c r="L284" s="14">
        <v>519.0</v>
      </c>
      <c r="M284" s="18" t="s">
        <v>43</v>
      </c>
      <c r="N284" s="18" t="s">
        <v>43</v>
      </c>
      <c r="O284" s="18">
        <v>17.3</v>
      </c>
      <c r="P284" s="18" t="s">
        <v>518</v>
      </c>
      <c r="Q284" s="16">
        <v>44929.0</v>
      </c>
      <c r="R284" s="16" t="s">
        <v>38</v>
      </c>
      <c r="S284" s="13" t="s">
        <v>55</v>
      </c>
      <c r="T284" s="13" t="s">
        <v>66</v>
      </c>
      <c r="U284" s="13">
        <f t="shared" si="1"/>
        <v>1</v>
      </c>
      <c r="V284" s="13" t="str">
        <f t="shared" si="2"/>
        <v>C00046|Rahul Iyer|30|South|Bengaluru|Basic|Organic Search|11/26/2022|9|Annual|Credit Card|519|2|2|17.30|1.7|1/3/2023||Active|Automation</v>
      </c>
      <c r="W284" s="13">
        <f t="shared" si="3"/>
        <v>1</v>
      </c>
      <c r="X284" s="13">
        <f>IFERROR(__xludf.DUMMYFUNCTION("COUNTUNIQUE(FILTER($B$2:$B$1826,$A$2:$A$1826=A284))"),1.0)</f>
        <v>1</v>
      </c>
    </row>
    <row r="285">
      <c r="A285" s="13" t="s">
        <v>754</v>
      </c>
      <c r="B285" s="13" t="s">
        <v>605</v>
      </c>
      <c r="C285" s="14">
        <v>58.0</v>
      </c>
      <c r="D285" s="13" t="s">
        <v>35</v>
      </c>
      <c r="E285" s="13" t="s">
        <v>161</v>
      </c>
      <c r="F285" s="13" t="s">
        <v>79</v>
      </c>
      <c r="G285" s="13" t="s">
        <v>39</v>
      </c>
      <c r="H285" s="16">
        <v>45481.0</v>
      </c>
      <c r="I285" s="14">
        <v>39.0</v>
      </c>
      <c r="J285" s="13" t="s">
        <v>64</v>
      </c>
      <c r="K285" s="13" t="s">
        <v>81</v>
      </c>
      <c r="L285" s="14">
        <v>2448.0</v>
      </c>
      <c r="M285" s="18" t="s">
        <v>43</v>
      </c>
      <c r="N285" s="18" t="s">
        <v>43</v>
      </c>
      <c r="O285" s="18">
        <v>33.5</v>
      </c>
      <c r="P285" s="18" t="s">
        <v>89</v>
      </c>
      <c r="Q285" s="16">
        <v>46332.0</v>
      </c>
      <c r="R285" s="16" t="s">
        <v>755</v>
      </c>
      <c r="S285" s="13" t="s">
        <v>45</v>
      </c>
      <c r="T285" s="13" t="s">
        <v>72</v>
      </c>
      <c r="U285" s="13">
        <f t="shared" si="1"/>
        <v>2</v>
      </c>
      <c r="V285" s="13" t="str">
        <f t="shared" si="2"/>
        <v>C01155|Meera Patel|58|North|Chandigarh|Premium|Instagram|7/8/2024|39|Annual|Debit Card|2,448|2|2|33.50|3.3|11/6/2026|26/05/2025|Churned|Collaboration</v>
      </c>
      <c r="W285" s="13">
        <f t="shared" si="3"/>
        <v>1</v>
      </c>
      <c r="X285" s="13">
        <f>IFERROR(__xludf.DUMMYFUNCTION("COUNTUNIQUE(FILTER($B$2:$B$1826,$A$2:$A$1826=A285))"),2.0)</f>
        <v>2</v>
      </c>
    </row>
    <row r="286">
      <c r="A286" s="13" t="s">
        <v>214</v>
      </c>
      <c r="B286" s="13" t="s">
        <v>476</v>
      </c>
      <c r="C286" s="14">
        <v>28.0</v>
      </c>
      <c r="D286" s="13" t="s">
        <v>60</v>
      </c>
      <c r="E286" s="13" t="s">
        <v>133</v>
      </c>
      <c r="F286" s="13" t="s">
        <v>37</v>
      </c>
      <c r="G286" s="13" t="s">
        <v>63</v>
      </c>
      <c r="H286" s="16">
        <v>45032.0</v>
      </c>
      <c r="I286" s="14">
        <v>25.0</v>
      </c>
      <c r="J286" s="13" t="s">
        <v>64</v>
      </c>
      <c r="K286" s="13" t="s">
        <v>41</v>
      </c>
      <c r="L286" s="14">
        <v>1015.0</v>
      </c>
      <c r="M286" s="18" t="s">
        <v>43</v>
      </c>
      <c r="N286" s="18" t="s">
        <v>98</v>
      </c>
      <c r="O286" s="18">
        <v>27.2</v>
      </c>
      <c r="P286" s="18" t="s">
        <v>400</v>
      </c>
      <c r="Q286" s="16">
        <v>45577.0</v>
      </c>
      <c r="R286" s="16" t="s">
        <v>38</v>
      </c>
      <c r="S286" s="13" t="s">
        <v>55</v>
      </c>
      <c r="T286" s="13" t="s">
        <v>47</v>
      </c>
      <c r="U286" s="13">
        <f t="shared" si="1"/>
        <v>2</v>
      </c>
      <c r="V286" s="13" t="str">
        <f t="shared" si="2"/>
        <v>C00344|Ravi Das|28|East|Guwahati|Standard|Google Ads|4/16/2023|25|Annual|Upi|1,015|2|1|27.20|4.8|10/12/2024||Active|Cloud Storage</v>
      </c>
      <c r="W286" s="13">
        <f t="shared" si="3"/>
        <v>1</v>
      </c>
      <c r="X286" s="13">
        <f>IFERROR(__xludf.DUMMYFUNCTION("COUNTUNIQUE(FILTER($B$2:$B$1826,$A$2:$A$1826=A286))"),2.0)</f>
        <v>2</v>
      </c>
    </row>
    <row r="287">
      <c r="A287" s="13" t="s">
        <v>756</v>
      </c>
      <c r="B287" s="13" t="s">
        <v>476</v>
      </c>
      <c r="C287" s="14">
        <v>42.0</v>
      </c>
      <c r="D287" s="13" t="s">
        <v>35</v>
      </c>
      <c r="E287" s="13" t="s">
        <v>36</v>
      </c>
      <c r="F287" s="13" t="s">
        <v>62</v>
      </c>
      <c r="G287" s="13" t="s">
        <v>52</v>
      </c>
      <c r="H287" s="16">
        <v>44828.0</v>
      </c>
      <c r="I287" s="14">
        <v>39.0</v>
      </c>
      <c r="J287" s="13" t="s">
        <v>40</v>
      </c>
      <c r="K287" s="13" t="s">
        <v>81</v>
      </c>
      <c r="L287" s="14">
        <v>499.0</v>
      </c>
      <c r="M287" s="18" t="s">
        <v>43</v>
      </c>
      <c r="N287" s="18" t="s">
        <v>98</v>
      </c>
      <c r="O287" s="18">
        <v>14.3</v>
      </c>
      <c r="P287" s="18" t="s">
        <v>130</v>
      </c>
      <c r="Q287" s="16">
        <v>45721.0</v>
      </c>
      <c r="R287" s="16" t="s">
        <v>38</v>
      </c>
      <c r="S287" s="13" t="s">
        <v>55</v>
      </c>
      <c r="T287" s="13" t="s">
        <v>66</v>
      </c>
      <c r="U287" s="13">
        <f t="shared" si="1"/>
        <v>2</v>
      </c>
      <c r="V287" s="13" t="str">
        <f t="shared" si="2"/>
        <v>C00975|Ravi Das|42|North|Delhi|Basic|Facebook|9/24/2022|39|Monthly|Debit Card|499|2|1|14.30|3.9|3/5/2025||Active|Automation</v>
      </c>
      <c r="W287" s="13">
        <f t="shared" si="3"/>
        <v>1</v>
      </c>
      <c r="X287" s="13">
        <f>IFERROR(__xludf.DUMMYFUNCTION("COUNTUNIQUE(FILTER($B$2:$B$1826,$A$2:$A$1826=A287))"),2.0)</f>
        <v>2</v>
      </c>
    </row>
    <row r="288">
      <c r="A288" s="13" t="s">
        <v>758</v>
      </c>
      <c r="B288" s="13" t="s">
        <v>322</v>
      </c>
      <c r="C288" s="14">
        <v>49.0</v>
      </c>
      <c r="D288" s="13" t="s">
        <v>69</v>
      </c>
      <c r="E288" s="13" t="s">
        <v>119</v>
      </c>
      <c r="F288" s="13" t="s">
        <v>37</v>
      </c>
      <c r="G288" s="13" t="s">
        <v>120</v>
      </c>
      <c r="H288" s="16">
        <v>45279.0</v>
      </c>
      <c r="I288" s="14">
        <v>38.0</v>
      </c>
      <c r="J288" s="13" t="s">
        <v>40</v>
      </c>
      <c r="K288" s="13" t="s">
        <v>41</v>
      </c>
      <c r="L288" s="14">
        <v>1712.0</v>
      </c>
      <c r="M288" s="18" t="s">
        <v>43</v>
      </c>
      <c r="N288" s="18" t="s">
        <v>46</v>
      </c>
      <c r="O288" s="18">
        <v>39.0</v>
      </c>
      <c r="P288" s="18" t="s">
        <v>296</v>
      </c>
      <c r="Q288" s="16">
        <v>45489.0</v>
      </c>
      <c r="R288" s="16">
        <v>46209.0</v>
      </c>
      <c r="S288" s="13" t="s">
        <v>45</v>
      </c>
      <c r="T288" s="13" t="s">
        <v>72</v>
      </c>
      <c r="U288" s="13">
        <f t="shared" si="1"/>
        <v>1</v>
      </c>
      <c r="V288" s="13" t="str">
        <f t="shared" si="2"/>
        <v>C00879|Rahul Iyer|49|South|Kochi|Standard|Email|12/19/2023|38|Monthly|Upi|1,712|2|0|39.00|4.6|7/16/2024|7/6/2026|Churned|Collaboration</v>
      </c>
      <c r="W288" s="13">
        <f t="shared" si="3"/>
        <v>1</v>
      </c>
      <c r="X288" s="13">
        <f>IFERROR(__xludf.DUMMYFUNCTION("COUNTUNIQUE(FILTER($B$2:$B$1826,$A$2:$A$1826=A288))"),1.0)</f>
        <v>1</v>
      </c>
    </row>
    <row r="289">
      <c r="A289" s="13" t="s">
        <v>921</v>
      </c>
      <c r="B289" s="13" t="s">
        <v>633</v>
      </c>
      <c r="C289" s="14">
        <v>42.0</v>
      </c>
      <c r="D289" s="13" t="s">
        <v>60</v>
      </c>
      <c r="E289" s="13" t="s">
        <v>92</v>
      </c>
      <c r="F289" s="13" t="s">
        <v>62</v>
      </c>
      <c r="G289" s="13" t="s">
        <v>52</v>
      </c>
      <c r="H289" s="16">
        <v>44576.0</v>
      </c>
      <c r="I289" s="14">
        <v>37.0</v>
      </c>
      <c r="J289" s="13" t="s">
        <v>40</v>
      </c>
      <c r="K289" s="13" t="s">
        <v>41</v>
      </c>
      <c r="L289" s="14">
        <v>765.0</v>
      </c>
      <c r="M289" s="18" t="s">
        <v>173</v>
      </c>
      <c r="N289" s="18" t="s">
        <v>43</v>
      </c>
      <c r="O289" s="18">
        <v>26.2</v>
      </c>
      <c r="P289" s="18" t="s">
        <v>456</v>
      </c>
      <c r="Q289" s="16">
        <v>45006.0</v>
      </c>
      <c r="R289" s="16" t="s">
        <v>38</v>
      </c>
      <c r="S289" s="13" t="s">
        <v>55</v>
      </c>
      <c r="T289" s="13" t="s">
        <v>75</v>
      </c>
      <c r="U289" s="13">
        <f t="shared" si="1"/>
        <v>2</v>
      </c>
      <c r="V289" s="13" t="str">
        <f t="shared" si="2"/>
        <v>C01226|Anita Das|42|East|Ahmedabad|Basic|Facebook|1/15/2022|37|Monthly|Upi|765|5|2|26.20|2.5|3/21/2023||Active|Security</v>
      </c>
      <c r="W289" s="13">
        <f t="shared" si="3"/>
        <v>1</v>
      </c>
      <c r="X289" s="13">
        <f>IFERROR(__xludf.DUMMYFUNCTION("COUNTUNIQUE(FILTER($B$2:$B$1826,$A$2:$A$1826=A289))"),2.0)</f>
        <v>2</v>
      </c>
    </row>
    <row r="290">
      <c r="A290" s="13" t="s">
        <v>761</v>
      </c>
      <c r="B290" s="13" t="s">
        <v>118</v>
      </c>
      <c r="C290" s="14">
        <v>30.0</v>
      </c>
      <c r="D290" s="13" t="s">
        <v>60</v>
      </c>
      <c r="E290" s="13" t="s">
        <v>107</v>
      </c>
      <c r="F290" s="13" t="s">
        <v>79</v>
      </c>
      <c r="G290" s="13" t="s">
        <v>120</v>
      </c>
      <c r="H290" s="16">
        <v>45718.0</v>
      </c>
      <c r="I290" s="14">
        <v>24.0</v>
      </c>
      <c r="J290" s="13" t="s">
        <v>53</v>
      </c>
      <c r="K290" s="13" t="s">
        <v>81</v>
      </c>
      <c r="L290" s="14">
        <v>3545.0</v>
      </c>
      <c r="M290" s="18" t="s">
        <v>164</v>
      </c>
      <c r="N290" s="18" t="s">
        <v>98</v>
      </c>
      <c r="O290" s="18">
        <v>36.9</v>
      </c>
      <c r="P290" s="18" t="s">
        <v>701</v>
      </c>
      <c r="Q290" s="16">
        <v>45936.0</v>
      </c>
      <c r="R290" s="16" t="s">
        <v>38</v>
      </c>
      <c r="S290" s="13" t="s">
        <v>55</v>
      </c>
      <c r="T290" s="13" t="s">
        <v>66</v>
      </c>
      <c r="U290" s="13">
        <f t="shared" si="1"/>
        <v>2</v>
      </c>
      <c r="V290" s="13" t="str">
        <f t="shared" si="2"/>
        <v>C01335|Karan Nair|30|East|Patna|Premium|Email|3/2/2025|24|Quarterly|Debit Card|3,545|3|1|36.90|2.8|10/6/2025||Active|Automation</v>
      </c>
      <c r="W290" s="13">
        <f t="shared" si="3"/>
        <v>1</v>
      </c>
      <c r="X290" s="13">
        <f>IFERROR(__xludf.DUMMYFUNCTION("COUNTUNIQUE(FILTER($B$2:$B$1826,$A$2:$A$1826=A290))"),2.0)</f>
        <v>2</v>
      </c>
    </row>
    <row r="291">
      <c r="A291" s="13" t="s">
        <v>762</v>
      </c>
      <c r="B291" s="13" t="s">
        <v>288</v>
      </c>
      <c r="C291" s="14">
        <v>32.0</v>
      </c>
      <c r="D291" s="13" t="s">
        <v>60</v>
      </c>
      <c r="E291" s="13" t="s">
        <v>107</v>
      </c>
      <c r="F291" s="13" t="s">
        <v>37</v>
      </c>
      <c r="G291" s="13" t="s">
        <v>128</v>
      </c>
      <c r="H291" s="16">
        <v>46006.0</v>
      </c>
      <c r="I291" s="14">
        <v>26.0</v>
      </c>
      <c r="J291" s="13" t="s">
        <v>64</v>
      </c>
      <c r="K291" s="13" t="s">
        <v>65</v>
      </c>
      <c r="L291" s="14">
        <v>1120.0</v>
      </c>
      <c r="M291" s="18" t="s">
        <v>99</v>
      </c>
      <c r="N291" s="18" t="s">
        <v>164</v>
      </c>
      <c r="O291" s="18">
        <v>23.7</v>
      </c>
      <c r="P291" s="18" t="s">
        <v>48</v>
      </c>
      <c r="Q291" s="16">
        <v>46251.0</v>
      </c>
      <c r="R291" s="16" t="s">
        <v>763</v>
      </c>
      <c r="S291" s="13" t="s">
        <v>45</v>
      </c>
      <c r="T291" s="13" t="s">
        <v>72</v>
      </c>
      <c r="U291" s="13">
        <f t="shared" si="1"/>
        <v>1</v>
      </c>
      <c r="V291" s="13" t="str">
        <f t="shared" si="2"/>
        <v>C00991|Rahul Sharma|32|East|Patna|Standard|Youtube|12/15/2025|26|Annual|Credit Card|1,120|4|3|23.70|3.6|8/17/2026|16/04/2027|Churned|Collaboration</v>
      </c>
      <c r="W291" s="13">
        <f t="shared" si="3"/>
        <v>1</v>
      </c>
      <c r="X291" s="13">
        <f>IFERROR(__xludf.DUMMYFUNCTION("COUNTUNIQUE(FILTER($B$2:$B$1826,$A$2:$A$1826=A291))"),1.0)</f>
        <v>1</v>
      </c>
    </row>
    <row r="292">
      <c r="A292" s="13" t="s">
        <v>764</v>
      </c>
      <c r="B292" s="13" t="s">
        <v>250</v>
      </c>
      <c r="C292" s="14">
        <v>42.0</v>
      </c>
      <c r="D292" s="13" t="s">
        <v>35</v>
      </c>
      <c r="E292" s="13" t="s">
        <v>51</v>
      </c>
      <c r="F292" s="13" t="s">
        <v>62</v>
      </c>
      <c r="G292" s="13" t="s">
        <v>52</v>
      </c>
      <c r="H292" s="16">
        <v>44572.0</v>
      </c>
      <c r="I292" s="14">
        <v>6.0</v>
      </c>
      <c r="J292" s="13" t="s">
        <v>40</v>
      </c>
      <c r="K292" s="13" t="s">
        <v>81</v>
      </c>
      <c r="L292" s="14">
        <v>740.0</v>
      </c>
      <c r="M292" s="18" t="s">
        <v>43</v>
      </c>
      <c r="N292" s="18" t="s">
        <v>43</v>
      </c>
      <c r="O292" s="18">
        <v>25.1</v>
      </c>
      <c r="P292" s="18" t="s">
        <v>185</v>
      </c>
      <c r="Q292" s="16">
        <v>44604.0</v>
      </c>
      <c r="R292" s="16" t="s">
        <v>765</v>
      </c>
      <c r="S292" s="13" t="s">
        <v>45</v>
      </c>
      <c r="T292" s="13" t="s">
        <v>104</v>
      </c>
      <c r="U292" s="13">
        <f t="shared" si="1"/>
        <v>2</v>
      </c>
      <c r="V292" s="13" t="str">
        <f t="shared" si="2"/>
        <v>C01128|Vikram Singh|42|North|Jaipur|Basic|Facebook|1/11/2022|6|Monthly|Debit Card|740|2|2|25.10|3.2|2/12/2022|26/02/2022|Churned|Analytics</v>
      </c>
      <c r="W292" s="13">
        <f t="shared" si="3"/>
        <v>1</v>
      </c>
      <c r="X292" s="13">
        <f>IFERROR(__xludf.DUMMYFUNCTION("COUNTUNIQUE(FILTER($B$2:$B$1826,$A$2:$A$1826=A292))"),2.0)</f>
        <v>2</v>
      </c>
    </row>
    <row r="293">
      <c r="A293" s="13" t="s">
        <v>205</v>
      </c>
      <c r="B293" s="13" t="s">
        <v>110</v>
      </c>
      <c r="C293" s="14">
        <v>19.0</v>
      </c>
      <c r="D293" s="13" t="s">
        <v>85</v>
      </c>
      <c r="E293" s="13" t="s">
        <v>87</v>
      </c>
      <c r="F293" s="13" t="s">
        <v>37</v>
      </c>
      <c r="G293" s="13" t="s">
        <v>80</v>
      </c>
      <c r="H293" s="16">
        <v>45148.0</v>
      </c>
      <c r="I293" s="14">
        <v>46.0</v>
      </c>
      <c r="J293" s="13" t="s">
        <v>40</v>
      </c>
      <c r="K293" s="13" t="s">
        <v>81</v>
      </c>
      <c r="L293" s="14">
        <v>1791.0</v>
      </c>
      <c r="M293" s="18" t="s">
        <v>43</v>
      </c>
      <c r="N293" s="18" t="s">
        <v>98</v>
      </c>
      <c r="O293" s="18">
        <v>12.9</v>
      </c>
      <c r="P293" s="18" t="s">
        <v>116</v>
      </c>
      <c r="Q293" s="16">
        <v>45516.0</v>
      </c>
      <c r="R293" s="16">
        <v>46725.0</v>
      </c>
      <c r="S293" s="13" t="s">
        <v>45</v>
      </c>
      <c r="T293" s="13" t="s">
        <v>66</v>
      </c>
      <c r="U293" s="13">
        <f t="shared" si="1"/>
        <v>3</v>
      </c>
      <c r="V293" s="13" t="str">
        <f t="shared" si="2"/>
        <v>C01484|Sneha Nair|19|West|Surat|Standard|Organic Search|8/10/2023|46|Monthly|Debit Card|1,791|2|1|12.90|3.4|8/12/2024|12/4/2027|Churned|Automation</v>
      </c>
      <c r="W293" s="13">
        <f t="shared" si="3"/>
        <v>1</v>
      </c>
      <c r="X293" s="13">
        <f>IFERROR(__xludf.DUMMYFUNCTION("COUNTUNIQUE(FILTER($B$2:$B$1826,$A$2:$A$1826=A293))"),3.0)</f>
        <v>3</v>
      </c>
    </row>
    <row r="294">
      <c r="A294" s="13" t="s">
        <v>768</v>
      </c>
      <c r="B294" s="13" t="s">
        <v>424</v>
      </c>
      <c r="C294" s="14">
        <v>29.0</v>
      </c>
      <c r="D294" s="13" t="s">
        <v>69</v>
      </c>
      <c r="E294" s="13" t="s">
        <v>70</v>
      </c>
      <c r="F294" s="13" t="s">
        <v>37</v>
      </c>
      <c r="G294" s="13" t="s">
        <v>80</v>
      </c>
      <c r="H294" s="16">
        <v>45618.0</v>
      </c>
      <c r="I294" s="14">
        <v>45.0</v>
      </c>
      <c r="J294" s="13" t="s">
        <v>40</v>
      </c>
      <c r="K294" s="13" t="s">
        <v>65</v>
      </c>
      <c r="L294" s="14">
        <v>1689.0</v>
      </c>
      <c r="M294" s="18" t="s">
        <v>43</v>
      </c>
      <c r="N294" s="18" t="s">
        <v>46</v>
      </c>
      <c r="O294" s="18">
        <v>35.6</v>
      </c>
      <c r="P294" s="18" t="s">
        <v>173</v>
      </c>
      <c r="Q294" s="16">
        <v>46364.0</v>
      </c>
      <c r="R294" s="16" t="s">
        <v>38</v>
      </c>
      <c r="S294" s="13" t="s">
        <v>55</v>
      </c>
      <c r="T294" s="13" t="s">
        <v>75</v>
      </c>
      <c r="U294" s="13">
        <f t="shared" si="1"/>
        <v>2</v>
      </c>
      <c r="V294" s="13" t="str">
        <f t="shared" si="2"/>
        <v>C00586|Neha Kumar|29|South|Bengaluru|Standard|Organic Search|11/22/2024|45|Monthly|Credit Card|1,689|2|0|35.60|5|12/8/2026||Active|Security</v>
      </c>
      <c r="W294" s="13">
        <f t="shared" si="3"/>
        <v>1</v>
      </c>
      <c r="X294" s="13">
        <f>IFERROR(__xludf.DUMMYFUNCTION("COUNTUNIQUE(FILTER($B$2:$B$1826,$A$2:$A$1826=A294))"),2.0)</f>
        <v>2</v>
      </c>
    </row>
    <row r="295">
      <c r="A295" s="13" t="s">
        <v>769</v>
      </c>
      <c r="B295" s="13" t="s">
        <v>448</v>
      </c>
      <c r="C295" s="14">
        <v>41.0</v>
      </c>
      <c r="D295" s="13" t="s">
        <v>85</v>
      </c>
      <c r="E295" s="13" t="s">
        <v>87</v>
      </c>
      <c r="F295" s="13" t="s">
        <v>37</v>
      </c>
      <c r="G295" s="13" t="s">
        <v>80</v>
      </c>
      <c r="H295" s="16">
        <v>44593.0</v>
      </c>
      <c r="I295" s="14">
        <v>48.0</v>
      </c>
      <c r="J295" s="13" t="s">
        <v>53</v>
      </c>
      <c r="K295" s="13" t="s">
        <v>41</v>
      </c>
      <c r="L295" s="14">
        <v>1561.0</v>
      </c>
      <c r="M295" s="18" t="s">
        <v>46</v>
      </c>
      <c r="N295" s="18" t="s">
        <v>43</v>
      </c>
      <c r="O295" s="18">
        <v>28.6</v>
      </c>
      <c r="P295" s="18" t="s">
        <v>158</v>
      </c>
      <c r="Q295" s="16">
        <v>45748.0</v>
      </c>
      <c r="R295" s="16" t="s">
        <v>38</v>
      </c>
      <c r="S295" s="13" t="s">
        <v>55</v>
      </c>
      <c r="T295" s="13" t="s">
        <v>66</v>
      </c>
      <c r="U295" s="13">
        <f t="shared" si="1"/>
        <v>2</v>
      </c>
      <c r="V295" s="13" t="str">
        <f t="shared" si="2"/>
        <v>C00724|Meera Reddy|41|West|Surat|Standard|Organic Search|2/1/2022|48|Quarterly|Upi|1,561|0|2|28.60|4.7|4/1/2025||Active|Automation</v>
      </c>
      <c r="W295" s="13">
        <f t="shared" si="3"/>
        <v>1</v>
      </c>
      <c r="X295" s="13">
        <f>IFERROR(__xludf.DUMMYFUNCTION("COUNTUNIQUE(FILTER($B$2:$B$1826,$A$2:$A$1826=A295))"),2.0)</f>
        <v>2</v>
      </c>
    </row>
    <row r="296">
      <c r="A296" s="13" t="s">
        <v>771</v>
      </c>
      <c r="B296" s="13" t="s">
        <v>91</v>
      </c>
      <c r="C296" s="14">
        <v>51.0</v>
      </c>
      <c r="D296" s="13" t="s">
        <v>85</v>
      </c>
      <c r="E296" s="13" t="s">
        <v>87</v>
      </c>
      <c r="F296" s="13" t="s">
        <v>37</v>
      </c>
      <c r="G296" s="13" t="s">
        <v>210</v>
      </c>
      <c r="H296" s="16">
        <v>44920.0</v>
      </c>
      <c r="I296" s="14">
        <v>27.0</v>
      </c>
      <c r="J296" s="13" t="s">
        <v>53</v>
      </c>
      <c r="K296" s="13" t="s">
        <v>81</v>
      </c>
      <c r="L296" s="14">
        <v>1073.0</v>
      </c>
      <c r="M296" s="18" t="s">
        <v>164</v>
      </c>
      <c r="N296" s="18" t="s">
        <v>46</v>
      </c>
      <c r="O296" s="18">
        <v>35.8</v>
      </c>
      <c r="P296" s="18" t="s">
        <v>408</v>
      </c>
      <c r="Q296" s="16">
        <v>45231.0</v>
      </c>
      <c r="R296" s="16" t="s">
        <v>38</v>
      </c>
      <c r="S296" s="13" t="s">
        <v>55</v>
      </c>
      <c r="T296" s="13" t="s">
        <v>66</v>
      </c>
      <c r="U296" s="13">
        <f t="shared" si="1"/>
        <v>2</v>
      </c>
      <c r="V296" s="13" t="str">
        <f t="shared" si="2"/>
        <v>C00399|Anita Sharma|51|West|Surat|Standard|Referral|12/25/2022|27|Quarterly|Debit Card|1,073|3|0|35.80|4.2|11/1/2023||Active|Automation</v>
      </c>
      <c r="W296" s="13">
        <f t="shared" si="3"/>
        <v>1</v>
      </c>
      <c r="X296" s="13">
        <f>IFERROR(__xludf.DUMMYFUNCTION("COUNTUNIQUE(FILTER($B$2:$B$1826,$A$2:$A$1826=A296))"),2.0)</f>
        <v>2</v>
      </c>
    </row>
    <row r="297">
      <c r="A297" s="13" t="s">
        <v>772</v>
      </c>
      <c r="B297" s="13" t="s">
        <v>235</v>
      </c>
      <c r="C297" s="14">
        <v>35.0</v>
      </c>
      <c r="D297" s="13" t="s">
        <v>85</v>
      </c>
      <c r="E297" s="13" t="s">
        <v>87</v>
      </c>
      <c r="F297" s="13" t="s">
        <v>37</v>
      </c>
      <c r="G297" s="13" t="s">
        <v>128</v>
      </c>
      <c r="H297" s="16">
        <v>45060.0</v>
      </c>
      <c r="I297" s="14">
        <v>22.0</v>
      </c>
      <c r="J297" s="13" t="s">
        <v>40</v>
      </c>
      <c r="K297" s="13" t="s">
        <v>65</v>
      </c>
      <c r="L297" s="14">
        <v>1696.0</v>
      </c>
      <c r="M297" s="18" t="s">
        <v>99</v>
      </c>
      <c r="N297" s="18" t="s">
        <v>43</v>
      </c>
      <c r="O297" s="18">
        <v>39.8</v>
      </c>
      <c r="P297" s="18" t="s">
        <v>116</v>
      </c>
      <c r="Q297" s="16">
        <v>45670.0</v>
      </c>
      <c r="R297" s="16">
        <v>45237.0</v>
      </c>
      <c r="S297" s="13" t="s">
        <v>45</v>
      </c>
      <c r="T297" s="13" t="s">
        <v>47</v>
      </c>
      <c r="U297" s="13">
        <f t="shared" si="1"/>
        <v>1</v>
      </c>
      <c r="V297" s="13" t="str">
        <f t="shared" si="2"/>
        <v>C00513|Sneha Sharma|35|West|Surat|Standard|Youtube|5/14/2023|22|Monthly|Credit Card|1,696|4|2|39.80|3.4|1/13/2025|11/7/2023|Churned|Cloud Storage</v>
      </c>
      <c r="W297" s="13">
        <f t="shared" si="3"/>
        <v>1</v>
      </c>
      <c r="X297" s="13">
        <f>IFERROR(__xludf.DUMMYFUNCTION("COUNTUNIQUE(FILTER($B$2:$B$1826,$A$2:$A$1826=A297))"),1.0)</f>
        <v>1</v>
      </c>
    </row>
    <row r="298">
      <c r="A298" s="13" t="s">
        <v>774</v>
      </c>
      <c r="B298" s="13" t="s">
        <v>411</v>
      </c>
      <c r="C298" s="14">
        <v>23.0</v>
      </c>
      <c r="D298" s="13" t="s">
        <v>69</v>
      </c>
      <c r="E298" s="13" t="s">
        <v>177</v>
      </c>
      <c r="F298" s="13" t="s">
        <v>37</v>
      </c>
      <c r="G298" s="13" t="s">
        <v>210</v>
      </c>
      <c r="H298" s="16">
        <v>45619.0</v>
      </c>
      <c r="I298" s="14">
        <v>35.0</v>
      </c>
      <c r="J298" s="13" t="s">
        <v>64</v>
      </c>
      <c r="K298" s="13" t="s">
        <v>41</v>
      </c>
      <c r="L298" s="14">
        <v>633.0</v>
      </c>
      <c r="M298" s="18" t="s">
        <v>43</v>
      </c>
      <c r="N298" s="18" t="s">
        <v>164</v>
      </c>
      <c r="O298" s="18">
        <v>10.3</v>
      </c>
      <c r="P298" s="18" t="s">
        <v>203</v>
      </c>
      <c r="Q298" s="16">
        <v>45819.0</v>
      </c>
      <c r="R298" s="16" t="s">
        <v>38</v>
      </c>
      <c r="S298" s="13" t="s">
        <v>55</v>
      </c>
      <c r="T298" s="13" t="s">
        <v>75</v>
      </c>
      <c r="U298" s="13">
        <f t="shared" si="1"/>
        <v>1</v>
      </c>
      <c r="V298" s="13" t="str">
        <f t="shared" si="2"/>
        <v>C01387|Karan Reddy|23|South|Hyderabad|Standard|Referral|11/23/2024|35|Annual|Upi|633|2|3|10.30|3.7|6/11/2025||Active|Security</v>
      </c>
      <c r="W298" s="13">
        <f t="shared" si="3"/>
        <v>1</v>
      </c>
      <c r="X298" s="13">
        <f>IFERROR(__xludf.DUMMYFUNCTION("COUNTUNIQUE(FILTER($B$2:$B$1826,$A$2:$A$1826=A298))"),1.0)</f>
        <v>1</v>
      </c>
    </row>
    <row r="299">
      <c r="A299" s="13" t="s">
        <v>775</v>
      </c>
      <c r="B299" s="13" t="s">
        <v>362</v>
      </c>
      <c r="C299" s="14">
        <v>35.0</v>
      </c>
      <c r="D299" s="13" t="s">
        <v>60</v>
      </c>
      <c r="E299" s="13" t="s">
        <v>97</v>
      </c>
      <c r="F299" s="13" t="s">
        <v>79</v>
      </c>
      <c r="G299" s="13" t="s">
        <v>63</v>
      </c>
      <c r="H299" s="16">
        <v>44936.0</v>
      </c>
      <c r="I299" s="14">
        <v>48.0</v>
      </c>
      <c r="J299" s="13" t="s">
        <v>40</v>
      </c>
      <c r="K299" s="13" t="s">
        <v>41</v>
      </c>
      <c r="L299" s="14">
        <v>3508.0</v>
      </c>
      <c r="M299" s="18" t="s">
        <v>98</v>
      </c>
      <c r="N299" s="18" t="s">
        <v>98</v>
      </c>
      <c r="O299" s="18">
        <v>33.0</v>
      </c>
      <c r="P299" s="18" t="s">
        <v>130</v>
      </c>
      <c r="Q299" s="16">
        <v>45354.0</v>
      </c>
      <c r="R299" s="16" t="s">
        <v>38</v>
      </c>
      <c r="S299" s="13" t="s">
        <v>55</v>
      </c>
      <c r="T299" s="13" t="s">
        <v>47</v>
      </c>
      <c r="U299" s="13">
        <f t="shared" si="1"/>
        <v>2</v>
      </c>
      <c r="V299" s="13" t="str">
        <f t="shared" si="2"/>
        <v>C00643|Neha Singh|35|East|Bhubaneswar|Premium|Google Ads|1/10/2023|48|Monthly|Upi|3,508|1|1|33.00|3.9|3/3/2024||Active|Cloud Storage</v>
      </c>
      <c r="W299" s="13">
        <f t="shared" si="3"/>
        <v>1</v>
      </c>
      <c r="X299" s="13">
        <f>IFERROR(__xludf.DUMMYFUNCTION("COUNTUNIQUE(FILTER($B$2:$B$1826,$A$2:$A$1826=A299))"),2.0)</f>
        <v>2</v>
      </c>
    </row>
    <row r="300">
      <c r="A300" s="13" t="s">
        <v>657</v>
      </c>
      <c r="B300" s="13" t="s">
        <v>257</v>
      </c>
      <c r="C300" s="14">
        <v>58.0</v>
      </c>
      <c r="D300" s="13" t="s">
        <v>60</v>
      </c>
      <c r="E300" s="13" t="s">
        <v>97</v>
      </c>
      <c r="F300" s="13" t="s">
        <v>37</v>
      </c>
      <c r="G300" s="13" t="s">
        <v>63</v>
      </c>
      <c r="H300" s="16">
        <v>44722.0</v>
      </c>
      <c r="I300" s="14">
        <v>44.0</v>
      </c>
      <c r="J300" s="13" t="s">
        <v>53</v>
      </c>
      <c r="K300" s="13" t="s">
        <v>41</v>
      </c>
      <c r="L300" s="14">
        <v>1627.0</v>
      </c>
      <c r="M300" s="18" t="s">
        <v>164</v>
      </c>
      <c r="N300" s="18" t="s">
        <v>98</v>
      </c>
      <c r="O300" s="18">
        <v>24.6</v>
      </c>
      <c r="P300" s="18" t="s">
        <v>310</v>
      </c>
      <c r="Q300" s="16">
        <v>45840.0</v>
      </c>
      <c r="R300" s="16">
        <v>44661.0</v>
      </c>
      <c r="S300" s="13" t="s">
        <v>45</v>
      </c>
      <c r="T300" s="13" t="s">
        <v>66</v>
      </c>
      <c r="U300" s="13">
        <f t="shared" si="1"/>
        <v>3</v>
      </c>
      <c r="V300" s="13" t="str">
        <f t="shared" si="2"/>
        <v>C00512|Sneha Reddy|58|East|Bhubaneswar|Standard|Google Ads|6/10/2022|44|Quarterly|Upi|1,627|3|1|24.60|3.1|7/2/2025|4/10/2022|Churned|Automation</v>
      </c>
      <c r="W300" s="13">
        <f t="shared" si="3"/>
        <v>1</v>
      </c>
      <c r="X300" s="13">
        <f>IFERROR(__xludf.DUMMYFUNCTION("COUNTUNIQUE(FILTER($B$2:$B$1826,$A$2:$A$1826=A300))"),3.0)</f>
        <v>3</v>
      </c>
    </row>
    <row r="301">
      <c r="A301" s="13" t="s">
        <v>777</v>
      </c>
      <c r="B301" s="13" t="s">
        <v>118</v>
      </c>
      <c r="C301" s="14">
        <v>53.0</v>
      </c>
      <c r="D301" s="13" t="s">
        <v>85</v>
      </c>
      <c r="E301" s="13" t="s">
        <v>111</v>
      </c>
      <c r="F301" s="13" t="s">
        <v>79</v>
      </c>
      <c r="G301" s="13" t="s">
        <v>80</v>
      </c>
      <c r="H301" s="16">
        <v>45135.0</v>
      </c>
      <c r="I301" s="14">
        <v>26.0</v>
      </c>
      <c r="J301" s="13" t="s">
        <v>40</v>
      </c>
      <c r="K301" s="13" t="s">
        <v>81</v>
      </c>
      <c r="L301" s="14">
        <v>2109.0</v>
      </c>
      <c r="M301" s="18" t="s">
        <v>46</v>
      </c>
      <c r="N301" s="18" t="s">
        <v>46</v>
      </c>
      <c r="O301" s="18">
        <v>38.7</v>
      </c>
      <c r="P301" s="18" t="s">
        <v>108</v>
      </c>
      <c r="Q301" s="16">
        <v>45683.0</v>
      </c>
      <c r="R301" s="16" t="s">
        <v>38</v>
      </c>
      <c r="S301" s="13" t="s">
        <v>55</v>
      </c>
      <c r="T301" s="13" t="s">
        <v>72</v>
      </c>
      <c r="U301" s="13">
        <f t="shared" si="1"/>
        <v>2</v>
      </c>
      <c r="V301" s="13" t="str">
        <f t="shared" si="2"/>
        <v>C00563|Karan Nair|53|West|Pune|Premium|Organic Search|7/28/2023|26|Monthly|Debit Card|2,109|0|0|38.70|2.4|1/26/2025||Active|Collaboration</v>
      </c>
      <c r="W301" s="13">
        <f t="shared" si="3"/>
        <v>1</v>
      </c>
      <c r="X301" s="13">
        <f>IFERROR(__xludf.DUMMYFUNCTION("COUNTUNIQUE(FILTER($B$2:$B$1826,$A$2:$A$1826=A301))"),2.0)</f>
        <v>2</v>
      </c>
    </row>
    <row r="302">
      <c r="A302" s="13" t="s">
        <v>778</v>
      </c>
      <c r="B302" s="13" t="s">
        <v>135</v>
      </c>
      <c r="C302" s="14">
        <v>39.0</v>
      </c>
      <c r="D302" s="13" t="s">
        <v>69</v>
      </c>
      <c r="E302" s="13" t="s">
        <v>119</v>
      </c>
      <c r="F302" s="13" t="s">
        <v>79</v>
      </c>
      <c r="G302" s="13" t="s">
        <v>52</v>
      </c>
      <c r="H302" s="16">
        <v>45623.0</v>
      </c>
      <c r="I302" s="14">
        <v>30.0</v>
      </c>
      <c r="J302" s="13" t="s">
        <v>53</v>
      </c>
      <c r="K302" s="13" t="s">
        <v>81</v>
      </c>
      <c r="L302" s="14">
        <v>3379.0</v>
      </c>
      <c r="M302" s="18" t="s">
        <v>164</v>
      </c>
      <c r="N302" s="18" t="s">
        <v>43</v>
      </c>
      <c r="O302" s="18">
        <v>35.5</v>
      </c>
      <c r="P302" s="18" t="s">
        <v>164</v>
      </c>
      <c r="Q302" s="16">
        <v>45848.0</v>
      </c>
      <c r="R302" s="16" t="s">
        <v>38</v>
      </c>
      <c r="S302" s="13" t="s">
        <v>55</v>
      </c>
      <c r="T302" s="13" t="s">
        <v>72</v>
      </c>
      <c r="U302" s="13">
        <f t="shared" si="1"/>
        <v>2</v>
      </c>
      <c r="V302" s="13" t="str">
        <f t="shared" si="2"/>
        <v>C00807|Karan Sharma|39|South|Kochi|Premium|Facebook|11/27/2024|30|Quarterly|Debit Card|3,379|3|2|35.50|3|7/10/2025||Active|Collaboration</v>
      </c>
      <c r="W302" s="13">
        <f t="shared" si="3"/>
        <v>1</v>
      </c>
      <c r="X302" s="13">
        <f>IFERROR(__xludf.DUMMYFUNCTION("COUNTUNIQUE(FILTER($B$2:$B$1826,$A$2:$A$1826=A302))"),2.0)</f>
        <v>2</v>
      </c>
    </row>
    <row r="303">
      <c r="A303" s="13" t="s">
        <v>780</v>
      </c>
      <c r="B303" s="13" t="s">
        <v>281</v>
      </c>
      <c r="C303" s="14">
        <v>44.0</v>
      </c>
      <c r="D303" s="13" t="s">
        <v>60</v>
      </c>
      <c r="E303" s="13" t="s">
        <v>97</v>
      </c>
      <c r="F303" s="13" t="s">
        <v>62</v>
      </c>
      <c r="G303" s="13" t="s">
        <v>80</v>
      </c>
      <c r="H303" s="16">
        <v>45264.0</v>
      </c>
      <c r="I303" s="14">
        <v>24.0</v>
      </c>
      <c r="J303" s="13" t="s">
        <v>53</v>
      </c>
      <c r="K303" s="13" t="s">
        <v>65</v>
      </c>
      <c r="L303" s="14">
        <v>716.0</v>
      </c>
      <c r="M303" s="18" t="s">
        <v>164</v>
      </c>
      <c r="N303" s="18" t="s">
        <v>43</v>
      </c>
      <c r="O303" s="18">
        <v>10.9</v>
      </c>
      <c r="P303" s="18" t="s">
        <v>130</v>
      </c>
      <c r="Q303" s="16">
        <v>45991.0</v>
      </c>
      <c r="R303" s="16" t="s">
        <v>38</v>
      </c>
      <c r="S303" s="13" t="s">
        <v>55</v>
      </c>
      <c r="T303" s="13" t="s">
        <v>47</v>
      </c>
      <c r="U303" s="13">
        <f t="shared" si="1"/>
        <v>2</v>
      </c>
      <c r="V303" s="13" t="str">
        <f t="shared" si="2"/>
        <v>C00384|Anita Reddy|44|East|Bhubaneswar|Basic|Organic Search|12/4/2023|24|Quarterly|Credit Card|716|3|2|10.90|3.9|11/30/2025||Active|Cloud Storage</v>
      </c>
      <c r="W303" s="13">
        <f t="shared" si="3"/>
        <v>1</v>
      </c>
      <c r="X303" s="13">
        <f>IFERROR(__xludf.DUMMYFUNCTION("COUNTUNIQUE(FILTER($B$2:$B$1826,$A$2:$A$1826=A303))"),2.0)</f>
        <v>2</v>
      </c>
    </row>
    <row r="304">
      <c r="A304" s="13" t="s">
        <v>781</v>
      </c>
      <c r="B304" s="13" t="s">
        <v>383</v>
      </c>
      <c r="C304" s="14">
        <v>19.0</v>
      </c>
      <c r="D304" s="13" t="s">
        <v>69</v>
      </c>
      <c r="E304" s="13" t="s">
        <v>187</v>
      </c>
      <c r="F304" s="13" t="s">
        <v>37</v>
      </c>
      <c r="G304" s="13" t="s">
        <v>52</v>
      </c>
      <c r="H304" s="16">
        <v>45114.0</v>
      </c>
      <c r="I304" s="14">
        <v>16.0</v>
      </c>
      <c r="J304" s="13" t="s">
        <v>40</v>
      </c>
      <c r="K304" s="13" t="s">
        <v>65</v>
      </c>
      <c r="L304" s="14">
        <v>1199.0</v>
      </c>
      <c r="M304" s="18" t="s">
        <v>164</v>
      </c>
      <c r="N304" s="18" t="s">
        <v>98</v>
      </c>
      <c r="O304" s="18">
        <v>22.3</v>
      </c>
      <c r="P304" s="18" t="s">
        <v>285</v>
      </c>
      <c r="Q304" s="16">
        <v>45533.0</v>
      </c>
      <c r="R304" s="16" t="s">
        <v>38</v>
      </c>
      <c r="S304" s="13" t="s">
        <v>55</v>
      </c>
      <c r="T304" s="13" t="s">
        <v>75</v>
      </c>
      <c r="U304" s="13">
        <f t="shared" si="1"/>
        <v>1</v>
      </c>
      <c r="V304" s="13" t="str">
        <f t="shared" si="2"/>
        <v>C01171|Rahul Nair|19|South|Chennai|Standard|Facebook|7/7/2023|16|Monthly|Credit Card|1,199|3|1|22.30|2.3|8/29/2024||Active|Security</v>
      </c>
      <c r="W304" s="13">
        <f t="shared" si="3"/>
        <v>1</v>
      </c>
      <c r="X304" s="13">
        <f>IFERROR(__xludf.DUMMYFUNCTION("COUNTUNIQUE(FILTER($B$2:$B$1826,$A$2:$A$1826=A304))"),1.0)</f>
        <v>1</v>
      </c>
    </row>
    <row r="305">
      <c r="A305" s="13" t="s">
        <v>783</v>
      </c>
      <c r="B305" s="13" t="s">
        <v>169</v>
      </c>
      <c r="C305" s="14">
        <v>59.0</v>
      </c>
      <c r="D305" s="13" t="s">
        <v>60</v>
      </c>
      <c r="E305" s="13" t="s">
        <v>133</v>
      </c>
      <c r="F305" s="13" t="s">
        <v>62</v>
      </c>
      <c r="G305" s="13" t="s">
        <v>80</v>
      </c>
      <c r="H305" s="16">
        <v>45724.0</v>
      </c>
      <c r="I305" s="14">
        <v>4.0</v>
      </c>
      <c r="J305" s="13" t="s">
        <v>40</v>
      </c>
      <c r="K305" s="13" t="s">
        <v>65</v>
      </c>
      <c r="L305" s="14">
        <v>852.0</v>
      </c>
      <c r="M305" s="18" t="s">
        <v>98</v>
      </c>
      <c r="N305" s="18" t="s">
        <v>43</v>
      </c>
      <c r="O305" s="18">
        <v>14.1</v>
      </c>
      <c r="P305" s="18" t="s">
        <v>225</v>
      </c>
      <c r="Q305" s="16">
        <v>45789.0</v>
      </c>
      <c r="R305" s="16" t="s">
        <v>38</v>
      </c>
      <c r="S305" s="13" t="s">
        <v>55</v>
      </c>
      <c r="T305" s="13" t="s">
        <v>72</v>
      </c>
      <c r="U305" s="13">
        <f t="shared" si="1"/>
        <v>2</v>
      </c>
      <c r="V305" s="13" t="str">
        <f t="shared" si="2"/>
        <v>C00276|Vikram Nair|59|East|Guwahati|Basic|Organic Search|3/8/2025|4|Monthly|Credit Card|852|1|2|14.10|3.8|5/12/2025||Active|Collaboration</v>
      </c>
      <c r="W305" s="13">
        <f t="shared" si="3"/>
        <v>1</v>
      </c>
      <c r="X305" s="13">
        <f>IFERROR(__xludf.DUMMYFUNCTION("COUNTUNIQUE(FILTER($B$2:$B$1826,$A$2:$A$1826=A305))"),2.0)</f>
        <v>2</v>
      </c>
    </row>
    <row r="306">
      <c r="A306" s="13" t="s">
        <v>784</v>
      </c>
      <c r="B306" s="13" t="s">
        <v>172</v>
      </c>
      <c r="C306" s="14">
        <v>55.0</v>
      </c>
      <c r="D306" s="13" t="s">
        <v>60</v>
      </c>
      <c r="E306" s="13" t="s">
        <v>107</v>
      </c>
      <c r="F306" s="13" t="s">
        <v>37</v>
      </c>
      <c r="G306" s="13" t="s">
        <v>128</v>
      </c>
      <c r="H306" s="16">
        <v>45089.0</v>
      </c>
      <c r="I306" s="14">
        <v>23.0</v>
      </c>
      <c r="J306" s="13" t="s">
        <v>64</v>
      </c>
      <c r="K306" s="13" t="s">
        <v>81</v>
      </c>
      <c r="L306" s="14">
        <v>1358.0</v>
      </c>
      <c r="M306" s="18" t="s">
        <v>98</v>
      </c>
      <c r="N306" s="18" t="s">
        <v>98</v>
      </c>
      <c r="O306" s="18">
        <v>21.3</v>
      </c>
      <c r="P306" s="18" t="s">
        <v>518</v>
      </c>
      <c r="Q306" s="16">
        <v>45794.0</v>
      </c>
      <c r="R306" s="16" t="s">
        <v>38</v>
      </c>
      <c r="S306" s="13" t="s">
        <v>55</v>
      </c>
      <c r="T306" s="13" t="s">
        <v>66</v>
      </c>
      <c r="U306" s="13">
        <f t="shared" si="1"/>
        <v>1</v>
      </c>
      <c r="V306" s="13" t="str">
        <f t="shared" si="2"/>
        <v>C00533|Meera Singh|55|East|Patna|Standard|Youtube|6/12/2023|23|Annual|Debit Card|1,358|1|1|21.30|1.7|5/17/2025||Active|Automation</v>
      </c>
      <c r="W306" s="13">
        <f t="shared" si="3"/>
        <v>1</v>
      </c>
      <c r="X306" s="13">
        <f>IFERROR(__xludf.DUMMYFUNCTION("COUNTUNIQUE(FILTER($B$2:$B$1826,$A$2:$A$1826=A306))"),1.0)</f>
        <v>1</v>
      </c>
    </row>
    <row r="307">
      <c r="A307" s="13" t="s">
        <v>785</v>
      </c>
      <c r="B307" s="13" t="s">
        <v>190</v>
      </c>
      <c r="C307" s="14">
        <v>29.0</v>
      </c>
      <c r="D307" s="13" t="s">
        <v>60</v>
      </c>
      <c r="E307" s="13" t="s">
        <v>107</v>
      </c>
      <c r="F307" s="13" t="s">
        <v>62</v>
      </c>
      <c r="G307" s="13" t="s">
        <v>80</v>
      </c>
      <c r="H307" s="16">
        <v>45560.0</v>
      </c>
      <c r="I307" s="14">
        <v>48.0</v>
      </c>
      <c r="J307" s="13" t="s">
        <v>64</v>
      </c>
      <c r="K307" s="13" t="s">
        <v>65</v>
      </c>
      <c r="L307" s="14">
        <v>539.0</v>
      </c>
      <c r="M307" s="18" t="s">
        <v>164</v>
      </c>
      <c r="N307" s="18" t="s">
        <v>46</v>
      </c>
      <c r="O307" s="18">
        <v>22.1</v>
      </c>
      <c r="P307" s="18" t="s">
        <v>233</v>
      </c>
      <c r="Q307" s="16">
        <v>46156.0</v>
      </c>
      <c r="R307" s="16" t="s">
        <v>38</v>
      </c>
      <c r="S307" s="13" t="s">
        <v>55</v>
      </c>
      <c r="T307" s="13" t="s">
        <v>75</v>
      </c>
      <c r="U307" s="13">
        <f t="shared" si="1"/>
        <v>2</v>
      </c>
      <c r="V307" s="13" t="str">
        <f t="shared" si="2"/>
        <v>C00358|Sneha Patel|29|East|Patna|Basic|Organic Search|9/25/2024|48|Annual|Credit Card|539|3|0|22.10|3.5|5/14/2026||Active|Security</v>
      </c>
      <c r="W307" s="13">
        <f t="shared" si="3"/>
        <v>1</v>
      </c>
      <c r="X307" s="13">
        <f>IFERROR(__xludf.DUMMYFUNCTION("COUNTUNIQUE(FILTER($B$2:$B$1826,$A$2:$A$1826=A307))"),2.0)</f>
        <v>2</v>
      </c>
    </row>
    <row r="308">
      <c r="A308" s="13" t="s">
        <v>689</v>
      </c>
      <c r="B308" s="13" t="s">
        <v>222</v>
      </c>
      <c r="C308" s="14">
        <v>47.0</v>
      </c>
      <c r="D308" s="13" t="s">
        <v>85</v>
      </c>
      <c r="E308" s="13" t="s">
        <v>292</v>
      </c>
      <c r="F308" s="13" t="s">
        <v>62</v>
      </c>
      <c r="G308" s="13" t="s">
        <v>63</v>
      </c>
      <c r="H308" s="16">
        <v>45029.0</v>
      </c>
      <c r="I308" s="14">
        <v>21.0</v>
      </c>
      <c r="J308" s="13" t="s">
        <v>53</v>
      </c>
      <c r="K308" s="13" t="s">
        <v>81</v>
      </c>
      <c r="L308" s="14">
        <v>648.0</v>
      </c>
      <c r="M308" s="18" t="s">
        <v>164</v>
      </c>
      <c r="N308" s="18" t="s">
        <v>98</v>
      </c>
      <c r="O308" s="18">
        <v>23.7</v>
      </c>
      <c r="P308" s="18" t="s">
        <v>130</v>
      </c>
      <c r="Q308" s="16">
        <v>45658.0</v>
      </c>
      <c r="R308" s="16" t="s">
        <v>38</v>
      </c>
      <c r="S308" s="13" t="s">
        <v>55</v>
      </c>
      <c r="T308" s="13" t="s">
        <v>66</v>
      </c>
      <c r="U308" s="13">
        <f t="shared" si="1"/>
        <v>5</v>
      </c>
      <c r="V308" s="13" t="str">
        <f t="shared" si="2"/>
        <v>C01293|Karan Iyer|47|West|Mumbai|Basic|Google Ads|4/13/2023|21|Quarterly|Debit Card|648|3|1|23.70|3.9|1/1/2025||Active|Automation</v>
      </c>
      <c r="W308" s="13">
        <f t="shared" si="3"/>
        <v>1</v>
      </c>
      <c r="X308" s="13">
        <f>IFERROR(__xludf.DUMMYFUNCTION("COUNTUNIQUE(FILTER($B$2:$B$1826,$A$2:$A$1826=A308))"),5.0)</f>
        <v>5</v>
      </c>
    </row>
    <row r="309">
      <c r="A309" s="13" t="s">
        <v>786</v>
      </c>
      <c r="B309" s="13" t="s">
        <v>50</v>
      </c>
      <c r="C309" s="14">
        <v>25.0</v>
      </c>
      <c r="D309" s="13" t="s">
        <v>85</v>
      </c>
      <c r="E309" s="13" t="s">
        <v>87</v>
      </c>
      <c r="F309" s="13" t="s">
        <v>62</v>
      </c>
      <c r="G309" s="13" t="s">
        <v>128</v>
      </c>
      <c r="H309" s="16">
        <v>44609.0</v>
      </c>
      <c r="I309" s="14">
        <v>9.0</v>
      </c>
      <c r="J309" s="13" t="s">
        <v>64</v>
      </c>
      <c r="K309" s="13" t="s">
        <v>41</v>
      </c>
      <c r="L309" s="14">
        <v>837.0</v>
      </c>
      <c r="M309" s="18" t="s">
        <v>46</v>
      </c>
      <c r="N309" s="18" t="s">
        <v>98</v>
      </c>
      <c r="O309" s="18">
        <v>8.9</v>
      </c>
      <c r="P309" s="18" t="s">
        <v>225</v>
      </c>
      <c r="Q309" s="16" t="s">
        <v>38</v>
      </c>
      <c r="R309" s="16">
        <v>44658.0</v>
      </c>
      <c r="S309" s="13" t="s">
        <v>45</v>
      </c>
      <c r="T309" s="13" t="s">
        <v>75</v>
      </c>
      <c r="U309" s="13">
        <f t="shared" si="1"/>
        <v>2</v>
      </c>
      <c r="V309" s="13" t="str">
        <f t="shared" si="2"/>
        <v>C01067|Rahul Das|25|West|Surat|Basic|Youtube|2/17/2022|9|Annual|Upi|837|0|1|8.90|3.8||4/7/2022|Churned|Security</v>
      </c>
      <c r="W309" s="13">
        <f t="shared" si="3"/>
        <v>1</v>
      </c>
      <c r="X309" s="13">
        <f>IFERROR(__xludf.DUMMYFUNCTION("COUNTUNIQUE(FILTER($B$2:$B$1826,$A$2:$A$1826=A309))"),2.0)</f>
        <v>2</v>
      </c>
    </row>
    <row r="310">
      <c r="A310" s="13" t="s">
        <v>788</v>
      </c>
      <c r="B310" s="13" t="s">
        <v>250</v>
      </c>
      <c r="C310" s="14">
        <v>34.0</v>
      </c>
      <c r="D310" s="13" t="s">
        <v>35</v>
      </c>
      <c r="E310" s="13" t="s">
        <v>36</v>
      </c>
      <c r="F310" s="13" t="s">
        <v>37</v>
      </c>
      <c r="G310" s="13" t="s">
        <v>80</v>
      </c>
      <c r="H310" s="16">
        <v>44732.0</v>
      </c>
      <c r="I310" s="14">
        <v>7.0</v>
      </c>
      <c r="J310" s="13" t="s">
        <v>64</v>
      </c>
      <c r="K310" s="13" t="s">
        <v>65</v>
      </c>
      <c r="L310" s="14">
        <v>1085.0</v>
      </c>
      <c r="M310" s="18" t="s">
        <v>46</v>
      </c>
      <c r="N310" s="18" t="s">
        <v>46</v>
      </c>
      <c r="O310" s="18">
        <v>49.4</v>
      </c>
      <c r="P310" s="18" t="s">
        <v>851</v>
      </c>
      <c r="Q310" s="16">
        <v>44841.0</v>
      </c>
      <c r="R310" s="16" t="s">
        <v>38</v>
      </c>
      <c r="S310" s="13" t="s">
        <v>55</v>
      </c>
      <c r="T310" s="13" t="s">
        <v>75</v>
      </c>
      <c r="U310" s="13">
        <f t="shared" si="1"/>
        <v>1</v>
      </c>
      <c r="V310" s="13" t="str">
        <f t="shared" si="2"/>
        <v>C01124|Vikram Singh|34|North|Delhi|Standard|Organic Search|6/20/2022|7|Annual|Credit Card|1,085|0|0|49.40|9|10/7/2022||Active|Security</v>
      </c>
      <c r="W310" s="13">
        <f t="shared" si="3"/>
        <v>1</v>
      </c>
      <c r="X310" s="13">
        <f>IFERROR(__xludf.DUMMYFUNCTION("COUNTUNIQUE(FILTER($B$2:$B$1826,$A$2:$A$1826=A310))"),1.0)</f>
        <v>1</v>
      </c>
    </row>
    <row r="311">
      <c r="A311" s="13" t="s">
        <v>789</v>
      </c>
      <c r="B311" s="13" t="s">
        <v>169</v>
      </c>
      <c r="C311" s="14">
        <v>27.0</v>
      </c>
      <c r="D311" s="13" t="s">
        <v>69</v>
      </c>
      <c r="E311" s="13" t="s">
        <v>187</v>
      </c>
      <c r="F311" s="13" t="s">
        <v>37</v>
      </c>
      <c r="G311" s="13" t="s">
        <v>39</v>
      </c>
      <c r="H311" s="16">
        <v>44620.0</v>
      </c>
      <c r="I311" s="14">
        <v>3.0</v>
      </c>
      <c r="J311" s="13" t="s">
        <v>64</v>
      </c>
      <c r="K311" s="13" t="s">
        <v>81</v>
      </c>
      <c r="L311" s="14">
        <v>1486.0</v>
      </c>
      <c r="M311" s="18" t="s">
        <v>99</v>
      </c>
      <c r="N311" s="18" t="s">
        <v>98</v>
      </c>
      <c r="O311" s="18">
        <v>12.3</v>
      </c>
      <c r="P311" s="18" t="s">
        <v>76</v>
      </c>
      <c r="Q311" s="16">
        <v>44699.0</v>
      </c>
      <c r="R311" s="16" t="s">
        <v>38</v>
      </c>
      <c r="S311" s="13" t="s">
        <v>55</v>
      </c>
      <c r="T311" s="13" t="s">
        <v>47</v>
      </c>
      <c r="U311" s="13">
        <f t="shared" si="1"/>
        <v>1</v>
      </c>
      <c r="V311" s="13" t="str">
        <f t="shared" si="2"/>
        <v>C01284|Vikram Nair|27|South|Chennai|Standard|Instagram|2/28/2022|3|Annual|Debit Card|1,486|4|1|12.30|4.4|5/18/2022||Active|Cloud Storage</v>
      </c>
      <c r="W311" s="13">
        <f t="shared" si="3"/>
        <v>1</v>
      </c>
      <c r="X311" s="13">
        <f>IFERROR(__xludf.DUMMYFUNCTION("COUNTUNIQUE(FILTER($B$2:$B$1826,$A$2:$A$1826=A311))"),1.0)</f>
        <v>1</v>
      </c>
    </row>
    <row r="312">
      <c r="A312" s="13" t="s">
        <v>792</v>
      </c>
      <c r="B312" s="13" t="s">
        <v>184</v>
      </c>
      <c r="C312" s="14">
        <v>45.0</v>
      </c>
      <c r="D312" s="13" t="s">
        <v>85</v>
      </c>
      <c r="E312" s="13" t="s">
        <v>87</v>
      </c>
      <c r="F312" s="13" t="s">
        <v>37</v>
      </c>
      <c r="G312" s="13" t="s">
        <v>52</v>
      </c>
      <c r="H312" s="16">
        <v>45655.0</v>
      </c>
      <c r="I312" s="14">
        <v>20.0</v>
      </c>
      <c r="J312" s="13" t="s">
        <v>53</v>
      </c>
      <c r="K312" s="13" t="s">
        <v>41</v>
      </c>
      <c r="L312" s="14">
        <v>1551.0</v>
      </c>
      <c r="M312" s="18" t="s">
        <v>173</v>
      </c>
      <c r="N312" s="18" t="s">
        <v>46</v>
      </c>
      <c r="O312" s="18">
        <v>36.0</v>
      </c>
      <c r="P312" s="18" t="s">
        <v>310</v>
      </c>
      <c r="Q312" s="16">
        <v>45756.0</v>
      </c>
      <c r="R312" s="16" t="s">
        <v>794</v>
      </c>
      <c r="S312" s="13" t="s">
        <v>45</v>
      </c>
      <c r="T312" s="13" t="s">
        <v>72</v>
      </c>
      <c r="U312" s="13">
        <f t="shared" si="1"/>
        <v>2</v>
      </c>
      <c r="V312" s="13" t="str">
        <f t="shared" si="2"/>
        <v>C01211|Vikram Reddy|45|West|Surat|Standard|Facebook|12/29/2024|20|Quarterly|Upi|1,551|5|0|36.00|3.1|4/9/2025|25/04/2026|Churned|Collaboration</v>
      </c>
      <c r="W312" s="13">
        <f t="shared" si="3"/>
        <v>1</v>
      </c>
      <c r="X312" s="13">
        <f>IFERROR(__xludf.DUMMYFUNCTION("COUNTUNIQUE(FILTER($B$2:$B$1826,$A$2:$A$1826=A312))"),2.0)</f>
        <v>2</v>
      </c>
    </row>
    <row r="313">
      <c r="A313" s="13" t="s">
        <v>797</v>
      </c>
      <c r="B313" s="13" t="s">
        <v>202</v>
      </c>
      <c r="C313" s="14">
        <v>37.0</v>
      </c>
      <c r="D313" s="13" t="s">
        <v>35</v>
      </c>
      <c r="E313" s="13" t="s">
        <v>51</v>
      </c>
      <c r="F313" s="13" t="s">
        <v>62</v>
      </c>
      <c r="G313" s="13" t="s">
        <v>120</v>
      </c>
      <c r="H313" s="16">
        <v>45657.0</v>
      </c>
      <c r="I313" s="14">
        <v>1.0</v>
      </c>
      <c r="J313" s="13" t="s">
        <v>64</v>
      </c>
      <c r="K313" s="13" t="s">
        <v>41</v>
      </c>
      <c r="L313" s="14">
        <v>750.0</v>
      </c>
      <c r="M313" s="18" t="s">
        <v>164</v>
      </c>
      <c r="N313" s="18" t="s">
        <v>46</v>
      </c>
      <c r="O313" s="18">
        <v>3.3</v>
      </c>
      <c r="P313" s="18" t="s">
        <v>400</v>
      </c>
      <c r="Q313" s="16">
        <v>45686.0</v>
      </c>
      <c r="R313" s="16" t="s">
        <v>38</v>
      </c>
      <c r="S313" s="13" t="s">
        <v>55</v>
      </c>
      <c r="T313" s="13" t="s">
        <v>104</v>
      </c>
      <c r="U313" s="13">
        <f t="shared" si="1"/>
        <v>5</v>
      </c>
      <c r="V313" s="13" t="str">
        <f t="shared" si="2"/>
        <v>C00022|Arun Das|37|North|Jaipur|Basic|Email|12/31/2024|1|Annual|Upi|750|3|0|3.30|4.8|1/29/2025||Active|Analytics</v>
      </c>
      <c r="W313" s="13">
        <f t="shared" si="3"/>
        <v>1</v>
      </c>
      <c r="X313" s="13">
        <f>IFERROR(__xludf.DUMMYFUNCTION("COUNTUNIQUE(FILTER($B$2:$B$1826,$A$2:$A$1826=A313))"),5.0)</f>
        <v>5</v>
      </c>
    </row>
    <row r="314">
      <c r="A314" s="13" t="s">
        <v>800</v>
      </c>
      <c r="B314" s="13" t="s">
        <v>801</v>
      </c>
      <c r="C314" s="14">
        <v>35.0</v>
      </c>
      <c r="D314" s="13" t="s">
        <v>60</v>
      </c>
      <c r="E314" s="13" t="s">
        <v>97</v>
      </c>
      <c r="F314" s="13" t="s">
        <v>62</v>
      </c>
      <c r="G314" s="13" t="s">
        <v>80</v>
      </c>
      <c r="H314" s="16">
        <v>45457.0</v>
      </c>
      <c r="I314" s="14">
        <v>26.0</v>
      </c>
      <c r="J314" s="13" t="s">
        <v>40</v>
      </c>
      <c r="K314" s="13" t="s">
        <v>65</v>
      </c>
      <c r="L314" s="14">
        <v>865.0</v>
      </c>
      <c r="M314" s="18" t="s">
        <v>43</v>
      </c>
      <c r="N314" s="18" t="s">
        <v>46</v>
      </c>
      <c r="O314" s="18">
        <v>9.2</v>
      </c>
      <c r="P314" s="18" t="s">
        <v>233</v>
      </c>
      <c r="Q314" s="16">
        <v>45866.0</v>
      </c>
      <c r="R314" s="16" t="s">
        <v>38</v>
      </c>
      <c r="S314" s="13" t="s">
        <v>55</v>
      </c>
      <c r="T314" s="13" t="s">
        <v>47</v>
      </c>
      <c r="U314" s="13">
        <f t="shared" si="1"/>
        <v>1</v>
      </c>
      <c r="V314" s="13" t="str">
        <f t="shared" si="2"/>
        <v>C01123|Karan Singh|35|East|Bhubaneswar|Basic|Organic Search|6/14/2024|26|Monthly|Credit Card|865|2|0|9.20|3.5|7/28/2025||Active|Cloud Storage</v>
      </c>
      <c r="W314" s="13">
        <f t="shared" si="3"/>
        <v>1</v>
      </c>
      <c r="X314" s="13">
        <f>IFERROR(__xludf.DUMMYFUNCTION("COUNTUNIQUE(FILTER($B$2:$B$1826,$A$2:$A$1826=A314))"),1.0)</f>
        <v>1</v>
      </c>
    </row>
    <row r="315">
      <c r="A315" s="13" t="s">
        <v>803</v>
      </c>
      <c r="B315" s="13" t="s">
        <v>639</v>
      </c>
      <c r="C315" s="14">
        <v>58.0</v>
      </c>
      <c r="D315" s="13" t="s">
        <v>60</v>
      </c>
      <c r="E315" s="13" t="s">
        <v>107</v>
      </c>
      <c r="F315" s="13" t="s">
        <v>37</v>
      </c>
      <c r="G315" s="13" t="s">
        <v>80</v>
      </c>
      <c r="H315" s="16">
        <v>45112.0</v>
      </c>
      <c r="I315" s="14">
        <v>27.0</v>
      </c>
      <c r="J315" s="13" t="s">
        <v>53</v>
      </c>
      <c r="K315" s="13" t="s">
        <v>65</v>
      </c>
      <c r="L315" s="14">
        <v>1185.0</v>
      </c>
      <c r="M315" s="18" t="s">
        <v>98</v>
      </c>
      <c r="N315" s="18" t="s">
        <v>98</v>
      </c>
      <c r="O315" s="18">
        <v>38.5</v>
      </c>
      <c r="P315" s="18" t="s">
        <v>173</v>
      </c>
      <c r="Q315" s="16">
        <v>45418.0</v>
      </c>
      <c r="R315" s="16" t="s">
        <v>38</v>
      </c>
      <c r="S315" s="13" t="s">
        <v>55</v>
      </c>
      <c r="T315" s="13" t="s">
        <v>66</v>
      </c>
      <c r="U315" s="13">
        <f t="shared" si="1"/>
        <v>2</v>
      </c>
      <c r="V315" s="13" t="str">
        <f t="shared" si="2"/>
        <v>C01059|Priya Nair|58|East|Patna|Standard|Organic Search|7/5/2023|27|Quarterly|Credit Card|1,185|1|1|38.50|5|5/6/2024||Active|Automation</v>
      </c>
      <c r="W315" s="13">
        <f t="shared" si="3"/>
        <v>1</v>
      </c>
      <c r="X315" s="13">
        <f>IFERROR(__xludf.DUMMYFUNCTION("COUNTUNIQUE(FILTER($B$2:$B$1826,$A$2:$A$1826=A315))"),2.0)</f>
        <v>2</v>
      </c>
    </row>
    <row r="316">
      <c r="A316" s="13" t="s">
        <v>804</v>
      </c>
      <c r="B316" s="13" t="s">
        <v>364</v>
      </c>
      <c r="C316" s="14">
        <v>33.0</v>
      </c>
      <c r="D316" s="13" t="s">
        <v>69</v>
      </c>
      <c r="E316" s="13" t="s">
        <v>177</v>
      </c>
      <c r="F316" s="13" t="s">
        <v>62</v>
      </c>
      <c r="G316" s="13" t="s">
        <v>63</v>
      </c>
      <c r="H316" s="16">
        <v>45657.0</v>
      </c>
      <c r="I316" s="14">
        <v>2.0</v>
      </c>
      <c r="J316" s="13" t="s">
        <v>40</v>
      </c>
      <c r="K316" s="13" t="s">
        <v>65</v>
      </c>
      <c r="L316" s="14">
        <v>551.0</v>
      </c>
      <c r="M316" s="18" t="s">
        <v>98</v>
      </c>
      <c r="N316" s="18" t="s">
        <v>43</v>
      </c>
      <c r="O316" s="18">
        <v>25.7</v>
      </c>
      <c r="P316" s="18" t="s">
        <v>173</v>
      </c>
      <c r="Q316" s="16">
        <v>45683.0</v>
      </c>
      <c r="R316" s="16" t="s">
        <v>38</v>
      </c>
      <c r="S316" s="13" t="s">
        <v>55</v>
      </c>
      <c r="T316" s="13" t="s">
        <v>104</v>
      </c>
      <c r="U316" s="13">
        <f t="shared" si="1"/>
        <v>2</v>
      </c>
      <c r="V316" s="13" t="str">
        <f t="shared" si="2"/>
        <v>C01008|Sneha Kumar|33|South|Hyderabad|Basic|Google Ads|12/31/2024|2|Monthly|Credit Card|551|1|2|25.70|5|1/26/2025||Active|Analytics</v>
      </c>
      <c r="W316" s="13">
        <f t="shared" si="3"/>
        <v>1</v>
      </c>
      <c r="X316" s="13">
        <f>IFERROR(__xludf.DUMMYFUNCTION("COUNTUNIQUE(FILTER($B$2:$B$1826,$A$2:$A$1826=A316))"),2.0)</f>
        <v>2</v>
      </c>
    </row>
    <row r="317">
      <c r="A317" s="13" t="s">
        <v>806</v>
      </c>
      <c r="B317" s="13" t="s">
        <v>331</v>
      </c>
      <c r="C317" s="14">
        <v>68.0</v>
      </c>
      <c r="D317" s="13" t="s">
        <v>69</v>
      </c>
      <c r="E317" s="13" t="s">
        <v>177</v>
      </c>
      <c r="F317" s="13" t="s">
        <v>62</v>
      </c>
      <c r="G317" s="13" t="s">
        <v>128</v>
      </c>
      <c r="H317" s="16">
        <v>45582.0</v>
      </c>
      <c r="I317" s="14">
        <v>24.0</v>
      </c>
      <c r="J317" s="13" t="s">
        <v>53</v>
      </c>
      <c r="K317" s="13" t="s">
        <v>41</v>
      </c>
      <c r="L317" s="14">
        <v>515.0</v>
      </c>
      <c r="M317" s="18" t="s">
        <v>46</v>
      </c>
      <c r="N317" s="18" t="s">
        <v>43</v>
      </c>
      <c r="O317" s="18">
        <v>17.6</v>
      </c>
      <c r="P317" s="18" t="s">
        <v>449</v>
      </c>
      <c r="Q317" s="16">
        <v>45741.0</v>
      </c>
      <c r="R317" s="16" t="s">
        <v>38</v>
      </c>
      <c r="S317" s="13" t="s">
        <v>55</v>
      </c>
      <c r="T317" s="13" t="s">
        <v>66</v>
      </c>
      <c r="U317" s="13">
        <f t="shared" si="1"/>
        <v>3</v>
      </c>
      <c r="V317" s="13" t="str">
        <f t="shared" si="2"/>
        <v>C01011|Arun Iyer|68|South|Hyderabad|Basic|Youtube|10/17/2024|24|Quarterly|Upi|515|0|2|17.60|2.7|3/25/2025||Active|Automation</v>
      </c>
      <c r="W317" s="13">
        <f t="shared" si="3"/>
        <v>1</v>
      </c>
      <c r="X317" s="13">
        <f>IFERROR(__xludf.DUMMYFUNCTION("COUNTUNIQUE(FILTER($B$2:$B$1826,$A$2:$A$1826=A317))"),3.0)</f>
        <v>3</v>
      </c>
    </row>
    <row r="318">
      <c r="A318" s="13" t="s">
        <v>807</v>
      </c>
      <c r="B318" s="13" t="s">
        <v>163</v>
      </c>
      <c r="C318" s="14">
        <v>66.0</v>
      </c>
      <c r="D318" s="13" t="s">
        <v>69</v>
      </c>
      <c r="E318" s="13" t="s">
        <v>187</v>
      </c>
      <c r="F318" s="13" t="s">
        <v>79</v>
      </c>
      <c r="G318" s="13" t="s">
        <v>210</v>
      </c>
      <c r="H318" s="16">
        <v>45343.0</v>
      </c>
      <c r="I318" s="14">
        <v>1.0</v>
      </c>
      <c r="J318" s="13" t="s">
        <v>40</v>
      </c>
      <c r="K318" s="13" t="s">
        <v>41</v>
      </c>
      <c r="L318" s="14">
        <v>2508.0</v>
      </c>
      <c r="M318" s="18" t="s">
        <v>46</v>
      </c>
      <c r="N318" s="18" t="s">
        <v>98</v>
      </c>
      <c r="O318" s="18">
        <v>29.2</v>
      </c>
      <c r="P318" s="18" t="s">
        <v>116</v>
      </c>
      <c r="Q318" s="16">
        <v>45377.0</v>
      </c>
      <c r="R318" s="16" t="s">
        <v>38</v>
      </c>
      <c r="S318" s="13" t="s">
        <v>55</v>
      </c>
      <c r="T318" s="13" t="s">
        <v>75</v>
      </c>
      <c r="U318" s="13">
        <f t="shared" si="1"/>
        <v>1</v>
      </c>
      <c r="V318" s="13" t="str">
        <f t="shared" si="2"/>
        <v>C00963|Sneha Singh|66|South|Chennai|Premium|Referral|2/21/2024|1|Monthly|Upi|2,508|0|1|29.20|3.4|3/26/2024||Active|Security</v>
      </c>
      <c r="W318" s="13">
        <f t="shared" si="3"/>
        <v>1</v>
      </c>
      <c r="X318" s="13">
        <f>IFERROR(__xludf.DUMMYFUNCTION("COUNTUNIQUE(FILTER($B$2:$B$1826,$A$2:$A$1826=A318))"),1.0)</f>
        <v>1</v>
      </c>
    </row>
    <row r="319">
      <c r="A319" s="13" t="s">
        <v>808</v>
      </c>
      <c r="B319" s="13" t="s">
        <v>247</v>
      </c>
      <c r="C319" s="14">
        <v>35.0</v>
      </c>
      <c r="D319" s="13" t="s">
        <v>35</v>
      </c>
      <c r="E319" s="13" t="s">
        <v>51</v>
      </c>
      <c r="F319" s="13" t="s">
        <v>37</v>
      </c>
      <c r="G319" s="13" t="s">
        <v>52</v>
      </c>
      <c r="H319" s="16">
        <v>45201.0</v>
      </c>
      <c r="I319" s="14">
        <v>21.0</v>
      </c>
      <c r="J319" s="13" t="s">
        <v>53</v>
      </c>
      <c r="K319" s="13" t="s">
        <v>81</v>
      </c>
      <c r="L319" s="14">
        <v>1042.0</v>
      </c>
      <c r="M319" s="18" t="s">
        <v>46</v>
      </c>
      <c r="N319" s="18" t="s">
        <v>98</v>
      </c>
      <c r="O319" s="18">
        <v>32.5</v>
      </c>
      <c r="P319" s="18" t="s">
        <v>116</v>
      </c>
      <c r="Q319" s="16">
        <v>45773.0</v>
      </c>
      <c r="R319" s="16" t="s">
        <v>38</v>
      </c>
      <c r="S319" s="13" t="s">
        <v>55</v>
      </c>
      <c r="T319" s="13" t="s">
        <v>72</v>
      </c>
      <c r="U319" s="13">
        <f t="shared" si="1"/>
        <v>1</v>
      </c>
      <c r="V319" s="13" t="str">
        <f t="shared" si="2"/>
        <v>C01506|Ravi Sharma|35|North|Jaipur|Standard|Facebook|10/2/2023|21|Quarterly|Debit Card|1,042|0|1|32.50|3.4|4/26/2025||Active|Collaboration</v>
      </c>
      <c r="W319" s="13">
        <f t="shared" si="3"/>
        <v>1</v>
      </c>
      <c r="X319" s="13">
        <f>IFERROR(__xludf.DUMMYFUNCTION("COUNTUNIQUE(FILTER($B$2:$B$1826,$A$2:$A$1826=A319))"),1.0)</f>
        <v>1</v>
      </c>
    </row>
    <row r="320">
      <c r="A320" s="13" t="s">
        <v>809</v>
      </c>
      <c r="B320" s="13" t="s">
        <v>398</v>
      </c>
      <c r="C320" s="14">
        <v>44.0</v>
      </c>
      <c r="D320" s="13" t="s">
        <v>60</v>
      </c>
      <c r="E320" s="13" t="s">
        <v>61</v>
      </c>
      <c r="F320" s="13" t="s">
        <v>37</v>
      </c>
      <c r="G320" s="13" t="s">
        <v>39</v>
      </c>
      <c r="H320" s="16">
        <v>44793.0</v>
      </c>
      <c r="I320" s="14">
        <v>16.0</v>
      </c>
      <c r="J320" s="13" t="s">
        <v>40</v>
      </c>
      <c r="K320" s="13" t="s">
        <v>41</v>
      </c>
      <c r="L320" s="14">
        <v>2341.0</v>
      </c>
      <c r="M320" s="18" t="s">
        <v>99</v>
      </c>
      <c r="N320" s="18" t="s">
        <v>98</v>
      </c>
      <c r="O320" s="18">
        <v>39.9</v>
      </c>
      <c r="P320" s="18" t="s">
        <v>150</v>
      </c>
      <c r="Q320" s="16">
        <v>45209.0</v>
      </c>
      <c r="R320" s="16" t="s">
        <v>38</v>
      </c>
      <c r="S320" s="13" t="s">
        <v>55</v>
      </c>
      <c r="T320" s="13" t="s">
        <v>104</v>
      </c>
      <c r="U320" s="13">
        <f t="shared" si="1"/>
        <v>2</v>
      </c>
      <c r="V320" s="13" t="str">
        <f t="shared" si="2"/>
        <v>C00407|Vikram Sharma|44|East|Kolkata|Standard|Instagram|8/20/2022|16|Monthly|Upi|2,341|4|1|39.90|4.5|10/10/2023||Active|Analytics</v>
      </c>
      <c r="W320" s="13">
        <f t="shared" si="3"/>
        <v>1</v>
      </c>
      <c r="X320" s="13">
        <f>IFERROR(__xludf.DUMMYFUNCTION("COUNTUNIQUE(FILTER($B$2:$B$1826,$A$2:$A$1826=A320))"),2.0)</f>
        <v>2</v>
      </c>
    </row>
    <row r="321">
      <c r="A321" s="13" t="s">
        <v>810</v>
      </c>
      <c r="B321" s="13" t="s">
        <v>132</v>
      </c>
      <c r="C321" s="14">
        <v>41.0</v>
      </c>
      <c r="D321" s="13" t="s">
        <v>85</v>
      </c>
      <c r="E321" s="13" t="s">
        <v>111</v>
      </c>
      <c r="F321" s="13" t="s">
        <v>62</v>
      </c>
      <c r="G321" s="13" t="s">
        <v>63</v>
      </c>
      <c r="H321" s="16">
        <v>45071.0</v>
      </c>
      <c r="I321" s="14">
        <v>11.0</v>
      </c>
      <c r="J321" s="13" t="s">
        <v>64</v>
      </c>
      <c r="K321" s="13" t="s">
        <v>41</v>
      </c>
      <c r="L321" s="14">
        <v>850.0</v>
      </c>
      <c r="M321" s="18" t="s">
        <v>99</v>
      </c>
      <c r="N321" s="18" t="s">
        <v>46</v>
      </c>
      <c r="O321" s="18">
        <v>8.4</v>
      </c>
      <c r="P321" s="18" t="s">
        <v>225</v>
      </c>
      <c r="Q321" s="16">
        <v>45401.0</v>
      </c>
      <c r="R321" s="16" t="s">
        <v>38</v>
      </c>
      <c r="S321" s="13" t="s">
        <v>55</v>
      </c>
      <c r="T321" s="13" t="s">
        <v>66</v>
      </c>
      <c r="U321" s="13">
        <f t="shared" si="1"/>
        <v>1</v>
      </c>
      <c r="V321" s="13" t="str">
        <f t="shared" si="2"/>
        <v>C01191|Arun Kumar|41|West|Pune|Basic|Google Ads|5/25/2023|11|Annual|Upi|850|4|0|8.40|3.8|4/19/2024||Active|Automation</v>
      </c>
      <c r="W321" s="13">
        <f t="shared" si="3"/>
        <v>1</v>
      </c>
      <c r="X321" s="13">
        <f>IFERROR(__xludf.DUMMYFUNCTION("COUNTUNIQUE(FILTER($B$2:$B$1826,$A$2:$A$1826=A321))"),1.0)</f>
        <v>1</v>
      </c>
    </row>
    <row r="322">
      <c r="A322" s="13" t="s">
        <v>811</v>
      </c>
      <c r="B322" s="13" t="s">
        <v>68</v>
      </c>
      <c r="C322" s="14">
        <v>35.0</v>
      </c>
      <c r="D322" s="13" t="s">
        <v>69</v>
      </c>
      <c r="E322" s="13" t="s">
        <v>119</v>
      </c>
      <c r="F322" s="13" t="s">
        <v>62</v>
      </c>
      <c r="G322" s="13" t="s">
        <v>80</v>
      </c>
      <c r="H322" s="16">
        <v>45882.0</v>
      </c>
      <c r="I322" s="14">
        <v>23.0</v>
      </c>
      <c r="J322" s="13" t="s">
        <v>40</v>
      </c>
      <c r="K322" s="13" t="s">
        <v>65</v>
      </c>
      <c r="L322" s="14">
        <v>723.0</v>
      </c>
      <c r="M322" s="18" t="s">
        <v>46</v>
      </c>
      <c r="N322" s="18" t="s">
        <v>46</v>
      </c>
      <c r="O322" s="18">
        <v>11.7</v>
      </c>
      <c r="P322" s="18" t="s">
        <v>310</v>
      </c>
      <c r="Q322" s="16">
        <v>45913.0</v>
      </c>
      <c r="R322" s="16">
        <v>46091.0</v>
      </c>
      <c r="S322" s="13" t="s">
        <v>45</v>
      </c>
      <c r="T322" s="13" t="s">
        <v>75</v>
      </c>
      <c r="U322" s="13">
        <f t="shared" si="1"/>
        <v>2</v>
      </c>
      <c r="V322" s="13" t="str">
        <f t="shared" si="2"/>
        <v>C00220|Anita Patel|35|South|Kochi|Basic|Organic Search|8/13/2025|23|Monthly|Credit Card|723|0|0|11.70|3.1|9/13/2025|3/10/2026|Churned|Security</v>
      </c>
      <c r="W322" s="13">
        <f t="shared" si="3"/>
        <v>1</v>
      </c>
      <c r="X322" s="13">
        <f>IFERROR(__xludf.DUMMYFUNCTION("COUNTUNIQUE(FILTER($B$2:$B$1826,$A$2:$A$1826=A322))"),2.0)</f>
        <v>2</v>
      </c>
    </row>
    <row r="323">
      <c r="A323" s="13" t="s">
        <v>813</v>
      </c>
      <c r="B323" s="13" t="s">
        <v>145</v>
      </c>
      <c r="C323" s="14">
        <v>23.0</v>
      </c>
      <c r="D323" s="13" t="s">
        <v>60</v>
      </c>
      <c r="E323" s="13" t="s">
        <v>133</v>
      </c>
      <c r="F323" s="13" t="s">
        <v>62</v>
      </c>
      <c r="G323" s="13" t="s">
        <v>39</v>
      </c>
      <c r="H323" s="16">
        <v>45675.0</v>
      </c>
      <c r="I323" s="14">
        <v>23.0</v>
      </c>
      <c r="J323" s="13" t="s">
        <v>64</v>
      </c>
      <c r="K323" s="13" t="s">
        <v>41</v>
      </c>
      <c r="L323" s="14">
        <v>738.0</v>
      </c>
      <c r="M323" s="18" t="s">
        <v>98</v>
      </c>
      <c r="N323" s="18" t="s">
        <v>98</v>
      </c>
      <c r="O323" s="18">
        <v>2.2</v>
      </c>
      <c r="P323" s="18" t="s">
        <v>76</v>
      </c>
      <c r="Q323" s="16">
        <v>46298.0</v>
      </c>
      <c r="R323" s="16" t="s">
        <v>38</v>
      </c>
      <c r="S323" s="13" t="s">
        <v>55</v>
      </c>
      <c r="T323" s="13" t="s">
        <v>75</v>
      </c>
      <c r="U323" s="13">
        <f t="shared" si="1"/>
        <v>1</v>
      </c>
      <c r="V323" s="13" t="str">
        <f t="shared" si="2"/>
        <v>C01145|Ravi Patel|23|East|Guwahati|Basic|Instagram|1/18/2025|23|Annual|Upi|738|1|1|2.20|4.4|10/3/2026||Active|Security</v>
      </c>
      <c r="W323" s="13">
        <f t="shared" si="3"/>
        <v>1</v>
      </c>
      <c r="X323" s="13">
        <f>IFERROR(__xludf.DUMMYFUNCTION("COUNTUNIQUE(FILTER($B$2:$B$1826,$A$2:$A$1826=A323))"),1.0)</f>
        <v>1</v>
      </c>
    </row>
    <row r="324">
      <c r="A324" s="13" t="s">
        <v>814</v>
      </c>
      <c r="B324" s="13" t="s">
        <v>312</v>
      </c>
      <c r="C324" s="14">
        <v>39.0</v>
      </c>
      <c r="D324" s="13" t="s">
        <v>60</v>
      </c>
      <c r="E324" s="13" t="s">
        <v>107</v>
      </c>
      <c r="F324" s="13" t="s">
        <v>37</v>
      </c>
      <c r="G324" s="13" t="s">
        <v>128</v>
      </c>
      <c r="H324" s="16">
        <v>45868.0</v>
      </c>
      <c r="I324" s="14">
        <v>33.0</v>
      </c>
      <c r="J324" s="13" t="s">
        <v>64</v>
      </c>
      <c r="K324" s="13" t="s">
        <v>41</v>
      </c>
      <c r="L324" s="14">
        <v>1018.0</v>
      </c>
      <c r="M324" s="18" t="s">
        <v>173</v>
      </c>
      <c r="N324" s="18" t="s">
        <v>98</v>
      </c>
      <c r="O324" s="18">
        <v>7.8</v>
      </c>
      <c r="P324" s="18" t="s">
        <v>116</v>
      </c>
      <c r="Q324" s="16">
        <v>46755.0</v>
      </c>
      <c r="R324" s="16" t="s">
        <v>38</v>
      </c>
      <c r="S324" s="13" t="s">
        <v>55</v>
      </c>
      <c r="T324" s="13" t="s">
        <v>66</v>
      </c>
      <c r="U324" s="13">
        <f t="shared" si="1"/>
        <v>2</v>
      </c>
      <c r="V324" s="13" t="str">
        <f t="shared" si="2"/>
        <v>C00606|Anita Singh|39|East|Patna|Standard|Youtube|7/30/2025|33|Annual|Upi|1,018|5|1|7.80|3.4|1/3/2028||Active|Automation</v>
      </c>
      <c r="W324" s="13">
        <f t="shared" si="3"/>
        <v>1</v>
      </c>
      <c r="X324" s="13">
        <f>IFERROR(__xludf.DUMMYFUNCTION("COUNTUNIQUE(FILTER($B$2:$B$1826,$A$2:$A$1826=A324))"),2.0)</f>
        <v>2</v>
      </c>
    </row>
    <row r="325">
      <c r="A325" s="13" t="s">
        <v>815</v>
      </c>
      <c r="B325" s="13" t="s">
        <v>247</v>
      </c>
      <c r="C325" s="14">
        <v>21.0</v>
      </c>
      <c r="D325" s="13" t="s">
        <v>69</v>
      </c>
      <c r="E325" s="13" t="s">
        <v>119</v>
      </c>
      <c r="F325" s="13" t="s">
        <v>37</v>
      </c>
      <c r="G325" s="13" t="s">
        <v>39</v>
      </c>
      <c r="H325" s="16">
        <v>45817.0</v>
      </c>
      <c r="I325" s="14">
        <v>19.0</v>
      </c>
      <c r="J325" s="13" t="s">
        <v>40</v>
      </c>
      <c r="K325" s="13" t="s">
        <v>41</v>
      </c>
      <c r="L325" s="14">
        <v>1328.0</v>
      </c>
      <c r="M325" s="18" t="s">
        <v>99</v>
      </c>
      <c r="N325" s="18" t="s">
        <v>98</v>
      </c>
      <c r="O325" s="18">
        <v>49.2</v>
      </c>
      <c r="P325" s="18" t="s">
        <v>285</v>
      </c>
      <c r="Q325" s="16">
        <v>45925.0</v>
      </c>
      <c r="R325" s="16" t="s">
        <v>38</v>
      </c>
      <c r="S325" s="13" t="s">
        <v>55</v>
      </c>
      <c r="T325" s="13" t="s">
        <v>104</v>
      </c>
      <c r="U325" s="13">
        <f t="shared" si="1"/>
        <v>3</v>
      </c>
      <c r="V325" s="13" t="str">
        <f t="shared" si="2"/>
        <v>C00794|Ravi Sharma|21|South|Kochi|Standard|Instagram|6/9/2025|19|Monthly|Upi|1,328|4|1|49.20|2.3|9/25/2025||Active|Analytics</v>
      </c>
      <c r="W325" s="13">
        <f t="shared" si="3"/>
        <v>1</v>
      </c>
      <c r="X325" s="13">
        <f>IFERROR(__xludf.DUMMYFUNCTION("COUNTUNIQUE(FILTER($B$2:$B$1826,$A$2:$A$1826=A325))"),3.0)</f>
        <v>3</v>
      </c>
    </row>
    <row r="326">
      <c r="A326" s="13" t="s">
        <v>816</v>
      </c>
      <c r="B326" s="13" t="s">
        <v>295</v>
      </c>
      <c r="C326" s="14">
        <v>33.0</v>
      </c>
      <c r="D326" s="13" t="s">
        <v>85</v>
      </c>
      <c r="E326" s="13" t="s">
        <v>140</v>
      </c>
      <c r="F326" s="13" t="s">
        <v>62</v>
      </c>
      <c r="G326" s="13" t="s">
        <v>63</v>
      </c>
      <c r="H326" s="16">
        <v>45731.0</v>
      </c>
      <c r="I326" s="14">
        <v>42.0</v>
      </c>
      <c r="J326" s="13" t="s">
        <v>64</v>
      </c>
      <c r="K326" s="13" t="s">
        <v>81</v>
      </c>
      <c r="L326" s="14">
        <v>835.0</v>
      </c>
      <c r="M326" s="18" t="s">
        <v>99</v>
      </c>
      <c r="N326" s="18" t="s">
        <v>43</v>
      </c>
      <c r="O326" s="18">
        <v>15.1</v>
      </c>
      <c r="P326" s="18" t="s">
        <v>99</v>
      </c>
      <c r="Q326" s="16">
        <v>46949.0</v>
      </c>
      <c r="R326" s="16" t="s">
        <v>818</v>
      </c>
      <c r="S326" s="13" t="s">
        <v>45</v>
      </c>
      <c r="T326" s="13" t="s">
        <v>104</v>
      </c>
      <c r="U326" s="13">
        <f t="shared" si="1"/>
        <v>2</v>
      </c>
      <c r="V326" s="13" t="str">
        <f t="shared" si="2"/>
        <v>C00414|Arun Reddy|33|West|Lucknow|Basic|Google Ads|3/15/2025|42|Annual|Debit Card|835|4|2|15.10|4|7/15/2028|20/09/2026|Churned|Analytics</v>
      </c>
      <c r="W326" s="13">
        <f t="shared" si="3"/>
        <v>1</v>
      </c>
      <c r="X326" s="13">
        <f>IFERROR(__xludf.DUMMYFUNCTION("COUNTUNIQUE(FILTER($B$2:$B$1826,$A$2:$A$1826=A326))"),2.0)</f>
        <v>2</v>
      </c>
    </row>
    <row r="327">
      <c r="A327" s="13" t="s">
        <v>819</v>
      </c>
      <c r="B327" s="13" t="s">
        <v>74</v>
      </c>
      <c r="C327" s="14">
        <v>58.0</v>
      </c>
      <c r="D327" s="13" t="s">
        <v>69</v>
      </c>
      <c r="E327" s="13" t="s">
        <v>119</v>
      </c>
      <c r="F327" s="13" t="s">
        <v>79</v>
      </c>
      <c r="G327" s="13" t="s">
        <v>128</v>
      </c>
      <c r="H327" s="16">
        <v>44725.0</v>
      </c>
      <c r="I327" s="14">
        <v>30.0</v>
      </c>
      <c r="J327" s="13" t="s">
        <v>53</v>
      </c>
      <c r="K327" s="13" t="s">
        <v>81</v>
      </c>
      <c r="L327" s="14">
        <v>3141.0</v>
      </c>
      <c r="M327" s="18" t="s">
        <v>98</v>
      </c>
      <c r="N327" s="18" t="s">
        <v>46</v>
      </c>
      <c r="O327" s="18">
        <v>40.0</v>
      </c>
      <c r="P327" s="18" t="s">
        <v>296</v>
      </c>
      <c r="Q327" s="16">
        <v>45496.0</v>
      </c>
      <c r="R327" s="16">
        <v>45239.0</v>
      </c>
      <c r="S327" s="13" t="s">
        <v>45</v>
      </c>
      <c r="T327" s="13" t="s">
        <v>104</v>
      </c>
      <c r="U327" s="13">
        <f t="shared" si="1"/>
        <v>4</v>
      </c>
      <c r="V327" s="13" t="str">
        <f t="shared" si="2"/>
        <v>C00027|Anita Kumar|58|South|Kochi|Premium|Youtube|6/13/2022|30|Quarterly|Debit Card|3,141|1|0|40.00|4.6|7/23/2024|11/9/2023|Churned|Analytics</v>
      </c>
      <c r="W327" s="13">
        <f t="shared" si="3"/>
        <v>1</v>
      </c>
      <c r="X327" s="13">
        <f>IFERROR(__xludf.DUMMYFUNCTION("COUNTUNIQUE(FILTER($B$2:$B$1826,$A$2:$A$1826=A327))"),4.0)</f>
        <v>4</v>
      </c>
    </row>
    <row r="328">
      <c r="A328" s="13" t="s">
        <v>822</v>
      </c>
      <c r="B328" s="13" t="s">
        <v>362</v>
      </c>
      <c r="C328" s="14">
        <v>55.0</v>
      </c>
      <c r="D328" s="13" t="s">
        <v>35</v>
      </c>
      <c r="E328" s="13" t="s">
        <v>161</v>
      </c>
      <c r="F328" s="13" t="s">
        <v>62</v>
      </c>
      <c r="G328" s="13" t="s">
        <v>39</v>
      </c>
      <c r="H328" s="16">
        <v>45625.0</v>
      </c>
      <c r="I328" s="14">
        <v>7.0</v>
      </c>
      <c r="J328" s="13" t="s">
        <v>64</v>
      </c>
      <c r="K328" s="13" t="s">
        <v>41</v>
      </c>
      <c r="L328" s="14">
        <v>617.0</v>
      </c>
      <c r="M328" s="18" t="s">
        <v>164</v>
      </c>
      <c r="N328" s="18" t="s">
        <v>43</v>
      </c>
      <c r="O328" s="18">
        <v>13.2</v>
      </c>
      <c r="P328" s="18" t="s">
        <v>368</v>
      </c>
      <c r="Q328" s="16">
        <v>45683.0</v>
      </c>
      <c r="R328" s="16" t="s">
        <v>38</v>
      </c>
      <c r="S328" s="13" t="s">
        <v>55</v>
      </c>
      <c r="T328" s="13" t="s">
        <v>66</v>
      </c>
      <c r="U328" s="13">
        <f t="shared" si="1"/>
        <v>3</v>
      </c>
      <c r="V328" s="13" t="str">
        <f t="shared" si="2"/>
        <v>C01504|Neha Singh|55|North|Chandigarh|Basic|Instagram|11/29/2024|7|Annual|Upi|617|3|2|13.20|4.9|1/26/2025||Active|Automation</v>
      </c>
      <c r="W328" s="13">
        <f t="shared" si="3"/>
        <v>1</v>
      </c>
      <c r="X328" s="13">
        <f>IFERROR(__xludf.DUMMYFUNCTION("COUNTUNIQUE(FILTER($B$2:$B$1826,$A$2:$A$1826=A328))"),3.0)</f>
        <v>3</v>
      </c>
    </row>
    <row r="329">
      <c r="A329" s="13" t="s">
        <v>823</v>
      </c>
      <c r="B329" s="13" t="s">
        <v>106</v>
      </c>
      <c r="C329" s="14">
        <v>54.0</v>
      </c>
      <c r="D329" s="13" t="s">
        <v>85</v>
      </c>
      <c r="E329" s="13" t="s">
        <v>292</v>
      </c>
      <c r="F329" s="13" t="s">
        <v>37</v>
      </c>
      <c r="G329" s="13" t="s">
        <v>80</v>
      </c>
      <c r="H329" s="16">
        <v>45295.0</v>
      </c>
      <c r="I329" s="14">
        <v>44.0</v>
      </c>
      <c r="J329" s="13" t="s">
        <v>53</v>
      </c>
      <c r="K329" s="13" t="s">
        <v>81</v>
      </c>
      <c r="L329" s="14">
        <v>1436.0</v>
      </c>
      <c r="M329" s="18" t="s">
        <v>43</v>
      </c>
      <c r="N329" s="18" t="s">
        <v>43</v>
      </c>
      <c r="O329" s="18">
        <v>31.3</v>
      </c>
      <c r="P329" s="18" t="s">
        <v>173</v>
      </c>
      <c r="Q329" s="16">
        <v>45518.0</v>
      </c>
      <c r="R329" s="16" t="s">
        <v>38</v>
      </c>
      <c r="S329" s="13" t="s">
        <v>55</v>
      </c>
      <c r="T329" s="13" t="s">
        <v>72</v>
      </c>
      <c r="U329" s="13">
        <f t="shared" si="1"/>
        <v>1</v>
      </c>
      <c r="V329" s="13" t="str">
        <f t="shared" si="2"/>
        <v>C01535|Rahul Patel|54|West|Mumbai|Standard|Organic Search|1/4/2024|44|Quarterly|Debit Card|1,436|2|2|31.30|5|8/14/2024||Active|Collaboration</v>
      </c>
      <c r="W329" s="13">
        <f t="shared" si="3"/>
        <v>1</v>
      </c>
      <c r="X329" s="13">
        <f>IFERROR(__xludf.DUMMYFUNCTION("COUNTUNIQUE(FILTER($B$2:$B$1826,$A$2:$A$1826=A329))"),1.0)</f>
        <v>1</v>
      </c>
    </row>
    <row r="330">
      <c r="A330" s="13" t="s">
        <v>262</v>
      </c>
      <c r="B330" s="13" t="s">
        <v>172</v>
      </c>
      <c r="C330" s="14">
        <v>55.0</v>
      </c>
      <c r="D330" s="13" t="s">
        <v>69</v>
      </c>
      <c r="E330" s="13" t="s">
        <v>119</v>
      </c>
      <c r="F330" s="13" t="s">
        <v>79</v>
      </c>
      <c r="G330" s="13" t="s">
        <v>210</v>
      </c>
      <c r="H330" s="16">
        <v>45688.0</v>
      </c>
      <c r="I330" s="14">
        <v>21.0</v>
      </c>
      <c r="J330" s="13" t="s">
        <v>64</v>
      </c>
      <c r="K330" s="13" t="s">
        <v>41</v>
      </c>
      <c r="L330" s="14">
        <v>3295.0</v>
      </c>
      <c r="M330" s="18" t="s">
        <v>164</v>
      </c>
      <c r="N330" s="18" t="s">
        <v>98</v>
      </c>
      <c r="O330" s="18">
        <v>36.9</v>
      </c>
      <c r="P330" s="18" t="s">
        <v>296</v>
      </c>
      <c r="Q330" s="16">
        <v>46138.0</v>
      </c>
      <c r="R330" s="16" t="s">
        <v>825</v>
      </c>
      <c r="S330" s="13" t="s">
        <v>45</v>
      </c>
      <c r="T330" s="13" t="s">
        <v>75</v>
      </c>
      <c r="U330" s="13">
        <f t="shared" si="1"/>
        <v>2</v>
      </c>
      <c r="V330" s="13" t="str">
        <f t="shared" si="2"/>
        <v>C01347|Meera Singh|55|South|Kochi|Premium|Referral|1/31/2025|21|Annual|Upi|3,295|3|1|36.90|4.6|4/26/2026|27/01/2026|Churned|Security</v>
      </c>
      <c r="W330" s="13">
        <f t="shared" si="3"/>
        <v>1</v>
      </c>
      <c r="X330" s="13">
        <f>IFERROR(__xludf.DUMMYFUNCTION("COUNTUNIQUE(FILTER($B$2:$B$1826,$A$2:$A$1826=A330))"),2.0)</f>
        <v>2</v>
      </c>
    </row>
    <row r="331">
      <c r="A331" s="13" t="s">
        <v>196</v>
      </c>
      <c r="B331" s="13" t="s">
        <v>152</v>
      </c>
      <c r="C331" s="14">
        <v>38.0</v>
      </c>
      <c r="D331" s="13" t="s">
        <v>60</v>
      </c>
      <c r="E331" s="13" t="s">
        <v>107</v>
      </c>
      <c r="F331" s="13" t="s">
        <v>79</v>
      </c>
      <c r="G331" s="13" t="s">
        <v>120</v>
      </c>
      <c r="H331" s="16">
        <v>45375.0</v>
      </c>
      <c r="I331" s="14">
        <v>1.0</v>
      </c>
      <c r="J331" s="13" t="s">
        <v>40</v>
      </c>
      <c r="K331" s="13" t="s">
        <v>41</v>
      </c>
      <c r="L331" s="14">
        <v>2032.0</v>
      </c>
      <c r="M331" s="18" t="s">
        <v>46</v>
      </c>
      <c r="N331" s="18" t="s">
        <v>46</v>
      </c>
      <c r="O331" s="18">
        <v>45.6</v>
      </c>
      <c r="P331" s="18" t="s">
        <v>158</v>
      </c>
      <c r="Q331" s="16">
        <v>45418.0</v>
      </c>
      <c r="R331" s="16" t="s">
        <v>826</v>
      </c>
      <c r="S331" s="13" t="s">
        <v>55</v>
      </c>
      <c r="T331" s="13" t="s">
        <v>72</v>
      </c>
      <c r="U331" s="13">
        <f t="shared" si="1"/>
        <v>4</v>
      </c>
      <c r="V331" s="13" t="str">
        <f t="shared" si="2"/>
        <v>C01569|Vikram Kumar|38|East|Patna|Premium|Email|3/24/2024|1|Monthly|Upi|2,032|0|0|45.60|4.7|5/6/2024|27/04/2024|Active|Collaboration</v>
      </c>
      <c r="W331" s="13">
        <f t="shared" si="3"/>
        <v>1</v>
      </c>
      <c r="X331" s="13">
        <f>IFERROR(__xludf.DUMMYFUNCTION("COUNTUNIQUE(FILTER($B$2:$B$1826,$A$2:$A$1826=A331))"),4.0)</f>
        <v>4</v>
      </c>
    </row>
    <row r="332">
      <c r="A332" s="13" t="s">
        <v>828</v>
      </c>
      <c r="B332" s="13" t="s">
        <v>420</v>
      </c>
      <c r="C332" s="14">
        <v>24.0</v>
      </c>
      <c r="D332" s="13" t="s">
        <v>60</v>
      </c>
      <c r="E332" s="13" t="s">
        <v>97</v>
      </c>
      <c r="F332" s="13" t="s">
        <v>62</v>
      </c>
      <c r="G332" s="13" t="s">
        <v>120</v>
      </c>
      <c r="H332" s="16">
        <v>45290.0</v>
      </c>
      <c r="I332" s="14">
        <v>10.0</v>
      </c>
      <c r="J332" s="13" t="s">
        <v>64</v>
      </c>
      <c r="K332" s="13" t="s">
        <v>65</v>
      </c>
      <c r="L332" s="14">
        <v>686.0</v>
      </c>
      <c r="M332" s="18" t="s">
        <v>98</v>
      </c>
      <c r="N332" s="18" t="s">
        <v>98</v>
      </c>
      <c r="O332" s="18">
        <v>27.2</v>
      </c>
      <c r="P332" s="18" t="s">
        <v>185</v>
      </c>
      <c r="Q332" s="16">
        <v>45419.0</v>
      </c>
      <c r="R332" s="16" t="s">
        <v>38</v>
      </c>
      <c r="S332" s="13" t="s">
        <v>55</v>
      </c>
      <c r="T332" s="13" t="s">
        <v>66</v>
      </c>
      <c r="U332" s="13">
        <f t="shared" si="1"/>
        <v>4</v>
      </c>
      <c r="V332" s="13" t="str">
        <f t="shared" si="2"/>
        <v>C00045|Vikram Iyer|24|East|Bhubaneswar|Basic|Email|12/30/2023|10|Annual|Credit Card|686|1|1|27.20|3.2|5/7/2024||Active|Automation</v>
      </c>
      <c r="W332" s="13">
        <f t="shared" si="3"/>
        <v>1</v>
      </c>
      <c r="X332" s="13">
        <f>IFERROR(__xludf.DUMMYFUNCTION("COUNTUNIQUE(FILTER($B$2:$B$1826,$A$2:$A$1826=A332))"),4.0)</f>
        <v>4</v>
      </c>
    </row>
    <row r="333">
      <c r="A333" s="13" t="s">
        <v>829</v>
      </c>
      <c r="B333" s="13" t="s">
        <v>202</v>
      </c>
      <c r="C333" s="14">
        <v>24.0</v>
      </c>
      <c r="D333" s="13" t="s">
        <v>35</v>
      </c>
      <c r="E333" s="13" t="s">
        <v>161</v>
      </c>
      <c r="F333" s="13" t="s">
        <v>37</v>
      </c>
      <c r="G333" s="13" t="s">
        <v>39</v>
      </c>
      <c r="H333" s="16">
        <v>45561.0</v>
      </c>
      <c r="I333" s="14">
        <v>45.0</v>
      </c>
      <c r="J333" s="13" t="s">
        <v>40</v>
      </c>
      <c r="K333" s="13" t="s">
        <v>65</v>
      </c>
      <c r="L333" s="14">
        <v>1608.0</v>
      </c>
      <c r="M333" s="18" t="s">
        <v>46</v>
      </c>
      <c r="N333" s="18" t="s">
        <v>164</v>
      </c>
      <c r="O333" s="18">
        <v>23.7</v>
      </c>
      <c r="P333" s="18" t="s">
        <v>150</v>
      </c>
      <c r="Q333" s="16">
        <v>46186.0</v>
      </c>
      <c r="R333" s="16" t="s">
        <v>38</v>
      </c>
      <c r="S333" s="13" t="s">
        <v>55</v>
      </c>
      <c r="T333" s="13" t="s">
        <v>72</v>
      </c>
      <c r="U333" s="13">
        <f t="shared" si="1"/>
        <v>1</v>
      </c>
      <c r="V333" s="13" t="str">
        <f t="shared" si="2"/>
        <v>C00446|Arun Das|24|North|Chandigarh|Standard|Instagram|9/26/2024|45|Monthly|Credit Card|1,608|0|3|23.70|4.5|6/13/2026||Active|Collaboration</v>
      </c>
      <c r="W333" s="13">
        <f t="shared" si="3"/>
        <v>1</v>
      </c>
      <c r="X333" s="13">
        <f>IFERROR(__xludf.DUMMYFUNCTION("COUNTUNIQUE(FILTER($B$2:$B$1826,$A$2:$A$1826=A333))"),1.0)</f>
        <v>1</v>
      </c>
    </row>
    <row r="334">
      <c r="A334" s="13" t="s">
        <v>830</v>
      </c>
      <c r="B334" s="13" t="s">
        <v>152</v>
      </c>
      <c r="C334" s="14">
        <v>39.0</v>
      </c>
      <c r="D334" s="13" t="s">
        <v>85</v>
      </c>
      <c r="E334" s="13" t="s">
        <v>292</v>
      </c>
      <c r="F334" s="13" t="s">
        <v>79</v>
      </c>
      <c r="G334" s="13" t="s">
        <v>39</v>
      </c>
      <c r="H334" s="16">
        <v>45898.0</v>
      </c>
      <c r="I334" s="14">
        <v>39.0</v>
      </c>
      <c r="J334" s="13" t="s">
        <v>64</v>
      </c>
      <c r="K334" s="13" t="s">
        <v>81</v>
      </c>
      <c r="L334" s="14">
        <v>3293.0</v>
      </c>
      <c r="M334" s="18" t="s">
        <v>99</v>
      </c>
      <c r="N334" s="18" t="s">
        <v>98</v>
      </c>
      <c r="O334" s="18">
        <v>44.4</v>
      </c>
      <c r="P334" s="18" t="s">
        <v>76</v>
      </c>
      <c r="Q334" s="16">
        <v>46691.0</v>
      </c>
      <c r="R334" s="16" t="s">
        <v>831</v>
      </c>
      <c r="S334" s="13" t="s">
        <v>45</v>
      </c>
      <c r="T334" s="13" t="s">
        <v>47</v>
      </c>
      <c r="U334" s="13">
        <f t="shared" si="1"/>
        <v>1</v>
      </c>
      <c r="V334" s="13" t="str">
        <f t="shared" si="2"/>
        <v>C00890|Vikram Kumar|39|West|Mumbai|Premium|Instagram|8/29/2025|39|Annual|Debit Card|3,293|4|1|44.40|4.4|10/31/2027|16/01/2026|Churned|Cloud Storage</v>
      </c>
      <c r="W334" s="13">
        <f t="shared" si="3"/>
        <v>1</v>
      </c>
      <c r="X334" s="13">
        <f>IFERROR(__xludf.DUMMYFUNCTION("COUNTUNIQUE(FILTER($B$2:$B$1826,$A$2:$A$1826=A334))"),1.0)</f>
        <v>1</v>
      </c>
    </row>
    <row r="335">
      <c r="A335" s="13" t="s">
        <v>832</v>
      </c>
      <c r="B335" s="13" t="s">
        <v>139</v>
      </c>
      <c r="C335" s="14">
        <v>28.0</v>
      </c>
      <c r="D335" s="13" t="s">
        <v>69</v>
      </c>
      <c r="E335" s="13" t="s">
        <v>187</v>
      </c>
      <c r="F335" s="13" t="s">
        <v>62</v>
      </c>
      <c r="G335" s="13" t="s">
        <v>52</v>
      </c>
      <c r="H335" s="16">
        <v>45366.0</v>
      </c>
      <c r="I335" s="14">
        <v>29.0</v>
      </c>
      <c r="J335" s="13" t="s">
        <v>40</v>
      </c>
      <c r="K335" s="13" t="s">
        <v>65</v>
      </c>
      <c r="L335" s="14">
        <v>793.0</v>
      </c>
      <c r="M335" s="18" t="s">
        <v>46</v>
      </c>
      <c r="N335" s="18" t="s">
        <v>46</v>
      </c>
      <c r="O335" s="18">
        <v>4.9</v>
      </c>
      <c r="P335" s="18" t="s">
        <v>568</v>
      </c>
      <c r="Q335" s="16">
        <v>45603.0</v>
      </c>
      <c r="R335" s="16" t="s">
        <v>833</v>
      </c>
      <c r="S335" s="13" t="s">
        <v>45</v>
      </c>
      <c r="T335" s="13" t="s">
        <v>104</v>
      </c>
      <c r="U335" s="13">
        <f t="shared" si="1"/>
        <v>1</v>
      </c>
      <c r="V335" s="13" t="str">
        <f t="shared" si="2"/>
        <v>C00670|Vikram Das|28|South|Chennai|Basic|Facebook|3/15/2024|29|Monthly|Credit Card|793|0|0|4.90|2.2|11/7/2024|30/06/2025|Churned|Analytics</v>
      </c>
      <c r="W335" s="13">
        <f t="shared" si="3"/>
        <v>1</v>
      </c>
      <c r="X335" s="13">
        <f>IFERROR(__xludf.DUMMYFUNCTION("COUNTUNIQUE(FILTER($B$2:$B$1826,$A$2:$A$1826=A335))"),1.0)</f>
        <v>1</v>
      </c>
    </row>
    <row r="336">
      <c r="A336" s="13" t="s">
        <v>756</v>
      </c>
      <c r="B336" s="13" t="s">
        <v>316</v>
      </c>
      <c r="C336" s="14">
        <v>44.0</v>
      </c>
      <c r="D336" s="13" t="s">
        <v>35</v>
      </c>
      <c r="E336" s="13" t="s">
        <v>140</v>
      </c>
      <c r="F336" s="13" t="s">
        <v>62</v>
      </c>
      <c r="G336" s="13" t="s">
        <v>120</v>
      </c>
      <c r="H336" s="16">
        <v>45589.0</v>
      </c>
      <c r="I336" s="14">
        <v>28.0</v>
      </c>
      <c r="J336" s="13" t="s">
        <v>64</v>
      </c>
      <c r="K336" s="13" t="s">
        <v>81</v>
      </c>
      <c r="L336" s="14">
        <v>565.0</v>
      </c>
      <c r="M336" s="18" t="s">
        <v>98</v>
      </c>
      <c r="N336" s="18" t="s">
        <v>43</v>
      </c>
      <c r="O336" s="18">
        <v>18.9</v>
      </c>
      <c r="P336" s="18" t="s">
        <v>48</v>
      </c>
      <c r="Q336" s="16">
        <v>46091.0</v>
      </c>
      <c r="R336" s="16" t="s">
        <v>834</v>
      </c>
      <c r="S336" s="13" t="s">
        <v>45</v>
      </c>
      <c r="T336" s="13" t="s">
        <v>47</v>
      </c>
      <c r="U336" s="13">
        <f t="shared" si="1"/>
        <v>2</v>
      </c>
      <c r="V336" s="13" t="str">
        <f t="shared" si="2"/>
        <v>C00975|Neha Nair|44|North|Lucknow|Basic|Email|10/24/2024|28|Annual|Debit Card|565|1|2|18.90|3.6|3/10/2026|18/06/2026|Churned|Cloud Storage</v>
      </c>
      <c r="W336" s="13">
        <f t="shared" si="3"/>
        <v>1</v>
      </c>
      <c r="X336" s="13">
        <f>IFERROR(__xludf.DUMMYFUNCTION("COUNTUNIQUE(FILTER($B$2:$B$1826,$A$2:$A$1826=A336))"),2.0)</f>
        <v>2</v>
      </c>
    </row>
    <row r="337">
      <c r="A337" s="13" t="s">
        <v>835</v>
      </c>
      <c r="B337" s="13" t="s">
        <v>411</v>
      </c>
      <c r="C337" s="14">
        <v>41.0</v>
      </c>
      <c r="D337" s="13" t="s">
        <v>69</v>
      </c>
      <c r="E337" s="13" t="s">
        <v>187</v>
      </c>
      <c r="F337" s="13" t="s">
        <v>62</v>
      </c>
      <c r="G337" s="13" t="s">
        <v>128</v>
      </c>
      <c r="H337" s="16">
        <v>45442.0</v>
      </c>
      <c r="I337" s="14">
        <v>0.0</v>
      </c>
      <c r="J337" s="13" t="s">
        <v>40</v>
      </c>
      <c r="K337" s="13" t="s">
        <v>65</v>
      </c>
      <c r="L337" s="14">
        <v>793.0</v>
      </c>
      <c r="M337" s="18" t="s">
        <v>43</v>
      </c>
      <c r="N337" s="18" t="s">
        <v>46</v>
      </c>
      <c r="O337" s="18">
        <v>18.0</v>
      </c>
      <c r="P337" s="18" t="s">
        <v>164</v>
      </c>
      <c r="Q337" s="16">
        <v>45875.0</v>
      </c>
      <c r="R337" s="16" t="s">
        <v>38</v>
      </c>
      <c r="S337" s="13" t="s">
        <v>55</v>
      </c>
      <c r="T337" s="13" t="s">
        <v>72</v>
      </c>
      <c r="U337" s="13">
        <f t="shared" si="1"/>
        <v>2</v>
      </c>
      <c r="V337" s="13" t="str">
        <f t="shared" si="2"/>
        <v>C01150|Karan Reddy|41|South|Chennai|Basic|Youtube|5/30/2024|0|Monthly|Credit Card|793|2|0|18.00|3|8/6/2025||Active|Collaboration</v>
      </c>
      <c r="W337" s="13">
        <f t="shared" si="3"/>
        <v>1</v>
      </c>
      <c r="X337" s="13">
        <f>IFERROR(__xludf.DUMMYFUNCTION("COUNTUNIQUE(FILTER($B$2:$B$1826,$A$2:$A$1826=A337))"),2.0)</f>
        <v>2</v>
      </c>
    </row>
    <row r="338">
      <c r="A338" s="13" t="s">
        <v>836</v>
      </c>
      <c r="B338" s="13" t="s">
        <v>362</v>
      </c>
      <c r="C338" s="14">
        <v>62.0</v>
      </c>
      <c r="D338" s="13" t="s">
        <v>35</v>
      </c>
      <c r="E338" s="13" t="s">
        <v>161</v>
      </c>
      <c r="F338" s="13" t="s">
        <v>62</v>
      </c>
      <c r="G338" s="13" t="s">
        <v>210</v>
      </c>
      <c r="H338" s="16">
        <v>45824.0</v>
      </c>
      <c r="I338" s="14">
        <v>29.0</v>
      </c>
      <c r="J338" s="13" t="s">
        <v>53</v>
      </c>
      <c r="K338" s="13" t="s">
        <v>41</v>
      </c>
      <c r="L338" s="14">
        <v>724.0</v>
      </c>
      <c r="M338" s="18" t="s">
        <v>98</v>
      </c>
      <c r="N338" s="18" t="s">
        <v>43</v>
      </c>
      <c r="O338" s="18">
        <v>5.1</v>
      </c>
      <c r="P338" s="18" t="s">
        <v>164</v>
      </c>
      <c r="Q338" s="16">
        <v>46671.0</v>
      </c>
      <c r="R338" s="16" t="s">
        <v>38</v>
      </c>
      <c r="S338" s="13" t="s">
        <v>55</v>
      </c>
      <c r="T338" s="13" t="s">
        <v>104</v>
      </c>
      <c r="U338" s="13">
        <f t="shared" si="1"/>
        <v>1</v>
      </c>
      <c r="V338" s="13" t="str">
        <f t="shared" si="2"/>
        <v>C01217|Neha Singh|62|North|Chandigarh|Basic|Referral|6/16/2025|29|Quarterly|Upi|724|1|2|5.10|3|10/11/2027||Active|Analytics</v>
      </c>
      <c r="W338" s="13">
        <f t="shared" si="3"/>
        <v>1</v>
      </c>
      <c r="X338" s="13">
        <f>IFERROR(__xludf.DUMMYFUNCTION("COUNTUNIQUE(FILTER($B$2:$B$1826,$A$2:$A$1826=A338))"),1.0)</f>
        <v>1</v>
      </c>
    </row>
    <row r="339">
      <c r="A339" s="13" t="s">
        <v>837</v>
      </c>
      <c r="B339" s="13" t="s">
        <v>295</v>
      </c>
      <c r="C339" s="14">
        <v>32.0</v>
      </c>
      <c r="D339" s="13" t="s">
        <v>35</v>
      </c>
      <c r="E339" s="13" t="s">
        <v>51</v>
      </c>
      <c r="F339" s="13" t="s">
        <v>79</v>
      </c>
      <c r="G339" s="13" t="s">
        <v>39</v>
      </c>
      <c r="H339" s="16">
        <v>45151.0</v>
      </c>
      <c r="I339" s="14">
        <v>1.0</v>
      </c>
      <c r="J339" s="13" t="s">
        <v>64</v>
      </c>
      <c r="K339" s="13" t="s">
        <v>81</v>
      </c>
      <c r="L339" s="14">
        <v>2920.0</v>
      </c>
      <c r="M339" s="18" t="s">
        <v>98</v>
      </c>
      <c r="N339" s="18" t="s">
        <v>164</v>
      </c>
      <c r="O339" s="18">
        <v>35.8</v>
      </c>
      <c r="P339" s="18" t="s">
        <v>275</v>
      </c>
      <c r="Q339" s="16">
        <v>45191.0</v>
      </c>
      <c r="R339" s="16" t="s">
        <v>38</v>
      </c>
      <c r="S339" s="13" t="s">
        <v>55</v>
      </c>
      <c r="T339" s="13" t="s">
        <v>47</v>
      </c>
      <c r="U339" s="13">
        <f t="shared" si="1"/>
        <v>1</v>
      </c>
      <c r="V339" s="13" t="str">
        <f t="shared" si="2"/>
        <v>C00231|Arun Reddy|32|North|Jaipur|Premium|Instagram|8/13/2023|1|Annual|Debit Card|2,920|1|3|35.80|4.3|9/22/2023||Active|Cloud Storage</v>
      </c>
      <c r="W339" s="13">
        <f t="shared" si="3"/>
        <v>1</v>
      </c>
      <c r="X339" s="13">
        <f>IFERROR(__xludf.DUMMYFUNCTION("COUNTUNIQUE(FILTER($B$2:$B$1826,$A$2:$A$1826=A339))"),1.0)</f>
        <v>1</v>
      </c>
    </row>
    <row r="340">
      <c r="A340" s="13" t="s">
        <v>838</v>
      </c>
      <c r="B340" s="13" t="s">
        <v>179</v>
      </c>
      <c r="C340" s="14">
        <v>35.0</v>
      </c>
      <c r="D340" s="13" t="s">
        <v>60</v>
      </c>
      <c r="E340" s="13" t="s">
        <v>133</v>
      </c>
      <c r="F340" s="13" t="s">
        <v>37</v>
      </c>
      <c r="G340" s="13" t="s">
        <v>39</v>
      </c>
      <c r="H340" s="16">
        <v>45985.0</v>
      </c>
      <c r="I340" s="14">
        <v>45.0</v>
      </c>
      <c r="J340" s="13" t="s">
        <v>40</v>
      </c>
      <c r="K340" s="13" t="s">
        <v>41</v>
      </c>
      <c r="L340" s="14">
        <v>1595.0</v>
      </c>
      <c r="M340" s="18" t="s">
        <v>164</v>
      </c>
      <c r="N340" s="18" t="s">
        <v>98</v>
      </c>
      <c r="O340" s="18">
        <v>21.2</v>
      </c>
      <c r="P340" s="18" t="s">
        <v>99</v>
      </c>
      <c r="Q340" s="16">
        <v>47353.0</v>
      </c>
      <c r="R340" s="16" t="s">
        <v>38</v>
      </c>
      <c r="S340" s="13" t="s">
        <v>55</v>
      </c>
      <c r="T340" s="13" t="s">
        <v>72</v>
      </c>
      <c r="U340" s="13">
        <f t="shared" si="1"/>
        <v>1</v>
      </c>
      <c r="V340" s="13" t="str">
        <f t="shared" si="2"/>
        <v>C00418|Ravi Kumar|35|East|Guwahati|Standard|Instagram|11/24/2025|45|Monthly|Upi|1,595|3|1|21.20|4|8/23/2029||Active|Collaboration</v>
      </c>
      <c r="W340" s="13">
        <f t="shared" si="3"/>
        <v>1</v>
      </c>
      <c r="X340" s="13">
        <f>IFERROR(__xludf.DUMMYFUNCTION("COUNTUNIQUE(FILTER($B$2:$B$1826,$A$2:$A$1826=A340))"),1.0)</f>
        <v>1</v>
      </c>
    </row>
    <row r="341">
      <c r="A341" s="13" t="s">
        <v>839</v>
      </c>
      <c r="B341" s="13" t="s">
        <v>331</v>
      </c>
      <c r="C341" s="14">
        <v>60.0</v>
      </c>
      <c r="D341" s="13" t="s">
        <v>60</v>
      </c>
      <c r="E341" s="13" t="s">
        <v>61</v>
      </c>
      <c r="F341" s="13" t="s">
        <v>62</v>
      </c>
      <c r="G341" s="13" t="s">
        <v>63</v>
      </c>
      <c r="H341" s="16">
        <v>44698.0</v>
      </c>
      <c r="I341" s="14">
        <v>25.0</v>
      </c>
      <c r="J341" s="13" t="s">
        <v>53</v>
      </c>
      <c r="K341" s="13" t="s">
        <v>41</v>
      </c>
      <c r="L341" s="14">
        <v>1674.0</v>
      </c>
      <c r="M341" s="18" t="s">
        <v>173</v>
      </c>
      <c r="N341" s="18" t="s">
        <v>98</v>
      </c>
      <c r="O341" s="18">
        <v>19.2</v>
      </c>
      <c r="P341" s="18" t="s">
        <v>76</v>
      </c>
      <c r="Q341" s="16">
        <v>44818.0</v>
      </c>
      <c r="R341" s="16" t="s">
        <v>38</v>
      </c>
      <c r="S341" s="13" t="s">
        <v>55</v>
      </c>
      <c r="T341" s="13" t="s">
        <v>75</v>
      </c>
      <c r="U341" s="13">
        <f t="shared" si="1"/>
        <v>1</v>
      </c>
      <c r="V341" s="13" t="str">
        <f t="shared" si="2"/>
        <v>C00412|Arun Iyer|60|East|Kolkata|Basic|Google Ads|5/17/2022|25|Quarterly|Upi|1,674|5|1|19.20|4.4|9/14/2022||Active|Security</v>
      </c>
      <c r="W341" s="13">
        <f t="shared" si="3"/>
        <v>1</v>
      </c>
      <c r="X341" s="13">
        <f>IFERROR(__xludf.DUMMYFUNCTION("COUNTUNIQUE(FILTER($B$2:$B$1826,$A$2:$A$1826=A341))"),1.0)</f>
        <v>1</v>
      </c>
    </row>
    <row r="342">
      <c r="A342" s="13" t="s">
        <v>840</v>
      </c>
      <c r="B342" s="13" t="s">
        <v>132</v>
      </c>
      <c r="C342" s="14">
        <v>34.0</v>
      </c>
      <c r="D342" s="13" t="s">
        <v>35</v>
      </c>
      <c r="E342" s="13" t="s">
        <v>161</v>
      </c>
      <c r="F342" s="13" t="s">
        <v>37</v>
      </c>
      <c r="G342" s="13" t="s">
        <v>80</v>
      </c>
      <c r="H342" s="16">
        <v>45650.0</v>
      </c>
      <c r="I342" s="14">
        <v>6.0</v>
      </c>
      <c r="J342" s="13" t="s">
        <v>64</v>
      </c>
      <c r="K342" s="13" t="s">
        <v>65</v>
      </c>
      <c r="L342" s="14">
        <v>1467.0</v>
      </c>
      <c r="M342" s="18" t="s">
        <v>46</v>
      </c>
      <c r="N342" s="18" t="s">
        <v>98</v>
      </c>
      <c r="O342" s="18">
        <v>13.3</v>
      </c>
      <c r="P342" s="18" t="s">
        <v>203</v>
      </c>
      <c r="Q342" s="16">
        <v>45842.0</v>
      </c>
      <c r="R342" s="16" t="s">
        <v>38</v>
      </c>
      <c r="S342" s="13" t="s">
        <v>55</v>
      </c>
      <c r="T342" s="13" t="s">
        <v>72</v>
      </c>
      <c r="U342" s="13">
        <f t="shared" si="1"/>
        <v>1</v>
      </c>
      <c r="V342" s="13" t="str">
        <f t="shared" si="2"/>
        <v>C01042|Arun Kumar|34|North|Chandigarh|Standard|Organic Search|12/24/2024|6|Annual|Credit Card|1,467|0|1|13.30|3.7|7/4/2025||Active|Collaboration</v>
      </c>
      <c r="W342" s="13">
        <f t="shared" si="3"/>
        <v>1</v>
      </c>
      <c r="X342" s="13">
        <f>IFERROR(__xludf.DUMMYFUNCTION("COUNTUNIQUE(FILTER($B$2:$B$1826,$A$2:$A$1826=A342))"),1.0)</f>
        <v>1</v>
      </c>
    </row>
    <row r="343">
      <c r="A343" s="13" t="s">
        <v>692</v>
      </c>
      <c r="B343" s="13" t="s">
        <v>139</v>
      </c>
      <c r="C343" s="14">
        <v>20.0</v>
      </c>
      <c r="D343" s="13" t="s">
        <v>85</v>
      </c>
      <c r="E343" s="13" t="s">
        <v>111</v>
      </c>
      <c r="F343" s="13" t="s">
        <v>62</v>
      </c>
      <c r="G343" s="13" t="s">
        <v>52</v>
      </c>
      <c r="H343" s="16">
        <v>45282.0</v>
      </c>
      <c r="I343" s="14">
        <v>23.0</v>
      </c>
      <c r="J343" s="13" t="s">
        <v>64</v>
      </c>
      <c r="K343" s="13" t="s">
        <v>65</v>
      </c>
      <c r="L343" s="14">
        <v>619.0</v>
      </c>
      <c r="M343" s="18" t="s">
        <v>46</v>
      </c>
      <c r="N343" s="18" t="s">
        <v>98</v>
      </c>
      <c r="O343" s="18">
        <v>11.4</v>
      </c>
      <c r="P343" s="18" t="s">
        <v>158</v>
      </c>
      <c r="Q343" s="16">
        <v>45355.0</v>
      </c>
      <c r="R343" s="16" t="s">
        <v>38</v>
      </c>
      <c r="S343" s="13" t="s">
        <v>55</v>
      </c>
      <c r="T343" s="13" t="s">
        <v>47</v>
      </c>
      <c r="U343" s="13">
        <f t="shared" si="1"/>
        <v>2</v>
      </c>
      <c r="V343" s="13" t="str">
        <f t="shared" si="2"/>
        <v>C01004|Vikram Das|20|West|Pune|Basic|Facebook|12/22/2023|23|Annual|Credit Card|619|0|1|11.40|4.7|3/4/2024||Active|Cloud Storage</v>
      </c>
      <c r="W343" s="13">
        <f t="shared" si="3"/>
        <v>1</v>
      </c>
      <c r="X343" s="13">
        <f>IFERROR(__xludf.DUMMYFUNCTION("COUNTUNIQUE(FILTER($B$2:$B$1826,$A$2:$A$1826=A343))"),2.0)</f>
        <v>2</v>
      </c>
    </row>
    <row r="344">
      <c r="A344" s="13" t="s">
        <v>841</v>
      </c>
      <c r="B344" s="13" t="s">
        <v>459</v>
      </c>
      <c r="C344" s="14">
        <v>46.0</v>
      </c>
      <c r="D344" s="13" t="s">
        <v>60</v>
      </c>
      <c r="E344" s="13" t="s">
        <v>133</v>
      </c>
      <c r="F344" s="13" t="s">
        <v>37</v>
      </c>
      <c r="G344" s="13" t="s">
        <v>63</v>
      </c>
      <c r="H344" s="16">
        <v>45344.0</v>
      </c>
      <c r="I344" s="14">
        <v>34.0</v>
      </c>
      <c r="J344" s="13" t="s">
        <v>53</v>
      </c>
      <c r="K344" s="13" t="s">
        <v>81</v>
      </c>
      <c r="L344" s="14">
        <v>1639.0</v>
      </c>
      <c r="M344" s="18" t="s">
        <v>46</v>
      </c>
      <c r="N344" s="18" t="s">
        <v>98</v>
      </c>
      <c r="O344" s="18">
        <v>35.6</v>
      </c>
      <c r="P344" s="18" t="s">
        <v>701</v>
      </c>
      <c r="Q344" s="16">
        <v>45819.0</v>
      </c>
      <c r="R344" s="16" t="s">
        <v>842</v>
      </c>
      <c r="S344" s="13" t="s">
        <v>45</v>
      </c>
      <c r="T344" s="13" t="s">
        <v>72</v>
      </c>
      <c r="U344" s="13">
        <f t="shared" si="1"/>
        <v>3</v>
      </c>
      <c r="V344" s="13" t="str">
        <f t="shared" si="2"/>
        <v>C00311|Neha Patel|46|East|Guwahati|Standard|Google Ads|2/22/2024|34|Quarterly|Debit Card|1,639|0|1|35.60|2.8|6/11/2025|24/05/2025|Churned|Collaboration</v>
      </c>
      <c r="W344" s="13">
        <f t="shared" si="3"/>
        <v>1</v>
      </c>
      <c r="X344" s="13">
        <f>IFERROR(__xludf.DUMMYFUNCTION("COUNTUNIQUE(FILTER($B$2:$B$1826,$A$2:$A$1826=A344))"),3.0)</f>
        <v>3</v>
      </c>
    </row>
    <row r="345">
      <c r="A345" s="13" t="s">
        <v>723</v>
      </c>
      <c r="B345" s="13" t="s">
        <v>206</v>
      </c>
      <c r="C345" s="14" t="s">
        <v>38</v>
      </c>
      <c r="D345" s="13" t="s">
        <v>69</v>
      </c>
      <c r="E345" s="13" t="s">
        <v>187</v>
      </c>
      <c r="F345" s="13" t="s">
        <v>37</v>
      </c>
      <c r="G345" s="13" t="s">
        <v>80</v>
      </c>
      <c r="H345" s="16">
        <v>45670.0</v>
      </c>
      <c r="I345" s="14">
        <v>44.0</v>
      </c>
      <c r="J345" s="13" t="s">
        <v>64</v>
      </c>
      <c r="K345" s="13" t="s">
        <v>41</v>
      </c>
      <c r="L345" s="14">
        <v>1315.0</v>
      </c>
      <c r="M345" s="18" t="s">
        <v>98</v>
      </c>
      <c r="N345" s="18" t="s">
        <v>46</v>
      </c>
      <c r="O345" s="18">
        <v>34.6</v>
      </c>
      <c r="P345" s="18" t="s">
        <v>263</v>
      </c>
      <c r="Q345" s="16">
        <v>46752.0</v>
      </c>
      <c r="R345" s="16" t="s">
        <v>843</v>
      </c>
      <c r="S345" s="13" t="s">
        <v>45</v>
      </c>
      <c r="T345" s="13" t="s">
        <v>72</v>
      </c>
      <c r="U345" s="13">
        <f t="shared" si="1"/>
        <v>3</v>
      </c>
      <c r="V345" s="13" t="str">
        <f t="shared" si="2"/>
        <v>C00920|Karan Patel||South|Chennai|Standard|Organic Search|1/13/2025|44|Annual|Upi|1,315|1|0|34.60|2.9|12/31/2027|15/11/2025|Churned|Collaboration</v>
      </c>
      <c r="W345" s="13">
        <f t="shared" si="3"/>
        <v>1</v>
      </c>
      <c r="X345" s="13">
        <f>IFERROR(__xludf.DUMMYFUNCTION("COUNTUNIQUE(FILTER($B$2:$B$1826,$A$2:$A$1826=A345))"),3.0)</f>
        <v>3</v>
      </c>
    </row>
    <row r="346">
      <c r="A346" s="13" t="s">
        <v>844</v>
      </c>
      <c r="B346" s="13" t="s">
        <v>160</v>
      </c>
      <c r="C346" s="14">
        <v>25.0</v>
      </c>
      <c r="D346" s="13" t="s">
        <v>35</v>
      </c>
      <c r="E346" s="13" t="s">
        <v>51</v>
      </c>
      <c r="F346" s="13" t="s">
        <v>62</v>
      </c>
      <c r="G346" s="13" t="s">
        <v>39</v>
      </c>
      <c r="H346" s="16">
        <v>44622.0</v>
      </c>
      <c r="I346" s="14">
        <v>21.0</v>
      </c>
      <c r="J346" s="13" t="s">
        <v>40</v>
      </c>
      <c r="K346" s="13" t="s">
        <v>41</v>
      </c>
      <c r="L346" s="14">
        <v>710.0</v>
      </c>
      <c r="M346" s="18" t="s">
        <v>164</v>
      </c>
      <c r="N346" s="18" t="s">
        <v>98</v>
      </c>
      <c r="O346" s="18">
        <v>23.8</v>
      </c>
      <c r="P346" s="18" t="s">
        <v>89</v>
      </c>
      <c r="Q346" s="16">
        <v>45085.0</v>
      </c>
      <c r="R346" s="16">
        <v>45078.0</v>
      </c>
      <c r="S346" s="13" t="s">
        <v>45</v>
      </c>
      <c r="T346" s="13" t="s">
        <v>104</v>
      </c>
      <c r="U346" s="13">
        <f t="shared" si="1"/>
        <v>4</v>
      </c>
      <c r="V346" s="13" t="str">
        <f t="shared" si="2"/>
        <v>C00139|Rahul Singh|25|North|Jaipur|Basic|Instagram|3/2/2022|21|Monthly|Upi|710|3|1|23.80|3.3|6/8/2023|6/1/2023|Churned|Analytics</v>
      </c>
      <c r="W346" s="13">
        <f t="shared" si="3"/>
        <v>1</v>
      </c>
      <c r="X346" s="13">
        <f>IFERROR(__xludf.DUMMYFUNCTION("COUNTUNIQUE(FILTER($B$2:$B$1826,$A$2:$A$1826=A346))"),4.0)</f>
        <v>4</v>
      </c>
    </row>
    <row r="347">
      <c r="A347" s="13" t="s">
        <v>846</v>
      </c>
      <c r="B347" s="13" t="s">
        <v>645</v>
      </c>
      <c r="C347" s="14">
        <v>64.0</v>
      </c>
      <c r="D347" s="13" t="s">
        <v>60</v>
      </c>
      <c r="E347" s="13" t="s">
        <v>97</v>
      </c>
      <c r="F347" s="13" t="s">
        <v>37</v>
      </c>
      <c r="G347" s="13" t="s">
        <v>39</v>
      </c>
      <c r="H347" s="16">
        <v>45969.0</v>
      </c>
      <c r="I347" s="14">
        <v>2.0</v>
      </c>
      <c r="J347" s="13" t="s">
        <v>64</v>
      </c>
      <c r="K347" s="13" t="s">
        <v>65</v>
      </c>
      <c r="L347" s="14">
        <v>1797.0</v>
      </c>
      <c r="M347" s="18" t="s">
        <v>164</v>
      </c>
      <c r="N347" s="18" t="s">
        <v>46</v>
      </c>
      <c r="O347" s="18">
        <v>27.5</v>
      </c>
      <c r="P347" s="18" t="s">
        <v>173</v>
      </c>
      <c r="Q347" s="16">
        <v>45996.0</v>
      </c>
      <c r="R347" s="16" t="s">
        <v>38</v>
      </c>
      <c r="S347" s="13" t="s">
        <v>55</v>
      </c>
      <c r="T347" s="13" t="s">
        <v>47</v>
      </c>
      <c r="U347" s="13">
        <f t="shared" si="1"/>
        <v>2</v>
      </c>
      <c r="V347" s="13" t="str">
        <f t="shared" si="2"/>
        <v>C01562|Ravi Nair|64|East|Bhubaneswar|Standard|Instagram|11/8/2025|2|Annual|Credit Card|1,797|3|0|27.50|5|12/5/2025||Active|Cloud Storage</v>
      </c>
      <c r="W347" s="13">
        <f t="shared" si="3"/>
        <v>1</v>
      </c>
      <c r="X347" s="13">
        <f>IFERROR(__xludf.DUMMYFUNCTION("COUNTUNIQUE(FILTER($B$2:$B$1826,$A$2:$A$1826=A347))"),2.0)</f>
        <v>2</v>
      </c>
    </row>
    <row r="348">
      <c r="A348" s="13" t="s">
        <v>815</v>
      </c>
      <c r="B348" s="13" t="s">
        <v>362</v>
      </c>
      <c r="C348" s="14">
        <v>67.0</v>
      </c>
      <c r="D348" s="13" t="s">
        <v>85</v>
      </c>
      <c r="E348" s="13" t="s">
        <v>87</v>
      </c>
      <c r="F348" s="13" t="s">
        <v>62</v>
      </c>
      <c r="G348" s="13" t="s">
        <v>39</v>
      </c>
      <c r="H348" s="16">
        <v>45025.0</v>
      </c>
      <c r="I348" s="14">
        <v>3.0</v>
      </c>
      <c r="J348" s="13" t="s">
        <v>40</v>
      </c>
      <c r="K348" s="13" t="s">
        <v>41</v>
      </c>
      <c r="L348" s="14">
        <v>506.0</v>
      </c>
      <c r="M348" s="18" t="s">
        <v>173</v>
      </c>
      <c r="N348" s="18" t="s">
        <v>43</v>
      </c>
      <c r="O348" s="18">
        <v>25.7</v>
      </c>
      <c r="P348" s="18" t="s">
        <v>400</v>
      </c>
      <c r="Q348" s="16">
        <v>45087.0</v>
      </c>
      <c r="R348" s="16" t="s">
        <v>38</v>
      </c>
      <c r="S348" s="13" t="s">
        <v>55</v>
      </c>
      <c r="T348" s="13" t="s">
        <v>47</v>
      </c>
      <c r="U348" s="13">
        <f t="shared" si="1"/>
        <v>3</v>
      </c>
      <c r="V348" s="13" t="str">
        <f t="shared" si="2"/>
        <v>C00794|Neha Singh|67|West|Surat|Basic|Instagram|4/9/2023|3|Monthly|Upi|506|5|2|25.70|4.8|6/10/2023||Active|Cloud Storage</v>
      </c>
      <c r="W348" s="13">
        <f t="shared" si="3"/>
        <v>1</v>
      </c>
      <c r="X348" s="13">
        <f>IFERROR(__xludf.DUMMYFUNCTION("COUNTUNIQUE(FILTER($B$2:$B$1826,$A$2:$A$1826=A348))"),3.0)</f>
        <v>3</v>
      </c>
    </row>
    <row r="349">
      <c r="A349" s="13" t="s">
        <v>847</v>
      </c>
      <c r="B349" s="13" t="s">
        <v>633</v>
      </c>
      <c r="C349" s="14">
        <v>58.0</v>
      </c>
      <c r="D349" s="13" t="s">
        <v>85</v>
      </c>
      <c r="E349" s="13" t="s">
        <v>92</v>
      </c>
      <c r="F349" s="13" t="s">
        <v>79</v>
      </c>
      <c r="G349" s="13" t="s">
        <v>39</v>
      </c>
      <c r="H349" s="16">
        <v>45437.0</v>
      </c>
      <c r="I349" s="14">
        <v>26.0</v>
      </c>
      <c r="J349" s="13" t="s">
        <v>64</v>
      </c>
      <c r="K349" s="13" t="s">
        <v>81</v>
      </c>
      <c r="L349" s="14">
        <v>3687.0</v>
      </c>
      <c r="M349" s="18" t="s">
        <v>43</v>
      </c>
      <c r="N349" s="18" t="s">
        <v>46</v>
      </c>
      <c r="O349" s="18">
        <v>41.3</v>
      </c>
      <c r="P349" s="18" t="s">
        <v>48</v>
      </c>
      <c r="Q349" s="16">
        <v>45836.0</v>
      </c>
      <c r="R349" s="16">
        <v>46029.0</v>
      </c>
      <c r="S349" s="13" t="s">
        <v>45</v>
      </c>
      <c r="T349" s="13" t="s">
        <v>66</v>
      </c>
      <c r="U349" s="13">
        <f t="shared" si="1"/>
        <v>1</v>
      </c>
      <c r="V349" s="13" t="str">
        <f t="shared" si="2"/>
        <v>C00900|Anita Das|58|West|Ahmedabad|Premium|Instagram|5/25/2024|26|Annual|Debit Card|3,687|2|0|41.30|3.6|6/28/2025|1/7/2026|Churned|Automation</v>
      </c>
      <c r="W349" s="13">
        <f t="shared" si="3"/>
        <v>1</v>
      </c>
      <c r="X349" s="13">
        <f>IFERROR(__xludf.DUMMYFUNCTION("COUNTUNIQUE(FILTER($B$2:$B$1826,$A$2:$A$1826=A349))"),1.0)</f>
        <v>1</v>
      </c>
    </row>
    <row r="350">
      <c r="A350" s="13" t="s">
        <v>849</v>
      </c>
      <c r="B350" s="13" t="s">
        <v>308</v>
      </c>
      <c r="C350" s="14">
        <v>31.0</v>
      </c>
      <c r="D350" s="13" t="s">
        <v>35</v>
      </c>
      <c r="E350" s="13" t="s">
        <v>36</v>
      </c>
      <c r="F350" s="13" t="s">
        <v>37</v>
      </c>
      <c r="G350" s="13" t="s">
        <v>128</v>
      </c>
      <c r="H350" s="16">
        <v>44648.0</v>
      </c>
      <c r="I350" s="14">
        <v>16.0</v>
      </c>
      <c r="J350" s="13" t="s">
        <v>53</v>
      </c>
      <c r="K350" s="13" t="s">
        <v>65</v>
      </c>
      <c r="L350" s="14">
        <v>1751.0</v>
      </c>
      <c r="M350" s="18" t="s">
        <v>46</v>
      </c>
      <c r="N350" s="18" t="s">
        <v>98</v>
      </c>
      <c r="O350" s="18">
        <v>16.8</v>
      </c>
      <c r="P350" s="18" t="s">
        <v>108</v>
      </c>
      <c r="Q350" s="16">
        <v>44943.0</v>
      </c>
      <c r="R350" s="16" t="s">
        <v>38</v>
      </c>
      <c r="S350" s="13" t="s">
        <v>55</v>
      </c>
      <c r="T350" s="13" t="s">
        <v>75</v>
      </c>
      <c r="U350" s="13">
        <f t="shared" si="1"/>
        <v>3</v>
      </c>
      <c r="V350" s="13" t="str">
        <f t="shared" si="2"/>
        <v>C01099|Karan Kumar|31|North|Delhi|Standard|Youtube|3/28/2022|16|Quarterly|Credit Card|1,751|0|1|16.80|2.4|1/17/2023||Active|Security</v>
      </c>
      <c r="W350" s="13">
        <f t="shared" si="3"/>
        <v>1</v>
      </c>
      <c r="X350" s="13">
        <f>IFERROR(__xludf.DUMMYFUNCTION("COUNTUNIQUE(FILTER($B$2:$B$1826,$A$2:$A$1826=A350))"),3.0)</f>
        <v>3</v>
      </c>
    </row>
    <row r="351">
      <c r="A351" s="13" t="s">
        <v>850</v>
      </c>
      <c r="B351" s="13" t="s">
        <v>325</v>
      </c>
      <c r="C351" s="14">
        <v>30.0</v>
      </c>
      <c r="D351" s="13" t="s">
        <v>60</v>
      </c>
      <c r="E351" s="13" t="s">
        <v>133</v>
      </c>
      <c r="F351" s="13" t="s">
        <v>62</v>
      </c>
      <c r="G351" s="13" t="s">
        <v>210</v>
      </c>
      <c r="H351" s="16">
        <v>45817.0</v>
      </c>
      <c r="I351" s="14">
        <v>4.0</v>
      </c>
      <c r="J351" s="13" t="s">
        <v>64</v>
      </c>
      <c r="K351" s="13" t="s">
        <v>81</v>
      </c>
      <c r="L351" s="14">
        <v>571.0</v>
      </c>
      <c r="M351" s="18" t="s">
        <v>43</v>
      </c>
      <c r="N351" s="18" t="s">
        <v>98</v>
      </c>
      <c r="O351" s="18">
        <v>20.6</v>
      </c>
      <c r="P351" s="18" t="s">
        <v>99</v>
      </c>
      <c r="Q351" s="16">
        <v>45942.0</v>
      </c>
      <c r="R351" s="16" t="s">
        <v>38</v>
      </c>
      <c r="S351" s="13" t="s">
        <v>55</v>
      </c>
      <c r="T351" s="13" t="s">
        <v>66</v>
      </c>
      <c r="U351" s="13">
        <f t="shared" si="1"/>
        <v>2</v>
      </c>
      <c r="V351" s="13" t="str">
        <f t="shared" si="2"/>
        <v>C00624|Priya Sharma|30|East|Guwahati|Basic|Referral|6/9/2025|4|Annual|Debit Card|571|2|1|20.60|4|10/12/2025||Active|Automation</v>
      </c>
      <c r="W351" s="13">
        <f t="shared" si="3"/>
        <v>1</v>
      </c>
      <c r="X351" s="13">
        <f>IFERROR(__xludf.DUMMYFUNCTION("COUNTUNIQUE(FILTER($B$2:$B$1826,$A$2:$A$1826=A351))"),2.0)</f>
        <v>2</v>
      </c>
    </row>
    <row r="352">
      <c r="A352" s="13" t="s">
        <v>852</v>
      </c>
      <c r="B352" s="13" t="s">
        <v>736</v>
      </c>
      <c r="C352" s="14">
        <v>39.0</v>
      </c>
      <c r="D352" s="13" t="s">
        <v>85</v>
      </c>
      <c r="E352" s="13" t="s">
        <v>87</v>
      </c>
      <c r="F352" s="13" t="s">
        <v>62</v>
      </c>
      <c r="G352" s="13" t="s">
        <v>63</v>
      </c>
      <c r="H352" s="16">
        <v>44928.0</v>
      </c>
      <c r="I352" s="14">
        <v>30.0</v>
      </c>
      <c r="J352" s="13" t="s">
        <v>64</v>
      </c>
      <c r="K352" s="13" t="s">
        <v>81</v>
      </c>
      <c r="L352" s="14">
        <v>863.0</v>
      </c>
      <c r="M352" s="18" t="s">
        <v>98</v>
      </c>
      <c r="N352" s="18" t="s">
        <v>43</v>
      </c>
      <c r="O352" s="18">
        <v>25.8</v>
      </c>
      <c r="P352" s="18" t="s">
        <v>173</v>
      </c>
      <c r="Q352" s="16">
        <v>45403.0</v>
      </c>
      <c r="R352" s="16" t="s">
        <v>38</v>
      </c>
      <c r="S352" s="13" t="s">
        <v>55</v>
      </c>
      <c r="T352" s="13" t="s">
        <v>47</v>
      </c>
      <c r="U352" s="13">
        <f t="shared" si="1"/>
        <v>2</v>
      </c>
      <c r="V352" s="13" t="str">
        <f t="shared" si="2"/>
        <v>C00278|Priya Iyer|39|West|Surat|Basic|Google Ads|1/2/2023|30|Annual|Debit Card|863|1|2|25.80|5|4/21/2024||Active|Cloud Storage</v>
      </c>
      <c r="W352" s="13">
        <f t="shared" si="3"/>
        <v>1</v>
      </c>
      <c r="X352" s="13">
        <f>IFERROR(__xludf.DUMMYFUNCTION("COUNTUNIQUE(FILTER($B$2:$B$1826,$A$2:$A$1826=A352))"),2.0)</f>
        <v>2</v>
      </c>
    </row>
    <row r="353">
      <c r="A353" s="13" t="s">
        <v>433</v>
      </c>
      <c r="B353" s="13" t="s">
        <v>605</v>
      </c>
      <c r="C353" s="14">
        <v>43.0</v>
      </c>
      <c r="D353" s="13" t="s">
        <v>35</v>
      </c>
      <c r="E353" s="13" t="s">
        <v>36</v>
      </c>
      <c r="F353" s="13" t="s">
        <v>62</v>
      </c>
      <c r="G353" s="13" t="s">
        <v>120</v>
      </c>
      <c r="H353" s="16">
        <v>45860.0</v>
      </c>
      <c r="I353" s="14">
        <v>24.0</v>
      </c>
      <c r="J353" s="13" t="s">
        <v>64</v>
      </c>
      <c r="K353" s="13" t="s">
        <v>65</v>
      </c>
      <c r="L353" s="14">
        <v>861.0</v>
      </c>
      <c r="M353" s="18" t="s">
        <v>43</v>
      </c>
      <c r="N353" s="18" t="s">
        <v>46</v>
      </c>
      <c r="O353" s="18">
        <v>8.5</v>
      </c>
      <c r="P353" s="18" t="s">
        <v>173</v>
      </c>
      <c r="Q353" s="16">
        <v>46393.0</v>
      </c>
      <c r="R353" s="16" t="s">
        <v>38</v>
      </c>
      <c r="S353" s="13" t="s">
        <v>55</v>
      </c>
      <c r="T353" s="13" t="s">
        <v>104</v>
      </c>
      <c r="U353" s="13">
        <f t="shared" si="1"/>
        <v>3</v>
      </c>
      <c r="V353" s="13" t="str">
        <f t="shared" si="2"/>
        <v>C01472|Meera Patel|43|North|Delhi|Basic|Email|7/22/2025|24|Annual|Credit Card|861|2|0|8.50|5|1/6/2027||Active|Analytics</v>
      </c>
      <c r="W353" s="13">
        <f t="shared" si="3"/>
        <v>1</v>
      </c>
      <c r="X353" s="13">
        <f>IFERROR(__xludf.DUMMYFUNCTION("COUNTUNIQUE(FILTER($B$2:$B$1826,$A$2:$A$1826=A353))"),3.0)</f>
        <v>3</v>
      </c>
    </row>
    <row r="354">
      <c r="A354" s="13" t="s">
        <v>853</v>
      </c>
      <c r="B354" s="13" t="s">
        <v>420</v>
      </c>
      <c r="C354" s="14">
        <v>65.0</v>
      </c>
      <c r="D354" s="13" t="s">
        <v>69</v>
      </c>
      <c r="E354" s="13" t="s">
        <v>177</v>
      </c>
      <c r="F354" s="13" t="s">
        <v>37</v>
      </c>
      <c r="G354" s="13" t="s">
        <v>52</v>
      </c>
      <c r="H354" s="16">
        <v>44869.0</v>
      </c>
      <c r="I354" s="14">
        <v>11.0</v>
      </c>
      <c r="J354" s="13" t="s">
        <v>53</v>
      </c>
      <c r="K354" s="13" t="s">
        <v>65</v>
      </c>
      <c r="L354" s="14">
        <v>1786.0</v>
      </c>
      <c r="M354" s="18" t="s">
        <v>46</v>
      </c>
      <c r="N354" s="18" t="s">
        <v>98</v>
      </c>
      <c r="O354" s="18">
        <v>23.6</v>
      </c>
      <c r="P354" s="18" t="s">
        <v>48</v>
      </c>
      <c r="Q354" s="16">
        <v>44905.0</v>
      </c>
      <c r="R354" s="16">
        <v>45084.0</v>
      </c>
      <c r="S354" s="13" t="s">
        <v>45</v>
      </c>
      <c r="T354" s="13" t="s">
        <v>47</v>
      </c>
      <c r="U354" s="13">
        <f t="shared" si="1"/>
        <v>1</v>
      </c>
      <c r="V354" s="13" t="str">
        <f t="shared" si="2"/>
        <v>C01574|Vikram Iyer|65|South|Hyderabad|Standard|Facebook|11/4/2022|11|Quarterly|Credit Card|1,786|0|1|23.60|3.6|12/10/2022|6/7/2023|Churned|Cloud Storage</v>
      </c>
      <c r="W354" s="13">
        <f t="shared" si="3"/>
        <v>1</v>
      </c>
      <c r="X354" s="13">
        <f>IFERROR(__xludf.DUMMYFUNCTION("COUNTUNIQUE(FILTER($B$2:$B$1826,$A$2:$A$1826=A354))"),1.0)</f>
        <v>1</v>
      </c>
    </row>
    <row r="355">
      <c r="A355" s="13" t="s">
        <v>855</v>
      </c>
      <c r="B355" s="13" t="s">
        <v>351</v>
      </c>
      <c r="C355" s="14">
        <v>34.0</v>
      </c>
      <c r="D355" s="13" t="s">
        <v>69</v>
      </c>
      <c r="E355" s="13" t="s">
        <v>187</v>
      </c>
      <c r="F355" s="13" t="s">
        <v>62</v>
      </c>
      <c r="G355" s="13" t="s">
        <v>128</v>
      </c>
      <c r="H355" s="16">
        <v>45080.0</v>
      </c>
      <c r="I355" s="14">
        <v>1.0</v>
      </c>
      <c r="J355" s="13" t="s">
        <v>40</v>
      </c>
      <c r="K355" s="13" t="s">
        <v>81</v>
      </c>
      <c r="L355" s="14">
        <v>754.0</v>
      </c>
      <c r="M355" s="18" t="s">
        <v>46</v>
      </c>
      <c r="N355" s="18" t="s">
        <v>46</v>
      </c>
      <c r="O355" s="18">
        <v>5.8</v>
      </c>
      <c r="P355" s="18" t="s">
        <v>449</v>
      </c>
      <c r="Q355" s="16">
        <v>45090.0</v>
      </c>
      <c r="R355" s="16" t="s">
        <v>38</v>
      </c>
      <c r="S355" s="13" t="s">
        <v>55</v>
      </c>
      <c r="T355" s="13" t="s">
        <v>75</v>
      </c>
      <c r="U355" s="13">
        <f t="shared" si="1"/>
        <v>1</v>
      </c>
      <c r="V355" s="13" t="str">
        <f t="shared" si="2"/>
        <v>C00241|Meera Nair|34|South|Chennai|Basic|Youtube|6/3/2023|1|Monthly|Debit Card|754|0|0|5.80|2.7|6/13/2023||Active|Security</v>
      </c>
      <c r="W355" s="13">
        <f t="shared" si="3"/>
        <v>1</v>
      </c>
      <c r="X355" s="13">
        <f>IFERROR(__xludf.DUMMYFUNCTION("COUNTUNIQUE(FILTER($B$2:$B$1826,$A$2:$A$1826=A355))"),1.0)</f>
        <v>1</v>
      </c>
    </row>
    <row r="356">
      <c r="A356" s="13" t="s">
        <v>857</v>
      </c>
      <c r="B356" s="13" t="s">
        <v>424</v>
      </c>
      <c r="C356" s="14">
        <v>30.0</v>
      </c>
      <c r="D356" s="13" t="s">
        <v>85</v>
      </c>
      <c r="E356" s="13" t="s">
        <v>87</v>
      </c>
      <c r="F356" s="13" t="s">
        <v>62</v>
      </c>
      <c r="G356" s="13" t="s">
        <v>80</v>
      </c>
      <c r="H356" s="16">
        <v>44575.0</v>
      </c>
      <c r="I356" s="14">
        <v>16.0</v>
      </c>
      <c r="J356" s="13" t="s">
        <v>40</v>
      </c>
      <c r="K356" s="13" t="s">
        <v>41</v>
      </c>
      <c r="L356" s="14">
        <v>641.0</v>
      </c>
      <c r="M356" s="18" t="s">
        <v>43</v>
      </c>
      <c r="N356" s="18" t="s">
        <v>46</v>
      </c>
      <c r="O356" s="18">
        <v>16.3</v>
      </c>
      <c r="P356" s="18" t="s">
        <v>1166</v>
      </c>
      <c r="Q356" s="16">
        <v>44870.0</v>
      </c>
      <c r="R356" s="16">
        <v>45142.0</v>
      </c>
      <c r="S356" s="13" t="s">
        <v>45</v>
      </c>
      <c r="T356" s="13" t="s">
        <v>72</v>
      </c>
      <c r="U356" s="13">
        <f t="shared" si="1"/>
        <v>2</v>
      </c>
      <c r="V356" s="13" t="str">
        <f t="shared" si="2"/>
        <v>C00930|Neha Kumar|30|West|Surat|Basic|Organic Search|1/14/2022|16|Monthly|Upi|641|2|0|16.30|1.3|11/5/2022|8/4/2023|Churned|Collaboration</v>
      </c>
      <c r="W356" s="13">
        <f t="shared" si="3"/>
        <v>1</v>
      </c>
      <c r="X356" s="13">
        <f>IFERROR(__xludf.DUMMYFUNCTION("COUNTUNIQUE(FILTER($B$2:$B$1826,$A$2:$A$1826=A356))"),2.0)</f>
        <v>2</v>
      </c>
    </row>
    <row r="357">
      <c r="A357" s="13" t="s">
        <v>859</v>
      </c>
      <c r="B357" s="13" t="s">
        <v>106</v>
      </c>
      <c r="C357" s="14">
        <v>62.0</v>
      </c>
      <c r="D357" s="13" t="s">
        <v>69</v>
      </c>
      <c r="E357" s="13" t="s">
        <v>70</v>
      </c>
      <c r="F357" s="13" t="s">
        <v>37</v>
      </c>
      <c r="G357" s="13" t="s">
        <v>128</v>
      </c>
      <c r="H357" s="16">
        <v>45797.0</v>
      </c>
      <c r="I357" s="14">
        <v>20.0</v>
      </c>
      <c r="J357" s="13" t="s">
        <v>53</v>
      </c>
      <c r="K357" s="13" t="s">
        <v>81</v>
      </c>
      <c r="L357" s="14">
        <v>1049.0</v>
      </c>
      <c r="M357" s="18" t="s">
        <v>43</v>
      </c>
      <c r="N357" s="18" t="s">
        <v>43</v>
      </c>
      <c r="O357" s="18">
        <v>32.3</v>
      </c>
      <c r="P357" s="18" t="s">
        <v>203</v>
      </c>
      <c r="Q357" s="16">
        <v>46233.0</v>
      </c>
      <c r="R357" s="16" t="s">
        <v>38</v>
      </c>
      <c r="S357" s="13" t="s">
        <v>55</v>
      </c>
      <c r="T357" s="13" t="s">
        <v>66</v>
      </c>
      <c r="U357" s="13">
        <f t="shared" si="1"/>
        <v>1</v>
      </c>
      <c r="V357" s="13" t="str">
        <f t="shared" si="2"/>
        <v>C00076|Rahul Patel|62|South|Bengaluru|Standard|Youtube|5/20/2025|20|Quarterly|Debit Card|1,049|2|2|32.30|3.7|7/30/2026||Active|Automation</v>
      </c>
      <c r="W357" s="13">
        <f t="shared" si="3"/>
        <v>1</v>
      </c>
      <c r="X357" s="13">
        <f>IFERROR(__xludf.DUMMYFUNCTION("COUNTUNIQUE(FILTER($B$2:$B$1826,$A$2:$A$1826=A357))"),1.0)</f>
        <v>1</v>
      </c>
    </row>
    <row r="358">
      <c r="A358" s="13" t="s">
        <v>546</v>
      </c>
      <c r="B358" s="13" t="s">
        <v>135</v>
      </c>
      <c r="C358" s="14">
        <v>37.0</v>
      </c>
      <c r="D358" s="13" t="s">
        <v>69</v>
      </c>
      <c r="E358" s="13" t="s">
        <v>119</v>
      </c>
      <c r="F358" s="13" t="s">
        <v>37</v>
      </c>
      <c r="G358" s="13" t="s">
        <v>210</v>
      </c>
      <c r="H358" s="16">
        <v>44635.0</v>
      </c>
      <c r="I358" s="14">
        <v>6.0</v>
      </c>
      <c r="J358" s="13" t="s">
        <v>53</v>
      </c>
      <c r="K358" s="13" t="s">
        <v>41</v>
      </c>
      <c r="L358" s="14">
        <v>1376.0</v>
      </c>
      <c r="M358" s="18" t="s">
        <v>98</v>
      </c>
      <c r="N358" s="18" t="s">
        <v>46</v>
      </c>
      <c r="O358" s="18">
        <v>26.1</v>
      </c>
      <c r="P358" s="18" t="s">
        <v>130</v>
      </c>
      <c r="Q358" s="16">
        <v>44742.0</v>
      </c>
      <c r="R358" s="16">
        <v>44566.0</v>
      </c>
      <c r="S358" s="13" t="s">
        <v>45</v>
      </c>
      <c r="T358" s="13" t="s">
        <v>104</v>
      </c>
      <c r="U358" s="13">
        <f t="shared" si="1"/>
        <v>5</v>
      </c>
      <c r="V358" s="13" t="str">
        <f t="shared" si="2"/>
        <v>C01173|Karan Sharma|37|South|Kochi|Standard|Referral|3/15/2022|6|Quarterly|Upi|1,376|1|0|26.10|3.9|6/30/2022|1/5/2022|Churned|Analytics</v>
      </c>
      <c r="W358" s="13">
        <f t="shared" si="3"/>
        <v>1</v>
      </c>
      <c r="X358" s="13">
        <f>IFERROR(__xludf.DUMMYFUNCTION("COUNTUNIQUE(FILTER($B$2:$B$1826,$A$2:$A$1826=A358))"),5.0)</f>
        <v>5</v>
      </c>
    </row>
    <row r="359">
      <c r="A359" s="13" t="s">
        <v>862</v>
      </c>
      <c r="B359" s="13" t="s">
        <v>247</v>
      </c>
      <c r="C359" s="14">
        <v>49.0</v>
      </c>
      <c r="D359" s="13" t="s">
        <v>60</v>
      </c>
      <c r="E359" s="13" t="s">
        <v>107</v>
      </c>
      <c r="F359" s="13" t="s">
        <v>37</v>
      </c>
      <c r="G359" s="13" t="s">
        <v>80</v>
      </c>
      <c r="H359" s="16">
        <v>44991.0</v>
      </c>
      <c r="I359" s="14">
        <v>45.0</v>
      </c>
      <c r="J359" s="13" t="s">
        <v>64</v>
      </c>
      <c r="K359" s="13" t="s">
        <v>81</v>
      </c>
      <c r="L359" s="14">
        <v>1110.0</v>
      </c>
      <c r="M359" s="18" t="s">
        <v>98</v>
      </c>
      <c r="N359" s="18" t="s">
        <v>46</v>
      </c>
      <c r="O359" s="18">
        <v>28.8</v>
      </c>
      <c r="P359" s="18" t="s">
        <v>173</v>
      </c>
      <c r="Q359" s="16">
        <v>46289.0</v>
      </c>
      <c r="R359" s="16" t="s">
        <v>38</v>
      </c>
      <c r="S359" s="13" t="s">
        <v>55</v>
      </c>
      <c r="T359" s="13" t="s">
        <v>66</v>
      </c>
      <c r="U359" s="13">
        <f t="shared" si="1"/>
        <v>6</v>
      </c>
      <c r="V359" s="13" t="str">
        <f t="shared" si="2"/>
        <v>C01423|Ravi Sharma|49|East|Patna|Standard|Organic Search|3/6/2023|45|Annual|Debit Card|1,110|1|0|28.80|5|9/24/2026||Active|Automation</v>
      </c>
      <c r="W359" s="13">
        <f t="shared" si="3"/>
        <v>1</v>
      </c>
      <c r="X359" s="13">
        <f>IFERROR(__xludf.DUMMYFUNCTION("COUNTUNIQUE(FILTER($B$2:$B$1826,$A$2:$A$1826=A359))"),6.0)</f>
        <v>6</v>
      </c>
    </row>
    <row r="360">
      <c r="A360" s="13" t="s">
        <v>863</v>
      </c>
      <c r="B360" s="13" t="s">
        <v>351</v>
      </c>
      <c r="C360" s="14">
        <v>52.0</v>
      </c>
      <c r="D360" s="13" t="s">
        <v>60</v>
      </c>
      <c r="E360" s="13" t="s">
        <v>133</v>
      </c>
      <c r="F360" s="13" t="s">
        <v>37</v>
      </c>
      <c r="G360" s="13" t="s">
        <v>210</v>
      </c>
      <c r="H360" s="16">
        <v>45093.0</v>
      </c>
      <c r="I360" s="14">
        <v>34.0</v>
      </c>
      <c r="J360" s="13" t="s">
        <v>64</v>
      </c>
      <c r="K360" s="13" t="s">
        <v>81</v>
      </c>
      <c r="L360" s="14">
        <v>1361.0</v>
      </c>
      <c r="M360" s="18" t="s">
        <v>43</v>
      </c>
      <c r="N360" s="18" t="s">
        <v>164</v>
      </c>
      <c r="O360" s="18">
        <v>35.9</v>
      </c>
      <c r="P360" s="18" t="s">
        <v>456</v>
      </c>
      <c r="Q360" s="16">
        <v>45368.0</v>
      </c>
      <c r="R360" s="16" t="s">
        <v>38</v>
      </c>
      <c r="S360" s="13" t="s">
        <v>55</v>
      </c>
      <c r="T360" s="13" t="s">
        <v>75</v>
      </c>
      <c r="U360" s="13">
        <f t="shared" si="1"/>
        <v>1</v>
      </c>
      <c r="V360" s="13" t="str">
        <f t="shared" si="2"/>
        <v>C01448|Meera Nair|52|East|Guwahati|Standard|Referral|6/16/2023|34|Annual|Debit Card|1,361|2|3|35.90|2.5|3/17/2024||Active|Security</v>
      </c>
      <c r="W360" s="13">
        <f t="shared" si="3"/>
        <v>1</v>
      </c>
      <c r="X360" s="13">
        <f>IFERROR(__xludf.DUMMYFUNCTION("COUNTUNIQUE(FILTER($B$2:$B$1826,$A$2:$A$1826=A360))"),1.0)</f>
        <v>1</v>
      </c>
    </row>
    <row r="361">
      <c r="A361" s="13" t="s">
        <v>523</v>
      </c>
      <c r="B361" s="13" t="s">
        <v>333</v>
      </c>
      <c r="C361" s="14">
        <v>45.0</v>
      </c>
      <c r="D361" s="13" t="s">
        <v>69</v>
      </c>
      <c r="E361" s="13" t="s">
        <v>187</v>
      </c>
      <c r="F361" s="13" t="s">
        <v>37</v>
      </c>
      <c r="G361" s="13" t="s">
        <v>39</v>
      </c>
      <c r="H361" s="16">
        <v>44565.0</v>
      </c>
      <c r="I361" s="14">
        <v>8.0</v>
      </c>
      <c r="J361" s="13" t="s">
        <v>40</v>
      </c>
      <c r="K361" s="13" t="s">
        <v>65</v>
      </c>
      <c r="L361" s="14">
        <v>1119.0</v>
      </c>
      <c r="M361" s="18" t="s">
        <v>46</v>
      </c>
      <c r="N361" s="18" t="s">
        <v>46</v>
      </c>
      <c r="O361" s="18">
        <v>15.2</v>
      </c>
      <c r="P361" s="18" t="s">
        <v>164</v>
      </c>
      <c r="Q361" s="16">
        <v>44792.0</v>
      </c>
      <c r="R361" s="16" t="s">
        <v>38</v>
      </c>
      <c r="S361" s="13" t="s">
        <v>55</v>
      </c>
      <c r="T361" s="13" t="s">
        <v>72</v>
      </c>
      <c r="U361" s="13">
        <f t="shared" si="1"/>
        <v>3</v>
      </c>
      <c r="V361" s="13" t="str">
        <f t="shared" si="2"/>
        <v>C01009|Neha Das|45|South|Chennai|Standard|Instagram|1/4/2022|8|Monthly|Credit Card|1,119|0|0|15.20|3|8/19/2022||Active|Collaboration</v>
      </c>
      <c r="W361" s="13">
        <f t="shared" si="3"/>
        <v>2</v>
      </c>
      <c r="X361" s="13">
        <f>IFERROR(__xludf.DUMMYFUNCTION("COUNTUNIQUE(FILTER($B$2:$B$1826,$A$2:$A$1826=A361))"),2.0)</f>
        <v>2</v>
      </c>
    </row>
    <row r="362">
      <c r="A362" s="13" t="s">
        <v>864</v>
      </c>
      <c r="B362" s="13" t="s">
        <v>651</v>
      </c>
      <c r="C362" s="14">
        <v>62.0</v>
      </c>
      <c r="D362" s="13" t="s">
        <v>69</v>
      </c>
      <c r="E362" s="13" t="s">
        <v>70</v>
      </c>
      <c r="F362" s="13" t="s">
        <v>37</v>
      </c>
      <c r="G362" s="13" t="s">
        <v>52</v>
      </c>
      <c r="H362" s="16">
        <v>45138.0</v>
      </c>
      <c r="I362" s="14">
        <v>17.0</v>
      </c>
      <c r="J362" s="13" t="s">
        <v>53</v>
      </c>
      <c r="K362" s="13" t="s">
        <v>65</v>
      </c>
      <c r="L362" s="14">
        <v>1306.0</v>
      </c>
      <c r="M362" s="18" t="s">
        <v>43</v>
      </c>
      <c r="N362" s="18" t="s">
        <v>376</v>
      </c>
      <c r="O362" s="18">
        <v>27.2</v>
      </c>
      <c r="P362" s="18" t="s">
        <v>568</v>
      </c>
      <c r="Q362" s="16">
        <v>45479.0</v>
      </c>
      <c r="R362" s="16" t="s">
        <v>866</v>
      </c>
      <c r="S362" s="13" t="s">
        <v>45</v>
      </c>
      <c r="T362" s="13" t="s">
        <v>75</v>
      </c>
      <c r="U362" s="13">
        <f t="shared" si="1"/>
        <v>1</v>
      </c>
      <c r="V362" s="13" t="str">
        <f t="shared" si="2"/>
        <v>C01148|Arun Sharma|62|South|Bengaluru|Standard|Facebook|7/31/2023|17|Quarterly|Credit Card|1,306|2|6|27.20|2.2|7/6/2024|25/09/2024|Churned|Security</v>
      </c>
      <c r="W362" s="13">
        <f t="shared" si="3"/>
        <v>1</v>
      </c>
      <c r="X362" s="13">
        <f>IFERROR(__xludf.DUMMYFUNCTION("COUNTUNIQUE(FILTER($B$2:$B$1826,$A$2:$A$1826=A362))"),1.0)</f>
        <v>1</v>
      </c>
    </row>
    <row r="363">
      <c r="A363" s="13" t="s">
        <v>205</v>
      </c>
      <c r="B363" s="13" t="s">
        <v>190</v>
      </c>
      <c r="C363" s="14">
        <v>59.0</v>
      </c>
      <c r="D363" s="13" t="s">
        <v>35</v>
      </c>
      <c r="E363" s="13" t="s">
        <v>51</v>
      </c>
      <c r="F363" s="13" t="s">
        <v>62</v>
      </c>
      <c r="G363" s="13" t="s">
        <v>128</v>
      </c>
      <c r="H363" s="16">
        <v>45254.0</v>
      </c>
      <c r="I363" s="14">
        <v>44.0</v>
      </c>
      <c r="J363" s="13" t="s">
        <v>53</v>
      </c>
      <c r="K363" s="13" t="s">
        <v>81</v>
      </c>
      <c r="L363" s="14">
        <v>741.0</v>
      </c>
      <c r="M363" s="18" t="s">
        <v>98</v>
      </c>
      <c r="N363" s="18" t="s">
        <v>43</v>
      </c>
      <c r="O363" s="18">
        <v>7.9</v>
      </c>
      <c r="P363" s="18" t="s">
        <v>310</v>
      </c>
      <c r="Q363" s="16">
        <v>45542.0</v>
      </c>
      <c r="R363" s="16" t="s">
        <v>38</v>
      </c>
      <c r="S363" s="13" t="s">
        <v>55</v>
      </c>
      <c r="T363" s="13" t="s">
        <v>72</v>
      </c>
      <c r="U363" s="13">
        <f t="shared" si="1"/>
        <v>3</v>
      </c>
      <c r="V363" s="13" t="str">
        <f t="shared" si="2"/>
        <v>C01484|Sneha Patel|59|North|Jaipur|Basic|Youtube|11/24/2023|44|Quarterly|Debit Card|741|1|2|7.90|3.1|9/7/2024||Active|Collaboration</v>
      </c>
      <c r="W363" s="13">
        <f t="shared" si="3"/>
        <v>1</v>
      </c>
      <c r="X363" s="13">
        <f>IFERROR(__xludf.DUMMYFUNCTION("COUNTUNIQUE(FILTER($B$2:$B$1826,$A$2:$A$1826=A363))"),3.0)</f>
        <v>3</v>
      </c>
    </row>
    <row r="364">
      <c r="A364" s="13" t="s">
        <v>867</v>
      </c>
      <c r="B364" s="13" t="s">
        <v>448</v>
      </c>
      <c r="C364" s="14">
        <v>41.0</v>
      </c>
      <c r="D364" s="13" t="s">
        <v>85</v>
      </c>
      <c r="E364" s="13" t="s">
        <v>292</v>
      </c>
      <c r="F364" s="13" t="s">
        <v>37</v>
      </c>
      <c r="G364" s="13" t="s">
        <v>210</v>
      </c>
      <c r="H364" s="16">
        <v>45719.0</v>
      </c>
      <c r="I364" s="14">
        <v>120.0</v>
      </c>
      <c r="J364" s="13" t="s">
        <v>40</v>
      </c>
      <c r="K364" s="13" t="s">
        <v>41</v>
      </c>
      <c r="L364" s="14">
        <v>1547.0</v>
      </c>
      <c r="M364" s="18" t="s">
        <v>164</v>
      </c>
      <c r="N364" s="18" t="s">
        <v>46</v>
      </c>
      <c r="O364" s="18">
        <v>30.6</v>
      </c>
      <c r="P364" s="18" t="s">
        <v>116</v>
      </c>
      <c r="Q364" s="16">
        <v>46155.0</v>
      </c>
      <c r="R364" s="16" t="s">
        <v>38</v>
      </c>
      <c r="S364" s="13" t="s">
        <v>55</v>
      </c>
      <c r="T364" s="13" t="s">
        <v>72</v>
      </c>
      <c r="U364" s="13">
        <f t="shared" si="1"/>
        <v>2</v>
      </c>
      <c r="V364" s="13" t="str">
        <f t="shared" si="2"/>
        <v>C00948|Meera Reddy|41|West|Mumbai|Standard|Referral|3/3/2025|120|Monthly|Upi|1,547|3|0|30.60|3.4|5/13/2026||Active|Collaboration</v>
      </c>
      <c r="W364" s="13">
        <f t="shared" si="3"/>
        <v>1</v>
      </c>
      <c r="X364" s="13">
        <f>IFERROR(__xludf.DUMMYFUNCTION("COUNTUNIQUE(FILTER($B$2:$B$1826,$A$2:$A$1826=A364))"),2.0)</f>
        <v>2</v>
      </c>
    </row>
    <row r="365">
      <c r="A365" s="13" t="s">
        <v>868</v>
      </c>
      <c r="B365" s="13" t="s">
        <v>74</v>
      </c>
      <c r="C365" s="14">
        <v>36.0</v>
      </c>
      <c r="D365" s="13" t="s">
        <v>60</v>
      </c>
      <c r="E365" s="13" t="s">
        <v>133</v>
      </c>
      <c r="F365" s="13" t="s">
        <v>37</v>
      </c>
      <c r="G365" s="13" t="s">
        <v>128</v>
      </c>
      <c r="H365" s="16">
        <v>44901.0</v>
      </c>
      <c r="I365" s="14">
        <v>37.0</v>
      </c>
      <c r="J365" s="13" t="s">
        <v>53</v>
      </c>
      <c r="K365" s="13" t="s">
        <v>41</v>
      </c>
      <c r="L365" s="14">
        <v>1608.0</v>
      </c>
      <c r="M365" s="18" t="s">
        <v>164</v>
      </c>
      <c r="N365" s="18" t="s">
        <v>46</v>
      </c>
      <c r="O365" s="18">
        <v>26.1</v>
      </c>
      <c r="P365" s="18" t="s">
        <v>123</v>
      </c>
      <c r="Q365" s="16">
        <v>45542.0</v>
      </c>
      <c r="R365" s="16" t="s">
        <v>38</v>
      </c>
      <c r="S365" s="13" t="s">
        <v>55</v>
      </c>
      <c r="T365" s="13" t="s">
        <v>75</v>
      </c>
      <c r="U365" s="13">
        <f t="shared" si="1"/>
        <v>2</v>
      </c>
      <c r="V365" s="13" t="str">
        <f t="shared" si="2"/>
        <v>C00064|Anita Kumar|36|East|Guwahati|Standard|Youtube|12/6/2022|37|Quarterly|Upi|1,608|3|0|26.10|4.1|9/7/2024||Active|Security</v>
      </c>
      <c r="W365" s="13">
        <f t="shared" si="3"/>
        <v>1</v>
      </c>
      <c r="X365" s="13">
        <f>IFERROR(__xludf.DUMMYFUNCTION("COUNTUNIQUE(FILTER($B$2:$B$1826,$A$2:$A$1826=A365))"),2.0)</f>
        <v>2</v>
      </c>
    </row>
    <row r="366">
      <c r="A366" s="13" t="s">
        <v>869</v>
      </c>
      <c r="B366" s="13" t="s">
        <v>215</v>
      </c>
      <c r="C366" s="14">
        <v>47.0</v>
      </c>
      <c r="D366" s="13" t="s">
        <v>60</v>
      </c>
      <c r="E366" s="13" t="s">
        <v>133</v>
      </c>
      <c r="F366" s="13" t="s">
        <v>37</v>
      </c>
      <c r="G366" s="13" t="s">
        <v>210</v>
      </c>
      <c r="H366" s="16">
        <v>45004.0</v>
      </c>
      <c r="I366" s="14">
        <v>34.0</v>
      </c>
      <c r="J366" s="13" t="s">
        <v>64</v>
      </c>
      <c r="K366" s="13" t="s">
        <v>41</v>
      </c>
      <c r="L366" s="14">
        <v>1382.0</v>
      </c>
      <c r="M366" s="18" t="s">
        <v>43</v>
      </c>
      <c r="N366" s="18" t="s">
        <v>98</v>
      </c>
      <c r="O366" s="18">
        <v>19.3</v>
      </c>
      <c r="P366" s="18" t="s">
        <v>48</v>
      </c>
      <c r="Q366" s="16">
        <v>45090.0</v>
      </c>
      <c r="R366" s="16" t="s">
        <v>38</v>
      </c>
      <c r="S366" s="13" t="s">
        <v>55</v>
      </c>
      <c r="T366" s="13" t="s">
        <v>75</v>
      </c>
      <c r="U366" s="13">
        <f t="shared" si="1"/>
        <v>2</v>
      </c>
      <c r="V366" s="13" t="str">
        <f t="shared" si="2"/>
        <v>C00487|Neha Sharma|47|East|Guwahati|Standard|Referral|3/19/2023|34|Annual|Upi|1,382|2|1|19.30|3.6|6/13/2023||Active|Security</v>
      </c>
      <c r="W366" s="13">
        <f t="shared" si="3"/>
        <v>1</v>
      </c>
      <c r="X366" s="13">
        <f>IFERROR(__xludf.DUMMYFUNCTION("COUNTUNIQUE(FILTER($B$2:$B$1826,$A$2:$A$1826=A366))"),2.0)</f>
        <v>2</v>
      </c>
    </row>
    <row r="367">
      <c r="A367" s="13" t="s">
        <v>870</v>
      </c>
      <c r="B367" s="13" t="s">
        <v>160</v>
      </c>
      <c r="C367" s="14">
        <v>65.0</v>
      </c>
      <c r="D367" s="13" t="s">
        <v>69</v>
      </c>
      <c r="E367" s="13" t="s">
        <v>187</v>
      </c>
      <c r="F367" s="13" t="s">
        <v>62</v>
      </c>
      <c r="G367" s="13" t="s">
        <v>120</v>
      </c>
      <c r="H367" s="16">
        <v>45634.0</v>
      </c>
      <c r="I367" s="14">
        <v>20.0</v>
      </c>
      <c r="J367" s="13" t="s">
        <v>40</v>
      </c>
      <c r="K367" s="13" t="s">
        <v>65</v>
      </c>
      <c r="L367" s="14">
        <v>572.0</v>
      </c>
      <c r="M367" s="18" t="s">
        <v>164</v>
      </c>
      <c r="N367" s="18" t="s">
        <v>46</v>
      </c>
      <c r="O367" s="18">
        <v>16.5</v>
      </c>
      <c r="P367" s="18" t="s">
        <v>116</v>
      </c>
      <c r="Q367" s="16">
        <v>45744.0</v>
      </c>
      <c r="R367" s="16" t="s">
        <v>872</v>
      </c>
      <c r="S367" s="13" t="s">
        <v>45</v>
      </c>
      <c r="T367" s="13" t="s">
        <v>75</v>
      </c>
      <c r="U367" s="13">
        <f t="shared" si="1"/>
        <v>2</v>
      </c>
      <c r="V367" s="13" t="str">
        <f t="shared" si="2"/>
        <v>C01025|Rahul Singh|65|South|Chennai|Basic|Email|12/8/2024|20|Monthly|Credit Card|572|3|0|16.50|3.4|3/28/2025|19/06/2026|Churned|Security</v>
      </c>
      <c r="W367" s="13">
        <f t="shared" si="3"/>
        <v>1</v>
      </c>
      <c r="X367" s="13">
        <f>IFERROR(__xludf.DUMMYFUNCTION("COUNTUNIQUE(FILTER($B$2:$B$1826,$A$2:$A$1826=A367))"),2.0)</f>
        <v>2</v>
      </c>
    </row>
    <row r="368">
      <c r="A368" s="13" t="s">
        <v>873</v>
      </c>
      <c r="B368" s="13" t="s">
        <v>176</v>
      </c>
      <c r="C368" s="14">
        <v>20.0</v>
      </c>
      <c r="D368" s="13" t="s">
        <v>35</v>
      </c>
      <c r="E368" s="13" t="s">
        <v>36</v>
      </c>
      <c r="F368" s="13" t="s">
        <v>79</v>
      </c>
      <c r="G368" s="13" t="s">
        <v>63</v>
      </c>
      <c r="H368" s="16">
        <v>45969.0</v>
      </c>
      <c r="I368" s="14">
        <v>39.0</v>
      </c>
      <c r="J368" s="13" t="s">
        <v>64</v>
      </c>
      <c r="K368" s="13" t="s">
        <v>65</v>
      </c>
      <c r="L368" s="14">
        <v>669.0</v>
      </c>
      <c r="M368" s="18" t="s">
        <v>98</v>
      </c>
      <c r="N368" s="18" t="s">
        <v>99</v>
      </c>
      <c r="O368" s="18">
        <v>16.4</v>
      </c>
      <c r="P368" s="18" t="s">
        <v>248</v>
      </c>
      <c r="Q368" s="16">
        <v>46073.0</v>
      </c>
      <c r="R368" s="16">
        <v>46210.0</v>
      </c>
      <c r="S368" s="13" t="s">
        <v>45</v>
      </c>
      <c r="T368" s="13" t="s">
        <v>47</v>
      </c>
      <c r="U368" s="13">
        <f t="shared" si="1"/>
        <v>1</v>
      </c>
      <c r="V368" s="13" t="str">
        <f t="shared" si="2"/>
        <v>C01462|Ravi Iyer|20|North|Delhi|Premium|Google Ads|11/8/2025|39|Annual|Credit Card|669|1|4|16.40|2.6|2/20/2026|7/7/2026|Churned|Cloud Storage</v>
      </c>
      <c r="W368" s="13">
        <f t="shared" si="3"/>
        <v>1</v>
      </c>
      <c r="X368" s="13">
        <f>IFERROR(__xludf.DUMMYFUNCTION("COUNTUNIQUE(FILTER($B$2:$B$1826,$A$2:$A$1826=A368))"),1.0)</f>
        <v>1</v>
      </c>
    </row>
    <row r="369">
      <c r="A369" s="13" t="s">
        <v>875</v>
      </c>
      <c r="B369" s="13" t="s">
        <v>303</v>
      </c>
      <c r="C369" s="14">
        <v>58.0</v>
      </c>
      <c r="D369" s="13" t="s">
        <v>69</v>
      </c>
      <c r="E369" s="13" t="s">
        <v>187</v>
      </c>
      <c r="F369" s="13" t="s">
        <v>62</v>
      </c>
      <c r="G369" s="13" t="s">
        <v>80</v>
      </c>
      <c r="H369" s="16">
        <v>45215.0</v>
      </c>
      <c r="I369" s="14">
        <v>29.0</v>
      </c>
      <c r="J369" s="13" t="s">
        <v>64</v>
      </c>
      <c r="K369" s="13" t="s">
        <v>81</v>
      </c>
      <c r="L369" s="14">
        <v>638.0</v>
      </c>
      <c r="M369" s="18" t="s">
        <v>43</v>
      </c>
      <c r="N369" s="18" t="s">
        <v>43</v>
      </c>
      <c r="O369" s="18">
        <v>5.2</v>
      </c>
      <c r="P369" s="18" t="s">
        <v>123</v>
      </c>
      <c r="Q369" s="16">
        <v>45505.0</v>
      </c>
      <c r="R369" s="16" t="s">
        <v>38</v>
      </c>
      <c r="S369" s="13" t="s">
        <v>55</v>
      </c>
      <c r="T369" s="13" t="s">
        <v>104</v>
      </c>
      <c r="U369" s="13">
        <f t="shared" si="1"/>
        <v>3</v>
      </c>
      <c r="V369" s="13" t="str">
        <f t="shared" si="2"/>
        <v>C00658|Priya Kumar|58|South|Chennai|Basic|Organic Search|10/16/2023|29|Annual|Debit Card|638|2|2|5.20|4.1|8/1/2024||Active|Analytics</v>
      </c>
      <c r="W369" s="13">
        <f t="shared" si="3"/>
        <v>1</v>
      </c>
      <c r="X369" s="13">
        <f>IFERROR(__xludf.DUMMYFUNCTION("COUNTUNIQUE(FILTER($B$2:$B$1826,$A$2:$A$1826=A369))"),3.0)</f>
        <v>3</v>
      </c>
    </row>
    <row r="370">
      <c r="A370" s="13" t="s">
        <v>877</v>
      </c>
      <c r="B370" s="13" t="s">
        <v>645</v>
      </c>
      <c r="C370" s="14">
        <v>22.0</v>
      </c>
      <c r="D370" s="13" t="s">
        <v>60</v>
      </c>
      <c r="E370" s="13" t="s">
        <v>107</v>
      </c>
      <c r="F370" s="13" t="s">
        <v>62</v>
      </c>
      <c r="G370" s="13" t="s">
        <v>52</v>
      </c>
      <c r="H370" s="16">
        <v>45142.0</v>
      </c>
      <c r="I370" s="14">
        <v>37.0</v>
      </c>
      <c r="J370" s="13" t="s">
        <v>40</v>
      </c>
      <c r="K370" s="13" t="s">
        <v>41</v>
      </c>
      <c r="L370" s="14">
        <v>535.0</v>
      </c>
      <c r="M370" s="18" t="s">
        <v>38</v>
      </c>
      <c r="N370" s="18" t="s">
        <v>98</v>
      </c>
      <c r="O370" s="18">
        <v>21.4</v>
      </c>
      <c r="P370" s="18" t="s">
        <v>203</v>
      </c>
      <c r="Q370" s="16">
        <v>45845.0</v>
      </c>
      <c r="R370" s="16" t="s">
        <v>38</v>
      </c>
      <c r="S370" s="13" t="s">
        <v>55</v>
      </c>
      <c r="T370" s="13" t="s">
        <v>75</v>
      </c>
      <c r="U370" s="13">
        <f t="shared" si="1"/>
        <v>1</v>
      </c>
      <c r="V370" s="13" t="str">
        <f t="shared" si="2"/>
        <v>C00424|Ravi Nair|22|East|Patna|Basic|Facebook|8/4/2023|37|Monthly|Upi|535||1|21.40|3.7|7/7/2025||Active|Security</v>
      </c>
      <c r="W370" s="13">
        <f t="shared" si="3"/>
        <v>1</v>
      </c>
      <c r="X370" s="13">
        <f>IFERROR(__xludf.DUMMYFUNCTION("COUNTUNIQUE(FILTER($B$2:$B$1826,$A$2:$A$1826=A370))"),1.0)</f>
        <v>1</v>
      </c>
    </row>
    <row r="371">
      <c r="A371" s="13" t="s">
        <v>878</v>
      </c>
      <c r="B371" s="13" t="s">
        <v>257</v>
      </c>
      <c r="C371" s="14">
        <v>38.0</v>
      </c>
      <c r="D371" s="13" t="s">
        <v>35</v>
      </c>
      <c r="E371" s="13" t="s">
        <v>36</v>
      </c>
      <c r="F371" s="13" t="s">
        <v>62</v>
      </c>
      <c r="G371" s="13" t="s">
        <v>63</v>
      </c>
      <c r="H371" s="16">
        <v>45435.0</v>
      </c>
      <c r="I371" s="14">
        <v>26.0</v>
      </c>
      <c r="J371" s="13" t="s">
        <v>53</v>
      </c>
      <c r="K371" s="13" t="s">
        <v>41</v>
      </c>
      <c r="L371" s="14">
        <v>804.0</v>
      </c>
      <c r="M371" s="18" t="s">
        <v>98</v>
      </c>
      <c r="N371" s="18" t="s">
        <v>43</v>
      </c>
      <c r="O371" s="18">
        <v>23.8</v>
      </c>
      <c r="P371" s="18" t="s">
        <v>456</v>
      </c>
      <c r="Q371" s="16">
        <v>46151.0</v>
      </c>
      <c r="R371" s="16" t="s">
        <v>38</v>
      </c>
      <c r="S371" s="13" t="s">
        <v>55</v>
      </c>
      <c r="T371" s="13" t="s">
        <v>66</v>
      </c>
      <c r="U371" s="13">
        <f t="shared" si="1"/>
        <v>1</v>
      </c>
      <c r="V371" s="13" t="str">
        <f t="shared" si="2"/>
        <v>C01384|Sneha Reddy|38|North|Delhi|Basic|Google Ads|5/23/2024|26|Quarterly|Upi|804|1|2|23.80|2.5|5/9/2026||Active|Automation</v>
      </c>
      <c r="W371" s="13">
        <f t="shared" si="3"/>
        <v>1</v>
      </c>
      <c r="X371" s="13">
        <f>IFERROR(__xludf.DUMMYFUNCTION("COUNTUNIQUE(FILTER($B$2:$B$1826,$A$2:$A$1826=A371))"),1.0)</f>
        <v>1</v>
      </c>
    </row>
    <row r="372">
      <c r="A372" s="13" t="s">
        <v>879</v>
      </c>
      <c r="B372" s="13" t="s">
        <v>110</v>
      </c>
      <c r="C372" s="14">
        <v>33.0</v>
      </c>
      <c r="D372" s="13" t="s">
        <v>85</v>
      </c>
      <c r="E372" s="13" t="s">
        <v>38</v>
      </c>
      <c r="F372" s="13" t="s">
        <v>62</v>
      </c>
      <c r="G372" s="13" t="s">
        <v>80</v>
      </c>
      <c r="H372" s="16">
        <v>45992.0</v>
      </c>
      <c r="I372" s="14">
        <v>30.0</v>
      </c>
      <c r="J372" s="13" t="s">
        <v>40</v>
      </c>
      <c r="K372" s="13" t="s">
        <v>41</v>
      </c>
      <c r="L372" s="14">
        <v>657.0</v>
      </c>
      <c r="M372" s="18" t="s">
        <v>43</v>
      </c>
      <c r="N372" s="18" t="s">
        <v>46</v>
      </c>
      <c r="O372" s="18">
        <v>22.9</v>
      </c>
      <c r="P372" s="18" t="s">
        <v>233</v>
      </c>
      <c r="Q372" s="16">
        <v>46729.0</v>
      </c>
      <c r="R372" s="16" t="s">
        <v>38</v>
      </c>
      <c r="S372" s="13" t="s">
        <v>55</v>
      </c>
      <c r="T372" s="13" t="s">
        <v>66</v>
      </c>
      <c r="U372" s="13">
        <f t="shared" si="1"/>
        <v>2</v>
      </c>
      <c r="V372" s="13" t="str">
        <f t="shared" si="2"/>
        <v>C00161|Sneha Nair|33|West||Basic|Organic Search|12/1/2025|30|Monthly|Upi|657|2|0|22.90|3.5|12/8/2027||Active|Automation</v>
      </c>
      <c r="W372" s="13">
        <f t="shared" si="3"/>
        <v>1</v>
      </c>
      <c r="X372" s="13">
        <f>IFERROR(__xludf.DUMMYFUNCTION("COUNTUNIQUE(FILTER($B$2:$B$1826,$A$2:$A$1826=A372))"),2.0)</f>
        <v>2</v>
      </c>
    </row>
    <row r="373">
      <c r="A373" s="13" t="s">
        <v>882</v>
      </c>
      <c r="B373" s="13" t="s">
        <v>229</v>
      </c>
      <c r="C373" s="14">
        <v>48.0</v>
      </c>
      <c r="D373" s="13" t="s">
        <v>60</v>
      </c>
      <c r="E373" s="13" t="s">
        <v>133</v>
      </c>
      <c r="F373" s="13" t="s">
        <v>62</v>
      </c>
      <c r="G373" s="13" t="s">
        <v>52</v>
      </c>
      <c r="H373" s="16">
        <v>45238.0</v>
      </c>
      <c r="I373" s="14">
        <v>21.0</v>
      </c>
      <c r="J373" s="13" t="s">
        <v>40</v>
      </c>
      <c r="K373" s="13" t="s">
        <v>65</v>
      </c>
      <c r="L373" s="14">
        <v>514.0</v>
      </c>
      <c r="M373" s="18" t="s">
        <v>46</v>
      </c>
      <c r="N373" s="18" t="s">
        <v>98</v>
      </c>
      <c r="O373" s="18">
        <v>21.8</v>
      </c>
      <c r="P373" s="18" t="s">
        <v>275</v>
      </c>
      <c r="Q373" s="16">
        <v>45363.0</v>
      </c>
      <c r="R373" s="16" t="s">
        <v>38</v>
      </c>
      <c r="S373" s="13" t="s">
        <v>55</v>
      </c>
      <c r="T373" s="13" t="s">
        <v>72</v>
      </c>
      <c r="U373" s="13">
        <f t="shared" si="1"/>
        <v>2</v>
      </c>
      <c r="V373" s="13" t="str">
        <f t="shared" si="2"/>
        <v>C00529|Anita Nair|48|East|Guwahati|Basic|Facebook|11/8/2023|21|Monthly|Credit Card|514|0|1|21.80|4.3|3/12/2024||Active|Collaboration</v>
      </c>
      <c r="W373" s="13">
        <f t="shared" si="3"/>
        <v>1</v>
      </c>
      <c r="X373" s="13">
        <f>IFERROR(__xludf.DUMMYFUNCTION("COUNTUNIQUE(FILTER($B$2:$B$1826,$A$2:$A$1826=A373))"),2.0)</f>
        <v>2</v>
      </c>
    </row>
    <row r="374">
      <c r="A374" s="13" t="s">
        <v>886</v>
      </c>
      <c r="B374" s="13" t="s">
        <v>393</v>
      </c>
      <c r="C374" s="14">
        <v>34.0</v>
      </c>
      <c r="D374" s="13" t="s">
        <v>69</v>
      </c>
      <c r="E374" s="13" t="s">
        <v>70</v>
      </c>
      <c r="F374" s="13" t="s">
        <v>62</v>
      </c>
      <c r="G374" s="13" t="s">
        <v>52</v>
      </c>
      <c r="H374" s="16">
        <v>44781.0</v>
      </c>
      <c r="I374" s="14">
        <v>21.0</v>
      </c>
      <c r="J374" s="13" t="s">
        <v>64</v>
      </c>
      <c r="K374" s="13" t="s">
        <v>41</v>
      </c>
      <c r="L374" s="14">
        <v>535.0</v>
      </c>
      <c r="M374" s="18" t="s">
        <v>46</v>
      </c>
      <c r="N374" s="18" t="s">
        <v>46</v>
      </c>
      <c r="O374" s="18">
        <v>34.8</v>
      </c>
      <c r="P374" s="18" t="s">
        <v>233</v>
      </c>
      <c r="Q374" s="16">
        <v>45263.0</v>
      </c>
      <c r="R374" s="16" t="s">
        <v>38</v>
      </c>
      <c r="S374" s="13" t="s">
        <v>55</v>
      </c>
      <c r="T374" s="13" t="s">
        <v>66</v>
      </c>
      <c r="U374" s="13">
        <f t="shared" si="1"/>
        <v>1</v>
      </c>
      <c r="V374" s="13" t="str">
        <f t="shared" si="2"/>
        <v>C01238|Karan Das|34|South|Bengaluru|Basic|Facebook|8/8/2022|21|Annual|Upi|535|0|0|34.80|3.5|12/3/2023||Active|Automation</v>
      </c>
      <c r="W374" s="13">
        <f t="shared" si="3"/>
        <v>1</v>
      </c>
      <c r="X374" s="13">
        <f>IFERROR(__xludf.DUMMYFUNCTION("COUNTUNIQUE(FILTER($B$2:$B$1826,$A$2:$A$1826=A374))"),1.0)</f>
        <v>1</v>
      </c>
    </row>
    <row r="375">
      <c r="A375" s="13" t="s">
        <v>358</v>
      </c>
      <c r="B375" s="13" t="s">
        <v>395</v>
      </c>
      <c r="C375" s="14">
        <v>30.0</v>
      </c>
      <c r="D375" s="13" t="s">
        <v>85</v>
      </c>
      <c r="E375" s="13" t="s">
        <v>87</v>
      </c>
      <c r="F375" s="13" t="s">
        <v>62</v>
      </c>
      <c r="G375" s="13" t="s">
        <v>39</v>
      </c>
      <c r="H375" s="16">
        <v>45983.0</v>
      </c>
      <c r="I375" s="14">
        <v>38.0</v>
      </c>
      <c r="J375" s="13" t="s">
        <v>64</v>
      </c>
      <c r="K375" s="13" t="s">
        <v>81</v>
      </c>
      <c r="L375" s="14">
        <v>721.0</v>
      </c>
      <c r="M375" s="18" t="s">
        <v>98</v>
      </c>
      <c r="N375" s="18" t="s">
        <v>98</v>
      </c>
      <c r="O375" s="18">
        <v>24.0</v>
      </c>
      <c r="P375" s="18" t="s">
        <v>233</v>
      </c>
      <c r="Q375" s="16">
        <v>46693.0</v>
      </c>
      <c r="R375" s="16" t="s">
        <v>38</v>
      </c>
      <c r="S375" s="13" t="s">
        <v>55</v>
      </c>
      <c r="T375" s="13" t="s">
        <v>104</v>
      </c>
      <c r="U375" s="13">
        <f t="shared" si="1"/>
        <v>2</v>
      </c>
      <c r="V375" s="13" t="str">
        <f t="shared" si="2"/>
        <v>C00326|Ravi Singh|30|West|Surat|Basic|Instagram|11/22/2025|38|Annual|Debit Card|721|1|1|24.00|3.5|11/2/2027||Active|Analytics</v>
      </c>
      <c r="W375" s="13">
        <f t="shared" si="3"/>
        <v>1</v>
      </c>
      <c r="X375" s="13">
        <f>IFERROR(__xludf.DUMMYFUNCTION("COUNTUNIQUE(FILTER($B$2:$B$1826,$A$2:$A$1826=A375))"),2.0)</f>
        <v>2</v>
      </c>
    </row>
    <row r="376">
      <c r="A376" s="13" t="s">
        <v>887</v>
      </c>
      <c r="B376" s="13" t="s">
        <v>325</v>
      </c>
      <c r="C376" s="14">
        <v>62.0</v>
      </c>
      <c r="D376" s="13" t="s">
        <v>85</v>
      </c>
      <c r="E376" s="13" t="s">
        <v>292</v>
      </c>
      <c r="F376" s="13" t="s">
        <v>37</v>
      </c>
      <c r="G376" s="13" t="s">
        <v>120</v>
      </c>
      <c r="H376" s="16">
        <v>45228.0</v>
      </c>
      <c r="I376" s="14">
        <v>36.0</v>
      </c>
      <c r="J376" s="13" t="s">
        <v>64</v>
      </c>
      <c r="K376" s="13" t="s">
        <v>65</v>
      </c>
      <c r="L376" s="14">
        <v>1179.0</v>
      </c>
      <c r="M376" s="18" t="s">
        <v>173</v>
      </c>
      <c r="N376" s="18" t="s">
        <v>98</v>
      </c>
      <c r="O376" s="18">
        <v>39.4</v>
      </c>
      <c r="P376" s="18" t="s">
        <v>185</v>
      </c>
      <c r="Q376" s="16">
        <v>46069.0</v>
      </c>
      <c r="R376" s="16" t="s">
        <v>38</v>
      </c>
      <c r="S376" s="13" t="s">
        <v>55</v>
      </c>
      <c r="T376" s="13" t="s">
        <v>72</v>
      </c>
      <c r="U376" s="13">
        <f t="shared" si="1"/>
        <v>2</v>
      </c>
      <c r="V376" s="13" t="str">
        <f t="shared" si="2"/>
        <v>C01515|Priya Sharma|62|West|Mumbai|Standard|Email|10/29/2023|36|Annual|Credit Card|1,179|5|1|39.40|3.2|2/16/2026||Active|Collaboration</v>
      </c>
      <c r="W376" s="13">
        <f t="shared" si="3"/>
        <v>1</v>
      </c>
      <c r="X376" s="13">
        <f>IFERROR(__xludf.DUMMYFUNCTION("COUNTUNIQUE(FILTER($B$2:$B$1826,$A$2:$A$1826=A376))"),2.0)</f>
        <v>2</v>
      </c>
    </row>
    <row r="377">
      <c r="A377" s="13" t="s">
        <v>889</v>
      </c>
      <c r="B377" s="13" t="s">
        <v>176</v>
      </c>
      <c r="C377" s="14">
        <v>43.0</v>
      </c>
      <c r="D377" s="13" t="s">
        <v>35</v>
      </c>
      <c r="E377" s="13" t="s">
        <v>36</v>
      </c>
      <c r="F377" s="13" t="s">
        <v>62</v>
      </c>
      <c r="G377" s="13" t="s">
        <v>39</v>
      </c>
      <c r="H377" s="16">
        <v>45751.0</v>
      </c>
      <c r="I377" s="14">
        <v>41.0</v>
      </c>
      <c r="J377" s="13" t="s">
        <v>64</v>
      </c>
      <c r="K377" s="13" t="s">
        <v>81</v>
      </c>
      <c r="L377" s="14">
        <v>886.0</v>
      </c>
      <c r="M377" s="18" t="s">
        <v>43</v>
      </c>
      <c r="N377" s="18" t="s">
        <v>98</v>
      </c>
      <c r="O377" s="18">
        <v>8.3</v>
      </c>
      <c r="P377" s="18" t="s">
        <v>76</v>
      </c>
      <c r="Q377" s="16">
        <v>46066.0</v>
      </c>
      <c r="R377" s="16" t="s">
        <v>890</v>
      </c>
      <c r="S377" s="13" t="s">
        <v>45</v>
      </c>
      <c r="T377" s="13" t="s">
        <v>75</v>
      </c>
      <c r="U377" s="13">
        <f t="shared" si="1"/>
        <v>1</v>
      </c>
      <c r="V377" s="13" t="str">
        <f t="shared" si="2"/>
        <v>C01013|Ravi Iyer|43|North|Delhi|Basic|Instagram|4/4/2025|41|Annual|Debit Card|886|2|1|8.30|4.4|2/13/2026|17/11/2027|Churned|Security</v>
      </c>
      <c r="W377" s="13">
        <f t="shared" si="3"/>
        <v>1</v>
      </c>
      <c r="X377" s="13">
        <f>IFERROR(__xludf.DUMMYFUNCTION("COUNTUNIQUE(FILTER($B$2:$B$1826,$A$2:$A$1826=A377))"),1.0)</f>
        <v>1</v>
      </c>
    </row>
    <row r="378">
      <c r="A378" s="13" t="s">
        <v>891</v>
      </c>
      <c r="B378" s="13" t="s">
        <v>239</v>
      </c>
      <c r="C378" s="14">
        <v>58.0</v>
      </c>
      <c r="D378" s="13" t="s">
        <v>69</v>
      </c>
      <c r="E378" s="13" t="s">
        <v>177</v>
      </c>
      <c r="F378" s="13" t="s">
        <v>62</v>
      </c>
      <c r="G378" s="13" t="s">
        <v>128</v>
      </c>
      <c r="H378" s="16">
        <v>45953.0</v>
      </c>
      <c r="I378" s="14">
        <v>20.0</v>
      </c>
      <c r="J378" s="13" t="s">
        <v>64</v>
      </c>
      <c r="K378" s="13" t="s">
        <v>65</v>
      </c>
      <c r="L378" s="14">
        <v>721.0</v>
      </c>
      <c r="M378" s="18" t="s">
        <v>164</v>
      </c>
      <c r="N378" s="18" t="s">
        <v>98</v>
      </c>
      <c r="O378" s="18">
        <v>19.7</v>
      </c>
      <c r="P378" s="18" t="s">
        <v>233</v>
      </c>
      <c r="Q378" s="16">
        <v>46315.0</v>
      </c>
      <c r="R378" s="16" t="s">
        <v>892</v>
      </c>
      <c r="S378" s="13" t="s">
        <v>45</v>
      </c>
      <c r="T378" s="13" t="s">
        <v>47</v>
      </c>
      <c r="U378" s="13">
        <f t="shared" si="1"/>
        <v>2</v>
      </c>
      <c r="V378" s="13" t="str">
        <f t="shared" si="2"/>
        <v>C00401|Meera Kumar|58|South|Hyderabad|Basic|Youtube|10/23/2025|20|Annual|Credit Card|721|3|1|19.70|3.5|10/20/2026|21/02/2026|Churned|Cloud Storage</v>
      </c>
      <c r="W378" s="13">
        <f t="shared" si="3"/>
        <v>1</v>
      </c>
      <c r="X378" s="13">
        <f>IFERROR(__xludf.DUMMYFUNCTION("COUNTUNIQUE(FILTER($B$2:$B$1826,$A$2:$A$1826=A378))"),2.0)</f>
        <v>2</v>
      </c>
    </row>
    <row r="379">
      <c r="A379" s="13" t="s">
        <v>893</v>
      </c>
      <c r="B379" s="13" t="s">
        <v>470</v>
      </c>
      <c r="C379" s="14">
        <v>46.0</v>
      </c>
      <c r="D379" s="13" t="s">
        <v>35</v>
      </c>
      <c r="E379" s="13" t="s">
        <v>161</v>
      </c>
      <c r="F379" s="13" t="s">
        <v>79</v>
      </c>
      <c r="G379" s="13" t="s">
        <v>63</v>
      </c>
      <c r="H379" s="16">
        <v>44563.0</v>
      </c>
      <c r="I379" s="14">
        <v>46.0</v>
      </c>
      <c r="J379" s="13" t="s">
        <v>64</v>
      </c>
      <c r="K379" s="13" t="s">
        <v>81</v>
      </c>
      <c r="L379" s="14">
        <v>3762.0</v>
      </c>
      <c r="M379" s="18" t="s">
        <v>99</v>
      </c>
      <c r="N379" s="18" t="s">
        <v>43</v>
      </c>
      <c r="O379" s="18">
        <v>31.6</v>
      </c>
      <c r="P379" s="18" t="s">
        <v>296</v>
      </c>
      <c r="Q379" s="16">
        <v>45150.0</v>
      </c>
      <c r="R379" s="16" t="s">
        <v>38</v>
      </c>
      <c r="S379" s="13" t="s">
        <v>55</v>
      </c>
      <c r="T379" s="13" t="s">
        <v>75</v>
      </c>
      <c r="U379" s="13">
        <f t="shared" si="1"/>
        <v>2</v>
      </c>
      <c r="V379" s="13" t="str">
        <f t="shared" si="2"/>
        <v>C00603|Arun Singh|46|North|Chandigarh|Premium|Google Ads|1/2/2022|46|Annual|Debit Card|3,762|4|2|31.60|4.6|8/12/2023||Active|Security</v>
      </c>
      <c r="W379" s="13">
        <f t="shared" si="3"/>
        <v>1</v>
      </c>
      <c r="X379" s="13">
        <f>IFERROR(__xludf.DUMMYFUNCTION("COUNTUNIQUE(FILTER($B$2:$B$1826,$A$2:$A$1826=A379))"),2.0)</f>
        <v>2</v>
      </c>
    </row>
    <row r="380">
      <c r="A380" s="13" t="s">
        <v>894</v>
      </c>
      <c r="B380" s="13" t="s">
        <v>411</v>
      </c>
      <c r="C380" s="14">
        <v>45.0</v>
      </c>
      <c r="D380" s="13" t="s">
        <v>60</v>
      </c>
      <c r="E380" s="13" t="s">
        <v>133</v>
      </c>
      <c r="F380" s="13" t="s">
        <v>62</v>
      </c>
      <c r="G380" s="13" t="s">
        <v>120</v>
      </c>
      <c r="H380" s="16">
        <v>45678.0</v>
      </c>
      <c r="I380" s="14">
        <v>14.0</v>
      </c>
      <c r="J380" s="13" t="s">
        <v>40</v>
      </c>
      <c r="K380" s="13" t="s">
        <v>65</v>
      </c>
      <c r="L380" s="14">
        <v>742.0</v>
      </c>
      <c r="M380" s="18" t="s">
        <v>98</v>
      </c>
      <c r="N380" s="18" t="s">
        <v>98</v>
      </c>
      <c r="O380" s="18">
        <v>21.3</v>
      </c>
      <c r="P380" s="18" t="s">
        <v>456</v>
      </c>
      <c r="Q380" s="16">
        <v>45972.0</v>
      </c>
      <c r="R380" s="16" t="s">
        <v>38</v>
      </c>
      <c r="S380" s="13" t="s">
        <v>55</v>
      </c>
      <c r="T380" s="13" t="s">
        <v>47</v>
      </c>
      <c r="U380" s="13">
        <f t="shared" si="1"/>
        <v>2</v>
      </c>
      <c r="V380" s="13" t="str">
        <f t="shared" si="2"/>
        <v>C01281|Karan Reddy|45|East|Guwahati|Basic|Email|1/21/2025|14|Monthly|Credit Card|742|1|1|21.30|2.5|11/11/2025||Active|Cloud Storage</v>
      </c>
      <c r="W380" s="13">
        <f t="shared" si="3"/>
        <v>1</v>
      </c>
      <c r="X380" s="13">
        <f>IFERROR(__xludf.DUMMYFUNCTION("COUNTUNIQUE(FILTER($B$2:$B$1826,$A$2:$A$1826=A380))"),2.0)</f>
        <v>2</v>
      </c>
    </row>
    <row r="381">
      <c r="A381" s="13" t="s">
        <v>783</v>
      </c>
      <c r="B381" s="13" t="s">
        <v>734</v>
      </c>
      <c r="C381" s="14">
        <v>58.0</v>
      </c>
      <c r="D381" s="13" t="s">
        <v>35</v>
      </c>
      <c r="E381" s="13" t="s">
        <v>36</v>
      </c>
      <c r="F381" s="13" t="s">
        <v>37</v>
      </c>
      <c r="G381" s="13" t="s">
        <v>39</v>
      </c>
      <c r="H381" s="16">
        <v>45558.0</v>
      </c>
      <c r="I381" s="14">
        <v>43.0</v>
      </c>
      <c r="J381" s="13" t="s">
        <v>40</v>
      </c>
      <c r="K381" s="13" t="s">
        <v>65</v>
      </c>
      <c r="L381" s="14">
        <v>1085.0</v>
      </c>
      <c r="M381" s="18" t="s">
        <v>164</v>
      </c>
      <c r="N381" s="18" t="s">
        <v>43</v>
      </c>
      <c r="O381" s="18">
        <v>28.1</v>
      </c>
      <c r="P381" s="18" t="s">
        <v>275</v>
      </c>
      <c r="Q381" s="16">
        <v>46419.0</v>
      </c>
      <c r="R381" s="16" t="s">
        <v>38</v>
      </c>
      <c r="S381" s="13" t="s">
        <v>55</v>
      </c>
      <c r="T381" s="13" t="s">
        <v>66</v>
      </c>
      <c r="U381" s="13">
        <f t="shared" si="1"/>
        <v>2</v>
      </c>
      <c r="V381" s="13" t="str">
        <f t="shared" si="2"/>
        <v>C00276|Sneha Das|58|North|Delhi|Standard|Instagram|9/23/2024|43|Monthly|Credit Card|1,085|3|2|28.10|4.3|2/1/2027||Active|Automation</v>
      </c>
      <c r="W381" s="13">
        <f t="shared" si="3"/>
        <v>1</v>
      </c>
      <c r="X381" s="13">
        <f>IFERROR(__xludf.DUMMYFUNCTION("COUNTUNIQUE(FILTER($B$2:$B$1826,$A$2:$A$1826=A381))"),2.0)</f>
        <v>2</v>
      </c>
    </row>
    <row r="382">
      <c r="A382" s="13" t="s">
        <v>895</v>
      </c>
      <c r="B382" s="13" t="s">
        <v>139</v>
      </c>
      <c r="C382" s="14">
        <v>53.0</v>
      </c>
      <c r="D382" s="13" t="s">
        <v>85</v>
      </c>
      <c r="E382" s="13" t="s">
        <v>87</v>
      </c>
      <c r="F382" s="13" t="s">
        <v>62</v>
      </c>
      <c r="G382" s="13" t="s">
        <v>39</v>
      </c>
      <c r="H382" s="16">
        <v>45431.0</v>
      </c>
      <c r="I382" s="14">
        <v>39.0</v>
      </c>
      <c r="J382" s="13" t="s">
        <v>64</v>
      </c>
      <c r="K382" s="13" t="s">
        <v>65</v>
      </c>
      <c r="L382" s="14">
        <v>754.0</v>
      </c>
      <c r="M382" s="18" t="s">
        <v>98</v>
      </c>
      <c r="N382" s="18" t="s">
        <v>46</v>
      </c>
      <c r="O382" s="18">
        <v>3.8</v>
      </c>
      <c r="P382" s="18" t="s">
        <v>99</v>
      </c>
      <c r="Q382" s="16">
        <v>46468.0</v>
      </c>
      <c r="R382" s="16" t="s">
        <v>38</v>
      </c>
      <c r="S382" s="13" t="s">
        <v>55</v>
      </c>
      <c r="T382" s="13" t="s">
        <v>104</v>
      </c>
      <c r="U382" s="13">
        <f t="shared" si="1"/>
        <v>2</v>
      </c>
      <c r="V382" s="13" t="str">
        <f t="shared" si="2"/>
        <v>C00869|Vikram Das|53|West|Surat|Basic|Instagram|5/19/2024|39|Annual|Credit Card|754|1|0|3.80|4|3/22/2027||Active|Analytics</v>
      </c>
      <c r="W382" s="13">
        <f t="shared" si="3"/>
        <v>1</v>
      </c>
      <c r="X382" s="13">
        <f>IFERROR(__xludf.DUMMYFUNCTION("COUNTUNIQUE(FILTER($B$2:$B$1826,$A$2:$A$1826=A382))"),2.0)</f>
        <v>2</v>
      </c>
    </row>
    <row r="383">
      <c r="A383" s="13" t="s">
        <v>733</v>
      </c>
      <c r="B383" s="13" t="s">
        <v>235</v>
      </c>
      <c r="C383" s="14">
        <v>52.0</v>
      </c>
      <c r="D383" s="13" t="s">
        <v>85</v>
      </c>
      <c r="E383" s="13" t="s">
        <v>92</v>
      </c>
      <c r="F383" s="13" t="s">
        <v>62</v>
      </c>
      <c r="G383" s="13" t="s">
        <v>120</v>
      </c>
      <c r="H383" s="16">
        <v>45976.0</v>
      </c>
      <c r="I383" s="14">
        <v>6.0</v>
      </c>
      <c r="J383" s="13" t="s">
        <v>64</v>
      </c>
      <c r="K383" s="13" t="s">
        <v>41</v>
      </c>
      <c r="L383" s="14">
        <v>873.0</v>
      </c>
      <c r="M383" s="18" t="s">
        <v>46</v>
      </c>
      <c r="N383" s="18" t="s">
        <v>98</v>
      </c>
      <c r="O383" s="18">
        <v>23.5</v>
      </c>
      <c r="P383" s="18" t="s">
        <v>1222</v>
      </c>
      <c r="Q383" s="16">
        <v>46057.0</v>
      </c>
      <c r="R383" s="16" t="s">
        <v>38</v>
      </c>
      <c r="S383" s="13" t="s">
        <v>55</v>
      </c>
      <c r="T383" s="13" t="s">
        <v>47</v>
      </c>
      <c r="U383" s="13">
        <f t="shared" si="1"/>
        <v>4</v>
      </c>
      <c r="V383" s="13" t="str">
        <f t="shared" si="2"/>
        <v>C00078|Sneha Sharma|52|West|Ahmedabad|Basic|Email|11/15/2025|6|Annual|Upi|873|0|1|23.50|1.4|2/4/2026||Active|Cloud Storage</v>
      </c>
      <c r="W383" s="13">
        <f t="shared" si="3"/>
        <v>1</v>
      </c>
      <c r="X383" s="13">
        <f>IFERROR(__xludf.DUMMYFUNCTION("COUNTUNIQUE(FILTER($B$2:$B$1826,$A$2:$A$1826=A383))"),4.0)</f>
        <v>4</v>
      </c>
    </row>
    <row r="384">
      <c r="A384" s="13" t="s">
        <v>896</v>
      </c>
      <c r="B384" s="13" t="s">
        <v>411</v>
      </c>
      <c r="C384" s="14">
        <v>37.0</v>
      </c>
      <c r="D384" s="13" t="s">
        <v>35</v>
      </c>
      <c r="E384" s="13" t="s">
        <v>161</v>
      </c>
      <c r="F384" s="13" t="s">
        <v>37</v>
      </c>
      <c r="G384" s="13" t="s">
        <v>210</v>
      </c>
      <c r="H384" s="16">
        <v>45657.0</v>
      </c>
      <c r="I384" s="14">
        <v>1.0</v>
      </c>
      <c r="J384" s="13" t="s">
        <v>53</v>
      </c>
      <c r="K384" s="13" t="s">
        <v>41</v>
      </c>
      <c r="L384" s="14">
        <v>1479.0</v>
      </c>
      <c r="M384" s="18" t="s">
        <v>38</v>
      </c>
      <c r="N384" s="18" t="s">
        <v>43</v>
      </c>
      <c r="O384" s="18">
        <v>19.3</v>
      </c>
      <c r="P384" s="18" t="s">
        <v>449</v>
      </c>
      <c r="Q384" s="16">
        <v>45688.0</v>
      </c>
      <c r="R384" s="16" t="s">
        <v>38</v>
      </c>
      <c r="S384" s="13" t="s">
        <v>55</v>
      </c>
      <c r="T384" s="13" t="s">
        <v>104</v>
      </c>
      <c r="U384" s="13">
        <f t="shared" si="1"/>
        <v>1</v>
      </c>
      <c r="V384" s="13" t="str">
        <f t="shared" si="2"/>
        <v>C00968|Karan Reddy|37|North|Chandigarh|Standard|Referral|12/31/2024|1|Quarterly|Upi|1,479||2|19.30|2.7|1/31/2025||Active|Analytics</v>
      </c>
      <c r="W384" s="13">
        <f t="shared" si="3"/>
        <v>1</v>
      </c>
      <c r="X384" s="13">
        <f>IFERROR(__xludf.DUMMYFUNCTION("COUNTUNIQUE(FILTER($B$2:$B$1826,$A$2:$A$1826=A384))"),1.0)</f>
        <v>1</v>
      </c>
    </row>
    <row r="385">
      <c r="A385" s="13" t="s">
        <v>897</v>
      </c>
      <c r="B385" s="13" t="s">
        <v>331</v>
      </c>
      <c r="C385" s="14">
        <v>50.0</v>
      </c>
      <c r="D385" s="13" t="s">
        <v>60</v>
      </c>
      <c r="E385" s="13" t="s">
        <v>107</v>
      </c>
      <c r="F385" s="13" t="s">
        <v>62</v>
      </c>
      <c r="G385" s="13" t="s">
        <v>120</v>
      </c>
      <c r="H385" s="16">
        <v>45746.0</v>
      </c>
      <c r="I385" s="14">
        <v>11.0</v>
      </c>
      <c r="J385" s="13" t="s">
        <v>40</v>
      </c>
      <c r="K385" s="13" t="s">
        <v>41</v>
      </c>
      <c r="L385" s="14">
        <v>835.0</v>
      </c>
      <c r="M385" s="18" t="s">
        <v>43</v>
      </c>
      <c r="N385" s="18" t="s">
        <v>46</v>
      </c>
      <c r="O385" s="18">
        <v>27.7</v>
      </c>
      <c r="P385" s="18" t="s">
        <v>76</v>
      </c>
      <c r="Q385" s="16">
        <v>46075.0</v>
      </c>
      <c r="R385" s="16" t="s">
        <v>38</v>
      </c>
      <c r="S385" s="13" t="s">
        <v>55</v>
      </c>
      <c r="T385" s="13" t="s">
        <v>66</v>
      </c>
      <c r="U385" s="13">
        <f t="shared" si="1"/>
        <v>1</v>
      </c>
      <c r="V385" s="13" t="str">
        <f t="shared" si="2"/>
        <v>C01424|Arun Iyer|50|East|Patna|Basic|Email|3/30/2025|11|Monthly|Upi|835|2|0|27.70|4.4|2/22/2026||Active|Automation</v>
      </c>
      <c r="W385" s="13">
        <f t="shared" si="3"/>
        <v>1</v>
      </c>
      <c r="X385" s="13">
        <f>IFERROR(__xludf.DUMMYFUNCTION("COUNTUNIQUE(FILTER($B$2:$B$1826,$A$2:$A$1826=A385))"),1.0)</f>
        <v>1</v>
      </c>
    </row>
    <row r="386">
      <c r="A386" s="13" t="s">
        <v>473</v>
      </c>
      <c r="B386" s="13" t="s">
        <v>257</v>
      </c>
      <c r="C386" s="14">
        <v>30.0</v>
      </c>
      <c r="D386" s="13" t="s">
        <v>35</v>
      </c>
      <c r="E386" s="13" t="s">
        <v>107</v>
      </c>
      <c r="F386" s="13" t="s">
        <v>62</v>
      </c>
      <c r="G386" s="13" t="s">
        <v>210</v>
      </c>
      <c r="H386" s="16">
        <v>45125.0</v>
      </c>
      <c r="I386" s="14">
        <v>17.0</v>
      </c>
      <c r="J386" s="13" t="s">
        <v>53</v>
      </c>
      <c r="K386" s="13" t="s">
        <v>81</v>
      </c>
      <c r="L386" s="14">
        <v>556.0</v>
      </c>
      <c r="M386" s="18" t="s">
        <v>98</v>
      </c>
      <c r="N386" s="18" t="s">
        <v>99</v>
      </c>
      <c r="O386" s="18">
        <v>24.9</v>
      </c>
      <c r="P386" s="18" t="s">
        <v>408</v>
      </c>
      <c r="Q386" s="16">
        <v>45289.0</v>
      </c>
      <c r="R386" s="16" t="s">
        <v>38</v>
      </c>
      <c r="S386" s="13" t="s">
        <v>55</v>
      </c>
      <c r="T386" s="13" t="s">
        <v>47</v>
      </c>
      <c r="U386" s="13">
        <f t="shared" si="1"/>
        <v>4</v>
      </c>
      <c r="V386" s="13" t="str">
        <f t="shared" si="2"/>
        <v>C00158|Sneha Reddy|30|North|Patna|Basic|Referral|7/18/2023|17|Quarterly|Debit Card|556|1|4|24.90|4.2|12/29/2023||Active|Cloud Storage</v>
      </c>
      <c r="W386" s="13">
        <f t="shared" si="3"/>
        <v>1</v>
      </c>
      <c r="X386" s="13">
        <f>IFERROR(__xludf.DUMMYFUNCTION("COUNTUNIQUE(FILTER($B$2:$B$1826,$A$2:$A$1826=A386))"),4.0)</f>
        <v>4</v>
      </c>
    </row>
    <row r="387">
      <c r="A387" s="13" t="s">
        <v>898</v>
      </c>
      <c r="B387" s="13" t="s">
        <v>316</v>
      </c>
      <c r="C387" s="14">
        <v>65.0</v>
      </c>
      <c r="D387" s="13" t="s">
        <v>69</v>
      </c>
      <c r="E387" s="13" t="s">
        <v>70</v>
      </c>
      <c r="F387" s="13" t="s">
        <v>62</v>
      </c>
      <c r="G387" s="13" t="s">
        <v>63</v>
      </c>
      <c r="H387" s="16">
        <v>44859.0</v>
      </c>
      <c r="I387" s="14">
        <v>39.0</v>
      </c>
      <c r="J387" s="13" t="s">
        <v>64</v>
      </c>
      <c r="K387" s="13" t="s">
        <v>41</v>
      </c>
      <c r="L387" s="14">
        <v>577.0</v>
      </c>
      <c r="M387" s="18" t="s">
        <v>46</v>
      </c>
      <c r="N387" s="18" t="s">
        <v>43</v>
      </c>
      <c r="O387" s="18">
        <v>31.9</v>
      </c>
      <c r="P387" s="18" t="s">
        <v>296</v>
      </c>
      <c r="Q387" s="16">
        <v>45714.0</v>
      </c>
      <c r="R387" s="16" t="s">
        <v>170</v>
      </c>
      <c r="S387" s="13" t="s">
        <v>45</v>
      </c>
      <c r="T387" s="13" t="s">
        <v>47</v>
      </c>
      <c r="U387" s="13">
        <f t="shared" si="1"/>
        <v>1</v>
      </c>
      <c r="V387" s="13" t="str">
        <f t="shared" si="2"/>
        <v>C00994|Neha Nair|65|South|Bengaluru|Basic|Google Ads|10/25/2022|39|Annual|Upi|577|0|2|31.90|4.6|2/26/2025|16/01/2025|Churned|Cloud Storage</v>
      </c>
      <c r="W387" s="13">
        <f t="shared" si="3"/>
        <v>1</v>
      </c>
      <c r="X387" s="13">
        <f>IFERROR(__xludf.DUMMYFUNCTION("COUNTUNIQUE(FILTER($B$2:$B$1826,$A$2:$A$1826=A387))"),1.0)</f>
        <v>1</v>
      </c>
    </row>
    <row r="388">
      <c r="A388" s="13" t="s">
        <v>332</v>
      </c>
      <c r="B388" s="13" t="s">
        <v>395</v>
      </c>
      <c r="C388" s="14">
        <v>43.0</v>
      </c>
      <c r="D388" s="13" t="s">
        <v>60</v>
      </c>
      <c r="E388" s="13" t="s">
        <v>61</v>
      </c>
      <c r="F388" s="13" t="s">
        <v>37</v>
      </c>
      <c r="G388" s="13" t="s">
        <v>128</v>
      </c>
      <c r="H388" s="16">
        <v>44799.0</v>
      </c>
      <c r="I388" s="14">
        <v>4.0</v>
      </c>
      <c r="J388" s="13" t="s">
        <v>64</v>
      </c>
      <c r="K388" s="13" t="s">
        <v>81</v>
      </c>
      <c r="L388" s="14">
        <v>1486.0</v>
      </c>
      <c r="M388" s="18" t="s">
        <v>98</v>
      </c>
      <c r="N388" s="18" t="s">
        <v>46</v>
      </c>
      <c r="O388" s="18">
        <v>31.3</v>
      </c>
      <c r="P388" s="18" t="s">
        <v>173</v>
      </c>
      <c r="Q388" s="16">
        <v>44930.0</v>
      </c>
      <c r="R388" s="16" t="s">
        <v>38</v>
      </c>
      <c r="S388" s="13" t="s">
        <v>55</v>
      </c>
      <c r="T388" s="13" t="s">
        <v>75</v>
      </c>
      <c r="U388" s="13">
        <f t="shared" si="1"/>
        <v>4</v>
      </c>
      <c r="V388" s="13" t="str">
        <f t="shared" si="2"/>
        <v>C01184|Ravi Singh|43|East|Kolkata|Standard|Youtube|8/26/2022|4|Annual|Debit Card|1,486|1|0|31.30|5|1/4/2023||Active|Security</v>
      </c>
      <c r="W388" s="13">
        <f t="shared" si="3"/>
        <v>1</v>
      </c>
      <c r="X388" s="13">
        <f>IFERROR(__xludf.DUMMYFUNCTION("COUNTUNIQUE(FILTER($B$2:$B$1826,$A$2:$A$1826=A388))"),4.0)</f>
        <v>4</v>
      </c>
    </row>
    <row r="389">
      <c r="A389" s="13" t="s">
        <v>695</v>
      </c>
      <c r="B389" s="13" t="s">
        <v>651</v>
      </c>
      <c r="C389" s="14">
        <v>53.0</v>
      </c>
      <c r="D389" s="13" t="s">
        <v>60</v>
      </c>
      <c r="E389" s="13" t="s">
        <v>97</v>
      </c>
      <c r="F389" s="13" t="s">
        <v>37</v>
      </c>
      <c r="G389" s="13" t="s">
        <v>120</v>
      </c>
      <c r="H389" s="16">
        <v>44586.0</v>
      </c>
      <c r="I389" s="14">
        <v>19.0</v>
      </c>
      <c r="J389" s="13" t="s">
        <v>64</v>
      </c>
      <c r="K389" s="13" t="s">
        <v>65</v>
      </c>
      <c r="L389" s="14">
        <v>1390.0</v>
      </c>
      <c r="M389" s="18" t="s">
        <v>43</v>
      </c>
      <c r="N389" s="18" t="s">
        <v>98</v>
      </c>
      <c r="O389" s="18">
        <v>15.3</v>
      </c>
      <c r="P389" s="18" t="s">
        <v>76</v>
      </c>
      <c r="Q389" s="16">
        <v>44919.0</v>
      </c>
      <c r="R389" s="16" t="s">
        <v>899</v>
      </c>
      <c r="S389" s="13" t="s">
        <v>45</v>
      </c>
      <c r="T389" s="13" t="s">
        <v>75</v>
      </c>
      <c r="U389" s="13">
        <f t="shared" si="1"/>
        <v>6</v>
      </c>
      <c r="V389" s="13" t="str">
        <f t="shared" si="2"/>
        <v>C00972|Arun Sharma|53|East|Bhubaneswar|Standard|Email|1/25/2022|19|Annual|Credit Card|1,390|2|1|15.30|4.4|12/24/2022|20/08/2023|Churned|Security</v>
      </c>
      <c r="W389" s="13">
        <f t="shared" si="3"/>
        <v>1</v>
      </c>
      <c r="X389" s="13">
        <f>IFERROR(__xludf.DUMMYFUNCTION("COUNTUNIQUE(FILTER($B$2:$B$1826,$A$2:$A$1826=A389))"),6.0)</f>
        <v>6</v>
      </c>
    </row>
    <row r="390">
      <c r="A390" s="13" t="s">
        <v>900</v>
      </c>
      <c r="B390" s="13" t="s">
        <v>172</v>
      </c>
      <c r="C390" s="14">
        <v>52.0</v>
      </c>
      <c r="D390" s="13" t="s">
        <v>60</v>
      </c>
      <c r="E390" s="13" t="s">
        <v>107</v>
      </c>
      <c r="F390" s="13" t="s">
        <v>62</v>
      </c>
      <c r="G390" s="13" t="s">
        <v>128</v>
      </c>
      <c r="H390" s="16">
        <v>44763.0</v>
      </c>
      <c r="I390" s="14">
        <v>17.0</v>
      </c>
      <c r="J390" s="13" t="s">
        <v>53</v>
      </c>
      <c r="K390" s="13" t="s">
        <v>81</v>
      </c>
      <c r="L390" s="14">
        <v>699.0</v>
      </c>
      <c r="M390" s="18" t="s">
        <v>173</v>
      </c>
      <c r="N390" s="18" t="s">
        <v>43</v>
      </c>
      <c r="O390" s="18">
        <v>22.9</v>
      </c>
      <c r="P390" s="18" t="s">
        <v>233</v>
      </c>
      <c r="Q390" s="16">
        <v>45020.0</v>
      </c>
      <c r="R390" s="16" t="s">
        <v>38</v>
      </c>
      <c r="S390" s="13" t="s">
        <v>55</v>
      </c>
      <c r="T390" s="13" t="s">
        <v>47</v>
      </c>
      <c r="U390" s="13">
        <f t="shared" si="1"/>
        <v>2</v>
      </c>
      <c r="V390" s="13" t="str">
        <f t="shared" si="2"/>
        <v>C01251|Meera Singh|52|East|Patna|Basic|Youtube|7/21/2022|17|Quarterly|Debit Card|699|5|2|22.90|3.5|4/4/2023||Active|Cloud Storage</v>
      </c>
      <c r="W390" s="13">
        <f t="shared" si="3"/>
        <v>1</v>
      </c>
      <c r="X390" s="13">
        <f>IFERROR(__xludf.DUMMYFUNCTION("COUNTUNIQUE(FILTER($B$2:$B$1826,$A$2:$A$1826=A390))"),2.0)</f>
        <v>2</v>
      </c>
    </row>
    <row r="391">
      <c r="A391" s="13" t="s">
        <v>901</v>
      </c>
      <c r="B391" s="13" t="s">
        <v>420</v>
      </c>
      <c r="C391" s="14">
        <v>31.0</v>
      </c>
      <c r="D391" s="13" t="s">
        <v>35</v>
      </c>
      <c r="E391" s="13" t="s">
        <v>36</v>
      </c>
      <c r="F391" s="13" t="s">
        <v>37</v>
      </c>
      <c r="G391" s="13" t="s">
        <v>63</v>
      </c>
      <c r="H391" s="16">
        <v>45404.0</v>
      </c>
      <c r="I391" s="14">
        <v>7.0</v>
      </c>
      <c r="J391" s="13" t="s">
        <v>40</v>
      </c>
      <c r="K391" s="13" t="s">
        <v>41</v>
      </c>
      <c r="L391" s="14">
        <v>1455.0</v>
      </c>
      <c r="M391" s="18" t="s">
        <v>98</v>
      </c>
      <c r="N391" s="18" t="s">
        <v>99</v>
      </c>
      <c r="O391" s="18">
        <v>23.7</v>
      </c>
      <c r="P391" s="18" t="s">
        <v>408</v>
      </c>
      <c r="Q391" s="16">
        <v>45470.0</v>
      </c>
      <c r="R391" s="16" t="s">
        <v>38</v>
      </c>
      <c r="S391" s="13" t="s">
        <v>55</v>
      </c>
      <c r="T391" s="13" t="s">
        <v>66</v>
      </c>
      <c r="U391" s="13">
        <f t="shared" si="1"/>
        <v>4</v>
      </c>
      <c r="V391" s="13" t="str">
        <f t="shared" si="2"/>
        <v>C00642|Vikram Iyer|31|North|Delhi|Standard|Google Ads|4/22/2024|7|Monthly|Upi|1,455|1|4|23.70|4.2|6/27/2024||Active|Automation</v>
      </c>
      <c r="W391" s="13">
        <f t="shared" si="3"/>
        <v>1</v>
      </c>
      <c r="X391" s="13">
        <f>IFERROR(__xludf.DUMMYFUNCTION("COUNTUNIQUE(FILTER($B$2:$B$1826,$A$2:$A$1826=A391))"),4.0)</f>
        <v>4</v>
      </c>
    </row>
    <row r="392">
      <c r="A392" s="13" t="s">
        <v>902</v>
      </c>
      <c r="B392" s="13" t="s">
        <v>605</v>
      </c>
      <c r="C392" s="14">
        <v>26.0</v>
      </c>
      <c r="D392" s="13" t="s">
        <v>35</v>
      </c>
      <c r="E392" s="13" t="s">
        <v>51</v>
      </c>
      <c r="F392" s="13" t="s">
        <v>79</v>
      </c>
      <c r="G392" s="13" t="s">
        <v>52</v>
      </c>
      <c r="H392" s="16">
        <v>44811.0</v>
      </c>
      <c r="I392" s="14">
        <v>46.0</v>
      </c>
      <c r="J392" s="13" t="s">
        <v>64</v>
      </c>
      <c r="K392" s="13" t="s">
        <v>41</v>
      </c>
      <c r="L392" s="14" t="s">
        <v>38</v>
      </c>
      <c r="M392" s="18" t="s">
        <v>98</v>
      </c>
      <c r="N392" s="18" t="s">
        <v>43</v>
      </c>
      <c r="O392" s="18">
        <v>38.0</v>
      </c>
      <c r="P392" s="18" t="s">
        <v>275</v>
      </c>
      <c r="Q392" s="16">
        <v>45590.0</v>
      </c>
      <c r="R392" s="16">
        <v>46362.0</v>
      </c>
      <c r="S392" s="13" t="s">
        <v>45</v>
      </c>
      <c r="T392" s="13" t="s">
        <v>72</v>
      </c>
      <c r="U392" s="13">
        <f t="shared" si="1"/>
        <v>2</v>
      </c>
      <c r="V392" s="13" t="str">
        <f t="shared" si="2"/>
        <v>C00189|Meera Patel|26|North|Jaipur|Premium|Facebook|9/7/2022|46|Annual|Upi||1|2|38.00|4.3|10/25/2024|12/6/2026|Churned|Collaboration</v>
      </c>
      <c r="W392" s="13">
        <f t="shared" si="3"/>
        <v>1</v>
      </c>
      <c r="X392" s="13">
        <f>IFERROR(__xludf.DUMMYFUNCTION("COUNTUNIQUE(FILTER($B$2:$B$1826,$A$2:$A$1826=A392))"),2.0)</f>
        <v>2</v>
      </c>
    </row>
    <row r="393">
      <c r="A393" s="13" t="s">
        <v>904</v>
      </c>
      <c r="B393" s="13" t="s">
        <v>736</v>
      </c>
      <c r="C393" s="14">
        <v>68.0</v>
      </c>
      <c r="D393" s="13" t="s">
        <v>85</v>
      </c>
      <c r="E393" s="13" t="s">
        <v>292</v>
      </c>
      <c r="F393" s="13" t="s">
        <v>37</v>
      </c>
      <c r="G393" s="13" t="s">
        <v>210</v>
      </c>
      <c r="H393" s="16">
        <v>45436.0</v>
      </c>
      <c r="I393" s="14">
        <v>45.0</v>
      </c>
      <c r="J393" s="13" t="s">
        <v>40</v>
      </c>
      <c r="K393" s="13" t="s">
        <v>65</v>
      </c>
      <c r="L393" s="14">
        <v>1787.0</v>
      </c>
      <c r="M393" s="18" t="s">
        <v>164</v>
      </c>
      <c r="N393" s="18" t="s">
        <v>98</v>
      </c>
      <c r="O393" s="18">
        <v>27.5</v>
      </c>
      <c r="P393" s="18" t="s">
        <v>123</v>
      </c>
      <c r="Q393" s="16">
        <v>45973.0</v>
      </c>
      <c r="R393" s="16" t="s">
        <v>905</v>
      </c>
      <c r="S393" s="13" t="s">
        <v>45</v>
      </c>
      <c r="T393" s="13" t="s">
        <v>75</v>
      </c>
      <c r="U393" s="13">
        <f t="shared" si="1"/>
        <v>1</v>
      </c>
      <c r="V393" s="13" t="str">
        <f t="shared" si="2"/>
        <v>C00604|Priya Iyer|68|West|Mumbai|Standard|Referral|5/24/2024|45|Monthly|Credit Card|1,787|3|1|27.50|4.1|11/12/2025|20/05/2025|Churned|Security</v>
      </c>
      <c r="W393" s="13">
        <f t="shared" si="3"/>
        <v>1</v>
      </c>
      <c r="X393" s="13">
        <f>IFERROR(__xludf.DUMMYFUNCTION("COUNTUNIQUE(FILTER($B$2:$B$1826,$A$2:$A$1826=A393))"),1.0)</f>
        <v>1</v>
      </c>
    </row>
    <row r="394">
      <c r="A394" s="13" t="s">
        <v>1120</v>
      </c>
      <c r="B394" s="13" t="s">
        <v>235</v>
      </c>
      <c r="C394" s="14">
        <v>28.0</v>
      </c>
      <c r="D394" s="13" t="s">
        <v>35</v>
      </c>
      <c r="E394" s="13" t="s">
        <v>161</v>
      </c>
      <c r="F394" s="13" t="s">
        <v>79</v>
      </c>
      <c r="G394" s="13" t="s">
        <v>210</v>
      </c>
      <c r="H394" s="16">
        <v>44926.0</v>
      </c>
      <c r="I394" s="14">
        <v>29.0</v>
      </c>
      <c r="J394" s="13" t="s">
        <v>64</v>
      </c>
      <c r="K394" s="13" t="s">
        <v>65</v>
      </c>
      <c r="L394" s="14">
        <v>2803.0</v>
      </c>
      <c r="M394" s="18" t="s">
        <v>43</v>
      </c>
      <c r="N394" s="18" t="s">
        <v>98</v>
      </c>
      <c r="O394" s="18">
        <v>52.6</v>
      </c>
      <c r="P394" s="18" t="s">
        <v>203</v>
      </c>
      <c r="Q394" s="16">
        <v>45118.0</v>
      </c>
      <c r="R394" s="16" t="s">
        <v>38</v>
      </c>
      <c r="S394" s="13" t="s">
        <v>55</v>
      </c>
      <c r="T394" s="13" t="s">
        <v>47</v>
      </c>
      <c r="U394" s="13">
        <f t="shared" si="1"/>
        <v>5</v>
      </c>
      <c r="V394" s="13" t="str">
        <f t="shared" si="2"/>
        <v>C00682|Sneha Sharma|28|North|Chandigarh|Premium|Referral|12/31/2022|29|Annual|Credit Card|2,803|2|1|52.60|3.7|7/11/2023||Active|Cloud Storage</v>
      </c>
      <c r="W394" s="13">
        <f t="shared" si="3"/>
        <v>1</v>
      </c>
      <c r="X394" s="13">
        <f>IFERROR(__xludf.DUMMYFUNCTION("COUNTUNIQUE(FILTER($B$2:$B$1826,$A$2:$A$1826=A394))"),5.0)</f>
        <v>5</v>
      </c>
    </row>
    <row r="395">
      <c r="A395" s="13" t="s">
        <v>907</v>
      </c>
      <c r="B395" s="13" t="s">
        <v>345</v>
      </c>
      <c r="C395" s="14">
        <v>28.0</v>
      </c>
      <c r="D395" s="13" t="s">
        <v>35</v>
      </c>
      <c r="E395" s="13" t="s">
        <v>140</v>
      </c>
      <c r="F395" s="13" t="s">
        <v>37</v>
      </c>
      <c r="G395" s="13" t="s">
        <v>63</v>
      </c>
      <c r="H395" s="16">
        <v>44633.0</v>
      </c>
      <c r="I395" s="14">
        <v>5.0</v>
      </c>
      <c r="J395" s="13" t="s">
        <v>64</v>
      </c>
      <c r="K395" s="13" t="s">
        <v>81</v>
      </c>
      <c r="L395" s="14">
        <v>1255.0</v>
      </c>
      <c r="M395" s="18" t="s">
        <v>99</v>
      </c>
      <c r="N395" s="18" t="s">
        <v>98</v>
      </c>
      <c r="O395" s="18">
        <v>24.2</v>
      </c>
      <c r="P395" s="18" t="s">
        <v>263</v>
      </c>
      <c r="Q395" s="16">
        <v>44757.0</v>
      </c>
      <c r="R395" s="16" t="s">
        <v>38</v>
      </c>
      <c r="S395" s="13" t="s">
        <v>55</v>
      </c>
      <c r="T395" s="13" t="s">
        <v>104</v>
      </c>
      <c r="U395" s="13">
        <f t="shared" si="1"/>
        <v>2</v>
      </c>
      <c r="V395" s="13" t="str">
        <f t="shared" si="2"/>
        <v>C01258|Arun Nair|28|North|Lucknow|Standard|Google Ads|3/13/2022|5|Annual|Debit Card|1,255|4|1|24.20|2.9|7/15/2022||Active|Analytics</v>
      </c>
      <c r="W395" s="13">
        <f t="shared" si="3"/>
        <v>1</v>
      </c>
      <c r="X395" s="13">
        <f>IFERROR(__xludf.DUMMYFUNCTION("COUNTUNIQUE(FILTER($B$2:$B$1826,$A$2:$A$1826=A395))"),2.0)</f>
        <v>2</v>
      </c>
    </row>
    <row r="396">
      <c r="A396" s="13" t="s">
        <v>733</v>
      </c>
      <c r="B396" s="13" t="s">
        <v>393</v>
      </c>
      <c r="C396" s="14">
        <v>65.0</v>
      </c>
      <c r="D396" s="13" t="s">
        <v>85</v>
      </c>
      <c r="E396" s="13" t="s">
        <v>92</v>
      </c>
      <c r="F396" s="13" t="s">
        <v>62</v>
      </c>
      <c r="G396" s="13" t="s">
        <v>210</v>
      </c>
      <c r="H396" s="16">
        <v>45363.0</v>
      </c>
      <c r="I396" s="14">
        <v>37.0</v>
      </c>
      <c r="J396" s="13" t="s">
        <v>40</v>
      </c>
      <c r="K396" s="13" t="s">
        <v>81</v>
      </c>
      <c r="L396" s="14">
        <v>861.0</v>
      </c>
      <c r="M396" s="18" t="s">
        <v>98</v>
      </c>
      <c r="N396" s="18" t="s">
        <v>46</v>
      </c>
      <c r="O396" s="18">
        <v>18.6</v>
      </c>
      <c r="P396" s="18" t="s">
        <v>310</v>
      </c>
      <c r="Q396" s="16">
        <v>46352.0</v>
      </c>
      <c r="R396" s="16" t="s">
        <v>38</v>
      </c>
      <c r="S396" s="13" t="s">
        <v>55</v>
      </c>
      <c r="T396" s="13" t="s">
        <v>47</v>
      </c>
      <c r="U396" s="13">
        <f t="shared" si="1"/>
        <v>4</v>
      </c>
      <c r="V396" s="13" t="str">
        <f t="shared" si="2"/>
        <v>C00078|Karan Das|65|West|Ahmedabad|Basic|Referral|3/12/2024|37|Monthly|Debit Card|861|1|0|18.60|3.1|11/26/2026||Active|Cloud Storage</v>
      </c>
      <c r="W396" s="13">
        <f t="shared" si="3"/>
        <v>1</v>
      </c>
      <c r="X396" s="13">
        <f>IFERROR(__xludf.DUMMYFUNCTION("COUNTUNIQUE(FILTER($B$2:$B$1826,$A$2:$A$1826=A396))"),4.0)</f>
        <v>4</v>
      </c>
    </row>
    <row r="397">
      <c r="A397" s="13" t="s">
        <v>95</v>
      </c>
      <c r="B397" s="13" t="s">
        <v>342</v>
      </c>
      <c r="C397" s="14">
        <v>53.0</v>
      </c>
      <c r="D397" s="13" t="s">
        <v>85</v>
      </c>
      <c r="E397" s="13" t="s">
        <v>87</v>
      </c>
      <c r="F397" s="13" t="s">
        <v>62</v>
      </c>
      <c r="G397" s="13" t="s">
        <v>80</v>
      </c>
      <c r="H397" s="16">
        <v>45297.0</v>
      </c>
      <c r="I397" s="14">
        <v>22.0</v>
      </c>
      <c r="J397" s="13" t="s">
        <v>53</v>
      </c>
      <c r="K397" s="13" t="s">
        <v>41</v>
      </c>
      <c r="L397" s="14">
        <v>704.0</v>
      </c>
      <c r="M397" s="18" t="s">
        <v>43</v>
      </c>
      <c r="N397" s="18" t="s">
        <v>98</v>
      </c>
      <c r="O397" s="18">
        <v>5.8</v>
      </c>
      <c r="P397" s="18" t="s">
        <v>158</v>
      </c>
      <c r="Q397" s="16">
        <v>45969.0</v>
      </c>
      <c r="R397" s="16" t="s">
        <v>38</v>
      </c>
      <c r="S397" s="13" t="s">
        <v>55</v>
      </c>
      <c r="T397" s="13" t="s">
        <v>75</v>
      </c>
      <c r="U397" s="13">
        <f t="shared" si="1"/>
        <v>4</v>
      </c>
      <c r="V397" s="13" t="str">
        <f t="shared" si="2"/>
        <v>C00007|Priya Reddy|53|West|Surat|Basic|Organic Search|1/6/2024|22|Quarterly|Upi|704|2|1|5.80|4.7|11/8/2025||Active|Security</v>
      </c>
      <c r="W397" s="13">
        <f t="shared" si="3"/>
        <v>1</v>
      </c>
      <c r="X397" s="13">
        <f>IFERROR(__xludf.DUMMYFUNCTION("COUNTUNIQUE(FILTER($B$2:$B$1826,$A$2:$A$1826=A397))"),4.0)</f>
        <v>4</v>
      </c>
    </row>
    <row r="398">
      <c r="A398" s="13" t="s">
        <v>909</v>
      </c>
      <c r="B398" s="13" t="s">
        <v>229</v>
      </c>
      <c r="C398" s="14">
        <v>24.0</v>
      </c>
      <c r="D398" s="13" t="s">
        <v>85</v>
      </c>
      <c r="E398" s="13" t="s">
        <v>97</v>
      </c>
      <c r="F398" s="13" t="s">
        <v>62</v>
      </c>
      <c r="G398" s="13" t="s">
        <v>63</v>
      </c>
      <c r="H398" s="16">
        <v>45348.0</v>
      </c>
      <c r="I398" s="14">
        <v>43.0</v>
      </c>
      <c r="J398" s="13" t="s">
        <v>64</v>
      </c>
      <c r="K398" s="13" t="s">
        <v>65</v>
      </c>
      <c r="L398" s="14">
        <v>855.0</v>
      </c>
      <c r="M398" s="18" t="s">
        <v>98</v>
      </c>
      <c r="N398" s="18" t="s">
        <v>98</v>
      </c>
      <c r="O398" s="18">
        <v>32.5</v>
      </c>
      <c r="P398" s="18" t="s">
        <v>310</v>
      </c>
      <c r="Q398" s="16">
        <v>45576.0</v>
      </c>
      <c r="R398" s="16" t="s">
        <v>38</v>
      </c>
      <c r="S398" s="13" t="s">
        <v>55</v>
      </c>
      <c r="T398" s="13" t="s">
        <v>47</v>
      </c>
      <c r="U398" s="13">
        <f t="shared" si="1"/>
        <v>4</v>
      </c>
      <c r="V398" s="13" t="str">
        <f t="shared" si="2"/>
        <v>C01558|Anita Nair|24|West|Bhubaneswar|Basic|Google Ads|2/26/2024|43|Annual|Credit Card|855|1|1|32.50|3.1|10/11/2024||Active|Cloud Storage</v>
      </c>
      <c r="W398" s="13">
        <f t="shared" si="3"/>
        <v>1</v>
      </c>
      <c r="X398" s="13">
        <f>IFERROR(__xludf.DUMMYFUNCTION("COUNTUNIQUE(FILTER($B$2:$B$1826,$A$2:$A$1826=A398))"),4.0)</f>
        <v>4</v>
      </c>
    </row>
    <row r="399">
      <c r="A399" s="13" t="s">
        <v>911</v>
      </c>
      <c r="B399" s="13" t="s">
        <v>645</v>
      </c>
      <c r="C399" s="14">
        <v>20.0</v>
      </c>
      <c r="D399" s="13" t="s">
        <v>85</v>
      </c>
      <c r="E399" s="13" t="s">
        <v>51</v>
      </c>
      <c r="F399" s="13" t="s">
        <v>62</v>
      </c>
      <c r="G399" s="13" t="s">
        <v>80</v>
      </c>
      <c r="H399" s="16">
        <v>45050.0</v>
      </c>
      <c r="I399" s="14">
        <v>32.0</v>
      </c>
      <c r="J399" s="13" t="s">
        <v>40</v>
      </c>
      <c r="K399" s="13" t="s">
        <v>65</v>
      </c>
      <c r="L399" s="14">
        <v>775.0</v>
      </c>
      <c r="M399" s="18" t="s">
        <v>98</v>
      </c>
      <c r="N399" s="18" t="s">
        <v>98</v>
      </c>
      <c r="O399" s="18">
        <v>29.1</v>
      </c>
      <c r="P399" s="18" t="s">
        <v>158</v>
      </c>
      <c r="Q399" s="16">
        <v>45571.0</v>
      </c>
      <c r="R399" s="16" t="s">
        <v>38</v>
      </c>
      <c r="S399" s="13" t="s">
        <v>55</v>
      </c>
      <c r="T399" s="13" t="s">
        <v>104</v>
      </c>
      <c r="U399" s="13">
        <f t="shared" si="1"/>
        <v>1</v>
      </c>
      <c r="V399" s="13" t="str">
        <f t="shared" si="2"/>
        <v>C00287|Ravi Nair|20|West|Jaipur|Basic|Organic Search|5/4/2023|32|Monthly|Credit Card|775|1|1|29.10|4.7|10/6/2024||Active|Analytics</v>
      </c>
      <c r="W399" s="13">
        <f t="shared" si="3"/>
        <v>1</v>
      </c>
      <c r="X399" s="13">
        <f>IFERROR(__xludf.DUMMYFUNCTION("COUNTUNIQUE(FILTER($B$2:$B$1826,$A$2:$A$1826=A399))"),1.0)</f>
        <v>1</v>
      </c>
    </row>
    <row r="400">
      <c r="A400" s="13" t="s">
        <v>912</v>
      </c>
      <c r="B400" s="13" t="s">
        <v>215</v>
      </c>
      <c r="C400" s="14">
        <v>21.0</v>
      </c>
      <c r="D400" s="13" t="s">
        <v>35</v>
      </c>
      <c r="E400" s="13" t="s">
        <v>140</v>
      </c>
      <c r="F400" s="13" t="s">
        <v>62</v>
      </c>
      <c r="G400" s="13" t="s">
        <v>128</v>
      </c>
      <c r="H400" s="16">
        <v>45901.0</v>
      </c>
      <c r="I400" s="14">
        <v>43.0</v>
      </c>
      <c r="J400" s="13" t="s">
        <v>64</v>
      </c>
      <c r="K400" s="13" t="s">
        <v>41</v>
      </c>
      <c r="L400" s="14">
        <v>846.0</v>
      </c>
      <c r="M400" s="18" t="s">
        <v>98</v>
      </c>
      <c r="N400" s="18" t="s">
        <v>98</v>
      </c>
      <c r="O400" s="18">
        <v>15.6</v>
      </c>
      <c r="P400" s="18" t="s">
        <v>185</v>
      </c>
      <c r="Q400" s="16">
        <v>47097.0</v>
      </c>
      <c r="R400" s="16" t="s">
        <v>38</v>
      </c>
      <c r="S400" s="13" t="s">
        <v>55</v>
      </c>
      <c r="T400" s="13" t="s">
        <v>75</v>
      </c>
      <c r="U400" s="13">
        <f t="shared" si="1"/>
        <v>2</v>
      </c>
      <c r="V400" s="13" t="str">
        <f t="shared" si="2"/>
        <v>C00692|Neha Sharma|21|North|Lucknow|Basic|Youtube|9/1/2025|43|Annual|Upi|846|1|1|15.60|3.2|12/10/2028||Active|Security</v>
      </c>
      <c r="W400" s="13">
        <f t="shared" si="3"/>
        <v>1</v>
      </c>
      <c r="X400" s="13">
        <f>IFERROR(__xludf.DUMMYFUNCTION("COUNTUNIQUE(FILTER($B$2:$B$1826,$A$2:$A$1826=A400))"),2.0)</f>
        <v>2</v>
      </c>
    </row>
    <row r="401">
      <c r="A401" s="13" t="s">
        <v>913</v>
      </c>
      <c r="B401" s="13" t="s">
        <v>331</v>
      </c>
      <c r="C401" s="14">
        <v>25.0</v>
      </c>
      <c r="D401" s="13" t="s">
        <v>35</v>
      </c>
      <c r="E401" s="13" t="s">
        <v>140</v>
      </c>
      <c r="F401" s="13" t="s">
        <v>79</v>
      </c>
      <c r="G401" s="13" t="s">
        <v>80</v>
      </c>
      <c r="H401" s="16">
        <v>44655.0</v>
      </c>
      <c r="I401" s="14">
        <v>16.0</v>
      </c>
      <c r="J401" s="13" t="s">
        <v>53</v>
      </c>
      <c r="K401" s="13" t="s">
        <v>81</v>
      </c>
      <c r="L401" s="14">
        <v>2351.0</v>
      </c>
      <c r="M401" s="18" t="s">
        <v>98</v>
      </c>
      <c r="N401" s="18" t="s">
        <v>98</v>
      </c>
      <c r="O401" s="18">
        <v>27.4</v>
      </c>
      <c r="P401" s="18" t="s">
        <v>225</v>
      </c>
      <c r="Q401" s="16">
        <v>44988.0</v>
      </c>
      <c r="R401" s="16" t="s">
        <v>38</v>
      </c>
      <c r="S401" s="13" t="s">
        <v>55</v>
      </c>
      <c r="T401" s="13" t="s">
        <v>47</v>
      </c>
      <c r="U401" s="13">
        <f t="shared" si="1"/>
        <v>1</v>
      </c>
      <c r="V401" s="13" t="str">
        <f t="shared" si="2"/>
        <v>C01340|Arun Iyer|25|North|Lucknow|Premium|Organic Search|4/4/2022|16|Quarterly|Debit Card|2,351|1|1|27.40|3.8|3/3/2023||Active|Cloud Storage</v>
      </c>
      <c r="W401" s="13">
        <f t="shared" si="3"/>
        <v>1</v>
      </c>
      <c r="X401" s="13">
        <f>IFERROR(__xludf.DUMMYFUNCTION("COUNTUNIQUE(FILTER($B$2:$B$1826,$A$2:$A$1826=A401))"),1.0)</f>
        <v>1</v>
      </c>
    </row>
    <row r="402">
      <c r="A402" s="13" t="s">
        <v>792</v>
      </c>
      <c r="B402" s="13" t="s">
        <v>411</v>
      </c>
      <c r="C402" s="14">
        <v>26.0</v>
      </c>
      <c r="D402" s="13" t="s">
        <v>35</v>
      </c>
      <c r="E402" s="13" t="s">
        <v>36</v>
      </c>
      <c r="F402" s="13" t="s">
        <v>62</v>
      </c>
      <c r="G402" s="13" t="s">
        <v>80</v>
      </c>
      <c r="H402" s="16">
        <v>45822.0</v>
      </c>
      <c r="I402" s="14">
        <v>15.0</v>
      </c>
      <c r="J402" s="13" t="s">
        <v>64</v>
      </c>
      <c r="K402" s="13" t="s">
        <v>81</v>
      </c>
      <c r="L402" s="14">
        <v>602.0</v>
      </c>
      <c r="M402" s="18" t="s">
        <v>43</v>
      </c>
      <c r="N402" s="18" t="s">
        <v>46</v>
      </c>
      <c r="O402" s="18">
        <v>12.9</v>
      </c>
      <c r="P402" s="18" t="s">
        <v>173</v>
      </c>
      <c r="Q402" s="16">
        <v>46247.0</v>
      </c>
      <c r="R402" s="16" t="s">
        <v>38</v>
      </c>
      <c r="S402" s="13" t="s">
        <v>55</v>
      </c>
      <c r="T402" s="13" t="s">
        <v>66</v>
      </c>
      <c r="U402" s="13">
        <f t="shared" si="1"/>
        <v>2</v>
      </c>
      <c r="V402" s="13" t="str">
        <f t="shared" si="2"/>
        <v>C01211|Karan Reddy|26|North|Delhi|Basic|Organic Search|6/14/2025|15|Annual|Debit Card|602|2|0|12.90|5|8/13/2026||Active|Automation</v>
      </c>
      <c r="W402" s="13">
        <f t="shared" si="3"/>
        <v>1</v>
      </c>
      <c r="X402" s="13">
        <f>IFERROR(__xludf.DUMMYFUNCTION("COUNTUNIQUE(FILTER($B$2:$B$1826,$A$2:$A$1826=A402))"),2.0)</f>
        <v>2</v>
      </c>
    </row>
    <row r="403">
      <c r="A403" s="13" t="s">
        <v>646</v>
      </c>
      <c r="B403" s="13" t="s">
        <v>405</v>
      </c>
      <c r="C403" s="14">
        <v>54.0</v>
      </c>
      <c r="D403" s="13" t="s">
        <v>60</v>
      </c>
      <c r="E403" s="13" t="s">
        <v>97</v>
      </c>
      <c r="F403" s="13" t="s">
        <v>37</v>
      </c>
      <c r="G403" s="13" t="s">
        <v>80</v>
      </c>
      <c r="H403" s="16">
        <v>44917.0</v>
      </c>
      <c r="I403" s="14">
        <v>22.0</v>
      </c>
      <c r="J403" s="13" t="s">
        <v>40</v>
      </c>
      <c r="K403" s="13" t="s">
        <v>65</v>
      </c>
      <c r="L403" s="14">
        <v>1143.0</v>
      </c>
      <c r="M403" s="18" t="s">
        <v>164</v>
      </c>
      <c r="N403" s="18" t="s">
        <v>46</v>
      </c>
      <c r="O403" s="18">
        <v>14.0</v>
      </c>
      <c r="P403" s="18" t="s">
        <v>48</v>
      </c>
      <c r="Q403" s="16">
        <v>45352.0</v>
      </c>
      <c r="R403" s="16" t="s">
        <v>38</v>
      </c>
      <c r="S403" s="13" t="s">
        <v>55</v>
      </c>
      <c r="T403" s="13" t="s">
        <v>47</v>
      </c>
      <c r="U403" s="13">
        <f t="shared" si="1"/>
        <v>3</v>
      </c>
      <c r="V403" s="13" t="str">
        <f t="shared" si="2"/>
        <v>C00282|Rahul Reddy|54|East|Bhubaneswar|Standard|Organic Search|12/22/2022|22|Monthly|Credit Card|1,143|3|0|14.00|3.6|3/1/2024||Active|Cloud Storage</v>
      </c>
      <c r="W403" s="13">
        <f t="shared" si="3"/>
        <v>1</v>
      </c>
      <c r="X403" s="13">
        <f>IFERROR(__xludf.DUMMYFUNCTION("COUNTUNIQUE(FILTER($B$2:$B$1826,$A$2:$A$1826=A403))"),3.0)</f>
        <v>3</v>
      </c>
    </row>
    <row r="404">
      <c r="A404" s="13" t="s">
        <v>914</v>
      </c>
      <c r="B404" s="13" t="s">
        <v>303</v>
      </c>
      <c r="C404" s="14">
        <v>19.0</v>
      </c>
      <c r="D404" s="13" t="s">
        <v>85</v>
      </c>
      <c r="E404" s="13" t="s">
        <v>51</v>
      </c>
      <c r="F404" s="13" t="s">
        <v>62</v>
      </c>
      <c r="G404" s="13" t="s">
        <v>128</v>
      </c>
      <c r="H404" s="16">
        <v>45856.0</v>
      </c>
      <c r="I404" s="14">
        <v>40.0</v>
      </c>
      <c r="J404" s="13" t="s">
        <v>40</v>
      </c>
      <c r="K404" s="13" t="s">
        <v>41</v>
      </c>
      <c r="L404" s="14">
        <v>579.0</v>
      </c>
      <c r="M404" s="18" t="s">
        <v>164</v>
      </c>
      <c r="N404" s="18" t="s">
        <v>46</v>
      </c>
      <c r="O404" s="18">
        <v>13.6</v>
      </c>
      <c r="P404" s="18" t="s">
        <v>233</v>
      </c>
      <c r="Q404" s="16">
        <v>46863.0</v>
      </c>
      <c r="R404" s="16" t="s">
        <v>38</v>
      </c>
      <c r="S404" s="13" t="s">
        <v>55</v>
      </c>
      <c r="T404" s="13" t="s">
        <v>66</v>
      </c>
      <c r="U404" s="13">
        <f t="shared" si="1"/>
        <v>1</v>
      </c>
      <c r="V404" s="13" t="str">
        <f t="shared" si="2"/>
        <v>C01192|Priya Kumar|19|West|Jaipur|Basic|Youtube|7/18/2025|40|Monthly|Upi|579|3|0|13.60|3.5|4/20/2028||Active|Automation</v>
      </c>
      <c r="W404" s="13">
        <f t="shared" si="3"/>
        <v>1</v>
      </c>
      <c r="X404" s="13">
        <f>IFERROR(__xludf.DUMMYFUNCTION("COUNTUNIQUE(FILTER($B$2:$B$1826,$A$2:$A$1826=A404))"),1.0)</f>
        <v>1</v>
      </c>
    </row>
    <row r="405">
      <c r="A405" s="13" t="s">
        <v>359</v>
      </c>
      <c r="B405" s="13" t="s">
        <v>239</v>
      </c>
      <c r="C405" s="14">
        <v>57.0</v>
      </c>
      <c r="D405" s="13" t="s">
        <v>85</v>
      </c>
      <c r="E405" s="13" t="s">
        <v>87</v>
      </c>
      <c r="F405" s="13" t="s">
        <v>37</v>
      </c>
      <c r="G405" s="13" t="s">
        <v>39</v>
      </c>
      <c r="H405" s="16">
        <v>44855.0</v>
      </c>
      <c r="I405" s="14">
        <v>41.0</v>
      </c>
      <c r="J405" s="13" t="s">
        <v>40</v>
      </c>
      <c r="K405" s="13" t="s">
        <v>81</v>
      </c>
      <c r="L405" s="14">
        <v>1420.0</v>
      </c>
      <c r="M405" s="18" t="s">
        <v>43</v>
      </c>
      <c r="N405" s="18" t="s">
        <v>164</v>
      </c>
      <c r="O405" s="18">
        <v>37.5</v>
      </c>
      <c r="P405" s="18" t="s">
        <v>296</v>
      </c>
      <c r="Q405" s="16">
        <v>45222.0</v>
      </c>
      <c r="R405" s="16" t="s">
        <v>38</v>
      </c>
      <c r="S405" s="13" t="s">
        <v>55</v>
      </c>
      <c r="T405" s="13" t="s">
        <v>75</v>
      </c>
      <c r="U405" s="13">
        <f t="shared" si="1"/>
        <v>3</v>
      </c>
      <c r="V405" s="13" t="str">
        <f t="shared" si="2"/>
        <v>C00582|Meera Kumar|57|West|Surat|Standard|Instagram|10/21/2022|41|Monthly|Debit Card|1,420|2|3|37.50|4.6|10/23/2023||Active|Security</v>
      </c>
      <c r="W405" s="13">
        <f t="shared" si="3"/>
        <v>1</v>
      </c>
      <c r="X405" s="13">
        <f>IFERROR(__xludf.DUMMYFUNCTION("COUNTUNIQUE(FILTER($B$2:$B$1826,$A$2:$A$1826=A405))"),3.0)</f>
        <v>3</v>
      </c>
    </row>
    <row r="406">
      <c r="A406" s="13" t="s">
        <v>915</v>
      </c>
      <c r="B406" s="13" t="s">
        <v>395</v>
      </c>
      <c r="C406" s="14">
        <v>48.0</v>
      </c>
      <c r="D406" s="13" t="s">
        <v>35</v>
      </c>
      <c r="E406" s="13" t="s">
        <v>161</v>
      </c>
      <c r="F406" s="13" t="s">
        <v>62</v>
      </c>
      <c r="G406" s="13" t="s">
        <v>63</v>
      </c>
      <c r="H406" s="16">
        <v>45704.0</v>
      </c>
      <c r="I406" s="14">
        <v>16.0</v>
      </c>
      <c r="J406" s="13" t="s">
        <v>64</v>
      </c>
      <c r="K406" s="13" t="s">
        <v>81</v>
      </c>
      <c r="L406" s="14">
        <v>770.0</v>
      </c>
      <c r="M406" s="18" t="s">
        <v>98</v>
      </c>
      <c r="N406" s="18" t="s">
        <v>43</v>
      </c>
      <c r="O406" s="18">
        <v>22.4</v>
      </c>
      <c r="P406" s="18" t="s">
        <v>99</v>
      </c>
      <c r="Q406" s="16">
        <v>45899.0</v>
      </c>
      <c r="R406" s="16" t="s">
        <v>38</v>
      </c>
      <c r="S406" s="13" t="s">
        <v>55</v>
      </c>
      <c r="T406" s="13" t="s">
        <v>47</v>
      </c>
      <c r="U406" s="13">
        <f t="shared" si="1"/>
        <v>1</v>
      </c>
      <c r="V406" s="13" t="str">
        <f t="shared" si="2"/>
        <v>C01254|Ravi Singh|48|North|Chandigarh|Basic|Google Ads|2/16/2025|16|Annual|Debit Card|770|1|2|22.40|4|8/30/2025||Active|Cloud Storage</v>
      </c>
      <c r="W406" s="13">
        <f t="shared" si="3"/>
        <v>1</v>
      </c>
      <c r="X406" s="13">
        <f>IFERROR(__xludf.DUMMYFUNCTION("COUNTUNIQUE(FILTER($B$2:$B$1826,$A$2:$A$1826=A406))"),1.0)</f>
        <v>1</v>
      </c>
    </row>
    <row r="407">
      <c r="A407" s="13" t="s">
        <v>917</v>
      </c>
      <c r="B407" s="13" t="s">
        <v>295</v>
      </c>
      <c r="C407" s="14">
        <v>37.0</v>
      </c>
      <c r="D407" s="13" t="s">
        <v>35</v>
      </c>
      <c r="E407" s="13" t="s">
        <v>51</v>
      </c>
      <c r="F407" s="13" t="s">
        <v>62</v>
      </c>
      <c r="G407" s="13" t="s">
        <v>39</v>
      </c>
      <c r="H407" s="16">
        <v>45965.0</v>
      </c>
      <c r="I407" s="14">
        <v>31.0</v>
      </c>
      <c r="J407" s="13" t="s">
        <v>40</v>
      </c>
      <c r="K407" s="13" t="s">
        <v>65</v>
      </c>
      <c r="L407" s="14">
        <v>580.0</v>
      </c>
      <c r="M407" s="18" t="s">
        <v>98</v>
      </c>
      <c r="N407" s="18" t="s">
        <v>43</v>
      </c>
      <c r="O407" s="18">
        <v>18.4</v>
      </c>
      <c r="P407" s="18" t="s">
        <v>233</v>
      </c>
      <c r="Q407" s="16">
        <v>46019.0</v>
      </c>
      <c r="R407" s="16" t="s">
        <v>38</v>
      </c>
      <c r="S407" s="13" t="s">
        <v>55</v>
      </c>
      <c r="T407" s="13" t="s">
        <v>72</v>
      </c>
      <c r="U407" s="13">
        <f t="shared" si="1"/>
        <v>3</v>
      </c>
      <c r="V407" s="13" t="str">
        <f t="shared" si="2"/>
        <v>C00567|Arun Reddy|37|North|Jaipur|Basic|Instagram|11/4/2025|31|Monthly|Credit Card|580|1|2|18.40|3.5|12/28/2025||Active|Collaboration</v>
      </c>
      <c r="W407" s="13">
        <f t="shared" si="3"/>
        <v>1</v>
      </c>
      <c r="X407" s="13">
        <f>IFERROR(__xludf.DUMMYFUNCTION("COUNTUNIQUE(FILTER($B$2:$B$1826,$A$2:$A$1826=A407))"),3.0)</f>
        <v>3</v>
      </c>
    </row>
    <row r="408">
      <c r="A408" s="13" t="s">
        <v>918</v>
      </c>
      <c r="B408" s="13" t="s">
        <v>349</v>
      </c>
      <c r="C408" s="14">
        <v>65.0</v>
      </c>
      <c r="D408" s="13" t="s">
        <v>85</v>
      </c>
      <c r="E408" s="13" t="s">
        <v>292</v>
      </c>
      <c r="F408" s="13" t="s">
        <v>62</v>
      </c>
      <c r="G408" s="13" t="s">
        <v>63</v>
      </c>
      <c r="H408" s="16">
        <v>45662.0</v>
      </c>
      <c r="I408" s="14">
        <v>12.0</v>
      </c>
      <c r="J408" s="13" t="s">
        <v>53</v>
      </c>
      <c r="K408" s="13" t="s">
        <v>81</v>
      </c>
      <c r="L408" s="14">
        <v>513.0</v>
      </c>
      <c r="M408" s="18" t="s">
        <v>98</v>
      </c>
      <c r="N408" s="18" t="s">
        <v>46</v>
      </c>
      <c r="O408" s="18">
        <v>22.5</v>
      </c>
      <c r="P408" s="18" t="s">
        <v>701</v>
      </c>
      <c r="Q408" s="16">
        <v>45731.0</v>
      </c>
      <c r="R408" s="16" t="s">
        <v>38</v>
      </c>
      <c r="S408" s="13" t="s">
        <v>55</v>
      </c>
      <c r="T408" s="13" t="s">
        <v>66</v>
      </c>
      <c r="U408" s="13">
        <f t="shared" si="1"/>
        <v>2</v>
      </c>
      <c r="V408" s="13" t="str">
        <f t="shared" si="2"/>
        <v>C00685|Priya Singh|65|West|Mumbai|Basic|Google Ads|1/5/2025|12|Quarterly|Debit Card|513|1|0|22.50|2.8|3/15/2025||Active|Automation</v>
      </c>
      <c r="W408" s="13">
        <f t="shared" si="3"/>
        <v>1</v>
      </c>
      <c r="X408" s="13">
        <f>IFERROR(__xludf.DUMMYFUNCTION("COUNTUNIQUE(FILTER($B$2:$B$1826,$A$2:$A$1826=A408))"),2.0)</f>
        <v>2</v>
      </c>
    </row>
    <row r="409">
      <c r="A409" s="13" t="s">
        <v>919</v>
      </c>
      <c r="B409" s="13" t="s">
        <v>333</v>
      </c>
      <c r="C409" s="14">
        <v>33.0</v>
      </c>
      <c r="D409" s="13" t="s">
        <v>85</v>
      </c>
      <c r="E409" s="13" t="s">
        <v>111</v>
      </c>
      <c r="F409" s="13" t="s">
        <v>37</v>
      </c>
      <c r="G409" s="13" t="s">
        <v>210</v>
      </c>
      <c r="H409" s="16">
        <v>45033.0</v>
      </c>
      <c r="I409" s="14">
        <v>0.0</v>
      </c>
      <c r="J409" s="13" t="s">
        <v>40</v>
      </c>
      <c r="K409" s="13" t="s">
        <v>65</v>
      </c>
      <c r="L409" s="14">
        <v>1241.0</v>
      </c>
      <c r="M409" s="18" t="s">
        <v>164</v>
      </c>
      <c r="N409" s="18" t="s">
        <v>98</v>
      </c>
      <c r="O409" s="18">
        <v>21.1</v>
      </c>
      <c r="P409" s="18" t="s">
        <v>48</v>
      </c>
      <c r="Q409" s="16">
        <v>45148.0</v>
      </c>
      <c r="R409" s="16" t="s">
        <v>38</v>
      </c>
      <c r="S409" s="13" t="s">
        <v>55</v>
      </c>
      <c r="T409" s="13" t="s">
        <v>66</v>
      </c>
      <c r="U409" s="13">
        <f t="shared" si="1"/>
        <v>2</v>
      </c>
      <c r="V409" s="13" t="str">
        <f t="shared" si="2"/>
        <v>C00668|Neha Das|33|West|Pune|Standard|Referral|4/17/2023|0|Monthly|Credit Card|1,241|3|1|21.10|3.6|8/10/2023||Active|Automation</v>
      </c>
      <c r="W409" s="13">
        <f t="shared" si="3"/>
        <v>1</v>
      </c>
      <c r="X409" s="13">
        <f>IFERROR(__xludf.DUMMYFUNCTION("COUNTUNIQUE(FILTER($B$2:$B$1826,$A$2:$A$1826=A409))"),2.0)</f>
        <v>2</v>
      </c>
    </row>
    <row r="410">
      <c r="A410" s="13" t="s">
        <v>920</v>
      </c>
      <c r="B410" s="13" t="s">
        <v>224</v>
      </c>
      <c r="C410" s="14">
        <v>31.0</v>
      </c>
      <c r="D410" s="13" t="s">
        <v>35</v>
      </c>
      <c r="E410" s="13" t="s">
        <v>140</v>
      </c>
      <c r="F410" s="13" t="s">
        <v>62</v>
      </c>
      <c r="G410" s="13" t="s">
        <v>80</v>
      </c>
      <c r="H410" s="16">
        <v>45493.0</v>
      </c>
      <c r="I410" s="14">
        <v>12.0</v>
      </c>
      <c r="J410" s="13" t="s">
        <v>53</v>
      </c>
      <c r="K410" s="13" t="s">
        <v>41</v>
      </c>
      <c r="L410" s="14">
        <v>568.0</v>
      </c>
      <c r="M410" s="18" t="s">
        <v>43</v>
      </c>
      <c r="N410" s="18" t="s">
        <v>98</v>
      </c>
      <c r="O410" s="18">
        <v>18.1</v>
      </c>
      <c r="P410" s="18" t="s">
        <v>48</v>
      </c>
      <c r="Q410" s="16">
        <v>45602.0</v>
      </c>
      <c r="R410" s="16" t="s">
        <v>38</v>
      </c>
      <c r="S410" s="13" t="s">
        <v>55</v>
      </c>
      <c r="T410" s="13" t="s">
        <v>104</v>
      </c>
      <c r="U410" s="13">
        <f t="shared" si="1"/>
        <v>1</v>
      </c>
      <c r="V410" s="13" t="str">
        <f t="shared" si="2"/>
        <v>C00993|Anita Iyer|31|North|Lucknow|Basic|Organic Search|7/20/2024|12|Quarterly|Upi|568|2|1|18.10|3.6|11/6/2024||Active|Analytics</v>
      </c>
      <c r="W410" s="13">
        <f t="shared" si="3"/>
        <v>1</v>
      </c>
      <c r="X410" s="13">
        <f>IFERROR(__xludf.DUMMYFUNCTION("COUNTUNIQUE(FILTER($B$2:$B$1826,$A$2:$A$1826=A410))"),1.0)</f>
        <v>1</v>
      </c>
    </row>
    <row r="411">
      <c r="A411" s="13" t="s">
        <v>469</v>
      </c>
      <c r="B411" s="13" t="s">
        <v>78</v>
      </c>
      <c r="C411" s="14">
        <v>59.0</v>
      </c>
      <c r="D411" s="13" t="s">
        <v>35</v>
      </c>
      <c r="E411" s="13" t="s">
        <v>161</v>
      </c>
      <c r="F411" s="13" t="s">
        <v>62</v>
      </c>
      <c r="G411" s="13" t="s">
        <v>128</v>
      </c>
      <c r="H411" s="16">
        <v>45515.0</v>
      </c>
      <c r="I411" s="14">
        <v>30.0</v>
      </c>
      <c r="J411" s="13" t="s">
        <v>64</v>
      </c>
      <c r="K411" s="13" t="s">
        <v>41</v>
      </c>
      <c r="L411" s="14">
        <v>888.0</v>
      </c>
      <c r="M411" s="18" t="s">
        <v>98</v>
      </c>
      <c r="N411" s="18" t="s">
        <v>46</v>
      </c>
      <c r="O411" s="18">
        <v>20.4</v>
      </c>
      <c r="P411" s="18" t="s">
        <v>233</v>
      </c>
      <c r="Q411" s="16">
        <v>46432.0</v>
      </c>
      <c r="R411" s="16" t="s">
        <v>38</v>
      </c>
      <c r="S411" s="13" t="s">
        <v>55</v>
      </c>
      <c r="T411" s="13" t="s">
        <v>66</v>
      </c>
      <c r="U411" s="13">
        <f t="shared" si="1"/>
        <v>3</v>
      </c>
      <c r="V411" s="13" t="str">
        <f t="shared" si="2"/>
        <v>C01418|Vikram Patel|59|North|Chandigarh|Basic|Youtube|8/11/2024|30|Annual|Upi|888|1|0|20.40|3.5|2/14/2027||Active|Automation</v>
      </c>
      <c r="W411" s="13">
        <f t="shared" si="3"/>
        <v>1</v>
      </c>
      <c r="X411" s="13">
        <f>IFERROR(__xludf.DUMMYFUNCTION("COUNTUNIQUE(FILTER($B$2:$B$1826,$A$2:$A$1826=A411))"),2.0)</f>
        <v>2</v>
      </c>
    </row>
    <row r="412">
      <c r="A412" s="13" t="s">
        <v>922</v>
      </c>
      <c r="B412" s="13" t="s">
        <v>801</v>
      </c>
      <c r="C412" s="14">
        <v>34.0</v>
      </c>
      <c r="D412" s="13" t="s">
        <v>69</v>
      </c>
      <c r="E412" s="13" t="s">
        <v>70</v>
      </c>
      <c r="F412" s="13" t="s">
        <v>62</v>
      </c>
      <c r="G412" s="13" t="s">
        <v>80</v>
      </c>
      <c r="H412" s="16">
        <v>45563.0</v>
      </c>
      <c r="I412" s="14">
        <v>14.0</v>
      </c>
      <c r="J412" s="13" t="s">
        <v>53</v>
      </c>
      <c r="K412" s="13" t="s">
        <v>65</v>
      </c>
      <c r="L412" s="14">
        <v>735.0</v>
      </c>
      <c r="M412" s="18" t="s">
        <v>98</v>
      </c>
      <c r="N412" s="18" t="s">
        <v>98</v>
      </c>
      <c r="O412" s="18">
        <v>12.4</v>
      </c>
      <c r="P412" s="18" t="s">
        <v>263</v>
      </c>
      <c r="Q412" s="16">
        <v>45946.0</v>
      </c>
      <c r="R412" s="16" t="s">
        <v>38</v>
      </c>
      <c r="S412" s="13" t="s">
        <v>55</v>
      </c>
      <c r="T412" s="13" t="s">
        <v>66</v>
      </c>
      <c r="U412" s="13">
        <f t="shared" si="1"/>
        <v>1</v>
      </c>
      <c r="V412" s="13" t="str">
        <f t="shared" si="2"/>
        <v>C01133|Karan Singh|34|South|Bengaluru|Basic|Organic Search|9/28/2024|14|Quarterly|Credit Card|735|1|1|12.40|2.9|10/16/2025||Active|Automation</v>
      </c>
      <c r="W412" s="13">
        <f t="shared" si="3"/>
        <v>1</v>
      </c>
      <c r="X412" s="13">
        <f>IFERROR(__xludf.DUMMYFUNCTION("COUNTUNIQUE(FILTER($B$2:$B$1826,$A$2:$A$1826=A412))"),1.0)</f>
        <v>1</v>
      </c>
    </row>
    <row r="413">
      <c r="A413" s="13" t="s">
        <v>923</v>
      </c>
      <c r="B413" s="13" t="s">
        <v>235</v>
      </c>
      <c r="C413" s="14">
        <v>47.0</v>
      </c>
      <c r="D413" s="13" t="s">
        <v>69</v>
      </c>
      <c r="E413" s="13" t="s">
        <v>70</v>
      </c>
      <c r="F413" s="13" t="s">
        <v>62</v>
      </c>
      <c r="G413" s="13" t="s">
        <v>63</v>
      </c>
      <c r="H413" s="16">
        <v>44644.0</v>
      </c>
      <c r="I413" s="14">
        <v>31.0</v>
      </c>
      <c r="J413" s="13" t="s">
        <v>53</v>
      </c>
      <c r="K413" s="13" t="s">
        <v>41</v>
      </c>
      <c r="L413" s="14">
        <v>757.0</v>
      </c>
      <c r="M413" s="18" t="s">
        <v>46</v>
      </c>
      <c r="N413" s="18" t="s">
        <v>173</v>
      </c>
      <c r="O413" s="18">
        <v>30.9</v>
      </c>
      <c r="P413" s="18" t="s">
        <v>296</v>
      </c>
      <c r="Q413" s="16">
        <v>45197.0</v>
      </c>
      <c r="R413" s="16" t="s">
        <v>924</v>
      </c>
      <c r="S413" s="13" t="s">
        <v>45</v>
      </c>
      <c r="T413" s="13" t="s">
        <v>104</v>
      </c>
      <c r="U413" s="13">
        <f t="shared" si="1"/>
        <v>1</v>
      </c>
      <c r="V413" s="13" t="str">
        <f t="shared" si="2"/>
        <v>C00456|Sneha Sharma|47|South|Bengaluru|Basic|Google Ads|3/24/2022|31|Quarterly|Upi|757|0|5|30.90|4.6|9/28/2023|31/05/2023|Churned|Analytics</v>
      </c>
      <c r="W413" s="13">
        <f t="shared" si="3"/>
        <v>1</v>
      </c>
      <c r="X413" s="13">
        <f>IFERROR(__xludf.DUMMYFUNCTION("COUNTUNIQUE(FILTER($B$2:$B$1826,$A$2:$A$1826=A413))"),1.0)</f>
        <v>1</v>
      </c>
    </row>
    <row r="414">
      <c r="A414" s="13" t="s">
        <v>925</v>
      </c>
      <c r="B414" s="13" t="s">
        <v>383</v>
      </c>
      <c r="C414" s="14">
        <v>55.0</v>
      </c>
      <c r="D414" s="13" t="s">
        <v>35</v>
      </c>
      <c r="E414" s="13" t="s">
        <v>140</v>
      </c>
      <c r="F414" s="13" t="s">
        <v>79</v>
      </c>
      <c r="G414" s="13" t="s">
        <v>39</v>
      </c>
      <c r="H414" s="16">
        <v>45296.0</v>
      </c>
      <c r="I414" s="14">
        <v>19.0</v>
      </c>
      <c r="J414" s="13" t="s">
        <v>64</v>
      </c>
      <c r="K414" s="13" t="s">
        <v>81</v>
      </c>
      <c r="L414" s="14">
        <v>2981.0</v>
      </c>
      <c r="M414" s="18" t="s">
        <v>164</v>
      </c>
      <c r="N414" s="18" t="s">
        <v>98</v>
      </c>
      <c r="O414" s="18">
        <v>41.9</v>
      </c>
      <c r="P414" s="18" t="s">
        <v>248</v>
      </c>
      <c r="Q414" s="16">
        <v>45618.0</v>
      </c>
      <c r="R414" s="16" t="s">
        <v>38</v>
      </c>
      <c r="S414" s="13" t="s">
        <v>55</v>
      </c>
      <c r="T414" s="13" t="s">
        <v>104</v>
      </c>
      <c r="U414" s="13">
        <f t="shared" si="1"/>
        <v>3</v>
      </c>
      <c r="V414" s="13" t="str">
        <f t="shared" si="2"/>
        <v>C01144|Rahul Nair|55|North|Lucknow|Premium|Instagram|1/5/2024|19|Annual|Debit Card|2,981|3|1|41.90|2.6|11/22/2024||Active|Analytics</v>
      </c>
      <c r="W414" s="13">
        <f t="shared" si="3"/>
        <v>1</v>
      </c>
      <c r="X414" s="13">
        <f>IFERROR(__xludf.DUMMYFUNCTION("COUNTUNIQUE(FILTER($B$2:$B$1826,$A$2:$A$1826=A414))"),3.0)</f>
        <v>3</v>
      </c>
    </row>
    <row r="415">
      <c r="A415" s="13" t="s">
        <v>131</v>
      </c>
      <c r="B415" s="13" t="s">
        <v>59</v>
      </c>
      <c r="C415" s="14">
        <v>63.0</v>
      </c>
      <c r="D415" s="13" t="s">
        <v>85</v>
      </c>
      <c r="E415" s="13" t="s">
        <v>111</v>
      </c>
      <c r="F415" s="13" t="s">
        <v>79</v>
      </c>
      <c r="G415" s="13" t="s">
        <v>120</v>
      </c>
      <c r="H415" s="16">
        <v>44940.0</v>
      </c>
      <c r="I415" s="14">
        <v>24.0</v>
      </c>
      <c r="J415" s="13" t="s">
        <v>53</v>
      </c>
      <c r="K415" s="13" t="s">
        <v>81</v>
      </c>
      <c r="L415" s="14">
        <v>2001.0</v>
      </c>
      <c r="M415" s="18" t="s">
        <v>98</v>
      </c>
      <c r="N415" s="18" t="s">
        <v>164</v>
      </c>
      <c r="O415" s="18">
        <v>46.6</v>
      </c>
      <c r="P415" s="18" t="s">
        <v>173</v>
      </c>
      <c r="Q415" s="16">
        <v>45592.0</v>
      </c>
      <c r="R415" s="16" t="s">
        <v>38</v>
      </c>
      <c r="S415" s="13" t="s">
        <v>55</v>
      </c>
      <c r="T415" s="13" t="s">
        <v>104</v>
      </c>
      <c r="U415" s="13">
        <f t="shared" si="1"/>
        <v>2</v>
      </c>
      <c r="V415" s="13" t="str">
        <f t="shared" si="2"/>
        <v>C00932|Priya Das|63|West|Pune|Premium|Email|1/14/2023|24|Quarterly|Debit Card|2,001|1|3|46.60|5|10/27/2024||Active|Analytics</v>
      </c>
      <c r="W415" s="13">
        <f t="shared" si="3"/>
        <v>1</v>
      </c>
      <c r="X415" s="13">
        <f>IFERROR(__xludf.DUMMYFUNCTION("COUNTUNIQUE(FILTER($B$2:$B$1826,$A$2:$A$1826=A415))"),2.0)</f>
        <v>2</v>
      </c>
    </row>
    <row r="416">
      <c r="A416" s="13" t="s">
        <v>926</v>
      </c>
      <c r="B416" s="13" t="s">
        <v>167</v>
      </c>
      <c r="C416" s="14">
        <v>22.0</v>
      </c>
      <c r="D416" s="13" t="s">
        <v>85</v>
      </c>
      <c r="E416" s="13" t="s">
        <v>92</v>
      </c>
      <c r="F416" s="13" t="s">
        <v>37</v>
      </c>
      <c r="G416" s="13" t="s">
        <v>80</v>
      </c>
      <c r="H416" s="16">
        <v>45672.0</v>
      </c>
      <c r="I416" s="14">
        <v>37.0</v>
      </c>
      <c r="J416" s="13" t="s">
        <v>40</v>
      </c>
      <c r="K416" s="13" t="s">
        <v>65</v>
      </c>
      <c r="L416" s="14">
        <v>1081.0</v>
      </c>
      <c r="M416" s="18" t="s">
        <v>43</v>
      </c>
      <c r="N416" s="18" t="s">
        <v>43</v>
      </c>
      <c r="O416" s="18">
        <v>17.3</v>
      </c>
      <c r="P416" s="18" t="s">
        <v>275</v>
      </c>
      <c r="Q416" s="16">
        <v>46369.0</v>
      </c>
      <c r="R416" s="16">
        <v>45814.0</v>
      </c>
      <c r="S416" s="13" t="s">
        <v>45</v>
      </c>
      <c r="T416" s="13" t="s">
        <v>72</v>
      </c>
      <c r="U416" s="13">
        <f t="shared" si="1"/>
        <v>2</v>
      </c>
      <c r="V416" s="13" t="str">
        <f t="shared" si="2"/>
        <v>C00608|Ravi Reddy|22|West|Ahmedabad|Standard|Organic Search|1/15/2025|37|Monthly|Credit Card|1,081|2|2|17.30|4.3|12/13/2026|6/6/2025|Churned|Collaboration</v>
      </c>
      <c r="W416" s="13">
        <f t="shared" si="3"/>
        <v>1</v>
      </c>
      <c r="X416" s="13">
        <f>IFERROR(__xludf.DUMMYFUNCTION("COUNTUNIQUE(FILTER($B$2:$B$1826,$A$2:$A$1826=A416))"),2.0)</f>
        <v>2</v>
      </c>
    </row>
    <row r="417">
      <c r="A417" s="13" t="s">
        <v>928</v>
      </c>
      <c r="B417" s="13" t="s">
        <v>312</v>
      </c>
      <c r="C417" s="14">
        <v>53.0</v>
      </c>
      <c r="D417" s="13" t="s">
        <v>35</v>
      </c>
      <c r="E417" s="13" t="s">
        <v>161</v>
      </c>
      <c r="F417" s="13" t="s">
        <v>62</v>
      </c>
      <c r="G417" s="13" t="s">
        <v>52</v>
      </c>
      <c r="H417" s="16">
        <v>45706.0</v>
      </c>
      <c r="I417" s="14">
        <v>46.0</v>
      </c>
      <c r="J417" s="13" t="s">
        <v>40</v>
      </c>
      <c r="K417" s="13" t="s">
        <v>81</v>
      </c>
      <c r="L417" s="14">
        <v>862.0</v>
      </c>
      <c r="M417" s="18" t="s">
        <v>98</v>
      </c>
      <c r="N417" s="18" t="s">
        <v>46</v>
      </c>
      <c r="O417" s="18">
        <v>13.6</v>
      </c>
      <c r="P417" s="18" t="s">
        <v>150</v>
      </c>
      <c r="Q417" s="16">
        <v>45999.0</v>
      </c>
      <c r="R417" s="16" t="s">
        <v>38</v>
      </c>
      <c r="S417" s="13" t="s">
        <v>55</v>
      </c>
      <c r="T417" s="13" t="s">
        <v>75</v>
      </c>
      <c r="U417" s="13">
        <f t="shared" si="1"/>
        <v>1</v>
      </c>
      <c r="V417" s="13" t="str">
        <f t="shared" si="2"/>
        <v>C00954|Anita Singh|53|North|Chandigarh|Basic|Facebook|2/18/2025|46|Monthly|Debit Card|862|1|0|13.60|4.5|12/8/2025||Active|Security</v>
      </c>
      <c r="W417" s="13">
        <f t="shared" si="3"/>
        <v>1</v>
      </c>
      <c r="X417" s="13">
        <f>IFERROR(__xludf.DUMMYFUNCTION("COUNTUNIQUE(FILTER($B$2:$B$1826,$A$2:$A$1826=A417))"),1.0)</f>
        <v>1</v>
      </c>
    </row>
    <row r="418">
      <c r="A418" s="13" t="s">
        <v>929</v>
      </c>
      <c r="B418" s="13" t="s">
        <v>110</v>
      </c>
      <c r="C418" s="14">
        <v>51.0</v>
      </c>
      <c r="D418" s="13" t="s">
        <v>69</v>
      </c>
      <c r="E418" s="13" t="s">
        <v>187</v>
      </c>
      <c r="F418" s="13" t="s">
        <v>62</v>
      </c>
      <c r="G418" s="13" t="s">
        <v>39</v>
      </c>
      <c r="H418" s="16">
        <v>45593.0</v>
      </c>
      <c r="I418" s="14">
        <v>44.0</v>
      </c>
      <c r="J418" s="13" t="s">
        <v>64</v>
      </c>
      <c r="K418" s="13" t="s">
        <v>41</v>
      </c>
      <c r="L418" s="14">
        <v>526.0</v>
      </c>
      <c r="M418" s="18" t="s">
        <v>43</v>
      </c>
      <c r="N418" s="18" t="s">
        <v>98</v>
      </c>
      <c r="O418" s="18">
        <v>12.5</v>
      </c>
      <c r="P418" s="18" t="s">
        <v>203</v>
      </c>
      <c r="Q418" s="16">
        <v>46310.0</v>
      </c>
      <c r="R418" s="16" t="s">
        <v>38</v>
      </c>
      <c r="S418" s="13" t="s">
        <v>55</v>
      </c>
      <c r="T418" s="13" t="s">
        <v>75</v>
      </c>
      <c r="U418" s="13">
        <f t="shared" si="1"/>
        <v>2</v>
      </c>
      <c r="V418" s="13" t="str">
        <f t="shared" si="2"/>
        <v>C01511|Sneha Nair|51|South|Chennai|Basic|Instagram|10/28/2024|44|Annual|Upi|526|2|1|12.50|3.7|10/15/2026||Active|Security</v>
      </c>
      <c r="W418" s="13">
        <f t="shared" si="3"/>
        <v>1</v>
      </c>
      <c r="X418" s="13">
        <f>IFERROR(__xludf.DUMMYFUNCTION("COUNTUNIQUE(FILTER($B$2:$B$1826,$A$2:$A$1826=A418))"),1.0)</f>
        <v>1</v>
      </c>
    </row>
    <row r="419">
      <c r="A419" s="13" t="s">
        <v>930</v>
      </c>
      <c r="B419" s="13" t="s">
        <v>59</v>
      </c>
      <c r="C419" s="14">
        <v>30.0</v>
      </c>
      <c r="D419" s="13" t="s">
        <v>60</v>
      </c>
      <c r="E419" s="13" t="s">
        <v>133</v>
      </c>
      <c r="F419" s="13" t="s">
        <v>37</v>
      </c>
      <c r="G419" s="13" t="s">
        <v>128</v>
      </c>
      <c r="H419" s="16">
        <v>45940.0</v>
      </c>
      <c r="I419" s="14">
        <v>45.0</v>
      </c>
      <c r="J419" s="13" t="s">
        <v>64</v>
      </c>
      <c r="K419" s="13" t="s">
        <v>41</v>
      </c>
      <c r="L419" s="14">
        <v>1191.0</v>
      </c>
      <c r="M419" s="18" t="s">
        <v>98</v>
      </c>
      <c r="N419" s="18" t="s">
        <v>46</v>
      </c>
      <c r="O419" s="18">
        <v>17.9</v>
      </c>
      <c r="P419" s="18" t="s">
        <v>76</v>
      </c>
      <c r="Q419" s="16">
        <v>46887.0</v>
      </c>
      <c r="R419" s="16">
        <v>46178.0</v>
      </c>
      <c r="S419" s="13" t="s">
        <v>45</v>
      </c>
      <c r="T419" s="13" t="s">
        <v>104</v>
      </c>
      <c r="U419" s="13">
        <f t="shared" si="1"/>
        <v>1</v>
      </c>
      <c r="V419" s="13" t="str">
        <f t="shared" si="2"/>
        <v>C01454|Priya Das|30|East|Guwahati|Standard|Youtube|10/10/2025|45|Annual|Upi|1,191|1|0|17.90|4.4|5/14/2028|6/5/2026|Churned|Analytics</v>
      </c>
      <c r="W419" s="13">
        <f t="shared" si="3"/>
        <v>1</v>
      </c>
      <c r="X419" s="13">
        <f>IFERROR(__xludf.DUMMYFUNCTION("COUNTUNIQUE(FILTER($B$2:$B$1826,$A$2:$A$1826=A419))"),1.0)</f>
        <v>1</v>
      </c>
    </row>
    <row r="420">
      <c r="A420" s="13" t="s">
        <v>505</v>
      </c>
      <c r="B420" s="13" t="s">
        <v>145</v>
      </c>
      <c r="C420" s="14">
        <v>49.0</v>
      </c>
      <c r="D420" s="13" t="s">
        <v>60</v>
      </c>
      <c r="E420" s="13" t="s">
        <v>61</v>
      </c>
      <c r="F420" s="13" t="s">
        <v>37</v>
      </c>
      <c r="G420" s="13" t="s">
        <v>120</v>
      </c>
      <c r="H420" s="16">
        <v>44870.0</v>
      </c>
      <c r="I420" s="14">
        <v>14.0</v>
      </c>
      <c r="J420" s="13" t="s">
        <v>53</v>
      </c>
      <c r="K420" s="13" t="s">
        <v>65</v>
      </c>
      <c r="L420" s="14">
        <v>1022.0</v>
      </c>
      <c r="M420" s="18" t="s">
        <v>164</v>
      </c>
      <c r="N420" s="18" t="s">
        <v>46</v>
      </c>
      <c r="O420" s="18">
        <v>32.3</v>
      </c>
      <c r="P420" s="18" t="s">
        <v>701</v>
      </c>
      <c r="Q420" s="16">
        <v>45093.0</v>
      </c>
      <c r="R420" s="16" t="s">
        <v>38</v>
      </c>
      <c r="S420" s="13" t="s">
        <v>55</v>
      </c>
      <c r="T420" s="13" t="s">
        <v>75</v>
      </c>
      <c r="U420" s="13">
        <f t="shared" si="1"/>
        <v>2</v>
      </c>
      <c r="V420" s="13" t="str">
        <f t="shared" si="2"/>
        <v>C00338|Ravi Patel|49|East|Kolkata|Standard|Email|11/5/2022|14|Quarterly|Credit Card|1,022|3|0|32.30|2.8|6/16/2023||Active|Security</v>
      </c>
      <c r="W420" s="13">
        <f t="shared" si="3"/>
        <v>1</v>
      </c>
      <c r="X420" s="13">
        <f>IFERROR(__xludf.DUMMYFUNCTION("COUNTUNIQUE(FILTER($B$2:$B$1826,$A$2:$A$1826=A420))"),2.0)</f>
        <v>2</v>
      </c>
    </row>
    <row r="421">
      <c r="A421" s="13" t="s">
        <v>929</v>
      </c>
      <c r="B421" s="13" t="s">
        <v>110</v>
      </c>
      <c r="C421" s="14">
        <v>48.0</v>
      </c>
      <c r="D421" s="13" t="s">
        <v>35</v>
      </c>
      <c r="E421" s="13" t="s">
        <v>161</v>
      </c>
      <c r="F421" s="13" t="s">
        <v>62</v>
      </c>
      <c r="G421" s="13" t="s">
        <v>63</v>
      </c>
      <c r="H421" s="16">
        <v>45037.0</v>
      </c>
      <c r="I421" s="14">
        <v>34.0</v>
      </c>
      <c r="J421" s="13" t="s">
        <v>53</v>
      </c>
      <c r="K421" s="13" t="s">
        <v>81</v>
      </c>
      <c r="L421" s="14">
        <v>709.0</v>
      </c>
      <c r="M421" s="18" t="s">
        <v>43</v>
      </c>
      <c r="N421" s="18" t="s">
        <v>46</v>
      </c>
      <c r="O421" s="18">
        <v>9.3</v>
      </c>
      <c r="P421" s="18" t="s">
        <v>164</v>
      </c>
      <c r="Q421" s="16">
        <v>45715.0</v>
      </c>
      <c r="R421" s="16" t="s">
        <v>38</v>
      </c>
      <c r="S421" s="13" t="s">
        <v>55</v>
      </c>
      <c r="T421" s="13" t="s">
        <v>47</v>
      </c>
      <c r="U421" s="13">
        <f t="shared" si="1"/>
        <v>2</v>
      </c>
      <c r="V421" s="13" t="str">
        <f t="shared" si="2"/>
        <v>C01511|Sneha Nair|48|North|Chandigarh|Basic|Google Ads|4/21/2023|34|Quarterly|Debit Card|709|2|0|9.30|3|2/27/2025||Active|Cloud Storage</v>
      </c>
      <c r="W421" s="13">
        <f t="shared" si="3"/>
        <v>1</v>
      </c>
      <c r="X421" s="13">
        <f>IFERROR(__xludf.DUMMYFUNCTION("COUNTUNIQUE(FILTER($B$2:$B$1826,$A$2:$A$1826=A421))"),1.0)</f>
        <v>1</v>
      </c>
    </row>
    <row r="422">
      <c r="A422" s="13" t="s">
        <v>933</v>
      </c>
      <c r="B422" s="13" t="s">
        <v>605</v>
      </c>
      <c r="C422" s="14">
        <v>64.0</v>
      </c>
      <c r="D422" s="13" t="s">
        <v>35</v>
      </c>
      <c r="E422" s="13" t="s">
        <v>177</v>
      </c>
      <c r="F422" s="13" t="s">
        <v>62</v>
      </c>
      <c r="G422" s="13" t="s">
        <v>210</v>
      </c>
      <c r="H422" s="16">
        <v>45152.0</v>
      </c>
      <c r="I422" s="14">
        <v>4.0</v>
      </c>
      <c r="J422" s="13" t="s">
        <v>64</v>
      </c>
      <c r="K422" s="13" t="s">
        <v>65</v>
      </c>
      <c r="L422" s="14">
        <v>644.0</v>
      </c>
      <c r="M422" s="18" t="s">
        <v>164</v>
      </c>
      <c r="N422" s="18" t="s">
        <v>46</v>
      </c>
      <c r="O422" s="18">
        <v>21.9</v>
      </c>
      <c r="P422" s="18" t="s">
        <v>408</v>
      </c>
      <c r="Q422" s="16">
        <v>45204.0</v>
      </c>
      <c r="R422" s="16" t="s">
        <v>38</v>
      </c>
      <c r="S422" s="13" t="s">
        <v>55</v>
      </c>
      <c r="T422" s="13" t="s">
        <v>47</v>
      </c>
      <c r="U422" s="13">
        <f t="shared" si="1"/>
        <v>1</v>
      </c>
      <c r="V422" s="13" t="str">
        <f t="shared" si="2"/>
        <v>C00628|Meera Patel|64|North|Hyderabad|Basic|Referral|8/14/2023|4|Annual|Credit Card|644|3|0|21.90|4.2|10/5/2023||Active|Cloud Storage</v>
      </c>
      <c r="W422" s="13">
        <f t="shared" si="3"/>
        <v>1</v>
      </c>
      <c r="X422" s="13">
        <f>IFERROR(__xludf.DUMMYFUNCTION("COUNTUNIQUE(FILTER($B$2:$B$1826,$A$2:$A$1826=A422))"),1.0)</f>
        <v>1</v>
      </c>
    </row>
    <row r="423">
      <c r="A423" s="13" t="s">
        <v>344</v>
      </c>
      <c r="B423" s="13" t="s">
        <v>179</v>
      </c>
      <c r="C423" s="14">
        <v>61.0</v>
      </c>
      <c r="D423" s="13" t="s">
        <v>69</v>
      </c>
      <c r="E423" s="13" t="s">
        <v>187</v>
      </c>
      <c r="F423" s="13" t="s">
        <v>62</v>
      </c>
      <c r="G423" s="13" t="s">
        <v>63</v>
      </c>
      <c r="H423" s="16">
        <v>45210.0</v>
      </c>
      <c r="I423" s="14">
        <v>37.0</v>
      </c>
      <c r="J423" s="13" t="s">
        <v>53</v>
      </c>
      <c r="K423" s="13" t="s">
        <v>65</v>
      </c>
      <c r="L423" s="14">
        <v>632.0</v>
      </c>
      <c r="M423" s="18" t="s">
        <v>98</v>
      </c>
      <c r="N423" s="18" t="s">
        <v>98</v>
      </c>
      <c r="O423" s="18">
        <v>23.7</v>
      </c>
      <c r="P423" s="18" t="s">
        <v>203</v>
      </c>
      <c r="Q423" s="16">
        <v>45640.0</v>
      </c>
      <c r="R423" s="16" t="s">
        <v>38</v>
      </c>
      <c r="S423" s="13" t="s">
        <v>55</v>
      </c>
      <c r="T423" s="13" t="s">
        <v>47</v>
      </c>
      <c r="U423" s="13">
        <f t="shared" si="1"/>
        <v>3</v>
      </c>
      <c r="V423" s="13" t="str">
        <f t="shared" si="2"/>
        <v>C00360|Ravi Kumar|61|South|Chennai|Basic|Google Ads|10/11/2023|37|Quarterly|Credit Card|632|1|1|23.70|3.7|12/14/2024||Active|Cloud Storage</v>
      </c>
      <c r="W423" s="13">
        <f t="shared" si="3"/>
        <v>1</v>
      </c>
      <c r="X423" s="13">
        <f>IFERROR(__xludf.DUMMYFUNCTION("COUNTUNIQUE(FILTER($B$2:$B$1826,$A$2:$A$1826=A423))"),3.0)</f>
        <v>3</v>
      </c>
    </row>
    <row r="424">
      <c r="A424" s="13" t="s">
        <v>934</v>
      </c>
      <c r="B424" s="13" t="s">
        <v>96</v>
      </c>
      <c r="C424" s="14">
        <v>66.0</v>
      </c>
      <c r="D424" s="13" t="s">
        <v>85</v>
      </c>
      <c r="E424" s="13" t="s">
        <v>111</v>
      </c>
      <c r="F424" s="13" t="s">
        <v>37</v>
      </c>
      <c r="G424" s="13" t="s">
        <v>63</v>
      </c>
      <c r="H424" s="16">
        <v>44613.0</v>
      </c>
      <c r="I424" s="14">
        <v>26.0</v>
      </c>
      <c r="J424" s="13" t="s">
        <v>64</v>
      </c>
      <c r="K424" s="13" t="s">
        <v>81</v>
      </c>
      <c r="L424" s="14">
        <v>1147.0</v>
      </c>
      <c r="M424" s="18" t="s">
        <v>376</v>
      </c>
      <c r="N424" s="18" t="s">
        <v>46</v>
      </c>
      <c r="O424" s="18">
        <v>16.8</v>
      </c>
      <c r="P424" s="18" t="s">
        <v>203</v>
      </c>
      <c r="Q424" s="16">
        <v>45092.0</v>
      </c>
      <c r="R424" s="16" t="s">
        <v>935</v>
      </c>
      <c r="S424" s="13" t="s">
        <v>45</v>
      </c>
      <c r="T424" s="13" t="s">
        <v>72</v>
      </c>
      <c r="U424" s="13">
        <f t="shared" si="1"/>
        <v>3</v>
      </c>
      <c r="V424" s="13" t="str">
        <f t="shared" si="2"/>
        <v>C00764|Rahul Kumar|66|West|Pune|Standard|Google Ads|2/21/2022|26|Annual|Debit Card|1,147|6|0|16.80|3.7|6/15/2023|13/02/2023|Churned|Collaboration</v>
      </c>
      <c r="W424" s="13">
        <f t="shared" si="3"/>
        <v>1</v>
      </c>
      <c r="X424" s="13">
        <f>IFERROR(__xludf.DUMMYFUNCTION("COUNTUNIQUE(FILTER($B$2:$B$1826,$A$2:$A$1826=A424))"),3.0)</f>
        <v>3</v>
      </c>
    </row>
    <row r="425">
      <c r="A425" s="13" t="s">
        <v>936</v>
      </c>
      <c r="B425" s="13" t="s">
        <v>91</v>
      </c>
      <c r="C425" s="14">
        <v>65.0</v>
      </c>
      <c r="D425" s="13" t="s">
        <v>60</v>
      </c>
      <c r="E425" s="13" t="s">
        <v>133</v>
      </c>
      <c r="F425" s="13" t="s">
        <v>79</v>
      </c>
      <c r="G425" s="13" t="s">
        <v>128</v>
      </c>
      <c r="H425" s="16">
        <v>45736.0</v>
      </c>
      <c r="I425" s="14">
        <v>43.0</v>
      </c>
      <c r="J425" s="13" t="s">
        <v>53</v>
      </c>
      <c r="K425" s="13" t="s">
        <v>41</v>
      </c>
      <c r="L425" s="14">
        <v>3856.0</v>
      </c>
      <c r="M425" s="18" t="s">
        <v>43</v>
      </c>
      <c r="N425" s="18" t="s">
        <v>46</v>
      </c>
      <c r="O425" s="18">
        <v>30.1</v>
      </c>
      <c r="P425" s="18" t="s">
        <v>408</v>
      </c>
      <c r="Q425" s="16">
        <v>46651.0</v>
      </c>
      <c r="R425" s="16" t="s">
        <v>38</v>
      </c>
      <c r="S425" s="13" t="s">
        <v>55</v>
      </c>
      <c r="T425" s="13" t="s">
        <v>47</v>
      </c>
      <c r="U425" s="13">
        <f t="shared" si="1"/>
        <v>2</v>
      </c>
      <c r="V425" s="13" t="str">
        <f t="shared" si="2"/>
        <v>C01326|Anita Sharma|65|East|Guwahati|Premium|Youtube|3/20/2025|43|Quarterly|Upi|3,856|2|0|30.10|4.2|9/21/2027||Active|Cloud Storage</v>
      </c>
      <c r="W425" s="13">
        <f t="shared" si="3"/>
        <v>1</v>
      </c>
      <c r="X425" s="13">
        <f>IFERROR(__xludf.DUMMYFUNCTION("COUNTUNIQUE(FILTER($B$2:$B$1826,$A$2:$A$1826=A425))"),2.0)</f>
        <v>2</v>
      </c>
    </row>
    <row r="426">
      <c r="A426" s="13" t="s">
        <v>937</v>
      </c>
      <c r="B426" s="13" t="s">
        <v>362</v>
      </c>
      <c r="C426" s="14">
        <v>68.0</v>
      </c>
      <c r="D426" s="13" t="s">
        <v>35</v>
      </c>
      <c r="E426" s="13" t="s">
        <v>161</v>
      </c>
      <c r="F426" s="13" t="s">
        <v>62</v>
      </c>
      <c r="G426" s="13" t="s">
        <v>80</v>
      </c>
      <c r="H426" s="16">
        <v>45013.0</v>
      </c>
      <c r="I426" s="14">
        <v>29.0</v>
      </c>
      <c r="J426" s="13" t="s">
        <v>53</v>
      </c>
      <c r="K426" s="13" t="s">
        <v>41</v>
      </c>
      <c r="L426" s="14">
        <v>666.0</v>
      </c>
      <c r="M426" s="18" t="s">
        <v>98</v>
      </c>
      <c r="N426" s="18" t="s">
        <v>46</v>
      </c>
      <c r="O426" s="18">
        <v>18.9</v>
      </c>
      <c r="P426" s="18" t="s">
        <v>173</v>
      </c>
      <c r="Q426" s="16">
        <v>45679.0</v>
      </c>
      <c r="R426" s="16" t="s">
        <v>38</v>
      </c>
      <c r="S426" s="13" t="s">
        <v>55</v>
      </c>
      <c r="T426" s="13" t="s">
        <v>104</v>
      </c>
      <c r="U426" s="13">
        <f t="shared" si="1"/>
        <v>2</v>
      </c>
      <c r="V426" s="13" t="str">
        <f t="shared" si="2"/>
        <v>C01389|Neha Singh|68|North|Chandigarh|Basic|Organic Search|3/28/2023|29|Quarterly|Upi|666|1|0|18.90|5|1/22/2025||Active|Analytics</v>
      </c>
      <c r="W426" s="13">
        <f t="shared" si="3"/>
        <v>1</v>
      </c>
      <c r="X426" s="13">
        <f>IFERROR(__xludf.DUMMYFUNCTION("COUNTUNIQUE(FILTER($B$2:$B$1826,$A$2:$A$1826=A426))"),2.0)</f>
        <v>2</v>
      </c>
    </row>
    <row r="427">
      <c r="A427" s="13" t="s">
        <v>1160</v>
      </c>
      <c r="B427" s="13" t="s">
        <v>633</v>
      </c>
      <c r="C427" s="14">
        <v>28.0</v>
      </c>
      <c r="D427" s="13" t="s">
        <v>85</v>
      </c>
      <c r="E427" s="13" t="s">
        <v>292</v>
      </c>
      <c r="F427" s="13" t="s">
        <v>79</v>
      </c>
      <c r="G427" s="13" t="s">
        <v>120</v>
      </c>
      <c r="H427" s="16">
        <v>44960.0</v>
      </c>
      <c r="I427" s="14">
        <v>32.0</v>
      </c>
      <c r="J427" s="13" t="s">
        <v>64</v>
      </c>
      <c r="K427" s="13" t="s">
        <v>65</v>
      </c>
      <c r="L427" s="14">
        <v>3931.0</v>
      </c>
      <c r="M427" s="18" t="s">
        <v>46</v>
      </c>
      <c r="N427" s="18" t="s">
        <v>46</v>
      </c>
      <c r="O427" s="18">
        <v>32.3</v>
      </c>
      <c r="P427" s="18" t="s">
        <v>248</v>
      </c>
      <c r="Q427" s="16">
        <v>45027.0</v>
      </c>
      <c r="R427" s="16" t="s">
        <v>38</v>
      </c>
      <c r="S427" s="13" t="s">
        <v>55</v>
      </c>
      <c r="T427" s="13" t="s">
        <v>72</v>
      </c>
      <c r="U427" s="13">
        <f t="shared" si="1"/>
        <v>2</v>
      </c>
      <c r="V427" s="13" t="str">
        <f t="shared" si="2"/>
        <v>C00172|Anita Das|28|West|Mumbai|Premium|Email|2/3/2023|32|Annual|Credit Card|3,931|0|0|32.30|2.6|4/11/2023||Active|Collaboration</v>
      </c>
      <c r="W427" s="13">
        <f t="shared" si="3"/>
        <v>1</v>
      </c>
      <c r="X427" s="13">
        <f>IFERROR(__xludf.DUMMYFUNCTION("COUNTUNIQUE(FILTER($B$2:$B$1826,$A$2:$A$1826=A427))"),2.0)</f>
        <v>2</v>
      </c>
    </row>
    <row r="428">
      <c r="A428" s="13" t="s">
        <v>940</v>
      </c>
      <c r="B428" s="13" t="s">
        <v>118</v>
      </c>
      <c r="C428" s="14">
        <v>37.0</v>
      </c>
      <c r="D428" s="13" t="s">
        <v>60</v>
      </c>
      <c r="E428" s="13" t="s">
        <v>61</v>
      </c>
      <c r="F428" s="13" t="s">
        <v>62</v>
      </c>
      <c r="G428" s="13" t="s">
        <v>210</v>
      </c>
      <c r="H428" s="16">
        <v>45192.0</v>
      </c>
      <c r="I428" s="14">
        <v>29.0</v>
      </c>
      <c r="J428" s="13" t="s">
        <v>40</v>
      </c>
      <c r="K428" s="13" t="s">
        <v>81</v>
      </c>
      <c r="L428" s="14">
        <v>543.0</v>
      </c>
      <c r="M428" s="18" t="s">
        <v>98</v>
      </c>
      <c r="N428" s="18" t="s">
        <v>98</v>
      </c>
      <c r="O428" s="18">
        <v>37.4</v>
      </c>
      <c r="P428" s="18" t="s">
        <v>123</v>
      </c>
      <c r="Q428" s="16">
        <v>45656.0</v>
      </c>
      <c r="R428" s="16" t="s">
        <v>941</v>
      </c>
      <c r="S428" s="13" t="s">
        <v>45</v>
      </c>
      <c r="T428" s="13" t="s">
        <v>75</v>
      </c>
      <c r="U428" s="13">
        <f t="shared" si="1"/>
        <v>3</v>
      </c>
      <c r="V428" s="13" t="str">
        <f t="shared" si="2"/>
        <v>C00791|Karan Nair|37|East|Kolkata|Basic|Referral|9/23/2023|29|Monthly|Debit Card|543|1|1|37.40|4.1|12/30/2024|20/11/2025|Churned|Security</v>
      </c>
      <c r="W428" s="13">
        <f t="shared" si="3"/>
        <v>1</v>
      </c>
      <c r="X428" s="13">
        <f>IFERROR(__xludf.DUMMYFUNCTION("COUNTUNIQUE(FILTER($B$2:$B$1826,$A$2:$A$1826=A428))"),3.0)</f>
        <v>3</v>
      </c>
    </row>
    <row r="429">
      <c r="A429" s="13" t="s">
        <v>942</v>
      </c>
      <c r="B429" s="13" t="s">
        <v>34</v>
      </c>
      <c r="C429" s="14">
        <v>24.0</v>
      </c>
      <c r="D429" s="13" t="s">
        <v>85</v>
      </c>
      <c r="E429" s="13" t="s">
        <v>111</v>
      </c>
      <c r="F429" s="13" t="s">
        <v>37</v>
      </c>
      <c r="G429" s="13" t="s">
        <v>80</v>
      </c>
      <c r="H429" s="16">
        <v>44738.0</v>
      </c>
      <c r="I429" s="14">
        <v>10.0</v>
      </c>
      <c r="J429" s="13" t="s">
        <v>40</v>
      </c>
      <c r="K429" s="13" t="s">
        <v>65</v>
      </c>
      <c r="L429" s="14">
        <v>1536.0</v>
      </c>
      <c r="M429" s="18" t="s">
        <v>43</v>
      </c>
      <c r="N429" s="18" t="s">
        <v>43</v>
      </c>
      <c r="O429" s="18">
        <v>36.2</v>
      </c>
      <c r="P429" s="18" t="s">
        <v>173</v>
      </c>
      <c r="Q429" s="16">
        <v>44781.0</v>
      </c>
      <c r="R429" s="16" t="s">
        <v>38</v>
      </c>
      <c r="S429" s="13" t="s">
        <v>55</v>
      </c>
      <c r="T429" s="13" t="s">
        <v>72</v>
      </c>
      <c r="U429" s="13">
        <f t="shared" si="1"/>
        <v>1</v>
      </c>
      <c r="V429" s="13" t="str">
        <f t="shared" si="2"/>
        <v>C01493|Meera Das|24|West|Pune|Standard|Organic Search|6/26/2022|10|Monthly|Credit Card|1,536|2|2|36.20|5|8/8/2022||Active|Collaboration</v>
      </c>
      <c r="W429" s="13">
        <f t="shared" si="3"/>
        <v>1</v>
      </c>
      <c r="X429" s="13">
        <f>IFERROR(__xludf.DUMMYFUNCTION("COUNTUNIQUE(FILTER($B$2:$B$1826,$A$2:$A$1826=A429))"),1.0)</f>
        <v>1</v>
      </c>
    </row>
    <row r="430">
      <c r="A430" s="13" t="s">
        <v>945</v>
      </c>
      <c r="B430" s="13" t="s">
        <v>331</v>
      </c>
      <c r="C430" s="14">
        <v>56.0</v>
      </c>
      <c r="D430" s="13" t="s">
        <v>69</v>
      </c>
      <c r="E430" s="13" t="s">
        <v>119</v>
      </c>
      <c r="F430" s="13" t="s">
        <v>62</v>
      </c>
      <c r="G430" s="13" t="s">
        <v>128</v>
      </c>
      <c r="H430" s="16">
        <v>44842.0</v>
      </c>
      <c r="I430" s="14">
        <v>13.0</v>
      </c>
      <c r="J430" s="13" t="s">
        <v>53</v>
      </c>
      <c r="K430" s="13" t="s">
        <v>65</v>
      </c>
      <c r="L430" s="14">
        <v>1295.0</v>
      </c>
      <c r="M430" s="18" t="s">
        <v>164</v>
      </c>
      <c r="N430" s="18" t="s">
        <v>98</v>
      </c>
      <c r="O430" s="18">
        <v>6.9</v>
      </c>
      <c r="P430" s="18" t="s">
        <v>203</v>
      </c>
      <c r="Q430" s="16">
        <v>45103.0</v>
      </c>
      <c r="R430" s="16" t="s">
        <v>38</v>
      </c>
      <c r="S430" s="13" t="s">
        <v>55</v>
      </c>
      <c r="T430" s="13" t="s">
        <v>66</v>
      </c>
      <c r="U430" s="13">
        <f t="shared" si="1"/>
        <v>3</v>
      </c>
      <c r="V430" s="13" t="str">
        <f t="shared" si="2"/>
        <v>C00849|Arun Iyer|56|South|Kochi|Basic|Youtube|10/8/2022|13|Quarterly|Credit Card|1,295|3|1|6.90|3.7|6/26/2023||Active|Automation</v>
      </c>
      <c r="W430" s="13">
        <f t="shared" si="3"/>
        <v>1</v>
      </c>
      <c r="X430" s="13">
        <f>IFERROR(__xludf.DUMMYFUNCTION("COUNTUNIQUE(FILTER($B$2:$B$1826,$A$2:$A$1826=A430))"),3.0)</f>
        <v>3</v>
      </c>
    </row>
    <row r="431">
      <c r="A431" s="13" t="s">
        <v>951</v>
      </c>
      <c r="B431" s="13" t="s">
        <v>139</v>
      </c>
      <c r="C431" s="14">
        <v>30.0</v>
      </c>
      <c r="D431" s="13" t="s">
        <v>85</v>
      </c>
      <c r="E431" s="13" t="s">
        <v>111</v>
      </c>
      <c r="F431" s="13" t="s">
        <v>62</v>
      </c>
      <c r="G431" s="13" t="s">
        <v>63</v>
      </c>
      <c r="H431" s="16">
        <v>44877.0</v>
      </c>
      <c r="I431" s="14">
        <v>17.0</v>
      </c>
      <c r="J431" s="13" t="s">
        <v>53</v>
      </c>
      <c r="K431" s="13" t="s">
        <v>81</v>
      </c>
      <c r="L431" s="14">
        <v>826.0</v>
      </c>
      <c r="M431" s="18" t="s">
        <v>43</v>
      </c>
      <c r="N431" s="18" t="s">
        <v>98</v>
      </c>
      <c r="O431" s="18">
        <v>10.8</v>
      </c>
      <c r="P431" s="18" t="s">
        <v>89</v>
      </c>
      <c r="Q431" s="16">
        <v>45014.0</v>
      </c>
      <c r="R431" s="16" t="s">
        <v>38</v>
      </c>
      <c r="S431" s="13" t="s">
        <v>55</v>
      </c>
      <c r="T431" s="13" t="s">
        <v>47</v>
      </c>
      <c r="U431" s="13">
        <f t="shared" si="1"/>
        <v>1</v>
      </c>
      <c r="V431" s="13" t="str">
        <f t="shared" si="2"/>
        <v>C01516|Vikram Das|30|West|Pune|Basic|Google Ads|11/12/2022|17|Quarterly|Debit Card|826|2|1|10.80|3.3|3/29/2023||Active|Cloud Storage</v>
      </c>
      <c r="W431" s="13">
        <f t="shared" si="3"/>
        <v>1</v>
      </c>
      <c r="X431" s="13">
        <f>IFERROR(__xludf.DUMMYFUNCTION("COUNTUNIQUE(FILTER($B$2:$B$1826,$A$2:$A$1826=A431))"),1.0)</f>
        <v>1</v>
      </c>
    </row>
    <row r="432">
      <c r="A432" s="13" t="s">
        <v>956</v>
      </c>
      <c r="B432" s="13" t="s">
        <v>235</v>
      </c>
      <c r="C432" s="14">
        <v>42.0</v>
      </c>
      <c r="D432" s="13" t="s">
        <v>35</v>
      </c>
      <c r="E432" s="13" t="s">
        <v>161</v>
      </c>
      <c r="F432" s="13" t="s">
        <v>37</v>
      </c>
      <c r="G432" s="13" t="s">
        <v>63</v>
      </c>
      <c r="H432" s="16">
        <v>45788.0</v>
      </c>
      <c r="I432" s="14">
        <v>48.0</v>
      </c>
      <c r="J432" s="13" t="s">
        <v>64</v>
      </c>
      <c r="K432" s="13" t="s">
        <v>81</v>
      </c>
      <c r="L432" s="14">
        <v>1578.0</v>
      </c>
      <c r="M432" s="18" t="s">
        <v>46</v>
      </c>
      <c r="N432" s="18" t="s">
        <v>98</v>
      </c>
      <c r="O432" s="18">
        <v>6.5</v>
      </c>
      <c r="P432" s="18" t="s">
        <v>130</v>
      </c>
      <c r="Q432" s="16">
        <v>46326.0</v>
      </c>
      <c r="R432" s="16" t="s">
        <v>38</v>
      </c>
      <c r="S432" s="13" t="s">
        <v>55</v>
      </c>
      <c r="T432" s="13" t="s">
        <v>66</v>
      </c>
      <c r="U432" s="13">
        <f t="shared" si="1"/>
        <v>2</v>
      </c>
      <c r="V432" s="13" t="str">
        <f t="shared" si="2"/>
        <v>C00059|Sneha Sharma|42|North|Chandigarh|Standard|Google Ads|5/11/2025|48|Annual|Debit Card|1,578|0|1|6.50|3.9|10/31/2026||Active|Automation</v>
      </c>
      <c r="W432" s="13">
        <f t="shared" si="3"/>
        <v>1</v>
      </c>
      <c r="X432" s="13">
        <f>IFERROR(__xludf.DUMMYFUNCTION("COUNTUNIQUE(FILTER($B$2:$B$1826,$A$2:$A$1826=A432))"),2.0)</f>
        <v>2</v>
      </c>
    </row>
    <row r="433">
      <c r="A433" s="13" t="s">
        <v>962</v>
      </c>
      <c r="B433" s="13" t="s">
        <v>633</v>
      </c>
      <c r="C433" s="14">
        <v>59.0</v>
      </c>
      <c r="D433" s="13" t="s">
        <v>60</v>
      </c>
      <c r="E433" s="13" t="s">
        <v>97</v>
      </c>
      <c r="F433" s="13" t="s">
        <v>37</v>
      </c>
      <c r="G433" s="13" t="s">
        <v>39</v>
      </c>
      <c r="H433" s="16">
        <v>45216.0</v>
      </c>
      <c r="I433" s="14">
        <v>30.0</v>
      </c>
      <c r="J433" s="13" t="s">
        <v>53</v>
      </c>
      <c r="K433" s="13" t="s">
        <v>41</v>
      </c>
      <c r="L433" s="14">
        <v>1364.0</v>
      </c>
      <c r="M433" s="18" t="s">
        <v>43</v>
      </c>
      <c r="N433" s="18" t="s">
        <v>46</v>
      </c>
      <c r="O433" s="18">
        <v>49.0</v>
      </c>
      <c r="P433" s="18" t="s">
        <v>449</v>
      </c>
      <c r="Q433" s="16">
        <v>45280.0</v>
      </c>
      <c r="R433" s="16" t="s">
        <v>968</v>
      </c>
      <c r="S433" s="13" t="s">
        <v>45</v>
      </c>
      <c r="T433" s="13" t="s">
        <v>72</v>
      </c>
      <c r="U433" s="13">
        <f t="shared" si="1"/>
        <v>3</v>
      </c>
      <c r="V433" s="13" t="str">
        <f t="shared" si="2"/>
        <v>C00036|Anita Das|59|East|Bhubaneswar|Standard|Instagram|10/17/2023|30|Quarterly|Upi|1,364|2|0|49.00|2.7|12/20/2023|21/08/2024|Churned|Collaboration</v>
      </c>
      <c r="W433" s="13">
        <f t="shared" si="3"/>
        <v>1</v>
      </c>
      <c r="X433" s="13">
        <f>IFERROR(__xludf.DUMMYFUNCTION("COUNTUNIQUE(FILTER($B$2:$B$1826,$A$2:$A$1826=A433))"),3.0)</f>
        <v>3</v>
      </c>
    </row>
    <row r="434">
      <c r="A434" s="13" t="s">
        <v>970</v>
      </c>
      <c r="B434" s="13" t="s">
        <v>184</v>
      </c>
      <c r="C434" s="14">
        <v>25.0</v>
      </c>
      <c r="D434" s="13" t="s">
        <v>35</v>
      </c>
      <c r="E434" s="13" t="s">
        <v>51</v>
      </c>
      <c r="F434" s="13" t="s">
        <v>37</v>
      </c>
      <c r="G434" s="13" t="s">
        <v>39</v>
      </c>
      <c r="H434" s="16">
        <v>44755.0</v>
      </c>
      <c r="I434" s="14">
        <v>39.0</v>
      </c>
      <c r="J434" s="13" t="s">
        <v>64</v>
      </c>
      <c r="K434" s="13" t="s">
        <v>81</v>
      </c>
      <c r="L434" s="14">
        <v>1329.0</v>
      </c>
      <c r="M434" s="18" t="s">
        <v>99</v>
      </c>
      <c r="N434" s="18" t="s">
        <v>98</v>
      </c>
      <c r="O434" s="18">
        <v>30.2</v>
      </c>
      <c r="P434" s="18" t="s">
        <v>173</v>
      </c>
      <c r="Q434" s="16">
        <v>45412.0</v>
      </c>
      <c r="R434" s="16" t="s">
        <v>972</v>
      </c>
      <c r="S434" s="13" t="s">
        <v>45</v>
      </c>
      <c r="T434" s="13" t="s">
        <v>72</v>
      </c>
      <c r="U434" s="13">
        <f t="shared" si="1"/>
        <v>1</v>
      </c>
      <c r="V434" s="13" t="str">
        <f t="shared" si="2"/>
        <v>C00598|Vikram Reddy|25|North|Jaipur|Standard|Instagram|7/13/2022|39|Annual|Debit Card|1,329|4|1|30.20|5|4/30/2024|19/04/2024|Churned|Collaboration</v>
      </c>
      <c r="W434" s="13">
        <f t="shared" si="3"/>
        <v>1</v>
      </c>
      <c r="X434" s="13">
        <f>IFERROR(__xludf.DUMMYFUNCTION("COUNTUNIQUE(FILTER($B$2:$B$1826,$A$2:$A$1826=A434))"),1.0)</f>
        <v>1</v>
      </c>
    </row>
    <row r="435">
      <c r="A435" s="13" t="s">
        <v>973</v>
      </c>
      <c r="B435" s="13" t="s">
        <v>395</v>
      </c>
      <c r="C435" s="14">
        <v>31.0</v>
      </c>
      <c r="D435" s="13" t="s">
        <v>35</v>
      </c>
      <c r="E435" s="13" t="s">
        <v>51</v>
      </c>
      <c r="F435" s="13" t="s">
        <v>37</v>
      </c>
      <c r="G435" s="13" t="s">
        <v>210</v>
      </c>
      <c r="H435" s="16">
        <v>45555.0</v>
      </c>
      <c r="I435" s="14">
        <v>27.0</v>
      </c>
      <c r="J435" s="13" t="s">
        <v>64</v>
      </c>
      <c r="K435" s="13" t="s">
        <v>81</v>
      </c>
      <c r="L435" s="14">
        <v>1103.0</v>
      </c>
      <c r="M435" s="18" t="s">
        <v>43</v>
      </c>
      <c r="N435" s="18" t="s">
        <v>98</v>
      </c>
      <c r="O435" s="18">
        <v>30.7</v>
      </c>
      <c r="P435" s="18" t="s">
        <v>116</v>
      </c>
      <c r="Q435" s="16">
        <v>45723.0</v>
      </c>
      <c r="R435" s="16" t="s">
        <v>38</v>
      </c>
      <c r="S435" s="13" t="s">
        <v>55</v>
      </c>
      <c r="T435" s="13" t="s">
        <v>66</v>
      </c>
      <c r="U435" s="13">
        <f t="shared" si="1"/>
        <v>1</v>
      </c>
      <c r="V435" s="13" t="str">
        <f t="shared" si="2"/>
        <v>C00295|Ravi Singh|31|North|Jaipur|Standard|Referral|9/20/2024|27|Annual|Debit Card|1,103|2|1|30.70|3.4|3/7/2025||Active|Automation</v>
      </c>
      <c r="W435" s="13">
        <f t="shared" si="3"/>
        <v>1</v>
      </c>
      <c r="X435" s="13">
        <f>IFERROR(__xludf.DUMMYFUNCTION("COUNTUNIQUE(FILTER($B$2:$B$1826,$A$2:$A$1826=A435))"),1.0)</f>
        <v>1</v>
      </c>
    </row>
    <row r="436">
      <c r="A436" s="13" t="s">
        <v>464</v>
      </c>
      <c r="B436" s="13" t="s">
        <v>257</v>
      </c>
      <c r="C436" s="14">
        <v>30.0</v>
      </c>
      <c r="D436" s="13" t="s">
        <v>35</v>
      </c>
      <c r="E436" s="13" t="s">
        <v>140</v>
      </c>
      <c r="F436" s="13" t="s">
        <v>37</v>
      </c>
      <c r="G436" s="13" t="s">
        <v>63</v>
      </c>
      <c r="H436" s="16">
        <v>44800.0</v>
      </c>
      <c r="I436" s="14">
        <v>9.0</v>
      </c>
      <c r="J436" s="13" t="s">
        <v>64</v>
      </c>
      <c r="K436" s="13" t="s">
        <v>65</v>
      </c>
      <c r="L436" s="14">
        <v>1355.0</v>
      </c>
      <c r="M436" s="18" t="s">
        <v>46</v>
      </c>
      <c r="N436" s="18" t="s">
        <v>98</v>
      </c>
      <c r="O436" s="18">
        <v>27.7</v>
      </c>
      <c r="P436" s="18" t="s">
        <v>225</v>
      </c>
      <c r="Q436" s="16">
        <v>44995.0</v>
      </c>
      <c r="R436" s="16">
        <v>44724.0</v>
      </c>
      <c r="S436" s="13" t="s">
        <v>45</v>
      </c>
      <c r="T436" s="13" t="s">
        <v>104</v>
      </c>
      <c r="U436" s="13">
        <f t="shared" si="1"/>
        <v>2</v>
      </c>
      <c r="V436" s="13" t="str">
        <f t="shared" si="2"/>
        <v>C01090|Sneha Reddy|30|North|Lucknow|Standard|Google Ads|8/27/2022|9|Annual|Credit Card|1,355|0|1|27.70|3.8|3/10/2023|6/12/2022|Churned|Analytics</v>
      </c>
      <c r="W436" s="13">
        <f t="shared" si="3"/>
        <v>1</v>
      </c>
      <c r="X436" s="13">
        <f>IFERROR(__xludf.DUMMYFUNCTION("COUNTUNIQUE(FILTER($B$2:$B$1826,$A$2:$A$1826=A436))"),2.0)</f>
        <v>2</v>
      </c>
    </row>
    <row r="437">
      <c r="A437" s="13" t="s">
        <v>975</v>
      </c>
      <c r="B437" s="13" t="s">
        <v>135</v>
      </c>
      <c r="C437" s="14">
        <v>23.0</v>
      </c>
      <c r="D437" s="13" t="s">
        <v>35</v>
      </c>
      <c r="E437" s="13" t="s">
        <v>51</v>
      </c>
      <c r="F437" s="13" t="s">
        <v>62</v>
      </c>
      <c r="G437" s="13" t="s">
        <v>52</v>
      </c>
      <c r="H437" s="16">
        <v>44853.0</v>
      </c>
      <c r="I437" s="14">
        <v>45.0</v>
      </c>
      <c r="J437" s="13" t="s">
        <v>40</v>
      </c>
      <c r="K437" s="13" t="s">
        <v>65</v>
      </c>
      <c r="L437" s="14">
        <v>563.0</v>
      </c>
      <c r="M437" s="18" t="s">
        <v>46</v>
      </c>
      <c r="N437" s="18" t="s">
        <v>98</v>
      </c>
      <c r="O437" s="18">
        <v>22.0</v>
      </c>
      <c r="P437" s="18" t="s">
        <v>203</v>
      </c>
      <c r="Q437" s="16">
        <v>45023.0</v>
      </c>
      <c r="R437" s="16" t="s">
        <v>38</v>
      </c>
      <c r="S437" s="13" t="s">
        <v>55</v>
      </c>
      <c r="T437" s="13" t="s">
        <v>75</v>
      </c>
      <c r="U437" s="13">
        <f t="shared" si="1"/>
        <v>3</v>
      </c>
      <c r="V437" s="13" t="str">
        <f t="shared" si="2"/>
        <v>C01525|Karan Sharma|23|North|Jaipur|Basic|Facebook|10/19/2022|45|Monthly|Credit Card|563|0|1|22.00|3.7|4/7/2023||Active|Security</v>
      </c>
      <c r="W437" s="13">
        <f t="shared" si="3"/>
        <v>1</v>
      </c>
      <c r="X437" s="13">
        <f>IFERROR(__xludf.DUMMYFUNCTION("COUNTUNIQUE(FILTER($B$2:$B$1826,$A$2:$A$1826=A437))"),3.0)</f>
        <v>3</v>
      </c>
    </row>
    <row r="438">
      <c r="A438" s="13" t="s">
        <v>978</v>
      </c>
      <c r="B438" s="13" t="s">
        <v>152</v>
      </c>
      <c r="C438" s="14">
        <v>67.0</v>
      </c>
      <c r="D438" s="13" t="s">
        <v>69</v>
      </c>
      <c r="E438" s="13" t="s">
        <v>70</v>
      </c>
      <c r="F438" s="13" t="s">
        <v>62</v>
      </c>
      <c r="G438" s="13" t="s">
        <v>52</v>
      </c>
      <c r="H438" s="16">
        <v>45613.0</v>
      </c>
      <c r="I438" s="14">
        <v>38.0</v>
      </c>
      <c r="J438" s="13" t="s">
        <v>40</v>
      </c>
      <c r="K438" s="13" t="s">
        <v>41</v>
      </c>
      <c r="L438" s="14">
        <v>559.0</v>
      </c>
      <c r="M438" s="18" t="s">
        <v>164</v>
      </c>
      <c r="N438" s="18" t="s">
        <v>46</v>
      </c>
      <c r="O438" s="18">
        <v>27.6</v>
      </c>
      <c r="P438" s="18" t="s">
        <v>89</v>
      </c>
      <c r="Q438" s="16">
        <v>45758.0</v>
      </c>
      <c r="R438" s="16" t="s">
        <v>38</v>
      </c>
      <c r="S438" s="13" t="s">
        <v>55</v>
      </c>
      <c r="T438" s="13" t="s">
        <v>66</v>
      </c>
      <c r="U438" s="13">
        <f t="shared" si="1"/>
        <v>2</v>
      </c>
      <c r="V438" s="13" t="str">
        <f t="shared" si="2"/>
        <v>C00088|Vikram Kumar|67|South|Bengaluru|Basic|Facebook|11/17/2024|38|Monthly|Upi|559|3|0|27.60|3.3|4/11/2025||Active|Automation</v>
      </c>
      <c r="W438" s="13">
        <f t="shared" si="3"/>
        <v>1</v>
      </c>
      <c r="X438" s="13">
        <f>IFERROR(__xludf.DUMMYFUNCTION("COUNTUNIQUE(FILTER($B$2:$B$1826,$A$2:$A$1826=A438))"),2.0)</f>
        <v>2</v>
      </c>
    </row>
    <row r="439">
      <c r="A439" s="13" t="s">
        <v>585</v>
      </c>
      <c r="B439" s="13" t="s">
        <v>395</v>
      </c>
      <c r="C439" s="14">
        <v>51.0</v>
      </c>
      <c r="D439" s="13" t="s">
        <v>69</v>
      </c>
      <c r="E439" s="13" t="s">
        <v>187</v>
      </c>
      <c r="F439" s="13" t="s">
        <v>37</v>
      </c>
      <c r="G439" s="13" t="s">
        <v>63</v>
      </c>
      <c r="H439" s="16">
        <v>44747.0</v>
      </c>
      <c r="I439" s="14">
        <v>10.0</v>
      </c>
      <c r="J439" s="13" t="s">
        <v>64</v>
      </c>
      <c r="K439" s="13" t="s">
        <v>41</v>
      </c>
      <c r="L439" s="14">
        <v>1592.0</v>
      </c>
      <c r="M439" s="18" t="s">
        <v>46</v>
      </c>
      <c r="N439" s="18" t="s">
        <v>98</v>
      </c>
      <c r="O439" s="18">
        <v>18.0</v>
      </c>
      <c r="P439" s="18" t="s">
        <v>108</v>
      </c>
      <c r="Q439" s="16">
        <v>44937.0</v>
      </c>
      <c r="R439" s="16" t="s">
        <v>980</v>
      </c>
      <c r="S439" s="13" t="s">
        <v>45</v>
      </c>
      <c r="T439" s="13" t="s">
        <v>104</v>
      </c>
      <c r="U439" s="13">
        <f t="shared" si="1"/>
        <v>2</v>
      </c>
      <c r="V439" s="13" t="str">
        <f t="shared" si="2"/>
        <v>C00421|Ravi Singh|51|South|Chennai|Standard|Google Ads|7/5/2022|10|Annual|Upi|1,592|0|1|18.00|2.4|1/11/2023|25/10/2022|Churned|Analytics</v>
      </c>
      <c r="W439" s="13">
        <f t="shared" si="3"/>
        <v>1</v>
      </c>
      <c r="X439" s="13">
        <f>IFERROR(__xludf.DUMMYFUNCTION("COUNTUNIQUE(FILTER($B$2:$B$1826,$A$2:$A$1826=A439))"),2.0)</f>
        <v>2</v>
      </c>
    </row>
    <row r="440">
      <c r="A440" s="13" t="s">
        <v>441</v>
      </c>
      <c r="B440" s="13" t="s">
        <v>645</v>
      </c>
      <c r="C440" s="14">
        <v>42.0</v>
      </c>
      <c r="D440" s="13" t="s">
        <v>35</v>
      </c>
      <c r="E440" s="13" t="s">
        <v>51</v>
      </c>
      <c r="F440" s="13" t="s">
        <v>37</v>
      </c>
      <c r="G440" s="13" t="s">
        <v>210</v>
      </c>
      <c r="H440" s="16">
        <v>44913.0</v>
      </c>
      <c r="I440" s="14">
        <v>35.0</v>
      </c>
      <c r="J440" s="13" t="s">
        <v>64</v>
      </c>
      <c r="K440" s="13" t="s">
        <v>81</v>
      </c>
      <c r="L440" s="14">
        <v>1100.0</v>
      </c>
      <c r="M440" s="18" t="s">
        <v>98</v>
      </c>
      <c r="N440" s="18" t="s">
        <v>46</v>
      </c>
      <c r="O440" s="18">
        <v>35.2</v>
      </c>
      <c r="P440" s="18" t="s">
        <v>400</v>
      </c>
      <c r="Q440" s="16">
        <v>45361.0</v>
      </c>
      <c r="R440" s="16" t="s">
        <v>38</v>
      </c>
      <c r="S440" s="13" t="s">
        <v>55</v>
      </c>
      <c r="T440" s="13" t="s">
        <v>47</v>
      </c>
      <c r="U440" s="13">
        <f t="shared" si="1"/>
        <v>4</v>
      </c>
      <c r="V440" s="13" t="str">
        <f t="shared" si="2"/>
        <v>C01185|Ravi Nair|42|North|Jaipur|Standard|Referral|12/18/2022|35|Annual|Debit Card|1,100|1|0|35.20|4.8|3/10/2024||Active|Cloud Storage</v>
      </c>
      <c r="W440" s="13">
        <f t="shared" si="3"/>
        <v>1</v>
      </c>
      <c r="X440" s="13">
        <f>IFERROR(__xludf.DUMMYFUNCTION("COUNTUNIQUE(FILTER($B$2:$B$1826,$A$2:$A$1826=A440))"),4.0)</f>
        <v>4</v>
      </c>
    </row>
    <row r="441">
      <c r="A441" s="13" t="s">
        <v>981</v>
      </c>
      <c r="B441" s="13" t="s">
        <v>639</v>
      </c>
      <c r="C441" s="14">
        <v>26.0</v>
      </c>
      <c r="D441" s="13" t="s">
        <v>35</v>
      </c>
      <c r="E441" s="13" t="s">
        <v>51</v>
      </c>
      <c r="F441" s="13" t="s">
        <v>37</v>
      </c>
      <c r="G441" s="13" t="s">
        <v>120</v>
      </c>
      <c r="H441" s="16">
        <v>45430.0</v>
      </c>
      <c r="I441" s="14">
        <v>14.0</v>
      </c>
      <c r="J441" s="13" t="s">
        <v>64</v>
      </c>
      <c r="K441" s="13" t="s">
        <v>41</v>
      </c>
      <c r="L441" s="14">
        <v>1114.0</v>
      </c>
      <c r="M441" s="18" t="s">
        <v>46</v>
      </c>
      <c r="N441" s="18" t="s">
        <v>43</v>
      </c>
      <c r="O441" s="18">
        <v>26.3</v>
      </c>
      <c r="P441" s="18" t="s">
        <v>173</v>
      </c>
      <c r="Q441" s="16">
        <v>45600.0</v>
      </c>
      <c r="R441" s="16" t="s">
        <v>38</v>
      </c>
      <c r="S441" s="13" t="s">
        <v>55</v>
      </c>
      <c r="T441" s="13" t="s">
        <v>75</v>
      </c>
      <c r="U441" s="13">
        <f t="shared" si="1"/>
        <v>1</v>
      </c>
      <c r="V441" s="13" t="str">
        <f t="shared" si="2"/>
        <v>C00901|Priya Nair|26|North|Jaipur|Standard|Email|5/18/2024|14|Annual|Upi|1,114|0|2|26.30|5|11/4/2024||Active|Security</v>
      </c>
      <c r="W441" s="13">
        <f t="shared" si="3"/>
        <v>1</v>
      </c>
      <c r="X441" s="13">
        <f>IFERROR(__xludf.DUMMYFUNCTION("COUNTUNIQUE(FILTER($B$2:$B$1826,$A$2:$A$1826=A441))"),1.0)</f>
        <v>1</v>
      </c>
    </row>
    <row r="442">
      <c r="A442" s="13" t="s">
        <v>846</v>
      </c>
      <c r="B442" s="13" t="s">
        <v>169</v>
      </c>
      <c r="C442" s="14">
        <v>33.0</v>
      </c>
      <c r="D442" s="13" t="s">
        <v>60</v>
      </c>
      <c r="E442" s="13" t="s">
        <v>107</v>
      </c>
      <c r="F442" s="13" t="s">
        <v>37</v>
      </c>
      <c r="G442" s="13" t="s">
        <v>63</v>
      </c>
      <c r="H442" s="16">
        <v>44730.0</v>
      </c>
      <c r="I442" s="14">
        <v>21.0</v>
      </c>
      <c r="J442" s="13" t="s">
        <v>64</v>
      </c>
      <c r="K442" s="13" t="s">
        <v>65</v>
      </c>
      <c r="L442" s="14">
        <v>1289.0</v>
      </c>
      <c r="M442" s="18" t="s">
        <v>164</v>
      </c>
      <c r="N442" s="18" t="s">
        <v>43</v>
      </c>
      <c r="O442" s="18">
        <v>39.2</v>
      </c>
      <c r="P442" s="18" t="s">
        <v>123</v>
      </c>
      <c r="Q442" s="16">
        <v>45354.0</v>
      </c>
      <c r="R442" s="16" t="s">
        <v>38</v>
      </c>
      <c r="S442" s="13" t="s">
        <v>55</v>
      </c>
      <c r="T442" s="13" t="s">
        <v>72</v>
      </c>
      <c r="U442" s="13">
        <f t="shared" si="1"/>
        <v>2</v>
      </c>
      <c r="V442" s="13" t="str">
        <f t="shared" si="2"/>
        <v>C01562|Vikram Nair|33|East|Patna|Standard|Google Ads|6/18/2022|21|Annual|Credit Card|1,289|3|2|39.20|4.1|3/3/2024||Active|Collaboration</v>
      </c>
      <c r="W442" s="13">
        <f t="shared" si="3"/>
        <v>1</v>
      </c>
      <c r="X442" s="13">
        <f>IFERROR(__xludf.DUMMYFUNCTION("COUNTUNIQUE(FILTER($B$2:$B$1826,$A$2:$A$1826=A442))"),2.0)</f>
        <v>2</v>
      </c>
    </row>
    <row r="443">
      <c r="A443" s="13" t="s">
        <v>982</v>
      </c>
      <c r="B443" s="13" t="s">
        <v>118</v>
      </c>
      <c r="C443" s="14">
        <v>52.0</v>
      </c>
      <c r="D443" s="13" t="s">
        <v>69</v>
      </c>
      <c r="E443" s="13" t="s">
        <v>70</v>
      </c>
      <c r="F443" s="13" t="s">
        <v>79</v>
      </c>
      <c r="G443" s="13" t="s">
        <v>63</v>
      </c>
      <c r="H443" s="16">
        <v>45536.0</v>
      </c>
      <c r="I443" s="14">
        <v>44.0</v>
      </c>
      <c r="J443" s="13" t="s">
        <v>64</v>
      </c>
      <c r="K443" s="13" t="s">
        <v>81</v>
      </c>
      <c r="L443" s="14">
        <v>3005.0</v>
      </c>
      <c r="M443" s="18" t="s">
        <v>1192</v>
      </c>
      <c r="N443" s="18" t="s">
        <v>98</v>
      </c>
      <c r="O443" s="18">
        <v>34.5</v>
      </c>
      <c r="P443" s="18" t="s">
        <v>89</v>
      </c>
      <c r="Q443" s="16">
        <v>45761.0</v>
      </c>
      <c r="R443" s="16" t="s">
        <v>38</v>
      </c>
      <c r="S443" s="13" t="s">
        <v>55</v>
      </c>
      <c r="T443" s="13" t="s">
        <v>104</v>
      </c>
      <c r="U443" s="13">
        <f t="shared" si="1"/>
        <v>2</v>
      </c>
      <c r="V443" s="13" t="str">
        <f t="shared" si="2"/>
        <v>C00877|Karan Nair|52|South|Bengaluru|Premium|Google Ads|9/1/2024|44|Annual|Debit Card|3,005|7|1|34.50|3.3|4/14/2025||Active|Analytics</v>
      </c>
      <c r="W443" s="13">
        <f t="shared" si="3"/>
        <v>1</v>
      </c>
      <c r="X443" s="13">
        <f>IFERROR(__xludf.DUMMYFUNCTION("COUNTUNIQUE(FILTER($B$2:$B$1826,$A$2:$A$1826=A443))"),2.0)</f>
        <v>2</v>
      </c>
    </row>
    <row r="444">
      <c r="A444" s="13" t="s">
        <v>983</v>
      </c>
      <c r="B444" s="13" t="s">
        <v>333</v>
      </c>
      <c r="C444" s="14">
        <v>26.0</v>
      </c>
      <c r="D444" s="13" t="s">
        <v>69</v>
      </c>
      <c r="E444" s="13" t="s">
        <v>119</v>
      </c>
      <c r="F444" s="13" t="s">
        <v>62</v>
      </c>
      <c r="G444" s="13" t="s">
        <v>80</v>
      </c>
      <c r="H444" s="16">
        <v>44770.0</v>
      </c>
      <c r="I444" s="14">
        <v>48.0</v>
      </c>
      <c r="J444" s="13" t="s">
        <v>40</v>
      </c>
      <c r="K444" s="13" t="s">
        <v>65</v>
      </c>
      <c r="L444" s="14">
        <v>585.0</v>
      </c>
      <c r="M444" s="18" t="s">
        <v>98</v>
      </c>
      <c r="N444" s="18" t="s">
        <v>46</v>
      </c>
      <c r="O444" s="18">
        <v>32.5</v>
      </c>
      <c r="P444" s="18" t="s">
        <v>233</v>
      </c>
      <c r="Q444" s="16">
        <v>45187.0</v>
      </c>
      <c r="R444" s="16" t="s">
        <v>984</v>
      </c>
      <c r="S444" s="13" t="s">
        <v>45</v>
      </c>
      <c r="T444" s="13" t="s">
        <v>75</v>
      </c>
      <c r="U444" s="13">
        <f t="shared" si="1"/>
        <v>2</v>
      </c>
      <c r="V444" s="13" t="str">
        <f t="shared" si="2"/>
        <v>C00245|Neha Das|26|South|Kochi|Basic|Organic Search|7/28/2022|48|Monthly|Credit Card|585|1|0|32.50|3.5|9/18/2023|20/07/2024|Churned|Security</v>
      </c>
      <c r="W444" s="13">
        <f t="shared" si="3"/>
        <v>1</v>
      </c>
      <c r="X444" s="13">
        <f>IFERROR(__xludf.DUMMYFUNCTION("COUNTUNIQUE(FILTER($B$2:$B$1826,$A$2:$A$1826=A444))"),2.0)</f>
        <v>2</v>
      </c>
    </row>
    <row r="445">
      <c r="A445" s="13" t="s">
        <v>985</v>
      </c>
      <c r="B445" s="13" t="s">
        <v>325</v>
      </c>
      <c r="C445" s="14">
        <v>35.0</v>
      </c>
      <c r="D445" s="13" t="s">
        <v>60</v>
      </c>
      <c r="E445" s="13" t="s">
        <v>133</v>
      </c>
      <c r="F445" s="13" t="s">
        <v>62</v>
      </c>
      <c r="G445" s="13" t="s">
        <v>52</v>
      </c>
      <c r="H445" s="16">
        <v>45797.0</v>
      </c>
      <c r="I445" s="14">
        <v>26.0</v>
      </c>
      <c r="J445" s="13" t="s">
        <v>53</v>
      </c>
      <c r="K445" s="13" t="s">
        <v>65</v>
      </c>
      <c r="L445" s="14">
        <v>760.0</v>
      </c>
      <c r="M445" s="18" t="s">
        <v>164</v>
      </c>
      <c r="N445" s="18" t="s">
        <v>46</v>
      </c>
      <c r="O445" s="18">
        <v>11.9</v>
      </c>
      <c r="P445" s="18" t="s">
        <v>310</v>
      </c>
      <c r="Q445" s="16">
        <v>46593.0</v>
      </c>
      <c r="R445" s="16" t="s">
        <v>986</v>
      </c>
      <c r="S445" s="13" t="s">
        <v>45</v>
      </c>
      <c r="T445" s="13" t="s">
        <v>47</v>
      </c>
      <c r="U445" s="13">
        <f t="shared" si="1"/>
        <v>3</v>
      </c>
      <c r="V445" s="13" t="str">
        <f t="shared" si="2"/>
        <v>C00571|Priya Sharma|35|East|Guwahati|Basic|Facebook|5/20/2025|26|Quarterly|Credit Card|760|3|0|11.90|3.1|7/25/2027|27/09/2026|Churned|Cloud Storage</v>
      </c>
      <c r="W445" s="13">
        <f t="shared" si="3"/>
        <v>1</v>
      </c>
      <c r="X445" s="13">
        <f>IFERROR(__xludf.DUMMYFUNCTION("COUNTUNIQUE(FILTER($B$2:$B$1826,$A$2:$A$1826=A445))"),3.0)</f>
        <v>3</v>
      </c>
    </row>
    <row r="446">
      <c r="A446" s="13" t="s">
        <v>525</v>
      </c>
      <c r="B446" s="13" t="s">
        <v>68</v>
      </c>
      <c r="C446" s="14">
        <v>38.0</v>
      </c>
      <c r="D446" s="13" t="s">
        <v>69</v>
      </c>
      <c r="E446" s="13" t="s">
        <v>70</v>
      </c>
      <c r="F446" s="13" t="s">
        <v>62</v>
      </c>
      <c r="G446" s="13" t="s">
        <v>63</v>
      </c>
      <c r="H446" s="16">
        <v>44701.0</v>
      </c>
      <c r="I446" s="14">
        <v>32.0</v>
      </c>
      <c r="J446" s="13" t="s">
        <v>64</v>
      </c>
      <c r="K446" s="13" t="s">
        <v>81</v>
      </c>
      <c r="L446" s="14">
        <v>590.0</v>
      </c>
      <c r="M446" s="18" t="s">
        <v>164</v>
      </c>
      <c r="N446" s="18" t="s">
        <v>98</v>
      </c>
      <c r="O446" s="18">
        <v>10.7</v>
      </c>
      <c r="P446" s="18" t="s">
        <v>173</v>
      </c>
      <c r="Q446" s="16">
        <v>45406.0</v>
      </c>
      <c r="R446" s="16" t="s">
        <v>38</v>
      </c>
      <c r="S446" s="13" t="s">
        <v>55</v>
      </c>
      <c r="T446" s="13" t="s">
        <v>104</v>
      </c>
      <c r="U446" s="13">
        <f t="shared" si="1"/>
        <v>2</v>
      </c>
      <c r="V446" s="13" t="str">
        <f t="shared" si="2"/>
        <v>C01287|Anita Patel|38|South|Bengaluru|Basic|Google Ads|5/20/2022|32|Annual|Debit Card|590|3|1|10.70|5|4/24/2024||Active|Analytics</v>
      </c>
      <c r="W446" s="13">
        <f t="shared" si="3"/>
        <v>2</v>
      </c>
      <c r="X446" s="13">
        <f>IFERROR(__xludf.DUMMYFUNCTION("COUNTUNIQUE(FILTER($B$2:$B$1826,$A$2:$A$1826=A446))"),1.0)</f>
        <v>1</v>
      </c>
    </row>
    <row r="447">
      <c r="A447" s="13" t="s">
        <v>987</v>
      </c>
      <c r="B447" s="13" t="s">
        <v>179</v>
      </c>
      <c r="C447" s="14">
        <v>67.0</v>
      </c>
      <c r="D447" s="13" t="s">
        <v>35</v>
      </c>
      <c r="E447" s="13" t="s">
        <v>140</v>
      </c>
      <c r="F447" s="13" t="s">
        <v>37</v>
      </c>
      <c r="G447" s="13" t="s">
        <v>39</v>
      </c>
      <c r="H447" s="16">
        <v>45163.0</v>
      </c>
      <c r="I447" s="14">
        <v>43.0</v>
      </c>
      <c r="J447" s="13" t="s">
        <v>40</v>
      </c>
      <c r="K447" s="13" t="s">
        <v>65</v>
      </c>
      <c r="L447" s="14">
        <v>1266.0</v>
      </c>
      <c r="M447" s="18" t="s">
        <v>98</v>
      </c>
      <c r="N447" s="18" t="s">
        <v>46</v>
      </c>
      <c r="O447" s="18">
        <v>29.4</v>
      </c>
      <c r="P447" s="18" t="s">
        <v>408</v>
      </c>
      <c r="Q447" s="16">
        <v>45876.0</v>
      </c>
      <c r="R447" s="16" t="s">
        <v>38</v>
      </c>
      <c r="S447" s="13" t="s">
        <v>55</v>
      </c>
      <c r="T447" s="13" t="s">
        <v>104</v>
      </c>
      <c r="U447" s="13">
        <f t="shared" si="1"/>
        <v>1</v>
      </c>
      <c r="V447" s="13" t="str">
        <f t="shared" si="2"/>
        <v>C01557|Ravi Kumar|67|North|Lucknow|Standard|Instagram|8/25/2023|43|Monthly|Credit Card|1,266|1|0|29.40|4.2|8/7/2025||Active|Analytics</v>
      </c>
      <c r="W447" s="13">
        <f t="shared" si="3"/>
        <v>1</v>
      </c>
      <c r="X447" s="13">
        <f>IFERROR(__xludf.DUMMYFUNCTION("COUNTUNIQUE(FILTER($B$2:$B$1826,$A$2:$A$1826=A447))"),1.0)</f>
        <v>1</v>
      </c>
    </row>
    <row r="448">
      <c r="A448" s="13" t="s">
        <v>988</v>
      </c>
      <c r="B448" s="13" t="s">
        <v>78</v>
      </c>
      <c r="C448" s="14">
        <v>105.0</v>
      </c>
      <c r="D448" s="13" t="s">
        <v>85</v>
      </c>
      <c r="E448" s="13" t="s">
        <v>92</v>
      </c>
      <c r="F448" s="13" t="s">
        <v>79</v>
      </c>
      <c r="G448" s="13" t="s">
        <v>120</v>
      </c>
      <c r="H448" s="16">
        <v>45503.0</v>
      </c>
      <c r="I448" s="14">
        <v>3.0</v>
      </c>
      <c r="J448" s="13" t="s">
        <v>53</v>
      </c>
      <c r="K448" s="13" t="s">
        <v>41</v>
      </c>
      <c r="L448" s="14">
        <v>3761.0</v>
      </c>
      <c r="M448" s="18" t="s">
        <v>43</v>
      </c>
      <c r="N448" s="18" t="s">
        <v>164</v>
      </c>
      <c r="O448" s="18">
        <v>29.9</v>
      </c>
      <c r="P448" s="18" t="s">
        <v>275</v>
      </c>
      <c r="Q448" s="16">
        <v>45612.0</v>
      </c>
      <c r="R448" s="16" t="s">
        <v>38</v>
      </c>
      <c r="S448" s="13" t="s">
        <v>55</v>
      </c>
      <c r="T448" s="13" t="s">
        <v>72</v>
      </c>
      <c r="U448" s="13">
        <f t="shared" si="1"/>
        <v>2</v>
      </c>
      <c r="V448" s="13" t="str">
        <f t="shared" si="2"/>
        <v>C00786|Vikram Patel|105|West|Ahmedabad|Premium|Email|7/30/2024|3|Quarterly|Upi|3,761|2|3|29.90|4.3|11/16/2024||Active|Collaboration</v>
      </c>
      <c r="W448" s="13">
        <f t="shared" si="3"/>
        <v>1</v>
      </c>
      <c r="X448" s="13">
        <f>IFERROR(__xludf.DUMMYFUNCTION("COUNTUNIQUE(FILTER($B$2:$B$1826,$A$2:$A$1826=A448))"),2.0)</f>
        <v>2</v>
      </c>
    </row>
    <row r="449">
      <c r="A449" s="13" t="s">
        <v>989</v>
      </c>
      <c r="B449" s="13" t="s">
        <v>190</v>
      </c>
      <c r="C449" s="14">
        <v>51.0</v>
      </c>
      <c r="D449" s="13" t="s">
        <v>85</v>
      </c>
      <c r="E449" s="13" t="s">
        <v>87</v>
      </c>
      <c r="F449" s="13" t="s">
        <v>37</v>
      </c>
      <c r="G449" s="13" t="s">
        <v>80</v>
      </c>
      <c r="H449" s="16">
        <v>45944.0</v>
      </c>
      <c r="I449" s="14">
        <v>32.0</v>
      </c>
      <c r="J449" s="13" t="s">
        <v>40</v>
      </c>
      <c r="K449" s="13" t="s">
        <v>65</v>
      </c>
      <c r="L449" s="14">
        <v>1551.0</v>
      </c>
      <c r="M449" s="18" t="s">
        <v>43</v>
      </c>
      <c r="N449" s="18" t="s">
        <v>46</v>
      </c>
      <c r="O449" s="18">
        <v>30.1</v>
      </c>
      <c r="P449" s="18" t="s">
        <v>185</v>
      </c>
      <c r="Q449" s="16">
        <v>46435.0</v>
      </c>
      <c r="R449" s="16" t="s">
        <v>38</v>
      </c>
      <c r="S449" s="13" t="s">
        <v>55</v>
      </c>
      <c r="T449" s="13" t="s">
        <v>72</v>
      </c>
      <c r="U449" s="13">
        <f t="shared" si="1"/>
        <v>3</v>
      </c>
      <c r="V449" s="13" t="str">
        <f t="shared" si="2"/>
        <v>C01466|Sneha Patel|51|West|Surat|Standard|Organic Search|10/14/2025|32|Monthly|Credit Card|1,551|2|0|30.10|3.2|2/17/2027||Active|Collaboration</v>
      </c>
      <c r="W449" s="13">
        <f t="shared" si="3"/>
        <v>1</v>
      </c>
      <c r="X449" s="13">
        <f>IFERROR(__xludf.DUMMYFUNCTION("COUNTUNIQUE(FILTER($B$2:$B$1826,$A$2:$A$1826=A449))"),3.0)</f>
        <v>3</v>
      </c>
    </row>
    <row r="450">
      <c r="A450" s="13" t="s">
        <v>990</v>
      </c>
      <c r="B450" s="13" t="s">
        <v>74</v>
      </c>
      <c r="C450" s="14">
        <v>67.0</v>
      </c>
      <c r="D450" s="13" t="s">
        <v>85</v>
      </c>
      <c r="E450" s="13" t="s">
        <v>92</v>
      </c>
      <c r="F450" s="13" t="s">
        <v>37</v>
      </c>
      <c r="G450" s="13" t="s">
        <v>210</v>
      </c>
      <c r="H450" s="16">
        <v>45218.0</v>
      </c>
      <c r="I450" s="14">
        <v>4.0</v>
      </c>
      <c r="J450" s="13" t="s">
        <v>64</v>
      </c>
      <c r="K450" s="13" t="s">
        <v>65</v>
      </c>
      <c r="L450" s="14">
        <v>1130.0</v>
      </c>
      <c r="M450" s="18" t="s">
        <v>46</v>
      </c>
      <c r="N450" s="18" t="s">
        <v>98</v>
      </c>
      <c r="O450" s="18">
        <v>30.8</v>
      </c>
      <c r="P450" s="18" t="s">
        <v>285</v>
      </c>
      <c r="Q450" s="16">
        <v>45321.0</v>
      </c>
      <c r="R450" s="16" t="s">
        <v>38</v>
      </c>
      <c r="S450" s="13" t="s">
        <v>55</v>
      </c>
      <c r="T450" s="13" t="s">
        <v>75</v>
      </c>
      <c r="U450" s="13">
        <f t="shared" si="1"/>
        <v>3</v>
      </c>
      <c r="V450" s="13" t="str">
        <f t="shared" si="2"/>
        <v>C01014|Anita Kumar|67|West|Ahmedabad|Standard|Referral|10/19/2023|4|Annual|Credit Card|1,130|0|1|30.80|2.3|1/30/2024||Active|Security</v>
      </c>
      <c r="W450" s="13">
        <f t="shared" si="3"/>
        <v>1</v>
      </c>
      <c r="X450" s="13">
        <f>IFERROR(__xludf.DUMMYFUNCTION("COUNTUNIQUE(FILTER($B$2:$B$1826,$A$2:$A$1826=A450))"),3.0)</f>
        <v>3</v>
      </c>
    </row>
    <row r="451">
      <c r="A451" s="13" t="s">
        <v>991</v>
      </c>
      <c r="B451" s="13" t="s">
        <v>340</v>
      </c>
      <c r="C451" s="14">
        <v>63.0</v>
      </c>
      <c r="D451" s="13" t="s">
        <v>85</v>
      </c>
      <c r="E451" s="13" t="s">
        <v>92</v>
      </c>
      <c r="F451" s="13" t="s">
        <v>79</v>
      </c>
      <c r="G451" s="13" t="s">
        <v>120</v>
      </c>
      <c r="H451" s="16">
        <v>45281.0</v>
      </c>
      <c r="I451" s="14">
        <v>4.0</v>
      </c>
      <c r="J451" s="13" t="s">
        <v>40</v>
      </c>
      <c r="K451" s="13" t="s">
        <v>65</v>
      </c>
      <c r="L451" s="14">
        <v>3326.0</v>
      </c>
      <c r="M451" s="18" t="s">
        <v>99</v>
      </c>
      <c r="N451" s="18" t="s">
        <v>46</v>
      </c>
      <c r="O451" s="18">
        <v>43.4</v>
      </c>
      <c r="P451" s="18" t="s">
        <v>116</v>
      </c>
      <c r="Q451" s="16">
        <v>45370.0</v>
      </c>
      <c r="R451" s="16" t="s">
        <v>38</v>
      </c>
      <c r="S451" s="13" t="s">
        <v>55</v>
      </c>
      <c r="T451" s="13" t="s">
        <v>104</v>
      </c>
      <c r="U451" s="13">
        <f t="shared" si="1"/>
        <v>4</v>
      </c>
      <c r="V451" s="13" t="str">
        <f t="shared" si="2"/>
        <v>C00200|Meera Sharma|63|West|Ahmedabad|Premium|Email|12/21/2023|4|Monthly|Credit Card|3,326|4|0|43.40|3.4|3/19/2024||Active|Analytics</v>
      </c>
      <c r="W451" s="13">
        <f t="shared" si="3"/>
        <v>1</v>
      </c>
      <c r="X451" s="13">
        <f>IFERROR(__xludf.DUMMYFUNCTION("COUNTUNIQUE(FILTER($B$2:$B$1826,$A$2:$A$1826=A451))"),4.0)</f>
        <v>4</v>
      </c>
    </row>
    <row r="452">
      <c r="A452" s="13" t="s">
        <v>912</v>
      </c>
      <c r="B452" s="13" t="s">
        <v>345</v>
      </c>
      <c r="C452" s="14">
        <v>56.0</v>
      </c>
      <c r="D452" s="13" t="s">
        <v>69</v>
      </c>
      <c r="E452" s="13" t="s">
        <v>70</v>
      </c>
      <c r="F452" s="13" t="s">
        <v>37</v>
      </c>
      <c r="G452" s="13" t="s">
        <v>63</v>
      </c>
      <c r="H452" s="16">
        <v>45505.0</v>
      </c>
      <c r="I452" s="14">
        <v>43.0</v>
      </c>
      <c r="J452" s="13" t="s">
        <v>40</v>
      </c>
      <c r="K452" s="13" t="s">
        <v>65</v>
      </c>
      <c r="L452" s="14">
        <v>1526.0</v>
      </c>
      <c r="M452" s="18" t="s">
        <v>99</v>
      </c>
      <c r="N452" s="18" t="s">
        <v>98</v>
      </c>
      <c r="O452" s="18">
        <v>37.3</v>
      </c>
      <c r="P452" s="18" t="s">
        <v>164</v>
      </c>
      <c r="Q452" s="16">
        <v>46377.0</v>
      </c>
      <c r="R452" s="16" t="s">
        <v>992</v>
      </c>
      <c r="S452" s="13" t="s">
        <v>45</v>
      </c>
      <c r="T452" s="13" t="s">
        <v>75</v>
      </c>
      <c r="U452" s="13">
        <f t="shared" si="1"/>
        <v>2</v>
      </c>
      <c r="V452" s="13" t="str">
        <f t="shared" si="2"/>
        <v>C00692|Arun Nair|56|South|Bengaluru|Standard|Google Ads|8/1/2024|43|Monthly|Credit Card|1,526|4|1|37.30|3|12/21/2026|28/02/2026|Churned|Security</v>
      </c>
      <c r="W452" s="13">
        <f t="shared" si="3"/>
        <v>1</v>
      </c>
      <c r="X452" s="13">
        <f>IFERROR(__xludf.DUMMYFUNCTION("COUNTUNIQUE(FILTER($B$2:$B$1826,$A$2:$A$1826=A452))"),2.0)</f>
        <v>2</v>
      </c>
    </row>
    <row r="453">
      <c r="A453" s="13" t="s">
        <v>993</v>
      </c>
      <c r="B453" s="13" t="s">
        <v>68</v>
      </c>
      <c r="C453" s="14">
        <v>58.0</v>
      </c>
      <c r="D453" s="13" t="s">
        <v>85</v>
      </c>
      <c r="E453" s="13" t="s">
        <v>92</v>
      </c>
      <c r="F453" s="13" t="s">
        <v>37</v>
      </c>
      <c r="G453" s="13" t="s">
        <v>128</v>
      </c>
      <c r="H453" s="16">
        <v>45562.0</v>
      </c>
      <c r="I453" s="14">
        <v>7.0</v>
      </c>
      <c r="J453" s="13" t="s">
        <v>53</v>
      </c>
      <c r="K453" s="13" t="s">
        <v>65</v>
      </c>
      <c r="L453" s="14">
        <v>1343.0</v>
      </c>
      <c r="M453" s="18" t="s">
        <v>164</v>
      </c>
      <c r="N453" s="18" t="s">
        <v>46</v>
      </c>
      <c r="O453" s="18">
        <v>27.7</v>
      </c>
      <c r="P453" s="18" t="s">
        <v>48</v>
      </c>
      <c r="Q453" s="16">
        <v>45700.0</v>
      </c>
      <c r="R453" s="16" t="s">
        <v>38</v>
      </c>
      <c r="S453" s="13" t="s">
        <v>55</v>
      </c>
      <c r="T453" s="13" t="s">
        <v>75</v>
      </c>
      <c r="U453" s="13">
        <f t="shared" si="1"/>
        <v>1</v>
      </c>
      <c r="V453" s="13" t="str">
        <f t="shared" si="2"/>
        <v>C01169|Anita Patel|58|West|Ahmedabad|Standard|Youtube|9/27/2024|7|Quarterly|Credit Card|1,343|3|0|27.70|3.6|2/12/2025||Active|Security</v>
      </c>
      <c r="W453" s="13">
        <f t="shared" si="3"/>
        <v>1</v>
      </c>
      <c r="X453" s="13">
        <f>IFERROR(__xludf.DUMMYFUNCTION("COUNTUNIQUE(FILTER($B$2:$B$1826,$A$2:$A$1826=A453))"),1.0)</f>
        <v>1</v>
      </c>
    </row>
    <row r="454">
      <c r="A454" s="13" t="s">
        <v>816</v>
      </c>
      <c r="B454" s="13" t="s">
        <v>340</v>
      </c>
      <c r="C454" s="14">
        <v>64.0</v>
      </c>
      <c r="D454" s="13" t="s">
        <v>85</v>
      </c>
      <c r="E454" s="13" t="s">
        <v>292</v>
      </c>
      <c r="F454" s="13" t="s">
        <v>37</v>
      </c>
      <c r="G454" s="13" t="s">
        <v>80</v>
      </c>
      <c r="H454" s="16">
        <v>45000.0</v>
      </c>
      <c r="I454" s="14">
        <v>19.0</v>
      </c>
      <c r="J454" s="13" t="s">
        <v>64</v>
      </c>
      <c r="K454" s="13" t="s">
        <v>41</v>
      </c>
      <c r="L454" s="14">
        <v>1586.0</v>
      </c>
      <c r="M454" s="18" t="s">
        <v>46</v>
      </c>
      <c r="N454" s="18" t="s">
        <v>43</v>
      </c>
      <c r="O454" s="18">
        <v>38.7</v>
      </c>
      <c r="P454" s="18" t="s">
        <v>275</v>
      </c>
      <c r="Q454" s="16">
        <v>45241.0</v>
      </c>
      <c r="R454" s="16" t="s">
        <v>38</v>
      </c>
      <c r="S454" s="13" t="s">
        <v>55</v>
      </c>
      <c r="T454" s="13" t="s">
        <v>66</v>
      </c>
      <c r="U454" s="13">
        <f t="shared" si="1"/>
        <v>2</v>
      </c>
      <c r="V454" s="13" t="str">
        <f t="shared" si="2"/>
        <v>C00414|Meera Sharma|64|West|Mumbai|Standard|Organic Search|3/15/2023|19|Annual|Upi|1,586|0|2|38.70|4.3|11/11/2023||Active|Automation</v>
      </c>
      <c r="W454" s="13">
        <f t="shared" si="3"/>
        <v>1</v>
      </c>
      <c r="X454" s="13">
        <f>IFERROR(__xludf.DUMMYFUNCTION("COUNTUNIQUE(FILTER($B$2:$B$1826,$A$2:$A$1826=A454))"),2.0)</f>
        <v>2</v>
      </c>
    </row>
    <row r="455">
      <c r="A455" s="13" t="s">
        <v>537</v>
      </c>
      <c r="B455" s="13" t="s">
        <v>176</v>
      </c>
      <c r="C455" s="14">
        <v>46.0</v>
      </c>
      <c r="D455" s="13" t="s">
        <v>60</v>
      </c>
      <c r="E455" s="13" t="s">
        <v>61</v>
      </c>
      <c r="F455" s="13" t="s">
        <v>37</v>
      </c>
      <c r="G455" s="13" t="s">
        <v>80</v>
      </c>
      <c r="H455" s="16">
        <v>45535.0</v>
      </c>
      <c r="I455" s="14">
        <v>28.0</v>
      </c>
      <c r="J455" s="13" t="s">
        <v>64</v>
      </c>
      <c r="K455" s="13" t="s">
        <v>81</v>
      </c>
      <c r="L455" s="14">
        <v>1666.0</v>
      </c>
      <c r="M455" s="18" t="s">
        <v>99</v>
      </c>
      <c r="N455" s="18" t="s">
        <v>98</v>
      </c>
      <c r="O455" s="18">
        <v>35.7</v>
      </c>
      <c r="P455" s="18" t="s">
        <v>99</v>
      </c>
      <c r="Q455" s="16">
        <v>45854.0</v>
      </c>
      <c r="R455" s="16" t="s">
        <v>38</v>
      </c>
      <c r="S455" s="13" t="s">
        <v>55</v>
      </c>
      <c r="T455" s="13" t="s">
        <v>72</v>
      </c>
      <c r="U455" s="13">
        <f t="shared" si="1"/>
        <v>3</v>
      </c>
      <c r="V455" s="13" t="str">
        <f t="shared" si="2"/>
        <v>C00690|Ravi Iyer|46|East|Kolkata|Standard|Organic Search|8/31/2024|28|Annual|Debit Card|1,666|4|1|35.70|4|7/16/2025||Active|Collaboration</v>
      </c>
      <c r="W455" s="13">
        <f t="shared" si="3"/>
        <v>1</v>
      </c>
      <c r="X455" s="13">
        <f>IFERROR(__xludf.DUMMYFUNCTION("COUNTUNIQUE(FILTER($B$2:$B$1826,$A$2:$A$1826=A455))"),2.0)</f>
        <v>2</v>
      </c>
    </row>
    <row r="456">
      <c r="A456" s="13" t="s">
        <v>995</v>
      </c>
      <c r="B456" s="13" t="s">
        <v>351</v>
      </c>
      <c r="C456" s="14">
        <v>32.0</v>
      </c>
      <c r="D456" s="13" t="s">
        <v>85</v>
      </c>
      <c r="E456" s="13" t="s">
        <v>87</v>
      </c>
      <c r="F456" s="13" t="s">
        <v>62</v>
      </c>
      <c r="G456" s="13" t="s">
        <v>80</v>
      </c>
      <c r="H456" s="16">
        <v>45490.0</v>
      </c>
      <c r="I456" s="14">
        <v>43.0</v>
      </c>
      <c r="J456" s="13" t="s">
        <v>64</v>
      </c>
      <c r="K456" s="13" t="s">
        <v>41</v>
      </c>
      <c r="L456" s="14">
        <v>591.0</v>
      </c>
      <c r="M456" s="18" t="s">
        <v>99</v>
      </c>
      <c r="N456" s="18" t="s">
        <v>99</v>
      </c>
      <c r="O456" s="18">
        <v>22.0</v>
      </c>
      <c r="P456" s="18" t="s">
        <v>108</v>
      </c>
      <c r="Q456" s="16">
        <v>46557.0</v>
      </c>
      <c r="R456" s="16">
        <v>45697.0</v>
      </c>
      <c r="S456" s="13" t="s">
        <v>45</v>
      </c>
      <c r="T456" s="13" t="s">
        <v>75</v>
      </c>
      <c r="U456" s="13">
        <f t="shared" si="1"/>
        <v>1</v>
      </c>
      <c r="V456" s="13" t="str">
        <f t="shared" si="2"/>
        <v>C00410|Meera Nair|32|West|Surat|Basic|Organic Search|7/17/2024|43|Annual|Upi|591|4|4|22.00|2.4|6/19/2027|2/9/2025|Churned|Security</v>
      </c>
      <c r="W456" s="13">
        <f t="shared" si="3"/>
        <v>1</v>
      </c>
      <c r="X456" s="13">
        <f>IFERROR(__xludf.DUMMYFUNCTION("COUNTUNIQUE(FILTER($B$2:$B$1826,$A$2:$A$1826=A456))"),1.0)</f>
        <v>1</v>
      </c>
    </row>
    <row r="457">
      <c r="A457" s="13" t="s">
        <v>77</v>
      </c>
      <c r="B457" s="13" t="s">
        <v>393</v>
      </c>
      <c r="C457" s="14">
        <v>39.0</v>
      </c>
      <c r="D457" s="13" t="s">
        <v>85</v>
      </c>
      <c r="E457" s="13" t="s">
        <v>292</v>
      </c>
      <c r="F457" s="13" t="s">
        <v>37</v>
      </c>
      <c r="G457" s="13" t="s">
        <v>210</v>
      </c>
      <c r="H457" s="16">
        <v>45509.0</v>
      </c>
      <c r="I457" s="14">
        <v>10.0</v>
      </c>
      <c r="J457" s="13" t="s">
        <v>40</v>
      </c>
      <c r="K457" s="13" t="s">
        <v>81</v>
      </c>
      <c r="L457" s="14">
        <v>1700.0</v>
      </c>
      <c r="M457" s="18" t="s">
        <v>164</v>
      </c>
      <c r="N457" s="18" t="s">
        <v>98</v>
      </c>
      <c r="O457" s="18">
        <v>23.3</v>
      </c>
      <c r="P457" s="18" t="s">
        <v>225</v>
      </c>
      <c r="Q457" s="16">
        <v>45672.0</v>
      </c>
      <c r="R457" s="16" t="s">
        <v>38</v>
      </c>
      <c r="S457" s="13" t="s">
        <v>55</v>
      </c>
      <c r="T457" s="13" t="s">
        <v>47</v>
      </c>
      <c r="U457" s="13">
        <f t="shared" si="1"/>
        <v>6</v>
      </c>
      <c r="V457" s="13" t="str">
        <f t="shared" si="2"/>
        <v>C00549|Karan Das|39|West|Mumbai|Standard|Referral|8/5/2024|10|Monthly|Debit Card|1,700|3|1|23.30|3.8|1/15/2025||Active|Cloud Storage</v>
      </c>
      <c r="W457" s="13">
        <f t="shared" si="3"/>
        <v>1</v>
      </c>
      <c r="X457" s="13">
        <f>IFERROR(__xludf.DUMMYFUNCTION("COUNTUNIQUE(FILTER($B$2:$B$1826,$A$2:$A$1826=A457))"),6.0)</f>
        <v>6</v>
      </c>
    </row>
    <row r="458">
      <c r="A458" s="13" t="s">
        <v>463</v>
      </c>
      <c r="B458" s="13" t="s">
        <v>470</v>
      </c>
      <c r="C458" s="14">
        <v>38.0</v>
      </c>
      <c r="D458" s="13" t="s">
        <v>60</v>
      </c>
      <c r="E458" s="13" t="s">
        <v>107</v>
      </c>
      <c r="F458" s="13" t="s">
        <v>37</v>
      </c>
      <c r="G458" s="13" t="s">
        <v>63</v>
      </c>
      <c r="H458" s="16">
        <v>45968.0</v>
      </c>
      <c r="I458" s="14">
        <v>39.0</v>
      </c>
      <c r="J458" s="13" t="s">
        <v>53</v>
      </c>
      <c r="K458" s="13" t="s">
        <v>65</v>
      </c>
      <c r="L458" s="14">
        <v>1115.0</v>
      </c>
      <c r="M458" s="18" t="s">
        <v>43</v>
      </c>
      <c r="N458" s="18" t="s">
        <v>46</v>
      </c>
      <c r="O458" s="18">
        <v>43.7</v>
      </c>
      <c r="P458" s="18" t="s">
        <v>203</v>
      </c>
      <c r="Q458" s="16">
        <v>46371.0</v>
      </c>
      <c r="R458" s="16" t="s">
        <v>38</v>
      </c>
      <c r="S458" s="13" t="s">
        <v>55</v>
      </c>
      <c r="T458" s="13" t="s">
        <v>66</v>
      </c>
      <c r="U458" s="13">
        <f t="shared" si="1"/>
        <v>2</v>
      </c>
      <c r="V458" s="13" t="str">
        <f t="shared" si="2"/>
        <v>C00845|Arun Singh|38|East|Patna|Standard|Google Ads|11/7/2025|39|Quarterly|Credit Card|1,115|2|0|43.70|3.7|12/15/2026||Active|Automation</v>
      </c>
      <c r="W458" s="13">
        <f t="shared" si="3"/>
        <v>1</v>
      </c>
      <c r="X458" s="13">
        <f>IFERROR(__xludf.DUMMYFUNCTION("COUNTUNIQUE(FILTER($B$2:$B$1826,$A$2:$A$1826=A458))"),2.0)</f>
        <v>2</v>
      </c>
    </row>
    <row r="459">
      <c r="A459" s="13" t="s">
        <v>998</v>
      </c>
      <c r="B459" s="13" t="s">
        <v>345</v>
      </c>
      <c r="C459" s="14">
        <v>20.0</v>
      </c>
      <c r="D459" s="13" t="s">
        <v>85</v>
      </c>
      <c r="E459" s="13" t="s">
        <v>292</v>
      </c>
      <c r="F459" s="13" t="s">
        <v>62</v>
      </c>
      <c r="G459" s="13" t="s">
        <v>210</v>
      </c>
      <c r="H459" s="16">
        <v>44841.0</v>
      </c>
      <c r="I459" s="14">
        <v>2.0</v>
      </c>
      <c r="J459" s="13" t="s">
        <v>40</v>
      </c>
      <c r="K459" s="13" t="s">
        <v>41</v>
      </c>
      <c r="L459" s="14">
        <v>641.0</v>
      </c>
      <c r="M459" s="18" t="s">
        <v>98</v>
      </c>
      <c r="N459" s="18" t="s">
        <v>98</v>
      </c>
      <c r="O459" s="18">
        <v>27.8</v>
      </c>
      <c r="P459" s="18" t="s">
        <v>173</v>
      </c>
      <c r="Q459" s="16">
        <v>44873.0</v>
      </c>
      <c r="R459" s="16" t="s">
        <v>38</v>
      </c>
      <c r="S459" s="13" t="s">
        <v>55</v>
      </c>
      <c r="T459" s="13" t="s">
        <v>72</v>
      </c>
      <c r="U459" s="13">
        <f t="shared" si="1"/>
        <v>1</v>
      </c>
      <c r="V459" s="13" t="str">
        <f t="shared" si="2"/>
        <v>C00894|Arun Nair|20|West|Mumbai|Basic|Referral|10/7/2022|2|Monthly|Upi|641|1|1|27.80|5|11/8/2022||Active|Collaboration</v>
      </c>
      <c r="W459" s="13">
        <f t="shared" si="3"/>
        <v>1</v>
      </c>
      <c r="X459" s="13">
        <f>IFERROR(__xludf.DUMMYFUNCTION("COUNTUNIQUE(FILTER($B$2:$B$1826,$A$2:$A$1826=A459))"),1.0)</f>
        <v>1</v>
      </c>
    </row>
    <row r="460">
      <c r="A460" s="13" t="s">
        <v>999</v>
      </c>
      <c r="B460" s="13" t="s">
        <v>215</v>
      </c>
      <c r="C460" s="14">
        <v>55.0</v>
      </c>
      <c r="D460" s="13" t="s">
        <v>60</v>
      </c>
      <c r="E460" s="13" t="s">
        <v>61</v>
      </c>
      <c r="F460" s="13" t="s">
        <v>79</v>
      </c>
      <c r="G460" s="13" t="s">
        <v>120</v>
      </c>
      <c r="H460" s="16">
        <v>45306.0</v>
      </c>
      <c r="I460" s="14">
        <v>43.0</v>
      </c>
      <c r="J460" s="13" t="s">
        <v>64</v>
      </c>
      <c r="K460" s="13" t="s">
        <v>81</v>
      </c>
      <c r="L460" s="14">
        <v>3930.0</v>
      </c>
      <c r="M460" s="18" t="s">
        <v>46</v>
      </c>
      <c r="N460" s="18" t="s">
        <v>43</v>
      </c>
      <c r="O460" s="18">
        <v>35.3</v>
      </c>
      <c r="P460" s="18" t="s">
        <v>99</v>
      </c>
      <c r="Q460" s="16">
        <v>45603.0</v>
      </c>
      <c r="R460" s="16" t="s">
        <v>38</v>
      </c>
      <c r="S460" s="13" t="s">
        <v>55</v>
      </c>
      <c r="T460" s="13" t="s">
        <v>104</v>
      </c>
      <c r="U460" s="13">
        <f t="shared" si="1"/>
        <v>1</v>
      </c>
      <c r="V460" s="13" t="str">
        <f t="shared" si="2"/>
        <v>C01233|Neha Sharma|55|East|Kolkata|Premium|Email|1/15/2024|43|Annual|Debit Card|3,930|0|2|35.30|4|11/7/2024||Active|Analytics</v>
      </c>
      <c r="W460" s="13">
        <f t="shared" si="3"/>
        <v>1</v>
      </c>
      <c r="X460" s="13">
        <f>IFERROR(__xludf.DUMMYFUNCTION("COUNTUNIQUE(FILTER($B$2:$B$1826,$A$2:$A$1826=A460))"),1.0)</f>
        <v>1</v>
      </c>
    </row>
    <row r="461">
      <c r="A461" s="13" t="s">
        <v>1000</v>
      </c>
      <c r="B461" s="13" t="s">
        <v>801</v>
      </c>
      <c r="C461" s="14">
        <v>46.0</v>
      </c>
      <c r="D461" s="13" t="s">
        <v>60</v>
      </c>
      <c r="E461" s="13" t="s">
        <v>133</v>
      </c>
      <c r="F461" s="13" t="s">
        <v>79</v>
      </c>
      <c r="G461" s="13" t="s">
        <v>39</v>
      </c>
      <c r="H461" s="16">
        <v>45790.0</v>
      </c>
      <c r="I461" s="14">
        <v>8.0</v>
      </c>
      <c r="J461" s="13" t="s">
        <v>40</v>
      </c>
      <c r="K461" s="13" t="s">
        <v>41</v>
      </c>
      <c r="L461" s="14">
        <v>3703.0</v>
      </c>
      <c r="M461" s="18" t="s">
        <v>164</v>
      </c>
      <c r="N461" s="18" t="s">
        <v>46</v>
      </c>
      <c r="O461" s="18">
        <v>41.3</v>
      </c>
      <c r="P461" s="18" t="s">
        <v>123</v>
      </c>
      <c r="Q461" s="16">
        <v>45949.0</v>
      </c>
      <c r="R461" s="16" t="s">
        <v>1001</v>
      </c>
      <c r="S461" s="13" t="s">
        <v>55</v>
      </c>
      <c r="T461" s="13" t="s">
        <v>104</v>
      </c>
      <c r="U461" s="13">
        <f t="shared" si="1"/>
        <v>1</v>
      </c>
      <c r="V461" s="13" t="str">
        <f t="shared" si="2"/>
        <v>C01069|Karan Singh|46|East|Guwahati|Premium|Instagram|5/13/2025|8|Monthly|Upi|3,703|3|0|41.30|4.1|10/19/2025|17/12/2025|Active|Analytics</v>
      </c>
      <c r="W461" s="13">
        <f t="shared" si="3"/>
        <v>1</v>
      </c>
      <c r="X461" s="13">
        <f>IFERROR(__xludf.DUMMYFUNCTION("COUNTUNIQUE(FILTER($B$2:$B$1826,$A$2:$A$1826=A461))"),1.0)</f>
        <v>1</v>
      </c>
    </row>
    <row r="462">
      <c r="A462" s="13" t="s">
        <v>1002</v>
      </c>
      <c r="B462" s="13" t="s">
        <v>633</v>
      </c>
      <c r="C462" s="14">
        <v>49.0</v>
      </c>
      <c r="D462" s="13" t="s">
        <v>69</v>
      </c>
      <c r="E462" s="13" t="s">
        <v>177</v>
      </c>
      <c r="F462" s="13" t="s">
        <v>62</v>
      </c>
      <c r="G462" s="13" t="s">
        <v>210</v>
      </c>
      <c r="H462" s="16">
        <v>45769.0</v>
      </c>
      <c r="I462" s="14">
        <v>4.0</v>
      </c>
      <c r="J462" s="13" t="s">
        <v>64</v>
      </c>
      <c r="K462" s="13" t="s">
        <v>41</v>
      </c>
      <c r="L462" s="14">
        <v>690.0</v>
      </c>
      <c r="M462" s="18" t="s">
        <v>164</v>
      </c>
      <c r="N462" s="18" t="s">
        <v>46</v>
      </c>
      <c r="O462" s="18">
        <v>4.8</v>
      </c>
      <c r="P462" s="18" t="s">
        <v>408</v>
      </c>
      <c r="Q462" s="16">
        <v>45807.0</v>
      </c>
      <c r="R462" s="16" t="s">
        <v>38</v>
      </c>
      <c r="S462" s="13" t="s">
        <v>55</v>
      </c>
      <c r="T462" s="13" t="s">
        <v>72</v>
      </c>
      <c r="U462" s="13">
        <f t="shared" si="1"/>
        <v>2</v>
      </c>
      <c r="V462" s="13" t="str">
        <f t="shared" si="2"/>
        <v>C00359|Anita Das|49|South|Hyderabad|Basic|Referral|4/22/2025|4|Annual|Upi|690|3|0|4.80|4.2|5/30/2025||Active|Collaboration</v>
      </c>
      <c r="W462" s="13">
        <f t="shared" si="3"/>
        <v>1</v>
      </c>
      <c r="X462" s="13">
        <f>IFERROR(__xludf.DUMMYFUNCTION("COUNTUNIQUE(FILTER($B$2:$B$1826,$A$2:$A$1826=A462))"),2.0)</f>
        <v>2</v>
      </c>
    </row>
    <row r="463">
      <c r="A463" s="13" t="s">
        <v>1003</v>
      </c>
      <c r="B463" s="13" t="s">
        <v>380</v>
      </c>
      <c r="C463" s="14">
        <v>54.0</v>
      </c>
      <c r="D463" s="13" t="s">
        <v>60</v>
      </c>
      <c r="E463" s="13" t="s">
        <v>133</v>
      </c>
      <c r="F463" s="13" t="s">
        <v>37</v>
      </c>
      <c r="G463" s="13" t="s">
        <v>128</v>
      </c>
      <c r="H463" s="16">
        <v>45193.0</v>
      </c>
      <c r="I463" s="14">
        <v>2.0</v>
      </c>
      <c r="J463" s="13" t="s">
        <v>53</v>
      </c>
      <c r="K463" s="13" t="s">
        <v>65</v>
      </c>
      <c r="L463" s="14">
        <v>1034.0</v>
      </c>
      <c r="M463" s="18" t="s">
        <v>46</v>
      </c>
      <c r="N463" s="18" t="s">
        <v>164</v>
      </c>
      <c r="O463" s="18">
        <v>27.4</v>
      </c>
      <c r="P463" s="18" t="s">
        <v>89</v>
      </c>
      <c r="Q463" s="16">
        <v>45209.0</v>
      </c>
      <c r="R463" s="16" t="s">
        <v>38</v>
      </c>
      <c r="S463" s="13" t="s">
        <v>55</v>
      </c>
      <c r="T463" s="13" t="s">
        <v>72</v>
      </c>
      <c r="U463" s="13">
        <f t="shared" si="1"/>
        <v>3</v>
      </c>
      <c r="V463" s="13" t="str">
        <f t="shared" si="2"/>
        <v>C00297|Neha Iyer|54|East|Guwahati|Standard|Youtube|9/24/2023|2|Quarterly|Credit Card|1,034|0|3|27.40|3.3|10/10/2023||Active|Collaboration</v>
      </c>
      <c r="W463" s="13">
        <f t="shared" si="3"/>
        <v>1</v>
      </c>
      <c r="X463" s="13">
        <f>IFERROR(__xludf.DUMMYFUNCTION("COUNTUNIQUE(FILTER($B$2:$B$1826,$A$2:$A$1826=A463))"),3.0)</f>
        <v>3</v>
      </c>
    </row>
    <row r="464">
      <c r="A464" s="13" t="s">
        <v>1004</v>
      </c>
      <c r="B464" s="13" t="s">
        <v>250</v>
      </c>
      <c r="C464" s="14">
        <v>29.0</v>
      </c>
      <c r="D464" s="13" t="s">
        <v>35</v>
      </c>
      <c r="E464" s="13" t="s">
        <v>51</v>
      </c>
      <c r="F464" s="13" t="s">
        <v>79</v>
      </c>
      <c r="G464" s="13" t="s">
        <v>120</v>
      </c>
      <c r="H464" s="16">
        <v>44578.0</v>
      </c>
      <c r="I464" s="14">
        <v>26.0</v>
      </c>
      <c r="J464" s="13" t="s">
        <v>53</v>
      </c>
      <c r="K464" s="13" t="s">
        <v>81</v>
      </c>
      <c r="L464" s="14">
        <v>2183.0</v>
      </c>
      <c r="M464" s="18" t="s">
        <v>43</v>
      </c>
      <c r="N464" s="18" t="s">
        <v>46</v>
      </c>
      <c r="O464" s="18">
        <v>41.4</v>
      </c>
      <c r="P464" s="18" t="s">
        <v>116</v>
      </c>
      <c r="Q464" s="16">
        <v>45362.0</v>
      </c>
      <c r="R464" s="16" t="s">
        <v>1005</v>
      </c>
      <c r="S464" s="13" t="s">
        <v>45</v>
      </c>
      <c r="T464" s="13" t="s">
        <v>72</v>
      </c>
      <c r="U464" s="13">
        <f t="shared" si="1"/>
        <v>1</v>
      </c>
      <c r="V464" s="13" t="str">
        <f t="shared" si="2"/>
        <v>C01404|Vikram Singh|29|North|Jaipur|Premium|Email|1/17/2022|26|Quarterly|Debit Card|2,183|2|0|41.40|3.4|3/11/2024|15/10/2022|Churned|Collaboration</v>
      </c>
      <c r="W464" s="13">
        <f t="shared" si="3"/>
        <v>1</v>
      </c>
      <c r="X464" s="13">
        <f>IFERROR(__xludf.DUMMYFUNCTION("COUNTUNIQUE(FILTER($B$2:$B$1826,$A$2:$A$1826=A464))"),1.0)</f>
        <v>1</v>
      </c>
    </row>
    <row r="465">
      <c r="A465" s="13" t="s">
        <v>1006</v>
      </c>
      <c r="B465" s="13" t="s">
        <v>336</v>
      </c>
      <c r="C465" s="14">
        <v>63.0</v>
      </c>
      <c r="D465" s="13" t="s">
        <v>85</v>
      </c>
      <c r="E465" s="13" t="s">
        <v>292</v>
      </c>
      <c r="F465" s="13" t="s">
        <v>62</v>
      </c>
      <c r="G465" s="13" t="s">
        <v>63</v>
      </c>
      <c r="H465" s="16">
        <v>45568.0</v>
      </c>
      <c r="I465" s="14">
        <v>31.0</v>
      </c>
      <c r="J465" s="13" t="s">
        <v>53</v>
      </c>
      <c r="K465" s="13" t="s">
        <v>81</v>
      </c>
      <c r="L465" s="14">
        <v>669.0</v>
      </c>
      <c r="M465" s="18" t="s">
        <v>43</v>
      </c>
      <c r="N465" s="18" t="s">
        <v>46</v>
      </c>
      <c r="O465" s="18">
        <v>20.3</v>
      </c>
      <c r="P465" s="18" t="s">
        <v>225</v>
      </c>
      <c r="Q465" s="16">
        <v>46475.0</v>
      </c>
      <c r="R465" s="16" t="s">
        <v>1007</v>
      </c>
      <c r="S465" s="13" t="s">
        <v>45</v>
      </c>
      <c r="T465" s="13" t="s">
        <v>104</v>
      </c>
      <c r="U465" s="13">
        <f t="shared" si="1"/>
        <v>3</v>
      </c>
      <c r="V465" s="13" t="str">
        <f t="shared" si="2"/>
        <v>C01571|Priya Patel|63|West|Mumbai|Basic|Google Ads|10/3/2024|31|Quarterly|Debit Card|669|2|0|20.30|3.8|3/29/2027|19/02/2027|Churned|Analytics</v>
      </c>
      <c r="W465" s="13">
        <f t="shared" si="3"/>
        <v>1</v>
      </c>
      <c r="X465" s="13">
        <f>IFERROR(__xludf.DUMMYFUNCTION("COUNTUNIQUE(FILTER($B$2:$B$1826,$A$2:$A$1826=A465))"),3.0)</f>
        <v>3</v>
      </c>
    </row>
    <row r="466">
      <c r="A466" s="13" t="s">
        <v>1008</v>
      </c>
      <c r="B466" s="13" t="s">
        <v>202</v>
      </c>
      <c r="C466" s="14" t="s">
        <v>38</v>
      </c>
      <c r="D466" s="13" t="s">
        <v>85</v>
      </c>
      <c r="E466" s="13" t="s">
        <v>92</v>
      </c>
      <c r="F466" s="13" t="s">
        <v>37</v>
      </c>
      <c r="G466" s="13" t="s">
        <v>63</v>
      </c>
      <c r="H466" s="16">
        <v>44668.0</v>
      </c>
      <c r="I466" s="14">
        <v>42.0</v>
      </c>
      <c r="J466" s="13" t="s">
        <v>64</v>
      </c>
      <c r="K466" s="13" t="s">
        <v>65</v>
      </c>
      <c r="L466" s="14">
        <v>1453.0</v>
      </c>
      <c r="M466" s="18" t="s">
        <v>98</v>
      </c>
      <c r="N466" s="18" t="s">
        <v>98</v>
      </c>
      <c r="O466" s="18">
        <v>30.7</v>
      </c>
      <c r="P466" s="18" t="s">
        <v>99</v>
      </c>
      <c r="Q466" s="16">
        <v>44956.0</v>
      </c>
      <c r="R466" s="16" t="s">
        <v>38</v>
      </c>
      <c r="S466" s="13" t="s">
        <v>55</v>
      </c>
      <c r="T466" s="13" t="s">
        <v>72</v>
      </c>
      <c r="U466" s="13">
        <f t="shared" si="1"/>
        <v>3</v>
      </c>
      <c r="V466" s="13" t="str">
        <f t="shared" si="2"/>
        <v>C00721|Arun Das||West|Ahmedabad|Standard|Google Ads|4/17/2022|42|Annual|Credit Card|1,453|1|1|30.70|4|1/30/2023||Active|Collaboration</v>
      </c>
      <c r="W466" s="13">
        <f t="shared" si="3"/>
        <v>1</v>
      </c>
      <c r="X466" s="13">
        <f>IFERROR(__xludf.DUMMYFUNCTION("COUNTUNIQUE(FILTER($B$2:$B$1826,$A$2:$A$1826=A466))"),3.0)</f>
        <v>3</v>
      </c>
    </row>
    <row r="467">
      <c r="A467" s="13" t="s">
        <v>1009</v>
      </c>
      <c r="B467" s="13" t="s">
        <v>190</v>
      </c>
      <c r="C467" s="14">
        <v>35.0</v>
      </c>
      <c r="D467" s="13" t="s">
        <v>35</v>
      </c>
      <c r="E467" s="13" t="s">
        <v>36</v>
      </c>
      <c r="F467" s="13" t="s">
        <v>62</v>
      </c>
      <c r="G467" s="13" t="s">
        <v>80</v>
      </c>
      <c r="H467" s="16">
        <v>45891.0</v>
      </c>
      <c r="I467" s="14">
        <v>9.0</v>
      </c>
      <c r="J467" s="13" t="s">
        <v>40</v>
      </c>
      <c r="K467" s="13" t="s">
        <v>81</v>
      </c>
      <c r="L467" s="14">
        <v>850.0</v>
      </c>
      <c r="M467" s="18" t="s">
        <v>98</v>
      </c>
      <c r="N467" s="18" t="s">
        <v>46</v>
      </c>
      <c r="O467" s="18">
        <v>12.7</v>
      </c>
      <c r="P467" s="18" t="s">
        <v>310</v>
      </c>
      <c r="Q467" s="16">
        <v>46064.0</v>
      </c>
      <c r="R467" s="16">
        <v>46300.0</v>
      </c>
      <c r="S467" s="13" t="s">
        <v>45</v>
      </c>
      <c r="T467" s="13" t="s">
        <v>66</v>
      </c>
      <c r="U467" s="13">
        <f t="shared" si="1"/>
        <v>1</v>
      </c>
      <c r="V467" s="13" t="str">
        <f t="shared" si="2"/>
        <v>C01180|Sneha Patel|35|North|Delhi|Basic|Organic Search|8/22/2025|9|Monthly|Debit Card|850|1|0|12.70|3.1|2/11/2026|10/5/2026|Churned|Automation</v>
      </c>
      <c r="W467" s="13">
        <f t="shared" si="3"/>
        <v>1</v>
      </c>
      <c r="X467" s="13">
        <f>IFERROR(__xludf.DUMMYFUNCTION("COUNTUNIQUE(FILTER($B$2:$B$1826,$A$2:$A$1826=A467))"),1.0)</f>
        <v>1</v>
      </c>
    </row>
    <row r="468">
      <c r="A468" s="13" t="s">
        <v>1011</v>
      </c>
      <c r="B468" s="13" t="s">
        <v>172</v>
      </c>
      <c r="C468" s="14">
        <v>24.0</v>
      </c>
      <c r="D468" s="13" t="s">
        <v>60</v>
      </c>
      <c r="E468" s="13" t="s">
        <v>97</v>
      </c>
      <c r="F468" s="13" t="s">
        <v>62</v>
      </c>
      <c r="G468" s="13" t="s">
        <v>210</v>
      </c>
      <c r="H468" s="16">
        <v>44934.0</v>
      </c>
      <c r="I468" s="14">
        <v>26.0</v>
      </c>
      <c r="J468" s="13" t="s">
        <v>53</v>
      </c>
      <c r="K468" s="13" t="s">
        <v>41</v>
      </c>
      <c r="L468" s="14">
        <v>791.0</v>
      </c>
      <c r="M468" s="18" t="s">
        <v>99</v>
      </c>
      <c r="N468" s="18" t="s">
        <v>98</v>
      </c>
      <c r="O468" s="18">
        <v>16.0</v>
      </c>
      <c r="P468" s="18" t="s">
        <v>233</v>
      </c>
      <c r="Q468" s="16">
        <v>44967.0</v>
      </c>
      <c r="R468" s="16" t="s">
        <v>1012</v>
      </c>
      <c r="S468" s="13" t="s">
        <v>45</v>
      </c>
      <c r="T468" s="13" t="s">
        <v>72</v>
      </c>
      <c r="U468" s="13">
        <f t="shared" si="1"/>
        <v>1</v>
      </c>
      <c r="V468" s="13" t="str">
        <f t="shared" si="2"/>
        <v>C00671|Meera Singh|24|East|Bhubaneswar|Basic|Referral|1/8/2023|26|Quarterly|Upi|791|4|1|16.00|3.5|2/10/2023|31/08/2024|Churned|Collaboration</v>
      </c>
      <c r="W468" s="13">
        <f t="shared" si="3"/>
        <v>1</v>
      </c>
      <c r="X468" s="13">
        <f>IFERROR(__xludf.DUMMYFUNCTION("COUNTUNIQUE(FILTER($B$2:$B$1826,$A$2:$A$1826=A468))"),1.0)</f>
        <v>1</v>
      </c>
    </row>
    <row r="469">
      <c r="A469" s="13" t="s">
        <v>595</v>
      </c>
      <c r="B469" s="13" t="s">
        <v>202</v>
      </c>
      <c r="C469" s="14">
        <v>68.0</v>
      </c>
      <c r="D469" s="13" t="s">
        <v>69</v>
      </c>
      <c r="E469" s="13" t="s">
        <v>70</v>
      </c>
      <c r="F469" s="13" t="s">
        <v>62</v>
      </c>
      <c r="G469" s="13" t="s">
        <v>39</v>
      </c>
      <c r="H469" s="16">
        <v>45791.0</v>
      </c>
      <c r="I469" s="14">
        <v>17.0</v>
      </c>
      <c r="J469" s="13" t="s">
        <v>53</v>
      </c>
      <c r="K469" s="13" t="s">
        <v>81</v>
      </c>
      <c r="L469" s="14">
        <v>687.0</v>
      </c>
      <c r="M469" s="18" t="s">
        <v>46</v>
      </c>
      <c r="N469" s="18" t="s">
        <v>46</v>
      </c>
      <c r="O469" s="18">
        <v>9.9</v>
      </c>
      <c r="P469" s="18" t="s">
        <v>164</v>
      </c>
      <c r="Q469" s="16">
        <v>45921.0</v>
      </c>
      <c r="R469" s="16" t="s">
        <v>38</v>
      </c>
      <c r="S469" s="13" t="s">
        <v>55</v>
      </c>
      <c r="T469" s="13" t="s">
        <v>75</v>
      </c>
      <c r="U469" s="13">
        <f t="shared" si="1"/>
        <v>2</v>
      </c>
      <c r="V469" s="13" t="str">
        <f t="shared" si="2"/>
        <v>C01437|Arun Das|68|South|Bengaluru|Basic|Instagram|5/14/2025|17|Quarterly|Debit Card|687|0|0|9.90|3|9/21/2025||Active|Security</v>
      </c>
      <c r="W469" s="13">
        <f t="shared" si="3"/>
        <v>1</v>
      </c>
      <c r="X469" s="13">
        <f>IFERROR(__xludf.DUMMYFUNCTION("COUNTUNIQUE(FILTER($B$2:$B$1826,$A$2:$A$1826=A469))"),2.0)</f>
        <v>2</v>
      </c>
    </row>
    <row r="470">
      <c r="A470" s="13" t="s">
        <v>1015</v>
      </c>
      <c r="B470" s="13" t="s">
        <v>250</v>
      </c>
      <c r="C470" s="14">
        <v>99.0</v>
      </c>
      <c r="D470" s="13" t="s">
        <v>69</v>
      </c>
      <c r="E470" s="13" t="s">
        <v>187</v>
      </c>
      <c r="F470" s="13" t="s">
        <v>62</v>
      </c>
      <c r="G470" s="13" t="s">
        <v>128</v>
      </c>
      <c r="H470" s="16">
        <v>45107.0</v>
      </c>
      <c r="I470" s="14">
        <v>19.0</v>
      </c>
      <c r="J470" s="13" t="s">
        <v>40</v>
      </c>
      <c r="K470" s="13" t="s">
        <v>65</v>
      </c>
      <c r="L470" s="14">
        <v>694.0</v>
      </c>
      <c r="M470" s="18" t="s">
        <v>46</v>
      </c>
      <c r="N470" s="18" t="s">
        <v>46</v>
      </c>
      <c r="O470" s="18">
        <v>29.0</v>
      </c>
      <c r="P470" s="18" t="s">
        <v>449</v>
      </c>
      <c r="Q470" s="16">
        <v>45328.0</v>
      </c>
      <c r="R470" s="16">
        <v>45446.0</v>
      </c>
      <c r="S470" s="13" t="s">
        <v>45</v>
      </c>
      <c r="T470" s="13" t="s">
        <v>47</v>
      </c>
      <c r="U470" s="13">
        <f t="shared" si="1"/>
        <v>2</v>
      </c>
      <c r="V470" s="13" t="str">
        <f t="shared" si="2"/>
        <v>C00243|Vikram Singh|99|South|Chennai|Basic|Youtube|6/30/2023|19|Monthly|Credit Card|694|0|0|29.00|2.7|2/6/2024|6/3/2024|Churned|Cloud Storage</v>
      </c>
      <c r="W470" s="13">
        <f t="shared" si="3"/>
        <v>1</v>
      </c>
      <c r="X470" s="13">
        <f>IFERROR(__xludf.DUMMYFUNCTION("COUNTUNIQUE(FILTER($B$2:$B$1826,$A$2:$A$1826=A470))"),2.0)</f>
        <v>2</v>
      </c>
    </row>
    <row r="471">
      <c r="A471" s="13" t="s">
        <v>956</v>
      </c>
      <c r="B471" s="13" t="s">
        <v>190</v>
      </c>
      <c r="C471" s="14">
        <v>39.0</v>
      </c>
      <c r="D471" s="13" t="s">
        <v>60</v>
      </c>
      <c r="E471" s="13" t="s">
        <v>107</v>
      </c>
      <c r="F471" s="13" t="s">
        <v>62</v>
      </c>
      <c r="G471" s="13" t="s">
        <v>120</v>
      </c>
      <c r="H471" s="16">
        <v>45070.0</v>
      </c>
      <c r="I471" s="14">
        <v>24.0</v>
      </c>
      <c r="J471" s="13" t="s">
        <v>64</v>
      </c>
      <c r="K471" s="13" t="s">
        <v>65</v>
      </c>
      <c r="L471" s="14">
        <v>830.0</v>
      </c>
      <c r="M471" s="18" t="s">
        <v>43</v>
      </c>
      <c r="N471" s="18" t="s">
        <v>46</v>
      </c>
      <c r="O471" s="18">
        <v>15.0</v>
      </c>
      <c r="P471" s="18" t="s">
        <v>99</v>
      </c>
      <c r="Q471" s="16">
        <v>45090.0</v>
      </c>
      <c r="R471" s="16" t="s">
        <v>38</v>
      </c>
      <c r="S471" s="13" t="s">
        <v>55</v>
      </c>
      <c r="T471" s="13" t="s">
        <v>47</v>
      </c>
      <c r="U471" s="13">
        <f t="shared" si="1"/>
        <v>2</v>
      </c>
      <c r="V471" s="13" t="str">
        <f t="shared" si="2"/>
        <v>C00059|Sneha Patel|39|East|Patna|Basic|Email|5/24/2023|24|Annual|Credit Card|830|2|0|15.00|4|6/13/2023||Active|Cloud Storage</v>
      </c>
      <c r="W471" s="13">
        <f t="shared" si="3"/>
        <v>1</v>
      </c>
      <c r="X471" s="13">
        <f>IFERROR(__xludf.DUMMYFUNCTION("COUNTUNIQUE(FILTER($B$2:$B$1826,$A$2:$A$1826=A471))"),2.0)</f>
        <v>2</v>
      </c>
    </row>
    <row r="472">
      <c r="A472" s="13" t="s">
        <v>1017</v>
      </c>
      <c r="B472" s="13" t="s">
        <v>257</v>
      </c>
      <c r="C472" s="14">
        <v>57.0</v>
      </c>
      <c r="D472" s="13" t="s">
        <v>85</v>
      </c>
      <c r="E472" s="13" t="s">
        <v>38</v>
      </c>
      <c r="F472" s="13" t="s">
        <v>37</v>
      </c>
      <c r="G472" s="13" t="s">
        <v>210</v>
      </c>
      <c r="H472" s="16">
        <v>44711.0</v>
      </c>
      <c r="I472" s="14">
        <v>7.0</v>
      </c>
      <c r="J472" s="13" t="s">
        <v>64</v>
      </c>
      <c r="K472" s="13" t="s">
        <v>81</v>
      </c>
      <c r="L472" s="14">
        <v>1339.0</v>
      </c>
      <c r="M472" s="18" t="s">
        <v>43</v>
      </c>
      <c r="N472" s="18" t="s">
        <v>98</v>
      </c>
      <c r="O472" s="18">
        <v>12.7</v>
      </c>
      <c r="P472" s="18" t="s">
        <v>48</v>
      </c>
      <c r="Q472" s="16">
        <v>44781.0</v>
      </c>
      <c r="R472" s="16" t="s">
        <v>38</v>
      </c>
      <c r="S472" s="13" t="s">
        <v>55</v>
      </c>
      <c r="T472" s="13" t="s">
        <v>104</v>
      </c>
      <c r="U472" s="13">
        <f t="shared" si="1"/>
        <v>1</v>
      </c>
      <c r="V472" s="13" t="str">
        <f t="shared" si="2"/>
        <v>C01461|Sneha Reddy|57|West||Standard|Referral|5/30/2022|7|Annual|Debit Card|1,339|2|1|12.70|3.6|8/8/2022||Active|Analytics</v>
      </c>
      <c r="W472" s="13">
        <f t="shared" si="3"/>
        <v>1</v>
      </c>
      <c r="X472" s="13">
        <f>IFERROR(__xludf.DUMMYFUNCTION("COUNTUNIQUE(FILTER($B$2:$B$1826,$A$2:$A$1826=A472))"),1.0)</f>
        <v>1</v>
      </c>
    </row>
    <row r="473">
      <c r="A473" s="13" t="s">
        <v>479</v>
      </c>
      <c r="B473" s="13" t="s">
        <v>78</v>
      </c>
      <c r="C473" s="14">
        <v>51.0</v>
      </c>
      <c r="D473" s="13" t="s">
        <v>60</v>
      </c>
      <c r="E473" s="13" t="s">
        <v>133</v>
      </c>
      <c r="F473" s="13" t="s">
        <v>62</v>
      </c>
      <c r="G473" s="13" t="s">
        <v>120</v>
      </c>
      <c r="H473" s="16">
        <v>45936.0</v>
      </c>
      <c r="I473" s="14">
        <v>24.0</v>
      </c>
      <c r="J473" s="13" t="s">
        <v>53</v>
      </c>
      <c r="K473" s="13" t="s">
        <v>65</v>
      </c>
      <c r="L473" s="14">
        <v>785.0</v>
      </c>
      <c r="M473" s="18" t="s">
        <v>98</v>
      </c>
      <c r="N473" s="18" t="s">
        <v>46</v>
      </c>
      <c r="O473" s="18">
        <v>20.8</v>
      </c>
      <c r="P473" s="18" t="s">
        <v>701</v>
      </c>
      <c r="Q473" s="16">
        <v>46129.0</v>
      </c>
      <c r="R473" s="16" t="s">
        <v>38</v>
      </c>
      <c r="S473" s="13" t="s">
        <v>55</v>
      </c>
      <c r="T473" s="13" t="s">
        <v>75</v>
      </c>
      <c r="U473" s="13">
        <f t="shared" si="1"/>
        <v>2</v>
      </c>
      <c r="V473" s="13" t="str">
        <f t="shared" si="2"/>
        <v>C00011|Vikram Patel|51|East|Guwahati|Basic|Email|10/6/2025|24|Quarterly|Credit Card|785|1|0|20.80|2.8|4/17/2026||Active|Security</v>
      </c>
      <c r="W473" s="13">
        <f t="shared" si="3"/>
        <v>1</v>
      </c>
      <c r="X473" s="13">
        <f>IFERROR(__xludf.DUMMYFUNCTION("COUNTUNIQUE(FILTER($B$2:$B$1826,$A$2:$A$1826=A473))"),2.0)</f>
        <v>2</v>
      </c>
    </row>
    <row r="474">
      <c r="A474" s="13" t="s">
        <v>677</v>
      </c>
      <c r="B474" s="13" t="s">
        <v>633</v>
      </c>
      <c r="C474" s="14">
        <v>37.0</v>
      </c>
      <c r="D474" s="13" t="s">
        <v>35</v>
      </c>
      <c r="E474" s="13" t="s">
        <v>161</v>
      </c>
      <c r="F474" s="13" t="s">
        <v>37</v>
      </c>
      <c r="G474" s="13" t="s">
        <v>120</v>
      </c>
      <c r="H474" s="16">
        <v>44852.0</v>
      </c>
      <c r="I474" s="14">
        <v>17.0</v>
      </c>
      <c r="J474" s="13" t="s">
        <v>53</v>
      </c>
      <c r="K474" s="13" t="s">
        <v>81</v>
      </c>
      <c r="L474" s="14">
        <v>1129.0</v>
      </c>
      <c r="M474" s="18" t="s">
        <v>98</v>
      </c>
      <c r="N474" s="18" t="s">
        <v>98</v>
      </c>
      <c r="O474" s="18">
        <v>12.9</v>
      </c>
      <c r="P474" s="18" t="s">
        <v>89</v>
      </c>
      <c r="Q474" s="16">
        <v>45149.0</v>
      </c>
      <c r="R474" s="16" t="s">
        <v>38</v>
      </c>
      <c r="S474" s="13" t="s">
        <v>55</v>
      </c>
      <c r="T474" s="13" t="s">
        <v>72</v>
      </c>
      <c r="U474" s="13">
        <f t="shared" si="1"/>
        <v>5</v>
      </c>
      <c r="V474" s="13" t="str">
        <f t="shared" si="2"/>
        <v>C00271|Anita Das|37|North|Chandigarh|Standard|Email|10/18/2022|17|Quarterly|Debit Card|1,129|1|1|12.90|3.3|8/11/2023||Active|Collaboration</v>
      </c>
      <c r="W474" s="13">
        <f t="shared" si="3"/>
        <v>1</v>
      </c>
      <c r="X474" s="13">
        <f>IFERROR(__xludf.DUMMYFUNCTION("COUNTUNIQUE(FILTER($B$2:$B$1826,$A$2:$A$1826=A474))"),5.0)</f>
        <v>5</v>
      </c>
    </row>
    <row r="475">
      <c r="A475" s="13" t="s">
        <v>803</v>
      </c>
      <c r="B475" s="13" t="s">
        <v>470</v>
      </c>
      <c r="C475" s="14">
        <v>28.0</v>
      </c>
      <c r="D475" s="13" t="s">
        <v>60</v>
      </c>
      <c r="E475" s="13" t="s">
        <v>133</v>
      </c>
      <c r="F475" s="13" t="s">
        <v>79</v>
      </c>
      <c r="G475" s="13" t="s">
        <v>210</v>
      </c>
      <c r="H475" s="16">
        <v>45568.0</v>
      </c>
      <c r="I475" s="14">
        <v>10.0</v>
      </c>
      <c r="J475" s="13" t="s">
        <v>64</v>
      </c>
      <c r="K475" s="13" t="s">
        <v>41</v>
      </c>
      <c r="L475" s="14">
        <v>3633.0</v>
      </c>
      <c r="M475" s="18" t="s">
        <v>99</v>
      </c>
      <c r="N475" s="18" t="s">
        <v>164</v>
      </c>
      <c r="O475" s="18">
        <v>42.3</v>
      </c>
      <c r="P475" s="18" t="s">
        <v>173</v>
      </c>
      <c r="Q475" s="16">
        <v>45803.0</v>
      </c>
      <c r="R475" s="16" t="s">
        <v>38</v>
      </c>
      <c r="S475" s="13" t="s">
        <v>55</v>
      </c>
      <c r="T475" s="13" t="s">
        <v>47</v>
      </c>
      <c r="U475" s="13">
        <f t="shared" si="1"/>
        <v>2</v>
      </c>
      <c r="V475" s="13" t="str">
        <f t="shared" si="2"/>
        <v>C01059|Arun Singh|28|East|Guwahati|Premium|Referral|10/3/2024|10|Annual|Upi|3,633|4|3|42.30|5|5/26/2025||Active|Cloud Storage</v>
      </c>
      <c r="W475" s="13">
        <f t="shared" si="3"/>
        <v>1</v>
      </c>
      <c r="X475" s="13">
        <f>IFERROR(__xludf.DUMMYFUNCTION("COUNTUNIQUE(FILTER($B$2:$B$1826,$A$2:$A$1826=A475))"),2.0)</f>
        <v>2</v>
      </c>
    </row>
    <row r="476">
      <c r="A476" s="13" t="s">
        <v>1018</v>
      </c>
      <c r="B476" s="13" t="s">
        <v>645</v>
      </c>
      <c r="C476" s="14">
        <v>48.0</v>
      </c>
      <c r="D476" s="13" t="s">
        <v>85</v>
      </c>
      <c r="E476" s="13" t="s">
        <v>92</v>
      </c>
      <c r="F476" s="13" t="s">
        <v>37</v>
      </c>
      <c r="G476" s="13" t="s">
        <v>120</v>
      </c>
      <c r="H476" s="16">
        <v>45455.0</v>
      </c>
      <c r="I476" s="14">
        <v>8.0</v>
      </c>
      <c r="J476" s="13" t="s">
        <v>53</v>
      </c>
      <c r="K476" s="13" t="s">
        <v>41</v>
      </c>
      <c r="L476" s="14">
        <v>752.0</v>
      </c>
      <c r="M476" s="18" t="s">
        <v>99</v>
      </c>
      <c r="N476" s="18" t="s">
        <v>98</v>
      </c>
      <c r="O476" s="18">
        <v>17.6</v>
      </c>
      <c r="P476" s="18" t="s">
        <v>108</v>
      </c>
      <c r="Q476" s="16">
        <v>45556.0</v>
      </c>
      <c r="R476" s="16">
        <v>45901.0</v>
      </c>
      <c r="S476" s="13" t="s">
        <v>45</v>
      </c>
      <c r="T476" s="13" t="s">
        <v>47</v>
      </c>
      <c r="U476" s="13">
        <f t="shared" si="1"/>
        <v>1</v>
      </c>
      <c r="V476" s="13" t="str">
        <f t="shared" si="2"/>
        <v>C00074|Ravi Nair|48|West|Ahmedabad|Standard|Email|6/12/2024|8|Quarterly|Upi|752|4|1|17.60|2.4|9/21/2024|9/1/2025|Churned|Cloud Storage</v>
      </c>
      <c r="W476" s="13">
        <f t="shared" si="3"/>
        <v>1</v>
      </c>
      <c r="X476" s="13">
        <f>IFERROR(__xludf.DUMMYFUNCTION("COUNTUNIQUE(FILTER($B$2:$B$1826,$A$2:$A$1826=A476))"),1.0)</f>
        <v>1</v>
      </c>
    </row>
    <row r="477">
      <c r="A477" s="13" t="s">
        <v>1020</v>
      </c>
      <c r="B477" s="13" t="s">
        <v>424</v>
      </c>
      <c r="C477" s="14">
        <v>52.0</v>
      </c>
      <c r="D477" s="13" t="s">
        <v>60</v>
      </c>
      <c r="E477" s="13" t="s">
        <v>61</v>
      </c>
      <c r="F477" s="13" t="s">
        <v>62</v>
      </c>
      <c r="G477" s="13" t="s">
        <v>210</v>
      </c>
      <c r="H477" s="16">
        <v>44931.0</v>
      </c>
      <c r="I477" s="14">
        <v>11.0</v>
      </c>
      <c r="J477" s="13" t="s">
        <v>64</v>
      </c>
      <c r="K477" s="13" t="s">
        <v>41</v>
      </c>
      <c r="L477" s="14">
        <v>638.0</v>
      </c>
      <c r="M477" s="18" t="s">
        <v>98</v>
      </c>
      <c r="N477" s="18" t="s">
        <v>46</v>
      </c>
      <c r="O477" s="18">
        <v>13.8</v>
      </c>
      <c r="P477" s="18" t="s">
        <v>916</v>
      </c>
      <c r="Q477" s="16">
        <v>45280.0</v>
      </c>
      <c r="R477" s="16" t="s">
        <v>1021</v>
      </c>
      <c r="S477" s="13" t="s">
        <v>45</v>
      </c>
      <c r="T477" s="13" t="s">
        <v>75</v>
      </c>
      <c r="U477" s="13">
        <f t="shared" si="1"/>
        <v>1</v>
      </c>
      <c r="V477" s="13" t="str">
        <f t="shared" si="2"/>
        <v>C00254|Neha Kumar|52|East|Kolkata|Basic|Referral|1/5/2023|11|Annual|Upi|638|1|0|13.80|1.9|12/20/2023|30/11/2023|Churned|Security</v>
      </c>
      <c r="W477" s="13">
        <f t="shared" si="3"/>
        <v>1</v>
      </c>
      <c r="X477" s="13">
        <f>IFERROR(__xludf.DUMMYFUNCTION("COUNTUNIQUE(FILTER($B$2:$B$1826,$A$2:$A$1826=A477))"),1.0)</f>
        <v>1</v>
      </c>
    </row>
    <row r="478">
      <c r="A478" s="13" t="s">
        <v>473</v>
      </c>
      <c r="B478" s="13" t="s">
        <v>340</v>
      </c>
      <c r="C478" s="14">
        <v>39.0</v>
      </c>
      <c r="D478" s="13" t="s">
        <v>69</v>
      </c>
      <c r="E478" s="13" t="s">
        <v>119</v>
      </c>
      <c r="F478" s="13" t="s">
        <v>37</v>
      </c>
      <c r="G478" s="13" t="s">
        <v>210</v>
      </c>
      <c r="H478" s="16">
        <v>44615.0</v>
      </c>
      <c r="I478" s="14">
        <v>19.0</v>
      </c>
      <c r="J478" s="13" t="s">
        <v>40</v>
      </c>
      <c r="K478" s="13" t="s">
        <v>41</v>
      </c>
      <c r="L478" s="14">
        <v>1123.0</v>
      </c>
      <c r="M478" s="18" t="s">
        <v>43</v>
      </c>
      <c r="N478" s="18" t="s">
        <v>38</v>
      </c>
      <c r="O478" s="18">
        <v>43.2</v>
      </c>
      <c r="P478" s="18" t="s">
        <v>173</v>
      </c>
      <c r="Q478" s="16">
        <v>45007.0</v>
      </c>
      <c r="R478" s="16" t="s">
        <v>38</v>
      </c>
      <c r="S478" s="13" t="s">
        <v>55</v>
      </c>
      <c r="T478" s="13" t="s">
        <v>104</v>
      </c>
      <c r="U478" s="13">
        <f t="shared" si="1"/>
        <v>4</v>
      </c>
      <c r="V478" s="13" t="str">
        <f t="shared" si="2"/>
        <v>C00158|Meera Sharma|39|South|Kochi|Standard|Referral|2/23/2022|19|Monthly|Upi|1,123|2||43.20|5|3/22/2023||Active|Analytics</v>
      </c>
      <c r="W478" s="13">
        <f t="shared" si="3"/>
        <v>1</v>
      </c>
      <c r="X478" s="13">
        <f>IFERROR(__xludf.DUMMYFUNCTION("COUNTUNIQUE(FILTER($B$2:$B$1826,$A$2:$A$1826=A478))"),4.0)</f>
        <v>4</v>
      </c>
    </row>
    <row r="479">
      <c r="A479" s="13" t="s">
        <v>1022</v>
      </c>
      <c r="B479" s="13" t="s">
        <v>68</v>
      </c>
      <c r="C479" s="14">
        <v>32.0</v>
      </c>
      <c r="D479" s="13" t="s">
        <v>85</v>
      </c>
      <c r="E479" s="13" t="s">
        <v>87</v>
      </c>
      <c r="F479" s="13" t="s">
        <v>37</v>
      </c>
      <c r="G479" s="13" t="s">
        <v>210</v>
      </c>
      <c r="H479" s="16">
        <v>45778.0</v>
      </c>
      <c r="I479" s="14">
        <v>43.0</v>
      </c>
      <c r="J479" s="13" t="s">
        <v>40</v>
      </c>
      <c r="K479" s="13" t="s">
        <v>81</v>
      </c>
      <c r="L479" s="14">
        <v>1670.0</v>
      </c>
      <c r="M479" s="18" t="s">
        <v>98</v>
      </c>
      <c r="N479" s="18" t="s">
        <v>46</v>
      </c>
      <c r="O479" s="18">
        <v>20.9</v>
      </c>
      <c r="P479" s="18" t="s">
        <v>123</v>
      </c>
      <c r="Q479" s="16">
        <v>46715.0</v>
      </c>
      <c r="R479" s="16" t="s">
        <v>38</v>
      </c>
      <c r="S479" s="13" t="s">
        <v>55</v>
      </c>
      <c r="T479" s="13" t="s">
        <v>72</v>
      </c>
      <c r="U479" s="13">
        <f t="shared" si="1"/>
        <v>3</v>
      </c>
      <c r="V479" s="13" t="str">
        <f t="shared" si="2"/>
        <v>C00943|Anita Patel|32|West|Surat|Standard|Referral|5/1/2025|43|Monthly|Debit Card|1,670|1|0|20.90|4.1|11/24/2027||Active|Collaboration</v>
      </c>
      <c r="W479" s="13">
        <f t="shared" si="3"/>
        <v>1</v>
      </c>
      <c r="X479" s="13">
        <f>IFERROR(__xludf.DUMMYFUNCTION("COUNTUNIQUE(FILTER($B$2:$B$1826,$A$2:$A$1826=A479))"),3.0)</f>
        <v>3</v>
      </c>
    </row>
    <row r="480">
      <c r="A480" s="13" t="s">
        <v>353</v>
      </c>
      <c r="B480" s="13" t="s">
        <v>303</v>
      </c>
      <c r="C480" s="14">
        <v>32.0</v>
      </c>
      <c r="D480" s="13" t="s">
        <v>35</v>
      </c>
      <c r="E480" s="13" t="s">
        <v>36</v>
      </c>
      <c r="F480" s="13" t="s">
        <v>37</v>
      </c>
      <c r="G480" s="13" t="s">
        <v>80</v>
      </c>
      <c r="H480" s="16">
        <v>45343.0</v>
      </c>
      <c r="I480" s="14">
        <v>6.0</v>
      </c>
      <c r="J480" s="13" t="s">
        <v>40</v>
      </c>
      <c r="K480" s="13" t="s">
        <v>65</v>
      </c>
      <c r="L480" s="14">
        <v>1244.0</v>
      </c>
      <c r="M480" s="18" t="s">
        <v>99</v>
      </c>
      <c r="N480" s="18" t="s">
        <v>46</v>
      </c>
      <c r="O480" s="18">
        <v>23.1</v>
      </c>
      <c r="P480" s="18" t="s">
        <v>185</v>
      </c>
      <c r="Q480" s="16">
        <v>45455.0</v>
      </c>
      <c r="R480" s="16" t="s">
        <v>38</v>
      </c>
      <c r="S480" s="13" t="s">
        <v>55</v>
      </c>
      <c r="T480" s="13" t="s">
        <v>75</v>
      </c>
      <c r="U480" s="13">
        <f t="shared" si="1"/>
        <v>3</v>
      </c>
      <c r="V480" s="13" t="str">
        <f t="shared" si="2"/>
        <v>C00662|Priya Kumar|32|North|Delhi|Standard|Organic Search|2/21/2024|6|Monthly|Credit Card|1,244|4|0|23.10|3.2|6/12/2024||Active|Security</v>
      </c>
      <c r="W480" s="13">
        <f t="shared" si="3"/>
        <v>1</v>
      </c>
      <c r="X480" s="13">
        <f>IFERROR(__xludf.DUMMYFUNCTION("COUNTUNIQUE(FILTER($B$2:$B$1826,$A$2:$A$1826=A480))"),3.0)</f>
        <v>3</v>
      </c>
    </row>
    <row r="481">
      <c r="A481" s="13" t="s">
        <v>674</v>
      </c>
      <c r="B481" s="13" t="s">
        <v>342</v>
      </c>
      <c r="C481" s="14">
        <v>51.0</v>
      </c>
      <c r="D481" s="13" t="s">
        <v>69</v>
      </c>
      <c r="E481" s="13" t="s">
        <v>70</v>
      </c>
      <c r="F481" s="13" t="s">
        <v>62</v>
      </c>
      <c r="G481" s="13" t="s">
        <v>128</v>
      </c>
      <c r="H481" s="16">
        <v>45447.0</v>
      </c>
      <c r="I481" s="14">
        <v>48.0</v>
      </c>
      <c r="J481" s="13" t="s">
        <v>40</v>
      </c>
      <c r="K481" s="13" t="s">
        <v>65</v>
      </c>
      <c r="L481" s="14">
        <v>657.0</v>
      </c>
      <c r="M481" s="18" t="s">
        <v>98</v>
      </c>
      <c r="N481" s="18" t="s">
        <v>164</v>
      </c>
      <c r="O481" s="18">
        <v>27.7</v>
      </c>
      <c r="P481" s="18" t="s">
        <v>46</v>
      </c>
      <c r="Q481" s="16">
        <v>45725.0</v>
      </c>
      <c r="R481" s="16">
        <v>46272.0</v>
      </c>
      <c r="S481" s="13" t="s">
        <v>45</v>
      </c>
      <c r="T481" s="13" t="s">
        <v>75</v>
      </c>
      <c r="U481" s="13">
        <f t="shared" si="1"/>
        <v>2</v>
      </c>
      <c r="V481" s="13" t="str">
        <f t="shared" si="2"/>
        <v>C00584|Priya Reddy|51|South|Bengaluru|Basic|Youtube|6/4/2024|48|Monthly|Credit Card|657|1|3|27.70|0|3/9/2025|9/7/2026|Churned|Security</v>
      </c>
      <c r="W481" s="13">
        <f t="shared" si="3"/>
        <v>1</v>
      </c>
      <c r="X481" s="13">
        <f>IFERROR(__xludf.DUMMYFUNCTION("COUNTUNIQUE(FILTER($B$2:$B$1826,$A$2:$A$1826=A481))"),2.0)</f>
        <v>2</v>
      </c>
    </row>
    <row r="482">
      <c r="A482" s="13" t="s">
        <v>1024</v>
      </c>
      <c r="B482" s="13" t="s">
        <v>303</v>
      </c>
      <c r="C482" s="14">
        <v>51.0</v>
      </c>
      <c r="D482" s="13" t="s">
        <v>85</v>
      </c>
      <c r="E482" s="13" t="s">
        <v>92</v>
      </c>
      <c r="F482" s="13" t="s">
        <v>37</v>
      </c>
      <c r="G482" s="13" t="s">
        <v>120</v>
      </c>
      <c r="H482" s="16">
        <v>44746.0</v>
      </c>
      <c r="I482" s="14">
        <v>28.0</v>
      </c>
      <c r="J482" s="13" t="s">
        <v>53</v>
      </c>
      <c r="K482" s="13" t="s">
        <v>65</v>
      </c>
      <c r="L482" s="14">
        <v>1189.0</v>
      </c>
      <c r="M482" s="18" t="s">
        <v>43</v>
      </c>
      <c r="N482" s="18" t="s">
        <v>46</v>
      </c>
      <c r="O482" s="18">
        <v>19.2</v>
      </c>
      <c r="P482" s="18" t="s">
        <v>275</v>
      </c>
      <c r="Q482" s="16">
        <v>45401.0</v>
      </c>
      <c r="R482" s="16" t="s">
        <v>1025</v>
      </c>
      <c r="S482" s="13" t="s">
        <v>45</v>
      </c>
      <c r="T482" s="13" t="s">
        <v>47</v>
      </c>
      <c r="U482" s="13">
        <f t="shared" si="1"/>
        <v>3</v>
      </c>
      <c r="V482" s="13" t="str">
        <f t="shared" si="2"/>
        <v>C00795|Priya Kumar|51|West|Ahmedabad|Standard|Email|7/4/2022|28|Quarterly|Credit Card|1,189|2|0|19.20|4.3|4/19/2024|13/10/2023|Churned|Cloud Storage</v>
      </c>
      <c r="W482" s="13">
        <f t="shared" si="3"/>
        <v>1</v>
      </c>
      <c r="X482" s="13">
        <f>IFERROR(__xludf.DUMMYFUNCTION("COUNTUNIQUE(FILTER($B$2:$B$1826,$A$2:$A$1826=A482))"),3.0)</f>
        <v>3</v>
      </c>
    </row>
    <row r="483">
      <c r="A483" s="13" t="s">
        <v>251</v>
      </c>
      <c r="B483" s="13" t="s">
        <v>78</v>
      </c>
      <c r="C483" s="14">
        <v>27.0</v>
      </c>
      <c r="D483" s="13" t="s">
        <v>69</v>
      </c>
      <c r="E483" s="13" t="s">
        <v>119</v>
      </c>
      <c r="F483" s="13" t="s">
        <v>37</v>
      </c>
      <c r="G483" s="13" t="s">
        <v>52</v>
      </c>
      <c r="H483" s="16">
        <v>45636.0</v>
      </c>
      <c r="I483" s="14">
        <v>6.0</v>
      </c>
      <c r="J483" s="13" t="s">
        <v>64</v>
      </c>
      <c r="K483" s="13" t="s">
        <v>65</v>
      </c>
      <c r="L483" s="14">
        <v>1080.0</v>
      </c>
      <c r="M483" s="18" t="s">
        <v>98</v>
      </c>
      <c r="N483" s="18" t="s">
        <v>98</v>
      </c>
      <c r="O483" s="18">
        <v>32.3</v>
      </c>
      <c r="P483" s="18" t="s">
        <v>400</v>
      </c>
      <c r="Q483" s="16">
        <v>45768.0</v>
      </c>
      <c r="R483" s="16" t="s">
        <v>38</v>
      </c>
      <c r="S483" s="13" t="s">
        <v>55</v>
      </c>
      <c r="T483" s="13" t="s">
        <v>47</v>
      </c>
      <c r="U483" s="13">
        <f t="shared" si="1"/>
        <v>2</v>
      </c>
      <c r="V483" s="13" t="str">
        <f t="shared" si="2"/>
        <v>C01327|Vikram Patel|27|South|Kochi|Standard|Facebook|12/10/2024|6|Annual|Credit Card|1,080|1|1|32.30|4.8|4/21/2025||Active|Cloud Storage</v>
      </c>
      <c r="W483" s="13">
        <f t="shared" si="3"/>
        <v>1</v>
      </c>
      <c r="X483" s="13">
        <f>IFERROR(__xludf.DUMMYFUNCTION("COUNTUNIQUE(FILTER($B$2:$B$1826,$A$2:$A$1826=A483))"),2.0)</f>
        <v>2</v>
      </c>
    </row>
    <row r="484">
      <c r="A484" s="13" t="s">
        <v>1026</v>
      </c>
      <c r="B484" s="13" t="s">
        <v>241</v>
      </c>
      <c r="C484" s="14">
        <v>41.0</v>
      </c>
      <c r="D484" s="13" t="s">
        <v>85</v>
      </c>
      <c r="E484" s="13" t="s">
        <v>92</v>
      </c>
      <c r="F484" s="13" t="s">
        <v>37</v>
      </c>
      <c r="G484" s="13" t="s">
        <v>80</v>
      </c>
      <c r="H484" s="16">
        <v>44718.0</v>
      </c>
      <c r="I484" s="14">
        <v>3.0</v>
      </c>
      <c r="J484" s="13" t="s">
        <v>53</v>
      </c>
      <c r="K484" s="13" t="s">
        <v>81</v>
      </c>
      <c r="L484" s="14">
        <v>1434.0</v>
      </c>
      <c r="M484" s="18" t="s">
        <v>98</v>
      </c>
      <c r="N484" s="18" t="s">
        <v>46</v>
      </c>
      <c r="O484" s="18">
        <v>27.8</v>
      </c>
      <c r="P484" s="18" t="s">
        <v>263</v>
      </c>
      <c r="Q484" s="16">
        <v>44740.0</v>
      </c>
      <c r="R484" s="16" t="s">
        <v>38</v>
      </c>
      <c r="S484" s="13" t="s">
        <v>55</v>
      </c>
      <c r="T484" s="13" t="s">
        <v>38</v>
      </c>
      <c r="U484" s="13">
        <f t="shared" si="1"/>
        <v>1</v>
      </c>
      <c r="V484" s="13" t="str">
        <f t="shared" si="2"/>
        <v>C01072|Sneha Iyer|41|West|Ahmedabad|Standard|Organic Search|6/6/2022|3|Quarterly|Debit Card|1,434|1|0|27.80|2.9|6/28/2022||Active|</v>
      </c>
      <c r="W484" s="13">
        <f t="shared" si="3"/>
        <v>1</v>
      </c>
      <c r="X484" s="13">
        <f>IFERROR(__xludf.DUMMYFUNCTION("COUNTUNIQUE(FILTER($B$2:$B$1826,$A$2:$A$1826=A484))"),1.0)</f>
        <v>1</v>
      </c>
    </row>
    <row r="485">
      <c r="A485" s="13" t="s">
        <v>527</v>
      </c>
      <c r="B485" s="13" t="s">
        <v>229</v>
      </c>
      <c r="C485" s="14">
        <v>67.0</v>
      </c>
      <c r="D485" s="13" t="s">
        <v>35</v>
      </c>
      <c r="E485" s="13" t="s">
        <v>36</v>
      </c>
      <c r="F485" s="13" t="s">
        <v>37</v>
      </c>
      <c r="G485" s="13" t="s">
        <v>120</v>
      </c>
      <c r="H485" s="16">
        <v>44929.0</v>
      </c>
      <c r="I485" s="14">
        <v>12.0</v>
      </c>
      <c r="J485" s="13" t="s">
        <v>64</v>
      </c>
      <c r="K485" s="13" t="s">
        <v>65</v>
      </c>
      <c r="L485" s="14">
        <v>1084.0</v>
      </c>
      <c r="M485" s="18" t="s">
        <v>99</v>
      </c>
      <c r="N485" s="18" t="s">
        <v>98</v>
      </c>
      <c r="O485" s="18">
        <v>22.8</v>
      </c>
      <c r="P485" s="18" t="s">
        <v>164</v>
      </c>
      <c r="Q485" s="16">
        <v>45299.0</v>
      </c>
      <c r="R485" s="16">
        <v>45023.0</v>
      </c>
      <c r="S485" s="13" t="s">
        <v>45</v>
      </c>
      <c r="T485" s="13" t="s">
        <v>66</v>
      </c>
      <c r="U485" s="13">
        <f t="shared" si="1"/>
        <v>3</v>
      </c>
      <c r="V485" s="13" t="str">
        <f t="shared" si="2"/>
        <v>C01575|Anita Nair|67|North|Delhi|Standard|Email|1/3/2023|12|Annual|Credit Card|1,084|4|1|22.80|3|1/8/2024|4/7/2023|Churned|Automation</v>
      </c>
      <c r="W485" s="13">
        <f t="shared" si="3"/>
        <v>2</v>
      </c>
      <c r="X485" s="13">
        <f>IFERROR(__xludf.DUMMYFUNCTION("COUNTUNIQUE(FILTER($B$2:$B$1826,$A$2:$A$1826=A485))"),2.0)</f>
        <v>2</v>
      </c>
    </row>
    <row r="486">
      <c r="A486" s="13" t="s">
        <v>109</v>
      </c>
      <c r="B486" s="13" t="s">
        <v>135</v>
      </c>
      <c r="C486" s="14">
        <v>19.0</v>
      </c>
      <c r="D486" s="13" t="s">
        <v>60</v>
      </c>
      <c r="E486" s="13" t="s">
        <v>97</v>
      </c>
      <c r="F486" s="13" t="s">
        <v>62</v>
      </c>
      <c r="G486" s="13" t="s">
        <v>63</v>
      </c>
      <c r="H486" s="16">
        <v>45799.0</v>
      </c>
      <c r="I486" s="14">
        <v>17.0</v>
      </c>
      <c r="J486" s="13" t="s">
        <v>40</v>
      </c>
      <c r="K486" s="13" t="s">
        <v>81</v>
      </c>
      <c r="L486" s="14">
        <v>553.0</v>
      </c>
      <c r="M486" s="18" t="s">
        <v>43</v>
      </c>
      <c r="N486" s="18" t="s">
        <v>46</v>
      </c>
      <c r="O486" s="18">
        <v>13.8</v>
      </c>
      <c r="P486" s="18" t="s">
        <v>368</v>
      </c>
      <c r="Q486" s="16">
        <v>45827.0</v>
      </c>
      <c r="R486" s="16" t="s">
        <v>1028</v>
      </c>
      <c r="S486" s="13" t="s">
        <v>45</v>
      </c>
      <c r="T486" s="13" t="s">
        <v>75</v>
      </c>
      <c r="U486" s="13">
        <f t="shared" si="1"/>
        <v>5</v>
      </c>
      <c r="V486" s="13" t="str">
        <f t="shared" si="2"/>
        <v>C00543|Karan Sharma|19|East|Bhubaneswar|Basic|Google Ads|5/22/2025|17|Monthly|Debit Card|553|2|0|13.80|4.9|6/19/2025|23/06/2025|Churned|Security</v>
      </c>
      <c r="W486" s="13">
        <f t="shared" si="3"/>
        <v>1</v>
      </c>
      <c r="X486" s="13">
        <f>IFERROR(__xludf.DUMMYFUNCTION("COUNTUNIQUE(FILTER($B$2:$B$1826,$A$2:$A$1826=A486))"),5.0)</f>
        <v>5</v>
      </c>
    </row>
    <row r="487">
      <c r="A487" s="13" t="s">
        <v>1022</v>
      </c>
      <c r="B487" s="13" t="s">
        <v>336</v>
      </c>
      <c r="C487" s="14">
        <v>27.0</v>
      </c>
      <c r="D487" s="13" t="s">
        <v>85</v>
      </c>
      <c r="E487" s="13" t="s">
        <v>87</v>
      </c>
      <c r="F487" s="13" t="s">
        <v>62</v>
      </c>
      <c r="G487" s="13" t="s">
        <v>128</v>
      </c>
      <c r="H487" s="16">
        <v>45825.0</v>
      </c>
      <c r="I487" s="14">
        <v>24.0</v>
      </c>
      <c r="J487" s="13" t="s">
        <v>40</v>
      </c>
      <c r="K487" s="13" t="s">
        <v>41</v>
      </c>
      <c r="L487" s="14">
        <v>852.0</v>
      </c>
      <c r="M487" s="18" t="s">
        <v>99</v>
      </c>
      <c r="N487" s="18" t="s">
        <v>46</v>
      </c>
      <c r="O487" s="18">
        <v>19.1</v>
      </c>
      <c r="P487" s="18" t="s">
        <v>876</v>
      </c>
      <c r="Q487" s="16">
        <v>46144.0</v>
      </c>
      <c r="R487" s="16" t="s">
        <v>38</v>
      </c>
      <c r="S487" s="13" t="s">
        <v>55</v>
      </c>
      <c r="T487" s="13" t="s">
        <v>104</v>
      </c>
      <c r="U487" s="13">
        <f t="shared" si="1"/>
        <v>3</v>
      </c>
      <c r="V487" s="13" t="str">
        <f t="shared" si="2"/>
        <v>C00943|Priya Patel|27|West|Surat|Basic|Youtube|6/17/2025|24|Monthly|Upi|852|4|0|19.10|1.8|5/2/2026||Active|Analytics</v>
      </c>
      <c r="W487" s="13">
        <f t="shared" si="3"/>
        <v>1</v>
      </c>
      <c r="X487" s="13">
        <f>IFERROR(__xludf.DUMMYFUNCTION("COUNTUNIQUE(FILTER($B$2:$B$1826,$A$2:$A$1826=A487))"),3.0)</f>
        <v>3</v>
      </c>
    </row>
    <row r="488">
      <c r="A488" s="13" t="s">
        <v>1029</v>
      </c>
      <c r="B488" s="13" t="s">
        <v>169</v>
      </c>
      <c r="C488" s="14">
        <v>28.0</v>
      </c>
      <c r="D488" s="13" t="s">
        <v>69</v>
      </c>
      <c r="E488" s="13" t="s">
        <v>70</v>
      </c>
      <c r="F488" s="13" t="s">
        <v>62</v>
      </c>
      <c r="G488" s="13" t="s">
        <v>52</v>
      </c>
      <c r="H488" s="16">
        <v>44859.0</v>
      </c>
      <c r="I488" s="14">
        <v>42.0</v>
      </c>
      <c r="J488" s="13" t="s">
        <v>53</v>
      </c>
      <c r="K488" s="13" t="s">
        <v>65</v>
      </c>
      <c r="L488" s="14">
        <v>819.0</v>
      </c>
      <c r="M488" s="18" t="s">
        <v>98</v>
      </c>
      <c r="N488" s="18" t="s">
        <v>46</v>
      </c>
      <c r="O488" s="18">
        <v>1.3</v>
      </c>
      <c r="P488" s="18" t="s">
        <v>173</v>
      </c>
      <c r="Q488" s="16">
        <v>45045.0</v>
      </c>
      <c r="R488" s="16" t="s">
        <v>38</v>
      </c>
      <c r="S488" s="13" t="s">
        <v>55</v>
      </c>
      <c r="T488" s="13" t="s">
        <v>104</v>
      </c>
      <c r="U488" s="13">
        <f t="shared" si="1"/>
        <v>1</v>
      </c>
      <c r="V488" s="13" t="str">
        <f t="shared" si="2"/>
        <v>C00033|Vikram Nair|28|South|Bengaluru|Basic|Facebook|10/25/2022|42|Quarterly|Credit Card|819|1|0|1.30|5|4/29/2023||Active|Analytics</v>
      </c>
      <c r="W488" s="13">
        <f t="shared" si="3"/>
        <v>1</v>
      </c>
      <c r="X488" s="13">
        <f>IFERROR(__xludf.DUMMYFUNCTION("COUNTUNIQUE(FILTER($B$2:$B$1826,$A$2:$A$1826=A488))"),1.0)</f>
        <v>1</v>
      </c>
    </row>
    <row r="489">
      <c r="A489" s="13" t="s">
        <v>1035</v>
      </c>
      <c r="B489" s="13" t="s">
        <v>139</v>
      </c>
      <c r="C489" s="14">
        <v>22.0</v>
      </c>
      <c r="D489" s="13" t="s">
        <v>69</v>
      </c>
      <c r="E489" s="13" t="s">
        <v>187</v>
      </c>
      <c r="F489" s="13" t="s">
        <v>37</v>
      </c>
      <c r="G489" s="13" t="s">
        <v>120</v>
      </c>
      <c r="H489" s="16">
        <v>45555.0</v>
      </c>
      <c r="I489" s="14">
        <v>31.0</v>
      </c>
      <c r="J489" s="13" t="s">
        <v>53</v>
      </c>
      <c r="K489" s="13" t="s">
        <v>41</v>
      </c>
      <c r="L489" s="14">
        <v>1598.0</v>
      </c>
      <c r="M489" s="18" t="s">
        <v>46</v>
      </c>
      <c r="N489" s="18" t="s">
        <v>98</v>
      </c>
      <c r="O489" s="18">
        <v>15.6</v>
      </c>
      <c r="P489" s="18" t="s">
        <v>116</v>
      </c>
      <c r="Q489" s="16">
        <v>45771.0</v>
      </c>
      <c r="R489" s="16" t="s">
        <v>38</v>
      </c>
      <c r="S489" s="13" t="s">
        <v>55</v>
      </c>
      <c r="T489" s="13" t="s">
        <v>104</v>
      </c>
      <c r="U489" s="13">
        <f t="shared" si="1"/>
        <v>1</v>
      </c>
      <c r="V489" s="13" t="str">
        <f t="shared" si="2"/>
        <v>C00239|Vikram Das|22|South|Chennai|Standard|Email|9/20/2024|31|Quarterly|Upi|1,598|0|1|15.60|3.4|4/24/2025||Active|Analytics</v>
      </c>
      <c r="W489" s="13">
        <f t="shared" si="3"/>
        <v>1</v>
      </c>
      <c r="X489" s="13">
        <f>IFERROR(__xludf.DUMMYFUNCTION("COUNTUNIQUE(FILTER($B$2:$B$1826,$A$2:$A$1826=A489))"),1.0)</f>
        <v>1</v>
      </c>
    </row>
    <row r="490">
      <c r="A490" s="13" t="s">
        <v>1038</v>
      </c>
      <c r="B490" s="13" t="s">
        <v>645</v>
      </c>
      <c r="C490" s="14">
        <v>33.0</v>
      </c>
      <c r="D490" s="13" t="s">
        <v>85</v>
      </c>
      <c r="E490" s="13" t="s">
        <v>87</v>
      </c>
      <c r="F490" s="13" t="s">
        <v>37</v>
      </c>
      <c r="G490" s="13" t="s">
        <v>52</v>
      </c>
      <c r="H490" s="16">
        <v>45747.0</v>
      </c>
      <c r="I490" s="14">
        <v>39.0</v>
      </c>
      <c r="J490" s="13" t="s">
        <v>64</v>
      </c>
      <c r="K490" s="13" t="s">
        <v>41</v>
      </c>
      <c r="L490" s="14">
        <v>1036.0</v>
      </c>
      <c r="M490" s="18" t="s">
        <v>98</v>
      </c>
      <c r="N490" s="18" t="s">
        <v>98</v>
      </c>
      <c r="O490" s="18">
        <v>15.9</v>
      </c>
      <c r="P490" s="18" t="s">
        <v>76</v>
      </c>
      <c r="Q490" s="16">
        <v>46575.0</v>
      </c>
      <c r="R490" s="16" t="s">
        <v>1039</v>
      </c>
      <c r="S490" s="13" t="s">
        <v>45</v>
      </c>
      <c r="T490" s="13" t="s">
        <v>66</v>
      </c>
      <c r="U490" s="13">
        <f t="shared" si="1"/>
        <v>1</v>
      </c>
      <c r="V490" s="13" t="str">
        <f t="shared" si="2"/>
        <v>C01292|Ravi Nair|33|West|Surat|Standard|Facebook|3/31/2025|39|Annual|Upi|1,036|1|1|15.90|4.4|7/7/2027|20/01/2028|Churned|Automation</v>
      </c>
      <c r="W490" s="13">
        <f t="shared" si="3"/>
        <v>1</v>
      </c>
      <c r="X490" s="13">
        <f>IFERROR(__xludf.DUMMYFUNCTION("COUNTUNIQUE(FILTER($B$2:$B$1826,$A$2:$A$1826=A490))"),1.0)</f>
        <v>1</v>
      </c>
    </row>
    <row r="491">
      <c r="A491" s="13" t="s">
        <v>1040</v>
      </c>
      <c r="B491" s="13" t="s">
        <v>734</v>
      </c>
      <c r="C491" s="14">
        <v>20.0</v>
      </c>
      <c r="D491" s="13" t="s">
        <v>85</v>
      </c>
      <c r="E491" s="13" t="s">
        <v>92</v>
      </c>
      <c r="F491" s="13" t="s">
        <v>37</v>
      </c>
      <c r="G491" s="13" t="s">
        <v>210</v>
      </c>
      <c r="H491" s="16">
        <v>45889.0</v>
      </c>
      <c r="I491" s="14">
        <v>27.0</v>
      </c>
      <c r="J491" s="13" t="s">
        <v>40</v>
      </c>
      <c r="K491" s="13" t="s">
        <v>65</v>
      </c>
      <c r="L491" s="14">
        <v>1505.0</v>
      </c>
      <c r="M491" s="18" t="s">
        <v>43</v>
      </c>
      <c r="N491" s="18" t="s">
        <v>43</v>
      </c>
      <c r="O491" s="18">
        <v>23.7</v>
      </c>
      <c r="P491" s="18" t="s">
        <v>99</v>
      </c>
      <c r="Q491" s="16">
        <v>46560.0</v>
      </c>
      <c r="R491" s="16">
        <v>46274.0</v>
      </c>
      <c r="S491" s="13" t="s">
        <v>45</v>
      </c>
      <c r="T491" s="13" t="s">
        <v>47</v>
      </c>
      <c r="U491" s="13">
        <f t="shared" si="1"/>
        <v>1</v>
      </c>
      <c r="V491" s="13" t="str">
        <f t="shared" si="2"/>
        <v>C00039|Sneha Das|20|West|Ahmedabad|Standard|Referral|8/20/2025|27|Monthly|Credit Card|1,505|2|2|23.70|4|6/22/2027|9/9/2026|Churned|Cloud Storage</v>
      </c>
      <c r="W491" s="13">
        <f t="shared" si="3"/>
        <v>1</v>
      </c>
      <c r="X491" s="13">
        <f>IFERROR(__xludf.DUMMYFUNCTION("COUNTUNIQUE(FILTER($B$2:$B$1826,$A$2:$A$1826=A491))"),1.0)</f>
        <v>1</v>
      </c>
    </row>
    <row r="492">
      <c r="A492" s="13" t="s">
        <v>1041</v>
      </c>
      <c r="B492" s="13" t="s">
        <v>322</v>
      </c>
      <c r="C492" s="14">
        <v>65.0</v>
      </c>
      <c r="D492" s="13" t="s">
        <v>60</v>
      </c>
      <c r="E492" s="13" t="s">
        <v>133</v>
      </c>
      <c r="F492" s="13" t="s">
        <v>62</v>
      </c>
      <c r="G492" s="13" t="s">
        <v>39</v>
      </c>
      <c r="H492" s="16">
        <v>45765.0</v>
      </c>
      <c r="I492" s="14">
        <v>44.0</v>
      </c>
      <c r="J492" s="13" t="s">
        <v>64</v>
      </c>
      <c r="K492" s="13" t="s">
        <v>65</v>
      </c>
      <c r="L492" s="14">
        <v>807.0</v>
      </c>
      <c r="M492" s="18" t="s">
        <v>43</v>
      </c>
      <c r="N492" s="18" t="s">
        <v>46</v>
      </c>
      <c r="O492" s="18">
        <v>18.8</v>
      </c>
      <c r="P492" s="18" t="s">
        <v>368</v>
      </c>
      <c r="Q492" s="16">
        <v>46734.0</v>
      </c>
      <c r="R492" s="16" t="s">
        <v>38</v>
      </c>
      <c r="S492" s="13" t="s">
        <v>55</v>
      </c>
      <c r="T492" s="13" t="s">
        <v>75</v>
      </c>
      <c r="U492" s="13">
        <f t="shared" si="1"/>
        <v>1</v>
      </c>
      <c r="V492" s="13" t="str">
        <f t="shared" si="2"/>
        <v>C00962|Rahul Iyer|65|East|Guwahati|Basic|Instagram|4/18/2025|44|Annual|Credit Card|807|2|0|18.80|4.9|12/13/2027||Active|Security</v>
      </c>
      <c r="W492" s="13">
        <f t="shared" si="3"/>
        <v>1</v>
      </c>
      <c r="X492" s="13">
        <f>IFERROR(__xludf.DUMMYFUNCTION("COUNTUNIQUE(FILTER($B$2:$B$1826,$A$2:$A$1826=A492))"),1.0)</f>
        <v>1</v>
      </c>
    </row>
    <row r="493">
      <c r="A493" s="13" t="s">
        <v>735</v>
      </c>
      <c r="B493" s="13" t="s">
        <v>106</v>
      </c>
      <c r="C493" s="14">
        <v>31.0</v>
      </c>
      <c r="D493" s="13" t="s">
        <v>60</v>
      </c>
      <c r="E493" s="13" t="s">
        <v>133</v>
      </c>
      <c r="F493" s="13" t="s">
        <v>37</v>
      </c>
      <c r="G493" s="13" t="s">
        <v>128</v>
      </c>
      <c r="H493" s="16">
        <v>44893.0</v>
      </c>
      <c r="I493" s="14">
        <v>40.0</v>
      </c>
      <c r="J493" s="13" t="s">
        <v>40</v>
      </c>
      <c r="K493" s="13" t="s">
        <v>81</v>
      </c>
      <c r="L493" s="14">
        <v>1766.0</v>
      </c>
      <c r="M493" s="18" t="s">
        <v>164</v>
      </c>
      <c r="N493" s="18" t="s">
        <v>46</v>
      </c>
      <c r="O493" s="18">
        <v>28.7</v>
      </c>
      <c r="P493" s="18" t="s">
        <v>130</v>
      </c>
      <c r="Q493" s="16">
        <v>45891.0</v>
      </c>
      <c r="R493" s="16" t="s">
        <v>38</v>
      </c>
      <c r="S493" s="13" t="s">
        <v>55</v>
      </c>
      <c r="T493" s="13" t="s">
        <v>75</v>
      </c>
      <c r="U493" s="13">
        <f t="shared" si="1"/>
        <v>3</v>
      </c>
      <c r="V493" s="13" t="str">
        <f t="shared" si="2"/>
        <v>C01379|Rahul Patel|31|East|Guwahati|Standard|Youtube|11/28/2022|40|Monthly|Debit Card|1,766|3|0|28.70|3.9|8/22/2025||Active|Security</v>
      </c>
      <c r="W493" s="13">
        <f t="shared" si="3"/>
        <v>1</v>
      </c>
      <c r="X493" s="13">
        <f>IFERROR(__xludf.DUMMYFUNCTION("COUNTUNIQUE(FILTER($B$2:$B$1826,$A$2:$A$1826=A493))"),3.0)</f>
        <v>3</v>
      </c>
    </row>
    <row r="494">
      <c r="A494" s="13" t="s">
        <v>1042</v>
      </c>
      <c r="B494" s="13" t="s">
        <v>179</v>
      </c>
      <c r="C494" s="14">
        <v>23.0</v>
      </c>
      <c r="D494" s="13" t="s">
        <v>85</v>
      </c>
      <c r="E494" s="13" t="s">
        <v>87</v>
      </c>
      <c r="F494" s="13" t="s">
        <v>62</v>
      </c>
      <c r="G494" s="13" t="s">
        <v>39</v>
      </c>
      <c r="H494" s="16">
        <v>45702.0</v>
      </c>
      <c r="I494" s="14">
        <v>4.0</v>
      </c>
      <c r="J494" s="13" t="s">
        <v>53</v>
      </c>
      <c r="K494" s="13" t="s">
        <v>65</v>
      </c>
      <c r="L494" s="14">
        <v>682.0</v>
      </c>
      <c r="M494" s="18" t="s">
        <v>98</v>
      </c>
      <c r="N494" s="18" t="s">
        <v>98</v>
      </c>
      <c r="O494" s="18">
        <v>20.7</v>
      </c>
      <c r="P494" s="18" t="s">
        <v>408</v>
      </c>
      <c r="Q494" s="16">
        <v>45752.0</v>
      </c>
      <c r="R494" s="16">
        <v>45842.0</v>
      </c>
      <c r="S494" s="13" t="s">
        <v>45</v>
      </c>
      <c r="T494" s="13" t="s">
        <v>104</v>
      </c>
      <c r="U494" s="13">
        <f t="shared" si="1"/>
        <v>1</v>
      </c>
      <c r="V494" s="13" t="str">
        <f t="shared" si="2"/>
        <v>C00207|Ravi Kumar|23|West|Surat|Basic|Instagram|2/14/2025|4|Quarterly|Credit Card|682|1|1|20.70|4.2|4/5/2025|7/4/2025|Churned|Analytics</v>
      </c>
      <c r="W494" s="13">
        <f t="shared" si="3"/>
        <v>1</v>
      </c>
      <c r="X494" s="13">
        <f>IFERROR(__xludf.DUMMYFUNCTION("COUNTUNIQUE(FILTER($B$2:$B$1826,$A$2:$A$1826=A494))"),1.0)</f>
        <v>1</v>
      </c>
    </row>
    <row r="495">
      <c r="A495" s="13" t="s">
        <v>1082</v>
      </c>
      <c r="B495" s="13" t="s">
        <v>288</v>
      </c>
      <c r="C495" s="14">
        <v>64.0</v>
      </c>
      <c r="D495" s="13" t="s">
        <v>69</v>
      </c>
      <c r="E495" s="13" t="s">
        <v>70</v>
      </c>
      <c r="F495" s="13" t="s">
        <v>37</v>
      </c>
      <c r="G495" s="13" t="s">
        <v>120</v>
      </c>
      <c r="H495" s="16">
        <v>45090.0</v>
      </c>
      <c r="I495" s="14">
        <v>22.0</v>
      </c>
      <c r="J495" s="13" t="s">
        <v>40</v>
      </c>
      <c r="K495" s="13" t="s">
        <v>65</v>
      </c>
      <c r="L495" s="14">
        <v>1046.0</v>
      </c>
      <c r="M495" s="18" t="s">
        <v>164</v>
      </c>
      <c r="N495" s="18" t="s">
        <v>46</v>
      </c>
      <c r="O495" s="18">
        <v>35.9</v>
      </c>
      <c r="P495" s="18" t="s">
        <v>296</v>
      </c>
      <c r="Q495" s="16">
        <v>45670.0</v>
      </c>
      <c r="R495" s="16">
        <v>45600.0</v>
      </c>
      <c r="S495" s="13" t="s">
        <v>45</v>
      </c>
      <c r="T495" s="13" t="s">
        <v>75</v>
      </c>
      <c r="U495" s="13">
        <f t="shared" si="1"/>
        <v>4</v>
      </c>
      <c r="V495" s="13" t="str">
        <f t="shared" si="2"/>
        <v>C01265|Rahul Sharma|64|South|Bengaluru|Standard|Email|6/13/2023|22|Monthly|Credit Card|1,046|3|0|35.90|4.6|1/13/2025|11/4/2024|Churned|Security</v>
      </c>
      <c r="W495" s="13">
        <f t="shared" si="3"/>
        <v>1</v>
      </c>
      <c r="X495" s="13">
        <f>IFERROR(__xludf.DUMMYFUNCTION("COUNTUNIQUE(FILTER($B$2:$B$1826,$A$2:$A$1826=A495))"),4.0)</f>
        <v>4</v>
      </c>
    </row>
    <row r="496">
      <c r="A496" s="13" t="s">
        <v>1046</v>
      </c>
      <c r="B496" s="13" t="s">
        <v>636</v>
      </c>
      <c r="C496" s="14">
        <v>29.0</v>
      </c>
      <c r="D496" s="13" t="s">
        <v>35</v>
      </c>
      <c r="E496" s="13" t="s">
        <v>36</v>
      </c>
      <c r="F496" s="13" t="s">
        <v>37</v>
      </c>
      <c r="G496" s="13" t="s">
        <v>80</v>
      </c>
      <c r="H496" s="16">
        <v>44770.0</v>
      </c>
      <c r="I496" s="14">
        <v>36.0</v>
      </c>
      <c r="J496" s="13" t="s">
        <v>64</v>
      </c>
      <c r="K496" s="13" t="s">
        <v>65</v>
      </c>
      <c r="L496" s="14">
        <v>1170.0</v>
      </c>
      <c r="M496" s="18" t="s">
        <v>164</v>
      </c>
      <c r="N496" s="18" t="s">
        <v>98</v>
      </c>
      <c r="O496" s="18">
        <v>14.9</v>
      </c>
      <c r="P496" s="18" t="s">
        <v>89</v>
      </c>
      <c r="Q496" s="16">
        <v>45021.0</v>
      </c>
      <c r="R496" s="16" t="s">
        <v>38</v>
      </c>
      <c r="S496" s="13" t="s">
        <v>55</v>
      </c>
      <c r="T496" s="13" t="s">
        <v>75</v>
      </c>
      <c r="U496" s="13">
        <f t="shared" si="1"/>
        <v>1</v>
      </c>
      <c r="V496" s="13" t="str">
        <f t="shared" si="2"/>
        <v>C01548|Neha Reddy|29|North|Delhi|Standard|Organic Search|7/28/2022|36|Annual|Credit Card|1,170|3|1|14.90|3.3|4/5/2023||Active|Security</v>
      </c>
      <c r="W496" s="13">
        <f t="shared" si="3"/>
        <v>1</v>
      </c>
      <c r="X496" s="13">
        <f>IFERROR(__xludf.DUMMYFUNCTION("COUNTUNIQUE(FILTER($B$2:$B$1826,$A$2:$A$1826=A496))"),1.0)</f>
        <v>1</v>
      </c>
    </row>
    <row r="497">
      <c r="A497" s="13" t="s">
        <v>1047</v>
      </c>
      <c r="B497" s="13" t="s">
        <v>470</v>
      </c>
      <c r="C497" s="14">
        <v>49.0</v>
      </c>
      <c r="D497" s="13" t="s">
        <v>85</v>
      </c>
      <c r="E497" s="13" t="s">
        <v>292</v>
      </c>
      <c r="F497" s="13" t="s">
        <v>62</v>
      </c>
      <c r="G497" s="13" t="s">
        <v>210</v>
      </c>
      <c r="H497" s="16">
        <v>45247.0</v>
      </c>
      <c r="I497" s="14">
        <v>9.0</v>
      </c>
      <c r="J497" s="13" t="s">
        <v>53</v>
      </c>
      <c r="K497" s="13" t="s">
        <v>65</v>
      </c>
      <c r="L497" s="14">
        <v>602.0</v>
      </c>
      <c r="M497" s="18" t="s">
        <v>43</v>
      </c>
      <c r="N497" s="18" t="s">
        <v>98</v>
      </c>
      <c r="O497" s="18">
        <v>20.6</v>
      </c>
      <c r="P497" s="18" t="s">
        <v>449</v>
      </c>
      <c r="Q497" s="16">
        <v>45469.0</v>
      </c>
      <c r="R497" s="16" t="s">
        <v>38</v>
      </c>
      <c r="S497" s="13" t="s">
        <v>55</v>
      </c>
      <c r="T497" s="13" t="s">
        <v>66</v>
      </c>
      <c r="U497" s="13">
        <f t="shared" si="1"/>
        <v>1</v>
      </c>
      <c r="V497" s="13" t="str">
        <f t="shared" si="2"/>
        <v>C01561|Arun Singh|49|West|Mumbai|Basic|Referral|11/17/2023|9|Quarterly|Credit Card|602|2|1|20.60|2.7|6/26/2024||Active|Automation</v>
      </c>
      <c r="W497" s="13">
        <f t="shared" si="3"/>
        <v>1</v>
      </c>
      <c r="X497" s="13">
        <f>IFERROR(__xludf.DUMMYFUNCTION("COUNTUNIQUE(FILTER($B$2:$B$1826,$A$2:$A$1826=A497))"),1.0)</f>
        <v>1</v>
      </c>
    </row>
    <row r="498">
      <c r="A498" s="13" t="s">
        <v>1048</v>
      </c>
      <c r="B498" s="13" t="s">
        <v>801</v>
      </c>
      <c r="C498" s="14">
        <v>27.0</v>
      </c>
      <c r="D498" s="13" t="s">
        <v>35</v>
      </c>
      <c r="E498" s="13" t="s">
        <v>161</v>
      </c>
      <c r="F498" s="13" t="s">
        <v>62</v>
      </c>
      <c r="G498" s="13" t="s">
        <v>128</v>
      </c>
      <c r="H498" s="16">
        <v>45411.0</v>
      </c>
      <c r="I498" s="14">
        <v>24.0</v>
      </c>
      <c r="J498" s="13" t="s">
        <v>53</v>
      </c>
      <c r="K498" s="13" t="s">
        <v>65</v>
      </c>
      <c r="L498" s="14">
        <v>624.0</v>
      </c>
      <c r="M498" s="18" t="s">
        <v>376</v>
      </c>
      <c r="N498" s="18" t="s">
        <v>46</v>
      </c>
      <c r="O498" s="18">
        <v>34.6</v>
      </c>
      <c r="P498" s="18" t="s">
        <v>116</v>
      </c>
      <c r="Q498" s="16">
        <v>45963.0</v>
      </c>
      <c r="R498" s="16" t="s">
        <v>38</v>
      </c>
      <c r="S498" s="13" t="s">
        <v>55</v>
      </c>
      <c r="T498" s="13" t="s">
        <v>75</v>
      </c>
      <c r="U498" s="13">
        <f t="shared" si="1"/>
        <v>1</v>
      </c>
      <c r="V498" s="13" t="str">
        <f t="shared" si="2"/>
        <v>C00351|Karan Singh|27|North|Chandigarh|Basic|Youtube|4/29/2024|24|Quarterly|Credit Card|624|6|0|34.60|3.4|11/2/2025||Active|Security</v>
      </c>
      <c r="W498" s="13">
        <f t="shared" si="3"/>
        <v>1</v>
      </c>
      <c r="X498" s="13">
        <f>IFERROR(__xludf.DUMMYFUNCTION("COUNTUNIQUE(FILTER($B$2:$B$1826,$A$2:$A$1826=A498))"),1.0)</f>
        <v>1</v>
      </c>
    </row>
    <row r="499">
      <c r="A499" s="13" t="s">
        <v>1049</v>
      </c>
      <c r="B499" s="13" t="s">
        <v>50</v>
      </c>
      <c r="C499" s="14">
        <v>22.0</v>
      </c>
      <c r="D499" s="13" t="s">
        <v>60</v>
      </c>
      <c r="E499" s="13" t="s">
        <v>61</v>
      </c>
      <c r="F499" s="13" t="s">
        <v>62</v>
      </c>
      <c r="G499" s="13" t="s">
        <v>128</v>
      </c>
      <c r="H499" s="16">
        <v>44582.0</v>
      </c>
      <c r="I499" s="14">
        <v>46.0</v>
      </c>
      <c r="J499" s="13" t="s">
        <v>53</v>
      </c>
      <c r="K499" s="13" t="s">
        <v>41</v>
      </c>
      <c r="L499" s="14">
        <v>534.0</v>
      </c>
      <c r="M499" s="18" t="s">
        <v>164</v>
      </c>
      <c r="N499" s="18" t="s">
        <v>98</v>
      </c>
      <c r="O499" s="18">
        <v>23.1</v>
      </c>
      <c r="P499" s="18" t="s">
        <v>449</v>
      </c>
      <c r="Q499" s="16">
        <v>45236.0</v>
      </c>
      <c r="R499" s="16" t="s">
        <v>1051</v>
      </c>
      <c r="S499" s="13" t="s">
        <v>45</v>
      </c>
      <c r="T499" s="13" t="s">
        <v>47</v>
      </c>
      <c r="U499" s="13">
        <f t="shared" si="1"/>
        <v>2</v>
      </c>
      <c r="V499" s="13" t="str">
        <f t="shared" si="2"/>
        <v>C00940|Rahul Das|22|East|Kolkata|Basic|Youtube|1/21/2022|46|Quarterly|Upi|534|3|1|23.10|2.7|11/6/2023|22/05/2024|Churned|Cloud Storage</v>
      </c>
      <c r="W499" s="13">
        <f t="shared" si="3"/>
        <v>1</v>
      </c>
      <c r="X499" s="13">
        <f>IFERROR(__xludf.DUMMYFUNCTION("COUNTUNIQUE(FILTER($B$2:$B$1826,$A$2:$A$1826=A499))"),2.0)</f>
        <v>2</v>
      </c>
    </row>
    <row r="500">
      <c r="A500" s="13" t="s">
        <v>1052</v>
      </c>
      <c r="B500" s="13" t="s">
        <v>78</v>
      </c>
      <c r="C500" s="14">
        <v>63.0</v>
      </c>
      <c r="D500" s="13" t="s">
        <v>35</v>
      </c>
      <c r="E500" s="13" t="s">
        <v>161</v>
      </c>
      <c r="F500" s="13" t="s">
        <v>62</v>
      </c>
      <c r="G500" s="13" t="s">
        <v>52</v>
      </c>
      <c r="H500" s="16">
        <v>45997.0</v>
      </c>
      <c r="I500" s="14">
        <v>36.0</v>
      </c>
      <c r="J500" s="13" t="s">
        <v>53</v>
      </c>
      <c r="K500" s="13" t="s">
        <v>65</v>
      </c>
      <c r="L500" s="14">
        <v>868.0</v>
      </c>
      <c r="M500" s="18" t="s">
        <v>98</v>
      </c>
      <c r="N500" s="18" t="s">
        <v>46</v>
      </c>
      <c r="O500" s="18">
        <v>9.2</v>
      </c>
      <c r="P500" s="18" t="s">
        <v>150</v>
      </c>
      <c r="Q500" s="16">
        <v>46711.0</v>
      </c>
      <c r="R500" s="16" t="s">
        <v>1053</v>
      </c>
      <c r="S500" s="13" t="s">
        <v>45</v>
      </c>
      <c r="T500" s="13" t="s">
        <v>47</v>
      </c>
      <c r="U500" s="13">
        <f t="shared" si="1"/>
        <v>2</v>
      </c>
      <c r="V500" s="13" t="str">
        <f t="shared" si="2"/>
        <v>C01177|Vikram Patel|63|North|Chandigarh|Basic|Facebook|12/6/2025|36|Quarterly|Credit Card|868|1|0|9.20|4.5|11/20/2027|21/01/2026|Churned|Cloud Storage</v>
      </c>
      <c r="W500" s="13">
        <f t="shared" si="3"/>
        <v>1</v>
      </c>
      <c r="X500" s="13">
        <f>IFERROR(__xludf.DUMMYFUNCTION("COUNTUNIQUE(FILTER($B$2:$B$1826,$A$2:$A$1826=A500))"),2.0)</f>
        <v>2</v>
      </c>
    </row>
    <row r="501">
      <c r="A501" s="13" t="s">
        <v>1054</v>
      </c>
      <c r="B501" s="13" t="s">
        <v>206</v>
      </c>
      <c r="C501" s="14">
        <v>52.0</v>
      </c>
      <c r="D501" s="13" t="s">
        <v>85</v>
      </c>
      <c r="E501" s="13" t="s">
        <v>92</v>
      </c>
      <c r="F501" s="13" t="s">
        <v>79</v>
      </c>
      <c r="G501" s="13" t="s">
        <v>128</v>
      </c>
      <c r="H501" s="16">
        <v>45890.0</v>
      </c>
      <c r="I501" s="14">
        <v>26.0</v>
      </c>
      <c r="J501" s="13" t="s">
        <v>64</v>
      </c>
      <c r="K501" s="13" t="s">
        <v>65</v>
      </c>
      <c r="L501" s="14">
        <v>2074.0</v>
      </c>
      <c r="M501" s="18" t="s">
        <v>46</v>
      </c>
      <c r="N501" s="18" t="s">
        <v>43</v>
      </c>
      <c r="O501" s="18">
        <v>47.8</v>
      </c>
      <c r="P501" s="18" t="s">
        <v>233</v>
      </c>
      <c r="Q501" s="16">
        <v>46450.0</v>
      </c>
      <c r="R501" s="16" t="s">
        <v>1055</v>
      </c>
      <c r="S501" s="13" t="s">
        <v>45</v>
      </c>
      <c r="T501" s="13" t="s">
        <v>47</v>
      </c>
      <c r="U501" s="13">
        <f t="shared" si="1"/>
        <v>2</v>
      </c>
      <c r="V501" s="13" t="str">
        <f t="shared" si="2"/>
        <v>C01115|Karan Patel|52|West|Ahmedabad|Premium|Youtube|8/21/2025|26|Annual|Credit Card|2,074|0|2|47.80|3.5|3/4/2027|28/08/2026|Churned|Cloud Storage</v>
      </c>
      <c r="W501" s="13">
        <f t="shared" si="3"/>
        <v>1</v>
      </c>
      <c r="X501" s="13">
        <f>IFERROR(__xludf.DUMMYFUNCTION("COUNTUNIQUE(FILTER($B$2:$B$1826,$A$2:$A$1826=A501))"),2.0)</f>
        <v>2</v>
      </c>
    </row>
    <row r="502">
      <c r="A502" s="13" t="s">
        <v>483</v>
      </c>
      <c r="B502" s="13" t="s">
        <v>139</v>
      </c>
      <c r="C502" s="14">
        <v>51.0</v>
      </c>
      <c r="D502" s="13" t="s">
        <v>60</v>
      </c>
      <c r="E502" s="13" t="s">
        <v>107</v>
      </c>
      <c r="F502" s="13" t="s">
        <v>37</v>
      </c>
      <c r="G502" s="13" t="s">
        <v>39</v>
      </c>
      <c r="H502" s="16">
        <v>44609.0</v>
      </c>
      <c r="I502" s="14">
        <v>2.0</v>
      </c>
      <c r="J502" s="13" t="s">
        <v>40</v>
      </c>
      <c r="K502" s="13" t="s">
        <v>81</v>
      </c>
      <c r="L502" s="14">
        <v>1605.0</v>
      </c>
      <c r="M502" s="18" t="s">
        <v>43</v>
      </c>
      <c r="N502" s="18" t="s">
        <v>46</v>
      </c>
      <c r="O502" s="18">
        <v>12.7</v>
      </c>
      <c r="P502" s="18" t="s">
        <v>48</v>
      </c>
      <c r="Q502" s="16">
        <v>44649.0</v>
      </c>
      <c r="R502" s="16">
        <v>44870.0</v>
      </c>
      <c r="S502" s="13" t="s">
        <v>45</v>
      </c>
      <c r="T502" s="13" t="s">
        <v>104</v>
      </c>
      <c r="U502" s="13">
        <f t="shared" si="1"/>
        <v>4</v>
      </c>
      <c r="V502" s="13" t="str">
        <f t="shared" si="2"/>
        <v>C00191|Vikram Das|51|East|Patna|Standard|Instagram|2/17/2022|2|Monthly|Debit Card|1,605|2|0|12.70|3.6|3/29/2022|11/5/2022|Churned|Analytics</v>
      </c>
      <c r="W502" s="13">
        <f t="shared" si="3"/>
        <v>2</v>
      </c>
      <c r="X502" s="13">
        <f>IFERROR(__xludf.DUMMYFUNCTION("COUNTUNIQUE(FILTER($B$2:$B$1826,$A$2:$A$1826=A502))"),3.0)</f>
        <v>3</v>
      </c>
    </row>
    <row r="503">
      <c r="A503" s="13" t="s">
        <v>934</v>
      </c>
      <c r="B503" s="13" t="s">
        <v>312</v>
      </c>
      <c r="C503" s="14">
        <v>66.0</v>
      </c>
      <c r="D503" s="13" t="s">
        <v>60</v>
      </c>
      <c r="E503" s="13" t="s">
        <v>107</v>
      </c>
      <c r="F503" s="13" t="s">
        <v>62</v>
      </c>
      <c r="G503" s="13" t="s">
        <v>39</v>
      </c>
      <c r="H503" s="16">
        <v>45895.0</v>
      </c>
      <c r="I503" s="14">
        <v>8.0</v>
      </c>
      <c r="J503" s="13" t="s">
        <v>64</v>
      </c>
      <c r="K503" s="13" t="s">
        <v>81</v>
      </c>
      <c r="L503" s="14">
        <v>792.0</v>
      </c>
      <c r="M503" s="18" t="s">
        <v>99</v>
      </c>
      <c r="N503" s="18" t="s">
        <v>43</v>
      </c>
      <c r="O503" s="18">
        <v>25.3</v>
      </c>
      <c r="P503" s="18" t="s">
        <v>225</v>
      </c>
      <c r="Q503" s="16">
        <v>46021.0</v>
      </c>
      <c r="R503" s="16" t="s">
        <v>38</v>
      </c>
      <c r="S503" s="13" t="s">
        <v>55</v>
      </c>
      <c r="T503" s="13" t="s">
        <v>66</v>
      </c>
      <c r="U503" s="13">
        <f t="shared" si="1"/>
        <v>3</v>
      </c>
      <c r="V503" s="13" t="str">
        <f t="shared" si="2"/>
        <v>C00764|Anita Singh|66|East|Patna|Basic|Instagram|8/26/2025|8|Annual|Debit Card|792|4|2|25.30|3.8|12/30/2025||Active|Automation</v>
      </c>
      <c r="W503" s="13">
        <f t="shared" si="3"/>
        <v>1</v>
      </c>
      <c r="X503" s="13">
        <f>IFERROR(__xludf.DUMMYFUNCTION("COUNTUNIQUE(FILTER($B$2:$B$1826,$A$2:$A$1826=A503))"),3.0)</f>
        <v>3</v>
      </c>
    </row>
    <row r="504">
      <c r="A504" s="13" t="s">
        <v>191</v>
      </c>
      <c r="B504" s="13" t="s">
        <v>342</v>
      </c>
      <c r="C504" s="14">
        <v>52.0</v>
      </c>
      <c r="D504" s="13" t="s">
        <v>69</v>
      </c>
      <c r="E504" s="13" t="s">
        <v>177</v>
      </c>
      <c r="F504" s="13" t="s">
        <v>62</v>
      </c>
      <c r="G504" s="13" t="s">
        <v>52</v>
      </c>
      <c r="H504" s="16">
        <v>45735.0</v>
      </c>
      <c r="I504" s="14">
        <v>44.0</v>
      </c>
      <c r="J504" s="13" t="s">
        <v>64</v>
      </c>
      <c r="K504" s="13" t="s">
        <v>41</v>
      </c>
      <c r="L504" s="14">
        <v>692.0</v>
      </c>
      <c r="M504" s="18" t="s">
        <v>46</v>
      </c>
      <c r="N504" s="18" t="s">
        <v>43</v>
      </c>
      <c r="O504" s="18">
        <v>4.8</v>
      </c>
      <c r="P504" s="18" t="s">
        <v>701</v>
      </c>
      <c r="Q504" s="16">
        <v>46252.0</v>
      </c>
      <c r="R504" s="16" t="s">
        <v>38</v>
      </c>
      <c r="S504" s="13" t="s">
        <v>55</v>
      </c>
      <c r="T504" s="13" t="s">
        <v>72</v>
      </c>
      <c r="U504" s="13">
        <f t="shared" si="1"/>
        <v>3</v>
      </c>
      <c r="V504" s="13" t="str">
        <f t="shared" si="2"/>
        <v>C01220|Priya Reddy|52|South|Hyderabad|Basic|Facebook|3/19/2025|44|Annual|Upi|692|0|2|4.80|2.8|8/18/2026||Active|Collaboration</v>
      </c>
      <c r="W504" s="13">
        <f t="shared" si="3"/>
        <v>1</v>
      </c>
      <c r="X504" s="13">
        <f>IFERROR(__xludf.DUMMYFUNCTION("COUNTUNIQUE(FILTER($B$2:$B$1826,$A$2:$A$1826=A504))"),3.0)</f>
        <v>3</v>
      </c>
    </row>
    <row r="505">
      <c r="A505" s="13" t="s">
        <v>528</v>
      </c>
      <c r="B505" s="13" t="s">
        <v>235</v>
      </c>
      <c r="C505" s="14">
        <v>42.0</v>
      </c>
      <c r="D505" s="13" t="s">
        <v>35</v>
      </c>
      <c r="E505" s="13" t="s">
        <v>51</v>
      </c>
      <c r="F505" s="13" t="s">
        <v>37</v>
      </c>
      <c r="G505" s="13" t="s">
        <v>128</v>
      </c>
      <c r="H505" s="16">
        <v>45405.0</v>
      </c>
      <c r="I505" s="14">
        <v>6.0</v>
      </c>
      <c r="J505" s="13" t="s">
        <v>64</v>
      </c>
      <c r="K505" s="13" t="s">
        <v>81</v>
      </c>
      <c r="L505" s="14">
        <v>1132.0</v>
      </c>
      <c r="M505" s="18" t="s">
        <v>46</v>
      </c>
      <c r="N505" s="18" t="s">
        <v>98</v>
      </c>
      <c r="O505" s="18">
        <v>19.0</v>
      </c>
      <c r="P505" s="18" t="s">
        <v>173</v>
      </c>
      <c r="Q505" s="16">
        <v>45469.0</v>
      </c>
      <c r="R505" s="16" t="s">
        <v>38</v>
      </c>
      <c r="S505" s="13" t="s">
        <v>55</v>
      </c>
      <c r="T505" s="13" t="s">
        <v>75</v>
      </c>
      <c r="U505" s="13">
        <f t="shared" si="1"/>
        <v>6</v>
      </c>
      <c r="V505" s="13" t="str">
        <f t="shared" si="2"/>
        <v>C00931|Sneha Sharma|42|North|Jaipur|Standard|Youtube|4/23/2024|6|Annual|Debit Card|1,132|0|1|19.00|5|6/26/2024||Active|Security</v>
      </c>
      <c r="W505" s="13">
        <f t="shared" si="3"/>
        <v>2</v>
      </c>
      <c r="X505" s="13">
        <f>IFERROR(__xludf.DUMMYFUNCTION("COUNTUNIQUE(FILTER($B$2:$B$1826,$A$2:$A$1826=A505))"),5.0)</f>
        <v>5</v>
      </c>
    </row>
    <row r="506">
      <c r="A506" s="13" t="s">
        <v>1058</v>
      </c>
      <c r="B506" s="13" t="s">
        <v>106</v>
      </c>
      <c r="C506" s="14">
        <v>51.0</v>
      </c>
      <c r="D506" s="13" t="s">
        <v>85</v>
      </c>
      <c r="E506" s="13" t="s">
        <v>92</v>
      </c>
      <c r="F506" s="13" t="s">
        <v>37</v>
      </c>
      <c r="G506" s="13" t="s">
        <v>52</v>
      </c>
      <c r="H506" s="16">
        <v>45429.0</v>
      </c>
      <c r="I506" s="14">
        <v>29.0</v>
      </c>
      <c r="J506" s="13" t="s">
        <v>40</v>
      </c>
      <c r="K506" s="13" t="s">
        <v>65</v>
      </c>
      <c r="L506" s="14">
        <v>1748.0</v>
      </c>
      <c r="M506" s="18" t="s">
        <v>98</v>
      </c>
      <c r="N506" s="18" t="s">
        <v>98</v>
      </c>
      <c r="O506" s="18">
        <v>29.2</v>
      </c>
      <c r="P506" s="18" t="s">
        <v>310</v>
      </c>
      <c r="Q506" s="16">
        <v>45865.0</v>
      </c>
      <c r="R506" s="16" t="s">
        <v>38</v>
      </c>
      <c r="S506" s="13" t="s">
        <v>55</v>
      </c>
      <c r="T506" s="13" t="s">
        <v>75</v>
      </c>
      <c r="U506" s="13">
        <f t="shared" si="1"/>
        <v>3</v>
      </c>
      <c r="V506" s="13" t="str">
        <f t="shared" si="2"/>
        <v>C01205|Rahul Patel|51|West|Ahmedabad|Standard|Facebook|5/17/2024|29|Monthly|Credit Card|1,748|1|1|29.20|3.1|7/27/2025||Active|Security</v>
      </c>
      <c r="W506" s="13">
        <f t="shared" si="3"/>
        <v>1</v>
      </c>
      <c r="X506" s="13">
        <f>IFERROR(__xludf.DUMMYFUNCTION("COUNTUNIQUE(FILTER($B$2:$B$1826,$A$2:$A$1826=A506))"),3.0)</f>
        <v>3</v>
      </c>
    </row>
    <row r="507">
      <c r="A507" s="13" t="s">
        <v>1059</v>
      </c>
      <c r="B507" s="13" t="s">
        <v>325</v>
      </c>
      <c r="C507" s="14">
        <v>42.0</v>
      </c>
      <c r="D507" s="13" t="s">
        <v>35</v>
      </c>
      <c r="E507" s="13" t="s">
        <v>51</v>
      </c>
      <c r="F507" s="13" t="s">
        <v>37</v>
      </c>
      <c r="G507" s="13" t="s">
        <v>63</v>
      </c>
      <c r="H507" s="16">
        <v>44883.0</v>
      </c>
      <c r="I507" s="14">
        <v>36.0</v>
      </c>
      <c r="J507" s="13" t="s">
        <v>64</v>
      </c>
      <c r="K507" s="13" t="s">
        <v>65</v>
      </c>
      <c r="L507" s="14">
        <v>1615.0</v>
      </c>
      <c r="M507" s="18" t="s">
        <v>173</v>
      </c>
      <c r="N507" s="18" t="s">
        <v>46</v>
      </c>
      <c r="O507" s="18">
        <v>14.0</v>
      </c>
      <c r="P507" s="18" t="s">
        <v>408</v>
      </c>
      <c r="Q507" s="16">
        <v>45729.0</v>
      </c>
      <c r="R507" s="16" t="s">
        <v>38</v>
      </c>
      <c r="S507" s="13" t="s">
        <v>55</v>
      </c>
      <c r="T507" s="13" t="s">
        <v>104</v>
      </c>
      <c r="U507" s="13">
        <f t="shared" si="1"/>
        <v>1</v>
      </c>
      <c r="V507" s="13" t="str">
        <f t="shared" si="2"/>
        <v>C00265|Priya Sharma|42|North|Jaipur|Standard|Google Ads|11/18/2022|36|Annual|Credit Card|1,615|5|0|14.00|4.2|3/13/2025||Active|Analytics</v>
      </c>
      <c r="W507" s="13">
        <f t="shared" si="3"/>
        <v>1</v>
      </c>
      <c r="X507" s="13">
        <f>IFERROR(__xludf.DUMMYFUNCTION("COUNTUNIQUE(FILTER($B$2:$B$1826,$A$2:$A$1826=A507))"),1.0)</f>
        <v>1</v>
      </c>
    </row>
    <row r="508">
      <c r="A508" s="13" t="s">
        <v>666</v>
      </c>
      <c r="B508" s="13" t="s">
        <v>331</v>
      </c>
      <c r="C508" s="14">
        <v>37.0</v>
      </c>
      <c r="D508" s="13" t="s">
        <v>69</v>
      </c>
      <c r="E508" s="13" t="s">
        <v>70</v>
      </c>
      <c r="F508" s="13" t="s">
        <v>62</v>
      </c>
      <c r="G508" s="13" t="s">
        <v>210</v>
      </c>
      <c r="H508" s="16">
        <v>45183.0</v>
      </c>
      <c r="I508" s="14">
        <v>19.0</v>
      </c>
      <c r="J508" s="13" t="s">
        <v>40</v>
      </c>
      <c r="K508" s="13" t="s">
        <v>41</v>
      </c>
      <c r="L508" s="14">
        <v>572.0</v>
      </c>
      <c r="M508" s="18" t="s">
        <v>43</v>
      </c>
      <c r="N508" s="18" t="s">
        <v>98</v>
      </c>
      <c r="O508" s="18">
        <v>14.7</v>
      </c>
      <c r="P508" s="18" t="s">
        <v>173</v>
      </c>
      <c r="Q508" s="16">
        <v>45624.0</v>
      </c>
      <c r="R508" s="16" t="s">
        <v>38</v>
      </c>
      <c r="S508" s="13" t="s">
        <v>55</v>
      </c>
      <c r="T508" s="13" t="s">
        <v>75</v>
      </c>
      <c r="U508" s="13">
        <f t="shared" si="1"/>
        <v>4</v>
      </c>
      <c r="V508" s="13" t="str">
        <f t="shared" si="2"/>
        <v>C01071|Arun Iyer|37|South|Bengaluru|Basic|Referral|9/14/2023|19|Monthly|Upi|572|2|1|14.70|5|11/28/2024||Active|Security</v>
      </c>
      <c r="W508" s="13">
        <f t="shared" si="3"/>
        <v>1</v>
      </c>
      <c r="X508" s="13">
        <f>IFERROR(__xludf.DUMMYFUNCTION("COUNTUNIQUE(FILTER($B$2:$B$1826,$A$2:$A$1826=A508))"),4.0)</f>
        <v>4</v>
      </c>
    </row>
    <row r="509">
      <c r="A509" s="13" t="s">
        <v>1061</v>
      </c>
      <c r="B509" s="13" t="s">
        <v>118</v>
      </c>
      <c r="C509" s="14">
        <v>65.0</v>
      </c>
      <c r="D509" s="13" t="s">
        <v>35</v>
      </c>
      <c r="E509" s="13" t="s">
        <v>161</v>
      </c>
      <c r="F509" s="13" t="s">
        <v>62</v>
      </c>
      <c r="G509" s="13" t="s">
        <v>63</v>
      </c>
      <c r="H509" s="16">
        <v>45417.0</v>
      </c>
      <c r="I509" s="14">
        <v>31.0</v>
      </c>
      <c r="J509" s="13" t="s">
        <v>64</v>
      </c>
      <c r="K509" s="13" t="s">
        <v>41</v>
      </c>
      <c r="L509" s="14">
        <v>788.0</v>
      </c>
      <c r="M509" s="18" t="s">
        <v>43</v>
      </c>
      <c r="N509" s="18" t="s">
        <v>98</v>
      </c>
      <c r="O509" s="18">
        <v>21.4</v>
      </c>
      <c r="P509" s="18" t="s">
        <v>123</v>
      </c>
      <c r="Q509" s="16">
        <v>45772.0</v>
      </c>
      <c r="R509" s="16" t="s">
        <v>38</v>
      </c>
      <c r="S509" s="13" t="s">
        <v>55</v>
      </c>
      <c r="T509" s="13" t="s">
        <v>47</v>
      </c>
      <c r="U509" s="13">
        <f t="shared" si="1"/>
        <v>2</v>
      </c>
      <c r="V509" s="13" t="str">
        <f t="shared" si="2"/>
        <v>C00005|Karan Nair|65|North|Chandigarh|Basic|Google Ads|5/5/2024|31|Annual|Upi|788|2|1|21.40|4.1|4/25/2025||Active|Cloud Storage</v>
      </c>
      <c r="W509" s="13">
        <f t="shared" si="3"/>
        <v>1</v>
      </c>
      <c r="X509" s="13">
        <f>IFERROR(__xludf.DUMMYFUNCTION("COUNTUNIQUE(FILTER($B$2:$B$1826,$A$2:$A$1826=A509))"),2.0)</f>
        <v>2</v>
      </c>
    </row>
    <row r="510">
      <c r="A510" s="13" t="s">
        <v>1062</v>
      </c>
      <c r="B510" s="13" t="s">
        <v>411</v>
      </c>
      <c r="C510" s="14">
        <v>53.0</v>
      </c>
      <c r="D510" s="13" t="s">
        <v>85</v>
      </c>
      <c r="E510" s="13" t="s">
        <v>87</v>
      </c>
      <c r="F510" s="13" t="s">
        <v>37</v>
      </c>
      <c r="G510" s="13" t="s">
        <v>39</v>
      </c>
      <c r="H510" s="16">
        <v>45228.0</v>
      </c>
      <c r="I510" s="14">
        <v>6.0</v>
      </c>
      <c r="J510" s="13" t="s">
        <v>40</v>
      </c>
      <c r="K510" s="13" t="s">
        <v>81</v>
      </c>
      <c r="L510" s="14">
        <v>1637.0</v>
      </c>
      <c r="M510" s="18" t="s">
        <v>43</v>
      </c>
      <c r="N510" s="18" t="s">
        <v>43</v>
      </c>
      <c r="O510" s="18">
        <v>15.8</v>
      </c>
      <c r="P510" s="18" t="s">
        <v>1437</v>
      </c>
      <c r="Q510" s="16">
        <v>45337.0</v>
      </c>
      <c r="R510" s="16" t="s">
        <v>1063</v>
      </c>
      <c r="S510" s="13" t="s">
        <v>45</v>
      </c>
      <c r="T510" s="13" t="s">
        <v>75</v>
      </c>
      <c r="U510" s="13">
        <f t="shared" si="1"/>
        <v>1</v>
      </c>
      <c r="V510" s="13" t="str">
        <f t="shared" si="2"/>
        <v>C01034|Karan Reddy|53|West|Surat|Standard|Instagram|10/29/2023|6|Monthly|Debit Card|1,637|2|2|15.80|1.2|2/15/2024|26/01/2024|Churned|Security</v>
      </c>
      <c r="W510" s="13">
        <f t="shared" si="3"/>
        <v>1</v>
      </c>
      <c r="X510" s="13">
        <f>IFERROR(__xludf.DUMMYFUNCTION("COUNTUNIQUE(FILTER($B$2:$B$1826,$A$2:$A$1826=A510))"),1.0)</f>
        <v>1</v>
      </c>
    </row>
    <row r="511">
      <c r="A511" s="13" t="s">
        <v>543</v>
      </c>
      <c r="B511" s="13" t="s">
        <v>247</v>
      </c>
      <c r="C511" s="14">
        <v>31.0</v>
      </c>
      <c r="D511" s="13" t="s">
        <v>60</v>
      </c>
      <c r="E511" s="13" t="s">
        <v>61</v>
      </c>
      <c r="F511" s="13" t="s">
        <v>79</v>
      </c>
      <c r="G511" s="13" t="s">
        <v>52</v>
      </c>
      <c r="H511" s="16">
        <v>44612.0</v>
      </c>
      <c r="I511" s="14">
        <v>37.0</v>
      </c>
      <c r="J511" s="13" t="s">
        <v>64</v>
      </c>
      <c r="K511" s="13" t="s">
        <v>81</v>
      </c>
      <c r="L511" s="14">
        <v>2631.0</v>
      </c>
      <c r="M511" s="18" t="s">
        <v>98</v>
      </c>
      <c r="N511" s="18" t="s">
        <v>43</v>
      </c>
      <c r="O511" s="18">
        <v>23.0</v>
      </c>
      <c r="P511" s="18" t="s">
        <v>116</v>
      </c>
      <c r="Q511" s="16">
        <v>44875.0</v>
      </c>
      <c r="R511" s="16" t="s">
        <v>38</v>
      </c>
      <c r="S511" s="13" t="s">
        <v>55</v>
      </c>
      <c r="T511" s="13" t="s">
        <v>66</v>
      </c>
      <c r="U511" s="13">
        <f t="shared" si="1"/>
        <v>3</v>
      </c>
      <c r="V511" s="13" t="str">
        <f t="shared" si="2"/>
        <v>C01508|Ravi Sharma|31|East|Kolkata|Premium|Facebook|2/20/2022|37|Annual|Debit Card|2,631|1|2|23.00|3.4|11/10/2022||Active|Automation</v>
      </c>
      <c r="W511" s="13">
        <f t="shared" si="3"/>
        <v>1</v>
      </c>
      <c r="X511" s="13">
        <f>IFERROR(__xludf.DUMMYFUNCTION("COUNTUNIQUE(FILTER($B$2:$B$1826,$A$2:$A$1826=A511))"),3.0)</f>
        <v>3</v>
      </c>
    </row>
    <row r="512">
      <c r="A512" s="13" t="s">
        <v>1064</v>
      </c>
      <c r="B512" s="13" t="s">
        <v>250</v>
      </c>
      <c r="C512" s="14">
        <v>34.0</v>
      </c>
      <c r="D512" s="13" t="s">
        <v>35</v>
      </c>
      <c r="E512" s="13" t="s">
        <v>51</v>
      </c>
      <c r="F512" s="13" t="s">
        <v>37</v>
      </c>
      <c r="G512" s="13" t="s">
        <v>80</v>
      </c>
      <c r="H512" s="16">
        <v>44600.0</v>
      </c>
      <c r="I512" s="14">
        <v>8.0</v>
      </c>
      <c r="J512" s="13" t="s">
        <v>64</v>
      </c>
      <c r="K512" s="13" t="s">
        <v>81</v>
      </c>
      <c r="L512" s="14">
        <v>1183.0</v>
      </c>
      <c r="M512" s="18" t="s">
        <v>98</v>
      </c>
      <c r="N512" s="18" t="s">
        <v>43</v>
      </c>
      <c r="O512" s="18">
        <v>27.8</v>
      </c>
      <c r="P512" s="18" t="s">
        <v>185</v>
      </c>
      <c r="Q512" s="16">
        <v>44614.0</v>
      </c>
      <c r="R512" s="16" t="s">
        <v>38</v>
      </c>
      <c r="S512" s="13" t="s">
        <v>55</v>
      </c>
      <c r="T512" s="13" t="s">
        <v>75</v>
      </c>
      <c r="U512" s="13">
        <f t="shared" si="1"/>
        <v>2</v>
      </c>
      <c r="V512" s="13" t="str">
        <f t="shared" si="2"/>
        <v>C01552|Vikram Singh|34|North|Jaipur|Standard|Organic Search|2/8/2022|8|Annual|Debit Card|1,183|1|2|27.80|3.2|2/22/2022||Active|Security</v>
      </c>
      <c r="W512" s="13">
        <f t="shared" si="3"/>
        <v>1</v>
      </c>
      <c r="X512" s="13">
        <f>IFERROR(__xludf.DUMMYFUNCTION("COUNTUNIQUE(FILTER($B$2:$B$1826,$A$2:$A$1826=A512))"),2.0)</f>
        <v>2</v>
      </c>
    </row>
    <row r="513">
      <c r="A513" s="13" t="s">
        <v>1065</v>
      </c>
      <c r="B513" s="13" t="s">
        <v>633</v>
      </c>
      <c r="C513" s="14">
        <v>35.0</v>
      </c>
      <c r="D513" s="13" t="s">
        <v>60</v>
      </c>
      <c r="E513" s="13" t="s">
        <v>133</v>
      </c>
      <c r="F513" s="13" t="s">
        <v>37</v>
      </c>
      <c r="G513" s="13" t="s">
        <v>120</v>
      </c>
      <c r="H513" s="16">
        <v>44609.0</v>
      </c>
      <c r="I513" s="14">
        <v>22.0</v>
      </c>
      <c r="J513" s="13" t="s">
        <v>40</v>
      </c>
      <c r="K513" s="13" t="s">
        <v>41</v>
      </c>
      <c r="L513" s="14">
        <v>1023.0</v>
      </c>
      <c r="M513" s="18" t="s">
        <v>98</v>
      </c>
      <c r="N513" s="18" t="s">
        <v>164</v>
      </c>
      <c r="O513" s="18">
        <v>25.3</v>
      </c>
      <c r="P513" s="18" t="s">
        <v>130</v>
      </c>
      <c r="Q513" s="16">
        <v>45159.0</v>
      </c>
      <c r="R513" s="16" t="s">
        <v>38</v>
      </c>
      <c r="S513" s="13" t="s">
        <v>55</v>
      </c>
      <c r="T513" s="13" t="s">
        <v>38</v>
      </c>
      <c r="U513" s="13">
        <f t="shared" si="1"/>
        <v>2</v>
      </c>
      <c r="V513" s="13" t="str">
        <f t="shared" si="2"/>
        <v>C00174|Anita Das|35|East|Guwahati|Standard|Email|2/17/2022|22|Monthly|Upi|1,023|1|3|25.30|3.9|8/21/2023||Active|</v>
      </c>
      <c r="W513" s="13">
        <f t="shared" si="3"/>
        <v>1</v>
      </c>
      <c r="X513" s="13">
        <f>IFERROR(__xludf.DUMMYFUNCTION("COUNTUNIQUE(FILTER($B$2:$B$1826,$A$2:$A$1826=A513))"),2.0)</f>
        <v>2</v>
      </c>
    </row>
    <row r="514">
      <c r="A514" s="13" t="s">
        <v>1066</v>
      </c>
      <c r="B514" s="13" t="s">
        <v>448</v>
      </c>
      <c r="C514" s="14">
        <v>30.0</v>
      </c>
      <c r="D514" s="13" t="s">
        <v>69</v>
      </c>
      <c r="E514" s="13" t="s">
        <v>177</v>
      </c>
      <c r="F514" s="13" t="s">
        <v>62</v>
      </c>
      <c r="G514" s="13" t="s">
        <v>210</v>
      </c>
      <c r="H514" s="16">
        <v>44745.0</v>
      </c>
      <c r="I514" s="14">
        <v>10.0</v>
      </c>
      <c r="J514" s="13" t="s">
        <v>40</v>
      </c>
      <c r="K514" s="13" t="s">
        <v>81</v>
      </c>
      <c r="L514" s="14">
        <v>707.0</v>
      </c>
      <c r="M514" s="18" t="s">
        <v>99</v>
      </c>
      <c r="N514" s="18" t="s">
        <v>46</v>
      </c>
      <c r="O514" s="18">
        <v>23.7</v>
      </c>
      <c r="P514" s="18" t="s">
        <v>916</v>
      </c>
      <c r="Q514" s="16">
        <v>44785.0</v>
      </c>
      <c r="R514" s="16" t="s">
        <v>38</v>
      </c>
      <c r="S514" s="13" t="s">
        <v>55</v>
      </c>
      <c r="T514" s="13" t="s">
        <v>104</v>
      </c>
      <c r="U514" s="13">
        <f t="shared" si="1"/>
        <v>2</v>
      </c>
      <c r="V514" s="13" t="str">
        <f t="shared" si="2"/>
        <v>C01110|Meera Reddy|30|South|Hyderabad|Basic|Referral|7/3/2022|10|Monthly|Debit Card|707|4|0|23.70|1.9|8/12/2022||Active|Analytics</v>
      </c>
      <c r="W514" s="13">
        <f t="shared" si="3"/>
        <v>1</v>
      </c>
      <c r="X514" s="13">
        <f>IFERROR(__xludf.DUMMYFUNCTION("COUNTUNIQUE(FILTER($B$2:$B$1826,$A$2:$A$1826=A514))"),2.0)</f>
        <v>2</v>
      </c>
    </row>
    <row r="515">
      <c r="A515" s="13" t="s">
        <v>1067</v>
      </c>
      <c r="B515" s="13" t="s">
        <v>172</v>
      </c>
      <c r="C515" s="14">
        <v>50.0</v>
      </c>
      <c r="D515" s="13" t="s">
        <v>85</v>
      </c>
      <c r="E515" s="13" t="s">
        <v>292</v>
      </c>
      <c r="F515" s="13" t="s">
        <v>62</v>
      </c>
      <c r="G515" s="13" t="s">
        <v>120</v>
      </c>
      <c r="H515" s="16">
        <v>45225.0</v>
      </c>
      <c r="I515" s="14">
        <v>17.0</v>
      </c>
      <c r="J515" s="13" t="s">
        <v>64</v>
      </c>
      <c r="K515" s="13" t="s">
        <v>81</v>
      </c>
      <c r="L515" s="14" t="s">
        <v>38</v>
      </c>
      <c r="M515" s="18" t="s">
        <v>164</v>
      </c>
      <c r="N515" s="18" t="s">
        <v>98</v>
      </c>
      <c r="O515" s="18">
        <v>15.7</v>
      </c>
      <c r="P515" s="18" t="s">
        <v>164</v>
      </c>
      <c r="Q515" s="16">
        <v>45480.0</v>
      </c>
      <c r="R515" s="16" t="s">
        <v>38</v>
      </c>
      <c r="S515" s="13" t="s">
        <v>55</v>
      </c>
      <c r="T515" s="13" t="s">
        <v>75</v>
      </c>
      <c r="U515" s="13">
        <f t="shared" si="1"/>
        <v>1</v>
      </c>
      <c r="V515" s="13" t="str">
        <f t="shared" si="2"/>
        <v>C00611|Meera Singh|50|West|Mumbai|Basic|Email|10/26/2023|17|Annual|Debit Card||3|1|15.70|3|7/7/2024||Active|Security</v>
      </c>
      <c r="W515" s="13">
        <f t="shared" si="3"/>
        <v>1</v>
      </c>
      <c r="X515" s="13">
        <f>IFERROR(__xludf.DUMMYFUNCTION("COUNTUNIQUE(FILTER($B$2:$B$1826,$A$2:$A$1826=A515))"),1.0)</f>
        <v>1</v>
      </c>
    </row>
    <row r="516">
      <c r="A516" s="13" t="s">
        <v>307</v>
      </c>
      <c r="B516" s="13" t="s">
        <v>398</v>
      </c>
      <c r="C516" s="14">
        <v>34.0</v>
      </c>
      <c r="D516" s="13" t="s">
        <v>60</v>
      </c>
      <c r="E516" s="13" t="s">
        <v>61</v>
      </c>
      <c r="F516" s="13" t="s">
        <v>62</v>
      </c>
      <c r="G516" s="13" t="s">
        <v>80</v>
      </c>
      <c r="H516" s="16">
        <v>45395.0</v>
      </c>
      <c r="I516" s="14">
        <v>5.0</v>
      </c>
      <c r="J516" s="13" t="s">
        <v>64</v>
      </c>
      <c r="K516" s="13" t="s">
        <v>81</v>
      </c>
      <c r="L516" s="14">
        <v>707.0</v>
      </c>
      <c r="M516" s="18" t="s">
        <v>46</v>
      </c>
      <c r="N516" s="18" t="s">
        <v>98</v>
      </c>
      <c r="O516" s="18">
        <v>20.5</v>
      </c>
      <c r="P516" s="18" t="s">
        <v>116</v>
      </c>
      <c r="Q516" s="16">
        <v>45409.0</v>
      </c>
      <c r="R516" s="16" t="s">
        <v>38</v>
      </c>
      <c r="S516" s="13" t="s">
        <v>55</v>
      </c>
      <c r="T516" s="13" t="s">
        <v>47</v>
      </c>
      <c r="U516" s="13">
        <f t="shared" si="1"/>
        <v>3</v>
      </c>
      <c r="V516" s="13" t="str">
        <f t="shared" si="2"/>
        <v>C00236|Vikram Sharma|34|East|Kolkata|Basic|Organic Search|4/13/2024|5|Annual|Debit Card|707|0|1|20.50|3.4|4/27/2024||Active|Cloud Storage</v>
      </c>
      <c r="W516" s="13">
        <f t="shared" si="3"/>
        <v>1</v>
      </c>
      <c r="X516" s="13">
        <f>IFERROR(__xludf.DUMMYFUNCTION("COUNTUNIQUE(FILTER($B$2:$B$1826,$A$2:$A$1826=A516))"),3.0)</f>
        <v>3</v>
      </c>
    </row>
    <row r="517">
      <c r="A517" s="13" t="s">
        <v>850</v>
      </c>
      <c r="B517" s="13" t="s">
        <v>333</v>
      </c>
      <c r="C517" s="14">
        <v>54.0</v>
      </c>
      <c r="D517" s="13" t="s">
        <v>85</v>
      </c>
      <c r="E517" s="13" t="s">
        <v>87</v>
      </c>
      <c r="F517" s="13" t="s">
        <v>62</v>
      </c>
      <c r="G517" s="13" t="s">
        <v>52</v>
      </c>
      <c r="H517" s="16">
        <v>45586.0</v>
      </c>
      <c r="I517" s="14">
        <v>14.0</v>
      </c>
      <c r="J517" s="13" t="s">
        <v>53</v>
      </c>
      <c r="K517" s="13" t="s">
        <v>41</v>
      </c>
      <c r="L517" s="14">
        <v>571.0</v>
      </c>
      <c r="M517" s="18" t="s">
        <v>98</v>
      </c>
      <c r="N517" s="18" t="s">
        <v>43</v>
      </c>
      <c r="O517" s="18">
        <v>19.2</v>
      </c>
      <c r="P517" s="18" t="s">
        <v>296</v>
      </c>
      <c r="Q517" s="16">
        <v>45682.0</v>
      </c>
      <c r="R517" s="16" t="s">
        <v>1068</v>
      </c>
      <c r="S517" s="13" t="s">
        <v>45</v>
      </c>
      <c r="T517" s="13" t="s">
        <v>104</v>
      </c>
      <c r="U517" s="13">
        <f t="shared" si="1"/>
        <v>2</v>
      </c>
      <c r="V517" s="13" t="str">
        <f t="shared" si="2"/>
        <v>C00624|Neha Das|54|West|Surat|Basic|Facebook|10/21/2024|14|Quarterly|Upi|571|1|2|19.20|4.6|1/25/2025|25/12/2025|Churned|Analytics</v>
      </c>
      <c r="W517" s="13">
        <f t="shared" si="3"/>
        <v>1</v>
      </c>
      <c r="X517" s="13">
        <f>IFERROR(__xludf.DUMMYFUNCTION("COUNTUNIQUE(FILTER($B$2:$B$1826,$A$2:$A$1826=A517))"),2.0)</f>
        <v>2</v>
      </c>
    </row>
    <row r="518">
      <c r="A518" s="13" t="s">
        <v>1069</v>
      </c>
      <c r="B518" s="13" t="s">
        <v>232</v>
      </c>
      <c r="C518" s="14">
        <v>21.0</v>
      </c>
      <c r="D518" s="13" t="s">
        <v>60</v>
      </c>
      <c r="E518" s="13" t="s">
        <v>97</v>
      </c>
      <c r="F518" s="13" t="s">
        <v>62</v>
      </c>
      <c r="G518" s="13" t="s">
        <v>120</v>
      </c>
      <c r="H518" s="16">
        <v>45121.0</v>
      </c>
      <c r="I518" s="14">
        <v>39.0</v>
      </c>
      <c r="J518" s="13" t="s">
        <v>40</v>
      </c>
      <c r="K518" s="13" t="s">
        <v>81</v>
      </c>
      <c r="L518" s="14">
        <v>847.0</v>
      </c>
      <c r="M518" s="18" t="s">
        <v>164</v>
      </c>
      <c r="N518" s="18" t="s">
        <v>98</v>
      </c>
      <c r="O518" s="18">
        <v>19.8</v>
      </c>
      <c r="P518" s="18" t="s">
        <v>275</v>
      </c>
      <c r="Q518" s="16">
        <v>45566.0</v>
      </c>
      <c r="R518" s="16" t="s">
        <v>38</v>
      </c>
      <c r="S518" s="13" t="s">
        <v>55</v>
      </c>
      <c r="T518" s="13" t="s">
        <v>66</v>
      </c>
      <c r="U518" s="13">
        <f t="shared" si="1"/>
        <v>1</v>
      </c>
      <c r="V518" s="13" t="str">
        <f t="shared" si="2"/>
        <v>C00952|Meera Iyer|21|East|Bhubaneswar|Basic|Email|7/14/2023|39|Monthly|Debit Card|847|3|1|19.80|4.3|10/1/2024||Active|Automation</v>
      </c>
      <c r="W518" s="13">
        <f t="shared" si="3"/>
        <v>1</v>
      </c>
      <c r="X518" s="13">
        <f>IFERROR(__xludf.DUMMYFUNCTION("COUNTUNIQUE(FILTER($B$2:$B$1826,$A$2:$A$1826=A518))"),1.0)</f>
        <v>1</v>
      </c>
    </row>
    <row r="519">
      <c r="A519" s="13" t="s">
        <v>1070</v>
      </c>
      <c r="B519" s="13" t="s">
        <v>224</v>
      </c>
      <c r="C519" s="14">
        <v>67.0</v>
      </c>
      <c r="D519" s="13" t="s">
        <v>69</v>
      </c>
      <c r="E519" s="13" t="s">
        <v>161</v>
      </c>
      <c r="F519" s="13" t="s">
        <v>62</v>
      </c>
      <c r="G519" s="13" t="s">
        <v>52</v>
      </c>
      <c r="H519" s="16">
        <v>44813.0</v>
      </c>
      <c r="I519" s="14">
        <v>9.0</v>
      </c>
      <c r="J519" s="13" t="s">
        <v>64</v>
      </c>
      <c r="K519" s="13" t="s">
        <v>65</v>
      </c>
      <c r="L519" s="14">
        <v>642.0</v>
      </c>
      <c r="M519" s="18" t="s">
        <v>98</v>
      </c>
      <c r="N519" s="18" t="s">
        <v>43</v>
      </c>
      <c r="O519" s="18">
        <v>24.2</v>
      </c>
      <c r="P519" s="18" t="s">
        <v>408</v>
      </c>
      <c r="Q519" s="16">
        <v>45081.0</v>
      </c>
      <c r="R519" s="16" t="s">
        <v>1071</v>
      </c>
      <c r="S519" s="13" t="s">
        <v>45</v>
      </c>
      <c r="T519" s="13" t="s">
        <v>72</v>
      </c>
      <c r="U519" s="13">
        <f t="shared" si="1"/>
        <v>2</v>
      </c>
      <c r="V519" s="13" t="str">
        <f t="shared" si="2"/>
        <v>C01154|Anita Iyer|67|South|Chandigarh|Basic|Facebook|9/9/2022|9|Annual|Credit Card|642|1|2|24.20|4.2|6/4/2023|20/03/2023|Churned|Collaboration</v>
      </c>
      <c r="W519" s="13">
        <f t="shared" si="3"/>
        <v>1</v>
      </c>
      <c r="X519" s="13">
        <f>IFERROR(__xludf.DUMMYFUNCTION("COUNTUNIQUE(FILTER($B$2:$B$1826,$A$2:$A$1826=A519))"),1.0)</f>
        <v>1</v>
      </c>
    </row>
    <row r="520">
      <c r="A520" s="13" t="s">
        <v>1072</v>
      </c>
      <c r="B520" s="13" t="s">
        <v>364</v>
      </c>
      <c r="C520" s="14">
        <v>19.0</v>
      </c>
      <c r="D520" s="13" t="s">
        <v>60</v>
      </c>
      <c r="E520" s="13" t="s">
        <v>107</v>
      </c>
      <c r="F520" s="13" t="s">
        <v>62</v>
      </c>
      <c r="G520" s="13" t="s">
        <v>80</v>
      </c>
      <c r="H520" s="16">
        <v>45234.0</v>
      </c>
      <c r="I520" s="14">
        <v>-3.0</v>
      </c>
      <c r="J520" s="13" t="s">
        <v>64</v>
      </c>
      <c r="K520" s="13" t="s">
        <v>41</v>
      </c>
      <c r="L520" s="14">
        <v>567.0</v>
      </c>
      <c r="M520" s="18" t="s">
        <v>43</v>
      </c>
      <c r="N520" s="18" t="s">
        <v>98</v>
      </c>
      <c r="O520" s="18">
        <v>23.9</v>
      </c>
      <c r="P520" s="18" t="s">
        <v>233</v>
      </c>
      <c r="Q520" s="16">
        <v>45244.0</v>
      </c>
      <c r="R520" s="16">
        <v>45597.0</v>
      </c>
      <c r="S520" s="13" t="s">
        <v>45</v>
      </c>
      <c r="T520" s="13" t="s">
        <v>75</v>
      </c>
      <c r="U520" s="13">
        <f t="shared" si="1"/>
        <v>3</v>
      </c>
      <c r="V520" s="13" t="str">
        <f t="shared" si="2"/>
        <v>C00504|Sneha Kumar|19|East|Patna|Basic|Organic Search|11/4/2023|-3|Annual|Upi|567|2|1|23.90|3.5|11/14/2023|11/1/2024|Churned|Security</v>
      </c>
      <c r="W520" s="13">
        <f t="shared" si="3"/>
        <v>1</v>
      </c>
      <c r="X520" s="13">
        <f>IFERROR(__xludf.DUMMYFUNCTION("COUNTUNIQUE(FILTER($B$2:$B$1826,$A$2:$A$1826=A520))"),3.0)</f>
        <v>3</v>
      </c>
    </row>
    <row r="521">
      <c r="A521" s="13" t="s">
        <v>226</v>
      </c>
      <c r="B521" s="13" t="s">
        <v>633</v>
      </c>
      <c r="C521" s="14">
        <v>57.0</v>
      </c>
      <c r="D521" s="13" t="s">
        <v>85</v>
      </c>
      <c r="E521" s="13" t="s">
        <v>87</v>
      </c>
      <c r="F521" s="13" t="s">
        <v>37</v>
      </c>
      <c r="G521" s="13" t="s">
        <v>128</v>
      </c>
      <c r="H521" s="16">
        <v>45891.0</v>
      </c>
      <c r="I521" s="14">
        <v>42.0</v>
      </c>
      <c r="J521" s="13" t="s">
        <v>53</v>
      </c>
      <c r="K521" s="13" t="s">
        <v>65</v>
      </c>
      <c r="L521" s="14">
        <v>1686.0</v>
      </c>
      <c r="M521" s="18" t="s">
        <v>46</v>
      </c>
      <c r="N521" s="18" t="s">
        <v>46</v>
      </c>
      <c r="O521" s="18">
        <v>13.5</v>
      </c>
      <c r="P521" s="18" t="s">
        <v>76</v>
      </c>
      <c r="Q521" s="16">
        <v>46153.0</v>
      </c>
      <c r="R521" s="16" t="s">
        <v>38</v>
      </c>
      <c r="S521" s="13" t="s">
        <v>55</v>
      </c>
      <c r="T521" s="13" t="s">
        <v>47</v>
      </c>
      <c r="U521" s="13">
        <f t="shared" si="1"/>
        <v>5</v>
      </c>
      <c r="V521" s="13" t="str">
        <f t="shared" si="2"/>
        <v>C01139|Anita Das|57|West|Surat|Standard|Youtube|8/22/2025|42|Quarterly|Credit Card|1,686|0|0|13.50|4.4|5/11/2026||Active|Cloud Storage</v>
      </c>
      <c r="W521" s="13">
        <f t="shared" si="3"/>
        <v>1</v>
      </c>
      <c r="X521" s="13">
        <f>IFERROR(__xludf.DUMMYFUNCTION("COUNTUNIQUE(FILTER($B$2:$B$1826,$A$2:$A$1826=A521))"),5.0)</f>
        <v>5</v>
      </c>
    </row>
    <row r="522">
      <c r="A522" s="13" t="s">
        <v>1074</v>
      </c>
      <c r="B522" s="13" t="s">
        <v>215</v>
      </c>
      <c r="C522" s="14">
        <v>58.0</v>
      </c>
      <c r="D522" s="13" t="s">
        <v>35</v>
      </c>
      <c r="E522" s="13" t="s">
        <v>36</v>
      </c>
      <c r="F522" s="13" t="s">
        <v>37</v>
      </c>
      <c r="G522" s="13" t="s">
        <v>39</v>
      </c>
      <c r="H522" s="16">
        <v>45472.0</v>
      </c>
      <c r="I522" s="14">
        <v>1.0</v>
      </c>
      <c r="J522" s="13" t="s">
        <v>64</v>
      </c>
      <c r="K522" s="13" t="s">
        <v>65</v>
      </c>
      <c r="L522" s="14">
        <v>1775.0</v>
      </c>
      <c r="M522" s="18" t="s">
        <v>99</v>
      </c>
      <c r="N522" s="18" t="s">
        <v>98</v>
      </c>
      <c r="O522" s="18">
        <v>27.2</v>
      </c>
      <c r="P522" s="18" t="s">
        <v>123</v>
      </c>
      <c r="Q522" s="16">
        <v>45504.0</v>
      </c>
      <c r="R522" s="16" t="s">
        <v>38</v>
      </c>
      <c r="S522" s="13" t="s">
        <v>55</v>
      </c>
      <c r="T522" s="13" t="s">
        <v>47</v>
      </c>
      <c r="U522" s="13">
        <f t="shared" si="1"/>
        <v>1</v>
      </c>
      <c r="V522" s="13" t="str">
        <f t="shared" si="2"/>
        <v>C01573|Neha Sharma|58|North|Delhi|Standard|Instagram|6/29/2024|1|Annual|Credit Card|1,775|4|1|27.20|4.1|7/31/2024||Active|Cloud Storage</v>
      </c>
      <c r="W522" s="13">
        <f t="shared" si="3"/>
        <v>1</v>
      </c>
      <c r="X522" s="13">
        <f>IFERROR(__xludf.DUMMYFUNCTION("COUNTUNIQUE(FILTER($B$2:$B$1826,$A$2:$A$1826=A522))"),1.0)</f>
        <v>1</v>
      </c>
    </row>
    <row r="523">
      <c r="A523" s="13" t="s">
        <v>1075</v>
      </c>
      <c r="B523" s="13" t="s">
        <v>135</v>
      </c>
      <c r="C523" s="14">
        <v>36.0</v>
      </c>
      <c r="D523" s="13" t="s">
        <v>69</v>
      </c>
      <c r="E523" s="13" t="s">
        <v>92</v>
      </c>
      <c r="F523" s="13" t="s">
        <v>62</v>
      </c>
      <c r="G523" s="13" t="s">
        <v>63</v>
      </c>
      <c r="H523" s="16">
        <v>46003.0</v>
      </c>
      <c r="I523" s="14">
        <v>46.0</v>
      </c>
      <c r="J523" s="13" t="s">
        <v>64</v>
      </c>
      <c r="K523" s="13" t="s">
        <v>81</v>
      </c>
      <c r="L523" s="14">
        <v>502.0</v>
      </c>
      <c r="M523" s="18" t="s">
        <v>43</v>
      </c>
      <c r="N523" s="18" t="s">
        <v>98</v>
      </c>
      <c r="O523" s="18">
        <v>18.6</v>
      </c>
      <c r="P523" s="18" t="s">
        <v>116</v>
      </c>
      <c r="Q523" s="16">
        <v>47320.0</v>
      </c>
      <c r="R523" s="16" t="s">
        <v>38</v>
      </c>
      <c r="S523" s="13" t="s">
        <v>55</v>
      </c>
      <c r="T523" s="13" t="s">
        <v>75</v>
      </c>
      <c r="U523" s="13">
        <f t="shared" si="1"/>
        <v>1</v>
      </c>
      <c r="V523" s="13" t="str">
        <f t="shared" si="2"/>
        <v>C00480|Karan Sharma|36|South|Ahmedabad|Basic|Google Ads|12/12/2025|46|Annual|Debit Card|502|2|1|18.60|3.4|7/21/2029||Active|Security</v>
      </c>
      <c r="W523" s="13">
        <f t="shared" si="3"/>
        <v>1</v>
      </c>
      <c r="X523" s="13">
        <f>IFERROR(__xludf.DUMMYFUNCTION("COUNTUNIQUE(FILTER($B$2:$B$1826,$A$2:$A$1826=A523))"),1.0)</f>
        <v>1</v>
      </c>
    </row>
    <row r="524">
      <c r="A524" s="13" t="s">
        <v>1076</v>
      </c>
      <c r="B524" s="13" t="s">
        <v>250</v>
      </c>
      <c r="C524" s="14">
        <v>62.0</v>
      </c>
      <c r="D524" s="13" t="s">
        <v>69</v>
      </c>
      <c r="E524" s="13" t="s">
        <v>187</v>
      </c>
      <c r="F524" s="13" t="s">
        <v>62</v>
      </c>
      <c r="G524" s="13" t="s">
        <v>39</v>
      </c>
      <c r="H524" s="16">
        <v>44695.0</v>
      </c>
      <c r="I524" s="14">
        <v>9.0</v>
      </c>
      <c r="J524" s="13" t="s">
        <v>40</v>
      </c>
      <c r="K524" s="13" t="s">
        <v>81</v>
      </c>
      <c r="L524" s="14">
        <v>790.0</v>
      </c>
      <c r="M524" s="18" t="s">
        <v>43</v>
      </c>
      <c r="N524" s="18" t="s">
        <v>46</v>
      </c>
      <c r="O524" s="18">
        <v>7.7</v>
      </c>
      <c r="P524" s="18" t="s">
        <v>408</v>
      </c>
      <c r="Q524" s="16">
        <v>44972.0</v>
      </c>
      <c r="R524" s="16" t="s">
        <v>38</v>
      </c>
      <c r="S524" s="13" t="s">
        <v>55</v>
      </c>
      <c r="T524" s="13" t="s">
        <v>66</v>
      </c>
      <c r="U524" s="13">
        <f t="shared" si="1"/>
        <v>1</v>
      </c>
      <c r="V524" s="13" t="str">
        <f t="shared" si="2"/>
        <v>C00350|Vikram Singh|62|South|Chennai|Basic|Instagram|5/14/2022|9|Monthly|Debit Card|790|2|0|7.70|4.2|2/15/2023||Active|Automation</v>
      </c>
      <c r="W524" s="13">
        <f t="shared" si="3"/>
        <v>1</v>
      </c>
      <c r="X524" s="13">
        <f>IFERROR(__xludf.DUMMYFUNCTION("COUNTUNIQUE(FILTER($B$2:$B$1826,$A$2:$A$1826=A524))"),1.0)</f>
        <v>1</v>
      </c>
    </row>
    <row r="525">
      <c r="A525" s="13" t="s">
        <v>1077</v>
      </c>
      <c r="B525" s="13" t="s">
        <v>639</v>
      </c>
      <c r="C525" s="14">
        <v>50.0</v>
      </c>
      <c r="D525" s="13" t="s">
        <v>60</v>
      </c>
      <c r="E525" s="13" t="s">
        <v>133</v>
      </c>
      <c r="F525" s="13" t="s">
        <v>62</v>
      </c>
      <c r="G525" s="13" t="s">
        <v>120</v>
      </c>
      <c r="H525" s="16">
        <v>45874.0</v>
      </c>
      <c r="I525" s="14">
        <v>44.0</v>
      </c>
      <c r="J525" s="13" t="s">
        <v>53</v>
      </c>
      <c r="K525" s="13" t="s">
        <v>81</v>
      </c>
      <c r="L525" s="14">
        <v>525.0</v>
      </c>
      <c r="M525" s="18" t="s">
        <v>43</v>
      </c>
      <c r="N525" s="18" t="s">
        <v>98</v>
      </c>
      <c r="O525" s="18">
        <v>15.6</v>
      </c>
      <c r="P525" s="18" t="s">
        <v>248</v>
      </c>
      <c r="Q525" s="16">
        <v>46717.0</v>
      </c>
      <c r="R525" s="16" t="s">
        <v>1078</v>
      </c>
      <c r="S525" s="13" t="s">
        <v>45</v>
      </c>
      <c r="T525" s="13" t="s">
        <v>104</v>
      </c>
      <c r="U525" s="13">
        <f t="shared" si="1"/>
        <v>1</v>
      </c>
      <c r="V525" s="13" t="str">
        <f t="shared" si="2"/>
        <v>C01259|Priya Nair|50|East|Guwahati|Basic|Email|8/5/2025|44|Quarterly|Debit Card|525|2|1|15.60|2.6|11/26/2027|19/03/2027|Churned|Analytics</v>
      </c>
      <c r="W525" s="13">
        <f t="shared" si="3"/>
        <v>1</v>
      </c>
      <c r="X525" s="13">
        <f>IFERROR(__xludf.DUMMYFUNCTION("COUNTUNIQUE(FILTER($B$2:$B$1826,$A$2:$A$1826=A525))"),1.0)</f>
        <v>1</v>
      </c>
    </row>
    <row r="526">
      <c r="A526" s="13" t="s">
        <v>1079</v>
      </c>
      <c r="B526" s="13" t="s">
        <v>239</v>
      </c>
      <c r="C526" s="14">
        <v>66.0</v>
      </c>
      <c r="D526" s="13" t="s">
        <v>69</v>
      </c>
      <c r="E526" s="13" t="s">
        <v>70</v>
      </c>
      <c r="F526" s="13" t="s">
        <v>62</v>
      </c>
      <c r="G526" s="13" t="s">
        <v>120</v>
      </c>
      <c r="H526" s="16">
        <v>45652.0</v>
      </c>
      <c r="I526" s="14">
        <v>29.0</v>
      </c>
      <c r="J526" s="13" t="s">
        <v>40</v>
      </c>
      <c r="K526" s="13" t="s">
        <v>81</v>
      </c>
      <c r="L526" s="14">
        <v>699.0</v>
      </c>
      <c r="M526" s="18" t="s">
        <v>98</v>
      </c>
      <c r="N526" s="18" t="s">
        <v>43</v>
      </c>
      <c r="O526" s="18">
        <v>8.9</v>
      </c>
      <c r="P526" s="18" t="s">
        <v>99</v>
      </c>
      <c r="Q526" s="16">
        <v>45745.0</v>
      </c>
      <c r="R526" s="16" t="s">
        <v>38</v>
      </c>
      <c r="S526" s="13" t="s">
        <v>55</v>
      </c>
      <c r="T526" s="13" t="s">
        <v>75</v>
      </c>
      <c r="U526" s="13">
        <f t="shared" si="1"/>
        <v>1</v>
      </c>
      <c r="V526" s="13" t="str">
        <f t="shared" si="2"/>
        <v>C01478|Meera Kumar|66|South|Bengaluru|Basic|Email|12/26/2024|29|Monthly|Debit Card|699|1|2|8.90|4|3/29/2025||Active|Security</v>
      </c>
      <c r="W526" s="13">
        <f t="shared" si="3"/>
        <v>1</v>
      </c>
      <c r="X526" s="13">
        <f>IFERROR(__xludf.DUMMYFUNCTION("COUNTUNIQUE(FILTER($B$2:$B$1826,$A$2:$A$1826=A526))"),1.0)</f>
        <v>1</v>
      </c>
    </row>
    <row r="527">
      <c r="A527" s="13" t="s">
        <v>1080</v>
      </c>
      <c r="B527" s="13" t="s">
        <v>448</v>
      </c>
      <c r="C527" s="14">
        <v>35.0</v>
      </c>
      <c r="D527" s="13" t="s">
        <v>69</v>
      </c>
      <c r="E527" s="13" t="s">
        <v>187</v>
      </c>
      <c r="F527" s="13" t="s">
        <v>62</v>
      </c>
      <c r="G527" s="13" t="s">
        <v>210</v>
      </c>
      <c r="H527" s="16">
        <v>44690.0</v>
      </c>
      <c r="I527" s="14">
        <v>41.0</v>
      </c>
      <c r="J527" s="13" t="s">
        <v>40</v>
      </c>
      <c r="K527" s="13" t="s">
        <v>41</v>
      </c>
      <c r="L527" s="14">
        <v>513.0</v>
      </c>
      <c r="M527" s="18" t="s">
        <v>43</v>
      </c>
      <c r="N527" s="18" t="s">
        <v>46</v>
      </c>
      <c r="O527" s="18">
        <v>21.9</v>
      </c>
      <c r="P527" s="18" t="s">
        <v>116</v>
      </c>
      <c r="Q527" s="16">
        <v>44749.0</v>
      </c>
      <c r="R527" s="16" t="s">
        <v>38</v>
      </c>
      <c r="S527" s="13" t="s">
        <v>55</v>
      </c>
      <c r="T527" s="13" t="s">
        <v>75</v>
      </c>
      <c r="U527" s="13">
        <f t="shared" si="1"/>
        <v>2</v>
      </c>
      <c r="V527" s="13" t="str">
        <f t="shared" si="2"/>
        <v>C00153|Meera Reddy|35|South|Chennai|Basic|Referral|5/9/2022|41|Monthly|Upi|513|2|0|21.90|3.4|7/7/2022||Active|Security</v>
      </c>
      <c r="W527" s="13">
        <f t="shared" si="3"/>
        <v>1</v>
      </c>
      <c r="X527" s="13">
        <f>IFERROR(__xludf.DUMMYFUNCTION("COUNTUNIQUE(FILTER($B$2:$B$1826,$A$2:$A$1826=A527))"),2.0)</f>
        <v>2</v>
      </c>
    </row>
    <row r="528">
      <c r="A528" s="13" t="s">
        <v>532</v>
      </c>
      <c r="B528" s="13" t="s">
        <v>340</v>
      </c>
      <c r="C528" s="14">
        <v>24.0</v>
      </c>
      <c r="D528" s="13" t="s">
        <v>60</v>
      </c>
      <c r="E528" s="13" t="s">
        <v>61</v>
      </c>
      <c r="F528" s="13" t="s">
        <v>37</v>
      </c>
      <c r="G528" s="13" t="s">
        <v>39</v>
      </c>
      <c r="H528" s="16">
        <v>45046.0</v>
      </c>
      <c r="I528" s="14">
        <v>5.0</v>
      </c>
      <c r="J528" s="13" t="s">
        <v>40</v>
      </c>
      <c r="K528" s="13" t="s">
        <v>41</v>
      </c>
      <c r="L528" s="14">
        <v>1448.0</v>
      </c>
      <c r="M528" s="18" t="s">
        <v>46</v>
      </c>
      <c r="N528" s="18" t="s">
        <v>98</v>
      </c>
      <c r="O528" s="18">
        <v>12.7</v>
      </c>
      <c r="P528" s="18" t="s">
        <v>368</v>
      </c>
      <c r="Q528" s="16">
        <v>45080.0</v>
      </c>
      <c r="R528" s="16" t="s">
        <v>1081</v>
      </c>
      <c r="S528" s="13" t="s">
        <v>45</v>
      </c>
      <c r="T528" s="13" t="s">
        <v>75</v>
      </c>
      <c r="U528" s="13">
        <f t="shared" si="1"/>
        <v>2</v>
      </c>
      <c r="V528" s="13" t="str">
        <f t="shared" si="2"/>
        <v>C00489|Meera Sharma|24|East|Kolkata|Standard|Instagram|4/30/2023|5|Monthly|Upi|1,448|0|1|12.70|4.9|6/3/2023|21/09/2023|Churned|Security</v>
      </c>
      <c r="W528" s="13">
        <f t="shared" si="3"/>
        <v>1</v>
      </c>
      <c r="X528" s="13">
        <f>IFERROR(__xludf.DUMMYFUNCTION("COUNTUNIQUE(FILTER($B$2:$B$1826,$A$2:$A$1826=A528))"),2.0)</f>
        <v>2</v>
      </c>
    </row>
    <row r="529">
      <c r="A529" s="13" t="s">
        <v>901</v>
      </c>
      <c r="B529" s="13" t="s">
        <v>132</v>
      </c>
      <c r="C529" s="14">
        <v>37.0</v>
      </c>
      <c r="D529" s="13" t="s">
        <v>35</v>
      </c>
      <c r="E529" s="13" t="s">
        <v>51</v>
      </c>
      <c r="F529" s="13" t="s">
        <v>62</v>
      </c>
      <c r="G529" s="13" t="s">
        <v>128</v>
      </c>
      <c r="H529" s="16">
        <v>45467.0</v>
      </c>
      <c r="I529" s="14">
        <v>4.0</v>
      </c>
      <c r="J529" s="13" t="s">
        <v>53</v>
      </c>
      <c r="K529" s="13" t="s">
        <v>65</v>
      </c>
      <c r="L529" s="14">
        <v>819.0</v>
      </c>
      <c r="M529" s="18" t="s">
        <v>46</v>
      </c>
      <c r="N529" s="18" t="s">
        <v>98</v>
      </c>
      <c r="O529" s="18">
        <v>12.6</v>
      </c>
      <c r="P529" s="18" t="s">
        <v>296</v>
      </c>
      <c r="Q529" s="16">
        <v>45503.0</v>
      </c>
      <c r="R529" s="16" t="s">
        <v>38</v>
      </c>
      <c r="S529" s="13" t="s">
        <v>55</v>
      </c>
      <c r="T529" s="13" t="s">
        <v>104</v>
      </c>
      <c r="U529" s="13">
        <f t="shared" si="1"/>
        <v>4</v>
      </c>
      <c r="V529" s="13" t="str">
        <f t="shared" si="2"/>
        <v>C00642|Arun Kumar|37|North|Jaipur|Basic|Youtube|6/24/2024|4|Quarterly|Credit Card|819|0|1|12.60|4.6|7/30/2024||Active|Analytics</v>
      </c>
      <c r="W529" s="13">
        <f t="shared" si="3"/>
        <v>1</v>
      </c>
      <c r="X529" s="13">
        <f>IFERROR(__xludf.DUMMYFUNCTION("COUNTUNIQUE(FILTER($B$2:$B$1826,$A$2:$A$1826=A529))"),4.0)</f>
        <v>4</v>
      </c>
    </row>
    <row r="530">
      <c r="A530" s="13" t="s">
        <v>1082</v>
      </c>
      <c r="B530" s="13" t="s">
        <v>340</v>
      </c>
      <c r="C530" s="14">
        <v>99.0</v>
      </c>
      <c r="D530" s="13" t="s">
        <v>85</v>
      </c>
      <c r="E530" s="13" t="s">
        <v>111</v>
      </c>
      <c r="F530" s="13" t="s">
        <v>79</v>
      </c>
      <c r="G530" s="13" t="s">
        <v>128</v>
      </c>
      <c r="H530" s="16">
        <v>45913.0</v>
      </c>
      <c r="I530" s="14">
        <v>40.0</v>
      </c>
      <c r="J530" s="13" t="s">
        <v>40</v>
      </c>
      <c r="K530" s="13" t="s">
        <v>81</v>
      </c>
      <c r="L530" s="14">
        <v>3627.0</v>
      </c>
      <c r="M530" s="18" t="s">
        <v>43</v>
      </c>
      <c r="N530" s="18" t="s">
        <v>98</v>
      </c>
      <c r="O530" s="18">
        <v>38.3</v>
      </c>
      <c r="P530" s="18" t="s">
        <v>123</v>
      </c>
      <c r="Q530" s="16">
        <v>46799.0</v>
      </c>
      <c r="R530" s="16" t="s">
        <v>38</v>
      </c>
      <c r="S530" s="13" t="s">
        <v>55</v>
      </c>
      <c r="T530" s="13" t="s">
        <v>104</v>
      </c>
      <c r="U530" s="13">
        <f t="shared" si="1"/>
        <v>4</v>
      </c>
      <c r="V530" s="13" t="str">
        <f t="shared" si="2"/>
        <v>C01265|Meera Sharma|99|West|Pune|Premium|Youtube|9/13/2025|40|Monthly|Debit Card|3,627|2|1|38.30|4.1|2/16/2028||Active|Analytics</v>
      </c>
      <c r="W530" s="13">
        <f t="shared" si="3"/>
        <v>1</v>
      </c>
      <c r="X530" s="13">
        <f>IFERROR(__xludf.DUMMYFUNCTION("COUNTUNIQUE(FILTER($B$2:$B$1826,$A$2:$A$1826=A530))"),4.0)</f>
        <v>4</v>
      </c>
    </row>
    <row r="531">
      <c r="A531" s="13" t="s">
        <v>857</v>
      </c>
      <c r="B531" s="13" t="s">
        <v>176</v>
      </c>
      <c r="C531" s="14">
        <v>41.0</v>
      </c>
      <c r="D531" s="13" t="s">
        <v>60</v>
      </c>
      <c r="E531" s="13" t="s">
        <v>97</v>
      </c>
      <c r="F531" s="13" t="s">
        <v>62</v>
      </c>
      <c r="G531" s="13" t="s">
        <v>63</v>
      </c>
      <c r="H531" s="16">
        <v>45780.0</v>
      </c>
      <c r="I531" s="14">
        <v>46.0</v>
      </c>
      <c r="J531" s="13" t="s">
        <v>53</v>
      </c>
      <c r="K531" s="13" t="s">
        <v>65</v>
      </c>
      <c r="L531" s="14">
        <v>598.0</v>
      </c>
      <c r="M531" s="18" t="s">
        <v>164</v>
      </c>
      <c r="N531" s="18" t="s">
        <v>46</v>
      </c>
      <c r="O531" s="18">
        <v>13.0</v>
      </c>
      <c r="P531" s="18" t="s">
        <v>225</v>
      </c>
      <c r="Q531" s="16">
        <v>47095.0</v>
      </c>
      <c r="R531" s="16" t="s">
        <v>38</v>
      </c>
      <c r="S531" s="13" t="s">
        <v>55</v>
      </c>
      <c r="T531" s="13" t="s">
        <v>66</v>
      </c>
      <c r="U531" s="13">
        <f t="shared" si="1"/>
        <v>2</v>
      </c>
      <c r="V531" s="13" t="str">
        <f t="shared" si="2"/>
        <v>C00930|Ravi Iyer|41|East|Bhubaneswar|Basic|Google Ads|5/3/2025|46|Quarterly|Credit Card|598|3|0|13.00|3.8|12/8/2028||Active|Automation</v>
      </c>
      <c r="W531" s="13">
        <f t="shared" si="3"/>
        <v>1</v>
      </c>
      <c r="X531" s="13">
        <f>IFERROR(__xludf.DUMMYFUNCTION("COUNTUNIQUE(FILTER($B$2:$B$1826,$A$2:$A$1826=A531))"),2.0)</f>
        <v>2</v>
      </c>
    </row>
    <row r="532">
      <c r="A532" s="13" t="s">
        <v>1083</v>
      </c>
      <c r="B532" s="13" t="s">
        <v>78</v>
      </c>
      <c r="C532" s="14">
        <v>28.0</v>
      </c>
      <c r="D532" s="13" t="s">
        <v>69</v>
      </c>
      <c r="E532" s="13" t="s">
        <v>187</v>
      </c>
      <c r="F532" s="13" t="s">
        <v>62</v>
      </c>
      <c r="G532" s="13" t="s">
        <v>63</v>
      </c>
      <c r="H532" s="16">
        <v>44685.0</v>
      </c>
      <c r="I532" s="14">
        <v>9.0</v>
      </c>
      <c r="J532" s="13" t="s">
        <v>53</v>
      </c>
      <c r="K532" s="13" t="s">
        <v>65</v>
      </c>
      <c r="L532" s="14">
        <v>722.0</v>
      </c>
      <c r="M532" s="18" t="s">
        <v>43</v>
      </c>
      <c r="N532" s="18" t="s">
        <v>46</v>
      </c>
      <c r="O532" s="18">
        <v>17.1</v>
      </c>
      <c r="P532" s="18" t="s">
        <v>263</v>
      </c>
      <c r="Q532" s="16">
        <v>44878.0</v>
      </c>
      <c r="R532" s="16" t="s">
        <v>38</v>
      </c>
      <c r="S532" s="13" t="s">
        <v>55</v>
      </c>
      <c r="T532" s="13" t="s">
        <v>66</v>
      </c>
      <c r="U532" s="13">
        <f t="shared" si="1"/>
        <v>1</v>
      </c>
      <c r="V532" s="13" t="str">
        <f t="shared" si="2"/>
        <v>C00911|Vikram Patel|28|South|Chennai|Basic|Google Ads|5/4/2022|9|Quarterly|Credit Card|722|2|0|17.10|2.9|11/13/2022||Active|Automation</v>
      </c>
      <c r="W532" s="13">
        <f t="shared" si="3"/>
        <v>1</v>
      </c>
      <c r="X532" s="13">
        <f>IFERROR(__xludf.DUMMYFUNCTION("COUNTUNIQUE(FILTER($B$2:$B$1826,$A$2:$A$1826=A532))"),1.0)</f>
        <v>1</v>
      </c>
    </row>
    <row r="533">
      <c r="A533" s="13" t="s">
        <v>1084</v>
      </c>
      <c r="B533" s="13" t="s">
        <v>202</v>
      </c>
      <c r="C533" s="14">
        <v>41.0</v>
      </c>
      <c r="D533" s="13" t="s">
        <v>60</v>
      </c>
      <c r="E533" s="13" t="s">
        <v>107</v>
      </c>
      <c r="F533" s="13" t="s">
        <v>79</v>
      </c>
      <c r="G533" s="13" t="s">
        <v>80</v>
      </c>
      <c r="H533" s="16">
        <v>45763.0</v>
      </c>
      <c r="I533" s="14">
        <v>43.0</v>
      </c>
      <c r="J533" s="13" t="s">
        <v>40</v>
      </c>
      <c r="K533" s="13" t="s">
        <v>41</v>
      </c>
      <c r="L533" s="14">
        <v>3037.0</v>
      </c>
      <c r="M533" s="18" t="s">
        <v>98</v>
      </c>
      <c r="N533" s="18" t="s">
        <v>98</v>
      </c>
      <c r="O533" s="18">
        <v>14.7</v>
      </c>
      <c r="P533" s="18" t="s">
        <v>116</v>
      </c>
      <c r="Q533" s="16">
        <v>46918.0</v>
      </c>
      <c r="R533" s="16" t="s">
        <v>38</v>
      </c>
      <c r="S533" s="13" t="s">
        <v>55</v>
      </c>
      <c r="T533" s="13" t="s">
        <v>47</v>
      </c>
      <c r="U533" s="13">
        <f t="shared" si="1"/>
        <v>1</v>
      </c>
      <c r="V533" s="13" t="str">
        <f t="shared" si="2"/>
        <v>C00703|Arun Das|41|East|Patna|Premium|Organic Search|4/16/2025|43|Monthly|Upi|3,037|1|1|14.70|3.4|6/14/2028||Active|Cloud Storage</v>
      </c>
      <c r="W533" s="13">
        <f t="shared" si="3"/>
        <v>1</v>
      </c>
      <c r="X533" s="13">
        <f>IFERROR(__xludf.DUMMYFUNCTION("COUNTUNIQUE(FILTER($B$2:$B$1826,$A$2:$A$1826=A533))"),1.0)</f>
        <v>1</v>
      </c>
    </row>
    <row r="534">
      <c r="A534" s="13" t="s">
        <v>1306</v>
      </c>
      <c r="B534" s="13" t="s">
        <v>232</v>
      </c>
      <c r="C534" s="14">
        <v>45.0</v>
      </c>
      <c r="D534" s="13" t="s">
        <v>60</v>
      </c>
      <c r="E534" s="13" t="s">
        <v>97</v>
      </c>
      <c r="F534" s="13" t="s">
        <v>37</v>
      </c>
      <c r="G534" s="13" t="s">
        <v>52</v>
      </c>
      <c r="H534" s="16">
        <v>45978.0</v>
      </c>
      <c r="I534" s="14">
        <v>30.0</v>
      </c>
      <c r="J534" s="13" t="s">
        <v>53</v>
      </c>
      <c r="K534" s="13" t="s">
        <v>41</v>
      </c>
      <c r="L534" s="14">
        <v>1591.0</v>
      </c>
      <c r="M534" s="18" t="s">
        <v>98</v>
      </c>
      <c r="N534" s="18" t="s">
        <v>46</v>
      </c>
      <c r="O534" s="18">
        <v>38.6</v>
      </c>
      <c r="P534" s="18" t="s">
        <v>99</v>
      </c>
      <c r="Q534" s="16">
        <v>46331.0</v>
      </c>
      <c r="R534" s="16" t="s">
        <v>38</v>
      </c>
      <c r="S534" s="13" t="s">
        <v>55</v>
      </c>
      <c r="T534" s="13" t="s">
        <v>104</v>
      </c>
      <c r="U534" s="13">
        <f t="shared" si="1"/>
        <v>1</v>
      </c>
      <c r="V534" s="13" t="str">
        <f t="shared" si="2"/>
        <v>C00141|Meera Iyer|45|East|Bhubaneswar|Standard|Facebook|11/17/2025|30|Quarterly|Upi|1,591|1|0|38.60|4|11/5/2026||Active|Analytics</v>
      </c>
      <c r="W534" s="13">
        <f t="shared" si="3"/>
        <v>1</v>
      </c>
      <c r="X534" s="13">
        <f>IFERROR(__xludf.DUMMYFUNCTION("COUNTUNIQUE(FILTER($B$2:$B$1826,$A$2:$A$1826=A534))"),1.0)</f>
        <v>1</v>
      </c>
    </row>
    <row r="535">
      <c r="A535" s="13" t="s">
        <v>528</v>
      </c>
      <c r="B535" s="13" t="s">
        <v>257</v>
      </c>
      <c r="C535" s="14" t="s">
        <v>38</v>
      </c>
      <c r="D535" s="13" t="s">
        <v>35</v>
      </c>
      <c r="E535" s="13" t="s">
        <v>140</v>
      </c>
      <c r="F535" s="13" t="s">
        <v>62</v>
      </c>
      <c r="G535" s="13" t="s">
        <v>63</v>
      </c>
      <c r="H535" s="16">
        <v>45870.0</v>
      </c>
      <c r="I535" s="14">
        <v>15.0</v>
      </c>
      <c r="J535" s="13" t="s">
        <v>53</v>
      </c>
      <c r="K535" s="13" t="s">
        <v>41</v>
      </c>
      <c r="L535" s="14">
        <v>737.0</v>
      </c>
      <c r="M535" s="18" t="s">
        <v>43</v>
      </c>
      <c r="N535" s="18" t="s">
        <v>46</v>
      </c>
      <c r="O535" s="18">
        <v>11.5</v>
      </c>
      <c r="P535" s="18" t="s">
        <v>456</v>
      </c>
      <c r="Q535" s="16">
        <v>46002.0</v>
      </c>
      <c r="R535" s="16" t="s">
        <v>38</v>
      </c>
      <c r="S535" s="13" t="s">
        <v>55</v>
      </c>
      <c r="T535" s="13" t="s">
        <v>75</v>
      </c>
      <c r="U535" s="13">
        <f t="shared" si="1"/>
        <v>6</v>
      </c>
      <c r="V535" s="13" t="str">
        <f t="shared" si="2"/>
        <v>C00931|Sneha Reddy||North|Lucknow|Basic|Google Ads|8/1/2025|15|Quarterly|Upi|737|2|0|11.50|2.5|12/11/2025||Active|Security</v>
      </c>
      <c r="W535" s="13">
        <f t="shared" si="3"/>
        <v>1</v>
      </c>
      <c r="X535" s="13">
        <f>IFERROR(__xludf.DUMMYFUNCTION("COUNTUNIQUE(FILTER($B$2:$B$1826,$A$2:$A$1826=A535))"),5.0)</f>
        <v>5</v>
      </c>
    </row>
    <row r="536">
      <c r="A536" s="13" t="s">
        <v>1087</v>
      </c>
      <c r="B536" s="13" t="s">
        <v>132</v>
      </c>
      <c r="C536" s="14">
        <v>31.0</v>
      </c>
      <c r="D536" s="13" t="s">
        <v>35</v>
      </c>
      <c r="E536" s="13" t="s">
        <v>161</v>
      </c>
      <c r="F536" s="13" t="s">
        <v>62</v>
      </c>
      <c r="G536" s="13" t="s">
        <v>210</v>
      </c>
      <c r="H536" s="16">
        <v>44623.0</v>
      </c>
      <c r="I536" s="14">
        <v>36.0</v>
      </c>
      <c r="J536" s="13" t="s">
        <v>40</v>
      </c>
      <c r="K536" s="13" t="s">
        <v>65</v>
      </c>
      <c r="L536" s="14">
        <v>647.0</v>
      </c>
      <c r="M536" s="18" t="s">
        <v>98</v>
      </c>
      <c r="N536" s="18" t="s">
        <v>46</v>
      </c>
      <c r="O536" s="18">
        <v>30.5</v>
      </c>
      <c r="P536" s="18" t="s">
        <v>263</v>
      </c>
      <c r="Q536" s="16">
        <v>45370.0</v>
      </c>
      <c r="R536" s="16" t="s">
        <v>38</v>
      </c>
      <c r="S536" s="13" t="s">
        <v>55</v>
      </c>
      <c r="T536" s="13" t="s">
        <v>47</v>
      </c>
      <c r="U536" s="13">
        <f t="shared" si="1"/>
        <v>3</v>
      </c>
      <c r="V536" s="13" t="str">
        <f t="shared" si="2"/>
        <v>C00378|Arun Kumar|31|North|Chandigarh|Basic|Referral|3/3/2022|36|Monthly|Credit Card|647|1|0|30.50|2.9|3/19/2024||Active|Cloud Storage</v>
      </c>
      <c r="W536" s="13">
        <f t="shared" si="3"/>
        <v>1</v>
      </c>
      <c r="X536" s="13">
        <f>IFERROR(__xludf.DUMMYFUNCTION("COUNTUNIQUE(FILTER($B$2:$B$1826,$A$2:$A$1826=A536))"),3.0)</f>
        <v>3</v>
      </c>
    </row>
    <row r="537">
      <c r="A537" s="13" t="s">
        <v>1088</v>
      </c>
      <c r="B537" s="13" t="s">
        <v>126</v>
      </c>
      <c r="C537" s="14">
        <v>43.0</v>
      </c>
      <c r="D537" s="13" t="s">
        <v>60</v>
      </c>
      <c r="E537" s="13" t="s">
        <v>97</v>
      </c>
      <c r="F537" s="13" t="s">
        <v>62</v>
      </c>
      <c r="G537" s="13" t="s">
        <v>80</v>
      </c>
      <c r="H537" s="16">
        <v>45065.0</v>
      </c>
      <c r="I537" s="14">
        <v>12.0</v>
      </c>
      <c r="J537" s="13" t="s">
        <v>64</v>
      </c>
      <c r="K537" s="13" t="s">
        <v>41</v>
      </c>
      <c r="L537" s="14">
        <v>589.0</v>
      </c>
      <c r="M537" s="18" t="s">
        <v>98</v>
      </c>
      <c r="N537" s="18" t="s">
        <v>164</v>
      </c>
      <c r="O537" s="18">
        <v>10.0</v>
      </c>
      <c r="P537" s="18" t="s">
        <v>164</v>
      </c>
      <c r="Q537" s="16">
        <v>45126.0</v>
      </c>
      <c r="R537" s="16" t="s">
        <v>38</v>
      </c>
      <c r="S537" s="13" t="s">
        <v>55</v>
      </c>
      <c r="T537" s="13" t="s">
        <v>72</v>
      </c>
      <c r="U537" s="13">
        <f t="shared" si="1"/>
        <v>2</v>
      </c>
      <c r="V537" s="13" t="str">
        <f t="shared" si="2"/>
        <v>C00449|Arun Patel|43|East|Bhubaneswar|Basic|Organic Search|5/19/2023|12|Annual|Upi|589|1|3|10.00|3|7/19/2023||Active|Collaboration</v>
      </c>
      <c r="W537" s="13">
        <f t="shared" si="3"/>
        <v>1</v>
      </c>
      <c r="X537" s="13">
        <f>IFERROR(__xludf.DUMMYFUNCTION("COUNTUNIQUE(FILTER($B$2:$B$1826,$A$2:$A$1826=A537))"),2.0)</f>
        <v>2</v>
      </c>
    </row>
    <row r="538">
      <c r="A538" s="13" t="s">
        <v>1090</v>
      </c>
      <c r="B538" s="13" t="s">
        <v>325</v>
      </c>
      <c r="C538" s="14">
        <v>28.0</v>
      </c>
      <c r="D538" s="13" t="s">
        <v>60</v>
      </c>
      <c r="E538" s="13" t="s">
        <v>133</v>
      </c>
      <c r="F538" s="13" t="s">
        <v>62</v>
      </c>
      <c r="G538" s="13" t="s">
        <v>128</v>
      </c>
      <c r="H538" s="16">
        <v>45324.0</v>
      </c>
      <c r="I538" s="14">
        <v>43.0</v>
      </c>
      <c r="J538" s="13" t="s">
        <v>40</v>
      </c>
      <c r="K538" s="13" t="s">
        <v>41</v>
      </c>
      <c r="L538" s="14">
        <v>768.0</v>
      </c>
      <c r="M538" s="18" t="s">
        <v>164</v>
      </c>
      <c r="N538" s="18" t="s">
        <v>46</v>
      </c>
      <c r="O538" s="18">
        <v>9.2</v>
      </c>
      <c r="P538" s="18" t="s">
        <v>116</v>
      </c>
      <c r="Q538" s="16">
        <v>46222.0</v>
      </c>
      <c r="R538" s="16" t="s">
        <v>38</v>
      </c>
      <c r="S538" s="13" t="s">
        <v>55</v>
      </c>
      <c r="T538" s="13" t="s">
        <v>47</v>
      </c>
      <c r="U538" s="13">
        <f t="shared" si="1"/>
        <v>2</v>
      </c>
      <c r="V538" s="13" t="str">
        <f t="shared" si="2"/>
        <v>C00431|Priya Sharma|28|East|Guwahati|Basic|Youtube|2/2/2024|43|Monthly|Upi|768|3|0|9.20|3.4|7/19/2026||Active|Cloud Storage</v>
      </c>
      <c r="W538" s="13">
        <f t="shared" si="3"/>
        <v>1</v>
      </c>
      <c r="X538" s="13">
        <f>IFERROR(__xludf.DUMMYFUNCTION("COUNTUNIQUE(FILTER($B$2:$B$1826,$A$2:$A$1826=A538))"),2.0)</f>
        <v>2</v>
      </c>
    </row>
    <row r="539">
      <c r="A539" s="13" t="s">
        <v>1096</v>
      </c>
      <c r="B539" s="13" t="s">
        <v>176</v>
      </c>
      <c r="C539" s="14">
        <v>28.0</v>
      </c>
      <c r="D539" s="13" t="s">
        <v>85</v>
      </c>
      <c r="E539" s="13" t="s">
        <v>92</v>
      </c>
      <c r="F539" s="13" t="s">
        <v>62</v>
      </c>
      <c r="G539" s="13" t="s">
        <v>120</v>
      </c>
      <c r="H539" s="16">
        <v>45864.0</v>
      </c>
      <c r="I539" s="14">
        <v>16.0</v>
      </c>
      <c r="J539" s="13" t="s">
        <v>53</v>
      </c>
      <c r="K539" s="13" t="s">
        <v>41</v>
      </c>
      <c r="L539" s="14">
        <v>889.0</v>
      </c>
      <c r="M539" s="18" t="s">
        <v>164</v>
      </c>
      <c r="N539" s="18" t="s">
        <v>98</v>
      </c>
      <c r="O539" s="18">
        <v>22.8</v>
      </c>
      <c r="P539" s="18" t="s">
        <v>158</v>
      </c>
      <c r="Q539" s="16">
        <v>45970.0</v>
      </c>
      <c r="R539" s="16">
        <v>46153.0</v>
      </c>
      <c r="S539" s="13" t="s">
        <v>45</v>
      </c>
      <c r="T539" s="13" t="s">
        <v>104</v>
      </c>
      <c r="U539" s="13">
        <f t="shared" si="1"/>
        <v>2</v>
      </c>
      <c r="V539" s="13" t="str">
        <f t="shared" si="2"/>
        <v>C01091|Ravi Iyer|28|West|Ahmedabad|Basic|Email|7/26/2025|16|Quarterly|Upi|889|3|1|22.80|4.7|11/9/2025|5/11/2026|Churned|Analytics</v>
      </c>
      <c r="W539" s="13">
        <f t="shared" si="3"/>
        <v>1</v>
      </c>
      <c r="X539" s="13">
        <f>IFERROR(__xludf.DUMMYFUNCTION("COUNTUNIQUE(FILTER($B$2:$B$1826,$A$2:$A$1826=A539))"),2.0)</f>
        <v>2</v>
      </c>
    </row>
    <row r="540">
      <c r="A540" s="13" t="s">
        <v>1102</v>
      </c>
      <c r="B540" s="13" t="s">
        <v>476</v>
      </c>
      <c r="C540" s="14">
        <v>67.0</v>
      </c>
      <c r="D540" s="13" t="s">
        <v>60</v>
      </c>
      <c r="E540" s="13" t="s">
        <v>97</v>
      </c>
      <c r="F540" s="13" t="s">
        <v>79</v>
      </c>
      <c r="G540" s="13" t="s">
        <v>80</v>
      </c>
      <c r="H540" s="16">
        <v>45563.0</v>
      </c>
      <c r="I540" s="14">
        <v>14.0</v>
      </c>
      <c r="J540" s="13" t="s">
        <v>64</v>
      </c>
      <c r="K540" s="13" t="s">
        <v>81</v>
      </c>
      <c r="L540" s="14">
        <v>3258.0</v>
      </c>
      <c r="M540" s="18" t="s">
        <v>43</v>
      </c>
      <c r="N540" s="18" t="s">
        <v>164</v>
      </c>
      <c r="O540" s="18">
        <v>23.3</v>
      </c>
      <c r="P540" s="18" t="s">
        <v>164</v>
      </c>
      <c r="Q540" s="16">
        <v>45606.0</v>
      </c>
      <c r="R540" s="16" t="s">
        <v>1105</v>
      </c>
      <c r="S540" s="13" t="s">
        <v>45</v>
      </c>
      <c r="T540" s="13" t="s">
        <v>72</v>
      </c>
      <c r="U540" s="13">
        <f t="shared" si="1"/>
        <v>1</v>
      </c>
      <c r="V540" s="13" t="str">
        <f t="shared" si="2"/>
        <v>C01290|Ravi Das|67|East|Bhubaneswar|Premium|Organic Search|9/28/2024|14|Annual|Debit Card|3,258|2|3|23.30|3|11/10/2024|21/01/2025|Churned|Collaboration</v>
      </c>
      <c r="W540" s="13">
        <f t="shared" si="3"/>
        <v>1</v>
      </c>
      <c r="X540" s="13">
        <f>IFERROR(__xludf.DUMMYFUNCTION("COUNTUNIQUE(FILTER($B$2:$B$1826,$A$2:$A$1826=A540))"),1.0)</f>
        <v>1</v>
      </c>
    </row>
    <row r="541">
      <c r="A541" s="13" t="s">
        <v>1109</v>
      </c>
      <c r="B541" s="13" t="s">
        <v>308</v>
      </c>
      <c r="C541" s="14">
        <v>32.0</v>
      </c>
      <c r="D541" s="13" t="s">
        <v>85</v>
      </c>
      <c r="E541" s="13" t="s">
        <v>111</v>
      </c>
      <c r="F541" s="13" t="s">
        <v>62</v>
      </c>
      <c r="G541" s="13" t="s">
        <v>210</v>
      </c>
      <c r="H541" s="16">
        <v>45638.0</v>
      </c>
      <c r="I541" s="14">
        <v>45.0</v>
      </c>
      <c r="J541" s="13" t="s">
        <v>40</v>
      </c>
      <c r="K541" s="13" t="s">
        <v>41</v>
      </c>
      <c r="L541" s="14">
        <v>752.0</v>
      </c>
      <c r="M541" s="18" t="s">
        <v>164</v>
      </c>
      <c r="N541" s="18" t="s">
        <v>46</v>
      </c>
      <c r="O541" s="18">
        <v>10.4</v>
      </c>
      <c r="P541" s="18" t="s">
        <v>310</v>
      </c>
      <c r="Q541" s="16">
        <v>46838.0</v>
      </c>
      <c r="R541" s="16" t="s">
        <v>38</v>
      </c>
      <c r="S541" s="13" t="s">
        <v>55</v>
      </c>
      <c r="T541" s="13" t="s">
        <v>75</v>
      </c>
      <c r="U541" s="13">
        <f t="shared" si="1"/>
        <v>1</v>
      </c>
      <c r="V541" s="13" t="str">
        <f t="shared" si="2"/>
        <v>C01022|Karan Kumar|32|West|Pune|Basic|Referral|12/12/2024|45|Monthly|Upi|752|3|0|10.40|3.1|3/26/2028||Active|Security</v>
      </c>
      <c r="W541" s="13">
        <f t="shared" si="3"/>
        <v>1</v>
      </c>
      <c r="X541" s="13">
        <f>IFERROR(__xludf.DUMMYFUNCTION("COUNTUNIQUE(FILTER($B$2:$B$1826,$A$2:$A$1826=A541))"),1.0)</f>
        <v>1</v>
      </c>
    </row>
    <row r="542">
      <c r="A542" s="13" t="s">
        <v>1112</v>
      </c>
      <c r="B542" s="13" t="s">
        <v>736</v>
      </c>
      <c r="C542" s="14">
        <v>47.0</v>
      </c>
      <c r="D542" s="13" t="s">
        <v>85</v>
      </c>
      <c r="E542" s="13" t="s">
        <v>111</v>
      </c>
      <c r="F542" s="13" t="s">
        <v>62</v>
      </c>
      <c r="G542" s="13" t="s">
        <v>120</v>
      </c>
      <c r="H542" s="16">
        <v>45732.0</v>
      </c>
      <c r="I542" s="14">
        <v>11.0</v>
      </c>
      <c r="J542" s="13" t="s">
        <v>64</v>
      </c>
      <c r="K542" s="13" t="s">
        <v>65</v>
      </c>
      <c r="L542" s="14">
        <v>690.0</v>
      </c>
      <c r="M542" s="18" t="s">
        <v>99</v>
      </c>
      <c r="N542" s="18" t="s">
        <v>98</v>
      </c>
      <c r="O542" s="18">
        <v>14.4</v>
      </c>
      <c r="P542" s="18" t="s">
        <v>150</v>
      </c>
      <c r="Q542" s="16">
        <v>45785.0</v>
      </c>
      <c r="R542" s="16" t="s">
        <v>1113</v>
      </c>
      <c r="S542" s="13" t="s">
        <v>45</v>
      </c>
      <c r="T542" s="13" t="s">
        <v>47</v>
      </c>
      <c r="U542" s="13">
        <f t="shared" si="1"/>
        <v>1</v>
      </c>
      <c r="V542" s="13" t="str">
        <f t="shared" si="2"/>
        <v>C00481|Priya Iyer|47|West|Pune|Basic|Email|3/16/2025|11|Annual|Credit Card|690|4|1|14.40|4.5|5/8/2025|22/06/2025|Churned|Cloud Storage</v>
      </c>
      <c r="W542" s="13">
        <f t="shared" si="3"/>
        <v>1</v>
      </c>
      <c r="X542" s="13">
        <f>IFERROR(__xludf.DUMMYFUNCTION("COUNTUNIQUE(FILTER($B$2:$B$1826,$A$2:$A$1826=A542))"),1.0)</f>
        <v>1</v>
      </c>
    </row>
    <row r="543">
      <c r="A543" s="13" t="s">
        <v>1114</v>
      </c>
      <c r="B543" s="13" t="s">
        <v>224</v>
      </c>
      <c r="C543" s="14">
        <v>43.0</v>
      </c>
      <c r="D543" s="13" t="s">
        <v>35</v>
      </c>
      <c r="E543" s="13" t="s">
        <v>140</v>
      </c>
      <c r="F543" s="13" t="s">
        <v>37</v>
      </c>
      <c r="G543" s="13" t="s">
        <v>210</v>
      </c>
      <c r="H543" s="16">
        <v>45434.0</v>
      </c>
      <c r="I543" s="14">
        <v>29.0</v>
      </c>
      <c r="J543" s="13" t="s">
        <v>40</v>
      </c>
      <c r="K543" s="13" t="s">
        <v>41</v>
      </c>
      <c r="L543" s="14">
        <v>1375.0</v>
      </c>
      <c r="M543" s="18" t="s">
        <v>43</v>
      </c>
      <c r="N543" s="18" t="s">
        <v>98</v>
      </c>
      <c r="O543" s="18">
        <v>22.1</v>
      </c>
      <c r="P543" s="18" t="s">
        <v>275</v>
      </c>
      <c r="Q543" s="16">
        <v>45953.0</v>
      </c>
      <c r="R543" s="16" t="s">
        <v>38</v>
      </c>
      <c r="S543" s="13" t="s">
        <v>55</v>
      </c>
      <c r="T543" s="13" t="s">
        <v>75</v>
      </c>
      <c r="U543" s="13">
        <f t="shared" si="1"/>
        <v>1</v>
      </c>
      <c r="V543" s="13" t="str">
        <f t="shared" si="2"/>
        <v>C01196|Anita Iyer|43|North|Lucknow|Standard|Referral|5/22/2024|29|Monthly|Upi|1,375|2|1|22.10|4.3|10/23/2025||Active|Security</v>
      </c>
      <c r="W543" s="13">
        <f t="shared" si="3"/>
        <v>1</v>
      </c>
      <c r="X543" s="13">
        <f>IFERROR(__xludf.DUMMYFUNCTION("COUNTUNIQUE(FILTER($B$2:$B$1826,$A$2:$A$1826=A543))"),1.0)</f>
        <v>1</v>
      </c>
    </row>
    <row r="544">
      <c r="A544" s="13" t="s">
        <v>1115</v>
      </c>
      <c r="B544" s="13" t="s">
        <v>215</v>
      </c>
      <c r="C544" s="14">
        <v>26.0</v>
      </c>
      <c r="D544" s="13" t="s">
        <v>60</v>
      </c>
      <c r="E544" s="13" t="s">
        <v>61</v>
      </c>
      <c r="F544" s="13" t="s">
        <v>62</v>
      </c>
      <c r="G544" s="13" t="s">
        <v>63</v>
      </c>
      <c r="H544" s="16">
        <v>45165.0</v>
      </c>
      <c r="I544" s="14">
        <v>33.0</v>
      </c>
      <c r="J544" s="13" t="s">
        <v>40</v>
      </c>
      <c r="K544" s="13" t="s">
        <v>65</v>
      </c>
      <c r="L544" s="14">
        <v>828.0</v>
      </c>
      <c r="M544" s="18" t="s">
        <v>46</v>
      </c>
      <c r="N544" s="18" t="s">
        <v>98</v>
      </c>
      <c r="O544" s="18">
        <v>26.6</v>
      </c>
      <c r="P544" s="18" t="s">
        <v>99</v>
      </c>
      <c r="Q544" s="16">
        <v>45458.0</v>
      </c>
      <c r="R544" s="16" t="s">
        <v>38</v>
      </c>
      <c r="S544" s="13" t="s">
        <v>55</v>
      </c>
      <c r="T544" s="13" t="s">
        <v>104</v>
      </c>
      <c r="U544" s="13">
        <f t="shared" si="1"/>
        <v>1</v>
      </c>
      <c r="V544" s="13" t="str">
        <f t="shared" si="2"/>
        <v>C00479|Neha Sharma|26|East|Kolkata|Basic|Google Ads|8/27/2023|33|Monthly|Credit Card|828|0|1|26.60|4|6/15/2024||Active|Analytics</v>
      </c>
      <c r="W544" s="13">
        <f t="shared" si="3"/>
        <v>1</v>
      </c>
      <c r="X544" s="13">
        <f>IFERROR(__xludf.DUMMYFUNCTION("COUNTUNIQUE(FILTER($B$2:$B$1826,$A$2:$A$1826=A544))"),1.0)</f>
        <v>1</v>
      </c>
    </row>
    <row r="545">
      <c r="A545" s="13" t="s">
        <v>1116</v>
      </c>
      <c r="B545" s="13" t="s">
        <v>605</v>
      </c>
      <c r="C545" s="14">
        <v>67.0</v>
      </c>
      <c r="D545" s="13" t="s">
        <v>69</v>
      </c>
      <c r="E545" s="13" t="s">
        <v>177</v>
      </c>
      <c r="F545" s="13" t="s">
        <v>62</v>
      </c>
      <c r="G545" s="13" t="s">
        <v>210</v>
      </c>
      <c r="H545" s="16">
        <v>45074.0</v>
      </c>
      <c r="I545" s="14">
        <v>20.0</v>
      </c>
      <c r="J545" s="13" t="s">
        <v>64</v>
      </c>
      <c r="K545" s="13" t="s">
        <v>81</v>
      </c>
      <c r="L545" s="14">
        <v>892.0</v>
      </c>
      <c r="M545" s="18" t="s">
        <v>43</v>
      </c>
      <c r="N545" s="18" t="s">
        <v>46</v>
      </c>
      <c r="O545" s="18">
        <v>24.2</v>
      </c>
      <c r="P545" s="18" t="s">
        <v>203</v>
      </c>
      <c r="Q545" s="16">
        <v>45365.0</v>
      </c>
      <c r="R545" s="16">
        <v>45505.0</v>
      </c>
      <c r="S545" s="13" t="s">
        <v>45</v>
      </c>
      <c r="T545" s="13" t="s">
        <v>66</v>
      </c>
      <c r="U545" s="13">
        <f t="shared" si="1"/>
        <v>2</v>
      </c>
      <c r="V545" s="13" t="str">
        <f t="shared" si="2"/>
        <v>C01119|Meera Patel|67|South|Hyderabad|Basic|Referral|5/28/2023|20|Annual|Debit Card|892|2|0|24.20|3.7|3/14/2024|8/1/2024|Churned|Automation</v>
      </c>
      <c r="W545" s="13">
        <f t="shared" si="3"/>
        <v>1</v>
      </c>
      <c r="X545" s="13">
        <f>IFERROR(__xludf.DUMMYFUNCTION("COUNTUNIQUE(FILTER($B$2:$B$1826,$A$2:$A$1826=A545))"),2.0)</f>
        <v>2</v>
      </c>
    </row>
    <row r="546">
      <c r="A546" s="13" t="s">
        <v>1118</v>
      </c>
      <c r="B546" s="13" t="s">
        <v>145</v>
      </c>
      <c r="C546" s="14">
        <v>44.0</v>
      </c>
      <c r="D546" s="13" t="s">
        <v>35</v>
      </c>
      <c r="E546" s="13" t="s">
        <v>161</v>
      </c>
      <c r="F546" s="13" t="s">
        <v>62</v>
      </c>
      <c r="G546" s="13" t="s">
        <v>210</v>
      </c>
      <c r="H546" s="16">
        <v>45389.0</v>
      </c>
      <c r="I546" s="14">
        <v>26.0</v>
      </c>
      <c r="J546" s="13" t="s">
        <v>40</v>
      </c>
      <c r="K546" s="13" t="s">
        <v>41</v>
      </c>
      <c r="L546" s="14">
        <v>886.0</v>
      </c>
      <c r="M546" s="18" t="s">
        <v>98</v>
      </c>
      <c r="N546" s="18" t="s">
        <v>46</v>
      </c>
      <c r="O546" s="18">
        <v>9.4</v>
      </c>
      <c r="P546" s="18" t="s">
        <v>173</v>
      </c>
      <c r="Q546" s="16">
        <v>45882.0</v>
      </c>
      <c r="R546" s="16">
        <v>46206.0</v>
      </c>
      <c r="S546" s="13" t="s">
        <v>45</v>
      </c>
      <c r="T546" s="13" t="s">
        <v>47</v>
      </c>
      <c r="U546" s="13">
        <f t="shared" si="1"/>
        <v>1</v>
      </c>
      <c r="V546" s="13" t="str">
        <f t="shared" si="2"/>
        <v>C00535|Ravi Patel|44|North|Chandigarh|Basic|Referral|4/7/2024|26|Monthly|Upi|886|1|0|9.40|5|8/13/2025|7/3/2026|Churned|Cloud Storage</v>
      </c>
      <c r="W546" s="13">
        <f t="shared" si="3"/>
        <v>1</v>
      </c>
      <c r="X546" s="13">
        <f>IFERROR(__xludf.DUMMYFUNCTION("COUNTUNIQUE(FILTER($B$2:$B$1826,$A$2:$A$1826=A546))"),1.0)</f>
        <v>1</v>
      </c>
    </row>
    <row r="547">
      <c r="A547" s="13" t="s">
        <v>695</v>
      </c>
      <c r="B547" s="13" t="s">
        <v>801</v>
      </c>
      <c r="C547" s="14">
        <v>47.0</v>
      </c>
      <c r="D547" s="13" t="s">
        <v>69</v>
      </c>
      <c r="E547" s="13" t="s">
        <v>119</v>
      </c>
      <c r="F547" s="13" t="s">
        <v>37</v>
      </c>
      <c r="G547" s="13" t="s">
        <v>120</v>
      </c>
      <c r="H547" s="16">
        <v>45259.0</v>
      </c>
      <c r="I547" s="14">
        <v>6.0</v>
      </c>
      <c r="J547" s="13" t="s">
        <v>53</v>
      </c>
      <c r="K547" s="13" t="s">
        <v>81</v>
      </c>
      <c r="L547" s="14">
        <v>1438.0</v>
      </c>
      <c r="M547" s="18" t="s">
        <v>46</v>
      </c>
      <c r="N547" s="18" t="s">
        <v>43</v>
      </c>
      <c r="O547" s="18">
        <v>29.8</v>
      </c>
      <c r="P547" s="18" t="s">
        <v>225</v>
      </c>
      <c r="Q547" s="16">
        <v>45447.0</v>
      </c>
      <c r="R547" s="16" t="s">
        <v>38</v>
      </c>
      <c r="S547" s="13" t="s">
        <v>55</v>
      </c>
      <c r="T547" s="13" t="s">
        <v>104</v>
      </c>
      <c r="U547" s="13">
        <f t="shared" si="1"/>
        <v>6</v>
      </c>
      <c r="V547" s="13" t="str">
        <f t="shared" si="2"/>
        <v>C00972|Karan Singh|47|South|Kochi|Standard|Email|11/29/2023|6|Quarterly|Debit Card|1,438|0|2|29.80|3.8|6/4/2024||Active|Analytics</v>
      </c>
      <c r="W547" s="13">
        <f t="shared" si="3"/>
        <v>1</v>
      </c>
      <c r="X547" s="13">
        <f>IFERROR(__xludf.DUMMYFUNCTION("COUNTUNIQUE(FILTER($B$2:$B$1826,$A$2:$A$1826=A547))"),6.0)</f>
        <v>6</v>
      </c>
    </row>
    <row r="548">
      <c r="A548" s="13" t="s">
        <v>1121</v>
      </c>
      <c r="B548" s="13" t="s">
        <v>222</v>
      </c>
      <c r="C548" s="14">
        <v>39.0</v>
      </c>
      <c r="D548" s="13" t="s">
        <v>69</v>
      </c>
      <c r="E548" s="13" t="s">
        <v>187</v>
      </c>
      <c r="F548" s="13" t="s">
        <v>62</v>
      </c>
      <c r="G548" s="13" t="s">
        <v>52</v>
      </c>
      <c r="H548" s="16">
        <v>44581.0</v>
      </c>
      <c r="I548" s="14">
        <v>32.0</v>
      </c>
      <c r="J548" s="13" t="s">
        <v>64</v>
      </c>
      <c r="K548" s="13" t="s">
        <v>41</v>
      </c>
      <c r="L548" s="14">
        <v>680.0</v>
      </c>
      <c r="M548" s="18" t="s">
        <v>46</v>
      </c>
      <c r="N548" s="18" t="s">
        <v>98</v>
      </c>
      <c r="O548" s="18">
        <v>11.8</v>
      </c>
      <c r="P548" s="18" t="s">
        <v>203</v>
      </c>
      <c r="Q548" s="16">
        <v>45020.0</v>
      </c>
      <c r="R548" s="16" t="s">
        <v>1122</v>
      </c>
      <c r="S548" s="13" t="s">
        <v>45</v>
      </c>
      <c r="T548" s="13" t="s">
        <v>66</v>
      </c>
      <c r="U548" s="13">
        <f t="shared" si="1"/>
        <v>3</v>
      </c>
      <c r="V548" s="13" t="str">
        <f t="shared" si="2"/>
        <v>C00768|Karan Iyer|39|South|Chennai|Basic|Facebook|1/20/2022|32|Annual|Upi|680|0|1|11.80|3.7|4/4/2023|30/04/2023|Churned|Automation</v>
      </c>
      <c r="W548" s="13">
        <f t="shared" si="3"/>
        <v>1</v>
      </c>
      <c r="X548" s="13">
        <f>IFERROR(__xludf.DUMMYFUNCTION("COUNTUNIQUE(FILTER($B$2:$B$1826,$A$2:$A$1826=A548))"),3.0)</f>
        <v>3</v>
      </c>
    </row>
    <row r="549">
      <c r="A549" s="13" t="s">
        <v>1123</v>
      </c>
      <c r="B549" s="13" t="s">
        <v>333</v>
      </c>
      <c r="C549" s="14">
        <v>23.0</v>
      </c>
      <c r="D549" s="13" t="s">
        <v>69</v>
      </c>
      <c r="E549" s="13" t="s">
        <v>187</v>
      </c>
      <c r="F549" s="13" t="s">
        <v>79</v>
      </c>
      <c r="G549" s="13" t="s">
        <v>210</v>
      </c>
      <c r="H549" s="16">
        <v>45725.0</v>
      </c>
      <c r="I549" s="14">
        <v>41.0</v>
      </c>
      <c r="J549" s="13" t="s">
        <v>64</v>
      </c>
      <c r="K549" s="13" t="s">
        <v>65</v>
      </c>
      <c r="L549" s="14">
        <v>3774.0</v>
      </c>
      <c r="M549" s="18" t="s">
        <v>98</v>
      </c>
      <c r="N549" s="18" t="s">
        <v>46</v>
      </c>
      <c r="O549" s="18">
        <v>36.6</v>
      </c>
      <c r="P549" s="18" t="s">
        <v>76</v>
      </c>
      <c r="Q549" s="16">
        <v>46535.0</v>
      </c>
      <c r="R549" s="16" t="s">
        <v>1124</v>
      </c>
      <c r="S549" s="13" t="s">
        <v>45</v>
      </c>
      <c r="T549" s="13" t="s">
        <v>47</v>
      </c>
      <c r="U549" s="13">
        <f t="shared" si="1"/>
        <v>2</v>
      </c>
      <c r="V549" s="13" t="str">
        <f t="shared" si="2"/>
        <v>C00066|Neha Das|23|South|Chennai|Premium|Referral|3/9/2025|41|Annual|Credit Card|3,774|1|0|36.60|4.4|5/28/2027|28/05/2027|Churned|Cloud Storage</v>
      </c>
      <c r="W549" s="13">
        <f t="shared" si="3"/>
        <v>1</v>
      </c>
      <c r="X549" s="13">
        <f>IFERROR(__xludf.DUMMYFUNCTION("COUNTUNIQUE(FILTER($B$2:$B$1826,$A$2:$A$1826=A549))"),2.0)</f>
        <v>2</v>
      </c>
    </row>
    <row r="550">
      <c r="A550" s="13" t="s">
        <v>1126</v>
      </c>
      <c r="B550" s="13" t="s">
        <v>345</v>
      </c>
      <c r="C550" s="14">
        <v>20.0</v>
      </c>
      <c r="D550" s="13" t="s">
        <v>35</v>
      </c>
      <c r="E550" s="13" t="s">
        <v>161</v>
      </c>
      <c r="F550" s="13" t="s">
        <v>37</v>
      </c>
      <c r="G550" s="13" t="s">
        <v>120</v>
      </c>
      <c r="H550" s="16">
        <v>45870.0</v>
      </c>
      <c r="I550" s="14">
        <v>20.0</v>
      </c>
      <c r="J550" s="13" t="s">
        <v>40</v>
      </c>
      <c r="K550" s="13" t="s">
        <v>41</v>
      </c>
      <c r="L550" s="14">
        <v>1690.0</v>
      </c>
      <c r="M550" s="18" t="s">
        <v>173</v>
      </c>
      <c r="N550" s="18" t="s">
        <v>46</v>
      </c>
      <c r="O550" s="18">
        <v>43.2</v>
      </c>
      <c r="P550" s="18" t="s">
        <v>130</v>
      </c>
      <c r="Q550" s="16">
        <v>46061.0</v>
      </c>
      <c r="R550" s="16" t="s">
        <v>38</v>
      </c>
      <c r="S550" s="13" t="s">
        <v>55</v>
      </c>
      <c r="T550" s="13" t="s">
        <v>104</v>
      </c>
      <c r="U550" s="13">
        <f t="shared" si="1"/>
        <v>2</v>
      </c>
      <c r="V550" s="13" t="str">
        <f t="shared" si="2"/>
        <v>C00973|Arun Nair|20|North|Chandigarh|Standard|Email|8/1/2025|20|Monthly|Upi|1,690|5|0|43.20|3.9|2/8/2026||Active|Analytics</v>
      </c>
      <c r="W550" s="13">
        <f t="shared" si="3"/>
        <v>1</v>
      </c>
      <c r="X550" s="13">
        <f>IFERROR(__xludf.DUMMYFUNCTION("COUNTUNIQUE(FILTER($B$2:$B$1826,$A$2:$A$1826=A550))"),2.0)</f>
        <v>2</v>
      </c>
    </row>
    <row r="551">
      <c r="A551" s="13" t="s">
        <v>940</v>
      </c>
      <c r="B551" s="13" t="s">
        <v>633</v>
      </c>
      <c r="C551" s="14">
        <v>44.0</v>
      </c>
      <c r="D551" s="13" t="s">
        <v>60</v>
      </c>
      <c r="E551" s="13" t="s">
        <v>97</v>
      </c>
      <c r="F551" s="13" t="s">
        <v>62</v>
      </c>
      <c r="G551" s="13" t="s">
        <v>52</v>
      </c>
      <c r="H551" s="16">
        <v>45635.0</v>
      </c>
      <c r="I551" s="14">
        <v>5.0</v>
      </c>
      <c r="J551" s="13" t="s">
        <v>40</v>
      </c>
      <c r="K551" s="13" t="s">
        <v>41</v>
      </c>
      <c r="L551" s="14">
        <v>687.0</v>
      </c>
      <c r="M551" s="18" t="s">
        <v>164</v>
      </c>
      <c r="N551" s="18" t="s">
        <v>98</v>
      </c>
      <c r="O551" s="18">
        <v>11.0</v>
      </c>
      <c r="P551" s="18" t="s">
        <v>310</v>
      </c>
      <c r="Q551" s="16">
        <v>45688.0</v>
      </c>
      <c r="R551" s="16" t="s">
        <v>38</v>
      </c>
      <c r="S551" s="13" t="s">
        <v>55</v>
      </c>
      <c r="T551" s="13" t="s">
        <v>47</v>
      </c>
      <c r="U551" s="13">
        <f t="shared" si="1"/>
        <v>3</v>
      </c>
      <c r="V551" s="13" t="str">
        <f t="shared" si="2"/>
        <v>C00791|Anita Das|44|East|Bhubaneswar|Basic|Facebook|12/9/2024|5|Monthly|Upi|687|3|1|11.00|3.1|1/31/2025||Active|Cloud Storage</v>
      </c>
      <c r="W551" s="13">
        <f t="shared" si="3"/>
        <v>1</v>
      </c>
      <c r="X551" s="13">
        <f>IFERROR(__xludf.DUMMYFUNCTION("COUNTUNIQUE(FILTER($B$2:$B$1826,$A$2:$A$1826=A551))"),3.0)</f>
        <v>3</v>
      </c>
    </row>
    <row r="552">
      <c r="A552" s="13" t="s">
        <v>849</v>
      </c>
      <c r="B552" s="13" t="s">
        <v>232</v>
      </c>
      <c r="C552" s="14">
        <v>56.0</v>
      </c>
      <c r="D552" s="13" t="s">
        <v>85</v>
      </c>
      <c r="E552" s="13" t="s">
        <v>87</v>
      </c>
      <c r="F552" s="13" t="s">
        <v>37</v>
      </c>
      <c r="G552" s="13" t="s">
        <v>120</v>
      </c>
      <c r="H552" s="16">
        <v>44984.0</v>
      </c>
      <c r="I552" s="14">
        <v>9.0</v>
      </c>
      <c r="J552" s="13" t="s">
        <v>40</v>
      </c>
      <c r="K552" s="13" t="s">
        <v>81</v>
      </c>
      <c r="L552" s="14">
        <v>1441.0</v>
      </c>
      <c r="M552" s="18" t="s">
        <v>98</v>
      </c>
      <c r="N552" s="18" t="s">
        <v>46</v>
      </c>
      <c r="O552" s="18">
        <v>33.3</v>
      </c>
      <c r="P552" s="18" t="s">
        <v>173</v>
      </c>
      <c r="Q552" s="16">
        <v>45237.0</v>
      </c>
      <c r="R552" s="16" t="s">
        <v>1127</v>
      </c>
      <c r="S552" s="13" t="s">
        <v>45</v>
      </c>
      <c r="T552" s="13" t="s">
        <v>75</v>
      </c>
      <c r="U552" s="13">
        <f t="shared" si="1"/>
        <v>3</v>
      </c>
      <c r="V552" s="13" t="str">
        <f t="shared" si="2"/>
        <v>C01099|Meera Iyer|56|West|Surat|Standard|Email|2/27/2023|9|Monthly|Debit Card|1,441|1|0|33.30|5|11/7/2023|18/06/2023|Churned|Security</v>
      </c>
      <c r="W552" s="13">
        <f t="shared" si="3"/>
        <v>1</v>
      </c>
      <c r="X552" s="13">
        <f>IFERROR(__xludf.DUMMYFUNCTION("COUNTUNIQUE(FILTER($B$2:$B$1826,$A$2:$A$1826=A552))"),3.0)</f>
        <v>3</v>
      </c>
    </row>
    <row r="553">
      <c r="A553" s="13" t="s">
        <v>1128</v>
      </c>
      <c r="B553" s="13" t="s">
        <v>110</v>
      </c>
      <c r="C553" s="14">
        <v>48.0</v>
      </c>
      <c r="D553" s="13" t="s">
        <v>69</v>
      </c>
      <c r="E553" s="13" t="s">
        <v>70</v>
      </c>
      <c r="F553" s="13" t="s">
        <v>79</v>
      </c>
      <c r="G553" s="13" t="s">
        <v>120</v>
      </c>
      <c r="H553" s="16">
        <v>44900.0</v>
      </c>
      <c r="I553" s="14">
        <v>26.0</v>
      </c>
      <c r="J553" s="13" t="s">
        <v>64</v>
      </c>
      <c r="K553" s="13" t="s">
        <v>41</v>
      </c>
      <c r="L553" s="14">
        <v>2672.0</v>
      </c>
      <c r="M553" s="18" t="s">
        <v>164</v>
      </c>
      <c r="N553" s="18" t="s">
        <v>46</v>
      </c>
      <c r="O553" s="18">
        <v>31.9</v>
      </c>
      <c r="P553" s="18" t="s">
        <v>99</v>
      </c>
      <c r="Q553" s="16">
        <v>45285.0</v>
      </c>
      <c r="R553" s="16" t="s">
        <v>38</v>
      </c>
      <c r="S553" s="13" t="s">
        <v>230</v>
      </c>
      <c r="T553" s="13" t="s">
        <v>104</v>
      </c>
      <c r="U553" s="13">
        <f t="shared" si="1"/>
        <v>2</v>
      </c>
      <c r="V553" s="13" t="str">
        <f t="shared" si="2"/>
        <v>C00565|Sneha Nair|48|South|Bengaluru|Premium|Email|12/5/2022|26|Annual|Upi|2,672|3|0|31.90|4|12/25/2023||Yes|Analytics</v>
      </c>
      <c r="W553" s="13">
        <f t="shared" si="3"/>
        <v>1</v>
      </c>
      <c r="X553" s="13">
        <f>IFERROR(__xludf.DUMMYFUNCTION("COUNTUNIQUE(FILTER($B$2:$B$1826,$A$2:$A$1826=A553))"),2.0)</f>
        <v>2</v>
      </c>
    </row>
    <row r="554">
      <c r="A554" s="13" t="s">
        <v>1129</v>
      </c>
      <c r="B554" s="13" t="s">
        <v>34</v>
      </c>
      <c r="C554" s="14">
        <v>48.0</v>
      </c>
      <c r="D554" s="13" t="s">
        <v>85</v>
      </c>
      <c r="E554" s="13" t="s">
        <v>92</v>
      </c>
      <c r="F554" s="13" t="s">
        <v>37</v>
      </c>
      <c r="G554" s="13" t="s">
        <v>52</v>
      </c>
      <c r="H554" s="16">
        <v>45171.0</v>
      </c>
      <c r="I554" s="14">
        <v>26.0</v>
      </c>
      <c r="J554" s="13" t="s">
        <v>53</v>
      </c>
      <c r="K554" s="13" t="s">
        <v>81</v>
      </c>
      <c r="L554" s="14">
        <v>1424.0</v>
      </c>
      <c r="M554" s="18" t="s">
        <v>38</v>
      </c>
      <c r="N554" s="18" t="s">
        <v>164</v>
      </c>
      <c r="O554" s="18">
        <v>20.7</v>
      </c>
      <c r="P554" s="18" t="s">
        <v>368</v>
      </c>
      <c r="Q554" s="16">
        <v>45364.0</v>
      </c>
      <c r="R554" s="16" t="s">
        <v>38</v>
      </c>
      <c r="S554" s="13" t="s">
        <v>55</v>
      </c>
      <c r="T554" s="13" t="s">
        <v>47</v>
      </c>
      <c r="U554" s="13">
        <f t="shared" si="1"/>
        <v>3</v>
      </c>
      <c r="V554" s="13" t="str">
        <f t="shared" si="2"/>
        <v>C00590|Meera Das|48|West|Ahmedabad|Standard|Facebook|9/2/2023|26|Quarterly|Debit Card|1,424||3|20.70|4.9|3/13/2024||Active|Cloud Storage</v>
      </c>
      <c r="W554" s="13">
        <f t="shared" si="3"/>
        <v>1</v>
      </c>
      <c r="X554" s="13">
        <f>IFERROR(__xludf.DUMMYFUNCTION("COUNTUNIQUE(FILTER($B$2:$B$1826,$A$2:$A$1826=A554))"),3.0)</f>
        <v>3</v>
      </c>
    </row>
    <row r="555">
      <c r="A555" s="13" t="s">
        <v>1130</v>
      </c>
      <c r="B555" s="13" t="s">
        <v>316</v>
      </c>
      <c r="C555" s="14">
        <v>45.0</v>
      </c>
      <c r="D555" s="13" t="s">
        <v>35</v>
      </c>
      <c r="E555" s="13" t="s">
        <v>140</v>
      </c>
      <c r="F555" s="13" t="s">
        <v>37</v>
      </c>
      <c r="G555" s="13" t="s">
        <v>63</v>
      </c>
      <c r="H555" s="16">
        <v>45052.0</v>
      </c>
      <c r="I555" s="14">
        <v>11.0</v>
      </c>
      <c r="J555" s="13" t="s">
        <v>64</v>
      </c>
      <c r="K555" s="13" t="s">
        <v>41</v>
      </c>
      <c r="L555" s="14">
        <v>1549.0</v>
      </c>
      <c r="M555" s="18" t="s">
        <v>38</v>
      </c>
      <c r="N555" s="18" t="s">
        <v>98</v>
      </c>
      <c r="O555" s="18">
        <v>21.1</v>
      </c>
      <c r="P555" s="18" t="s">
        <v>203</v>
      </c>
      <c r="Q555" s="16">
        <v>45096.0</v>
      </c>
      <c r="R555" s="16" t="s">
        <v>38</v>
      </c>
      <c r="S555" s="13" t="s">
        <v>230</v>
      </c>
      <c r="T555" s="13" t="s">
        <v>72</v>
      </c>
      <c r="U555" s="13">
        <f t="shared" si="1"/>
        <v>1</v>
      </c>
      <c r="V555" s="13" t="str">
        <f t="shared" si="2"/>
        <v>C01431|Neha Nair|45|North|Lucknow|Standard|Google Ads|5/6/2023|11|Annual|Upi|1,549||1|21.10|3.7|6/19/2023||Yes|Collaboration</v>
      </c>
      <c r="W555" s="13">
        <f t="shared" si="3"/>
        <v>1</v>
      </c>
      <c r="X555" s="13">
        <f>IFERROR(__xludf.DUMMYFUNCTION("COUNTUNIQUE(FILTER($B$2:$B$1826,$A$2:$A$1826=A555))"),1.0)</f>
        <v>1</v>
      </c>
    </row>
    <row r="556">
      <c r="A556" s="13" t="s">
        <v>1131</v>
      </c>
      <c r="B556" s="13" t="s">
        <v>734</v>
      </c>
      <c r="C556" s="14">
        <v>40.0</v>
      </c>
      <c r="D556" s="13" t="s">
        <v>35</v>
      </c>
      <c r="E556" s="13" t="s">
        <v>161</v>
      </c>
      <c r="F556" s="13" t="s">
        <v>62</v>
      </c>
      <c r="G556" s="13" t="s">
        <v>39</v>
      </c>
      <c r="H556" s="16">
        <v>45079.0</v>
      </c>
      <c r="I556" s="14">
        <v>14.0</v>
      </c>
      <c r="J556" s="13" t="s">
        <v>64</v>
      </c>
      <c r="K556" s="13" t="s">
        <v>65</v>
      </c>
      <c r="L556" s="14">
        <v>735.0</v>
      </c>
      <c r="M556" s="18" t="s">
        <v>46</v>
      </c>
      <c r="N556" s="18" t="s">
        <v>46</v>
      </c>
      <c r="O556" s="18">
        <v>15.7</v>
      </c>
      <c r="P556" s="18" t="s">
        <v>310</v>
      </c>
      <c r="Q556" s="16">
        <v>45416.0</v>
      </c>
      <c r="R556" s="16" t="s">
        <v>38</v>
      </c>
      <c r="S556" s="13" t="s">
        <v>55</v>
      </c>
      <c r="T556" s="13" t="s">
        <v>47</v>
      </c>
      <c r="U556" s="13">
        <f t="shared" si="1"/>
        <v>2</v>
      </c>
      <c r="V556" s="13" t="str">
        <f t="shared" si="2"/>
        <v>C00157|Sneha Das|40|North|Chandigarh|Basic|Instagram|6/2/2023|14|Annual|Credit Card|735|0|0|15.70|3.1|5/4/2024||Active|Cloud Storage</v>
      </c>
      <c r="W556" s="13">
        <f t="shared" si="3"/>
        <v>1</v>
      </c>
      <c r="X556" s="13">
        <f>IFERROR(__xludf.DUMMYFUNCTION("COUNTUNIQUE(FILTER($B$2:$B$1826,$A$2:$A$1826=A556))"),2.0)</f>
        <v>2</v>
      </c>
    </row>
    <row r="557">
      <c r="A557" s="13" t="s">
        <v>1132</v>
      </c>
      <c r="B557" s="13" t="s">
        <v>349</v>
      </c>
      <c r="C557" s="14">
        <v>64.0</v>
      </c>
      <c r="D557" s="13" t="s">
        <v>35</v>
      </c>
      <c r="E557" s="13" t="s">
        <v>36</v>
      </c>
      <c r="F557" s="13" t="s">
        <v>62</v>
      </c>
      <c r="G557" s="13" t="s">
        <v>52</v>
      </c>
      <c r="H557" s="16">
        <v>44841.0</v>
      </c>
      <c r="I557" s="14">
        <v>21.0</v>
      </c>
      <c r="J557" s="13" t="s">
        <v>53</v>
      </c>
      <c r="K557" s="13" t="s">
        <v>41</v>
      </c>
      <c r="L557" s="14">
        <v>736.0</v>
      </c>
      <c r="M557" s="18" t="s">
        <v>173</v>
      </c>
      <c r="N557" s="18" t="s">
        <v>46</v>
      </c>
      <c r="O557" s="18">
        <v>17.7</v>
      </c>
      <c r="P557" s="18" t="s">
        <v>130</v>
      </c>
      <c r="Q557" s="16">
        <v>44920.0</v>
      </c>
      <c r="R557" s="16" t="s">
        <v>38</v>
      </c>
      <c r="S557" s="13" t="s">
        <v>55</v>
      </c>
      <c r="T557" s="13" t="s">
        <v>75</v>
      </c>
      <c r="U557" s="13">
        <f t="shared" si="1"/>
        <v>3</v>
      </c>
      <c r="V557" s="13" t="str">
        <f t="shared" si="2"/>
        <v>C00813|Priya Singh|64|North|Delhi|Basic|Facebook|10/7/2022|21|Quarterly|Upi|736|5|0|17.70|3.9|12/25/2022||Active|Security</v>
      </c>
      <c r="W557" s="13">
        <f t="shared" si="3"/>
        <v>1</v>
      </c>
      <c r="X557" s="13">
        <f>IFERROR(__xludf.DUMMYFUNCTION("COUNTUNIQUE(FILTER($B$2:$B$1826,$A$2:$A$1826=A557))"),3.0)</f>
        <v>3</v>
      </c>
    </row>
    <row r="558">
      <c r="A558" s="13" t="s">
        <v>1133</v>
      </c>
      <c r="B558" s="13" t="s">
        <v>303</v>
      </c>
      <c r="C558" s="14">
        <v>62.0</v>
      </c>
      <c r="D558" s="13" t="s">
        <v>69</v>
      </c>
      <c r="E558" s="13" t="s">
        <v>187</v>
      </c>
      <c r="F558" s="13" t="s">
        <v>37</v>
      </c>
      <c r="G558" s="13" t="s">
        <v>80</v>
      </c>
      <c r="H558" s="16">
        <v>44767.0</v>
      </c>
      <c r="I558" s="14">
        <v>12.0</v>
      </c>
      <c r="J558" s="13" t="s">
        <v>53</v>
      </c>
      <c r="K558" s="13" t="s">
        <v>41</v>
      </c>
      <c r="L558" s="14">
        <v>1758.0</v>
      </c>
      <c r="M558" s="18" t="s">
        <v>43</v>
      </c>
      <c r="N558" s="18" t="s">
        <v>98</v>
      </c>
      <c r="O558" s="18">
        <v>41.4</v>
      </c>
      <c r="P558" s="18" t="s">
        <v>701</v>
      </c>
      <c r="Q558" s="16">
        <v>44863.0</v>
      </c>
      <c r="R558" s="16" t="s">
        <v>38</v>
      </c>
      <c r="S558" s="13" t="s">
        <v>55</v>
      </c>
      <c r="T558" s="13" t="s">
        <v>75</v>
      </c>
      <c r="U558" s="13">
        <f t="shared" si="1"/>
        <v>2</v>
      </c>
      <c r="V558" s="13" t="str">
        <f t="shared" si="2"/>
        <v>C00572|Priya Kumar|62|South|Chennai|Standard|Organic Search|7/25/2022|12|Quarterly|Upi|1,758|2|1|41.40|2.8|10/29/2022||Active|Security</v>
      </c>
      <c r="W558" s="13">
        <f t="shared" si="3"/>
        <v>1</v>
      </c>
      <c r="X558" s="13">
        <f>IFERROR(__xludf.DUMMYFUNCTION("COUNTUNIQUE(FILTER($B$2:$B$1826,$A$2:$A$1826=A558))"),2.0)</f>
        <v>2</v>
      </c>
    </row>
    <row r="559">
      <c r="A559" s="13" t="s">
        <v>1134</v>
      </c>
      <c r="B559" s="13" t="s">
        <v>59</v>
      </c>
      <c r="C559" s="14">
        <v>63.0</v>
      </c>
      <c r="D559" s="13" t="s">
        <v>69</v>
      </c>
      <c r="E559" s="13" t="s">
        <v>187</v>
      </c>
      <c r="F559" s="13" t="s">
        <v>37</v>
      </c>
      <c r="G559" s="13" t="s">
        <v>52</v>
      </c>
      <c r="H559" s="16">
        <v>45652.0</v>
      </c>
      <c r="I559" s="14">
        <v>14.0</v>
      </c>
      <c r="J559" s="13" t="s">
        <v>53</v>
      </c>
      <c r="K559" s="13" t="s">
        <v>65</v>
      </c>
      <c r="L559" s="14">
        <v>1649.0</v>
      </c>
      <c r="M559" s="18" t="s">
        <v>173</v>
      </c>
      <c r="N559" s="18" t="s">
        <v>46</v>
      </c>
      <c r="O559" s="18">
        <v>41.9</v>
      </c>
      <c r="P559" s="18" t="s">
        <v>275</v>
      </c>
      <c r="Q559" s="16">
        <v>45929.0</v>
      </c>
      <c r="R559" s="16" t="s">
        <v>38</v>
      </c>
      <c r="S559" s="13" t="s">
        <v>55</v>
      </c>
      <c r="T559" s="13" t="s">
        <v>104</v>
      </c>
      <c r="U559" s="13">
        <f t="shared" si="1"/>
        <v>2</v>
      </c>
      <c r="V559" s="13" t="str">
        <f t="shared" si="2"/>
        <v>C00734|Priya Das|63|South|Chennai|Standard|Facebook|12/26/2024|14|Quarterly|Credit Card|1,649|5|0|41.90|4.3|9/29/2025||Active|Analytics</v>
      </c>
      <c r="W559" s="13">
        <f t="shared" si="3"/>
        <v>1</v>
      </c>
      <c r="X559" s="13">
        <f>IFERROR(__xludf.DUMMYFUNCTION("COUNTUNIQUE(FILTER($B$2:$B$1826,$A$2:$A$1826=A559))"),2.0)</f>
        <v>2</v>
      </c>
    </row>
    <row r="560">
      <c r="A560" s="13" t="s">
        <v>921</v>
      </c>
      <c r="B560" s="13" t="s">
        <v>308</v>
      </c>
      <c r="C560" s="14">
        <v>19.0</v>
      </c>
      <c r="D560" s="13" t="s">
        <v>35</v>
      </c>
      <c r="E560" s="13" t="s">
        <v>36</v>
      </c>
      <c r="F560" s="13" t="s">
        <v>37</v>
      </c>
      <c r="G560" s="13" t="s">
        <v>128</v>
      </c>
      <c r="H560" s="16">
        <v>44975.0</v>
      </c>
      <c r="I560" s="14">
        <v>16.0</v>
      </c>
      <c r="J560" s="13" t="s">
        <v>53</v>
      </c>
      <c r="K560" s="13" t="s">
        <v>41</v>
      </c>
      <c r="L560" s="14">
        <v>1203.0</v>
      </c>
      <c r="M560" s="18" t="s">
        <v>43</v>
      </c>
      <c r="N560" s="18" t="s">
        <v>98</v>
      </c>
      <c r="O560" s="18">
        <v>44.7</v>
      </c>
      <c r="P560" s="18" t="s">
        <v>701</v>
      </c>
      <c r="Q560" s="16">
        <v>44993.0</v>
      </c>
      <c r="R560" s="16" t="s">
        <v>38</v>
      </c>
      <c r="S560" s="13" t="s">
        <v>55</v>
      </c>
      <c r="T560" s="13" t="s">
        <v>104</v>
      </c>
      <c r="U560" s="13">
        <f t="shared" si="1"/>
        <v>2</v>
      </c>
      <c r="V560" s="13" t="str">
        <f t="shared" si="2"/>
        <v>C01226|Karan Kumar|19|North|Delhi|Standard|Youtube|2/18/2023|16|Quarterly|Upi|1,203|2|1|44.70|2.8|3/8/2023||Active|Analytics</v>
      </c>
      <c r="W560" s="13">
        <f t="shared" si="3"/>
        <v>1</v>
      </c>
      <c r="X560" s="13">
        <f>IFERROR(__xludf.DUMMYFUNCTION("COUNTUNIQUE(FILTER($B$2:$B$1826,$A$2:$A$1826=A560))"),2.0)</f>
        <v>2</v>
      </c>
    </row>
    <row r="561">
      <c r="A561" s="13" t="s">
        <v>1136</v>
      </c>
      <c r="B561" s="13" t="s">
        <v>362</v>
      </c>
      <c r="C561" s="14">
        <v>53.0</v>
      </c>
      <c r="D561" s="13" t="s">
        <v>35</v>
      </c>
      <c r="E561" s="13" t="s">
        <v>51</v>
      </c>
      <c r="F561" s="13" t="s">
        <v>37</v>
      </c>
      <c r="G561" s="13" t="s">
        <v>63</v>
      </c>
      <c r="H561" s="16">
        <v>45413.0</v>
      </c>
      <c r="I561" s="14">
        <v>33.0</v>
      </c>
      <c r="J561" s="13" t="s">
        <v>53</v>
      </c>
      <c r="K561" s="13" t="s">
        <v>65</v>
      </c>
      <c r="L561" s="14">
        <v>1329.0</v>
      </c>
      <c r="M561" s="18" t="s">
        <v>98</v>
      </c>
      <c r="N561" s="18" t="s">
        <v>46</v>
      </c>
      <c r="O561" s="18">
        <v>48.4</v>
      </c>
      <c r="P561" s="18" t="s">
        <v>310</v>
      </c>
      <c r="Q561" s="16">
        <v>46064.0</v>
      </c>
      <c r="R561" s="16" t="s">
        <v>38</v>
      </c>
      <c r="S561" s="13" t="s">
        <v>55</v>
      </c>
      <c r="T561" s="13" t="s">
        <v>104</v>
      </c>
      <c r="U561" s="13">
        <f t="shared" si="1"/>
        <v>3</v>
      </c>
      <c r="V561" s="13" t="str">
        <f t="shared" si="2"/>
        <v>C00452|Neha Singh|53|North|Jaipur|Standard|Google Ads|5/1/2024|33|Quarterly|Credit Card|1,329|1|0|48.40|3.1|2/11/2026||Active|Analytics</v>
      </c>
      <c r="W561" s="13">
        <f t="shared" si="3"/>
        <v>1</v>
      </c>
      <c r="X561" s="13">
        <f>IFERROR(__xludf.DUMMYFUNCTION("COUNTUNIQUE(FILTER($B$2:$B$1826,$A$2:$A$1826=A561))"),3.0)</f>
        <v>3</v>
      </c>
    </row>
    <row r="562">
      <c r="A562" s="13" t="s">
        <v>427</v>
      </c>
      <c r="B562" s="13" t="s">
        <v>215</v>
      </c>
      <c r="C562" s="14">
        <v>61.0</v>
      </c>
      <c r="D562" s="13" t="s">
        <v>69</v>
      </c>
      <c r="E562" s="13" t="s">
        <v>70</v>
      </c>
      <c r="F562" s="13" t="s">
        <v>62</v>
      </c>
      <c r="G562" s="13" t="s">
        <v>39</v>
      </c>
      <c r="H562" s="16">
        <v>44592.0</v>
      </c>
      <c r="I562" s="14">
        <v>26.0</v>
      </c>
      <c r="J562" s="13" t="s">
        <v>53</v>
      </c>
      <c r="K562" s="13" t="s">
        <v>81</v>
      </c>
      <c r="L562" s="14">
        <v>505.0</v>
      </c>
      <c r="M562" s="18" t="s">
        <v>98</v>
      </c>
      <c r="N562" s="18" t="s">
        <v>43</v>
      </c>
      <c r="O562" s="18">
        <v>19.6</v>
      </c>
      <c r="P562" s="18" t="s">
        <v>263</v>
      </c>
      <c r="Q562" s="16">
        <v>45071.0</v>
      </c>
      <c r="R562" s="16" t="s">
        <v>38</v>
      </c>
      <c r="S562" s="13" t="s">
        <v>55</v>
      </c>
      <c r="T562" s="13" t="s">
        <v>66</v>
      </c>
      <c r="U562" s="13">
        <f t="shared" si="1"/>
        <v>2</v>
      </c>
      <c r="V562" s="13" t="str">
        <f t="shared" si="2"/>
        <v>C00476|Neha Sharma|61|South|Bengaluru|Basic|Instagram|1/31/2022|26|Quarterly|Debit Card|505|1|2|19.60|2.9|5/25/2023||Active|Automation</v>
      </c>
      <c r="W562" s="13">
        <f t="shared" si="3"/>
        <v>1</v>
      </c>
      <c r="X562" s="13">
        <f>IFERROR(__xludf.DUMMYFUNCTION("COUNTUNIQUE(FILTER($B$2:$B$1826,$A$2:$A$1826=A562))"),2.0)</f>
        <v>2</v>
      </c>
    </row>
    <row r="563">
      <c r="A563" s="13" t="s">
        <v>392</v>
      </c>
      <c r="B563" s="13" t="s">
        <v>322</v>
      </c>
      <c r="C563" s="14">
        <v>25.0</v>
      </c>
      <c r="D563" s="13" t="s">
        <v>35</v>
      </c>
      <c r="E563" s="13" t="s">
        <v>36</v>
      </c>
      <c r="F563" s="13" t="s">
        <v>79</v>
      </c>
      <c r="G563" s="13" t="s">
        <v>120</v>
      </c>
      <c r="H563" s="16">
        <v>45179.0</v>
      </c>
      <c r="I563" s="14">
        <v>39.0</v>
      </c>
      <c r="J563" s="13" t="s">
        <v>64</v>
      </c>
      <c r="K563" s="13" t="s">
        <v>65</v>
      </c>
      <c r="L563" s="14">
        <v>3097.0</v>
      </c>
      <c r="M563" s="18" t="s">
        <v>98</v>
      </c>
      <c r="N563" s="18" t="s">
        <v>164</v>
      </c>
      <c r="O563" s="18">
        <v>53.8</v>
      </c>
      <c r="P563" s="18" t="s">
        <v>203</v>
      </c>
      <c r="Q563" s="16">
        <v>46354.0</v>
      </c>
      <c r="R563" s="16" t="s">
        <v>38</v>
      </c>
      <c r="S563" s="13" t="s">
        <v>55</v>
      </c>
      <c r="T563" s="13" t="s">
        <v>75</v>
      </c>
      <c r="U563" s="13">
        <f t="shared" si="1"/>
        <v>2</v>
      </c>
      <c r="V563" s="13" t="str">
        <f t="shared" si="2"/>
        <v>C00756|Rahul Iyer|25|North|Delhi|Premium|Email|9/10/2023|39|Annual|Credit Card|3,097|1|3|53.80|3.7|11/28/2026||Active|Security</v>
      </c>
      <c r="W563" s="13">
        <f t="shared" si="3"/>
        <v>1</v>
      </c>
      <c r="X563" s="13">
        <f>IFERROR(__xludf.DUMMYFUNCTION("COUNTUNIQUE(FILTER($B$2:$B$1826,$A$2:$A$1826=A563))"),2.0)</f>
        <v>2</v>
      </c>
    </row>
    <row r="564">
      <c r="A564" s="13" t="s">
        <v>937</v>
      </c>
      <c r="B564" s="13" t="s">
        <v>351</v>
      </c>
      <c r="C564" s="14">
        <v>43.0</v>
      </c>
      <c r="D564" s="13" t="s">
        <v>69</v>
      </c>
      <c r="E564" s="13" t="s">
        <v>177</v>
      </c>
      <c r="F564" s="13" t="s">
        <v>62</v>
      </c>
      <c r="G564" s="13" t="s">
        <v>128</v>
      </c>
      <c r="H564" s="16">
        <v>45970.0</v>
      </c>
      <c r="I564" s="14">
        <v>21.0</v>
      </c>
      <c r="J564" s="13" t="s">
        <v>64</v>
      </c>
      <c r="K564" s="13" t="s">
        <v>81</v>
      </c>
      <c r="L564" s="14">
        <v>840.0</v>
      </c>
      <c r="M564" s="18" t="s">
        <v>43</v>
      </c>
      <c r="N564" s="18" t="s">
        <v>43</v>
      </c>
      <c r="O564" s="18">
        <v>11.6</v>
      </c>
      <c r="P564" s="18" t="s">
        <v>368</v>
      </c>
      <c r="Q564" s="16">
        <v>46323.0</v>
      </c>
      <c r="R564" s="16" t="s">
        <v>1138</v>
      </c>
      <c r="S564" s="13" t="s">
        <v>45</v>
      </c>
      <c r="T564" s="13" t="s">
        <v>47</v>
      </c>
      <c r="U564" s="13">
        <f t="shared" si="1"/>
        <v>2</v>
      </c>
      <c r="V564" s="13" t="str">
        <f t="shared" si="2"/>
        <v>C01389|Meera Nair|43|South|Hyderabad|Basic|Youtube|11/9/2025|21|Annual|Debit Card|840|2|2|11.60|4.9|10/28/2026|27/12/2025|Churned|Cloud Storage</v>
      </c>
      <c r="W564" s="13">
        <f t="shared" si="3"/>
        <v>1</v>
      </c>
      <c r="X564" s="13">
        <f>IFERROR(__xludf.DUMMYFUNCTION("COUNTUNIQUE(FILTER($B$2:$B$1826,$A$2:$A$1826=A564))"),2.0)</f>
        <v>2</v>
      </c>
    </row>
    <row r="565">
      <c r="A565" s="13" t="s">
        <v>1139</v>
      </c>
      <c r="B565" s="13" t="s">
        <v>126</v>
      </c>
      <c r="C565" s="14">
        <v>42.0</v>
      </c>
      <c r="D565" s="13" t="s">
        <v>35</v>
      </c>
      <c r="E565" s="13" t="s">
        <v>51</v>
      </c>
      <c r="F565" s="13" t="s">
        <v>62</v>
      </c>
      <c r="G565" s="13" t="s">
        <v>128</v>
      </c>
      <c r="H565" s="16">
        <v>44816.0</v>
      </c>
      <c r="I565" s="14">
        <v>20.0</v>
      </c>
      <c r="J565" s="13" t="s">
        <v>53</v>
      </c>
      <c r="K565" s="13" t="s">
        <v>65</v>
      </c>
      <c r="L565" s="14">
        <v>718.0</v>
      </c>
      <c r="M565" s="18" t="s">
        <v>164</v>
      </c>
      <c r="N565" s="18" t="s">
        <v>98</v>
      </c>
      <c r="O565" s="18">
        <v>15.0</v>
      </c>
      <c r="P565" s="18" t="s">
        <v>48</v>
      </c>
      <c r="Q565" s="16">
        <v>44907.0</v>
      </c>
      <c r="R565" s="16" t="s">
        <v>38</v>
      </c>
      <c r="S565" s="13" t="s">
        <v>55</v>
      </c>
      <c r="T565" s="13" t="s">
        <v>47</v>
      </c>
      <c r="U565" s="13">
        <f t="shared" si="1"/>
        <v>2</v>
      </c>
      <c r="V565" s="13" t="str">
        <f t="shared" si="2"/>
        <v>C01032|Arun Patel|42|North|Jaipur|Basic|Youtube|9/12/2022|20|Quarterly|Credit Card|718|3|1|15.00|3.6|12/12/2022||Active|Cloud Storage</v>
      </c>
      <c r="W565" s="13">
        <f t="shared" si="3"/>
        <v>1</v>
      </c>
      <c r="X565" s="13">
        <f>IFERROR(__xludf.DUMMYFUNCTION("COUNTUNIQUE(FILTER($B$2:$B$1826,$A$2:$A$1826=A565))"),2.0)</f>
        <v>2</v>
      </c>
    </row>
    <row r="566">
      <c r="A566" s="13" t="s">
        <v>841</v>
      </c>
      <c r="B566" s="13" t="s">
        <v>202</v>
      </c>
      <c r="C566" s="14">
        <v>60.0</v>
      </c>
      <c r="D566" s="13" t="s">
        <v>85</v>
      </c>
      <c r="E566" s="13" t="s">
        <v>111</v>
      </c>
      <c r="F566" s="13" t="s">
        <v>37</v>
      </c>
      <c r="G566" s="13" t="s">
        <v>39</v>
      </c>
      <c r="H566" s="16">
        <v>45786.0</v>
      </c>
      <c r="I566" s="14">
        <v>29.0</v>
      </c>
      <c r="J566" s="13" t="s">
        <v>64</v>
      </c>
      <c r="K566" s="13" t="s">
        <v>41</v>
      </c>
      <c r="L566" s="14">
        <v>1136.0</v>
      </c>
      <c r="M566" s="18" t="s">
        <v>43</v>
      </c>
      <c r="N566" s="18" t="s">
        <v>43</v>
      </c>
      <c r="O566" s="18">
        <v>10.0</v>
      </c>
      <c r="P566" s="18" t="s">
        <v>248</v>
      </c>
      <c r="Q566" s="16">
        <v>46121.0</v>
      </c>
      <c r="R566" s="16" t="s">
        <v>1140</v>
      </c>
      <c r="S566" s="13" t="s">
        <v>45</v>
      </c>
      <c r="T566" s="13" t="s">
        <v>47</v>
      </c>
      <c r="U566" s="13">
        <f t="shared" si="1"/>
        <v>3</v>
      </c>
      <c r="V566" s="13" t="str">
        <f t="shared" si="2"/>
        <v>C00311|Arun Das|60|West|Pune|Standard|Instagram|5/9/2025|29|Annual|Upi|1,136|2|2|10.00|2.6|4/9/2026|29/03/2027|Churned|Cloud Storage</v>
      </c>
      <c r="W566" s="13">
        <f t="shared" si="3"/>
        <v>1</v>
      </c>
      <c r="X566" s="13">
        <f>IFERROR(__xludf.DUMMYFUNCTION("COUNTUNIQUE(FILTER($B$2:$B$1826,$A$2:$A$1826=A566))"),3.0)</f>
        <v>3</v>
      </c>
    </row>
    <row r="567">
      <c r="A567" s="13" t="s">
        <v>1141</v>
      </c>
      <c r="B567" s="13" t="s">
        <v>411</v>
      </c>
      <c r="C567" s="14">
        <v>30.0</v>
      </c>
      <c r="D567" s="13" t="s">
        <v>60</v>
      </c>
      <c r="E567" s="13" t="s">
        <v>107</v>
      </c>
      <c r="F567" s="13" t="s">
        <v>62</v>
      </c>
      <c r="G567" s="13" t="s">
        <v>80</v>
      </c>
      <c r="H567" s="16">
        <v>44672.0</v>
      </c>
      <c r="I567" s="14">
        <v>43.0</v>
      </c>
      <c r="J567" s="13" t="s">
        <v>53</v>
      </c>
      <c r="K567" s="13" t="s">
        <v>81</v>
      </c>
      <c r="L567" s="14">
        <v>850.0</v>
      </c>
      <c r="M567" s="18" t="s">
        <v>98</v>
      </c>
      <c r="N567" s="18" t="s">
        <v>43</v>
      </c>
      <c r="O567" s="18">
        <v>16.5</v>
      </c>
      <c r="P567" s="18" t="s">
        <v>89</v>
      </c>
      <c r="Q567" s="16">
        <v>45137.0</v>
      </c>
      <c r="R567" s="16" t="s">
        <v>1143</v>
      </c>
      <c r="S567" s="13" t="s">
        <v>45</v>
      </c>
      <c r="T567" s="13" t="s">
        <v>104</v>
      </c>
      <c r="U567" s="13">
        <f t="shared" si="1"/>
        <v>1</v>
      </c>
      <c r="V567" s="13" t="str">
        <f t="shared" si="2"/>
        <v>C01501|Karan Reddy|30|East|Patna|Basic|Organic Search|4/21/2022|43|Quarterly|Debit Card|850|1|2|16.50|3.3|7/30/2023|17/10/2025|Churned|Analytics</v>
      </c>
      <c r="W567" s="13">
        <f t="shared" si="3"/>
        <v>1</v>
      </c>
      <c r="X567" s="13">
        <f>IFERROR(__xludf.DUMMYFUNCTION("COUNTUNIQUE(FILTER($B$2:$B$1826,$A$2:$A$1826=A567))"),1.0)</f>
        <v>1</v>
      </c>
    </row>
    <row r="568">
      <c r="A568" s="13" t="s">
        <v>1144</v>
      </c>
      <c r="B568" s="13" t="s">
        <v>362</v>
      </c>
      <c r="C568" s="14">
        <v>51.0</v>
      </c>
      <c r="D568" s="13" t="s">
        <v>85</v>
      </c>
      <c r="E568" s="13" t="s">
        <v>292</v>
      </c>
      <c r="F568" s="13" t="s">
        <v>79</v>
      </c>
      <c r="G568" s="13" t="s">
        <v>63</v>
      </c>
      <c r="H568" s="16">
        <v>45861.0</v>
      </c>
      <c r="I568" s="14">
        <v>10.0</v>
      </c>
      <c r="J568" s="13" t="s">
        <v>40</v>
      </c>
      <c r="K568" s="13" t="s">
        <v>41</v>
      </c>
      <c r="L568" s="14">
        <v>2354.0</v>
      </c>
      <c r="M568" s="18" t="s">
        <v>46</v>
      </c>
      <c r="N568" s="18" t="s">
        <v>98</v>
      </c>
      <c r="O568" s="18">
        <v>28.8</v>
      </c>
      <c r="P568" s="18" t="s">
        <v>568</v>
      </c>
      <c r="Q568" s="16">
        <v>46174.0</v>
      </c>
      <c r="R568" s="16" t="s">
        <v>1145</v>
      </c>
      <c r="S568" s="13" t="s">
        <v>45</v>
      </c>
      <c r="T568" s="13" t="s">
        <v>75</v>
      </c>
      <c r="U568" s="13">
        <f t="shared" si="1"/>
        <v>2</v>
      </c>
      <c r="V568" s="13" t="str">
        <f t="shared" si="2"/>
        <v>C00133|Neha Singh|51|West|Mumbai|Premium|Google Ads|7/23/2025|10|Monthly|Upi|2,354|0|1|28.80|2.2|6/1/2026|30/05/2026|Churned|Security</v>
      </c>
      <c r="W568" s="13">
        <f t="shared" si="3"/>
        <v>1</v>
      </c>
      <c r="X568" s="13">
        <f>IFERROR(__xludf.DUMMYFUNCTION("COUNTUNIQUE(FILTER($B$2:$B$1826,$A$2:$A$1826=A568))"),2.0)</f>
        <v>2</v>
      </c>
    </row>
    <row r="569">
      <c r="A569" s="13" t="s">
        <v>1146</v>
      </c>
      <c r="B569" s="13" t="s">
        <v>380</v>
      </c>
      <c r="C569" s="14">
        <v>49.0</v>
      </c>
      <c r="D569" s="13" t="s">
        <v>69</v>
      </c>
      <c r="E569" s="13" t="s">
        <v>187</v>
      </c>
      <c r="F569" s="13" t="s">
        <v>62</v>
      </c>
      <c r="G569" s="13" t="s">
        <v>39</v>
      </c>
      <c r="H569" s="16">
        <v>45802.0</v>
      </c>
      <c r="I569" s="14">
        <v>16.0</v>
      </c>
      <c r="J569" s="13" t="s">
        <v>40</v>
      </c>
      <c r="K569" s="13" t="s">
        <v>65</v>
      </c>
      <c r="L569" s="14">
        <v>794.0</v>
      </c>
      <c r="M569" s="18" t="s">
        <v>43</v>
      </c>
      <c r="N569" s="18" t="s">
        <v>99</v>
      </c>
      <c r="O569" s="18">
        <v>30.7</v>
      </c>
      <c r="P569" s="18" t="s">
        <v>449</v>
      </c>
      <c r="Q569" s="16">
        <v>46137.0</v>
      </c>
      <c r="R569" s="16" t="s">
        <v>38</v>
      </c>
      <c r="S569" s="13" t="s">
        <v>55</v>
      </c>
      <c r="T569" s="13" t="s">
        <v>75</v>
      </c>
      <c r="U569" s="13">
        <f t="shared" si="1"/>
        <v>1</v>
      </c>
      <c r="V569" s="13" t="str">
        <f t="shared" si="2"/>
        <v>C00638|Neha Iyer|49|South|Chennai|Basic|Instagram|5/25/2025|16|Monthly|Credit Card|794|2|4|30.70|2.7|4/25/2026||Active|Security</v>
      </c>
      <c r="W569" s="13">
        <f t="shared" si="3"/>
        <v>1</v>
      </c>
      <c r="X569" s="13">
        <f>IFERROR(__xludf.DUMMYFUNCTION("COUNTUNIQUE(FILTER($B$2:$B$1826,$A$2:$A$1826=A569))"),1.0)</f>
        <v>1</v>
      </c>
    </row>
    <row r="570">
      <c r="A570" s="13" t="s">
        <v>1147</v>
      </c>
      <c r="B570" s="13" t="s">
        <v>135</v>
      </c>
      <c r="C570" s="14">
        <v>67.0</v>
      </c>
      <c r="D570" s="13" t="s">
        <v>69</v>
      </c>
      <c r="E570" s="13" t="s">
        <v>119</v>
      </c>
      <c r="F570" s="13" t="s">
        <v>62</v>
      </c>
      <c r="G570" s="13" t="s">
        <v>80</v>
      </c>
      <c r="H570" s="16">
        <v>45810.0</v>
      </c>
      <c r="I570" s="14">
        <v>48.0</v>
      </c>
      <c r="J570" s="13" t="s">
        <v>53</v>
      </c>
      <c r="K570" s="13" t="s">
        <v>81</v>
      </c>
      <c r="L570" s="14">
        <v>578.0</v>
      </c>
      <c r="M570" s="18" t="s">
        <v>43</v>
      </c>
      <c r="N570" s="18" t="s">
        <v>46</v>
      </c>
      <c r="O570" s="18">
        <v>37.6</v>
      </c>
      <c r="P570" s="18" t="s">
        <v>185</v>
      </c>
      <c r="Q570" s="16">
        <v>46601.0</v>
      </c>
      <c r="R570" s="16" t="s">
        <v>38</v>
      </c>
      <c r="S570" s="13" t="s">
        <v>55</v>
      </c>
      <c r="T570" s="13" t="s">
        <v>66</v>
      </c>
      <c r="U570" s="13">
        <f t="shared" si="1"/>
        <v>1</v>
      </c>
      <c r="V570" s="13" t="str">
        <f t="shared" si="2"/>
        <v>C00774|Karan Sharma|67|South|Kochi|Basic|Organic Search|6/2/2025|48|Quarterly|Debit Card|578|2|0|37.60|3.2|8/2/2027||Active|Automation</v>
      </c>
      <c r="W570" s="13">
        <f t="shared" si="3"/>
        <v>1</v>
      </c>
      <c r="X570" s="13">
        <f>IFERROR(__xludf.DUMMYFUNCTION("COUNTUNIQUE(FILTER($B$2:$B$1826,$A$2:$A$1826=A570))"),1.0)</f>
        <v>1</v>
      </c>
    </row>
    <row r="571">
      <c r="A571" s="13" t="s">
        <v>1148</v>
      </c>
      <c r="B571" s="13" t="s">
        <v>383</v>
      </c>
      <c r="C571" s="14">
        <v>31.0</v>
      </c>
      <c r="D571" s="13" t="s">
        <v>69</v>
      </c>
      <c r="E571" s="13" t="s">
        <v>177</v>
      </c>
      <c r="F571" s="13" t="s">
        <v>62</v>
      </c>
      <c r="G571" s="13" t="s">
        <v>210</v>
      </c>
      <c r="H571" s="16">
        <v>45490.0</v>
      </c>
      <c r="I571" s="14">
        <v>19.0</v>
      </c>
      <c r="J571" s="13" t="s">
        <v>40</v>
      </c>
      <c r="K571" s="13" t="s">
        <v>41</v>
      </c>
      <c r="L571" s="14">
        <v>809.0</v>
      </c>
      <c r="M571" s="18" t="s">
        <v>43</v>
      </c>
      <c r="N571" s="18" t="s">
        <v>98</v>
      </c>
      <c r="O571" s="18">
        <v>9.1</v>
      </c>
      <c r="P571" s="18" t="s">
        <v>116</v>
      </c>
      <c r="Q571" s="16" t="s">
        <v>38</v>
      </c>
      <c r="R571" s="16" t="s">
        <v>38</v>
      </c>
      <c r="S571" s="13" t="s">
        <v>55</v>
      </c>
      <c r="T571" s="13" t="s">
        <v>104</v>
      </c>
      <c r="U571" s="13">
        <f t="shared" si="1"/>
        <v>1</v>
      </c>
      <c r="V571" s="13" t="str">
        <f t="shared" si="2"/>
        <v>C00313|Rahul Nair|31|South|Hyderabad|Basic|Referral|7/17/2024|19|Monthly|Upi|809|2|1|9.10|3.4|||Active|Analytics</v>
      </c>
      <c r="W571" s="13">
        <f t="shared" si="3"/>
        <v>1</v>
      </c>
      <c r="X571" s="13">
        <f>IFERROR(__xludf.DUMMYFUNCTION("COUNTUNIQUE(FILTER($B$2:$B$1826,$A$2:$A$1826=A571))"),1.0)</f>
        <v>1</v>
      </c>
    </row>
    <row r="572">
      <c r="A572" s="13" t="s">
        <v>819</v>
      </c>
      <c r="B572" s="13" t="s">
        <v>59</v>
      </c>
      <c r="C572" s="14">
        <v>21.0</v>
      </c>
      <c r="D572" s="13" t="s">
        <v>60</v>
      </c>
      <c r="E572" s="13" t="s">
        <v>133</v>
      </c>
      <c r="F572" s="13" t="s">
        <v>79</v>
      </c>
      <c r="G572" s="13" t="s">
        <v>120</v>
      </c>
      <c r="H572" s="16">
        <v>45370.0</v>
      </c>
      <c r="I572" s="14">
        <v>48.0</v>
      </c>
      <c r="J572" s="13" t="s">
        <v>40</v>
      </c>
      <c r="K572" s="13" t="s">
        <v>65</v>
      </c>
      <c r="L572" s="14">
        <v>749.0</v>
      </c>
      <c r="M572" s="18" t="s">
        <v>164</v>
      </c>
      <c r="N572" s="18" t="s">
        <v>43</v>
      </c>
      <c r="O572" s="18">
        <v>19.7</v>
      </c>
      <c r="P572" s="18" t="s">
        <v>296</v>
      </c>
      <c r="Q572" s="16">
        <v>46584.0</v>
      </c>
      <c r="R572" s="16" t="s">
        <v>38</v>
      </c>
      <c r="S572" s="13" t="s">
        <v>55</v>
      </c>
      <c r="T572" s="13" t="s">
        <v>66</v>
      </c>
      <c r="U572" s="13">
        <f t="shared" si="1"/>
        <v>4</v>
      </c>
      <c r="V572" s="13" t="str">
        <f t="shared" si="2"/>
        <v>C00027|Priya Das|21|East|Guwahati|Premium|Email|3/19/2024|48|Monthly|Credit Card|749|3|2|19.70|4.6|7/16/2027||Active|Automation</v>
      </c>
      <c r="W572" s="13">
        <f t="shared" si="3"/>
        <v>1</v>
      </c>
      <c r="X572" s="13">
        <f>IFERROR(__xludf.DUMMYFUNCTION("COUNTUNIQUE(FILTER($B$2:$B$1826,$A$2:$A$1826=A572))"),4.0)</f>
        <v>4</v>
      </c>
    </row>
    <row r="573">
      <c r="A573" s="13" t="s">
        <v>1149</v>
      </c>
      <c r="B573" s="13" t="s">
        <v>202</v>
      </c>
      <c r="C573" s="14">
        <v>46.0</v>
      </c>
      <c r="D573" s="13" t="s">
        <v>69</v>
      </c>
      <c r="E573" s="13" t="s">
        <v>119</v>
      </c>
      <c r="F573" s="13" t="s">
        <v>79</v>
      </c>
      <c r="G573" s="13" t="s">
        <v>128</v>
      </c>
      <c r="H573" s="16">
        <v>45275.0</v>
      </c>
      <c r="I573" s="14">
        <v>33.0</v>
      </c>
      <c r="J573" s="13" t="s">
        <v>64</v>
      </c>
      <c r="K573" s="13" t="s">
        <v>41</v>
      </c>
      <c r="L573" s="14">
        <v>2753.0</v>
      </c>
      <c r="M573" s="18" t="s">
        <v>98</v>
      </c>
      <c r="N573" s="18" t="s">
        <v>98</v>
      </c>
      <c r="O573" s="18">
        <v>31.8</v>
      </c>
      <c r="P573" s="18" t="s">
        <v>89</v>
      </c>
      <c r="Q573" s="16">
        <v>45998.0</v>
      </c>
      <c r="R573" s="16" t="s">
        <v>38</v>
      </c>
      <c r="S573" s="13" t="s">
        <v>55</v>
      </c>
      <c r="T573" s="13" t="s">
        <v>47</v>
      </c>
      <c r="U573" s="13">
        <f t="shared" si="1"/>
        <v>1</v>
      </c>
      <c r="V573" s="13" t="str">
        <f t="shared" si="2"/>
        <v>C00333|Arun Das|46|South|Kochi|Premium|Youtube|12/15/2023|33|Annual|Upi|2,753|1|1|31.80|3.3|12/7/2025||Active|Cloud Storage</v>
      </c>
      <c r="W573" s="13">
        <f t="shared" si="3"/>
        <v>1</v>
      </c>
      <c r="X573" s="13">
        <f>IFERROR(__xludf.DUMMYFUNCTION("COUNTUNIQUE(FILTER($B$2:$B$1826,$A$2:$A$1826=A573))"),1.0)</f>
        <v>1</v>
      </c>
    </row>
    <row r="574">
      <c r="A574" s="13" t="s">
        <v>581</v>
      </c>
      <c r="B574" s="13" t="s">
        <v>322</v>
      </c>
      <c r="C574" s="14">
        <v>34.0</v>
      </c>
      <c r="D574" s="13" t="s">
        <v>35</v>
      </c>
      <c r="E574" s="13" t="s">
        <v>161</v>
      </c>
      <c r="F574" s="13" t="s">
        <v>37</v>
      </c>
      <c r="G574" s="13" t="s">
        <v>80</v>
      </c>
      <c r="H574" s="16">
        <v>44619.0</v>
      </c>
      <c r="I574" s="14">
        <v>45.0</v>
      </c>
      <c r="J574" s="13" t="s">
        <v>40</v>
      </c>
      <c r="K574" s="13" t="s">
        <v>81</v>
      </c>
      <c r="L574" s="14">
        <v>1266.0</v>
      </c>
      <c r="M574" s="18" t="s">
        <v>46</v>
      </c>
      <c r="N574" s="18" t="s">
        <v>98</v>
      </c>
      <c r="O574" s="18">
        <v>37.6</v>
      </c>
      <c r="P574" s="18" t="s">
        <v>99</v>
      </c>
      <c r="Q574" s="16">
        <v>45561.0</v>
      </c>
      <c r="R574" s="16" t="s">
        <v>38</v>
      </c>
      <c r="S574" s="13" t="s">
        <v>55</v>
      </c>
      <c r="T574" s="13" t="s">
        <v>47</v>
      </c>
      <c r="U574" s="13">
        <f t="shared" si="1"/>
        <v>2</v>
      </c>
      <c r="V574" s="13" t="str">
        <f t="shared" si="2"/>
        <v>C00979|Rahul Iyer|34|North|Chandigarh|Standard|Organic Search|2/27/2022|45|Monthly|Debit Card|1,266|0|1|37.60|4|9/26/2024||Active|Cloud Storage</v>
      </c>
      <c r="W574" s="13">
        <f t="shared" si="3"/>
        <v>1</v>
      </c>
      <c r="X574" s="13">
        <f>IFERROR(__xludf.DUMMYFUNCTION("COUNTUNIQUE(FILTER($B$2:$B$1826,$A$2:$A$1826=A574))"),2.0)</f>
        <v>2</v>
      </c>
    </row>
    <row r="575">
      <c r="A575" s="13" t="s">
        <v>706</v>
      </c>
      <c r="B575" s="13" t="s">
        <v>206</v>
      </c>
      <c r="C575" s="14">
        <v>46.0</v>
      </c>
      <c r="D575" s="13" t="s">
        <v>35</v>
      </c>
      <c r="E575" s="13" t="s">
        <v>36</v>
      </c>
      <c r="F575" s="13" t="s">
        <v>37</v>
      </c>
      <c r="G575" s="13" t="s">
        <v>120</v>
      </c>
      <c r="H575" s="16">
        <v>45376.0</v>
      </c>
      <c r="I575" s="14">
        <v>46.0</v>
      </c>
      <c r="J575" s="13" t="s">
        <v>53</v>
      </c>
      <c r="K575" s="13" t="s">
        <v>81</v>
      </c>
      <c r="L575" s="14">
        <v>1529.0</v>
      </c>
      <c r="M575" s="18" t="s">
        <v>43</v>
      </c>
      <c r="N575" s="18" t="s">
        <v>43</v>
      </c>
      <c r="O575" s="18">
        <v>31.9</v>
      </c>
      <c r="P575" s="18" t="s">
        <v>408</v>
      </c>
      <c r="Q575" s="16">
        <v>45772.0</v>
      </c>
      <c r="R575" s="16" t="s">
        <v>38</v>
      </c>
      <c r="S575" s="13" t="s">
        <v>45</v>
      </c>
      <c r="T575" s="13" t="s">
        <v>72</v>
      </c>
      <c r="U575" s="13">
        <f t="shared" si="1"/>
        <v>3</v>
      </c>
      <c r="V575" s="13" t="str">
        <f t="shared" si="2"/>
        <v>C00026|Karan Patel|46|North|Delhi|Standard|Email|3/25/2024|46|Quarterly|Debit Card|1,529|2|2|31.90|4.2|4/25/2025||Churned|Collaboration</v>
      </c>
      <c r="W575" s="13">
        <f t="shared" si="3"/>
        <v>1</v>
      </c>
      <c r="X575" s="13">
        <f>IFERROR(__xludf.DUMMYFUNCTION("COUNTUNIQUE(FILTER($B$2:$B$1826,$A$2:$A$1826=A575))"),3.0)</f>
        <v>3</v>
      </c>
    </row>
    <row r="576">
      <c r="A576" s="13" t="s">
        <v>1150</v>
      </c>
      <c r="B576" s="13" t="s">
        <v>250</v>
      </c>
      <c r="C576" s="14" t="s">
        <v>38</v>
      </c>
      <c r="D576" s="13" t="s">
        <v>85</v>
      </c>
      <c r="E576" s="13" t="s">
        <v>92</v>
      </c>
      <c r="F576" s="13" t="s">
        <v>37</v>
      </c>
      <c r="G576" s="13" t="s">
        <v>128</v>
      </c>
      <c r="H576" s="16">
        <v>44744.0</v>
      </c>
      <c r="I576" s="14">
        <v>7.0</v>
      </c>
      <c r="J576" s="13" t="s">
        <v>53</v>
      </c>
      <c r="K576" s="13" t="s">
        <v>81</v>
      </c>
      <c r="L576" s="14">
        <v>1351.0</v>
      </c>
      <c r="M576" s="18" t="s">
        <v>173</v>
      </c>
      <c r="N576" s="18" t="s">
        <v>46</v>
      </c>
      <c r="O576" s="18">
        <v>31.5</v>
      </c>
      <c r="P576" s="18" t="s">
        <v>1222</v>
      </c>
      <c r="Q576" s="16">
        <v>44790.0</v>
      </c>
      <c r="R576" s="16" t="s">
        <v>38</v>
      </c>
      <c r="S576" s="13" t="s">
        <v>55</v>
      </c>
      <c r="T576" s="13" t="s">
        <v>72</v>
      </c>
      <c r="U576" s="13">
        <f t="shared" si="1"/>
        <v>1</v>
      </c>
      <c r="V576" s="13" t="str">
        <f t="shared" si="2"/>
        <v>C01026|Vikram Singh||West|Ahmedabad|Standard|Youtube|7/2/2022|7|Quarterly|Debit Card|1,351|5|0|31.50|1.4|8/17/2022||Active|Collaboration</v>
      </c>
      <c r="W576" s="13">
        <f t="shared" si="3"/>
        <v>1</v>
      </c>
      <c r="X576" s="13">
        <f>IFERROR(__xludf.DUMMYFUNCTION("COUNTUNIQUE(FILTER($B$2:$B$1826,$A$2:$A$1826=A576))"),1.0)</f>
        <v>1</v>
      </c>
    </row>
    <row r="577">
      <c r="A577" s="13" t="s">
        <v>495</v>
      </c>
      <c r="B577" s="13" t="s">
        <v>106</v>
      </c>
      <c r="C577" s="14">
        <v>42.0</v>
      </c>
      <c r="D577" s="13" t="s">
        <v>69</v>
      </c>
      <c r="E577" s="13" t="s">
        <v>119</v>
      </c>
      <c r="F577" s="13" t="s">
        <v>62</v>
      </c>
      <c r="G577" s="13" t="s">
        <v>63</v>
      </c>
      <c r="H577" s="16">
        <v>45988.0</v>
      </c>
      <c r="I577" s="14">
        <v>27.0</v>
      </c>
      <c r="J577" s="13" t="s">
        <v>40</v>
      </c>
      <c r="K577" s="13" t="s">
        <v>81</v>
      </c>
      <c r="L577" s="14">
        <v>834.0</v>
      </c>
      <c r="M577" s="18" t="s">
        <v>46</v>
      </c>
      <c r="N577" s="18" t="s">
        <v>98</v>
      </c>
      <c r="O577" s="18">
        <v>13.3</v>
      </c>
      <c r="P577" s="18" t="s">
        <v>150</v>
      </c>
      <c r="Q577" s="16">
        <v>46439.0</v>
      </c>
      <c r="R577" s="16" t="s">
        <v>38</v>
      </c>
      <c r="S577" s="13" t="s">
        <v>55</v>
      </c>
      <c r="T577" s="13" t="s">
        <v>47</v>
      </c>
      <c r="U577" s="13">
        <f t="shared" si="1"/>
        <v>2</v>
      </c>
      <c r="V577" s="13" t="str">
        <f t="shared" si="2"/>
        <v>C00014|Rahul Patel|42|South|Kochi|Basic|Google Ads|11/27/2025|27|Monthly|Debit Card|834|0|1|13.30|4.5|2/21/2027||Active|Cloud Storage</v>
      </c>
      <c r="W577" s="13">
        <f t="shared" si="3"/>
        <v>1</v>
      </c>
      <c r="X577" s="13">
        <f>IFERROR(__xludf.DUMMYFUNCTION("COUNTUNIQUE(FILTER($B$2:$B$1826,$A$2:$A$1826=A577))"),2.0)</f>
        <v>2</v>
      </c>
    </row>
    <row r="578">
      <c r="A578" s="13" t="s">
        <v>1151</v>
      </c>
      <c r="B578" s="13" t="s">
        <v>139</v>
      </c>
      <c r="C578" s="14">
        <v>47.0</v>
      </c>
      <c r="D578" s="13" t="s">
        <v>85</v>
      </c>
      <c r="E578" s="13" t="s">
        <v>111</v>
      </c>
      <c r="F578" s="13" t="s">
        <v>37</v>
      </c>
      <c r="G578" s="13" t="s">
        <v>63</v>
      </c>
      <c r="H578" s="16">
        <v>45484.0</v>
      </c>
      <c r="I578" s="14">
        <v>37.0</v>
      </c>
      <c r="J578" s="13" t="s">
        <v>64</v>
      </c>
      <c r="K578" s="13" t="s">
        <v>81</v>
      </c>
      <c r="L578" s="14">
        <v>1204.0</v>
      </c>
      <c r="M578" s="18" t="s">
        <v>164</v>
      </c>
      <c r="N578" s="18" t="s">
        <v>98</v>
      </c>
      <c r="O578" s="18">
        <v>23.6</v>
      </c>
      <c r="P578" s="18" t="s">
        <v>48</v>
      </c>
      <c r="Q578" s="16">
        <v>45868.0</v>
      </c>
      <c r="R578" s="16">
        <v>45817.0</v>
      </c>
      <c r="S578" s="13" t="s">
        <v>45</v>
      </c>
      <c r="T578" s="13" t="s">
        <v>104</v>
      </c>
      <c r="U578" s="13">
        <f t="shared" si="1"/>
        <v>2</v>
      </c>
      <c r="V578" s="13" t="str">
        <f t="shared" si="2"/>
        <v>C00406|Vikram Das|47|West|Pune|Standard|Google Ads|7/11/2024|37|Annual|Debit Card|1,204|3|1|23.60|3.6|7/30/2025|6/9/2025|Churned|Analytics</v>
      </c>
      <c r="W578" s="13">
        <f t="shared" si="3"/>
        <v>1</v>
      </c>
      <c r="X578" s="13">
        <f>IFERROR(__xludf.DUMMYFUNCTION("COUNTUNIQUE(FILTER($B$2:$B$1826,$A$2:$A$1826=A578))"),2.0)</f>
        <v>2</v>
      </c>
    </row>
    <row r="579">
      <c r="A579" s="13" t="s">
        <v>1152</v>
      </c>
      <c r="B579" s="13" t="s">
        <v>235</v>
      </c>
      <c r="C579" s="14">
        <v>19.0</v>
      </c>
      <c r="D579" s="13" t="s">
        <v>69</v>
      </c>
      <c r="E579" s="13" t="s">
        <v>70</v>
      </c>
      <c r="F579" s="13" t="s">
        <v>62</v>
      </c>
      <c r="G579" s="13" t="s">
        <v>63</v>
      </c>
      <c r="H579" s="16">
        <v>44817.0</v>
      </c>
      <c r="I579" s="14">
        <v>18.0</v>
      </c>
      <c r="J579" s="13" t="s">
        <v>40</v>
      </c>
      <c r="K579" s="13" t="s">
        <v>65</v>
      </c>
      <c r="L579" s="14">
        <v>514.0</v>
      </c>
      <c r="M579" s="18" t="s">
        <v>164</v>
      </c>
      <c r="N579" s="18" t="s">
        <v>164</v>
      </c>
      <c r="O579" s="18">
        <v>21.4</v>
      </c>
      <c r="P579" s="18" t="s">
        <v>123</v>
      </c>
      <c r="Q579" s="16">
        <v>45316.0</v>
      </c>
      <c r="R579" s="16" t="s">
        <v>38</v>
      </c>
      <c r="S579" s="13" t="s">
        <v>55</v>
      </c>
      <c r="T579" s="13" t="s">
        <v>104</v>
      </c>
      <c r="U579" s="13">
        <f t="shared" si="1"/>
        <v>1</v>
      </c>
      <c r="V579" s="13" t="str">
        <f t="shared" si="2"/>
        <v>C01304|Sneha Sharma|19|South|Bengaluru|Basic|Google Ads|9/13/2022|18|Monthly|Credit Card|514|3|3|21.40|4.1|1/25/2024||Active|Analytics</v>
      </c>
      <c r="W579" s="13">
        <f t="shared" si="3"/>
        <v>1</v>
      </c>
      <c r="X579" s="13">
        <f>IFERROR(__xludf.DUMMYFUNCTION("COUNTUNIQUE(FILTER($B$2:$B$1826,$A$2:$A$1826=A579))"),1.0)</f>
        <v>1</v>
      </c>
    </row>
    <row r="580">
      <c r="A580" s="13" t="s">
        <v>1153</v>
      </c>
      <c r="B580" s="13" t="s">
        <v>257</v>
      </c>
      <c r="C580" s="14">
        <v>57.0</v>
      </c>
      <c r="D580" s="13" t="s">
        <v>35</v>
      </c>
      <c r="E580" s="13" t="s">
        <v>36</v>
      </c>
      <c r="F580" s="13" t="s">
        <v>62</v>
      </c>
      <c r="G580" s="13" t="s">
        <v>128</v>
      </c>
      <c r="H580" s="16">
        <v>44576.0</v>
      </c>
      <c r="I580" s="14">
        <v>25.0</v>
      </c>
      <c r="J580" s="13" t="s">
        <v>53</v>
      </c>
      <c r="K580" s="13" t="s">
        <v>65</v>
      </c>
      <c r="L580" s="14">
        <v>888.0</v>
      </c>
      <c r="M580" s="18" t="s">
        <v>43</v>
      </c>
      <c r="N580" s="18" t="s">
        <v>98</v>
      </c>
      <c r="O580" s="18">
        <v>22.2</v>
      </c>
      <c r="P580" s="18" t="s">
        <v>48</v>
      </c>
      <c r="Q580" s="16">
        <v>45083.0</v>
      </c>
      <c r="R580" s="16" t="s">
        <v>38</v>
      </c>
      <c r="S580" s="13" t="s">
        <v>55</v>
      </c>
      <c r="T580" s="13" t="s">
        <v>72</v>
      </c>
      <c r="U580" s="13">
        <f t="shared" si="1"/>
        <v>2</v>
      </c>
      <c r="V580" s="13" t="str">
        <f t="shared" si="2"/>
        <v>C01363|Sneha Reddy|57|North|Delhi|Basic|Youtube|1/15/2022|25|Quarterly|Credit Card|888|2|1|22.20|3.6|6/6/2023||Active|Collaboration</v>
      </c>
      <c r="W580" s="13">
        <f t="shared" si="3"/>
        <v>1</v>
      </c>
      <c r="X580" s="13">
        <f>IFERROR(__xludf.DUMMYFUNCTION("COUNTUNIQUE(FILTER($B$2:$B$1826,$A$2:$A$1826=A580))"),2.0)</f>
        <v>2</v>
      </c>
    </row>
    <row r="581">
      <c r="A581" s="13" t="s">
        <v>1154</v>
      </c>
      <c r="B581" s="13" t="s">
        <v>303</v>
      </c>
      <c r="C581" s="14">
        <v>48.0</v>
      </c>
      <c r="D581" s="13" t="s">
        <v>60</v>
      </c>
      <c r="E581" s="13" t="s">
        <v>107</v>
      </c>
      <c r="F581" s="13" t="s">
        <v>37</v>
      </c>
      <c r="G581" s="13" t="s">
        <v>210</v>
      </c>
      <c r="H581" s="16">
        <v>45924.0</v>
      </c>
      <c r="I581" s="14">
        <v>26.0</v>
      </c>
      <c r="J581" s="13" t="s">
        <v>64</v>
      </c>
      <c r="K581" s="13" t="s">
        <v>65</v>
      </c>
      <c r="L581" s="14">
        <v>1363.0</v>
      </c>
      <c r="M581" s="18" t="s">
        <v>98</v>
      </c>
      <c r="N581" s="18" t="s">
        <v>98</v>
      </c>
      <c r="O581" s="18">
        <v>39.2</v>
      </c>
      <c r="P581" s="18" t="s">
        <v>408</v>
      </c>
      <c r="Q581" s="16">
        <v>46272.0</v>
      </c>
      <c r="R581" s="16" t="s">
        <v>38</v>
      </c>
      <c r="S581" s="13" t="s">
        <v>55</v>
      </c>
      <c r="T581" s="13" t="s">
        <v>47</v>
      </c>
      <c r="U581" s="13">
        <f t="shared" si="1"/>
        <v>2</v>
      </c>
      <c r="V581" s="13" t="str">
        <f t="shared" si="2"/>
        <v>C01397|Priya Kumar|48|East|Patna|Standard|Referral|9/24/2025|26|Annual|Credit Card|1,363|1|1|39.20|4.2|9/7/2026||Active|Cloud Storage</v>
      </c>
      <c r="W581" s="13">
        <f t="shared" si="3"/>
        <v>1</v>
      </c>
      <c r="X581" s="13">
        <f>IFERROR(__xludf.DUMMYFUNCTION("COUNTUNIQUE(FILTER($B$2:$B$1826,$A$2:$A$1826=A581))"),2.0)</f>
        <v>2</v>
      </c>
    </row>
    <row r="582">
      <c r="A582" s="13" t="s">
        <v>1155</v>
      </c>
      <c r="B582" s="13" t="s">
        <v>476</v>
      </c>
      <c r="C582" s="14">
        <v>61.0</v>
      </c>
      <c r="D582" s="13" t="s">
        <v>69</v>
      </c>
      <c r="E582" s="13" t="s">
        <v>161</v>
      </c>
      <c r="F582" s="13" t="s">
        <v>79</v>
      </c>
      <c r="G582" s="13" t="s">
        <v>128</v>
      </c>
      <c r="H582" s="16">
        <v>45071.0</v>
      </c>
      <c r="I582" s="14">
        <v>24.0</v>
      </c>
      <c r="J582" s="13" t="s">
        <v>40</v>
      </c>
      <c r="K582" s="13" t="s">
        <v>41</v>
      </c>
      <c r="L582" s="14">
        <v>3780.0</v>
      </c>
      <c r="M582" s="18" t="s">
        <v>98</v>
      </c>
      <c r="N582" s="18" t="s">
        <v>98</v>
      </c>
      <c r="O582" s="18">
        <v>28.3</v>
      </c>
      <c r="P582" s="18" t="s">
        <v>233</v>
      </c>
      <c r="Q582" s="16">
        <v>45567.0</v>
      </c>
      <c r="R582" s="16" t="s">
        <v>38</v>
      </c>
      <c r="S582" s="13" t="s">
        <v>55</v>
      </c>
      <c r="T582" s="13" t="s">
        <v>72</v>
      </c>
      <c r="U582" s="13">
        <f t="shared" si="1"/>
        <v>3</v>
      </c>
      <c r="V582" s="13" t="str">
        <f t="shared" si="2"/>
        <v>C00053|Ravi Das|61|South|Chandigarh|Premium|Youtube|5/25/2023|24|Monthly|Upi|3,780|1|1|28.30|3.5|10/2/2024||Active|Collaboration</v>
      </c>
      <c r="W582" s="13">
        <f t="shared" si="3"/>
        <v>1</v>
      </c>
      <c r="X582" s="13">
        <f>IFERROR(__xludf.DUMMYFUNCTION("COUNTUNIQUE(FILTER($B$2:$B$1826,$A$2:$A$1826=A582))"),3.0)</f>
        <v>3</v>
      </c>
    </row>
    <row r="583">
      <c r="A583" s="13" t="s">
        <v>1157</v>
      </c>
      <c r="B583" s="13" t="s">
        <v>342</v>
      </c>
      <c r="C583" s="14">
        <v>46.0</v>
      </c>
      <c r="D583" s="13" t="s">
        <v>60</v>
      </c>
      <c r="E583" s="13" t="s">
        <v>61</v>
      </c>
      <c r="F583" s="13" t="s">
        <v>79</v>
      </c>
      <c r="G583" s="13" t="s">
        <v>52</v>
      </c>
      <c r="H583" s="16">
        <v>45228.0</v>
      </c>
      <c r="I583" s="14">
        <v>44.0</v>
      </c>
      <c r="J583" s="13" t="s">
        <v>53</v>
      </c>
      <c r="K583" s="13" t="s">
        <v>81</v>
      </c>
      <c r="L583" s="14">
        <v>2818.0</v>
      </c>
      <c r="M583" s="18" t="s">
        <v>164</v>
      </c>
      <c r="N583" s="18" t="s">
        <v>98</v>
      </c>
      <c r="O583" s="18">
        <v>40.3</v>
      </c>
      <c r="P583" s="18" t="s">
        <v>1558</v>
      </c>
      <c r="Q583" s="16">
        <v>46492.0</v>
      </c>
      <c r="R583" s="16" t="s">
        <v>38</v>
      </c>
      <c r="S583" s="13" t="s">
        <v>55</v>
      </c>
      <c r="T583" s="13" t="s">
        <v>104</v>
      </c>
      <c r="U583" s="13">
        <f t="shared" si="1"/>
        <v>3</v>
      </c>
      <c r="V583" s="13" t="str">
        <f t="shared" si="2"/>
        <v>C00035|Priya Reddy|46|East|Kolkata|Premium|Facebook|10/29/2023|44|Quarterly|Debit Card|2,818|3|1|40.30|1.5|4/15/2027||Active|Analytics</v>
      </c>
      <c r="W583" s="13">
        <f t="shared" si="3"/>
        <v>1</v>
      </c>
      <c r="X583" s="13">
        <f>IFERROR(__xludf.DUMMYFUNCTION("COUNTUNIQUE(FILTER($B$2:$B$1826,$A$2:$A$1826=A583))"),3.0)</f>
        <v>3</v>
      </c>
    </row>
    <row r="584">
      <c r="A584" s="13" t="s">
        <v>822</v>
      </c>
      <c r="B584" s="13" t="s">
        <v>736</v>
      </c>
      <c r="C584" s="14">
        <v>62.0</v>
      </c>
      <c r="D584" s="13" t="s">
        <v>85</v>
      </c>
      <c r="E584" s="13" t="s">
        <v>92</v>
      </c>
      <c r="F584" s="13" t="s">
        <v>37</v>
      </c>
      <c r="G584" s="13" t="s">
        <v>52</v>
      </c>
      <c r="H584" s="16">
        <v>44855.0</v>
      </c>
      <c r="I584" s="14">
        <v>34.0</v>
      </c>
      <c r="J584" s="13" t="s">
        <v>64</v>
      </c>
      <c r="K584" s="13" t="s">
        <v>65</v>
      </c>
      <c r="L584" s="14">
        <v>1515.0</v>
      </c>
      <c r="M584" s="18" t="s">
        <v>99</v>
      </c>
      <c r="N584" s="18" t="s">
        <v>46</v>
      </c>
      <c r="O584" s="18">
        <v>29.0</v>
      </c>
      <c r="P584" s="18" t="s">
        <v>164</v>
      </c>
      <c r="Q584" s="16">
        <v>45126.0</v>
      </c>
      <c r="R584" s="16">
        <v>45630.0</v>
      </c>
      <c r="S584" s="13" t="s">
        <v>45</v>
      </c>
      <c r="T584" s="13" t="s">
        <v>47</v>
      </c>
      <c r="U584" s="13">
        <f t="shared" si="1"/>
        <v>3</v>
      </c>
      <c r="V584" s="13" t="str">
        <f t="shared" si="2"/>
        <v>C01504|Priya Iyer|62|West|Ahmedabad|Standard|Facebook|10/21/2022|34|Annual|Credit Card|1,515|4|0|29.00|3|7/19/2023|12/4/2024|Churned|Cloud Storage</v>
      </c>
      <c r="W584" s="13">
        <f t="shared" si="3"/>
        <v>1</v>
      </c>
      <c r="X584" s="13">
        <f>IFERROR(__xludf.DUMMYFUNCTION("COUNTUNIQUE(FILTER($B$2:$B$1826,$A$2:$A$1826=A584))"),3.0)</f>
        <v>3</v>
      </c>
    </row>
    <row r="585">
      <c r="A585" s="13" t="s">
        <v>1159</v>
      </c>
      <c r="B585" s="13" t="s">
        <v>308</v>
      </c>
      <c r="C585" s="14">
        <v>29.0</v>
      </c>
      <c r="D585" s="13" t="s">
        <v>35</v>
      </c>
      <c r="E585" s="13" t="s">
        <v>140</v>
      </c>
      <c r="F585" s="13" t="s">
        <v>37</v>
      </c>
      <c r="G585" s="13" t="s">
        <v>39</v>
      </c>
      <c r="H585" s="16">
        <v>45060.0</v>
      </c>
      <c r="I585" s="14">
        <v>14.0</v>
      </c>
      <c r="J585" s="13" t="s">
        <v>53</v>
      </c>
      <c r="K585" s="13" t="s">
        <v>65</v>
      </c>
      <c r="L585" s="14">
        <v>1715.0</v>
      </c>
      <c r="M585" s="18" t="s">
        <v>46</v>
      </c>
      <c r="N585" s="18" t="s">
        <v>43</v>
      </c>
      <c r="O585" s="18">
        <v>44.8</v>
      </c>
      <c r="P585" s="18" t="s">
        <v>408</v>
      </c>
      <c r="Q585" s="16">
        <v>45124.0</v>
      </c>
      <c r="R585" s="16" t="s">
        <v>38</v>
      </c>
      <c r="S585" s="13" t="s">
        <v>55</v>
      </c>
      <c r="T585" s="13" t="s">
        <v>72</v>
      </c>
      <c r="U585" s="13">
        <f t="shared" si="1"/>
        <v>2</v>
      </c>
      <c r="V585" s="13" t="str">
        <f t="shared" si="2"/>
        <v>C00914|Karan Kumar|29|North|Lucknow|Standard|Instagram|5/14/2023|14|Quarterly|Credit Card|1,715|0|2|44.80|4.2|7/17/2023||Active|Collaboration</v>
      </c>
      <c r="W585" s="13">
        <f t="shared" si="3"/>
        <v>1</v>
      </c>
      <c r="X585" s="13">
        <f>IFERROR(__xludf.DUMMYFUNCTION("COUNTUNIQUE(FILTER($B$2:$B$1826,$A$2:$A$1826=A585))"),2.0)</f>
        <v>2</v>
      </c>
    </row>
    <row r="586">
      <c r="A586" s="13" t="s">
        <v>1136</v>
      </c>
      <c r="B586" s="13" t="s">
        <v>342</v>
      </c>
      <c r="C586" s="14">
        <v>33.0</v>
      </c>
      <c r="D586" s="13" t="s">
        <v>60</v>
      </c>
      <c r="E586" s="13" t="s">
        <v>133</v>
      </c>
      <c r="F586" s="13" t="s">
        <v>79</v>
      </c>
      <c r="G586" s="13" t="s">
        <v>52</v>
      </c>
      <c r="H586" s="16">
        <v>44814.0</v>
      </c>
      <c r="I586" s="14">
        <v>43.0</v>
      </c>
      <c r="J586" s="13" t="s">
        <v>64</v>
      </c>
      <c r="K586" s="13" t="s">
        <v>81</v>
      </c>
      <c r="L586" s="14">
        <v>3484.0</v>
      </c>
      <c r="M586" s="18" t="s">
        <v>99</v>
      </c>
      <c r="N586" s="18" t="s">
        <v>98</v>
      </c>
      <c r="O586" s="18">
        <v>24.9</v>
      </c>
      <c r="P586" s="18" t="s">
        <v>225</v>
      </c>
      <c r="Q586" s="16">
        <v>45831.0</v>
      </c>
      <c r="R586" s="16" t="s">
        <v>38</v>
      </c>
      <c r="S586" s="13" t="s">
        <v>55</v>
      </c>
      <c r="T586" s="13" t="s">
        <v>104</v>
      </c>
      <c r="U586" s="13">
        <f t="shared" si="1"/>
        <v>3</v>
      </c>
      <c r="V586" s="13" t="str">
        <f t="shared" si="2"/>
        <v>C00452|Priya Reddy|33|East|Guwahati|Premium|Facebook|9/10/2022|43|Annual|Debit Card|3,484|4|1|24.90|3.8|6/23/2025||Active|Analytics</v>
      </c>
      <c r="W586" s="13">
        <f t="shared" si="3"/>
        <v>1</v>
      </c>
      <c r="X586" s="13">
        <f>IFERROR(__xludf.DUMMYFUNCTION("COUNTUNIQUE(FILTER($B$2:$B$1826,$A$2:$A$1826=A586))"),3.0)</f>
        <v>3</v>
      </c>
    </row>
    <row r="587">
      <c r="A587" s="13" t="s">
        <v>1162</v>
      </c>
      <c r="B587" s="13" t="s">
        <v>380</v>
      </c>
      <c r="C587" s="14">
        <v>26.0</v>
      </c>
      <c r="D587" s="13" t="s">
        <v>60</v>
      </c>
      <c r="E587" s="13" t="s">
        <v>133</v>
      </c>
      <c r="F587" s="13" t="s">
        <v>79</v>
      </c>
      <c r="G587" s="13" t="s">
        <v>52</v>
      </c>
      <c r="H587" s="16">
        <v>45343.0</v>
      </c>
      <c r="I587" s="14">
        <v>42.0</v>
      </c>
      <c r="J587" s="13" t="s">
        <v>53</v>
      </c>
      <c r="K587" s="13" t="s">
        <v>41</v>
      </c>
      <c r="L587" s="14">
        <v>3654.0</v>
      </c>
      <c r="M587" s="18" t="s">
        <v>43</v>
      </c>
      <c r="N587" s="18" t="s">
        <v>46</v>
      </c>
      <c r="O587" s="18">
        <v>47.2</v>
      </c>
      <c r="P587" s="18" t="s">
        <v>368</v>
      </c>
      <c r="Q587" s="16">
        <v>45830.0</v>
      </c>
      <c r="R587" s="16" t="s">
        <v>38</v>
      </c>
      <c r="S587" s="13" t="s">
        <v>55</v>
      </c>
      <c r="T587" s="13" t="s">
        <v>104</v>
      </c>
      <c r="U587" s="13">
        <f t="shared" si="1"/>
        <v>3</v>
      </c>
      <c r="V587" s="13" t="str">
        <f t="shared" si="2"/>
        <v>C01319|Neha Iyer|26|East|Guwahati|Premium|Facebook|2/21/2024|42|Quarterly|Upi|3,654|2|0|47.20|4.9|6/22/2025||Active|Analytics</v>
      </c>
      <c r="W587" s="13">
        <f t="shared" si="3"/>
        <v>1</v>
      </c>
      <c r="X587" s="13">
        <f>IFERROR(__xludf.DUMMYFUNCTION("COUNTUNIQUE(FILTER($B$2:$B$1826,$A$2:$A$1826=A587))"),3.0)</f>
        <v>3</v>
      </c>
    </row>
    <row r="588">
      <c r="A588" s="13" t="s">
        <v>1163</v>
      </c>
      <c r="B588" s="13" t="s">
        <v>152</v>
      </c>
      <c r="C588" s="14">
        <v>56.0</v>
      </c>
      <c r="D588" s="13" t="s">
        <v>60</v>
      </c>
      <c r="E588" s="13" t="s">
        <v>97</v>
      </c>
      <c r="F588" s="13" t="s">
        <v>37</v>
      </c>
      <c r="G588" s="13" t="s">
        <v>63</v>
      </c>
      <c r="H588" s="16">
        <v>45735.0</v>
      </c>
      <c r="I588" s="14">
        <v>120.0</v>
      </c>
      <c r="J588" s="13" t="s">
        <v>64</v>
      </c>
      <c r="K588" s="13" t="s">
        <v>41</v>
      </c>
      <c r="L588" s="14">
        <v>1388.0</v>
      </c>
      <c r="M588" s="18" t="s">
        <v>46</v>
      </c>
      <c r="N588" s="18" t="s">
        <v>164</v>
      </c>
      <c r="O588" s="18">
        <v>19.9</v>
      </c>
      <c r="P588" s="18" t="s">
        <v>185</v>
      </c>
      <c r="Q588" s="16">
        <v>45746.0</v>
      </c>
      <c r="R588" s="16" t="s">
        <v>38</v>
      </c>
      <c r="S588" s="13" t="s">
        <v>55</v>
      </c>
      <c r="T588" s="13" t="s">
        <v>75</v>
      </c>
      <c r="U588" s="13">
        <f t="shared" si="1"/>
        <v>2</v>
      </c>
      <c r="V588" s="13" t="str">
        <f t="shared" si="2"/>
        <v>C00183|Vikram Kumar|56|East|Bhubaneswar|Standard|Google Ads|3/19/2025|120|Annual|Upi|1,388|0|3|19.90|3.2|3/30/2025||Active|Security</v>
      </c>
      <c r="W588" s="13">
        <f t="shared" si="3"/>
        <v>1</v>
      </c>
      <c r="X588" s="13">
        <f>IFERROR(__xludf.DUMMYFUNCTION("COUNTUNIQUE(FILTER($B$2:$B$1826,$A$2:$A$1826=A588))"),2.0)</f>
        <v>2</v>
      </c>
    </row>
    <row r="589">
      <c r="A589" s="13" t="s">
        <v>1164</v>
      </c>
      <c r="B589" s="13" t="s">
        <v>345</v>
      </c>
      <c r="C589" s="14">
        <v>39.0</v>
      </c>
      <c r="D589" s="13" t="s">
        <v>60</v>
      </c>
      <c r="E589" s="13" t="s">
        <v>107</v>
      </c>
      <c r="F589" s="13" t="s">
        <v>37</v>
      </c>
      <c r="G589" s="13" t="s">
        <v>128</v>
      </c>
      <c r="H589" s="16">
        <v>44820.0</v>
      </c>
      <c r="I589" s="14">
        <v>34.0</v>
      </c>
      <c r="J589" s="13" t="s">
        <v>40</v>
      </c>
      <c r="K589" s="13" t="s">
        <v>65</v>
      </c>
      <c r="L589" s="14">
        <v>1226.0</v>
      </c>
      <c r="M589" s="18" t="s">
        <v>46</v>
      </c>
      <c r="N589" s="18" t="s">
        <v>46</v>
      </c>
      <c r="O589" s="18">
        <v>16.8</v>
      </c>
      <c r="P589" s="18" t="s">
        <v>185</v>
      </c>
      <c r="Q589" s="16">
        <v>45639.0</v>
      </c>
      <c r="R589" s="16" t="s">
        <v>38</v>
      </c>
      <c r="S589" s="13" t="s">
        <v>55</v>
      </c>
      <c r="T589" s="13" t="s">
        <v>47</v>
      </c>
      <c r="U589" s="13">
        <f t="shared" si="1"/>
        <v>2</v>
      </c>
      <c r="V589" s="13" t="str">
        <f t="shared" si="2"/>
        <v>C00868|Arun Nair|39|East|Patna|Standard|Youtube|9/16/2022|34|Monthly|Credit Card|1,226|0|0|16.80|3.2|12/13/2024||Active|Cloud Storage</v>
      </c>
      <c r="W589" s="13">
        <f t="shared" si="3"/>
        <v>1</v>
      </c>
      <c r="X589" s="13">
        <f>IFERROR(__xludf.DUMMYFUNCTION("COUNTUNIQUE(FILTER($B$2:$B$1826,$A$2:$A$1826=A589))"),2.0)</f>
        <v>2</v>
      </c>
    </row>
    <row r="590">
      <c r="A590" s="13" t="s">
        <v>1167</v>
      </c>
      <c r="B590" s="13" t="s">
        <v>169</v>
      </c>
      <c r="C590" s="14" t="s">
        <v>38</v>
      </c>
      <c r="D590" s="13" t="s">
        <v>85</v>
      </c>
      <c r="E590" s="13" t="s">
        <v>111</v>
      </c>
      <c r="F590" s="13" t="s">
        <v>37</v>
      </c>
      <c r="G590" s="13" t="s">
        <v>39</v>
      </c>
      <c r="H590" s="16">
        <v>45924.0</v>
      </c>
      <c r="I590" s="14">
        <v>45.0</v>
      </c>
      <c r="J590" s="13" t="s">
        <v>40</v>
      </c>
      <c r="K590" s="13" t="s">
        <v>65</v>
      </c>
      <c r="L590" s="14">
        <v>1315.0</v>
      </c>
      <c r="M590" s="18" t="s">
        <v>164</v>
      </c>
      <c r="N590" s="18" t="s">
        <v>46</v>
      </c>
      <c r="O590" s="18">
        <v>33.0</v>
      </c>
      <c r="P590" s="18" t="s">
        <v>296</v>
      </c>
      <c r="Q590" s="16">
        <v>46186.0</v>
      </c>
      <c r="R590" s="16" t="s">
        <v>38</v>
      </c>
      <c r="S590" s="13" t="s">
        <v>55</v>
      </c>
      <c r="T590" s="13" t="s">
        <v>72</v>
      </c>
      <c r="U590" s="13">
        <f t="shared" si="1"/>
        <v>2</v>
      </c>
      <c r="V590" s="13" t="str">
        <f t="shared" si="2"/>
        <v>C01024|Vikram Nair||West|Pune|Standard|Instagram|9/24/2025|45|Monthly|Credit Card|1,315|3|0|33.00|4.6|6/13/2026||Active|Collaboration</v>
      </c>
      <c r="W590" s="13">
        <f t="shared" si="3"/>
        <v>1</v>
      </c>
      <c r="X590" s="13">
        <f>IFERROR(__xludf.DUMMYFUNCTION("COUNTUNIQUE(FILTER($B$2:$B$1826,$A$2:$A$1826=A590))"),2.0)</f>
        <v>2</v>
      </c>
    </row>
    <row r="591">
      <c r="A591" s="13" t="s">
        <v>1168</v>
      </c>
      <c r="B591" s="13" t="s">
        <v>383</v>
      </c>
      <c r="C591" s="14">
        <v>65.0</v>
      </c>
      <c r="D591" s="13" t="s">
        <v>85</v>
      </c>
      <c r="E591" s="13" t="s">
        <v>292</v>
      </c>
      <c r="F591" s="13" t="s">
        <v>79</v>
      </c>
      <c r="G591" s="13" t="s">
        <v>210</v>
      </c>
      <c r="H591" s="16">
        <v>44874.0</v>
      </c>
      <c r="I591" s="14">
        <v>46.0</v>
      </c>
      <c r="J591" s="13" t="s">
        <v>53</v>
      </c>
      <c r="K591" s="13" t="s">
        <v>65</v>
      </c>
      <c r="L591" s="14">
        <v>3433.0</v>
      </c>
      <c r="M591" s="18" t="s">
        <v>99</v>
      </c>
      <c r="N591" s="18" t="s">
        <v>98</v>
      </c>
      <c r="O591" s="18">
        <v>47.4</v>
      </c>
      <c r="P591" s="18" t="s">
        <v>310</v>
      </c>
      <c r="Q591" s="16">
        <v>44991.0</v>
      </c>
      <c r="R591" s="16" t="s">
        <v>38</v>
      </c>
      <c r="S591" s="13" t="s">
        <v>55</v>
      </c>
      <c r="T591" s="13" t="s">
        <v>47</v>
      </c>
      <c r="U591" s="13">
        <f t="shared" si="1"/>
        <v>2</v>
      </c>
      <c r="V591" s="13" t="str">
        <f t="shared" si="2"/>
        <v>C01443|Rahul Nair|65|West|Mumbai|Premium|Referral|11/9/2022|46|Quarterly|Credit Card|3,433|4|1|47.40|3.1|3/6/2023||Active|Cloud Storage</v>
      </c>
      <c r="W591" s="13">
        <f t="shared" si="3"/>
        <v>1</v>
      </c>
      <c r="X591" s="13">
        <f>IFERROR(__xludf.DUMMYFUNCTION("COUNTUNIQUE(FILTER($B$2:$B$1826,$A$2:$A$1826=A591))"),2.0)</f>
        <v>2</v>
      </c>
    </row>
    <row r="592">
      <c r="A592" s="13" t="s">
        <v>828</v>
      </c>
      <c r="B592" s="13" t="s">
        <v>333</v>
      </c>
      <c r="C592" s="14">
        <v>25.0</v>
      </c>
      <c r="D592" s="13" t="s">
        <v>85</v>
      </c>
      <c r="E592" s="13" t="s">
        <v>92</v>
      </c>
      <c r="F592" s="13" t="s">
        <v>62</v>
      </c>
      <c r="G592" s="13" t="s">
        <v>120</v>
      </c>
      <c r="H592" s="16">
        <v>45275.0</v>
      </c>
      <c r="I592" s="14">
        <v>26.0</v>
      </c>
      <c r="J592" s="13" t="s">
        <v>53</v>
      </c>
      <c r="K592" s="13" t="s">
        <v>65</v>
      </c>
      <c r="L592" s="14">
        <v>769.0</v>
      </c>
      <c r="M592" s="18" t="s">
        <v>99</v>
      </c>
      <c r="N592" s="18" t="s">
        <v>98</v>
      </c>
      <c r="O592" s="18">
        <v>13.2</v>
      </c>
      <c r="P592" s="18" t="s">
        <v>376</v>
      </c>
      <c r="Q592" s="16">
        <v>45574.0</v>
      </c>
      <c r="R592" s="16" t="s">
        <v>38</v>
      </c>
      <c r="S592" s="13" t="s">
        <v>55</v>
      </c>
      <c r="T592" s="13" t="s">
        <v>66</v>
      </c>
      <c r="U592" s="13">
        <f t="shared" si="1"/>
        <v>4</v>
      </c>
      <c r="V592" s="13" t="str">
        <f t="shared" si="2"/>
        <v>C00045|Neha Das|25|West|Ahmedabad|Basic|Email|12/15/2023|26|Quarterly|Credit Card|769|4|1|13.20|6|10/9/2024||Active|Automation</v>
      </c>
      <c r="W592" s="13">
        <f t="shared" si="3"/>
        <v>1</v>
      </c>
      <c r="X592" s="13">
        <f>IFERROR(__xludf.DUMMYFUNCTION("COUNTUNIQUE(FILTER($B$2:$B$1826,$A$2:$A$1826=A592))"),4.0)</f>
        <v>4</v>
      </c>
    </row>
    <row r="593">
      <c r="A593" s="13" t="s">
        <v>1169</v>
      </c>
      <c r="B593" s="13" t="s">
        <v>424</v>
      </c>
      <c r="C593" s="14">
        <v>42.0</v>
      </c>
      <c r="D593" s="13" t="s">
        <v>60</v>
      </c>
      <c r="E593" s="13" t="s">
        <v>133</v>
      </c>
      <c r="F593" s="13" t="s">
        <v>37</v>
      </c>
      <c r="G593" s="13" t="s">
        <v>80</v>
      </c>
      <c r="H593" s="16">
        <v>44843.0</v>
      </c>
      <c r="I593" s="14">
        <v>29.0</v>
      </c>
      <c r="J593" s="13" t="s">
        <v>64</v>
      </c>
      <c r="K593" s="13" t="s">
        <v>81</v>
      </c>
      <c r="L593" s="14">
        <v>1147.0</v>
      </c>
      <c r="M593" s="18" t="s">
        <v>43</v>
      </c>
      <c r="N593" s="18" t="s">
        <v>43</v>
      </c>
      <c r="O593" s="18">
        <v>21.6</v>
      </c>
      <c r="P593" s="18" t="s">
        <v>123</v>
      </c>
      <c r="Q593" s="16">
        <v>45076.0</v>
      </c>
      <c r="R593" s="16" t="s">
        <v>38</v>
      </c>
      <c r="S593" s="13" t="s">
        <v>55</v>
      </c>
      <c r="T593" s="13" t="s">
        <v>104</v>
      </c>
      <c r="U593" s="13">
        <f t="shared" si="1"/>
        <v>2</v>
      </c>
      <c r="V593" s="13" t="str">
        <f t="shared" si="2"/>
        <v>C00111|Neha Kumar|42|East|Guwahati|Standard|Organic Search|10/9/2022|29|Annual|Debit Card|1,147|2|2|21.60|4.1|5/30/2023||Active|Analytics</v>
      </c>
      <c r="W593" s="13">
        <f t="shared" si="3"/>
        <v>1</v>
      </c>
      <c r="X593" s="13">
        <f>IFERROR(__xludf.DUMMYFUNCTION("COUNTUNIQUE(FILTER($B$2:$B$1826,$A$2:$A$1826=A593))"),2.0)</f>
        <v>2</v>
      </c>
    </row>
    <row r="594">
      <c r="A594" s="13" t="s">
        <v>1170</v>
      </c>
      <c r="B594" s="13" t="s">
        <v>651</v>
      </c>
      <c r="C594" s="14">
        <v>51.0</v>
      </c>
      <c r="D594" s="13" t="s">
        <v>69</v>
      </c>
      <c r="E594" s="13" t="s">
        <v>119</v>
      </c>
      <c r="F594" s="13" t="s">
        <v>79</v>
      </c>
      <c r="G594" s="13" t="s">
        <v>120</v>
      </c>
      <c r="H594" s="16">
        <v>45953.0</v>
      </c>
      <c r="I594" s="14">
        <v>11.0</v>
      </c>
      <c r="J594" s="13" t="s">
        <v>64</v>
      </c>
      <c r="K594" s="13" t="s">
        <v>65</v>
      </c>
      <c r="L594" s="14">
        <v>3994.0</v>
      </c>
      <c r="M594" s="18" t="s">
        <v>46</v>
      </c>
      <c r="N594" s="18" t="s">
        <v>46</v>
      </c>
      <c r="O594" s="18">
        <v>30.3</v>
      </c>
      <c r="P594" s="18" t="s">
        <v>173</v>
      </c>
      <c r="Q594" s="16">
        <v>46205.0</v>
      </c>
      <c r="R594" s="16" t="s">
        <v>892</v>
      </c>
      <c r="S594" s="13" t="s">
        <v>45</v>
      </c>
      <c r="T594" s="13" t="s">
        <v>66</v>
      </c>
      <c r="U594" s="13">
        <f t="shared" si="1"/>
        <v>1</v>
      </c>
      <c r="V594" s="13" t="str">
        <f t="shared" si="2"/>
        <v>C01390|Arun Sharma|51|South|Kochi|Premium|Email|10/23/2025|11|Annual|Credit Card|3,994|0|0|30.30|5|7/2/2026|21/02/2026|Churned|Automation</v>
      </c>
      <c r="W594" s="13">
        <f t="shared" si="3"/>
        <v>1</v>
      </c>
      <c r="X594" s="13">
        <f>IFERROR(__xludf.DUMMYFUNCTION("COUNTUNIQUE(FILTER($B$2:$B$1826,$A$2:$A$1826=A594))"),1.0)</f>
        <v>1</v>
      </c>
    </row>
    <row r="595">
      <c r="A595" s="13" t="s">
        <v>1175</v>
      </c>
      <c r="B595" s="13" t="s">
        <v>135</v>
      </c>
      <c r="C595" s="14">
        <v>68.0</v>
      </c>
      <c r="D595" s="13" t="s">
        <v>69</v>
      </c>
      <c r="E595" s="13" t="s">
        <v>119</v>
      </c>
      <c r="F595" s="13" t="s">
        <v>62</v>
      </c>
      <c r="G595" s="13" t="s">
        <v>63</v>
      </c>
      <c r="H595" s="16">
        <v>45055.0</v>
      </c>
      <c r="I595" s="14">
        <v>26.0</v>
      </c>
      <c r="J595" s="13" t="s">
        <v>53</v>
      </c>
      <c r="K595" s="13" t="s">
        <v>81</v>
      </c>
      <c r="L595" s="14">
        <v>851.0</v>
      </c>
      <c r="M595" s="18" t="s">
        <v>164</v>
      </c>
      <c r="N595" s="18" t="s">
        <v>98</v>
      </c>
      <c r="O595" s="18">
        <v>13.3</v>
      </c>
      <c r="P595" s="18" t="s">
        <v>248</v>
      </c>
      <c r="Q595" s="16">
        <v>45241.0</v>
      </c>
      <c r="R595" s="16" t="s">
        <v>38</v>
      </c>
      <c r="S595" s="13" t="s">
        <v>55</v>
      </c>
      <c r="T595" s="13" t="s">
        <v>75</v>
      </c>
      <c r="U595" s="13">
        <f t="shared" si="1"/>
        <v>3</v>
      </c>
      <c r="V595" s="13" t="str">
        <f t="shared" si="2"/>
        <v>C00889|Karan Sharma|68|South|Kochi|Basic|Google Ads|5/9/2023|26|Quarterly|Debit Card|851|3|1|13.30|2.6|11/11/2023||Active|Security</v>
      </c>
      <c r="W595" s="13">
        <f t="shared" si="3"/>
        <v>1</v>
      </c>
      <c r="X595" s="13">
        <f>IFERROR(__xludf.DUMMYFUNCTION("COUNTUNIQUE(FILTER($B$2:$B$1826,$A$2:$A$1826=A595))"),3.0)</f>
        <v>3</v>
      </c>
    </row>
    <row r="596">
      <c r="A596" s="13" t="s">
        <v>644</v>
      </c>
      <c r="B596" s="13" t="s">
        <v>351</v>
      </c>
      <c r="C596" s="14">
        <v>36.0</v>
      </c>
      <c r="D596" s="13" t="s">
        <v>85</v>
      </c>
      <c r="E596" s="13" t="s">
        <v>92</v>
      </c>
      <c r="F596" s="13" t="s">
        <v>62</v>
      </c>
      <c r="G596" s="13" t="s">
        <v>63</v>
      </c>
      <c r="H596" s="16">
        <v>44731.0</v>
      </c>
      <c r="I596" s="14">
        <v>8.0</v>
      </c>
      <c r="J596" s="13" t="s">
        <v>64</v>
      </c>
      <c r="K596" s="13" t="s">
        <v>81</v>
      </c>
      <c r="L596" s="14">
        <v>841.0</v>
      </c>
      <c r="M596" s="18" t="s">
        <v>43</v>
      </c>
      <c r="N596" s="18" t="s">
        <v>98</v>
      </c>
      <c r="O596" s="18">
        <v>17.2</v>
      </c>
      <c r="P596" s="18" t="s">
        <v>248</v>
      </c>
      <c r="Q596" s="16">
        <v>44746.0</v>
      </c>
      <c r="R596" s="16" t="s">
        <v>38</v>
      </c>
      <c r="S596" s="13" t="s">
        <v>55</v>
      </c>
      <c r="T596" s="13" t="s">
        <v>104</v>
      </c>
      <c r="U596" s="13">
        <f t="shared" si="1"/>
        <v>2</v>
      </c>
      <c r="V596" s="13" t="str">
        <f t="shared" si="2"/>
        <v>C00564|Meera Nair|36|West|Ahmedabad|Basic|Google Ads|6/19/2022|8|Annual|Debit Card|841|2|1|17.20|2.6|7/4/2022||Active|Analytics</v>
      </c>
      <c r="W596" s="13">
        <f t="shared" si="3"/>
        <v>1</v>
      </c>
      <c r="X596" s="13">
        <f>IFERROR(__xludf.DUMMYFUNCTION("COUNTUNIQUE(FILTER($B$2:$B$1826,$A$2:$A$1826=A596))"),2.0)</f>
        <v>2</v>
      </c>
    </row>
    <row r="597">
      <c r="A597" s="13" t="s">
        <v>1180</v>
      </c>
      <c r="B597" s="13" t="s">
        <v>145</v>
      </c>
      <c r="C597" s="14">
        <v>44.0</v>
      </c>
      <c r="D597" s="13" t="s">
        <v>69</v>
      </c>
      <c r="E597" s="13" t="s">
        <v>119</v>
      </c>
      <c r="F597" s="13" t="s">
        <v>37</v>
      </c>
      <c r="G597" s="13" t="s">
        <v>52</v>
      </c>
      <c r="H597" s="16">
        <v>46001.0</v>
      </c>
      <c r="I597" s="14">
        <v>28.0</v>
      </c>
      <c r="J597" s="13" t="s">
        <v>64</v>
      </c>
      <c r="K597" s="13" t="s">
        <v>41</v>
      </c>
      <c r="L597" s="14">
        <v>1100.0</v>
      </c>
      <c r="M597" s="18" t="s">
        <v>43</v>
      </c>
      <c r="N597" s="18" t="s">
        <v>43</v>
      </c>
      <c r="O597" s="18">
        <v>37.6</v>
      </c>
      <c r="P597" s="18" t="s">
        <v>310</v>
      </c>
      <c r="Q597" s="16">
        <v>46076.0</v>
      </c>
      <c r="R597" s="16" t="s">
        <v>38</v>
      </c>
      <c r="S597" s="13" t="s">
        <v>55</v>
      </c>
      <c r="T597" s="13" t="s">
        <v>75</v>
      </c>
      <c r="U597" s="13">
        <f t="shared" si="1"/>
        <v>1</v>
      </c>
      <c r="V597" s="13" t="str">
        <f t="shared" si="2"/>
        <v>C01215|Ravi Patel|44|South|Kochi|Standard|Facebook|12/10/2025|28|Annual|Upi|1,100|2|2|37.60|3.1|2/23/2026||Active|Security</v>
      </c>
      <c r="W597" s="13">
        <f t="shared" si="3"/>
        <v>1</v>
      </c>
      <c r="X597" s="13">
        <f>IFERROR(__xludf.DUMMYFUNCTION("COUNTUNIQUE(FILTER($B$2:$B$1826,$A$2:$A$1826=A597))"),1.0)</f>
        <v>1</v>
      </c>
    </row>
    <row r="598">
      <c r="A598" s="13" t="s">
        <v>226</v>
      </c>
      <c r="B598" s="13" t="s">
        <v>336</v>
      </c>
      <c r="C598" s="14">
        <v>57.0</v>
      </c>
      <c r="D598" s="13" t="s">
        <v>85</v>
      </c>
      <c r="E598" s="13" t="s">
        <v>292</v>
      </c>
      <c r="F598" s="13" t="s">
        <v>37</v>
      </c>
      <c r="G598" s="13" t="s">
        <v>80</v>
      </c>
      <c r="H598" s="16">
        <v>45665.0</v>
      </c>
      <c r="I598" s="14">
        <v>46.0</v>
      </c>
      <c r="J598" s="13" t="s">
        <v>64</v>
      </c>
      <c r="K598" s="13" t="s">
        <v>41</v>
      </c>
      <c r="L598" s="14">
        <v>1126.0</v>
      </c>
      <c r="M598" s="18" t="s">
        <v>46</v>
      </c>
      <c r="N598" s="18" t="s">
        <v>46</v>
      </c>
      <c r="O598" s="18">
        <v>25.9</v>
      </c>
      <c r="P598" s="18" t="s">
        <v>173</v>
      </c>
      <c r="Q598" s="16">
        <v>46099.0</v>
      </c>
      <c r="R598" s="16" t="s">
        <v>1181</v>
      </c>
      <c r="S598" s="13" t="s">
        <v>45</v>
      </c>
      <c r="T598" s="13" t="s">
        <v>104</v>
      </c>
      <c r="U598" s="13">
        <f t="shared" si="1"/>
        <v>5</v>
      </c>
      <c r="V598" s="13" t="str">
        <f t="shared" si="2"/>
        <v>C01139|Priya Patel|57|West|Mumbai|Standard|Organic Search|1/8/2025|46|Annual|Upi|1,126|0|0|25.90|5|3/18/2026|17/10/2028|Churned|Analytics</v>
      </c>
      <c r="W598" s="13">
        <f t="shared" si="3"/>
        <v>1</v>
      </c>
      <c r="X598" s="13">
        <f>IFERROR(__xludf.DUMMYFUNCTION("COUNTUNIQUE(FILTER($B$2:$B$1826,$A$2:$A$1826=A598))"),5.0)</f>
        <v>5</v>
      </c>
    </row>
    <row r="599">
      <c r="A599" s="13" t="s">
        <v>536</v>
      </c>
      <c r="B599" s="13" t="s">
        <v>651</v>
      </c>
      <c r="C599" s="14">
        <v>26.0</v>
      </c>
      <c r="D599" s="13" t="s">
        <v>85</v>
      </c>
      <c r="E599" s="13" t="s">
        <v>92</v>
      </c>
      <c r="F599" s="13" t="s">
        <v>62</v>
      </c>
      <c r="G599" s="13" t="s">
        <v>39</v>
      </c>
      <c r="H599" s="16">
        <v>45739.0</v>
      </c>
      <c r="I599" s="14">
        <v>14.0</v>
      </c>
      <c r="J599" s="13" t="s">
        <v>64</v>
      </c>
      <c r="K599" s="13" t="s">
        <v>65</v>
      </c>
      <c r="L599" s="14">
        <v>543.0</v>
      </c>
      <c r="M599" s="18" t="s">
        <v>43</v>
      </c>
      <c r="N599" s="18" t="s">
        <v>98</v>
      </c>
      <c r="O599" s="18">
        <v>32.5</v>
      </c>
      <c r="P599" s="18" t="s">
        <v>108</v>
      </c>
      <c r="Q599" s="16">
        <v>46134.0</v>
      </c>
      <c r="R599" s="16" t="s">
        <v>38</v>
      </c>
      <c r="S599" s="13" t="s">
        <v>55</v>
      </c>
      <c r="T599" s="13" t="s">
        <v>72</v>
      </c>
      <c r="U599" s="13">
        <f t="shared" si="1"/>
        <v>2</v>
      </c>
      <c r="V599" s="13" t="str">
        <f t="shared" si="2"/>
        <v>C01137|Arun Sharma|26|West|Ahmedabad|Basic|Instagram|3/23/2025|14|Annual|Credit Card|543|2|1|32.50|2.4|4/22/2026||Active|Collaboration</v>
      </c>
      <c r="W599" s="13">
        <f t="shared" si="3"/>
        <v>1</v>
      </c>
      <c r="X599" s="13">
        <f>IFERROR(__xludf.DUMMYFUNCTION("COUNTUNIQUE(FILTER($B$2:$B$1826,$A$2:$A$1826=A599))"),2.0)</f>
        <v>2</v>
      </c>
    </row>
    <row r="600">
      <c r="A600" s="13" t="s">
        <v>1054</v>
      </c>
      <c r="B600" s="13" t="s">
        <v>190</v>
      </c>
      <c r="C600" s="14">
        <v>55.0</v>
      </c>
      <c r="D600" s="13" t="s">
        <v>69</v>
      </c>
      <c r="E600" s="13" t="s">
        <v>119</v>
      </c>
      <c r="F600" s="13" t="s">
        <v>79</v>
      </c>
      <c r="G600" s="13" t="s">
        <v>52</v>
      </c>
      <c r="H600" s="16">
        <v>44562.0</v>
      </c>
      <c r="I600" s="14">
        <v>16.0</v>
      </c>
      <c r="J600" s="13" t="s">
        <v>53</v>
      </c>
      <c r="K600" s="13" t="s">
        <v>81</v>
      </c>
      <c r="L600" s="14">
        <v>3348.0</v>
      </c>
      <c r="M600" s="18" t="s">
        <v>98</v>
      </c>
      <c r="N600" s="18" t="s">
        <v>46</v>
      </c>
      <c r="O600" s="18">
        <v>43.1</v>
      </c>
      <c r="P600" s="18" t="s">
        <v>225</v>
      </c>
      <c r="Q600" s="16">
        <v>44845.0</v>
      </c>
      <c r="R600" s="16" t="s">
        <v>38</v>
      </c>
      <c r="S600" s="13" t="s">
        <v>55</v>
      </c>
      <c r="T600" s="13" t="s">
        <v>72</v>
      </c>
      <c r="U600" s="13">
        <f t="shared" si="1"/>
        <v>2</v>
      </c>
      <c r="V600" s="13" t="str">
        <f t="shared" si="2"/>
        <v>C01115|Sneha Patel|55|South|Kochi|Premium|Facebook|1/1/2022|16|Quarterly|Debit Card|3,348|1|0|43.10|3.8|10/11/2022||Active|Collaboration</v>
      </c>
      <c r="W600" s="13">
        <f t="shared" si="3"/>
        <v>1</v>
      </c>
      <c r="X600" s="13">
        <f>IFERROR(__xludf.DUMMYFUNCTION("COUNTUNIQUE(FILTER($B$2:$B$1826,$A$2:$A$1826=A600))"),2.0)</f>
        <v>2</v>
      </c>
    </row>
    <row r="601">
      <c r="A601" s="13" t="s">
        <v>666</v>
      </c>
      <c r="B601" s="13" t="s">
        <v>459</v>
      </c>
      <c r="C601" s="14">
        <v>57.0</v>
      </c>
      <c r="D601" s="13" t="s">
        <v>60</v>
      </c>
      <c r="E601" s="13" t="s">
        <v>97</v>
      </c>
      <c r="F601" s="13" t="s">
        <v>37</v>
      </c>
      <c r="G601" s="13" t="s">
        <v>52</v>
      </c>
      <c r="H601" s="16">
        <v>44653.0</v>
      </c>
      <c r="I601" s="14">
        <v>16.0</v>
      </c>
      <c r="J601" s="13" t="s">
        <v>40</v>
      </c>
      <c r="K601" s="13" t="s">
        <v>41</v>
      </c>
      <c r="L601" s="14">
        <v>1305.0</v>
      </c>
      <c r="M601" s="18" t="s">
        <v>164</v>
      </c>
      <c r="N601" s="18" t="s">
        <v>46</v>
      </c>
      <c r="O601" s="18">
        <v>34.8</v>
      </c>
      <c r="P601" s="18" t="s">
        <v>173</v>
      </c>
      <c r="Q601" s="16">
        <v>45089.0</v>
      </c>
      <c r="R601" s="16" t="s">
        <v>38</v>
      </c>
      <c r="S601" s="13" t="s">
        <v>55</v>
      </c>
      <c r="T601" s="13" t="s">
        <v>66</v>
      </c>
      <c r="U601" s="13">
        <f t="shared" si="1"/>
        <v>4</v>
      </c>
      <c r="V601" s="13" t="str">
        <f t="shared" si="2"/>
        <v>C01071|Neha Patel|57|East|Bhubaneswar|Standard|Facebook|4/2/2022|16|Monthly|Upi|1,305|3|0|34.80|5|6/12/2023||Active|Automation</v>
      </c>
      <c r="W601" s="13">
        <f t="shared" si="3"/>
        <v>1</v>
      </c>
      <c r="X601" s="13">
        <f>IFERROR(__xludf.DUMMYFUNCTION("COUNTUNIQUE(FILTER($B$2:$B$1826,$A$2:$A$1826=A601))"),4.0)</f>
        <v>4</v>
      </c>
    </row>
    <row r="602">
      <c r="A602" s="13" t="s">
        <v>1183</v>
      </c>
      <c r="B602" s="13" t="s">
        <v>118</v>
      </c>
      <c r="C602" s="14">
        <v>24.0</v>
      </c>
      <c r="D602" s="13" t="s">
        <v>60</v>
      </c>
      <c r="E602" s="13" t="s">
        <v>97</v>
      </c>
      <c r="F602" s="13" t="s">
        <v>37</v>
      </c>
      <c r="G602" s="13" t="s">
        <v>120</v>
      </c>
      <c r="H602" s="16">
        <v>44714.0</v>
      </c>
      <c r="I602" s="14">
        <v>36.0</v>
      </c>
      <c r="J602" s="13" t="s">
        <v>53</v>
      </c>
      <c r="K602" s="13" t="s">
        <v>81</v>
      </c>
      <c r="L602" s="14">
        <v>1664.0</v>
      </c>
      <c r="M602" s="18" t="s">
        <v>173</v>
      </c>
      <c r="N602" s="18" t="s">
        <v>98</v>
      </c>
      <c r="O602" s="18">
        <v>29.8</v>
      </c>
      <c r="P602" s="18" t="s">
        <v>158</v>
      </c>
      <c r="Q602" s="16">
        <v>45058.0</v>
      </c>
      <c r="R602" s="16" t="s">
        <v>38</v>
      </c>
      <c r="S602" s="13" t="s">
        <v>55</v>
      </c>
      <c r="T602" s="13" t="s">
        <v>75</v>
      </c>
      <c r="U602" s="13">
        <f t="shared" si="1"/>
        <v>1</v>
      </c>
      <c r="V602" s="13" t="str">
        <f t="shared" si="2"/>
        <v>C00736|Karan Nair|24|East|Bhubaneswar|Standard|Email|6/2/2022|36|Quarterly|Debit Card|1,664|5|1|29.80|4.7|5/12/2023||Active|Security</v>
      </c>
      <c r="W602" s="13">
        <f t="shared" si="3"/>
        <v>1</v>
      </c>
      <c r="X602" s="13">
        <f>IFERROR(__xludf.DUMMYFUNCTION("COUNTUNIQUE(FILTER($B$2:$B$1826,$A$2:$A$1826=A602))"),1.0)</f>
        <v>1</v>
      </c>
    </row>
    <row r="603">
      <c r="A603" s="13" t="s">
        <v>862</v>
      </c>
      <c r="B603" s="13" t="s">
        <v>145</v>
      </c>
      <c r="C603" s="14">
        <v>45.0</v>
      </c>
      <c r="D603" s="13" t="s">
        <v>69</v>
      </c>
      <c r="E603" s="13" t="s">
        <v>187</v>
      </c>
      <c r="F603" s="13" t="s">
        <v>62</v>
      </c>
      <c r="G603" s="13" t="s">
        <v>52</v>
      </c>
      <c r="H603" s="16">
        <v>45113.0</v>
      </c>
      <c r="I603" s="14">
        <v>41.0</v>
      </c>
      <c r="J603" s="13" t="s">
        <v>40</v>
      </c>
      <c r="K603" s="13" t="s">
        <v>65</v>
      </c>
      <c r="L603" s="14">
        <v>597.0</v>
      </c>
      <c r="M603" s="18" t="s">
        <v>98</v>
      </c>
      <c r="N603" s="18" t="s">
        <v>98</v>
      </c>
      <c r="O603" s="18">
        <v>11.3</v>
      </c>
      <c r="P603" s="18" t="s">
        <v>310</v>
      </c>
      <c r="Q603" s="16">
        <v>46277.0</v>
      </c>
      <c r="R603" s="16" t="s">
        <v>38</v>
      </c>
      <c r="S603" s="13" t="s">
        <v>55</v>
      </c>
      <c r="T603" s="13" t="s">
        <v>75</v>
      </c>
      <c r="U603" s="13">
        <f t="shared" si="1"/>
        <v>6</v>
      </c>
      <c r="V603" s="13" t="str">
        <f t="shared" si="2"/>
        <v>C01423|Ravi Patel|45|South|Chennai|Basic|Facebook|7/6/2023|41|Monthly|Credit Card|597|1|1|11.30|3.1|9/12/2026||Active|Security</v>
      </c>
      <c r="W603" s="13">
        <f t="shared" si="3"/>
        <v>1</v>
      </c>
      <c r="X603" s="13">
        <f>IFERROR(__xludf.DUMMYFUNCTION("COUNTUNIQUE(FILTER($B$2:$B$1826,$A$2:$A$1826=A603))"),6.0)</f>
        <v>6</v>
      </c>
    </row>
    <row r="604">
      <c r="A604" s="13" t="s">
        <v>209</v>
      </c>
      <c r="B604" s="13" t="s">
        <v>342</v>
      </c>
      <c r="C604" s="14">
        <v>40.0</v>
      </c>
      <c r="D604" s="13" t="s">
        <v>35</v>
      </c>
      <c r="E604" s="13" t="s">
        <v>51</v>
      </c>
      <c r="F604" s="13" t="s">
        <v>62</v>
      </c>
      <c r="G604" s="13" t="s">
        <v>63</v>
      </c>
      <c r="H604" s="16">
        <v>45650.0</v>
      </c>
      <c r="I604" s="14">
        <v>8.0</v>
      </c>
      <c r="J604" s="13" t="s">
        <v>53</v>
      </c>
      <c r="K604" s="13" t="s">
        <v>65</v>
      </c>
      <c r="L604" s="14">
        <v>707.0</v>
      </c>
      <c r="M604" s="18" t="s">
        <v>46</v>
      </c>
      <c r="N604" s="18" t="s">
        <v>46</v>
      </c>
      <c r="O604" s="18">
        <v>33.4</v>
      </c>
      <c r="P604" s="18" t="s">
        <v>248</v>
      </c>
      <c r="Q604" s="16">
        <v>45823.0</v>
      </c>
      <c r="R604" s="16" t="s">
        <v>38</v>
      </c>
      <c r="S604" s="13" t="s">
        <v>55</v>
      </c>
      <c r="T604" s="13" t="s">
        <v>47</v>
      </c>
      <c r="U604" s="13">
        <f t="shared" si="1"/>
        <v>2</v>
      </c>
      <c r="V604" s="13" t="str">
        <f t="shared" si="2"/>
        <v>C00777|Priya Reddy|40|North|Jaipur|Basic|Google Ads|12/24/2024|8|Quarterly|Credit Card|707|0|0|33.40|2.6|6/15/2025||Active|Cloud Storage</v>
      </c>
      <c r="W604" s="13">
        <f t="shared" si="3"/>
        <v>1</v>
      </c>
      <c r="X604" s="13">
        <f>IFERROR(__xludf.DUMMYFUNCTION("COUNTUNIQUE(FILTER($B$2:$B$1826,$A$2:$A$1826=A604))"),2.0)</f>
        <v>2</v>
      </c>
    </row>
    <row r="605">
      <c r="A605" s="13" t="s">
        <v>1184</v>
      </c>
      <c r="B605" s="13" t="s">
        <v>351</v>
      </c>
      <c r="C605" s="14">
        <v>25.0</v>
      </c>
      <c r="D605" s="13" t="s">
        <v>35</v>
      </c>
      <c r="E605" s="13" t="s">
        <v>36</v>
      </c>
      <c r="F605" s="13" t="s">
        <v>62</v>
      </c>
      <c r="G605" s="13" t="s">
        <v>39</v>
      </c>
      <c r="H605" s="16">
        <v>45337.0</v>
      </c>
      <c r="I605" s="14">
        <v>7.0</v>
      </c>
      <c r="J605" s="13" t="s">
        <v>40</v>
      </c>
      <c r="K605" s="13" t="s">
        <v>65</v>
      </c>
      <c r="L605" s="14">
        <v>562.0</v>
      </c>
      <c r="M605" s="18" t="s">
        <v>98</v>
      </c>
      <c r="N605" s="18" t="s">
        <v>98</v>
      </c>
      <c r="O605" s="18">
        <v>18.6</v>
      </c>
      <c r="P605" s="18" t="s">
        <v>456</v>
      </c>
      <c r="Q605" s="16">
        <v>45533.0</v>
      </c>
      <c r="R605" s="16">
        <v>45328.0</v>
      </c>
      <c r="S605" s="13" t="s">
        <v>45</v>
      </c>
      <c r="T605" s="13" t="s">
        <v>66</v>
      </c>
      <c r="U605" s="13">
        <f t="shared" si="1"/>
        <v>1</v>
      </c>
      <c r="V605" s="13" t="str">
        <f t="shared" si="2"/>
        <v>C00561|Meera Nair|25|North|Delhi|Basic|Instagram|2/15/2024|7|Monthly|Credit Card|562|1|1|18.60|2.5|8/29/2024|2/6/2024|Churned|Automation</v>
      </c>
      <c r="W605" s="13">
        <f t="shared" si="3"/>
        <v>1</v>
      </c>
      <c r="X605" s="13">
        <f>IFERROR(__xludf.DUMMYFUNCTION("COUNTUNIQUE(FILTER($B$2:$B$1826,$A$2:$A$1826=A605))"),1.0)</f>
        <v>1</v>
      </c>
    </row>
    <row r="606">
      <c r="A606" s="13" t="s">
        <v>1186</v>
      </c>
      <c r="B606" s="13" t="s">
        <v>476</v>
      </c>
      <c r="C606" s="14">
        <v>49.0</v>
      </c>
      <c r="D606" s="13" t="s">
        <v>60</v>
      </c>
      <c r="E606" s="13" t="s">
        <v>61</v>
      </c>
      <c r="F606" s="13" t="s">
        <v>79</v>
      </c>
      <c r="G606" s="13" t="s">
        <v>39</v>
      </c>
      <c r="H606" s="16">
        <v>45213.0</v>
      </c>
      <c r="I606" s="14">
        <v>25.0</v>
      </c>
      <c r="J606" s="13" t="s">
        <v>64</v>
      </c>
      <c r="K606" s="13" t="s">
        <v>41</v>
      </c>
      <c r="L606" s="14">
        <v>3981.0</v>
      </c>
      <c r="M606" s="18" t="s">
        <v>98</v>
      </c>
      <c r="N606" s="18" t="s">
        <v>46</v>
      </c>
      <c r="O606" s="18">
        <v>46.5</v>
      </c>
      <c r="P606" s="18" t="s">
        <v>38</v>
      </c>
      <c r="Q606" s="16">
        <v>45767.0</v>
      </c>
      <c r="R606" s="16" t="s">
        <v>38</v>
      </c>
      <c r="S606" s="13" t="s">
        <v>55</v>
      </c>
      <c r="T606" s="13" t="s">
        <v>72</v>
      </c>
      <c r="U606" s="13">
        <f t="shared" si="1"/>
        <v>2</v>
      </c>
      <c r="V606" s="13" t="str">
        <f t="shared" si="2"/>
        <v>C00578|Ravi Das|49|East|Kolkata|Premium|Instagram|10/14/2023|25|Annual|Upi|3,981|1|0|46.50||4/20/2025||Active|Collaboration</v>
      </c>
      <c r="W606" s="13">
        <f t="shared" si="3"/>
        <v>1</v>
      </c>
      <c r="X606" s="13">
        <f>IFERROR(__xludf.DUMMYFUNCTION("COUNTUNIQUE(FILTER($B$2:$B$1826,$A$2:$A$1826=A606))"),2.0)</f>
        <v>2</v>
      </c>
    </row>
    <row r="607">
      <c r="A607" s="13" t="s">
        <v>1187</v>
      </c>
      <c r="B607" s="13" t="s">
        <v>34</v>
      </c>
      <c r="C607" s="14">
        <v>64.0</v>
      </c>
      <c r="D607" s="13" t="s">
        <v>69</v>
      </c>
      <c r="E607" s="13" t="s">
        <v>187</v>
      </c>
      <c r="F607" s="13" t="s">
        <v>62</v>
      </c>
      <c r="G607" s="13" t="s">
        <v>80</v>
      </c>
      <c r="H607" s="16">
        <v>45109.0</v>
      </c>
      <c r="I607" s="14">
        <v>4.0</v>
      </c>
      <c r="J607" s="13" t="s">
        <v>53</v>
      </c>
      <c r="K607" s="13" t="s">
        <v>41</v>
      </c>
      <c r="L607" s="14">
        <v>826.0</v>
      </c>
      <c r="M607" s="18" t="s">
        <v>376</v>
      </c>
      <c r="N607" s="18" t="s">
        <v>98</v>
      </c>
      <c r="O607" s="18">
        <v>17.1</v>
      </c>
      <c r="P607" s="18" t="s">
        <v>296</v>
      </c>
      <c r="Q607" s="16">
        <v>45182.0</v>
      </c>
      <c r="R607" s="16" t="s">
        <v>1188</v>
      </c>
      <c r="S607" s="13" t="s">
        <v>45</v>
      </c>
      <c r="T607" s="13" t="s">
        <v>75</v>
      </c>
      <c r="U607" s="13">
        <f t="shared" si="1"/>
        <v>2</v>
      </c>
      <c r="V607" s="13" t="str">
        <f t="shared" si="2"/>
        <v>C00020|Meera Das|64|South|Chennai|Basic|Organic Search|7/2/2023|4|Quarterly|Upi|826|6|1|17.10|4.6|9/13/2023|26/10/2023|Churned|Security</v>
      </c>
      <c r="W607" s="13">
        <f t="shared" si="3"/>
        <v>1</v>
      </c>
      <c r="X607" s="13">
        <f>IFERROR(__xludf.DUMMYFUNCTION("COUNTUNIQUE(FILTER($B$2:$B$1826,$A$2:$A$1826=A607))"),2.0)</f>
        <v>2</v>
      </c>
    </row>
    <row r="608">
      <c r="A608" s="13" t="s">
        <v>1189</v>
      </c>
      <c r="B608" s="13" t="s">
        <v>411</v>
      </c>
      <c r="C608" s="14">
        <v>24.0</v>
      </c>
      <c r="D608" s="13" t="s">
        <v>85</v>
      </c>
      <c r="E608" s="13" t="s">
        <v>92</v>
      </c>
      <c r="F608" s="13" t="s">
        <v>62</v>
      </c>
      <c r="G608" s="13" t="s">
        <v>120</v>
      </c>
      <c r="H608" s="16">
        <v>45628.0</v>
      </c>
      <c r="I608" s="14">
        <v>46.0</v>
      </c>
      <c r="J608" s="13" t="s">
        <v>64</v>
      </c>
      <c r="K608" s="13" t="s">
        <v>41</v>
      </c>
      <c r="L608" s="14">
        <v>616.0</v>
      </c>
      <c r="M608" s="18" t="s">
        <v>98</v>
      </c>
      <c r="N608" s="18" t="s">
        <v>46</v>
      </c>
      <c r="O608" s="18">
        <v>20.7</v>
      </c>
      <c r="P608" s="18" t="s">
        <v>233</v>
      </c>
      <c r="Q608" s="16">
        <v>45816.0</v>
      </c>
      <c r="R608" s="16" t="s">
        <v>1190</v>
      </c>
      <c r="S608" s="13" t="s">
        <v>45</v>
      </c>
      <c r="T608" s="13" t="s">
        <v>104</v>
      </c>
      <c r="U608" s="13">
        <f t="shared" si="1"/>
        <v>2</v>
      </c>
      <c r="V608" s="13" t="str">
        <f t="shared" si="2"/>
        <v>C00725|Karan Reddy|24|West|Ahmedabad|Basic|Email|12/2/2024|46|Annual|Upi|616|1|0|20.70|3.5|6/8/2025|18/09/2026|Churned|Analytics</v>
      </c>
      <c r="W608" s="13">
        <f t="shared" si="3"/>
        <v>1</v>
      </c>
      <c r="X608" s="13">
        <f>IFERROR(__xludf.DUMMYFUNCTION("COUNTUNIQUE(FILTER($B$2:$B$1826,$A$2:$A$1826=A608))"),2.0)</f>
        <v>2</v>
      </c>
    </row>
    <row r="609">
      <c r="A609" s="13" t="s">
        <v>1191</v>
      </c>
      <c r="B609" s="13" t="s">
        <v>145</v>
      </c>
      <c r="C609" s="14">
        <v>49.0</v>
      </c>
      <c r="D609" s="13" t="s">
        <v>69</v>
      </c>
      <c r="E609" s="13" t="s">
        <v>70</v>
      </c>
      <c r="F609" s="13" t="s">
        <v>62</v>
      </c>
      <c r="G609" s="13" t="s">
        <v>63</v>
      </c>
      <c r="H609" s="16">
        <v>44735.0</v>
      </c>
      <c r="I609" s="14">
        <v>48.0</v>
      </c>
      <c r="J609" s="13" t="s">
        <v>53</v>
      </c>
      <c r="K609" s="13" t="s">
        <v>81</v>
      </c>
      <c r="L609" s="14">
        <v>751.0</v>
      </c>
      <c r="M609" s="18" t="s">
        <v>43</v>
      </c>
      <c r="N609" s="18" t="s">
        <v>98</v>
      </c>
      <c r="O609" s="18">
        <v>18.0</v>
      </c>
      <c r="P609" s="18" t="s">
        <v>158</v>
      </c>
      <c r="Q609" s="16">
        <v>45613.0</v>
      </c>
      <c r="R609" s="16" t="s">
        <v>38</v>
      </c>
      <c r="S609" s="13" t="s">
        <v>55</v>
      </c>
      <c r="T609" s="13" t="s">
        <v>66</v>
      </c>
      <c r="U609" s="13">
        <f t="shared" si="1"/>
        <v>3</v>
      </c>
      <c r="V609" s="13" t="str">
        <f t="shared" si="2"/>
        <v>C01495|Ravi Patel|49|South|Bengaluru|Basic|Google Ads|6/23/2022|48|Quarterly|Debit Card|751|2|1|18.00|4.7|11/17/2024||Active|Automation</v>
      </c>
      <c r="W609" s="13">
        <f t="shared" si="3"/>
        <v>1</v>
      </c>
      <c r="X609" s="13">
        <f>IFERROR(__xludf.DUMMYFUNCTION("COUNTUNIQUE(FILTER($B$2:$B$1826,$A$2:$A$1826=A609))"),3.0)</f>
        <v>3</v>
      </c>
    </row>
    <row r="610">
      <c r="A610" s="13" t="s">
        <v>1193</v>
      </c>
      <c r="B610" s="13" t="s">
        <v>179</v>
      </c>
      <c r="C610" s="14">
        <v>57.0</v>
      </c>
      <c r="D610" s="13" t="s">
        <v>35</v>
      </c>
      <c r="E610" s="13" t="s">
        <v>140</v>
      </c>
      <c r="F610" s="13" t="s">
        <v>62</v>
      </c>
      <c r="G610" s="13" t="s">
        <v>39</v>
      </c>
      <c r="H610" s="16">
        <v>44576.0</v>
      </c>
      <c r="I610" s="14">
        <v>46.0</v>
      </c>
      <c r="J610" s="13" t="s">
        <v>53</v>
      </c>
      <c r="K610" s="13" t="s">
        <v>41</v>
      </c>
      <c r="L610" s="14">
        <v>772.0</v>
      </c>
      <c r="M610" s="18" t="s">
        <v>173</v>
      </c>
      <c r="N610" s="18" t="s">
        <v>43</v>
      </c>
      <c r="O610" s="18">
        <v>7.2</v>
      </c>
      <c r="P610" s="18" t="s">
        <v>89</v>
      </c>
      <c r="Q610" s="16">
        <v>45086.0</v>
      </c>
      <c r="R610" s="16" t="s">
        <v>38</v>
      </c>
      <c r="S610" s="13" t="s">
        <v>55</v>
      </c>
      <c r="T610" s="13" t="s">
        <v>66</v>
      </c>
      <c r="U610" s="13">
        <f t="shared" si="1"/>
        <v>1</v>
      </c>
      <c r="V610" s="13" t="str">
        <f t="shared" si="2"/>
        <v>C01430|Ravi Kumar|57|North|Lucknow|Basic|Instagram|1/15/2022|46|Quarterly|Upi|772|5|2|7.20|3.3|6/9/2023||Active|Automation</v>
      </c>
      <c r="W610" s="13">
        <f t="shared" si="3"/>
        <v>1</v>
      </c>
      <c r="X610" s="13">
        <f>IFERROR(__xludf.DUMMYFUNCTION("COUNTUNIQUE(FILTER($B$2:$B$1826,$A$2:$A$1826=A610))"),1.0)</f>
        <v>1</v>
      </c>
    </row>
    <row r="611">
      <c r="A611" s="13" t="s">
        <v>186</v>
      </c>
      <c r="B611" s="13" t="s">
        <v>342</v>
      </c>
      <c r="C611" s="14">
        <v>62.0</v>
      </c>
      <c r="D611" s="13" t="s">
        <v>69</v>
      </c>
      <c r="E611" s="13" t="s">
        <v>70</v>
      </c>
      <c r="F611" s="13" t="s">
        <v>62</v>
      </c>
      <c r="G611" s="13" t="s">
        <v>39</v>
      </c>
      <c r="H611" s="16">
        <v>45614.0</v>
      </c>
      <c r="I611" s="14">
        <v>23.0</v>
      </c>
      <c r="J611" s="13" t="s">
        <v>40</v>
      </c>
      <c r="K611" s="13" t="s">
        <v>81</v>
      </c>
      <c r="L611" s="14">
        <v>715.0</v>
      </c>
      <c r="M611" s="18" t="s">
        <v>43</v>
      </c>
      <c r="N611" s="18" t="s">
        <v>98</v>
      </c>
      <c r="O611" s="18">
        <v>21.1</v>
      </c>
      <c r="P611" s="18" t="s">
        <v>164</v>
      </c>
      <c r="Q611" s="16">
        <v>45798.0</v>
      </c>
      <c r="R611" s="16">
        <v>46113.0</v>
      </c>
      <c r="S611" s="13" t="s">
        <v>45</v>
      </c>
      <c r="T611" s="13" t="s">
        <v>104</v>
      </c>
      <c r="U611" s="13">
        <f t="shared" si="1"/>
        <v>2</v>
      </c>
      <c r="V611" s="13" t="str">
        <f t="shared" si="2"/>
        <v>C00461|Priya Reddy|62|South|Bengaluru|Basic|Instagram|11/18/2024|23|Monthly|Debit Card|715|2|1|21.10|3|5/21/2025|4/1/2026|Churned|Analytics</v>
      </c>
      <c r="W611" s="13">
        <f t="shared" si="3"/>
        <v>1</v>
      </c>
      <c r="X611" s="13">
        <f>IFERROR(__xludf.DUMMYFUNCTION("COUNTUNIQUE(FILTER($B$2:$B$1826,$A$2:$A$1826=A611))"),2.0)</f>
        <v>2</v>
      </c>
    </row>
    <row r="612">
      <c r="A612" s="13" t="s">
        <v>389</v>
      </c>
      <c r="B612" s="13" t="s">
        <v>179</v>
      </c>
      <c r="C612" s="14">
        <v>48.0</v>
      </c>
      <c r="D612" s="13" t="s">
        <v>60</v>
      </c>
      <c r="E612" s="13" t="s">
        <v>133</v>
      </c>
      <c r="F612" s="13" t="s">
        <v>62</v>
      </c>
      <c r="G612" s="13" t="s">
        <v>39</v>
      </c>
      <c r="H612" s="16">
        <v>44566.0</v>
      </c>
      <c r="I612" s="14">
        <v>48.0</v>
      </c>
      <c r="J612" s="13" t="s">
        <v>64</v>
      </c>
      <c r="K612" s="13" t="s">
        <v>65</v>
      </c>
      <c r="L612" s="14">
        <v>700.0</v>
      </c>
      <c r="M612" s="18" t="s">
        <v>43</v>
      </c>
      <c r="N612" s="18" t="s">
        <v>46</v>
      </c>
      <c r="O612" s="18">
        <v>33.2</v>
      </c>
      <c r="P612" s="18" t="s">
        <v>701</v>
      </c>
      <c r="Q612" s="16">
        <v>45200.0</v>
      </c>
      <c r="R612" s="16" t="s">
        <v>38</v>
      </c>
      <c r="S612" s="13" t="s">
        <v>55</v>
      </c>
      <c r="T612" s="13" t="s">
        <v>104</v>
      </c>
      <c r="U612" s="13">
        <f t="shared" si="1"/>
        <v>3</v>
      </c>
      <c r="V612" s="13" t="str">
        <f t="shared" si="2"/>
        <v>C00595|Ravi Kumar|48|East|Guwahati|Basic|Instagram|1/5/2022|48|Annual|Credit Card|700|2|0|33.20|2.8|10/1/2023||Active|Analytics</v>
      </c>
      <c r="W612" s="13">
        <f t="shared" si="3"/>
        <v>1</v>
      </c>
      <c r="X612" s="13">
        <f>IFERROR(__xludf.DUMMYFUNCTION("COUNTUNIQUE(FILTER($B$2:$B$1826,$A$2:$A$1826=A612))"),3.0)</f>
        <v>3</v>
      </c>
    </row>
    <row r="613">
      <c r="A613" s="13" t="s">
        <v>638</v>
      </c>
      <c r="B613" s="13" t="s">
        <v>651</v>
      </c>
      <c r="C613" s="14">
        <v>46.0</v>
      </c>
      <c r="D613" s="13" t="s">
        <v>35</v>
      </c>
      <c r="E613" s="13" t="s">
        <v>140</v>
      </c>
      <c r="F613" s="13" t="s">
        <v>62</v>
      </c>
      <c r="G613" s="13" t="s">
        <v>210</v>
      </c>
      <c r="H613" s="16">
        <v>44781.0</v>
      </c>
      <c r="I613" s="14">
        <v>1.0</v>
      </c>
      <c r="J613" s="13" t="s">
        <v>53</v>
      </c>
      <c r="K613" s="13" t="s">
        <v>41</v>
      </c>
      <c r="L613" s="14">
        <v>868.0</v>
      </c>
      <c r="M613" s="18" t="s">
        <v>173</v>
      </c>
      <c r="N613" s="18" t="s">
        <v>98</v>
      </c>
      <c r="O613" s="18">
        <v>22.8</v>
      </c>
      <c r="P613" s="18" t="s">
        <v>310</v>
      </c>
      <c r="Q613" s="16">
        <v>44813.0</v>
      </c>
      <c r="R613" s="16" t="s">
        <v>38</v>
      </c>
      <c r="S613" s="13" t="s">
        <v>55</v>
      </c>
      <c r="T613" s="13" t="s">
        <v>104</v>
      </c>
      <c r="U613" s="13">
        <f t="shared" si="1"/>
        <v>3</v>
      </c>
      <c r="V613" s="13" t="str">
        <f t="shared" si="2"/>
        <v>C00729|Arun Sharma|46|North|Lucknow|Basic|Referral|8/8/2022|1|Quarterly|Upi|868|5|1|22.80|3.1|9/9/2022||Active|Analytics</v>
      </c>
      <c r="W613" s="13">
        <f t="shared" si="3"/>
        <v>1</v>
      </c>
      <c r="X613" s="13">
        <f>IFERROR(__xludf.DUMMYFUNCTION("COUNTUNIQUE(FILTER($B$2:$B$1826,$A$2:$A$1826=A613))"),3.0)</f>
        <v>3</v>
      </c>
    </row>
    <row r="614">
      <c r="A614" s="13" t="s">
        <v>1195</v>
      </c>
      <c r="B614" s="13" t="s">
        <v>184</v>
      </c>
      <c r="C614" s="14">
        <v>46.0</v>
      </c>
      <c r="D614" s="13" t="s">
        <v>69</v>
      </c>
      <c r="E614" s="13" t="s">
        <v>119</v>
      </c>
      <c r="F614" s="13" t="s">
        <v>62</v>
      </c>
      <c r="G614" s="13" t="s">
        <v>120</v>
      </c>
      <c r="H614" s="16">
        <v>44576.0</v>
      </c>
      <c r="I614" s="14">
        <v>10.0</v>
      </c>
      <c r="J614" s="13" t="s">
        <v>40</v>
      </c>
      <c r="K614" s="13" t="s">
        <v>81</v>
      </c>
      <c r="L614" s="14">
        <v>627.0</v>
      </c>
      <c r="M614" s="18" t="s">
        <v>98</v>
      </c>
      <c r="N614" s="18" t="s">
        <v>46</v>
      </c>
      <c r="O614" s="18">
        <v>14.0</v>
      </c>
      <c r="P614" s="18" t="s">
        <v>233</v>
      </c>
      <c r="Q614" s="16">
        <v>44788.0</v>
      </c>
      <c r="R614" s="16" t="s">
        <v>637</v>
      </c>
      <c r="S614" s="13" t="s">
        <v>45</v>
      </c>
      <c r="T614" s="13" t="s">
        <v>72</v>
      </c>
      <c r="U614" s="13">
        <f t="shared" si="1"/>
        <v>1</v>
      </c>
      <c r="V614" s="13" t="str">
        <f t="shared" si="2"/>
        <v>C01084|Vikram Reddy|46|South|Kochi|Basic|Email|1/15/2022|10|Monthly|Debit Card|627|1|0|14.00|3.5|8/15/2022|24/08/2022|Churned|Collaboration</v>
      </c>
      <c r="W614" s="13">
        <f t="shared" si="3"/>
        <v>1</v>
      </c>
      <c r="X614" s="13">
        <f>IFERROR(__xludf.DUMMYFUNCTION("COUNTUNIQUE(FILTER($B$2:$B$1826,$A$2:$A$1826=A614))"),1.0)</f>
        <v>1</v>
      </c>
    </row>
    <row r="615">
      <c r="A615" s="13" t="s">
        <v>1196</v>
      </c>
      <c r="B615" s="13" t="s">
        <v>152</v>
      </c>
      <c r="C615" s="14">
        <v>27.0</v>
      </c>
      <c r="D615" s="13" t="s">
        <v>85</v>
      </c>
      <c r="E615" s="13" t="s">
        <v>87</v>
      </c>
      <c r="F615" s="13" t="s">
        <v>62</v>
      </c>
      <c r="G615" s="13" t="s">
        <v>210</v>
      </c>
      <c r="H615" s="16">
        <v>45450.0</v>
      </c>
      <c r="I615" s="14">
        <v>1.0</v>
      </c>
      <c r="J615" s="13" t="s">
        <v>53</v>
      </c>
      <c r="K615" s="13" t="s">
        <v>65</v>
      </c>
      <c r="L615" s="14">
        <v>862.0</v>
      </c>
      <c r="M615" s="18" t="s">
        <v>173</v>
      </c>
      <c r="N615" s="18" t="s">
        <v>164</v>
      </c>
      <c r="O615" s="18">
        <v>25.9</v>
      </c>
      <c r="P615" s="18" t="s">
        <v>185</v>
      </c>
      <c r="Q615" s="16">
        <v>45472.0</v>
      </c>
      <c r="R615" s="16" t="s">
        <v>38</v>
      </c>
      <c r="S615" s="13" t="s">
        <v>55</v>
      </c>
      <c r="T615" s="13" t="s">
        <v>72</v>
      </c>
      <c r="U615" s="13">
        <f t="shared" si="1"/>
        <v>2</v>
      </c>
      <c r="V615" s="13" t="str">
        <f t="shared" si="2"/>
        <v>C00223|Vikram Kumar|27|West|Surat|Basic|Referral|6/7/2024|1|Quarterly|Credit Card|862|5|3|25.90|3.2|6/29/2024||Active|Collaboration</v>
      </c>
      <c r="W615" s="13">
        <f t="shared" si="3"/>
        <v>1</v>
      </c>
      <c r="X615" s="13">
        <f>IFERROR(__xludf.DUMMYFUNCTION("COUNTUNIQUE(FILTER($B$2:$B$1826,$A$2:$A$1826=A615))"),2.0)</f>
        <v>2</v>
      </c>
    </row>
    <row r="616">
      <c r="A616" s="13" t="s">
        <v>1197</v>
      </c>
      <c r="B616" s="13" t="s">
        <v>405</v>
      </c>
      <c r="C616" s="14">
        <v>67.0</v>
      </c>
      <c r="D616" s="13" t="s">
        <v>69</v>
      </c>
      <c r="E616" s="13" t="s">
        <v>187</v>
      </c>
      <c r="F616" s="13" t="s">
        <v>79</v>
      </c>
      <c r="G616" s="13" t="s">
        <v>52</v>
      </c>
      <c r="H616" s="16">
        <v>45106.0</v>
      </c>
      <c r="I616" s="14">
        <v>8.0</v>
      </c>
      <c r="J616" s="13" t="s">
        <v>53</v>
      </c>
      <c r="K616" s="13" t="s">
        <v>81</v>
      </c>
      <c r="L616" s="14">
        <v>3637.0</v>
      </c>
      <c r="M616" s="18" t="s">
        <v>98</v>
      </c>
      <c r="N616" s="18" t="s">
        <v>46</v>
      </c>
      <c r="O616" s="18">
        <v>55.8</v>
      </c>
      <c r="P616" s="18" t="s">
        <v>203</v>
      </c>
      <c r="Q616" s="16">
        <v>45290.0</v>
      </c>
      <c r="R616" s="16" t="s">
        <v>38</v>
      </c>
      <c r="S616" s="13" t="s">
        <v>55</v>
      </c>
      <c r="T616" s="13" t="s">
        <v>75</v>
      </c>
      <c r="U616" s="13">
        <f t="shared" si="1"/>
        <v>1</v>
      </c>
      <c r="V616" s="13" t="str">
        <f t="shared" si="2"/>
        <v>C00065|Rahul Reddy|67|South|Chennai|Premium|Facebook|6/29/2023|8|Quarterly|Debit Card|3,637|1|0|55.80|3.7|12/30/2023||Active|Security</v>
      </c>
      <c r="W616" s="13">
        <f t="shared" si="3"/>
        <v>1</v>
      </c>
      <c r="X616" s="13">
        <f>IFERROR(__xludf.DUMMYFUNCTION("COUNTUNIQUE(FILTER($B$2:$B$1826,$A$2:$A$1826=A616))"),1.0)</f>
        <v>1</v>
      </c>
    </row>
    <row r="617">
      <c r="A617" s="13" t="s">
        <v>1198</v>
      </c>
      <c r="B617" s="13" t="s">
        <v>633</v>
      </c>
      <c r="C617" s="14">
        <v>57.0</v>
      </c>
      <c r="D617" s="13" t="s">
        <v>35</v>
      </c>
      <c r="E617" s="13" t="s">
        <v>36</v>
      </c>
      <c r="F617" s="13" t="s">
        <v>37</v>
      </c>
      <c r="G617" s="13" t="s">
        <v>39</v>
      </c>
      <c r="H617" s="16">
        <v>44880.0</v>
      </c>
      <c r="I617" s="14">
        <v>23.0</v>
      </c>
      <c r="J617" s="13" t="s">
        <v>64</v>
      </c>
      <c r="K617" s="13" t="s">
        <v>41</v>
      </c>
      <c r="L617" s="14">
        <v>1699.0</v>
      </c>
      <c r="M617" s="18" t="s">
        <v>98</v>
      </c>
      <c r="N617" s="18" t="s">
        <v>46</v>
      </c>
      <c r="O617" s="18">
        <v>31.0</v>
      </c>
      <c r="P617" s="18" t="s">
        <v>99</v>
      </c>
      <c r="Q617" s="16">
        <v>44943.0</v>
      </c>
      <c r="R617" s="16" t="s">
        <v>38</v>
      </c>
      <c r="S617" s="13" t="s">
        <v>55</v>
      </c>
      <c r="T617" s="13" t="s">
        <v>75</v>
      </c>
      <c r="U617" s="13">
        <f t="shared" si="1"/>
        <v>1</v>
      </c>
      <c r="V617" s="13" t="str">
        <f t="shared" si="2"/>
        <v>C00270|Anita Das|57|North|Delhi|Standard|Instagram|11/15/2022|23|Annual|Upi|1,699|1|0|31.00|4|1/17/2023||Active|Security</v>
      </c>
      <c r="W617" s="13">
        <f t="shared" si="3"/>
        <v>1</v>
      </c>
      <c r="X617" s="13">
        <f>IFERROR(__xludf.DUMMYFUNCTION("COUNTUNIQUE(FILTER($B$2:$B$1826,$A$2:$A$1826=A617))"),1.0)</f>
        <v>1</v>
      </c>
    </row>
    <row r="618">
      <c r="A618" s="13" t="s">
        <v>660</v>
      </c>
      <c r="B618" s="13" t="s">
        <v>398</v>
      </c>
      <c r="C618" s="14">
        <v>35.0</v>
      </c>
      <c r="D618" s="13" t="s">
        <v>60</v>
      </c>
      <c r="E618" s="13" t="s">
        <v>107</v>
      </c>
      <c r="F618" s="13" t="s">
        <v>62</v>
      </c>
      <c r="G618" s="13" t="s">
        <v>128</v>
      </c>
      <c r="H618" s="16">
        <v>45440.0</v>
      </c>
      <c r="I618" s="14">
        <v>16.0</v>
      </c>
      <c r="J618" s="13" t="s">
        <v>64</v>
      </c>
      <c r="K618" s="13" t="s">
        <v>41</v>
      </c>
      <c r="L618" s="14">
        <v>1522.0</v>
      </c>
      <c r="M618" s="18" t="s">
        <v>99</v>
      </c>
      <c r="N618" s="18" t="s">
        <v>43</v>
      </c>
      <c r="O618" s="18">
        <v>37.6</v>
      </c>
      <c r="P618" s="18" t="s">
        <v>76</v>
      </c>
      <c r="Q618" s="16">
        <v>45577.0</v>
      </c>
      <c r="R618" s="16" t="s">
        <v>38</v>
      </c>
      <c r="S618" s="13" t="s">
        <v>529</v>
      </c>
      <c r="T618" s="13" t="s">
        <v>75</v>
      </c>
      <c r="U618" s="13">
        <f t="shared" si="1"/>
        <v>6</v>
      </c>
      <c r="V618" s="13" t="str">
        <f t="shared" si="2"/>
        <v>C00984|Vikram Sharma|35|East|Patna|Basic|Youtube|5/28/2024|16|Annual|Upi|1,522|4|2|37.60|4.4|10/12/2024||No|Security</v>
      </c>
      <c r="W618" s="13">
        <f t="shared" si="3"/>
        <v>1</v>
      </c>
      <c r="X618" s="13">
        <f>IFERROR(__xludf.DUMMYFUNCTION("COUNTUNIQUE(FILTER($B$2:$B$1826,$A$2:$A$1826=A618))"),6.0)</f>
        <v>6</v>
      </c>
    </row>
    <row r="619">
      <c r="A619" s="13" t="s">
        <v>809</v>
      </c>
      <c r="B619" s="13" t="s">
        <v>215</v>
      </c>
      <c r="C619" s="14">
        <v>27.0</v>
      </c>
      <c r="D619" s="13" t="s">
        <v>85</v>
      </c>
      <c r="E619" s="13" t="s">
        <v>292</v>
      </c>
      <c r="F619" s="13" t="s">
        <v>37</v>
      </c>
      <c r="G619" s="13" t="s">
        <v>80</v>
      </c>
      <c r="H619" s="16">
        <v>45813.0</v>
      </c>
      <c r="I619" s="14">
        <v>12.0</v>
      </c>
      <c r="J619" s="13" t="s">
        <v>53</v>
      </c>
      <c r="K619" s="13" t="s">
        <v>41</v>
      </c>
      <c r="L619" s="14">
        <v>1643.0</v>
      </c>
      <c r="M619" s="18" t="s">
        <v>98</v>
      </c>
      <c r="N619" s="18" t="s">
        <v>98</v>
      </c>
      <c r="O619" s="18">
        <v>32.4</v>
      </c>
      <c r="P619" s="18" t="s">
        <v>116</v>
      </c>
      <c r="Q619" s="16">
        <v>45899.0</v>
      </c>
      <c r="R619" s="16" t="s">
        <v>38</v>
      </c>
      <c r="S619" s="13" t="s">
        <v>55</v>
      </c>
      <c r="T619" s="13" t="s">
        <v>72</v>
      </c>
      <c r="U619" s="13">
        <f t="shared" si="1"/>
        <v>2</v>
      </c>
      <c r="V619" s="13" t="str">
        <f t="shared" si="2"/>
        <v>C00407|Neha Sharma|27|West|Mumbai|Standard|Organic Search|6/5/2025|12|Quarterly|Upi|1,643|1|1|32.40|3.4|8/30/2025||Active|Collaboration</v>
      </c>
      <c r="W619" s="13">
        <f t="shared" si="3"/>
        <v>1</v>
      </c>
      <c r="X619" s="13">
        <f>IFERROR(__xludf.DUMMYFUNCTION("COUNTUNIQUE(FILTER($B$2:$B$1826,$A$2:$A$1826=A619))"),2.0)</f>
        <v>2</v>
      </c>
    </row>
    <row r="620">
      <c r="A620" s="13" t="s">
        <v>1199</v>
      </c>
      <c r="B620" s="13" t="s">
        <v>636</v>
      </c>
      <c r="C620" s="14">
        <v>46.0</v>
      </c>
      <c r="D620" s="13" t="s">
        <v>69</v>
      </c>
      <c r="E620" s="13" t="s">
        <v>119</v>
      </c>
      <c r="F620" s="13" t="s">
        <v>62</v>
      </c>
      <c r="G620" s="13" t="s">
        <v>39</v>
      </c>
      <c r="H620" s="16">
        <v>44748.0</v>
      </c>
      <c r="I620" s="14">
        <v>4.0</v>
      </c>
      <c r="J620" s="13" t="s">
        <v>53</v>
      </c>
      <c r="K620" s="13" t="s">
        <v>41</v>
      </c>
      <c r="L620" s="14">
        <v>767.0</v>
      </c>
      <c r="M620" s="18" t="s">
        <v>43</v>
      </c>
      <c r="N620" s="18" t="s">
        <v>46</v>
      </c>
      <c r="O620" s="18">
        <v>15.2</v>
      </c>
      <c r="P620" s="18" t="s">
        <v>296</v>
      </c>
      <c r="Q620" s="16">
        <v>44817.0</v>
      </c>
      <c r="R620" s="16" t="s">
        <v>38</v>
      </c>
      <c r="S620" s="13" t="s">
        <v>55</v>
      </c>
      <c r="T620" s="13" t="s">
        <v>66</v>
      </c>
      <c r="U620" s="13">
        <f t="shared" si="1"/>
        <v>3</v>
      </c>
      <c r="V620" s="13" t="str">
        <f t="shared" si="2"/>
        <v>C00394|Neha Reddy|46|South|Kochi|Basic|Instagram|7/6/2022|4|Quarterly|Upi|767|2|0|15.20|4.6|9/13/2022||Active|Automation</v>
      </c>
      <c r="W620" s="13">
        <f t="shared" si="3"/>
        <v>1</v>
      </c>
      <c r="X620" s="13">
        <f>IFERROR(__xludf.DUMMYFUNCTION("COUNTUNIQUE(FILTER($B$2:$B$1826,$A$2:$A$1826=A620))"),3.0)</f>
        <v>3</v>
      </c>
    </row>
    <row r="621">
      <c r="A621" s="13" t="s">
        <v>1200</v>
      </c>
      <c r="B621" s="13" t="s">
        <v>96</v>
      </c>
      <c r="C621" s="14">
        <v>19.0</v>
      </c>
      <c r="D621" s="13" t="s">
        <v>35</v>
      </c>
      <c r="E621" s="13" t="s">
        <v>161</v>
      </c>
      <c r="F621" s="13" t="s">
        <v>37</v>
      </c>
      <c r="G621" s="13" t="s">
        <v>210</v>
      </c>
      <c r="H621" s="16">
        <v>45136.0</v>
      </c>
      <c r="I621" s="14">
        <v>0.0</v>
      </c>
      <c r="J621" s="13" t="s">
        <v>40</v>
      </c>
      <c r="K621" s="13" t="s">
        <v>81</v>
      </c>
      <c r="L621" s="14">
        <v>625.0</v>
      </c>
      <c r="M621" s="18" t="s">
        <v>173</v>
      </c>
      <c r="N621" s="18" t="s">
        <v>164</v>
      </c>
      <c r="O621" s="18">
        <v>18.7</v>
      </c>
      <c r="P621" s="18" t="s">
        <v>173</v>
      </c>
      <c r="Q621" s="16">
        <v>45194.0</v>
      </c>
      <c r="R621" s="16" t="s">
        <v>38</v>
      </c>
      <c r="S621" s="13" t="s">
        <v>55</v>
      </c>
      <c r="T621" s="13" t="s">
        <v>72</v>
      </c>
      <c r="U621" s="13">
        <f t="shared" si="1"/>
        <v>2</v>
      </c>
      <c r="V621" s="13" t="str">
        <f t="shared" si="2"/>
        <v>C00875|Rahul Kumar|19|North|Chandigarh|Standard|Referral|7/29/2023|0|Monthly|Debit Card|625|5|3|18.70|5|9/25/2023||Active|Collaboration</v>
      </c>
      <c r="W621" s="13">
        <f t="shared" si="3"/>
        <v>1</v>
      </c>
      <c r="X621" s="13">
        <f>IFERROR(__xludf.DUMMYFUNCTION("COUNTUNIQUE(FILTER($B$2:$B$1826,$A$2:$A$1826=A621))"),2.0)</f>
        <v>2</v>
      </c>
    </row>
    <row r="622">
      <c r="A622" s="13" t="s">
        <v>1201</v>
      </c>
      <c r="B622" s="13" t="s">
        <v>325</v>
      </c>
      <c r="C622" s="14">
        <v>61.0</v>
      </c>
      <c r="D622" s="13" t="s">
        <v>60</v>
      </c>
      <c r="E622" s="13" t="s">
        <v>133</v>
      </c>
      <c r="F622" s="13" t="s">
        <v>62</v>
      </c>
      <c r="G622" s="13" t="s">
        <v>80</v>
      </c>
      <c r="H622" s="16">
        <v>44768.0</v>
      </c>
      <c r="I622" s="14">
        <v>28.0</v>
      </c>
      <c r="J622" s="13" t="s">
        <v>40</v>
      </c>
      <c r="K622" s="13" t="s">
        <v>81</v>
      </c>
      <c r="L622" s="14">
        <v>750.0</v>
      </c>
      <c r="M622" s="18" t="s">
        <v>46</v>
      </c>
      <c r="N622" s="18" t="s">
        <v>98</v>
      </c>
      <c r="O622" s="18">
        <v>20.9</v>
      </c>
      <c r="P622" s="18" t="s">
        <v>408</v>
      </c>
      <c r="Q622" s="16">
        <v>45089.0</v>
      </c>
      <c r="R622" s="16" t="s">
        <v>38</v>
      </c>
      <c r="S622" s="13" t="s">
        <v>230</v>
      </c>
      <c r="T622" s="13" t="s">
        <v>66</v>
      </c>
      <c r="U622" s="13">
        <f t="shared" si="1"/>
        <v>1</v>
      </c>
      <c r="V622" s="13" t="str">
        <f t="shared" si="2"/>
        <v>C00435|Priya Sharma|61|East|Guwahati|Basic|Organic Search|7/26/2022|28|Monthly|Debit Card|750|0|1|20.90|4.2|6/12/2023||Yes|Automation</v>
      </c>
      <c r="W622" s="13">
        <f t="shared" si="3"/>
        <v>1</v>
      </c>
      <c r="X622" s="13">
        <f>IFERROR(__xludf.DUMMYFUNCTION("COUNTUNIQUE(FILTER($B$2:$B$1826,$A$2:$A$1826=A622))"),1.0)</f>
        <v>1</v>
      </c>
    </row>
    <row r="623">
      <c r="A623" s="13" t="s">
        <v>1203</v>
      </c>
      <c r="B623" s="13" t="s">
        <v>250</v>
      </c>
      <c r="C623" s="14">
        <v>56.0</v>
      </c>
      <c r="D623" s="13" t="s">
        <v>69</v>
      </c>
      <c r="E623" s="13" t="s">
        <v>177</v>
      </c>
      <c r="F623" s="13" t="s">
        <v>62</v>
      </c>
      <c r="G623" s="13" t="s">
        <v>128</v>
      </c>
      <c r="H623" s="16">
        <v>45302.0</v>
      </c>
      <c r="I623" s="14">
        <v>48.0</v>
      </c>
      <c r="J623" s="13" t="s">
        <v>53</v>
      </c>
      <c r="K623" s="13" t="s">
        <v>41</v>
      </c>
      <c r="L623" s="14">
        <v>769.0</v>
      </c>
      <c r="M623" s="18" t="s">
        <v>98</v>
      </c>
      <c r="N623" s="18" t="s">
        <v>98</v>
      </c>
      <c r="O623" s="18">
        <v>26.5</v>
      </c>
      <c r="P623" s="18" t="s">
        <v>173</v>
      </c>
      <c r="Q623" s="16">
        <v>45799.0</v>
      </c>
      <c r="R623" s="16">
        <v>46456.0</v>
      </c>
      <c r="S623" s="13" t="s">
        <v>45</v>
      </c>
      <c r="T623" s="13" t="s">
        <v>104</v>
      </c>
      <c r="U623" s="13">
        <f t="shared" si="1"/>
        <v>2</v>
      </c>
      <c r="V623" s="13" t="str">
        <f t="shared" si="2"/>
        <v>C01578|Vikram Singh|56|South|Hyderabad|Basic|Youtube|1/11/2024|48|Quarterly|Upi|769|1|1|26.50|5|5/22/2025|3/10/2027|Churned|Analytics</v>
      </c>
      <c r="W623" s="13">
        <f t="shared" si="3"/>
        <v>1</v>
      </c>
      <c r="X623" s="13">
        <f>IFERROR(__xludf.DUMMYFUNCTION("COUNTUNIQUE(FILTER($B$2:$B$1826,$A$2:$A$1826=A623))"),2.0)</f>
        <v>2</v>
      </c>
    </row>
    <row r="624">
      <c r="A624" s="13" t="s">
        <v>1205</v>
      </c>
      <c r="B624" s="13" t="s">
        <v>448</v>
      </c>
      <c r="C624" s="14">
        <v>38.0</v>
      </c>
      <c r="D624" s="13" t="s">
        <v>35</v>
      </c>
      <c r="E624" s="13" t="s">
        <v>36</v>
      </c>
      <c r="F624" s="13" t="s">
        <v>37</v>
      </c>
      <c r="G624" s="13" t="s">
        <v>52</v>
      </c>
      <c r="H624" s="16">
        <v>44952.0</v>
      </c>
      <c r="I624" s="14">
        <v>13.0</v>
      </c>
      <c r="J624" s="13" t="s">
        <v>64</v>
      </c>
      <c r="K624" s="13" t="s">
        <v>65</v>
      </c>
      <c r="L624" s="14">
        <v>1075.0</v>
      </c>
      <c r="M624" s="18" t="s">
        <v>98</v>
      </c>
      <c r="N624" s="18" t="s">
        <v>43</v>
      </c>
      <c r="O624" s="18">
        <v>23.8</v>
      </c>
      <c r="P624" s="18" t="s">
        <v>368</v>
      </c>
      <c r="Q624" s="16">
        <v>45241.0</v>
      </c>
      <c r="R624" s="16" t="s">
        <v>38</v>
      </c>
      <c r="S624" s="13" t="s">
        <v>55</v>
      </c>
      <c r="T624" s="13" t="s">
        <v>47</v>
      </c>
      <c r="U624" s="13">
        <f t="shared" si="1"/>
        <v>1</v>
      </c>
      <c r="V624" s="13" t="str">
        <f t="shared" si="2"/>
        <v>C00268|Meera Reddy|38|North|Delhi|Standard|Facebook|1/26/2023|13|Annual|Credit Card|1,075|1|2|23.80|4.9|11/11/2023||Active|Cloud Storage</v>
      </c>
      <c r="W624" s="13">
        <f t="shared" si="3"/>
        <v>1</v>
      </c>
      <c r="X624" s="13">
        <f>IFERROR(__xludf.DUMMYFUNCTION("COUNTUNIQUE(FILTER($B$2:$B$1826,$A$2:$A$1826=A624))"),1.0)</f>
        <v>1</v>
      </c>
    </row>
    <row r="625">
      <c r="A625" s="13" t="s">
        <v>1206</v>
      </c>
      <c r="B625" s="13" t="s">
        <v>229</v>
      </c>
      <c r="C625" s="14">
        <v>59.0</v>
      </c>
      <c r="D625" s="13" t="s">
        <v>69</v>
      </c>
      <c r="E625" s="13" t="s">
        <v>70</v>
      </c>
      <c r="F625" s="13" t="s">
        <v>62</v>
      </c>
      <c r="G625" s="13" t="s">
        <v>120</v>
      </c>
      <c r="H625" s="16">
        <v>45689.0</v>
      </c>
      <c r="I625" s="14">
        <v>46.0</v>
      </c>
      <c r="J625" s="13" t="s">
        <v>64</v>
      </c>
      <c r="K625" s="13" t="s">
        <v>41</v>
      </c>
      <c r="L625" s="14">
        <v>887.0</v>
      </c>
      <c r="M625" s="18" t="s">
        <v>164</v>
      </c>
      <c r="N625" s="18" t="s">
        <v>98</v>
      </c>
      <c r="O625" s="18">
        <v>7.1</v>
      </c>
      <c r="P625" s="18" t="s">
        <v>248</v>
      </c>
      <c r="Q625" s="16">
        <v>46410.0</v>
      </c>
      <c r="R625" s="16" t="s">
        <v>38</v>
      </c>
      <c r="S625" s="13" t="s">
        <v>55</v>
      </c>
      <c r="T625" s="13" t="s">
        <v>75</v>
      </c>
      <c r="U625" s="13">
        <f t="shared" si="1"/>
        <v>1</v>
      </c>
      <c r="V625" s="13" t="str">
        <f t="shared" si="2"/>
        <v>C01093|Anita Nair|59|South|Bengaluru|Basic|Email|2/1/2025|46|Annual|Upi|887|3|1|7.10|2.6|1/23/2027||Active|Security</v>
      </c>
      <c r="W625" s="13">
        <f t="shared" si="3"/>
        <v>1</v>
      </c>
      <c r="X625" s="13">
        <f>IFERROR(__xludf.DUMMYFUNCTION("COUNTUNIQUE(FILTER($B$2:$B$1826,$A$2:$A$1826=A625))"),1.0)</f>
        <v>1</v>
      </c>
    </row>
    <row r="626">
      <c r="A626" s="13" t="s">
        <v>844</v>
      </c>
      <c r="B626" s="13" t="s">
        <v>239</v>
      </c>
      <c r="C626" s="14">
        <v>63.0</v>
      </c>
      <c r="D626" s="13" t="s">
        <v>85</v>
      </c>
      <c r="E626" s="13" t="s">
        <v>87</v>
      </c>
      <c r="F626" s="13" t="s">
        <v>37</v>
      </c>
      <c r="G626" s="13" t="s">
        <v>80</v>
      </c>
      <c r="H626" s="16">
        <v>44606.0</v>
      </c>
      <c r="I626" s="14">
        <v>11.0</v>
      </c>
      <c r="J626" s="13" t="s">
        <v>40</v>
      </c>
      <c r="K626" s="13" t="s">
        <v>81</v>
      </c>
      <c r="L626" s="14">
        <v>1131.0</v>
      </c>
      <c r="M626" s="18" t="s">
        <v>43</v>
      </c>
      <c r="N626" s="18" t="s">
        <v>98</v>
      </c>
      <c r="O626" s="18">
        <v>29.7</v>
      </c>
      <c r="P626" s="18" t="s">
        <v>185</v>
      </c>
      <c r="Q626" s="16">
        <v>44639.0</v>
      </c>
      <c r="R626" s="16" t="s">
        <v>38</v>
      </c>
      <c r="S626" s="13" t="s">
        <v>55</v>
      </c>
      <c r="T626" s="13" t="s">
        <v>75</v>
      </c>
      <c r="U626" s="13">
        <f t="shared" si="1"/>
        <v>4</v>
      </c>
      <c r="V626" s="13" t="str">
        <f t="shared" si="2"/>
        <v>C00139|Meera Kumar|63|West|Surat|Standard|Organic Search|2/14/2022|11|Monthly|Debit Card|1,131|2|1|29.70|3.2|3/19/2022||Active|Security</v>
      </c>
      <c r="W626" s="13">
        <f t="shared" si="3"/>
        <v>1</v>
      </c>
      <c r="X626" s="13">
        <f>IFERROR(__xludf.DUMMYFUNCTION("COUNTUNIQUE(FILTER($B$2:$B$1826,$A$2:$A$1826=A626))"),4.0)</f>
        <v>4</v>
      </c>
    </row>
    <row r="627">
      <c r="A627" s="13" t="s">
        <v>990</v>
      </c>
      <c r="B627" s="13" t="s">
        <v>126</v>
      </c>
      <c r="C627" s="14">
        <v>55.0</v>
      </c>
      <c r="D627" s="13" t="s">
        <v>35</v>
      </c>
      <c r="E627" s="13" t="s">
        <v>51</v>
      </c>
      <c r="F627" s="13" t="s">
        <v>62</v>
      </c>
      <c r="G627" s="13" t="s">
        <v>80</v>
      </c>
      <c r="H627" s="16">
        <v>45348.0</v>
      </c>
      <c r="I627" s="14">
        <v>36.0</v>
      </c>
      <c r="J627" s="13" t="s">
        <v>40</v>
      </c>
      <c r="K627" s="13" t="s">
        <v>81</v>
      </c>
      <c r="L627" s="14">
        <v>704.0</v>
      </c>
      <c r="M627" s="18" t="s">
        <v>43</v>
      </c>
      <c r="N627" s="18" t="s">
        <v>43</v>
      </c>
      <c r="O627" s="18">
        <v>22.0</v>
      </c>
      <c r="P627" s="18" t="s">
        <v>158</v>
      </c>
      <c r="Q627" s="16">
        <v>45781.0</v>
      </c>
      <c r="R627" s="16">
        <v>45842.0</v>
      </c>
      <c r="S627" s="13" t="s">
        <v>45</v>
      </c>
      <c r="T627" s="13" t="s">
        <v>104</v>
      </c>
      <c r="U627" s="13">
        <f t="shared" si="1"/>
        <v>3</v>
      </c>
      <c r="V627" s="13" t="str">
        <f t="shared" si="2"/>
        <v>C01014|Arun Patel|55|North|Jaipur|Basic|Organic Search|2/26/2024|36|Monthly|Debit Card|704|2|2|22.00|4.7|5/4/2025|7/4/2025|Churned|Analytics</v>
      </c>
      <c r="W627" s="13">
        <f t="shared" si="3"/>
        <v>1</v>
      </c>
      <c r="X627" s="13">
        <f>IFERROR(__xludf.DUMMYFUNCTION("COUNTUNIQUE(FILTER($B$2:$B$1826,$A$2:$A$1826=A627))"),3.0)</f>
        <v>3</v>
      </c>
    </row>
    <row r="628">
      <c r="A628" s="13" t="s">
        <v>1208</v>
      </c>
      <c r="B628" s="13" t="s">
        <v>395</v>
      </c>
      <c r="C628" s="14">
        <v>37.0</v>
      </c>
      <c r="D628" s="13" t="s">
        <v>85</v>
      </c>
      <c r="E628" s="13" t="s">
        <v>92</v>
      </c>
      <c r="F628" s="13" t="s">
        <v>62</v>
      </c>
      <c r="G628" s="13" t="s">
        <v>39</v>
      </c>
      <c r="H628" s="16">
        <v>45168.0</v>
      </c>
      <c r="I628" s="14">
        <v>46.0</v>
      </c>
      <c r="J628" s="13" t="s">
        <v>40</v>
      </c>
      <c r="K628" s="13" t="s">
        <v>81</v>
      </c>
      <c r="L628" s="14">
        <v>559.0</v>
      </c>
      <c r="M628" s="18" t="s">
        <v>98</v>
      </c>
      <c r="N628" s="18" t="s">
        <v>46</v>
      </c>
      <c r="O628" s="18">
        <v>24.3</v>
      </c>
      <c r="P628" s="18" t="s">
        <v>48</v>
      </c>
      <c r="Q628" s="16">
        <v>45271.0</v>
      </c>
      <c r="R628" s="16" t="s">
        <v>38</v>
      </c>
      <c r="S628" s="13" t="s">
        <v>55</v>
      </c>
      <c r="T628" s="13" t="s">
        <v>47</v>
      </c>
      <c r="U628" s="13">
        <f t="shared" si="1"/>
        <v>2</v>
      </c>
      <c r="V628" s="13" t="str">
        <f t="shared" si="2"/>
        <v>C01051|Ravi Singh|37|West|Ahmedabad|Basic|Instagram|8/30/2023|46|Monthly|Debit Card|559|1|0|24.30|3.6|12/11/2023||Active|Cloud Storage</v>
      </c>
      <c r="W628" s="13">
        <f t="shared" si="3"/>
        <v>1</v>
      </c>
      <c r="X628" s="13">
        <f>IFERROR(__xludf.DUMMYFUNCTION("COUNTUNIQUE(FILTER($B$2:$B$1826,$A$2:$A$1826=A628))"),2.0)</f>
        <v>2</v>
      </c>
    </row>
    <row r="629">
      <c r="A629" s="13" t="s">
        <v>1209</v>
      </c>
      <c r="B629" s="13" t="s">
        <v>281</v>
      </c>
      <c r="C629" s="14">
        <v>39.0</v>
      </c>
      <c r="D629" s="13" t="s">
        <v>69</v>
      </c>
      <c r="E629" s="13" t="s">
        <v>177</v>
      </c>
      <c r="F629" s="13" t="s">
        <v>79</v>
      </c>
      <c r="G629" s="13" t="s">
        <v>63</v>
      </c>
      <c r="H629" s="16">
        <v>45877.0</v>
      </c>
      <c r="I629" s="14">
        <v>16.0</v>
      </c>
      <c r="J629" s="13" t="s">
        <v>40</v>
      </c>
      <c r="K629" s="13" t="s">
        <v>81</v>
      </c>
      <c r="L629" s="14">
        <v>2236.0</v>
      </c>
      <c r="M629" s="18" t="s">
        <v>46</v>
      </c>
      <c r="N629" s="18" t="s">
        <v>164</v>
      </c>
      <c r="O629" s="18">
        <v>26.7</v>
      </c>
      <c r="P629" s="18" t="s">
        <v>89</v>
      </c>
      <c r="Q629" s="16">
        <v>45887.0</v>
      </c>
      <c r="R629" s="16">
        <v>46150.0</v>
      </c>
      <c r="S629" s="13" t="s">
        <v>45</v>
      </c>
      <c r="T629" s="13" t="s">
        <v>66</v>
      </c>
      <c r="U629" s="13">
        <f t="shared" si="1"/>
        <v>3</v>
      </c>
      <c r="V629" s="13" t="str">
        <f t="shared" si="2"/>
        <v>C00569|Anita Reddy|39|South|Hyderabad|Premium|Google Ads|8/8/2025|16|Monthly|Debit Card|2,236|0|3|26.70|3.3|8/18/2025|5/8/2026|Churned|Automation</v>
      </c>
      <c r="W629" s="13">
        <f t="shared" si="3"/>
        <v>1</v>
      </c>
      <c r="X629" s="13">
        <f>IFERROR(__xludf.DUMMYFUNCTION("COUNTUNIQUE(FILTER($B$2:$B$1826,$A$2:$A$1826=A629))"),3.0)</f>
        <v>3</v>
      </c>
    </row>
    <row r="630">
      <c r="A630" s="13" t="s">
        <v>1211</v>
      </c>
      <c r="B630" s="13" t="s">
        <v>322</v>
      </c>
      <c r="C630" s="14">
        <v>20.0</v>
      </c>
      <c r="D630" s="13" t="s">
        <v>69</v>
      </c>
      <c r="E630" s="13" t="s">
        <v>119</v>
      </c>
      <c r="F630" s="13" t="s">
        <v>79</v>
      </c>
      <c r="G630" s="13" t="s">
        <v>210</v>
      </c>
      <c r="H630" s="16">
        <v>45226.0</v>
      </c>
      <c r="I630" s="14">
        <v>4.0</v>
      </c>
      <c r="J630" s="13" t="s">
        <v>64</v>
      </c>
      <c r="K630" s="13" t="s">
        <v>81</v>
      </c>
      <c r="L630" s="14">
        <v>2448.0</v>
      </c>
      <c r="M630" s="18" t="s">
        <v>98</v>
      </c>
      <c r="N630" s="18" t="s">
        <v>98</v>
      </c>
      <c r="O630" s="18">
        <v>40.6</v>
      </c>
      <c r="P630" s="18" t="s">
        <v>130</v>
      </c>
      <c r="Q630" s="16">
        <v>45307.0</v>
      </c>
      <c r="R630" s="16" t="s">
        <v>38</v>
      </c>
      <c r="S630" s="13" t="s">
        <v>55</v>
      </c>
      <c r="T630" s="13" t="s">
        <v>66</v>
      </c>
      <c r="U630" s="13">
        <f t="shared" si="1"/>
        <v>1</v>
      </c>
      <c r="V630" s="13" t="str">
        <f t="shared" si="2"/>
        <v>C00541|Rahul Iyer|20|South|Kochi|Premium|Referral|10/27/2023|4|Annual|Debit Card|2,448|1|1|40.60|3.9|1/16/2024||Active|Automation</v>
      </c>
      <c r="W630" s="13">
        <f t="shared" si="3"/>
        <v>1</v>
      </c>
      <c r="X630" s="13">
        <f>IFERROR(__xludf.DUMMYFUNCTION("COUNTUNIQUE(FILTER($B$2:$B$1826,$A$2:$A$1826=A630))"),1.0)</f>
        <v>1</v>
      </c>
    </row>
    <row r="631">
      <c r="A631" s="13" t="s">
        <v>1212</v>
      </c>
      <c r="B631" s="13" t="s">
        <v>333</v>
      </c>
      <c r="C631" s="14">
        <v>28.0</v>
      </c>
      <c r="D631" s="13" t="s">
        <v>85</v>
      </c>
      <c r="E631" s="13" t="s">
        <v>92</v>
      </c>
      <c r="F631" s="13" t="s">
        <v>79</v>
      </c>
      <c r="G631" s="13" t="s">
        <v>52</v>
      </c>
      <c r="H631" s="16">
        <v>45799.0</v>
      </c>
      <c r="I631" s="14">
        <v>36.0</v>
      </c>
      <c r="J631" s="13" t="s">
        <v>53</v>
      </c>
      <c r="K631" s="13" t="s">
        <v>41</v>
      </c>
      <c r="L631" s="14">
        <v>2663.0</v>
      </c>
      <c r="M631" s="18" t="s">
        <v>98</v>
      </c>
      <c r="N631" s="18" t="s">
        <v>46</v>
      </c>
      <c r="O631" s="18">
        <v>49.4</v>
      </c>
      <c r="P631" s="18" t="s">
        <v>108</v>
      </c>
      <c r="Q631" s="16">
        <v>46359.0</v>
      </c>
      <c r="R631" s="16" t="s">
        <v>38</v>
      </c>
      <c r="S631" s="13" t="s">
        <v>55</v>
      </c>
      <c r="T631" s="13" t="s">
        <v>75</v>
      </c>
      <c r="U631" s="13">
        <f t="shared" si="1"/>
        <v>1</v>
      </c>
      <c r="V631" s="13" t="str">
        <f t="shared" si="2"/>
        <v>C00218|Neha Das|28|West|Ahmedabad|Premium|Facebook|5/22/2025|36|Quarterly|Upi|2,663|1|0|49.40|2.4|12/3/2026||Active|Security</v>
      </c>
      <c r="W631" s="13">
        <f t="shared" si="3"/>
        <v>1</v>
      </c>
      <c r="X631" s="13">
        <f>IFERROR(__xludf.DUMMYFUNCTION("COUNTUNIQUE(FILTER($B$2:$B$1826,$A$2:$A$1826=A631))"),1.0)</f>
        <v>1</v>
      </c>
    </row>
    <row r="632">
      <c r="A632" s="13" t="s">
        <v>311</v>
      </c>
      <c r="B632" s="13" t="s">
        <v>152</v>
      </c>
      <c r="C632" s="14">
        <v>38.0</v>
      </c>
      <c r="D632" s="13" t="s">
        <v>69</v>
      </c>
      <c r="E632" s="13" t="s">
        <v>119</v>
      </c>
      <c r="F632" s="13" t="s">
        <v>62</v>
      </c>
      <c r="G632" s="13" t="s">
        <v>39</v>
      </c>
      <c r="H632" s="16">
        <v>45502.0</v>
      </c>
      <c r="I632" s="14">
        <v>12.0</v>
      </c>
      <c r="J632" s="13" t="s">
        <v>40</v>
      </c>
      <c r="K632" s="13" t="s">
        <v>41</v>
      </c>
      <c r="L632" s="14">
        <v>589.0</v>
      </c>
      <c r="M632" s="18" t="s">
        <v>43</v>
      </c>
      <c r="N632" s="18" t="s">
        <v>98</v>
      </c>
      <c r="O632" s="18">
        <v>17.1</v>
      </c>
      <c r="P632" s="18" t="s">
        <v>89</v>
      </c>
      <c r="Q632" s="16">
        <v>45763.0</v>
      </c>
      <c r="R632" s="16" t="s">
        <v>1214</v>
      </c>
      <c r="S632" s="13" t="s">
        <v>45</v>
      </c>
      <c r="T632" s="13" t="s">
        <v>75</v>
      </c>
      <c r="U632" s="13">
        <f t="shared" si="1"/>
        <v>3</v>
      </c>
      <c r="V632" s="13" t="str">
        <f t="shared" si="2"/>
        <v>C00755|Vikram Kumar|38|South|Kochi|Basic|Instagram|7/29/2024|12|Monthly|Upi|589|2|1|17.10|3.3|4/16/2025|28/11/2024|Churned|Security</v>
      </c>
      <c r="W632" s="13">
        <f t="shared" si="3"/>
        <v>1</v>
      </c>
      <c r="X632" s="13">
        <f>IFERROR(__xludf.DUMMYFUNCTION("COUNTUNIQUE(FILTER($B$2:$B$1826,$A$2:$A$1826=A632))"),3.0)</f>
        <v>3</v>
      </c>
    </row>
    <row r="633">
      <c r="A633" s="13" t="s">
        <v>1215</v>
      </c>
      <c r="B633" s="13" t="s">
        <v>651</v>
      </c>
      <c r="C633" s="14">
        <v>43.0</v>
      </c>
      <c r="D633" s="13" t="s">
        <v>69</v>
      </c>
      <c r="E633" s="13" t="s">
        <v>70</v>
      </c>
      <c r="F633" s="13" t="s">
        <v>62</v>
      </c>
      <c r="G633" s="13" t="s">
        <v>120</v>
      </c>
      <c r="H633" s="16">
        <v>45064.0</v>
      </c>
      <c r="I633" s="14">
        <v>30.0</v>
      </c>
      <c r="J633" s="13" t="s">
        <v>53</v>
      </c>
      <c r="K633" s="13" t="s">
        <v>41</v>
      </c>
      <c r="L633" s="14" t="s">
        <v>38</v>
      </c>
      <c r="M633" s="18" t="s">
        <v>164</v>
      </c>
      <c r="N633" s="18" t="s">
        <v>164</v>
      </c>
      <c r="O633" s="18">
        <v>20.2</v>
      </c>
      <c r="P633" s="18" t="s">
        <v>203</v>
      </c>
      <c r="Q633" s="16">
        <v>45613.0</v>
      </c>
      <c r="R633" s="16">
        <v>45027.0</v>
      </c>
      <c r="S633" s="13" t="s">
        <v>45</v>
      </c>
      <c r="T633" s="13" t="s">
        <v>104</v>
      </c>
      <c r="U633" s="13">
        <f t="shared" si="1"/>
        <v>2</v>
      </c>
      <c r="V633" s="13" t="str">
        <f t="shared" si="2"/>
        <v>C01408|Arun Sharma|43|South|Bengaluru|Basic|Email|5/18/2023|30|Quarterly|Upi||3|3|20.20|3.7|11/17/2024|4/11/2023|Churned|Analytics</v>
      </c>
      <c r="W633" s="13">
        <f t="shared" si="3"/>
        <v>1</v>
      </c>
      <c r="X633" s="13">
        <f>IFERROR(__xludf.DUMMYFUNCTION("COUNTUNIQUE(FILTER($B$2:$B$1826,$A$2:$A$1826=A633))"),2.0)</f>
        <v>2</v>
      </c>
    </row>
    <row r="634">
      <c r="A634" s="13" t="s">
        <v>1217</v>
      </c>
      <c r="B634" s="13" t="s">
        <v>167</v>
      </c>
      <c r="C634" s="14">
        <v>64.0</v>
      </c>
      <c r="D634" s="13" t="s">
        <v>35</v>
      </c>
      <c r="E634" s="13" t="s">
        <v>51</v>
      </c>
      <c r="F634" s="13" t="s">
        <v>62</v>
      </c>
      <c r="G634" s="13" t="s">
        <v>63</v>
      </c>
      <c r="H634" s="16">
        <v>45110.0</v>
      </c>
      <c r="I634" s="14">
        <v>10.0</v>
      </c>
      <c r="J634" s="13" t="s">
        <v>40</v>
      </c>
      <c r="K634" s="13" t="s">
        <v>41</v>
      </c>
      <c r="L634" s="14">
        <v>806.0</v>
      </c>
      <c r="M634" s="18" t="s">
        <v>46</v>
      </c>
      <c r="N634" s="18" t="s">
        <v>98</v>
      </c>
      <c r="O634" s="18">
        <v>10.2</v>
      </c>
      <c r="P634" s="18" t="s">
        <v>368</v>
      </c>
      <c r="Q634" s="16">
        <v>45124.0</v>
      </c>
      <c r="R634" s="16" t="s">
        <v>1218</v>
      </c>
      <c r="S634" s="13" t="s">
        <v>55</v>
      </c>
      <c r="T634" s="13" t="s">
        <v>47</v>
      </c>
      <c r="U634" s="13">
        <f t="shared" si="1"/>
        <v>1</v>
      </c>
      <c r="V634" s="13" t="str">
        <f t="shared" si="2"/>
        <v>C00028|Ravi Reddy|64|North|Jaipur|Basic|Google Ads|7/3/2023|10|Monthly|Upi|806|0|1|10.20|4.9|7/17/2023|25/09/2023|Active|Cloud Storage</v>
      </c>
      <c r="W634" s="13">
        <f t="shared" si="3"/>
        <v>1</v>
      </c>
      <c r="X634" s="13">
        <f>IFERROR(__xludf.DUMMYFUNCTION("COUNTUNIQUE(FILTER($B$2:$B$1826,$A$2:$A$1826=A634))"),1.0)</f>
        <v>1</v>
      </c>
    </row>
    <row r="635">
      <c r="A635" s="13" t="s">
        <v>660</v>
      </c>
      <c r="B635" s="13" t="s">
        <v>303</v>
      </c>
      <c r="C635" s="14">
        <v>21.0</v>
      </c>
      <c r="D635" s="13" t="s">
        <v>85</v>
      </c>
      <c r="E635" s="13" t="s">
        <v>111</v>
      </c>
      <c r="F635" s="13" t="s">
        <v>62</v>
      </c>
      <c r="G635" s="13" t="s">
        <v>120</v>
      </c>
      <c r="H635" s="16">
        <v>44878.0</v>
      </c>
      <c r="I635" s="14">
        <v>16.0</v>
      </c>
      <c r="J635" s="13" t="s">
        <v>40</v>
      </c>
      <c r="K635" s="13" t="s">
        <v>81</v>
      </c>
      <c r="L635" s="14">
        <v>853.0</v>
      </c>
      <c r="M635" s="18" t="s">
        <v>98</v>
      </c>
      <c r="N635" s="18" t="s">
        <v>46</v>
      </c>
      <c r="O635" s="18">
        <v>13.8</v>
      </c>
      <c r="P635" s="18" t="s">
        <v>296</v>
      </c>
      <c r="Q635" s="16" t="s">
        <v>38</v>
      </c>
      <c r="R635" s="16" t="s">
        <v>38</v>
      </c>
      <c r="S635" s="13" t="s">
        <v>55</v>
      </c>
      <c r="T635" s="13" t="s">
        <v>72</v>
      </c>
      <c r="U635" s="13">
        <f t="shared" si="1"/>
        <v>6</v>
      </c>
      <c r="V635" s="13" t="str">
        <f t="shared" si="2"/>
        <v>C00984|Priya Kumar|21|West|Pune|Basic|Email|11/13/2022|16|Monthly|Debit Card|853|1|0|13.80|4.6|||Active|Collaboration</v>
      </c>
      <c r="W635" s="13">
        <f t="shared" si="3"/>
        <v>1</v>
      </c>
      <c r="X635" s="13">
        <f>IFERROR(__xludf.DUMMYFUNCTION("COUNTUNIQUE(FILTER($B$2:$B$1826,$A$2:$A$1826=A635))"),6.0)</f>
        <v>6</v>
      </c>
    </row>
    <row r="636">
      <c r="A636" s="13" t="s">
        <v>1219</v>
      </c>
      <c r="B636" s="13" t="s">
        <v>333</v>
      </c>
      <c r="C636" s="14">
        <v>62.0</v>
      </c>
      <c r="D636" s="13" t="s">
        <v>85</v>
      </c>
      <c r="E636" s="13" t="s">
        <v>111</v>
      </c>
      <c r="F636" s="13" t="s">
        <v>62</v>
      </c>
      <c r="G636" s="13" t="s">
        <v>39</v>
      </c>
      <c r="H636" s="16">
        <v>44611.0</v>
      </c>
      <c r="I636" s="14">
        <v>15.0</v>
      </c>
      <c r="J636" s="13" t="s">
        <v>64</v>
      </c>
      <c r="K636" s="13" t="s">
        <v>41</v>
      </c>
      <c r="L636" s="14">
        <v>574.0</v>
      </c>
      <c r="M636" s="18" t="s">
        <v>46</v>
      </c>
      <c r="N636" s="18" t="s">
        <v>46</v>
      </c>
      <c r="O636" s="18">
        <v>11.7</v>
      </c>
      <c r="P636" s="18" t="s">
        <v>164</v>
      </c>
      <c r="Q636" s="16">
        <v>44767.0</v>
      </c>
      <c r="R636" s="16" t="s">
        <v>38</v>
      </c>
      <c r="S636" s="13" t="s">
        <v>55</v>
      </c>
      <c r="T636" s="13" t="s">
        <v>75</v>
      </c>
      <c r="U636" s="13">
        <f t="shared" si="1"/>
        <v>1</v>
      </c>
      <c r="V636" s="13" t="str">
        <f t="shared" si="2"/>
        <v>C00211|Neha Das|62|West|Pune|Basic|Instagram|2/19/2022|15|Annual|Upi|574|0|0|11.70|3|7/25/2022||Active|Security</v>
      </c>
      <c r="W636" s="13">
        <f t="shared" si="3"/>
        <v>1</v>
      </c>
      <c r="X636" s="13">
        <f>IFERROR(__xludf.DUMMYFUNCTION("COUNTUNIQUE(FILTER($B$2:$B$1826,$A$2:$A$1826=A636))"),1.0)</f>
        <v>1</v>
      </c>
    </row>
    <row r="637">
      <c r="A637" s="13" t="s">
        <v>1220</v>
      </c>
      <c r="B637" s="13" t="s">
        <v>126</v>
      </c>
      <c r="C637" s="14">
        <v>30.0</v>
      </c>
      <c r="D637" s="13" t="s">
        <v>35</v>
      </c>
      <c r="E637" s="13" t="s">
        <v>51</v>
      </c>
      <c r="F637" s="13" t="s">
        <v>62</v>
      </c>
      <c r="G637" s="13" t="s">
        <v>210</v>
      </c>
      <c r="H637" s="16">
        <v>45293.0</v>
      </c>
      <c r="I637" s="14">
        <v>5.0</v>
      </c>
      <c r="J637" s="13" t="s">
        <v>53</v>
      </c>
      <c r="K637" s="13" t="s">
        <v>81</v>
      </c>
      <c r="L637" s="14">
        <v>559.0</v>
      </c>
      <c r="M637" s="18" t="s">
        <v>164</v>
      </c>
      <c r="N637" s="18" t="s">
        <v>98</v>
      </c>
      <c r="O637" s="18">
        <v>3.8</v>
      </c>
      <c r="P637" s="18" t="s">
        <v>123</v>
      </c>
      <c r="Q637" s="16">
        <v>45324.0</v>
      </c>
      <c r="R637" s="16" t="s">
        <v>38</v>
      </c>
      <c r="S637" s="13" t="s">
        <v>55</v>
      </c>
      <c r="T637" s="13" t="s">
        <v>72</v>
      </c>
      <c r="U637" s="13">
        <f t="shared" si="1"/>
        <v>2</v>
      </c>
      <c r="V637" s="13" t="str">
        <f t="shared" si="2"/>
        <v>C00348|Arun Patel|30|North|Jaipur|Basic|Referral|1/2/2024|5|Quarterly|Debit Card|559|3|1|3.80|4.1|2/2/2024||Active|Collaboration</v>
      </c>
      <c r="W637" s="13">
        <f t="shared" si="3"/>
        <v>1</v>
      </c>
      <c r="X637" s="13">
        <f>IFERROR(__xludf.DUMMYFUNCTION("COUNTUNIQUE(FILTER($B$2:$B$1826,$A$2:$A$1826=A637))"),2.0)</f>
        <v>2</v>
      </c>
    </row>
    <row r="638">
      <c r="A638" s="13" t="s">
        <v>1221</v>
      </c>
      <c r="B638" s="13" t="s">
        <v>169</v>
      </c>
      <c r="C638" s="14">
        <v>61.0</v>
      </c>
      <c r="D638" s="13" t="s">
        <v>69</v>
      </c>
      <c r="E638" s="13" t="s">
        <v>119</v>
      </c>
      <c r="F638" s="13" t="s">
        <v>62</v>
      </c>
      <c r="G638" s="13" t="s">
        <v>52</v>
      </c>
      <c r="H638" s="16">
        <v>45969.0</v>
      </c>
      <c r="I638" s="14">
        <v>20.0</v>
      </c>
      <c r="J638" s="13" t="s">
        <v>53</v>
      </c>
      <c r="K638" s="13" t="s">
        <v>65</v>
      </c>
      <c r="L638" s="14">
        <v>645.0</v>
      </c>
      <c r="M638" s="18" t="s">
        <v>98</v>
      </c>
      <c r="N638" s="18" t="s">
        <v>46</v>
      </c>
      <c r="O638" s="18">
        <v>16.8</v>
      </c>
      <c r="P638" s="18" t="s">
        <v>116</v>
      </c>
      <c r="Q638" s="16">
        <v>46085.0</v>
      </c>
      <c r="R638" s="16" t="s">
        <v>38</v>
      </c>
      <c r="S638" s="13" t="s">
        <v>55</v>
      </c>
      <c r="T638" s="13" t="s">
        <v>104</v>
      </c>
      <c r="U638" s="13">
        <f t="shared" si="1"/>
        <v>1</v>
      </c>
      <c r="V638" s="13" t="str">
        <f t="shared" si="2"/>
        <v>C01229|Vikram Nair|61|South|Kochi|Basic|Facebook|11/8/2025|20|Quarterly|Credit Card|645|1|0|16.80|3.4|3/4/2026||Active|Analytics</v>
      </c>
      <c r="W638" s="13">
        <f t="shared" si="3"/>
        <v>1</v>
      </c>
      <c r="X638" s="13">
        <f>IFERROR(__xludf.DUMMYFUNCTION("COUNTUNIQUE(FILTER($B$2:$B$1826,$A$2:$A$1826=A638))"),1.0)</f>
        <v>1</v>
      </c>
    </row>
    <row r="639">
      <c r="A639" s="13" t="s">
        <v>1061</v>
      </c>
      <c r="B639" s="13" t="s">
        <v>78</v>
      </c>
      <c r="C639" s="14">
        <v>24.0</v>
      </c>
      <c r="D639" s="13" t="s">
        <v>69</v>
      </c>
      <c r="E639" s="13" t="s">
        <v>187</v>
      </c>
      <c r="F639" s="13" t="s">
        <v>62</v>
      </c>
      <c r="G639" s="13" t="s">
        <v>120</v>
      </c>
      <c r="H639" s="16">
        <v>45476.0</v>
      </c>
      <c r="I639" s="14">
        <v>47.0</v>
      </c>
      <c r="J639" s="13" t="s">
        <v>53</v>
      </c>
      <c r="K639" s="13" t="s">
        <v>41</v>
      </c>
      <c r="L639" s="14">
        <v>743.0</v>
      </c>
      <c r="M639" s="18" t="s">
        <v>98</v>
      </c>
      <c r="N639" s="18" t="s">
        <v>46</v>
      </c>
      <c r="O639" s="18">
        <v>14.9</v>
      </c>
      <c r="P639" s="18" t="s">
        <v>99</v>
      </c>
      <c r="Q639" s="16">
        <v>46669.0</v>
      </c>
      <c r="R639" s="16" t="s">
        <v>661</v>
      </c>
      <c r="S639" s="13" t="s">
        <v>45</v>
      </c>
      <c r="T639" s="13" t="s">
        <v>47</v>
      </c>
      <c r="U639" s="13">
        <f t="shared" si="1"/>
        <v>2</v>
      </c>
      <c r="V639" s="13" t="str">
        <f t="shared" si="2"/>
        <v>C00005|Vikram Patel|24|South|Chennai|Basic|Email|7/3/2024|47|Quarterly|Upi|743|1|0|14.90|4|10/9/2027|25/12/2026|Churned|Cloud Storage</v>
      </c>
      <c r="W639" s="13">
        <f t="shared" si="3"/>
        <v>1</v>
      </c>
      <c r="X639" s="13">
        <f>IFERROR(__xludf.DUMMYFUNCTION("COUNTUNIQUE(FILTER($B$2:$B$1826,$A$2:$A$1826=A639))"),2.0)</f>
        <v>2</v>
      </c>
    </row>
    <row r="640">
      <c r="A640" s="13" t="s">
        <v>590</v>
      </c>
      <c r="B640" s="13" t="s">
        <v>333</v>
      </c>
      <c r="C640" s="14">
        <v>45.0</v>
      </c>
      <c r="D640" s="13" t="s">
        <v>69</v>
      </c>
      <c r="E640" s="13" t="s">
        <v>92</v>
      </c>
      <c r="F640" s="13" t="s">
        <v>62</v>
      </c>
      <c r="G640" s="13" t="s">
        <v>120</v>
      </c>
      <c r="H640" s="16">
        <v>45547.0</v>
      </c>
      <c r="I640" s="14">
        <v>45.0</v>
      </c>
      <c r="J640" s="13" t="s">
        <v>64</v>
      </c>
      <c r="K640" s="13" t="s">
        <v>65</v>
      </c>
      <c r="L640" s="14">
        <v>807.0</v>
      </c>
      <c r="M640" s="18" t="s">
        <v>46</v>
      </c>
      <c r="N640" s="18" t="s">
        <v>98</v>
      </c>
      <c r="O640" s="18">
        <v>19.4</v>
      </c>
      <c r="P640" s="18" t="s">
        <v>368</v>
      </c>
      <c r="Q640" s="16">
        <v>45840.0</v>
      </c>
      <c r="R640" s="16">
        <v>47093.0</v>
      </c>
      <c r="S640" s="13" t="s">
        <v>45</v>
      </c>
      <c r="T640" s="13" t="s">
        <v>38</v>
      </c>
      <c r="U640" s="13">
        <f t="shared" si="1"/>
        <v>3</v>
      </c>
      <c r="V640" s="13" t="str">
        <f t="shared" si="2"/>
        <v>C01572|Neha Das|45|South|Ahmedabad|Basic|Email|9/12/2024|45|Annual|Credit Card|807|0|1|19.40|4.9|7/2/2025|12/6/2028|Churned|</v>
      </c>
      <c r="W640" s="13">
        <f t="shared" si="3"/>
        <v>1</v>
      </c>
      <c r="X640" s="13">
        <f>IFERROR(__xludf.DUMMYFUNCTION("COUNTUNIQUE(FILTER($B$2:$B$1826,$A$2:$A$1826=A640))"),3.0)</f>
        <v>3</v>
      </c>
    </row>
    <row r="641">
      <c r="A641" s="13" t="s">
        <v>1224</v>
      </c>
      <c r="B641" s="13" t="s">
        <v>636</v>
      </c>
      <c r="C641" s="14">
        <v>19.0</v>
      </c>
      <c r="D641" s="13" t="s">
        <v>85</v>
      </c>
      <c r="E641" s="13" t="s">
        <v>111</v>
      </c>
      <c r="F641" s="13" t="s">
        <v>62</v>
      </c>
      <c r="G641" s="13" t="s">
        <v>80</v>
      </c>
      <c r="H641" s="16">
        <v>45425.0</v>
      </c>
      <c r="I641" s="14">
        <v>34.0</v>
      </c>
      <c r="J641" s="13" t="s">
        <v>40</v>
      </c>
      <c r="K641" s="13" t="s">
        <v>41</v>
      </c>
      <c r="L641" s="14">
        <v>854.0</v>
      </c>
      <c r="M641" s="18" t="s">
        <v>98</v>
      </c>
      <c r="N641" s="18" t="s">
        <v>164</v>
      </c>
      <c r="O641" s="18">
        <v>16.4</v>
      </c>
      <c r="P641" s="18" t="s">
        <v>130</v>
      </c>
      <c r="Q641" s="16">
        <v>45613.0</v>
      </c>
      <c r="R641" s="16" t="s">
        <v>38</v>
      </c>
      <c r="S641" s="13" t="s">
        <v>55</v>
      </c>
      <c r="T641" s="13" t="s">
        <v>72</v>
      </c>
      <c r="U641" s="13">
        <f t="shared" si="1"/>
        <v>3</v>
      </c>
      <c r="V641" s="13" t="str">
        <f t="shared" si="2"/>
        <v>C01094|Neha Reddy|19|West|Pune|Basic|Organic Search|5/13/2024|34|Monthly|Upi|854|1|3|16.40|3.9|11/17/2024||Active|Collaboration</v>
      </c>
      <c r="W641" s="13">
        <f t="shared" si="3"/>
        <v>1</v>
      </c>
      <c r="X641" s="13">
        <f>IFERROR(__xludf.DUMMYFUNCTION("COUNTUNIQUE(FILTER($B$2:$B$1826,$A$2:$A$1826=A641))"),3.0)</f>
        <v>3</v>
      </c>
    </row>
    <row r="642">
      <c r="A642" s="13" t="s">
        <v>925</v>
      </c>
      <c r="B642" s="13" t="s">
        <v>476</v>
      </c>
      <c r="C642" s="14">
        <v>34.0</v>
      </c>
      <c r="D642" s="13" t="s">
        <v>85</v>
      </c>
      <c r="E642" s="13" t="s">
        <v>111</v>
      </c>
      <c r="F642" s="13" t="s">
        <v>79</v>
      </c>
      <c r="G642" s="13" t="s">
        <v>63</v>
      </c>
      <c r="H642" s="16">
        <v>45277.0</v>
      </c>
      <c r="I642" s="14">
        <v>24.0</v>
      </c>
      <c r="J642" s="13" t="s">
        <v>40</v>
      </c>
      <c r="K642" s="13" t="s">
        <v>41</v>
      </c>
      <c r="L642" s="14">
        <v>2602.0</v>
      </c>
      <c r="M642" s="18" t="s">
        <v>98</v>
      </c>
      <c r="N642" s="18" t="s">
        <v>98</v>
      </c>
      <c r="O642" s="18">
        <v>32.9</v>
      </c>
      <c r="P642" s="18" t="s">
        <v>263</v>
      </c>
      <c r="Q642" s="16">
        <v>45758.0</v>
      </c>
      <c r="R642" s="16">
        <v>45602.0</v>
      </c>
      <c r="S642" s="13" t="s">
        <v>45</v>
      </c>
      <c r="T642" s="13" t="s">
        <v>104</v>
      </c>
      <c r="U642" s="13">
        <f t="shared" si="1"/>
        <v>3</v>
      </c>
      <c r="V642" s="13" t="str">
        <f t="shared" si="2"/>
        <v>C01144|Ravi Das|34|West|Pune|Premium|Google Ads|12/17/2023|24|Monthly|Upi|2,602|1|1|32.90|2.9|4/11/2025|11/6/2024|Churned|Analytics</v>
      </c>
      <c r="W642" s="13">
        <f t="shared" si="3"/>
        <v>1</v>
      </c>
      <c r="X642" s="13">
        <f>IFERROR(__xludf.DUMMYFUNCTION("COUNTUNIQUE(FILTER($B$2:$B$1826,$A$2:$A$1826=A642))"),3.0)</f>
        <v>3</v>
      </c>
    </row>
    <row r="643">
      <c r="A643" s="13" t="s">
        <v>455</v>
      </c>
      <c r="B643" s="13" t="s">
        <v>325</v>
      </c>
      <c r="C643" s="14">
        <v>49.0</v>
      </c>
      <c r="D643" s="13" t="s">
        <v>69</v>
      </c>
      <c r="E643" s="13" t="s">
        <v>70</v>
      </c>
      <c r="F643" s="13" t="s">
        <v>79</v>
      </c>
      <c r="G643" s="13" t="s">
        <v>52</v>
      </c>
      <c r="H643" s="16">
        <v>44855.0</v>
      </c>
      <c r="I643" s="14">
        <v>25.0</v>
      </c>
      <c r="J643" s="13" t="s">
        <v>64</v>
      </c>
      <c r="K643" s="13" t="s">
        <v>41</v>
      </c>
      <c r="L643" s="14">
        <v>2760.0</v>
      </c>
      <c r="M643" s="18" t="s">
        <v>98</v>
      </c>
      <c r="N643" s="18" t="s">
        <v>43</v>
      </c>
      <c r="O643" s="18">
        <v>41.9</v>
      </c>
      <c r="P643" s="18" t="s">
        <v>263</v>
      </c>
      <c r="Q643" s="16">
        <v>44920.0</v>
      </c>
      <c r="R643" s="16">
        <v>45484.0</v>
      </c>
      <c r="S643" s="13" t="s">
        <v>45</v>
      </c>
      <c r="T643" s="13" t="s">
        <v>104</v>
      </c>
      <c r="U643" s="13">
        <f t="shared" si="1"/>
        <v>5</v>
      </c>
      <c r="V643" s="13" t="str">
        <f t="shared" si="2"/>
        <v>C01530|Priya Sharma|49|South|Bengaluru|Premium|Facebook|10/21/2022|25|Annual|Upi|2,760|1|2|41.90|2.9|12/25/2022|7/11/2024|Churned|Analytics</v>
      </c>
      <c r="W643" s="13">
        <f t="shared" si="3"/>
        <v>1</v>
      </c>
      <c r="X643" s="13">
        <f>IFERROR(__xludf.DUMMYFUNCTION("COUNTUNIQUE(FILTER($B$2:$B$1826,$A$2:$A$1826=A643))"),4.0)</f>
        <v>4</v>
      </c>
    </row>
    <row r="644">
      <c r="A644" s="13" t="s">
        <v>1227</v>
      </c>
      <c r="B644" s="13" t="s">
        <v>322</v>
      </c>
      <c r="C644" s="14">
        <v>49.0</v>
      </c>
      <c r="D644" s="13" t="s">
        <v>60</v>
      </c>
      <c r="E644" s="13" t="s">
        <v>97</v>
      </c>
      <c r="F644" s="13" t="s">
        <v>62</v>
      </c>
      <c r="G644" s="13" t="s">
        <v>63</v>
      </c>
      <c r="H644" s="16">
        <v>44587.0</v>
      </c>
      <c r="I644" s="14">
        <v>37.0</v>
      </c>
      <c r="J644" s="13" t="s">
        <v>53</v>
      </c>
      <c r="K644" s="13" t="s">
        <v>81</v>
      </c>
      <c r="L644" s="14">
        <v>712.0</v>
      </c>
      <c r="M644" s="18" t="s">
        <v>98</v>
      </c>
      <c r="N644" s="18" t="s">
        <v>98</v>
      </c>
      <c r="O644" s="18">
        <v>10.0</v>
      </c>
      <c r="P644" s="18" t="s">
        <v>123</v>
      </c>
      <c r="Q644" s="16">
        <v>44970.0</v>
      </c>
      <c r="R644" s="16" t="s">
        <v>1228</v>
      </c>
      <c r="S644" s="13" t="s">
        <v>45</v>
      </c>
      <c r="T644" s="13" t="s">
        <v>72</v>
      </c>
      <c r="U644" s="13">
        <f t="shared" si="1"/>
        <v>2</v>
      </c>
      <c r="V644" s="13" t="str">
        <f t="shared" si="2"/>
        <v>C00301|Rahul Iyer|49|East|Bhubaneswar|Basic|Google Ads|1/26/2022|37|Quarterly|Debit Card|712|1|1|10.00|4.1|2/13/2023|14/10/2024|Churned|Collaboration</v>
      </c>
      <c r="W644" s="13">
        <f t="shared" si="3"/>
        <v>1</v>
      </c>
      <c r="X644" s="13">
        <f>IFERROR(__xludf.DUMMYFUNCTION("COUNTUNIQUE(FILTER($B$2:$B$1826,$A$2:$A$1826=A644))"),2.0)</f>
        <v>2</v>
      </c>
    </row>
    <row r="645">
      <c r="A645" s="13" t="s">
        <v>365</v>
      </c>
      <c r="B645" s="13" t="s">
        <v>393</v>
      </c>
      <c r="C645" s="14">
        <v>62.0</v>
      </c>
      <c r="D645" s="13" t="s">
        <v>35</v>
      </c>
      <c r="E645" s="13" t="s">
        <v>161</v>
      </c>
      <c r="F645" s="13" t="s">
        <v>62</v>
      </c>
      <c r="G645" s="13" t="s">
        <v>63</v>
      </c>
      <c r="H645" s="16">
        <v>45877.0</v>
      </c>
      <c r="I645" s="14">
        <v>3.0</v>
      </c>
      <c r="J645" s="13" t="s">
        <v>53</v>
      </c>
      <c r="K645" s="13" t="s">
        <v>81</v>
      </c>
      <c r="L645" s="14">
        <v>587.0</v>
      </c>
      <c r="M645" s="18" t="s">
        <v>98</v>
      </c>
      <c r="N645" s="18" t="s">
        <v>98</v>
      </c>
      <c r="O645" s="18">
        <v>14.9</v>
      </c>
      <c r="P645" s="18" t="s">
        <v>48</v>
      </c>
      <c r="Q645" s="16">
        <v>45888.0</v>
      </c>
      <c r="R645" s="16" t="s">
        <v>38</v>
      </c>
      <c r="S645" s="13" t="s">
        <v>55</v>
      </c>
      <c r="T645" s="13" t="s">
        <v>72</v>
      </c>
      <c r="U645" s="13">
        <f t="shared" si="1"/>
        <v>2</v>
      </c>
      <c r="V645" s="13" t="str">
        <f t="shared" si="2"/>
        <v>C00910|Karan Das|62|North|Chandigarh|Basic|Google Ads|8/8/2025|3|Quarterly|Debit Card|587|1|1|14.90|3.6|8/19/2025||Active|Collaboration</v>
      </c>
      <c r="W645" s="13">
        <f t="shared" si="3"/>
        <v>1</v>
      </c>
      <c r="X645" s="13">
        <f>IFERROR(__xludf.DUMMYFUNCTION("COUNTUNIQUE(FILTER($B$2:$B$1826,$A$2:$A$1826=A645))"),2.0)</f>
        <v>2</v>
      </c>
    </row>
    <row r="646">
      <c r="A646" s="13" t="s">
        <v>667</v>
      </c>
      <c r="B646" s="13" t="s">
        <v>239</v>
      </c>
      <c r="C646" s="14">
        <v>33.0</v>
      </c>
      <c r="D646" s="13" t="s">
        <v>60</v>
      </c>
      <c r="E646" s="13" t="s">
        <v>97</v>
      </c>
      <c r="F646" s="13" t="s">
        <v>79</v>
      </c>
      <c r="G646" s="13" t="s">
        <v>39</v>
      </c>
      <c r="H646" s="16">
        <v>45118.0</v>
      </c>
      <c r="I646" s="14">
        <v>6.0</v>
      </c>
      <c r="J646" s="13" t="s">
        <v>53</v>
      </c>
      <c r="K646" s="13" t="s">
        <v>41</v>
      </c>
      <c r="L646" s="14">
        <v>563.0</v>
      </c>
      <c r="M646" s="18" t="s">
        <v>164</v>
      </c>
      <c r="N646" s="18" t="s">
        <v>98</v>
      </c>
      <c r="O646" s="18">
        <v>14.8</v>
      </c>
      <c r="P646" s="18" t="s">
        <v>130</v>
      </c>
      <c r="Q646" s="16">
        <v>45230.0</v>
      </c>
      <c r="R646" s="16" t="s">
        <v>38</v>
      </c>
      <c r="S646" s="13" t="s">
        <v>55</v>
      </c>
      <c r="T646" s="13" t="s">
        <v>66</v>
      </c>
      <c r="U646" s="13">
        <f t="shared" si="1"/>
        <v>4</v>
      </c>
      <c r="V646" s="13" t="str">
        <f t="shared" si="2"/>
        <v>C01172|Meera Kumar|33|East|Bhubaneswar|Premium|Instagram|7/11/2023|6|Quarterly|Upi|563|3|1|14.80|3.9|10/31/2023||Active|Automation</v>
      </c>
      <c r="W646" s="13">
        <f t="shared" si="3"/>
        <v>1</v>
      </c>
      <c r="X646" s="13">
        <f>IFERROR(__xludf.DUMMYFUNCTION("COUNTUNIQUE(FILTER($B$2:$B$1826,$A$2:$A$1826=A646))"),4.0)</f>
        <v>4</v>
      </c>
    </row>
    <row r="647">
      <c r="A647" s="13" t="s">
        <v>428</v>
      </c>
      <c r="B647" s="13" t="s">
        <v>801</v>
      </c>
      <c r="C647" s="14">
        <v>36.0</v>
      </c>
      <c r="D647" s="13" t="s">
        <v>35</v>
      </c>
      <c r="E647" s="13" t="s">
        <v>140</v>
      </c>
      <c r="F647" s="13" t="s">
        <v>37</v>
      </c>
      <c r="G647" s="13" t="s">
        <v>52</v>
      </c>
      <c r="H647" s="16">
        <v>45876.0</v>
      </c>
      <c r="I647" s="14">
        <v>26.0</v>
      </c>
      <c r="J647" s="13" t="s">
        <v>40</v>
      </c>
      <c r="K647" s="13" t="s">
        <v>41</v>
      </c>
      <c r="L647" s="14">
        <v>1054.0</v>
      </c>
      <c r="M647" s="18" t="s">
        <v>46</v>
      </c>
      <c r="N647" s="18" t="s">
        <v>46</v>
      </c>
      <c r="O647" s="18">
        <v>37.5</v>
      </c>
      <c r="P647" s="18" t="s">
        <v>123</v>
      </c>
      <c r="Q647" s="16">
        <v>46266.0</v>
      </c>
      <c r="R647" s="16" t="s">
        <v>1229</v>
      </c>
      <c r="S647" s="13" t="s">
        <v>45</v>
      </c>
      <c r="T647" s="13" t="s">
        <v>104</v>
      </c>
      <c r="U647" s="13">
        <f t="shared" si="1"/>
        <v>3</v>
      </c>
      <c r="V647" s="13" t="str">
        <f t="shared" si="2"/>
        <v>C01240|Karan Singh|36|North|Lucknow|Standard|Facebook|8/7/2025|26|Monthly|Upi|1,054|0|0|37.50|4.1|9/1/2026|30/06/2027|Churned|Analytics</v>
      </c>
      <c r="W647" s="13">
        <f t="shared" si="3"/>
        <v>1</v>
      </c>
      <c r="X647" s="13">
        <f>IFERROR(__xludf.DUMMYFUNCTION("COUNTUNIQUE(FILTER($B$2:$B$1826,$A$2:$A$1826=A647))"),3.0)</f>
        <v>3</v>
      </c>
    </row>
    <row r="648">
      <c r="A648" s="13" t="s">
        <v>1230</v>
      </c>
      <c r="B648" s="13" t="s">
        <v>362</v>
      </c>
      <c r="C648" s="14">
        <v>59.0</v>
      </c>
      <c r="D648" s="13" t="s">
        <v>60</v>
      </c>
      <c r="E648" s="13" t="s">
        <v>61</v>
      </c>
      <c r="F648" s="13" t="s">
        <v>62</v>
      </c>
      <c r="G648" s="13" t="s">
        <v>39</v>
      </c>
      <c r="H648" s="16">
        <v>45671.0</v>
      </c>
      <c r="I648" s="14">
        <v>7.0</v>
      </c>
      <c r="J648" s="13" t="s">
        <v>40</v>
      </c>
      <c r="K648" s="13" t="s">
        <v>41</v>
      </c>
      <c r="L648" s="14">
        <v>804.0</v>
      </c>
      <c r="M648" s="18" t="s">
        <v>98</v>
      </c>
      <c r="N648" s="18" t="s">
        <v>43</v>
      </c>
      <c r="O648" s="18">
        <v>26.3</v>
      </c>
      <c r="P648" s="18" t="s">
        <v>108</v>
      </c>
      <c r="Q648" s="16">
        <v>45760.0</v>
      </c>
      <c r="R648" s="16" t="s">
        <v>38</v>
      </c>
      <c r="S648" s="13" t="s">
        <v>55</v>
      </c>
      <c r="T648" s="13" t="s">
        <v>72</v>
      </c>
      <c r="U648" s="13">
        <f t="shared" si="1"/>
        <v>4</v>
      </c>
      <c r="V648" s="13" t="str">
        <f t="shared" si="2"/>
        <v>C00743|Neha Singh|59|East|Kolkata|Basic|Instagram|1/14/2025|7|Monthly|Upi|804|1|2|26.30|2.4|4/13/2025||Active|Collaboration</v>
      </c>
      <c r="W648" s="13">
        <f t="shared" si="3"/>
        <v>1</v>
      </c>
      <c r="X648" s="13">
        <f>IFERROR(__xludf.DUMMYFUNCTION("COUNTUNIQUE(FILTER($B$2:$B$1826,$A$2:$A$1826=A648))"),3.0)</f>
        <v>3</v>
      </c>
    </row>
    <row r="649">
      <c r="A649" s="13" t="s">
        <v>240</v>
      </c>
      <c r="B649" s="13" t="s">
        <v>395</v>
      </c>
      <c r="C649" s="14">
        <v>39.0</v>
      </c>
      <c r="D649" s="13" t="s">
        <v>35</v>
      </c>
      <c r="E649" s="13" t="s">
        <v>140</v>
      </c>
      <c r="F649" s="13" t="s">
        <v>62</v>
      </c>
      <c r="G649" s="13" t="s">
        <v>210</v>
      </c>
      <c r="H649" s="16">
        <v>44752.0</v>
      </c>
      <c r="I649" s="14">
        <v>20.0</v>
      </c>
      <c r="J649" s="13" t="s">
        <v>53</v>
      </c>
      <c r="K649" s="13" t="s">
        <v>81</v>
      </c>
      <c r="L649" s="14">
        <v>681.0</v>
      </c>
      <c r="M649" s="18" t="s">
        <v>98</v>
      </c>
      <c r="N649" s="18" t="s">
        <v>43</v>
      </c>
      <c r="O649" s="18">
        <v>15.8</v>
      </c>
      <c r="P649" s="18" t="s">
        <v>116</v>
      </c>
      <c r="Q649" s="16">
        <v>45169.0</v>
      </c>
      <c r="R649" s="16" t="s">
        <v>38</v>
      </c>
      <c r="S649" s="13" t="s">
        <v>55</v>
      </c>
      <c r="T649" s="13" t="s">
        <v>72</v>
      </c>
      <c r="U649" s="13">
        <f t="shared" si="1"/>
        <v>3</v>
      </c>
      <c r="V649" s="13" t="str">
        <f t="shared" si="2"/>
        <v>C00175|Ravi Singh|39|North|Lucknow|Basic|Referral|7/10/2022|20|Quarterly|Debit Card|681|1|2|15.80|3.4|8/31/2023||Active|Collaboration</v>
      </c>
      <c r="W649" s="13">
        <f t="shared" si="3"/>
        <v>1</v>
      </c>
      <c r="X649" s="13">
        <f>IFERROR(__xludf.DUMMYFUNCTION("COUNTUNIQUE(FILTER($B$2:$B$1826,$A$2:$A$1826=A649))"),3.0)</f>
        <v>3</v>
      </c>
    </row>
    <row r="650">
      <c r="A650" s="13" t="s">
        <v>1232</v>
      </c>
      <c r="B650" s="13" t="s">
        <v>118</v>
      </c>
      <c r="C650" s="14">
        <v>56.0</v>
      </c>
      <c r="D650" s="13" t="s">
        <v>35</v>
      </c>
      <c r="E650" s="13" t="s">
        <v>161</v>
      </c>
      <c r="F650" s="13" t="s">
        <v>62</v>
      </c>
      <c r="G650" s="13" t="s">
        <v>52</v>
      </c>
      <c r="H650" s="16">
        <v>45593.0</v>
      </c>
      <c r="I650" s="14">
        <v>7.0</v>
      </c>
      <c r="J650" s="13" t="s">
        <v>40</v>
      </c>
      <c r="K650" s="13" t="s">
        <v>65</v>
      </c>
      <c r="L650" s="14">
        <v>895.0</v>
      </c>
      <c r="M650" s="18" t="s">
        <v>98</v>
      </c>
      <c r="N650" s="18" t="s">
        <v>98</v>
      </c>
      <c r="O650" s="18">
        <v>26.7</v>
      </c>
      <c r="P650" s="18" t="s">
        <v>89</v>
      </c>
      <c r="Q650" s="16">
        <v>45753.0</v>
      </c>
      <c r="R650" s="16" t="s">
        <v>38</v>
      </c>
      <c r="S650" s="13" t="s">
        <v>55</v>
      </c>
      <c r="T650" s="13" t="s">
        <v>47</v>
      </c>
      <c r="U650" s="13">
        <f t="shared" si="1"/>
        <v>3</v>
      </c>
      <c r="V650" s="13" t="str">
        <f t="shared" si="2"/>
        <v>C00266|Karan Nair|56|North|Chandigarh|Basic|Facebook|10/28/2024|7|Monthly|Credit Card|895|1|1|26.70|3.3|4/6/2025||Active|Cloud Storage</v>
      </c>
      <c r="W650" s="13">
        <f t="shared" si="3"/>
        <v>1</v>
      </c>
      <c r="X650" s="13">
        <f>IFERROR(__xludf.DUMMYFUNCTION("COUNTUNIQUE(FILTER($B$2:$B$1826,$A$2:$A$1826=A650))"),3.0)</f>
        <v>3</v>
      </c>
    </row>
    <row r="651">
      <c r="A651" s="13" t="s">
        <v>841</v>
      </c>
      <c r="B651" s="13" t="s">
        <v>167</v>
      </c>
      <c r="C651" s="14">
        <v>47.0</v>
      </c>
      <c r="D651" s="13" t="s">
        <v>85</v>
      </c>
      <c r="E651" s="13" t="s">
        <v>292</v>
      </c>
      <c r="F651" s="13" t="s">
        <v>79</v>
      </c>
      <c r="G651" s="13" t="s">
        <v>63</v>
      </c>
      <c r="H651" s="16">
        <v>45036.0</v>
      </c>
      <c r="I651" s="14">
        <v>14.0</v>
      </c>
      <c r="J651" s="13" t="s">
        <v>40</v>
      </c>
      <c r="K651" s="13" t="s">
        <v>65</v>
      </c>
      <c r="L651" s="14">
        <v>3573.0</v>
      </c>
      <c r="M651" s="18" t="s">
        <v>46</v>
      </c>
      <c r="N651" s="18" t="s">
        <v>98</v>
      </c>
      <c r="O651" s="18">
        <v>48.4</v>
      </c>
      <c r="P651" s="18" t="s">
        <v>449</v>
      </c>
      <c r="Q651" s="16">
        <v>45413.0</v>
      </c>
      <c r="R651" s="16">
        <v>45207.0</v>
      </c>
      <c r="S651" s="13" t="s">
        <v>45</v>
      </c>
      <c r="T651" s="13" t="s">
        <v>72</v>
      </c>
      <c r="U651" s="13">
        <f t="shared" si="1"/>
        <v>3</v>
      </c>
      <c r="V651" s="13" t="str">
        <f t="shared" si="2"/>
        <v>C00311|Ravi Reddy|47|West|Mumbai|Premium|Google Ads|4/20/2023|14|Monthly|Credit Card|3,573|0|1|48.40|2.7|5/1/2024|10/8/2023|Churned|Collaboration</v>
      </c>
      <c r="W651" s="13">
        <f t="shared" si="3"/>
        <v>1</v>
      </c>
      <c r="X651" s="13">
        <f>IFERROR(__xludf.DUMMYFUNCTION("COUNTUNIQUE(FILTER($B$2:$B$1826,$A$2:$A$1826=A651))"),3.0)</f>
        <v>3</v>
      </c>
    </row>
    <row r="652">
      <c r="A652" s="13" t="s">
        <v>1234</v>
      </c>
      <c r="B652" s="13" t="s">
        <v>351</v>
      </c>
      <c r="C652" s="14">
        <v>25.0</v>
      </c>
      <c r="D652" s="13" t="s">
        <v>85</v>
      </c>
      <c r="E652" s="13" t="s">
        <v>292</v>
      </c>
      <c r="F652" s="13" t="s">
        <v>79</v>
      </c>
      <c r="G652" s="13" t="s">
        <v>128</v>
      </c>
      <c r="H652" s="16">
        <v>45960.0</v>
      </c>
      <c r="I652" s="14">
        <v>25.0</v>
      </c>
      <c r="J652" s="13" t="s">
        <v>40</v>
      </c>
      <c r="K652" s="13" t="s">
        <v>41</v>
      </c>
      <c r="L652" s="14">
        <v>2152.0</v>
      </c>
      <c r="M652" s="18" t="s">
        <v>98</v>
      </c>
      <c r="N652" s="18" t="s">
        <v>46</v>
      </c>
      <c r="O652" s="18">
        <v>39.1</v>
      </c>
      <c r="P652" s="18" t="s">
        <v>185</v>
      </c>
      <c r="Q652" s="16">
        <v>46126.0</v>
      </c>
      <c r="R652" s="16" t="s">
        <v>38</v>
      </c>
      <c r="S652" s="13" t="s">
        <v>55</v>
      </c>
      <c r="T652" s="13" t="s">
        <v>72</v>
      </c>
      <c r="U652" s="13">
        <f t="shared" si="1"/>
        <v>1</v>
      </c>
      <c r="V652" s="13" t="str">
        <f t="shared" si="2"/>
        <v>C00738|Meera Nair|25|West|Mumbai|Premium|Youtube|10/30/2025|25|Monthly|Upi|2,152|1|0|39.10|3.2|4/14/2026||Active|Collaboration</v>
      </c>
      <c r="W652" s="13">
        <f t="shared" si="3"/>
        <v>1</v>
      </c>
      <c r="X652" s="13">
        <f>IFERROR(__xludf.DUMMYFUNCTION("COUNTUNIQUE(FILTER($B$2:$B$1826,$A$2:$A$1826=A652))"),1.0)</f>
        <v>1</v>
      </c>
    </row>
    <row r="653">
      <c r="A653" s="13" t="s">
        <v>1235</v>
      </c>
      <c r="B653" s="13" t="s">
        <v>325</v>
      </c>
      <c r="C653" s="14">
        <v>30.0</v>
      </c>
      <c r="D653" s="13" t="s">
        <v>35</v>
      </c>
      <c r="E653" s="13" t="s">
        <v>140</v>
      </c>
      <c r="F653" s="13" t="s">
        <v>62</v>
      </c>
      <c r="G653" s="13" t="s">
        <v>210</v>
      </c>
      <c r="H653" s="16">
        <v>44909.0</v>
      </c>
      <c r="I653" s="14">
        <v>19.0</v>
      </c>
      <c r="J653" s="13" t="s">
        <v>64</v>
      </c>
      <c r="K653" s="13" t="s">
        <v>65</v>
      </c>
      <c r="L653" s="14">
        <v>642.0</v>
      </c>
      <c r="M653" s="18" t="s">
        <v>46</v>
      </c>
      <c r="N653" s="18" t="s">
        <v>98</v>
      </c>
      <c r="O653" s="18">
        <v>14.4</v>
      </c>
      <c r="P653" s="18" t="s">
        <v>164</v>
      </c>
      <c r="Q653" s="16">
        <v>45280.0</v>
      </c>
      <c r="R653" s="16" t="s">
        <v>38</v>
      </c>
      <c r="S653" s="13" t="s">
        <v>55</v>
      </c>
      <c r="T653" s="13" t="s">
        <v>72</v>
      </c>
      <c r="U653" s="13">
        <f t="shared" si="1"/>
        <v>1</v>
      </c>
      <c r="V653" s="13" t="str">
        <f t="shared" si="2"/>
        <v>C01121|Priya Sharma|30|North|Lucknow|Basic|Referral|12/14/2022|19|Annual|Credit Card|642|0|1|14.40|3|12/20/2023||Active|Collaboration</v>
      </c>
      <c r="W653" s="13">
        <f t="shared" si="3"/>
        <v>1</v>
      </c>
      <c r="X653" s="13">
        <f>IFERROR(__xludf.DUMMYFUNCTION("COUNTUNIQUE(FILTER($B$2:$B$1826,$A$2:$A$1826=A653))"),1.0)</f>
        <v>1</v>
      </c>
    </row>
    <row r="654">
      <c r="A654" s="13" t="s">
        <v>1236</v>
      </c>
      <c r="B654" s="13" t="s">
        <v>605</v>
      </c>
      <c r="C654" s="14">
        <v>47.0</v>
      </c>
      <c r="D654" s="13" t="s">
        <v>60</v>
      </c>
      <c r="E654" s="13" t="s">
        <v>133</v>
      </c>
      <c r="F654" s="13" t="s">
        <v>37</v>
      </c>
      <c r="G654" s="13" t="s">
        <v>39</v>
      </c>
      <c r="H654" s="16">
        <v>44815.0</v>
      </c>
      <c r="I654" s="14">
        <v>37.0</v>
      </c>
      <c r="J654" s="13" t="s">
        <v>53</v>
      </c>
      <c r="K654" s="13" t="s">
        <v>81</v>
      </c>
      <c r="L654" s="14">
        <v>1292.0</v>
      </c>
      <c r="M654" s="18" t="s">
        <v>43</v>
      </c>
      <c r="N654" s="18" t="s">
        <v>98</v>
      </c>
      <c r="O654" s="18">
        <v>19.5</v>
      </c>
      <c r="P654" s="18" t="s">
        <v>203</v>
      </c>
      <c r="Q654" s="16">
        <v>45662.0</v>
      </c>
      <c r="R654" s="16" t="s">
        <v>38</v>
      </c>
      <c r="S654" s="13" t="s">
        <v>55</v>
      </c>
      <c r="T654" s="13" t="s">
        <v>66</v>
      </c>
      <c r="U654" s="13">
        <f t="shared" si="1"/>
        <v>3</v>
      </c>
      <c r="V654" s="13" t="str">
        <f t="shared" si="2"/>
        <v>C00970|Meera Patel|47|East|Guwahati|Standard|Instagram|9/11/2022|37|Quarterly|Debit Card|1,292|2|1|19.50|3.7|1/5/2025||Active|Automation</v>
      </c>
      <c r="W654" s="13">
        <f t="shared" si="3"/>
        <v>1</v>
      </c>
      <c r="X654" s="13">
        <f>IFERROR(__xludf.DUMMYFUNCTION("COUNTUNIQUE(FILTER($B$2:$B$1826,$A$2:$A$1826=A654))"),3.0)</f>
        <v>3</v>
      </c>
    </row>
    <row r="655">
      <c r="A655" s="13" t="s">
        <v>775</v>
      </c>
      <c r="B655" s="13" t="s">
        <v>424</v>
      </c>
      <c r="C655" s="14">
        <v>28.0</v>
      </c>
      <c r="D655" s="13" t="s">
        <v>60</v>
      </c>
      <c r="E655" s="13" t="s">
        <v>61</v>
      </c>
      <c r="F655" s="13" t="s">
        <v>37</v>
      </c>
      <c r="G655" s="13" t="s">
        <v>80</v>
      </c>
      <c r="H655" s="16">
        <v>45483.0</v>
      </c>
      <c r="I655" s="14">
        <v>17.0</v>
      </c>
      <c r="J655" s="13" t="s">
        <v>40</v>
      </c>
      <c r="K655" s="13" t="s">
        <v>65</v>
      </c>
      <c r="L655" s="14">
        <v>1042.0</v>
      </c>
      <c r="M655" s="18" t="s">
        <v>164</v>
      </c>
      <c r="N655" s="18" t="s">
        <v>46</v>
      </c>
      <c r="O655" s="18">
        <v>30.6</v>
      </c>
      <c r="P655" s="18" t="s">
        <v>173</v>
      </c>
      <c r="Q655" s="16">
        <v>45551.0</v>
      </c>
      <c r="R655" s="16" t="s">
        <v>1237</v>
      </c>
      <c r="S655" s="13" t="s">
        <v>45</v>
      </c>
      <c r="T655" s="13" t="s">
        <v>75</v>
      </c>
      <c r="U655" s="13">
        <f t="shared" si="1"/>
        <v>2</v>
      </c>
      <c r="V655" s="13" t="str">
        <f t="shared" si="2"/>
        <v>C00643|Neha Kumar|28|East|Kolkata|Standard|Organic Search|7/10/2024|17|Monthly|Credit Card|1,042|3|0|30.60|5|9/16/2024|23/08/2025|Churned|Security</v>
      </c>
      <c r="W655" s="13">
        <f t="shared" si="3"/>
        <v>1</v>
      </c>
      <c r="X655" s="13">
        <f>IFERROR(__xludf.DUMMYFUNCTION("COUNTUNIQUE(FILTER($B$2:$B$1826,$A$2:$A$1826=A655))"),2.0)</f>
        <v>2</v>
      </c>
    </row>
    <row r="656">
      <c r="A656" s="13" t="s">
        <v>1238</v>
      </c>
      <c r="B656" s="13" t="s">
        <v>235</v>
      </c>
      <c r="C656" s="14">
        <v>24.0</v>
      </c>
      <c r="D656" s="13" t="s">
        <v>85</v>
      </c>
      <c r="E656" s="13" t="s">
        <v>292</v>
      </c>
      <c r="F656" s="13" t="s">
        <v>62</v>
      </c>
      <c r="G656" s="13" t="s">
        <v>128</v>
      </c>
      <c r="H656" s="16">
        <v>45508.0</v>
      </c>
      <c r="I656" s="14">
        <v>43.0</v>
      </c>
      <c r="J656" s="13" t="s">
        <v>40</v>
      </c>
      <c r="K656" s="13" t="s">
        <v>81</v>
      </c>
      <c r="L656" s="14">
        <v>737.0</v>
      </c>
      <c r="M656" s="18" t="s">
        <v>43</v>
      </c>
      <c r="N656" s="18" t="s">
        <v>99</v>
      </c>
      <c r="O656" s="18">
        <v>16.0</v>
      </c>
      <c r="P656" s="18" t="s">
        <v>408</v>
      </c>
      <c r="Q656" s="16">
        <v>46613.0</v>
      </c>
      <c r="R656" s="16" t="s">
        <v>38</v>
      </c>
      <c r="S656" s="13" t="s">
        <v>55</v>
      </c>
      <c r="T656" s="13" t="s">
        <v>104</v>
      </c>
      <c r="U656" s="13">
        <f t="shared" si="1"/>
        <v>2</v>
      </c>
      <c r="V656" s="13" t="str">
        <f t="shared" si="2"/>
        <v>C00325|Sneha Sharma|24|West|Mumbai|Basic|Youtube|8/4/2024|43|Monthly|Debit Card|737|2|4|16.00|4.2|8/14/2027||Active|Analytics</v>
      </c>
      <c r="W656" s="13">
        <f t="shared" si="3"/>
        <v>1</v>
      </c>
      <c r="X656" s="13">
        <f>IFERROR(__xludf.DUMMYFUNCTION("COUNTUNIQUE(FILTER($B$2:$B$1826,$A$2:$A$1826=A656))"),2.0)</f>
        <v>2</v>
      </c>
    </row>
    <row r="657">
      <c r="A657" s="13" t="s">
        <v>1132</v>
      </c>
      <c r="B657" s="13" t="s">
        <v>169</v>
      </c>
      <c r="C657" s="14" t="s">
        <v>38</v>
      </c>
      <c r="D657" s="13" t="s">
        <v>85</v>
      </c>
      <c r="E657" s="13" t="s">
        <v>111</v>
      </c>
      <c r="F657" s="13" t="s">
        <v>62</v>
      </c>
      <c r="G657" s="13" t="s">
        <v>63</v>
      </c>
      <c r="H657" s="16">
        <v>45211.0</v>
      </c>
      <c r="I657" s="14">
        <v>22.0</v>
      </c>
      <c r="J657" s="13" t="s">
        <v>64</v>
      </c>
      <c r="K657" s="13" t="s">
        <v>41</v>
      </c>
      <c r="L657" s="14">
        <v>747.0</v>
      </c>
      <c r="M657" s="18" t="s">
        <v>164</v>
      </c>
      <c r="N657" s="18" t="s">
        <v>46</v>
      </c>
      <c r="O657" s="18">
        <v>16.1</v>
      </c>
      <c r="P657" s="18" t="s">
        <v>568</v>
      </c>
      <c r="Q657" s="16">
        <v>45708.0</v>
      </c>
      <c r="R657" s="16">
        <v>45476.0</v>
      </c>
      <c r="S657" s="13" t="s">
        <v>45</v>
      </c>
      <c r="T657" s="13" t="s">
        <v>75</v>
      </c>
      <c r="U657" s="13">
        <f t="shared" si="1"/>
        <v>3</v>
      </c>
      <c r="V657" s="13" t="str">
        <f t="shared" si="2"/>
        <v>C00813|Vikram Nair||West|Pune|Basic|Google Ads|10/12/2023|22|Annual|Upi|747|3|0|16.10|2.2|2/20/2025|7/3/2024|Churned|Security</v>
      </c>
      <c r="W657" s="13">
        <f t="shared" si="3"/>
        <v>1</v>
      </c>
      <c r="X657" s="13">
        <f>IFERROR(__xludf.DUMMYFUNCTION("COUNTUNIQUE(FILTER($B$2:$B$1826,$A$2:$A$1826=A657))"),3.0)</f>
        <v>3</v>
      </c>
    </row>
    <row r="658">
      <c r="A658" s="13" t="s">
        <v>1240</v>
      </c>
      <c r="B658" s="13" t="s">
        <v>424</v>
      </c>
      <c r="C658" s="14">
        <v>67.0</v>
      </c>
      <c r="D658" s="13" t="s">
        <v>69</v>
      </c>
      <c r="E658" s="13" t="s">
        <v>177</v>
      </c>
      <c r="F658" s="13" t="s">
        <v>37</v>
      </c>
      <c r="G658" s="13" t="s">
        <v>80</v>
      </c>
      <c r="H658" s="16">
        <v>45340.0</v>
      </c>
      <c r="I658" s="14">
        <v>4.0</v>
      </c>
      <c r="J658" s="13" t="s">
        <v>64</v>
      </c>
      <c r="K658" s="13" t="s">
        <v>65</v>
      </c>
      <c r="L658" s="14">
        <v>1439.0</v>
      </c>
      <c r="M658" s="18" t="s">
        <v>164</v>
      </c>
      <c r="N658" s="18" t="s">
        <v>43</v>
      </c>
      <c r="O658" s="18">
        <v>27.5</v>
      </c>
      <c r="P658" s="18" t="s">
        <v>408</v>
      </c>
      <c r="Q658" s="16">
        <v>45404.0</v>
      </c>
      <c r="R658" s="16" t="s">
        <v>1241</v>
      </c>
      <c r="S658" s="13" t="s">
        <v>45</v>
      </c>
      <c r="T658" s="13" t="s">
        <v>72</v>
      </c>
      <c r="U658" s="13">
        <f t="shared" si="1"/>
        <v>3</v>
      </c>
      <c r="V658" s="13" t="str">
        <f t="shared" si="2"/>
        <v>C00299|Neha Kumar|67|South|Hyderabad|Standard|Organic Search|2/18/2024|4|Annual|Credit Card|1,439|3|2|27.50|4.2|4/22/2024|25/03/2024|Churned|Collaboration</v>
      </c>
      <c r="W658" s="13">
        <f t="shared" si="3"/>
        <v>1</v>
      </c>
      <c r="X658" s="13">
        <f>IFERROR(__xludf.DUMMYFUNCTION("COUNTUNIQUE(FILTER($B$2:$B$1826,$A$2:$A$1826=A658))"),3.0)</f>
        <v>3</v>
      </c>
    </row>
    <row r="659">
      <c r="A659" s="13" t="s">
        <v>1242</v>
      </c>
      <c r="B659" s="13" t="s">
        <v>395</v>
      </c>
      <c r="C659" s="14">
        <v>61.0</v>
      </c>
      <c r="D659" s="13" t="s">
        <v>69</v>
      </c>
      <c r="E659" s="13" t="s">
        <v>70</v>
      </c>
      <c r="F659" s="13" t="s">
        <v>62</v>
      </c>
      <c r="G659" s="13" t="s">
        <v>210</v>
      </c>
      <c r="H659" s="16">
        <v>45391.0</v>
      </c>
      <c r="I659" s="14">
        <v>6.0</v>
      </c>
      <c r="J659" s="13" t="s">
        <v>53</v>
      </c>
      <c r="K659" s="13" t="s">
        <v>41</v>
      </c>
      <c r="L659" s="14">
        <v>863.0</v>
      </c>
      <c r="M659" s="18" t="s">
        <v>99</v>
      </c>
      <c r="N659" s="18" t="s">
        <v>43</v>
      </c>
      <c r="O659" s="18">
        <v>27.2</v>
      </c>
      <c r="P659" s="18" t="s">
        <v>233</v>
      </c>
      <c r="Q659" s="16">
        <v>45508.0</v>
      </c>
      <c r="R659" s="16" t="s">
        <v>38</v>
      </c>
      <c r="S659" s="13" t="s">
        <v>55</v>
      </c>
      <c r="T659" s="13" t="s">
        <v>104</v>
      </c>
      <c r="U659" s="13">
        <f t="shared" si="1"/>
        <v>1</v>
      </c>
      <c r="V659" s="13" t="str">
        <f t="shared" si="2"/>
        <v>C00517|Ravi Singh|61|South|Bengaluru|Basic|Referral|4/9/2024|6|Quarterly|Upi|863|4|2|27.20|3.5|8/4/2024||Active|Analytics</v>
      </c>
      <c r="W659" s="13">
        <f t="shared" si="3"/>
        <v>1</v>
      </c>
      <c r="X659" s="13">
        <f>IFERROR(__xludf.DUMMYFUNCTION("COUNTUNIQUE(FILTER($B$2:$B$1826,$A$2:$A$1826=A659))"),1.0)</f>
        <v>1</v>
      </c>
    </row>
    <row r="660">
      <c r="A660" s="13" t="s">
        <v>1243</v>
      </c>
      <c r="B660" s="13" t="s">
        <v>50</v>
      </c>
      <c r="C660" s="14">
        <v>41.0</v>
      </c>
      <c r="D660" s="13" t="s">
        <v>85</v>
      </c>
      <c r="E660" s="13" t="s">
        <v>92</v>
      </c>
      <c r="F660" s="13" t="s">
        <v>79</v>
      </c>
      <c r="G660" s="13" t="s">
        <v>210</v>
      </c>
      <c r="H660" s="16">
        <v>44898.0</v>
      </c>
      <c r="I660" s="14">
        <v>13.0</v>
      </c>
      <c r="J660" s="13" t="s">
        <v>64</v>
      </c>
      <c r="K660" s="13" t="s">
        <v>81</v>
      </c>
      <c r="L660" s="14">
        <v>2972.0</v>
      </c>
      <c r="M660" s="18" t="s">
        <v>164</v>
      </c>
      <c r="N660" s="18" t="s">
        <v>98</v>
      </c>
      <c r="O660" s="18">
        <v>37.0</v>
      </c>
      <c r="P660" s="18" t="s">
        <v>185</v>
      </c>
      <c r="Q660" s="16">
        <v>45182.0</v>
      </c>
      <c r="R660" s="16" t="s">
        <v>38</v>
      </c>
      <c r="S660" s="13" t="s">
        <v>55</v>
      </c>
      <c r="T660" s="13" t="s">
        <v>75</v>
      </c>
      <c r="U660" s="13">
        <f t="shared" si="1"/>
        <v>1</v>
      </c>
      <c r="V660" s="13" t="str">
        <f t="shared" si="2"/>
        <v>C00190|Rahul Das|41|West|Ahmedabad|Premium|Referral|12/3/2022|13|Annual|Debit Card|2,972|3|1|37.00|3.2|9/13/2023||Active|Security</v>
      </c>
      <c r="W660" s="13">
        <f t="shared" si="3"/>
        <v>1</v>
      </c>
      <c r="X660" s="13">
        <f>IFERROR(__xludf.DUMMYFUNCTION("COUNTUNIQUE(FILTER($B$2:$B$1826,$A$2:$A$1826=A660))"),1.0)</f>
        <v>1</v>
      </c>
    </row>
    <row r="661">
      <c r="A661" s="13" t="s">
        <v>1244</v>
      </c>
      <c r="B661" s="13" t="s">
        <v>126</v>
      </c>
      <c r="C661" s="14">
        <v>48.0</v>
      </c>
      <c r="D661" s="13" t="s">
        <v>69</v>
      </c>
      <c r="E661" s="13" t="s">
        <v>70</v>
      </c>
      <c r="F661" s="13" t="s">
        <v>37</v>
      </c>
      <c r="G661" s="13" t="s">
        <v>80</v>
      </c>
      <c r="H661" s="16">
        <v>45824.0</v>
      </c>
      <c r="I661" s="14">
        <v>10.0</v>
      </c>
      <c r="J661" s="13" t="s">
        <v>40</v>
      </c>
      <c r="K661" s="13" t="s">
        <v>65</v>
      </c>
      <c r="L661" s="14">
        <v>1759.0</v>
      </c>
      <c r="M661" s="18" t="s">
        <v>98</v>
      </c>
      <c r="N661" s="18" t="s">
        <v>98</v>
      </c>
      <c r="O661" s="18">
        <v>30.4</v>
      </c>
      <c r="P661" s="18" t="s">
        <v>173</v>
      </c>
      <c r="Q661" s="16">
        <v>45996.0</v>
      </c>
      <c r="R661" s="16" t="s">
        <v>38</v>
      </c>
      <c r="S661" s="13" t="s">
        <v>55</v>
      </c>
      <c r="T661" s="13" t="s">
        <v>72</v>
      </c>
      <c r="U661" s="13">
        <f t="shared" si="1"/>
        <v>3</v>
      </c>
      <c r="V661" s="13" t="str">
        <f t="shared" si="2"/>
        <v>C00021|Arun Patel|48|South|Bengaluru|Standard|Organic Search|6/16/2025|10|Monthly|Credit Card|1,759|1|1|30.40|5|12/5/2025||Active|Collaboration</v>
      </c>
      <c r="W661" s="13">
        <f t="shared" si="3"/>
        <v>1</v>
      </c>
      <c r="X661" s="13">
        <f>IFERROR(__xludf.DUMMYFUNCTION("COUNTUNIQUE(FILTER($B$2:$B$1826,$A$2:$A$1826=A661))"),3.0)</f>
        <v>3</v>
      </c>
    </row>
    <row r="662">
      <c r="A662" s="13" t="s">
        <v>1245</v>
      </c>
      <c r="B662" s="13" t="s">
        <v>362</v>
      </c>
      <c r="C662" s="14">
        <v>45.0</v>
      </c>
      <c r="D662" s="13" t="s">
        <v>85</v>
      </c>
      <c r="E662" s="13" t="s">
        <v>92</v>
      </c>
      <c r="F662" s="13" t="s">
        <v>37</v>
      </c>
      <c r="G662" s="13" t="s">
        <v>63</v>
      </c>
      <c r="H662" s="16">
        <v>45484.0</v>
      </c>
      <c r="I662" s="14">
        <v>9.0</v>
      </c>
      <c r="J662" s="13" t="s">
        <v>64</v>
      </c>
      <c r="K662" s="13" t="s">
        <v>81</v>
      </c>
      <c r="L662" s="14">
        <v>1591.0</v>
      </c>
      <c r="M662" s="18" t="s">
        <v>164</v>
      </c>
      <c r="N662" s="18" t="s">
        <v>98</v>
      </c>
      <c r="O662" s="18">
        <v>20.9</v>
      </c>
      <c r="P662" s="18" t="s">
        <v>1222</v>
      </c>
      <c r="Q662" s="16">
        <v>45512.0</v>
      </c>
      <c r="R662" s="16" t="s">
        <v>38</v>
      </c>
      <c r="S662" s="13" t="s">
        <v>55</v>
      </c>
      <c r="T662" s="13" t="s">
        <v>47</v>
      </c>
      <c r="U662" s="13">
        <f t="shared" si="1"/>
        <v>1</v>
      </c>
      <c r="V662" s="13" t="str">
        <f t="shared" si="2"/>
        <v>C00233|Neha Singh|45|West|Ahmedabad|Standard|Google Ads|7/11/2024|9|Annual|Debit Card|1,591|3|1|20.90|1.4|8/8/2024||Active|Cloud Storage</v>
      </c>
      <c r="W662" s="13">
        <f t="shared" si="3"/>
        <v>1</v>
      </c>
      <c r="X662" s="13">
        <f>IFERROR(__xludf.DUMMYFUNCTION("COUNTUNIQUE(FILTER($B$2:$B$1826,$A$2:$A$1826=A662))"),1.0)</f>
        <v>1</v>
      </c>
    </row>
    <row r="663">
      <c r="A663" s="13" t="s">
        <v>1247</v>
      </c>
      <c r="B663" s="13" t="s">
        <v>247</v>
      </c>
      <c r="C663" s="14">
        <v>15.0</v>
      </c>
      <c r="D663" s="13" t="s">
        <v>85</v>
      </c>
      <c r="E663" s="13" t="s">
        <v>111</v>
      </c>
      <c r="F663" s="13" t="s">
        <v>62</v>
      </c>
      <c r="G663" s="13" t="s">
        <v>39</v>
      </c>
      <c r="H663" s="16">
        <v>45953.0</v>
      </c>
      <c r="I663" s="14">
        <v>37.0</v>
      </c>
      <c r="J663" s="13" t="s">
        <v>53</v>
      </c>
      <c r="K663" s="13" t="s">
        <v>81</v>
      </c>
      <c r="L663" s="14">
        <v>688.0</v>
      </c>
      <c r="M663" s="18" t="s">
        <v>43</v>
      </c>
      <c r="N663" s="18" t="s">
        <v>43</v>
      </c>
      <c r="O663" s="18">
        <v>24.0</v>
      </c>
      <c r="P663" s="18" t="s">
        <v>248</v>
      </c>
      <c r="Q663" s="16">
        <v>46581.0</v>
      </c>
      <c r="R663" s="16">
        <v>46729.0</v>
      </c>
      <c r="S663" s="13" t="s">
        <v>45</v>
      </c>
      <c r="T663" s="13" t="s">
        <v>75</v>
      </c>
      <c r="U663" s="13">
        <f t="shared" si="1"/>
        <v>1</v>
      </c>
      <c r="V663" s="13" t="str">
        <f t="shared" si="2"/>
        <v>C01231|Ravi Sharma|15|West|Pune|Basic|Instagram|10/23/2025|37|Quarterly|Debit Card|688|2|2|24.00|2.6|7/13/2027|12/8/2027|Churned|Security</v>
      </c>
      <c r="W663" s="13">
        <f t="shared" si="3"/>
        <v>1</v>
      </c>
      <c r="X663" s="13">
        <f>IFERROR(__xludf.DUMMYFUNCTION("COUNTUNIQUE(FILTER($B$2:$B$1826,$A$2:$A$1826=A663))"),1.0)</f>
        <v>1</v>
      </c>
    </row>
    <row r="664">
      <c r="A664" s="13" t="s">
        <v>1249</v>
      </c>
      <c r="B664" s="13" t="s">
        <v>411</v>
      </c>
      <c r="C664" s="14">
        <v>30.0</v>
      </c>
      <c r="D664" s="13" t="s">
        <v>85</v>
      </c>
      <c r="E664" s="13" t="s">
        <v>92</v>
      </c>
      <c r="F664" s="13" t="s">
        <v>62</v>
      </c>
      <c r="G664" s="13" t="s">
        <v>63</v>
      </c>
      <c r="H664" s="16">
        <v>45434.0</v>
      </c>
      <c r="I664" s="14">
        <v>34.0</v>
      </c>
      <c r="J664" s="13" t="s">
        <v>64</v>
      </c>
      <c r="K664" s="13" t="s">
        <v>81</v>
      </c>
      <c r="L664" s="14">
        <v>670.0</v>
      </c>
      <c r="M664" s="18" t="s">
        <v>98</v>
      </c>
      <c r="N664" s="18" t="s">
        <v>98</v>
      </c>
      <c r="O664" s="18">
        <v>3.1</v>
      </c>
      <c r="P664" s="18" t="s">
        <v>150</v>
      </c>
      <c r="Q664" s="16">
        <v>45804.0</v>
      </c>
      <c r="R664" s="16">
        <v>45726.0</v>
      </c>
      <c r="S664" s="13" t="s">
        <v>45</v>
      </c>
      <c r="T664" s="13" t="s">
        <v>47</v>
      </c>
      <c r="U664" s="13">
        <f t="shared" si="1"/>
        <v>2</v>
      </c>
      <c r="V664" s="13" t="str">
        <f t="shared" si="2"/>
        <v>C00848|Karan Reddy|30|West|Ahmedabad|Basic|Google Ads|5/22/2024|34|Annual|Debit Card|670|1|1|3.10|4.5|5/27/2025|3/10/2025|Churned|Cloud Storage</v>
      </c>
      <c r="W664" s="13">
        <f t="shared" si="3"/>
        <v>1</v>
      </c>
      <c r="X664" s="13">
        <f>IFERROR(__xludf.DUMMYFUNCTION("COUNTUNIQUE(FILTER($B$2:$B$1826,$A$2:$A$1826=A664))"),2.0)</f>
        <v>2</v>
      </c>
    </row>
    <row r="665">
      <c r="A665" s="13" t="s">
        <v>1251</v>
      </c>
      <c r="B665" s="13" t="s">
        <v>325</v>
      </c>
      <c r="C665" s="14">
        <v>24.0</v>
      </c>
      <c r="D665" s="13" t="s">
        <v>85</v>
      </c>
      <c r="E665" s="13" t="s">
        <v>87</v>
      </c>
      <c r="F665" s="13" t="s">
        <v>62</v>
      </c>
      <c r="G665" s="13" t="s">
        <v>52</v>
      </c>
      <c r="H665" s="16">
        <v>45972.0</v>
      </c>
      <c r="I665" s="14">
        <v>44.0</v>
      </c>
      <c r="J665" s="13" t="s">
        <v>64</v>
      </c>
      <c r="K665" s="13" t="s">
        <v>41</v>
      </c>
      <c r="L665" s="14">
        <v>644.0</v>
      </c>
      <c r="M665" s="18" t="s">
        <v>43</v>
      </c>
      <c r="N665" s="18" t="s">
        <v>98</v>
      </c>
      <c r="O665" s="18">
        <v>26.1</v>
      </c>
      <c r="P665" s="18" t="s">
        <v>185</v>
      </c>
      <c r="Q665" s="16">
        <v>46185.0</v>
      </c>
      <c r="R665" s="16" t="s">
        <v>38</v>
      </c>
      <c r="S665" s="13" t="s">
        <v>55</v>
      </c>
      <c r="T665" s="13" t="s">
        <v>66</v>
      </c>
      <c r="U665" s="13">
        <f t="shared" si="1"/>
        <v>2</v>
      </c>
      <c r="V665" s="13" t="str">
        <f t="shared" si="2"/>
        <v>C01112|Priya Sharma|24|West|Surat|Basic|Facebook|11/11/2025|44|Annual|Upi|644|2|1|26.10|3.2|6/12/2026||Active|Automation</v>
      </c>
      <c r="W665" s="13">
        <f t="shared" si="3"/>
        <v>1</v>
      </c>
      <c r="X665" s="13">
        <f>IFERROR(__xludf.DUMMYFUNCTION("COUNTUNIQUE(FILTER($B$2:$B$1826,$A$2:$A$1826=A665))"),2.0)</f>
        <v>2</v>
      </c>
    </row>
    <row r="666">
      <c r="A666" s="13" t="s">
        <v>1252</v>
      </c>
      <c r="B666" s="13" t="s">
        <v>139</v>
      </c>
      <c r="C666" s="14">
        <v>32.0</v>
      </c>
      <c r="D666" s="13" t="s">
        <v>35</v>
      </c>
      <c r="E666" s="13" t="s">
        <v>140</v>
      </c>
      <c r="F666" s="13" t="s">
        <v>37</v>
      </c>
      <c r="G666" s="13" t="s">
        <v>80</v>
      </c>
      <c r="H666" s="16">
        <v>45677.0</v>
      </c>
      <c r="I666" s="14">
        <v>7.0</v>
      </c>
      <c r="J666" s="13" t="s">
        <v>40</v>
      </c>
      <c r="K666" s="13" t="s">
        <v>65</v>
      </c>
      <c r="L666" s="14">
        <v>1594.0</v>
      </c>
      <c r="M666" s="18" t="s">
        <v>98</v>
      </c>
      <c r="N666" s="18" t="s">
        <v>46</v>
      </c>
      <c r="O666" s="18">
        <v>32.3</v>
      </c>
      <c r="P666" s="18" t="s">
        <v>123</v>
      </c>
      <c r="Q666" s="16">
        <v>45695.0</v>
      </c>
      <c r="R666" s="16" t="s">
        <v>38</v>
      </c>
      <c r="S666" s="13" t="s">
        <v>55</v>
      </c>
      <c r="T666" s="13" t="s">
        <v>66</v>
      </c>
      <c r="U666" s="13">
        <f t="shared" si="1"/>
        <v>2</v>
      </c>
      <c r="V666" s="13" t="str">
        <f t="shared" si="2"/>
        <v>C00843|Vikram Das|32|North|Lucknow|Standard|Organic Search|1/20/2025|7|Monthly|Credit Card|1,594|1|0|32.30|4.1|2/7/2025||Active|Automation</v>
      </c>
      <c r="W666" s="13">
        <f t="shared" si="3"/>
        <v>1</v>
      </c>
      <c r="X666" s="13">
        <f>IFERROR(__xludf.DUMMYFUNCTION("COUNTUNIQUE(FILTER($B$2:$B$1826,$A$2:$A$1826=A666))"),2.0)</f>
        <v>2</v>
      </c>
    </row>
    <row r="667">
      <c r="A667" s="13" t="s">
        <v>540</v>
      </c>
      <c r="B667" s="13" t="s">
        <v>308</v>
      </c>
      <c r="C667" s="14">
        <v>42.0</v>
      </c>
      <c r="D667" s="13" t="s">
        <v>35</v>
      </c>
      <c r="E667" s="13" t="s">
        <v>51</v>
      </c>
      <c r="F667" s="13" t="s">
        <v>79</v>
      </c>
      <c r="G667" s="13" t="s">
        <v>63</v>
      </c>
      <c r="H667" s="16">
        <v>45280.0</v>
      </c>
      <c r="I667" s="14">
        <v>30.0</v>
      </c>
      <c r="J667" s="13" t="s">
        <v>40</v>
      </c>
      <c r="K667" s="13" t="s">
        <v>81</v>
      </c>
      <c r="L667" s="14">
        <v>3605.0</v>
      </c>
      <c r="M667" s="18" t="s">
        <v>98</v>
      </c>
      <c r="N667" s="18" t="s">
        <v>46</v>
      </c>
      <c r="O667" s="18">
        <v>40.5</v>
      </c>
      <c r="P667" s="18" t="s">
        <v>173</v>
      </c>
      <c r="Q667" s="16">
        <v>46048.0</v>
      </c>
      <c r="R667" s="16" t="s">
        <v>38</v>
      </c>
      <c r="S667" s="13" t="s">
        <v>55</v>
      </c>
      <c r="T667" s="13" t="s">
        <v>72</v>
      </c>
      <c r="U667" s="13">
        <f t="shared" si="1"/>
        <v>4</v>
      </c>
      <c r="V667" s="13" t="str">
        <f t="shared" si="2"/>
        <v>C00781|Karan Kumar|42|North|Jaipur|Premium|Google Ads|12/20/2023|30|Monthly|Debit Card|3,605|1|0|40.50|5|1/26/2026||Active|Collaboration</v>
      </c>
      <c r="W667" s="13">
        <f t="shared" si="3"/>
        <v>1</v>
      </c>
      <c r="X667" s="13">
        <f>IFERROR(__xludf.DUMMYFUNCTION("COUNTUNIQUE(FILTER($B$2:$B$1826,$A$2:$A$1826=A667))"),3.0)</f>
        <v>3</v>
      </c>
    </row>
    <row r="668">
      <c r="A668" s="13" t="s">
        <v>77</v>
      </c>
      <c r="B668" s="13" t="s">
        <v>405</v>
      </c>
      <c r="C668" s="14">
        <v>52.0</v>
      </c>
      <c r="D668" s="13" t="s">
        <v>60</v>
      </c>
      <c r="E668" s="13" t="s">
        <v>107</v>
      </c>
      <c r="F668" s="13" t="s">
        <v>37</v>
      </c>
      <c r="G668" s="13" t="s">
        <v>128</v>
      </c>
      <c r="H668" s="16">
        <v>45411.0</v>
      </c>
      <c r="I668" s="14">
        <v>44.0</v>
      </c>
      <c r="J668" s="13" t="s">
        <v>64</v>
      </c>
      <c r="K668" s="13" t="s">
        <v>81</v>
      </c>
      <c r="L668" s="14">
        <v>1032.0</v>
      </c>
      <c r="M668" s="18" t="s">
        <v>99</v>
      </c>
      <c r="N668" s="18" t="s">
        <v>43</v>
      </c>
      <c r="O668" s="18">
        <v>27.3</v>
      </c>
      <c r="P668" s="18" t="s">
        <v>233</v>
      </c>
      <c r="Q668" s="16">
        <v>45474.0</v>
      </c>
      <c r="R668" s="16" t="s">
        <v>38</v>
      </c>
      <c r="S668" s="13" t="s">
        <v>55</v>
      </c>
      <c r="T668" s="13" t="s">
        <v>72</v>
      </c>
      <c r="U668" s="13">
        <f t="shared" si="1"/>
        <v>6</v>
      </c>
      <c r="V668" s="13" t="str">
        <f t="shared" si="2"/>
        <v>C00549|Rahul Reddy|52|East|Patna|Standard|Youtube|4/29/2024|44|Annual|Debit Card|1,032|4|2|27.30|3.5|7/1/2024||Active|Collaboration</v>
      </c>
      <c r="W668" s="13">
        <f t="shared" si="3"/>
        <v>1</v>
      </c>
      <c r="X668" s="13">
        <f>IFERROR(__xludf.DUMMYFUNCTION("COUNTUNIQUE(FILTER($B$2:$B$1826,$A$2:$A$1826=A668))"),6.0)</f>
        <v>6</v>
      </c>
    </row>
    <row r="669">
      <c r="A669" s="13" t="s">
        <v>431</v>
      </c>
      <c r="B669" s="13" t="s">
        <v>206</v>
      </c>
      <c r="C669" s="14">
        <v>44.0</v>
      </c>
      <c r="D669" s="13" t="s">
        <v>69</v>
      </c>
      <c r="E669" s="13" t="s">
        <v>119</v>
      </c>
      <c r="F669" s="13" t="s">
        <v>62</v>
      </c>
      <c r="G669" s="13" t="s">
        <v>120</v>
      </c>
      <c r="H669" s="16">
        <v>44956.0</v>
      </c>
      <c r="I669" s="14">
        <v>40.0</v>
      </c>
      <c r="J669" s="13" t="s">
        <v>53</v>
      </c>
      <c r="K669" s="13" t="s">
        <v>81</v>
      </c>
      <c r="L669" s="14">
        <v>525.0</v>
      </c>
      <c r="M669" s="18" t="s">
        <v>43</v>
      </c>
      <c r="N669" s="18" t="s">
        <v>98</v>
      </c>
      <c r="O669" s="18">
        <v>13.1</v>
      </c>
      <c r="P669" s="18" t="s">
        <v>376</v>
      </c>
      <c r="Q669" s="16">
        <v>45229.0</v>
      </c>
      <c r="R669" s="16" t="s">
        <v>38</v>
      </c>
      <c r="S669" s="13" t="s">
        <v>55</v>
      </c>
      <c r="T669" s="13" t="s">
        <v>47</v>
      </c>
      <c r="U669" s="13">
        <f t="shared" si="1"/>
        <v>4</v>
      </c>
      <c r="V669" s="13" t="str">
        <f t="shared" si="2"/>
        <v>C00687|Karan Patel|44|South|Kochi|Basic|Email|1/30/2023|40|Quarterly|Debit Card|525|2|1|13.10|6|10/30/2023||Active|Cloud Storage</v>
      </c>
      <c r="W669" s="13">
        <f t="shared" si="3"/>
        <v>1</v>
      </c>
      <c r="X669" s="13">
        <f>IFERROR(__xludf.DUMMYFUNCTION("COUNTUNIQUE(FILTER($B$2:$B$1826,$A$2:$A$1826=A669))"),4.0)</f>
        <v>4</v>
      </c>
    </row>
    <row r="670">
      <c r="A670" s="13" t="s">
        <v>1253</v>
      </c>
      <c r="B670" s="13" t="s">
        <v>78</v>
      </c>
      <c r="C670" s="14">
        <v>39.0</v>
      </c>
      <c r="D670" s="13" t="s">
        <v>69</v>
      </c>
      <c r="E670" s="13" t="s">
        <v>70</v>
      </c>
      <c r="F670" s="13" t="s">
        <v>37</v>
      </c>
      <c r="G670" s="13" t="s">
        <v>39</v>
      </c>
      <c r="H670" s="16">
        <v>45594.0</v>
      </c>
      <c r="I670" s="14">
        <v>8.0</v>
      </c>
      <c r="J670" s="13" t="s">
        <v>64</v>
      </c>
      <c r="K670" s="13" t="s">
        <v>41</v>
      </c>
      <c r="L670" s="14">
        <v>1779.0</v>
      </c>
      <c r="M670" s="18" t="s">
        <v>173</v>
      </c>
      <c r="N670" s="18" t="s">
        <v>43</v>
      </c>
      <c r="O670" s="18">
        <v>39.7</v>
      </c>
      <c r="P670" s="18" t="s">
        <v>108</v>
      </c>
      <c r="Q670" s="16">
        <v>45838.0</v>
      </c>
      <c r="R670" s="16" t="s">
        <v>38</v>
      </c>
      <c r="S670" s="13" t="s">
        <v>55</v>
      </c>
      <c r="T670" s="13" t="s">
        <v>104</v>
      </c>
      <c r="U670" s="13">
        <f t="shared" si="1"/>
        <v>1</v>
      </c>
      <c r="V670" s="13" t="str">
        <f t="shared" si="2"/>
        <v>C00896|Vikram Patel|39|South|Bengaluru|Standard|Instagram|10/29/2024|8|Annual|Upi|1,779|5|2|39.70|2.4|6/30/2025||Active|Analytics</v>
      </c>
      <c r="W670" s="13">
        <f t="shared" si="3"/>
        <v>1</v>
      </c>
      <c r="X670" s="13">
        <f>IFERROR(__xludf.DUMMYFUNCTION("COUNTUNIQUE(FILTER($B$2:$B$1826,$A$2:$A$1826=A670))"),1.0)</f>
        <v>1</v>
      </c>
    </row>
    <row r="671">
      <c r="A671" s="13" t="s">
        <v>1155</v>
      </c>
      <c r="B671" s="13" t="s">
        <v>126</v>
      </c>
      <c r="C671" s="14">
        <v>48.0</v>
      </c>
      <c r="D671" s="13" t="s">
        <v>85</v>
      </c>
      <c r="E671" s="13" t="s">
        <v>292</v>
      </c>
      <c r="F671" s="13" t="s">
        <v>37</v>
      </c>
      <c r="G671" s="13" t="s">
        <v>80</v>
      </c>
      <c r="H671" s="16">
        <v>44875.0</v>
      </c>
      <c r="I671" s="14">
        <v>2.0</v>
      </c>
      <c r="J671" s="13" t="s">
        <v>64</v>
      </c>
      <c r="K671" s="13" t="s">
        <v>81</v>
      </c>
      <c r="L671" s="14">
        <v>1079.0</v>
      </c>
      <c r="M671" s="18" t="s">
        <v>43</v>
      </c>
      <c r="N671" s="18" t="s">
        <v>98</v>
      </c>
      <c r="O671" s="18">
        <v>53.2</v>
      </c>
      <c r="P671" s="18" t="s">
        <v>449</v>
      </c>
      <c r="Q671" s="16">
        <v>44933.0</v>
      </c>
      <c r="R671" s="16" t="s">
        <v>38</v>
      </c>
      <c r="S671" s="13" t="s">
        <v>55</v>
      </c>
      <c r="T671" s="13" t="s">
        <v>72</v>
      </c>
      <c r="U671" s="13">
        <f t="shared" si="1"/>
        <v>3</v>
      </c>
      <c r="V671" s="13" t="str">
        <f t="shared" si="2"/>
        <v>C00053|Arun Patel|48|West|Mumbai|Standard|Organic Search|11/10/2022|2|Annual|Debit Card|1,079|2|1|53.20|2.7|1/7/2023||Active|Collaboration</v>
      </c>
      <c r="W671" s="13">
        <f t="shared" si="3"/>
        <v>1</v>
      </c>
      <c r="X671" s="13">
        <f>IFERROR(__xludf.DUMMYFUNCTION("COUNTUNIQUE(FILTER($B$2:$B$1826,$A$2:$A$1826=A671))"),3.0)</f>
        <v>3</v>
      </c>
    </row>
    <row r="672">
      <c r="A672" s="13" t="s">
        <v>1254</v>
      </c>
      <c r="B672" s="13" t="s">
        <v>398</v>
      </c>
      <c r="C672" s="14">
        <v>28.0</v>
      </c>
      <c r="D672" s="13" t="s">
        <v>69</v>
      </c>
      <c r="E672" s="13" t="s">
        <v>187</v>
      </c>
      <c r="F672" s="13" t="s">
        <v>79</v>
      </c>
      <c r="G672" s="13" t="s">
        <v>80</v>
      </c>
      <c r="H672" s="16">
        <v>45064.0</v>
      </c>
      <c r="I672" s="14">
        <v>47.0</v>
      </c>
      <c r="J672" s="13" t="s">
        <v>64</v>
      </c>
      <c r="K672" s="13" t="s">
        <v>41</v>
      </c>
      <c r="L672" s="14">
        <v>692.0</v>
      </c>
      <c r="M672" s="18" t="s">
        <v>43</v>
      </c>
      <c r="N672" s="18" t="s">
        <v>98</v>
      </c>
      <c r="O672" s="18">
        <v>17.0</v>
      </c>
      <c r="P672" s="18" t="s">
        <v>164</v>
      </c>
      <c r="Q672" s="16">
        <v>46424.0</v>
      </c>
      <c r="R672" s="16" t="s">
        <v>1255</v>
      </c>
      <c r="S672" s="13" t="s">
        <v>55</v>
      </c>
      <c r="T672" s="13" t="s">
        <v>66</v>
      </c>
      <c r="U672" s="13">
        <f t="shared" si="1"/>
        <v>4</v>
      </c>
      <c r="V672" s="13" t="str">
        <f t="shared" si="2"/>
        <v>C00383|Vikram Sharma|28|South|Chennai|Premium|Organic Search|5/18/2023|47|Annual|Upi|692|2|1|17.00|3|2/6/2027|30/09/2023|Active|Automation</v>
      </c>
      <c r="W672" s="13">
        <f t="shared" si="3"/>
        <v>1</v>
      </c>
      <c r="X672" s="13">
        <f>IFERROR(__xludf.DUMMYFUNCTION("COUNTUNIQUE(FILTER($B$2:$B$1826,$A$2:$A$1826=A672))"),4.0)</f>
        <v>4</v>
      </c>
    </row>
    <row r="673">
      <c r="A673" s="13" t="s">
        <v>1256</v>
      </c>
      <c r="B673" s="13" t="s">
        <v>312</v>
      </c>
      <c r="C673" s="14">
        <v>44.0</v>
      </c>
      <c r="D673" s="13" t="s">
        <v>35</v>
      </c>
      <c r="E673" s="13" t="s">
        <v>140</v>
      </c>
      <c r="F673" s="13" t="s">
        <v>79</v>
      </c>
      <c r="G673" s="13" t="s">
        <v>63</v>
      </c>
      <c r="H673" s="16">
        <v>44781.0</v>
      </c>
      <c r="I673" s="14">
        <v>10.0</v>
      </c>
      <c r="J673" s="13" t="s">
        <v>40</v>
      </c>
      <c r="K673" s="13" t="s">
        <v>65</v>
      </c>
      <c r="L673" s="14">
        <v>2157.0</v>
      </c>
      <c r="M673" s="18" t="s">
        <v>98</v>
      </c>
      <c r="N673" s="18" t="s">
        <v>98</v>
      </c>
      <c r="O673" s="18">
        <v>21.5</v>
      </c>
      <c r="P673" s="18" t="s">
        <v>203</v>
      </c>
      <c r="Q673" s="16">
        <v>45044.0</v>
      </c>
      <c r="R673" s="16" t="s">
        <v>38</v>
      </c>
      <c r="S673" s="13" t="s">
        <v>55</v>
      </c>
      <c r="T673" s="13" t="s">
        <v>104</v>
      </c>
      <c r="U673" s="13">
        <f t="shared" si="1"/>
        <v>2</v>
      </c>
      <c r="V673" s="13" t="str">
        <f t="shared" si="2"/>
        <v>C00212|Anita Singh|44|North|Lucknow|Premium|Google Ads|8/8/2022|10|Monthly|Credit Card|2,157|1|1|21.50|3.7|4/28/2023||Active|Analytics</v>
      </c>
      <c r="W673" s="13">
        <f t="shared" si="3"/>
        <v>1</v>
      </c>
      <c r="X673" s="13">
        <f>IFERROR(__xludf.DUMMYFUNCTION("COUNTUNIQUE(FILTER($B$2:$B$1826,$A$2:$A$1826=A673))"),2.0)</f>
        <v>2</v>
      </c>
    </row>
    <row r="674">
      <c r="A674" s="13" t="s">
        <v>1249</v>
      </c>
      <c r="B674" s="13" t="s">
        <v>106</v>
      </c>
      <c r="C674" s="14">
        <v>38.0</v>
      </c>
      <c r="D674" s="13" t="s">
        <v>35</v>
      </c>
      <c r="E674" s="13" t="s">
        <v>140</v>
      </c>
      <c r="F674" s="13" t="s">
        <v>79</v>
      </c>
      <c r="G674" s="13" t="s">
        <v>63</v>
      </c>
      <c r="H674" s="16">
        <v>44992.0</v>
      </c>
      <c r="I674" s="14">
        <v>44.0</v>
      </c>
      <c r="J674" s="13" t="s">
        <v>40</v>
      </c>
      <c r="K674" s="13" t="s">
        <v>41</v>
      </c>
      <c r="L674" s="14">
        <v>3859.0</v>
      </c>
      <c r="M674" s="18" t="s">
        <v>98</v>
      </c>
      <c r="N674" s="18" t="s">
        <v>43</v>
      </c>
      <c r="O674" s="18">
        <v>51.1</v>
      </c>
      <c r="P674" s="18" t="s">
        <v>99</v>
      </c>
      <c r="Q674" s="16">
        <v>45925.0</v>
      </c>
      <c r="R674" s="16" t="s">
        <v>38</v>
      </c>
      <c r="S674" s="13" t="s">
        <v>55</v>
      </c>
      <c r="T674" s="13" t="s">
        <v>66</v>
      </c>
      <c r="U674" s="13">
        <f t="shared" si="1"/>
        <v>2</v>
      </c>
      <c r="V674" s="13" t="str">
        <f t="shared" si="2"/>
        <v>C00848|Rahul Patel|38|North|Lucknow|Premium|Google Ads|3/7/2023|44|Monthly|Upi|3,859|1|2|51.10|4|9/25/2025||Active|Automation</v>
      </c>
      <c r="W674" s="13">
        <f t="shared" si="3"/>
        <v>1</v>
      </c>
      <c r="X674" s="13">
        <f>IFERROR(__xludf.DUMMYFUNCTION("COUNTUNIQUE(FILTER($B$2:$B$1826,$A$2:$A$1826=A674))"),2.0)</f>
        <v>2</v>
      </c>
    </row>
    <row r="675">
      <c r="A675" s="13" t="s">
        <v>689</v>
      </c>
      <c r="B675" s="13" t="s">
        <v>349</v>
      </c>
      <c r="C675" s="14">
        <v>57.0</v>
      </c>
      <c r="D675" s="13" t="s">
        <v>85</v>
      </c>
      <c r="E675" s="13" t="s">
        <v>36</v>
      </c>
      <c r="F675" s="13" t="s">
        <v>79</v>
      </c>
      <c r="G675" s="13" t="s">
        <v>210</v>
      </c>
      <c r="H675" s="16">
        <v>45553.0</v>
      </c>
      <c r="I675" s="14">
        <v>40.0</v>
      </c>
      <c r="J675" s="13" t="s">
        <v>40</v>
      </c>
      <c r="K675" s="13" t="s">
        <v>81</v>
      </c>
      <c r="L675" s="14">
        <v>3067.0</v>
      </c>
      <c r="M675" s="18" t="s">
        <v>98</v>
      </c>
      <c r="N675" s="18" t="s">
        <v>46</v>
      </c>
      <c r="O675" s="18">
        <v>37.2</v>
      </c>
      <c r="P675" s="18" t="s">
        <v>285</v>
      </c>
      <c r="Q675" s="16">
        <v>46084.0</v>
      </c>
      <c r="R675" s="16" t="s">
        <v>38</v>
      </c>
      <c r="S675" s="13" t="s">
        <v>55</v>
      </c>
      <c r="T675" s="13" t="s">
        <v>104</v>
      </c>
      <c r="U675" s="13">
        <f t="shared" si="1"/>
        <v>5</v>
      </c>
      <c r="V675" s="13" t="str">
        <f t="shared" si="2"/>
        <v>C01293|Priya Singh|57|West|Delhi|Premium|Referral|9/18/2024|40|Monthly|Debit Card|3,067|1|0|37.20|2.3|3/3/2026||Active|Analytics</v>
      </c>
      <c r="W675" s="13">
        <f t="shared" si="3"/>
        <v>1</v>
      </c>
      <c r="X675" s="13">
        <f>IFERROR(__xludf.DUMMYFUNCTION("COUNTUNIQUE(FILTER($B$2:$B$1826,$A$2:$A$1826=A675))"),5.0)</f>
        <v>5</v>
      </c>
    </row>
    <row r="676">
      <c r="A676" s="13" t="s">
        <v>1257</v>
      </c>
      <c r="B676" s="13" t="s">
        <v>420</v>
      </c>
      <c r="C676" s="14">
        <v>49.0</v>
      </c>
      <c r="D676" s="13" t="s">
        <v>69</v>
      </c>
      <c r="E676" s="13" t="s">
        <v>187</v>
      </c>
      <c r="F676" s="13" t="s">
        <v>79</v>
      </c>
      <c r="G676" s="13" t="s">
        <v>63</v>
      </c>
      <c r="H676" s="16">
        <v>45006.0</v>
      </c>
      <c r="I676" s="14">
        <v>2.0</v>
      </c>
      <c r="J676" s="13" t="s">
        <v>40</v>
      </c>
      <c r="K676" s="13" t="s">
        <v>41</v>
      </c>
      <c r="L676" s="14">
        <v>3489.0</v>
      </c>
      <c r="M676" s="18" t="s">
        <v>98</v>
      </c>
      <c r="N676" s="18" t="s">
        <v>98</v>
      </c>
      <c r="O676" s="18">
        <v>34.1</v>
      </c>
      <c r="P676" s="18" t="s">
        <v>275</v>
      </c>
      <c r="Q676" s="16">
        <v>45032.0</v>
      </c>
      <c r="R676" s="16" t="s">
        <v>38</v>
      </c>
      <c r="S676" s="13" t="s">
        <v>55</v>
      </c>
      <c r="T676" s="13" t="s">
        <v>72</v>
      </c>
      <c r="U676" s="13">
        <f t="shared" si="1"/>
        <v>1</v>
      </c>
      <c r="V676" s="13" t="str">
        <f t="shared" si="2"/>
        <v>C01061|Vikram Iyer|49|South|Chennai|Premium|Google Ads|3/21/2023|2|Monthly|Upi|3,489|1|1|34.10|4.3|4/16/2023||Active|Collaboration</v>
      </c>
      <c r="W676" s="13">
        <f t="shared" si="3"/>
        <v>1</v>
      </c>
      <c r="X676" s="13">
        <f>IFERROR(__xludf.DUMMYFUNCTION("COUNTUNIQUE(FILTER($B$2:$B$1826,$A$2:$A$1826=A676))"),1.0)</f>
        <v>1</v>
      </c>
    </row>
    <row r="677">
      <c r="A677" s="13" t="s">
        <v>506</v>
      </c>
      <c r="B677" s="13" t="s">
        <v>139</v>
      </c>
      <c r="C677" s="14">
        <v>25.0</v>
      </c>
      <c r="D677" s="13" t="s">
        <v>60</v>
      </c>
      <c r="E677" s="13" t="s">
        <v>133</v>
      </c>
      <c r="F677" s="13" t="s">
        <v>37</v>
      </c>
      <c r="G677" s="13" t="s">
        <v>120</v>
      </c>
      <c r="H677" s="16">
        <v>45455.0</v>
      </c>
      <c r="I677" s="14">
        <v>33.0</v>
      </c>
      <c r="J677" s="13" t="s">
        <v>64</v>
      </c>
      <c r="K677" s="13" t="s">
        <v>81</v>
      </c>
      <c r="L677" s="14">
        <v>1255.0</v>
      </c>
      <c r="M677" s="18" t="s">
        <v>46</v>
      </c>
      <c r="N677" s="18" t="s">
        <v>46</v>
      </c>
      <c r="O677" s="18">
        <v>20.1</v>
      </c>
      <c r="P677" s="18" t="s">
        <v>38</v>
      </c>
      <c r="Q677" s="16">
        <v>45667.0</v>
      </c>
      <c r="R677" s="16" t="s">
        <v>1258</v>
      </c>
      <c r="S677" s="13" t="s">
        <v>45</v>
      </c>
      <c r="T677" s="13" t="s">
        <v>72</v>
      </c>
      <c r="U677" s="13">
        <f t="shared" si="1"/>
        <v>4</v>
      </c>
      <c r="V677" s="13" t="str">
        <f t="shared" si="2"/>
        <v>C01451|Vikram Das|25|East|Guwahati|Standard|Email|6/12/2024|33|Annual|Debit Card|1,255|0|0|20.10||1/10/2025|15/06/2026|Churned|Collaboration</v>
      </c>
      <c r="W677" s="13">
        <f t="shared" si="3"/>
        <v>1</v>
      </c>
      <c r="X677" s="13">
        <f>IFERROR(__xludf.DUMMYFUNCTION("COUNTUNIQUE(FILTER($B$2:$B$1826,$A$2:$A$1826=A677))"),4.0)</f>
        <v>4</v>
      </c>
    </row>
    <row r="678">
      <c r="A678" s="13" t="s">
        <v>1259</v>
      </c>
      <c r="B678" s="13" t="s">
        <v>636</v>
      </c>
      <c r="C678" s="14">
        <v>42.0</v>
      </c>
      <c r="D678" s="13" t="s">
        <v>69</v>
      </c>
      <c r="E678" s="13" t="s">
        <v>119</v>
      </c>
      <c r="F678" s="13" t="s">
        <v>62</v>
      </c>
      <c r="G678" s="13" t="s">
        <v>120</v>
      </c>
      <c r="H678" s="16">
        <v>45429.0</v>
      </c>
      <c r="I678" s="14">
        <v>39.0</v>
      </c>
      <c r="J678" s="13" t="s">
        <v>64</v>
      </c>
      <c r="K678" s="13" t="s">
        <v>41</v>
      </c>
      <c r="L678" s="14">
        <v>662.0</v>
      </c>
      <c r="M678" s="18" t="s">
        <v>43</v>
      </c>
      <c r="N678" s="18" t="s">
        <v>46</v>
      </c>
      <c r="O678" s="18">
        <v>17.4</v>
      </c>
      <c r="P678" s="18" t="s">
        <v>185</v>
      </c>
      <c r="Q678" s="16">
        <v>46223.0</v>
      </c>
      <c r="R678" s="16">
        <v>46367.0</v>
      </c>
      <c r="S678" s="13" t="s">
        <v>45</v>
      </c>
      <c r="T678" s="13" t="s">
        <v>75</v>
      </c>
      <c r="U678" s="13">
        <f t="shared" si="1"/>
        <v>1</v>
      </c>
      <c r="V678" s="13" t="str">
        <f t="shared" si="2"/>
        <v>C00340|Neha Reddy|42|South|Kochi|Basic|Email|5/17/2024|39|Annual|Upi|662|2|0|17.40|3.2|7/20/2026|12/11/2026|Churned|Security</v>
      </c>
      <c r="W678" s="13">
        <f t="shared" si="3"/>
        <v>1</v>
      </c>
      <c r="X678" s="13">
        <f>IFERROR(__xludf.DUMMYFUNCTION("COUNTUNIQUE(FILTER($B$2:$B$1826,$A$2:$A$1826=A678))"),1.0)</f>
        <v>1</v>
      </c>
    </row>
    <row r="679">
      <c r="A679" s="13" t="s">
        <v>1261</v>
      </c>
      <c r="B679" s="13" t="s">
        <v>405</v>
      </c>
      <c r="C679" s="14">
        <v>46.0</v>
      </c>
      <c r="D679" s="13" t="s">
        <v>35</v>
      </c>
      <c r="E679" s="13" t="s">
        <v>161</v>
      </c>
      <c r="F679" s="13" t="s">
        <v>37</v>
      </c>
      <c r="G679" s="13" t="s">
        <v>80</v>
      </c>
      <c r="H679" s="16">
        <v>45798.0</v>
      </c>
      <c r="I679" s="14">
        <v>42.0</v>
      </c>
      <c r="J679" s="13" t="s">
        <v>40</v>
      </c>
      <c r="K679" s="13" t="s">
        <v>65</v>
      </c>
      <c r="L679" s="14">
        <v>1359.0</v>
      </c>
      <c r="M679" s="18" t="s">
        <v>43</v>
      </c>
      <c r="N679" s="18" t="s">
        <v>46</v>
      </c>
      <c r="O679" s="18">
        <v>45.4</v>
      </c>
      <c r="P679" s="18" t="s">
        <v>108</v>
      </c>
      <c r="Q679" s="16">
        <v>45869.0</v>
      </c>
      <c r="R679" s="16">
        <v>46267.0</v>
      </c>
      <c r="S679" s="13" t="s">
        <v>45</v>
      </c>
      <c r="T679" s="13" t="s">
        <v>47</v>
      </c>
      <c r="U679" s="13">
        <f t="shared" si="1"/>
        <v>1</v>
      </c>
      <c r="V679" s="13" t="str">
        <f t="shared" si="2"/>
        <v>C00343|Rahul Reddy|46|North|Chandigarh|Standard|Organic Search|5/21/2025|42|Monthly|Credit Card|1,359|2|0|45.40|2.4|7/31/2025|9/2/2026|Churned|Cloud Storage</v>
      </c>
      <c r="W679" s="13">
        <f t="shared" si="3"/>
        <v>1</v>
      </c>
      <c r="X679" s="13">
        <f>IFERROR(__xludf.DUMMYFUNCTION("COUNTUNIQUE(FILTER($B$2:$B$1826,$A$2:$A$1826=A679))"),1.0)</f>
        <v>1</v>
      </c>
    </row>
    <row r="680">
      <c r="A680" s="13" t="s">
        <v>654</v>
      </c>
      <c r="B680" s="13" t="s">
        <v>316</v>
      </c>
      <c r="C680" s="14">
        <v>55.0</v>
      </c>
      <c r="D680" s="13" t="s">
        <v>69</v>
      </c>
      <c r="E680" s="13" t="s">
        <v>177</v>
      </c>
      <c r="F680" s="13" t="s">
        <v>79</v>
      </c>
      <c r="G680" s="13" t="s">
        <v>128</v>
      </c>
      <c r="H680" s="16">
        <v>45205.0</v>
      </c>
      <c r="I680" s="14">
        <v>8.0</v>
      </c>
      <c r="J680" s="13" t="s">
        <v>53</v>
      </c>
      <c r="K680" s="13" t="s">
        <v>41</v>
      </c>
      <c r="L680" s="14">
        <v>851.0</v>
      </c>
      <c r="M680" s="18" t="s">
        <v>376</v>
      </c>
      <c r="N680" s="18" t="s">
        <v>98</v>
      </c>
      <c r="O680" s="18">
        <v>11.8</v>
      </c>
      <c r="P680" s="18" t="s">
        <v>233</v>
      </c>
      <c r="Q680" s="16">
        <v>45299.0</v>
      </c>
      <c r="R680" s="16" t="s">
        <v>38</v>
      </c>
      <c r="S680" s="13" t="s">
        <v>55</v>
      </c>
      <c r="T680" s="13" t="s">
        <v>66</v>
      </c>
      <c r="U680" s="13">
        <f t="shared" si="1"/>
        <v>2</v>
      </c>
      <c r="V680" s="13" t="str">
        <f t="shared" si="2"/>
        <v>C00149|Neha Nair|55|South|Hyderabad|Premium|Youtube|10/6/2023|8|Quarterly|Upi|851|6|1|11.80|3.5|1/8/2024||Active|Automation</v>
      </c>
      <c r="W680" s="13">
        <f t="shared" si="3"/>
        <v>1</v>
      </c>
      <c r="X680" s="13">
        <f>IFERROR(__xludf.DUMMYFUNCTION("COUNTUNIQUE(FILTER($B$2:$B$1826,$A$2:$A$1826=A680))"),2.0)</f>
        <v>2</v>
      </c>
    </row>
    <row r="681">
      <c r="A681" s="13" t="s">
        <v>1262</v>
      </c>
      <c r="B681" s="13" t="s">
        <v>59</v>
      </c>
      <c r="C681" s="14">
        <v>62.0</v>
      </c>
      <c r="D681" s="13" t="s">
        <v>85</v>
      </c>
      <c r="E681" s="13" t="s">
        <v>92</v>
      </c>
      <c r="F681" s="13" t="s">
        <v>62</v>
      </c>
      <c r="G681" s="13" t="s">
        <v>80</v>
      </c>
      <c r="H681" s="16">
        <v>45007.0</v>
      </c>
      <c r="I681" s="14">
        <v>7.0</v>
      </c>
      <c r="J681" s="13" t="s">
        <v>53</v>
      </c>
      <c r="K681" s="13" t="s">
        <v>65</v>
      </c>
      <c r="L681" s="14">
        <v>1621.0</v>
      </c>
      <c r="M681" s="18" t="s">
        <v>98</v>
      </c>
      <c r="N681" s="18" t="s">
        <v>98</v>
      </c>
      <c r="O681" s="18">
        <v>41.0</v>
      </c>
      <c r="P681" s="18" t="s">
        <v>48</v>
      </c>
      <c r="Q681" s="16">
        <v>45223.0</v>
      </c>
      <c r="R681" s="16" t="s">
        <v>38</v>
      </c>
      <c r="S681" s="13" t="s">
        <v>55</v>
      </c>
      <c r="T681" s="13" t="s">
        <v>72</v>
      </c>
      <c r="U681" s="13">
        <f t="shared" si="1"/>
        <v>4</v>
      </c>
      <c r="V681" s="13" t="str">
        <f t="shared" si="2"/>
        <v>C00136|Priya Das|62|West|Ahmedabad|Basic|Organic Search|3/22/2023|7|Quarterly|Credit Card|1,621|1|1|41.00|3.6|10/24/2023||Active|Collaboration</v>
      </c>
      <c r="W681" s="13">
        <f t="shared" si="3"/>
        <v>1</v>
      </c>
      <c r="X681" s="13">
        <f>IFERROR(__xludf.DUMMYFUNCTION("COUNTUNIQUE(FILTER($B$2:$B$1826,$A$2:$A$1826=A681))"),4.0)</f>
        <v>4</v>
      </c>
    </row>
    <row r="682">
      <c r="A682" s="13" t="s">
        <v>1151</v>
      </c>
      <c r="B682" s="13" t="s">
        <v>34</v>
      </c>
      <c r="C682" s="14">
        <v>34.0</v>
      </c>
      <c r="D682" s="13" t="s">
        <v>69</v>
      </c>
      <c r="E682" s="13" t="s">
        <v>70</v>
      </c>
      <c r="F682" s="13" t="s">
        <v>37</v>
      </c>
      <c r="G682" s="13" t="s">
        <v>120</v>
      </c>
      <c r="H682" s="16">
        <v>44657.0</v>
      </c>
      <c r="I682" s="14">
        <v>18.0</v>
      </c>
      <c r="J682" s="13" t="s">
        <v>64</v>
      </c>
      <c r="K682" s="13" t="s">
        <v>41</v>
      </c>
      <c r="L682" s="14">
        <v>1462.0</v>
      </c>
      <c r="M682" s="18" t="s">
        <v>43</v>
      </c>
      <c r="N682" s="18" t="s">
        <v>46</v>
      </c>
      <c r="O682" s="18">
        <v>35.0</v>
      </c>
      <c r="P682" s="18" t="s">
        <v>203</v>
      </c>
      <c r="Q682" s="16">
        <v>45001.0</v>
      </c>
      <c r="R682" s="16" t="s">
        <v>38</v>
      </c>
      <c r="S682" s="13" t="s">
        <v>55</v>
      </c>
      <c r="T682" s="13" t="s">
        <v>72</v>
      </c>
      <c r="U682" s="13">
        <f t="shared" si="1"/>
        <v>2</v>
      </c>
      <c r="V682" s="13" t="str">
        <f t="shared" si="2"/>
        <v>C00406|Meera Das|34|South|Bengaluru|Standard|Email|4/6/2022|18|Annual|Upi|1,462|2|0|35.00|3.7|3/16/2023||Active|Collaboration</v>
      </c>
      <c r="W682" s="13">
        <f t="shared" si="3"/>
        <v>1</v>
      </c>
      <c r="X682" s="13">
        <f>IFERROR(__xludf.DUMMYFUNCTION("COUNTUNIQUE(FILTER($B$2:$B$1826,$A$2:$A$1826=A682))"),2.0)</f>
        <v>2</v>
      </c>
    </row>
    <row r="683">
      <c r="A683" s="13" t="s">
        <v>1263</v>
      </c>
      <c r="B683" s="13" t="s">
        <v>639</v>
      </c>
      <c r="C683" s="14">
        <v>25.0</v>
      </c>
      <c r="D683" s="13" t="s">
        <v>35</v>
      </c>
      <c r="E683" s="13" t="s">
        <v>140</v>
      </c>
      <c r="F683" s="13" t="s">
        <v>62</v>
      </c>
      <c r="G683" s="13" t="s">
        <v>128</v>
      </c>
      <c r="H683" s="16">
        <v>45386.0</v>
      </c>
      <c r="I683" s="14">
        <v>3.0</v>
      </c>
      <c r="J683" s="13" t="s">
        <v>53</v>
      </c>
      <c r="K683" s="13" t="s">
        <v>81</v>
      </c>
      <c r="L683" s="14">
        <v>769.0</v>
      </c>
      <c r="M683" s="18" t="s">
        <v>98</v>
      </c>
      <c r="N683" s="18" t="s">
        <v>46</v>
      </c>
      <c r="O683" s="18">
        <v>19.5</v>
      </c>
      <c r="P683" s="18" t="s">
        <v>158</v>
      </c>
      <c r="Q683" s="16">
        <v>45478.0</v>
      </c>
      <c r="R683" s="16">
        <v>45448.0</v>
      </c>
      <c r="S683" s="13" t="s">
        <v>45</v>
      </c>
      <c r="T683" s="13" t="s">
        <v>72</v>
      </c>
      <c r="U683" s="13">
        <f t="shared" si="1"/>
        <v>1</v>
      </c>
      <c r="V683" s="13" t="str">
        <f t="shared" si="2"/>
        <v>C00037|Priya Nair|25|North|Lucknow|Basic|Youtube|4/4/2024|3|Quarterly|Debit Card|769|1|0|19.50|4.7|7/5/2024|6/5/2024|Churned|Collaboration</v>
      </c>
      <c r="W683" s="13">
        <f t="shared" si="3"/>
        <v>1</v>
      </c>
      <c r="X683" s="13">
        <f>IFERROR(__xludf.DUMMYFUNCTION("COUNTUNIQUE(FILTER($B$2:$B$1826,$A$2:$A$1826=A683))"),1.0)</f>
        <v>1</v>
      </c>
    </row>
    <row r="684">
      <c r="A684" s="13" t="s">
        <v>777</v>
      </c>
      <c r="B684" s="13" t="s">
        <v>235</v>
      </c>
      <c r="C684" s="14">
        <v>42.0</v>
      </c>
      <c r="D684" s="13" t="s">
        <v>60</v>
      </c>
      <c r="E684" s="13" t="s">
        <v>107</v>
      </c>
      <c r="F684" s="13" t="s">
        <v>62</v>
      </c>
      <c r="G684" s="13" t="s">
        <v>80</v>
      </c>
      <c r="H684" s="16">
        <v>45203.0</v>
      </c>
      <c r="I684" s="14">
        <v>32.0</v>
      </c>
      <c r="J684" s="13" t="s">
        <v>64</v>
      </c>
      <c r="K684" s="13" t="s">
        <v>41</v>
      </c>
      <c r="L684" s="14">
        <v>700.0</v>
      </c>
      <c r="M684" s="18" t="s">
        <v>98</v>
      </c>
      <c r="N684" s="18" t="s">
        <v>43</v>
      </c>
      <c r="O684" s="18">
        <v>17.2</v>
      </c>
      <c r="P684" s="18" t="s">
        <v>123</v>
      </c>
      <c r="Q684" s="16">
        <v>45678.0</v>
      </c>
      <c r="R684" s="16" t="s">
        <v>38</v>
      </c>
      <c r="S684" s="13" t="s">
        <v>55</v>
      </c>
      <c r="T684" s="13" t="s">
        <v>104</v>
      </c>
      <c r="U684" s="13">
        <f t="shared" si="1"/>
        <v>2</v>
      </c>
      <c r="V684" s="13" t="str">
        <f t="shared" si="2"/>
        <v>C00563|Sneha Sharma|42|East|Patna|Basic|Organic Search|10/4/2023|32|Annual|Upi|700|1|2|17.20|4.1|1/21/2025||Active|Analytics</v>
      </c>
      <c r="W684" s="13">
        <f t="shared" si="3"/>
        <v>1</v>
      </c>
      <c r="X684" s="13">
        <f>IFERROR(__xludf.DUMMYFUNCTION("COUNTUNIQUE(FILTER($B$2:$B$1826,$A$2:$A$1826=A684))"),2.0)</f>
        <v>2</v>
      </c>
    </row>
    <row r="685">
      <c r="A685" s="13" t="s">
        <v>1265</v>
      </c>
      <c r="B685" s="13" t="s">
        <v>179</v>
      </c>
      <c r="C685" s="14">
        <v>63.0</v>
      </c>
      <c r="D685" s="13" t="s">
        <v>35</v>
      </c>
      <c r="E685" s="13" t="s">
        <v>36</v>
      </c>
      <c r="F685" s="13" t="s">
        <v>62</v>
      </c>
      <c r="G685" s="13" t="s">
        <v>210</v>
      </c>
      <c r="H685" s="16">
        <v>45970.0</v>
      </c>
      <c r="I685" s="14">
        <v>47.0</v>
      </c>
      <c r="J685" s="13" t="s">
        <v>40</v>
      </c>
      <c r="K685" s="13" t="s">
        <v>65</v>
      </c>
      <c r="L685" s="14">
        <v>586.0</v>
      </c>
      <c r="M685" s="18" t="s">
        <v>173</v>
      </c>
      <c r="N685" s="18" t="s">
        <v>46</v>
      </c>
      <c r="O685" s="18">
        <v>19.8</v>
      </c>
      <c r="P685" s="18" t="s">
        <v>701</v>
      </c>
      <c r="Q685" s="16">
        <v>46735.0</v>
      </c>
      <c r="R685" s="16" t="s">
        <v>38</v>
      </c>
      <c r="S685" s="13" t="s">
        <v>55</v>
      </c>
      <c r="T685" s="13" t="s">
        <v>104</v>
      </c>
      <c r="U685" s="13">
        <f t="shared" si="1"/>
        <v>2</v>
      </c>
      <c r="V685" s="13" t="str">
        <f t="shared" si="2"/>
        <v>C00459|Ravi Kumar|63|North|Delhi|Basic|Referral|11/9/2025|47|Monthly|Credit Card|586|5|0|19.80|2.8|12/14/2027||Active|Analytics</v>
      </c>
      <c r="W685" s="13">
        <f t="shared" si="3"/>
        <v>1</v>
      </c>
      <c r="X685" s="13">
        <f>IFERROR(__xludf.DUMMYFUNCTION("COUNTUNIQUE(FILTER($B$2:$B$1826,$A$2:$A$1826=A685))"),2.0)</f>
        <v>2</v>
      </c>
    </row>
    <row r="686">
      <c r="A686" s="13" t="s">
        <v>1266</v>
      </c>
      <c r="B686" s="13" t="s">
        <v>351</v>
      </c>
      <c r="C686" s="14">
        <v>26.0</v>
      </c>
      <c r="D686" s="13" t="s">
        <v>35</v>
      </c>
      <c r="E686" s="13" t="s">
        <v>161</v>
      </c>
      <c r="F686" s="13" t="s">
        <v>62</v>
      </c>
      <c r="G686" s="13" t="s">
        <v>210</v>
      </c>
      <c r="H686" s="16">
        <v>45970.0</v>
      </c>
      <c r="I686" s="14">
        <v>40.0</v>
      </c>
      <c r="J686" s="13" t="s">
        <v>40</v>
      </c>
      <c r="K686" s="13" t="s">
        <v>65</v>
      </c>
      <c r="L686" s="14">
        <v>693.0</v>
      </c>
      <c r="M686" s="18" t="s">
        <v>99</v>
      </c>
      <c r="N686" s="18" t="s">
        <v>98</v>
      </c>
      <c r="O686" s="18">
        <v>10.1</v>
      </c>
      <c r="P686" s="18" t="s">
        <v>310</v>
      </c>
      <c r="Q686" s="16">
        <v>46328.0</v>
      </c>
      <c r="R686" s="16" t="s">
        <v>1267</v>
      </c>
      <c r="S686" s="13" t="s">
        <v>45</v>
      </c>
      <c r="T686" s="13" t="s">
        <v>47</v>
      </c>
      <c r="U686" s="13">
        <f t="shared" si="1"/>
        <v>1</v>
      </c>
      <c r="V686" s="13" t="str">
        <f t="shared" si="2"/>
        <v>C00227|Meera Nair|26|North|Chandigarh|Basic|Referral|11/9/2025|40|Monthly|Credit Card|693|4|1|10.10|3.1|11/2/2026|17/09/2026|Churned|Cloud Storage</v>
      </c>
      <c r="W686" s="13">
        <f t="shared" si="3"/>
        <v>1</v>
      </c>
      <c r="X686" s="13">
        <f>IFERROR(__xludf.DUMMYFUNCTION("COUNTUNIQUE(FILTER($B$2:$B$1826,$A$2:$A$1826=A686))"),1.0)</f>
        <v>1</v>
      </c>
    </row>
    <row r="687">
      <c r="A687" s="13" t="s">
        <v>530</v>
      </c>
      <c r="B687" s="13" t="s">
        <v>229</v>
      </c>
      <c r="C687" s="14">
        <v>33.0</v>
      </c>
      <c r="D687" s="13" t="s">
        <v>85</v>
      </c>
      <c r="E687" s="13" t="s">
        <v>87</v>
      </c>
      <c r="F687" s="13" t="s">
        <v>37</v>
      </c>
      <c r="G687" s="13" t="s">
        <v>80</v>
      </c>
      <c r="H687" s="16">
        <v>45642.0</v>
      </c>
      <c r="I687" s="14">
        <v>16.0</v>
      </c>
      <c r="J687" s="13" t="s">
        <v>40</v>
      </c>
      <c r="K687" s="13" t="s">
        <v>65</v>
      </c>
      <c r="L687" s="14">
        <v>1500.0</v>
      </c>
      <c r="M687" s="18" t="s">
        <v>46</v>
      </c>
      <c r="N687" s="18" t="s">
        <v>46</v>
      </c>
      <c r="O687" s="18">
        <v>32.5</v>
      </c>
      <c r="P687" s="18" t="s">
        <v>456</v>
      </c>
      <c r="Q687" s="16">
        <v>45795.0</v>
      </c>
      <c r="R687" s="16" t="s">
        <v>38</v>
      </c>
      <c r="S687" s="13" t="s">
        <v>55</v>
      </c>
      <c r="T687" s="13" t="s">
        <v>72</v>
      </c>
      <c r="U687" s="13">
        <f t="shared" si="1"/>
        <v>2</v>
      </c>
      <c r="V687" s="13" t="str">
        <f t="shared" si="2"/>
        <v>C01543|Anita Nair|33|West|Surat|Standard|Organic Search|12/16/2024|16|Monthly|Credit Card|1,500|0|0|32.50|2.5|5/18/2025||Active|Collaboration</v>
      </c>
      <c r="W687" s="13">
        <f t="shared" si="3"/>
        <v>2</v>
      </c>
      <c r="X687" s="13">
        <f>IFERROR(__xludf.DUMMYFUNCTION("COUNTUNIQUE(FILTER($B$2:$B$1826,$A$2:$A$1826=A687))"),1.0)</f>
        <v>1</v>
      </c>
    </row>
    <row r="688">
      <c r="A688" s="13" t="s">
        <v>1268</v>
      </c>
      <c r="B688" s="13" t="s">
        <v>364</v>
      </c>
      <c r="C688" s="14">
        <v>32.0</v>
      </c>
      <c r="D688" s="13" t="s">
        <v>69</v>
      </c>
      <c r="E688" s="13" t="s">
        <v>161</v>
      </c>
      <c r="F688" s="13" t="s">
        <v>37</v>
      </c>
      <c r="G688" s="13" t="s">
        <v>128</v>
      </c>
      <c r="H688" s="16">
        <v>45058.0</v>
      </c>
      <c r="I688" s="14">
        <v>43.0</v>
      </c>
      <c r="J688" s="13" t="s">
        <v>40</v>
      </c>
      <c r="K688" s="13" t="s">
        <v>81</v>
      </c>
      <c r="L688" s="14">
        <v>1710.0</v>
      </c>
      <c r="M688" s="18" t="s">
        <v>43</v>
      </c>
      <c r="N688" s="18" t="s">
        <v>46</v>
      </c>
      <c r="O688" s="18">
        <v>18.6</v>
      </c>
      <c r="P688" s="18" t="s">
        <v>48</v>
      </c>
      <c r="Q688" s="16">
        <v>45221.0</v>
      </c>
      <c r="R688" s="16" t="s">
        <v>38</v>
      </c>
      <c r="S688" s="13" t="s">
        <v>55</v>
      </c>
      <c r="T688" s="13" t="s">
        <v>47</v>
      </c>
      <c r="U688" s="13">
        <f t="shared" si="1"/>
        <v>2</v>
      </c>
      <c r="V688" s="13" t="str">
        <f t="shared" si="2"/>
        <v>C01457|Sneha Kumar|32|South|Chandigarh|Standard|Youtube|5/12/2023|43|Monthly|Debit Card|1,710|2|0|18.60|3.6|10/22/2023||Active|Cloud Storage</v>
      </c>
      <c r="W688" s="13">
        <f t="shared" si="3"/>
        <v>1</v>
      </c>
      <c r="X688" s="13">
        <f>IFERROR(__xludf.DUMMYFUNCTION("COUNTUNIQUE(FILTER($B$2:$B$1826,$A$2:$A$1826=A688))"),2.0)</f>
        <v>2</v>
      </c>
    </row>
    <row r="689">
      <c r="A689" s="13" t="s">
        <v>1269</v>
      </c>
      <c r="B689" s="13" t="s">
        <v>288</v>
      </c>
      <c r="C689" s="14">
        <v>27.0</v>
      </c>
      <c r="D689" s="13" t="s">
        <v>85</v>
      </c>
      <c r="E689" s="13" t="s">
        <v>111</v>
      </c>
      <c r="F689" s="13" t="s">
        <v>37</v>
      </c>
      <c r="G689" s="13" t="s">
        <v>210</v>
      </c>
      <c r="H689" s="16">
        <v>44989.0</v>
      </c>
      <c r="I689" s="14">
        <v>38.0</v>
      </c>
      <c r="J689" s="13" t="s">
        <v>40</v>
      </c>
      <c r="K689" s="13" t="s">
        <v>65</v>
      </c>
      <c r="L689" s="14">
        <v>1319.0</v>
      </c>
      <c r="M689" s="18" t="s">
        <v>98</v>
      </c>
      <c r="N689" s="18" t="s">
        <v>46</v>
      </c>
      <c r="O689" s="18">
        <v>24.7</v>
      </c>
      <c r="P689" s="18" t="s">
        <v>173</v>
      </c>
      <c r="Q689" s="16">
        <v>45637.0</v>
      </c>
      <c r="R689" s="16" t="s">
        <v>297</v>
      </c>
      <c r="S689" s="13" t="s">
        <v>45</v>
      </c>
      <c r="T689" s="13" t="s">
        <v>75</v>
      </c>
      <c r="U689" s="13">
        <f t="shared" si="1"/>
        <v>1</v>
      </c>
      <c r="V689" s="13" t="str">
        <f t="shared" si="2"/>
        <v>C00959|Rahul Sharma|27|West|Pune|Standard|Referral|3/4/2023|38|Monthly|Credit Card|1,319|1|0|24.70|5|12/11/2024|18/10/2025|Churned|Security</v>
      </c>
      <c r="W689" s="13">
        <f t="shared" si="3"/>
        <v>1</v>
      </c>
      <c r="X689" s="13">
        <f>IFERROR(__xludf.DUMMYFUNCTION("COUNTUNIQUE(FILTER($B$2:$B$1826,$A$2:$A$1826=A689))"),1.0)</f>
        <v>1</v>
      </c>
    </row>
    <row r="690">
      <c r="A690" s="13" t="s">
        <v>720</v>
      </c>
      <c r="B690" s="13" t="s">
        <v>235</v>
      </c>
      <c r="C690" s="14">
        <v>66.0</v>
      </c>
      <c r="D690" s="13" t="s">
        <v>69</v>
      </c>
      <c r="E690" s="13" t="s">
        <v>119</v>
      </c>
      <c r="F690" s="13" t="s">
        <v>62</v>
      </c>
      <c r="G690" s="13" t="s">
        <v>210</v>
      </c>
      <c r="H690" s="16">
        <v>45428.0</v>
      </c>
      <c r="I690" s="14">
        <v>11.0</v>
      </c>
      <c r="J690" s="13" t="s">
        <v>40</v>
      </c>
      <c r="K690" s="13" t="s">
        <v>41</v>
      </c>
      <c r="L690" s="14">
        <v>794.0</v>
      </c>
      <c r="M690" s="18" t="s">
        <v>38</v>
      </c>
      <c r="N690" s="18" t="s">
        <v>43</v>
      </c>
      <c r="O690" s="18">
        <v>28.5</v>
      </c>
      <c r="P690" s="18" t="s">
        <v>233</v>
      </c>
      <c r="Q690" s="16">
        <v>45513.0</v>
      </c>
      <c r="R690" s="16" t="s">
        <v>38</v>
      </c>
      <c r="S690" s="13" t="s">
        <v>230</v>
      </c>
      <c r="T690" s="13" t="s">
        <v>104</v>
      </c>
      <c r="U690" s="13">
        <f t="shared" si="1"/>
        <v>2</v>
      </c>
      <c r="V690" s="13" t="str">
        <f t="shared" si="2"/>
        <v>C00927|Sneha Sharma|66|South|Kochi|Basic|Referral|5/16/2024|11|Monthly|Upi|794||2|28.50|3.5|8/9/2024||Yes|Analytics</v>
      </c>
      <c r="W690" s="13">
        <f t="shared" si="3"/>
        <v>1</v>
      </c>
      <c r="X690" s="13">
        <f>IFERROR(__xludf.DUMMYFUNCTION("COUNTUNIQUE(FILTER($B$2:$B$1826,$A$2:$A$1826=A690))"),2.0)</f>
        <v>2</v>
      </c>
    </row>
    <row r="691">
      <c r="A691" s="13" t="s">
        <v>462</v>
      </c>
      <c r="B691" s="13" t="s">
        <v>801</v>
      </c>
      <c r="C691" s="14">
        <v>28.0</v>
      </c>
      <c r="D691" s="13" t="s">
        <v>69</v>
      </c>
      <c r="E691" s="13" t="s">
        <v>177</v>
      </c>
      <c r="F691" s="13" t="s">
        <v>62</v>
      </c>
      <c r="G691" s="13" t="s">
        <v>52</v>
      </c>
      <c r="H691" s="16">
        <v>45649.0</v>
      </c>
      <c r="I691" s="14">
        <v>29.0</v>
      </c>
      <c r="J691" s="13" t="s">
        <v>53</v>
      </c>
      <c r="K691" s="13" t="s">
        <v>81</v>
      </c>
      <c r="L691" s="14">
        <v>559.0</v>
      </c>
      <c r="M691" s="18" t="s">
        <v>376</v>
      </c>
      <c r="N691" s="18" t="s">
        <v>46</v>
      </c>
      <c r="O691" s="18">
        <v>16.6</v>
      </c>
      <c r="P691" s="18" t="s">
        <v>225</v>
      </c>
      <c r="Q691" s="16">
        <v>46021.0</v>
      </c>
      <c r="R691" s="16" t="s">
        <v>38</v>
      </c>
      <c r="S691" s="13" t="s">
        <v>55</v>
      </c>
      <c r="T691" s="13" t="s">
        <v>75</v>
      </c>
      <c r="U691" s="13">
        <f t="shared" si="1"/>
        <v>5</v>
      </c>
      <c r="V691" s="13" t="str">
        <f t="shared" si="2"/>
        <v>C00944|Karan Singh|28|South|Hyderabad|Basic|Facebook|12/23/2024|29|Quarterly|Debit Card|559|6|0|16.60|3.8|12/30/2025||Active|Security</v>
      </c>
      <c r="W691" s="13">
        <f t="shared" si="3"/>
        <v>1</v>
      </c>
      <c r="X691" s="13">
        <f>IFERROR(__xludf.DUMMYFUNCTION("COUNTUNIQUE(FILTER($B$2:$B$1826,$A$2:$A$1826=A691))"),5.0)</f>
        <v>5</v>
      </c>
    </row>
    <row r="692">
      <c r="A692" s="13" t="s">
        <v>1270</v>
      </c>
      <c r="B692" s="13" t="s">
        <v>333</v>
      </c>
      <c r="C692" s="14">
        <v>30.0</v>
      </c>
      <c r="D692" s="13" t="s">
        <v>60</v>
      </c>
      <c r="E692" s="13" t="s">
        <v>61</v>
      </c>
      <c r="F692" s="13" t="s">
        <v>62</v>
      </c>
      <c r="G692" s="13" t="s">
        <v>39</v>
      </c>
      <c r="H692" s="16">
        <v>44762.0</v>
      </c>
      <c r="I692" s="14">
        <v>4.0</v>
      </c>
      <c r="J692" s="13" t="s">
        <v>64</v>
      </c>
      <c r="K692" s="13" t="s">
        <v>65</v>
      </c>
      <c r="L692" s="14">
        <v>873.0</v>
      </c>
      <c r="M692" s="18" t="s">
        <v>164</v>
      </c>
      <c r="N692" s="18" t="s">
        <v>46</v>
      </c>
      <c r="O692" s="18">
        <v>26.1</v>
      </c>
      <c r="P692" s="18" t="s">
        <v>76</v>
      </c>
      <c r="Q692" s="16">
        <v>44847.0</v>
      </c>
      <c r="R692" s="16" t="s">
        <v>38</v>
      </c>
      <c r="S692" s="13" t="s">
        <v>55</v>
      </c>
      <c r="T692" s="13" t="s">
        <v>66</v>
      </c>
      <c r="U692" s="13">
        <f t="shared" si="1"/>
        <v>1</v>
      </c>
      <c r="V692" s="13" t="str">
        <f t="shared" si="2"/>
        <v>C01041|Neha Das|30|East|Kolkata|Basic|Instagram|7/20/2022|4|Annual|Credit Card|873|3|0|26.10|4.4|10/13/2022||Active|Automation</v>
      </c>
      <c r="W692" s="13">
        <f t="shared" si="3"/>
        <v>1</v>
      </c>
      <c r="X692" s="13">
        <f>IFERROR(__xludf.DUMMYFUNCTION("COUNTUNIQUE(FILTER($B$2:$B$1826,$A$2:$A$1826=A692))"),1.0)</f>
        <v>1</v>
      </c>
    </row>
    <row r="693">
      <c r="A693" s="13" t="s">
        <v>1271</v>
      </c>
      <c r="B693" s="13" t="s">
        <v>232</v>
      </c>
      <c r="C693" s="14">
        <v>34.0</v>
      </c>
      <c r="D693" s="13" t="s">
        <v>85</v>
      </c>
      <c r="E693" s="13" t="s">
        <v>87</v>
      </c>
      <c r="F693" s="13" t="s">
        <v>62</v>
      </c>
      <c r="G693" s="13" t="s">
        <v>63</v>
      </c>
      <c r="H693" s="16">
        <v>45885.0</v>
      </c>
      <c r="I693" s="14">
        <v>16.0</v>
      </c>
      <c r="J693" s="13" t="s">
        <v>40</v>
      </c>
      <c r="K693" s="13" t="s">
        <v>81</v>
      </c>
      <c r="L693" s="14">
        <v>611.0</v>
      </c>
      <c r="M693" s="18" t="s">
        <v>99</v>
      </c>
      <c r="N693" s="18" t="s">
        <v>98</v>
      </c>
      <c r="O693" s="18">
        <v>6.0</v>
      </c>
      <c r="P693" s="18" t="s">
        <v>164</v>
      </c>
      <c r="Q693" s="16">
        <v>46353.0</v>
      </c>
      <c r="R693" s="16">
        <v>45726.0</v>
      </c>
      <c r="S693" s="13" t="s">
        <v>45</v>
      </c>
      <c r="T693" s="13" t="s">
        <v>104</v>
      </c>
      <c r="U693" s="13">
        <f t="shared" si="1"/>
        <v>1</v>
      </c>
      <c r="V693" s="13" t="str">
        <f t="shared" si="2"/>
        <v>C01245|Meera Iyer|34|West|Surat|Basic|Google Ads|8/16/2025|16|Monthly|Debit Card|611|4|1|6.00|3|11/27/2026|3/10/2025|Churned|Analytics</v>
      </c>
      <c r="W693" s="13">
        <f t="shared" si="3"/>
        <v>1</v>
      </c>
      <c r="X693" s="13">
        <f>IFERROR(__xludf.DUMMYFUNCTION("COUNTUNIQUE(FILTER($B$2:$B$1826,$A$2:$A$1826=A693))"),1.0)</f>
        <v>1</v>
      </c>
    </row>
    <row r="694">
      <c r="A694" s="13" t="s">
        <v>1128</v>
      </c>
      <c r="B694" s="13" t="s">
        <v>636</v>
      </c>
      <c r="C694" s="14">
        <v>59.0</v>
      </c>
      <c r="D694" s="13" t="s">
        <v>69</v>
      </c>
      <c r="E694" s="13" t="s">
        <v>119</v>
      </c>
      <c r="F694" s="13" t="s">
        <v>62</v>
      </c>
      <c r="G694" s="13" t="s">
        <v>63</v>
      </c>
      <c r="H694" s="16">
        <v>45012.0</v>
      </c>
      <c r="I694" s="14">
        <v>47.0</v>
      </c>
      <c r="J694" s="13" t="s">
        <v>53</v>
      </c>
      <c r="K694" s="13" t="s">
        <v>81</v>
      </c>
      <c r="L694" s="14">
        <v>853.0</v>
      </c>
      <c r="M694" s="18" t="s">
        <v>43</v>
      </c>
      <c r="N694" s="18" t="s">
        <v>46</v>
      </c>
      <c r="O694" s="18">
        <v>26.4</v>
      </c>
      <c r="P694" s="18" t="s">
        <v>233</v>
      </c>
      <c r="Q694" s="16">
        <v>45443.0</v>
      </c>
      <c r="R694" s="16">
        <v>45569.0</v>
      </c>
      <c r="S694" s="13" t="s">
        <v>45</v>
      </c>
      <c r="T694" s="13" t="s">
        <v>66</v>
      </c>
      <c r="U694" s="13">
        <f t="shared" si="1"/>
        <v>2</v>
      </c>
      <c r="V694" s="13" t="str">
        <f t="shared" si="2"/>
        <v>C00565|Neha Reddy|59|South|Kochi|Basic|Google Ads|3/27/2023|47|Quarterly|Debit Card|853|2|0|26.40|3.5|5/31/2024|10/4/2024|Churned|Automation</v>
      </c>
      <c r="W694" s="13">
        <f t="shared" si="3"/>
        <v>1</v>
      </c>
      <c r="X694" s="13">
        <f>IFERROR(__xludf.DUMMYFUNCTION("COUNTUNIQUE(FILTER($B$2:$B$1826,$A$2:$A$1826=A694))"),2.0)</f>
        <v>2</v>
      </c>
    </row>
    <row r="695">
      <c r="A695" s="13" t="s">
        <v>1129</v>
      </c>
      <c r="B695" s="13" t="s">
        <v>336</v>
      </c>
      <c r="C695" s="14">
        <v>30.0</v>
      </c>
      <c r="D695" s="13" t="s">
        <v>35</v>
      </c>
      <c r="E695" s="13" t="s">
        <v>36</v>
      </c>
      <c r="F695" s="13" t="s">
        <v>62</v>
      </c>
      <c r="G695" s="13" t="s">
        <v>52</v>
      </c>
      <c r="H695" s="16">
        <v>45836.0</v>
      </c>
      <c r="I695" s="14">
        <v>31.0</v>
      </c>
      <c r="J695" s="13" t="s">
        <v>53</v>
      </c>
      <c r="K695" s="13" t="s">
        <v>65</v>
      </c>
      <c r="L695" s="14">
        <v>851.0</v>
      </c>
      <c r="M695" s="18" t="s">
        <v>164</v>
      </c>
      <c r="N695" s="18" t="s">
        <v>46</v>
      </c>
      <c r="O695" s="18">
        <v>13.3</v>
      </c>
      <c r="P695" s="18" t="s">
        <v>173</v>
      </c>
      <c r="Q695" s="16">
        <v>46168.0</v>
      </c>
      <c r="R695" s="16" t="s">
        <v>1278</v>
      </c>
      <c r="S695" s="13" t="s">
        <v>45</v>
      </c>
      <c r="T695" s="13" t="s">
        <v>47</v>
      </c>
      <c r="U695" s="13">
        <f t="shared" si="1"/>
        <v>3</v>
      </c>
      <c r="V695" s="13" t="str">
        <f t="shared" si="2"/>
        <v>C00590|Priya Patel|30|North|Delhi|Basic|Facebook|6/28/2025|31|Quarterly|Credit Card|851|3|0|13.30|5|5/26/2026|25/06/2027|Churned|Cloud Storage</v>
      </c>
      <c r="W695" s="13">
        <f t="shared" si="3"/>
        <v>1</v>
      </c>
      <c r="X695" s="13">
        <f>IFERROR(__xludf.DUMMYFUNCTION("COUNTUNIQUE(FILTER($B$2:$B$1826,$A$2:$A$1826=A695))"),3.0)</f>
        <v>3</v>
      </c>
    </row>
    <row r="696">
      <c r="A696" s="13" t="s">
        <v>819</v>
      </c>
      <c r="B696" s="13" t="s">
        <v>364</v>
      </c>
      <c r="C696" s="14">
        <v>50.0</v>
      </c>
      <c r="D696" s="13" t="s">
        <v>85</v>
      </c>
      <c r="E696" s="13" t="s">
        <v>87</v>
      </c>
      <c r="F696" s="13" t="s">
        <v>62</v>
      </c>
      <c r="G696" s="13" t="s">
        <v>39</v>
      </c>
      <c r="H696" s="16">
        <v>45102.0</v>
      </c>
      <c r="I696" s="14">
        <v>5.0</v>
      </c>
      <c r="J696" s="13" t="s">
        <v>40</v>
      </c>
      <c r="K696" s="13" t="s">
        <v>65</v>
      </c>
      <c r="L696" s="14">
        <v>888.0</v>
      </c>
      <c r="M696" s="18" t="s">
        <v>98</v>
      </c>
      <c r="N696" s="18" t="s">
        <v>98</v>
      </c>
      <c r="O696" s="18">
        <v>16.1</v>
      </c>
      <c r="P696" s="18" t="s">
        <v>43</v>
      </c>
      <c r="Q696" s="16">
        <v>45202.0</v>
      </c>
      <c r="R696" s="16" t="s">
        <v>38</v>
      </c>
      <c r="S696" s="13" t="s">
        <v>55</v>
      </c>
      <c r="T696" s="13" t="s">
        <v>104</v>
      </c>
      <c r="U696" s="13">
        <f t="shared" si="1"/>
        <v>4</v>
      </c>
      <c r="V696" s="13" t="str">
        <f t="shared" si="2"/>
        <v>C00027|Sneha Kumar|50|West|Surat|Basic|Instagram|6/25/2023|5|Monthly|Credit Card|888|1|1|16.10|2|10/3/2023||Active|Analytics</v>
      </c>
      <c r="W696" s="13">
        <f t="shared" si="3"/>
        <v>1</v>
      </c>
      <c r="X696" s="13">
        <f>IFERROR(__xludf.DUMMYFUNCTION("COUNTUNIQUE(FILTER($B$2:$B$1826,$A$2:$A$1826=A696))"),4.0)</f>
        <v>4</v>
      </c>
    </row>
    <row r="697">
      <c r="A697" s="13" t="s">
        <v>1465</v>
      </c>
      <c r="B697" s="13" t="s">
        <v>110</v>
      </c>
      <c r="C697" s="14" t="s">
        <v>38</v>
      </c>
      <c r="D697" s="13" t="s">
        <v>35</v>
      </c>
      <c r="E697" s="13" t="s">
        <v>161</v>
      </c>
      <c r="F697" s="13" t="s">
        <v>37</v>
      </c>
      <c r="G697" s="13" t="s">
        <v>80</v>
      </c>
      <c r="H697" s="16">
        <v>45592.0</v>
      </c>
      <c r="I697" s="14">
        <v>11.0</v>
      </c>
      <c r="J697" s="13" t="s">
        <v>53</v>
      </c>
      <c r="K697" s="13" t="s">
        <v>81</v>
      </c>
      <c r="L697" s="14">
        <v>1095.0</v>
      </c>
      <c r="M697" s="18" t="s">
        <v>98</v>
      </c>
      <c r="N697" s="18" t="s">
        <v>98</v>
      </c>
      <c r="O697" s="18">
        <v>35.7</v>
      </c>
      <c r="P697" s="18" t="s">
        <v>130</v>
      </c>
      <c r="Q697" s="16">
        <v>45757.0</v>
      </c>
      <c r="R697" s="16" t="s">
        <v>386</v>
      </c>
      <c r="S697" s="13" t="s">
        <v>45</v>
      </c>
      <c r="T697" s="13" t="s">
        <v>72</v>
      </c>
      <c r="U697" s="13">
        <f t="shared" si="1"/>
        <v>2</v>
      </c>
      <c r="V697" s="13" t="str">
        <f t="shared" si="2"/>
        <v>C00093|Sneha Nair||North|Chandigarh|Standard|Organic Search|10/27/2024|11|Quarterly|Debit Card|1,095|1|1|35.70|3.9|4/10/2025|16/05/2025|Churned|Collaboration</v>
      </c>
      <c r="W697" s="13">
        <f t="shared" si="3"/>
        <v>1</v>
      </c>
      <c r="X697" s="13">
        <f>IFERROR(__xludf.DUMMYFUNCTION("COUNTUNIQUE(FILTER($B$2:$B$1826,$A$2:$A$1826=A697))"),2.0)</f>
        <v>2</v>
      </c>
    </row>
    <row r="698">
      <c r="A698" s="13" t="s">
        <v>1289</v>
      </c>
      <c r="B698" s="13" t="s">
        <v>235</v>
      </c>
      <c r="C698" s="14">
        <v>36.0</v>
      </c>
      <c r="D698" s="13" t="s">
        <v>85</v>
      </c>
      <c r="E698" s="13" t="s">
        <v>92</v>
      </c>
      <c r="F698" s="13" t="s">
        <v>62</v>
      </c>
      <c r="G698" s="13" t="s">
        <v>63</v>
      </c>
      <c r="H698" s="16">
        <v>45284.0</v>
      </c>
      <c r="I698" s="14">
        <v>20.0</v>
      </c>
      <c r="J698" s="13" t="s">
        <v>64</v>
      </c>
      <c r="K698" s="13" t="s">
        <v>81</v>
      </c>
      <c r="L698" s="14">
        <v>764.0</v>
      </c>
      <c r="M698" s="18" t="s">
        <v>98</v>
      </c>
      <c r="N698" s="18" t="s">
        <v>43</v>
      </c>
      <c r="O698" s="18">
        <v>12.1</v>
      </c>
      <c r="P698" s="18" t="s">
        <v>173</v>
      </c>
      <c r="Q698" s="16">
        <v>45904.0</v>
      </c>
      <c r="R698" s="16" t="s">
        <v>38</v>
      </c>
      <c r="S698" s="13" t="s">
        <v>55</v>
      </c>
      <c r="T698" s="13" t="s">
        <v>104</v>
      </c>
      <c r="U698" s="13">
        <f t="shared" si="1"/>
        <v>1</v>
      </c>
      <c r="V698" s="13" t="str">
        <f t="shared" si="2"/>
        <v>C01359|Sneha Sharma|36|West|Ahmedabad|Basic|Google Ads|12/24/2023|20|Annual|Debit Card|764|1|2|12.10|5|9/4/2025||Active|Analytics</v>
      </c>
      <c r="W698" s="13">
        <f t="shared" si="3"/>
        <v>1</v>
      </c>
      <c r="X698" s="13">
        <f>IFERROR(__xludf.DUMMYFUNCTION("COUNTUNIQUE(FILTER($B$2:$B$1826,$A$2:$A$1826=A698))"),1.0)</f>
        <v>1</v>
      </c>
    </row>
    <row r="699">
      <c r="A699" s="13" t="s">
        <v>1292</v>
      </c>
      <c r="B699" s="13" t="s">
        <v>312</v>
      </c>
      <c r="C699" s="14">
        <v>66.0</v>
      </c>
      <c r="D699" s="13" t="s">
        <v>85</v>
      </c>
      <c r="E699" s="13" t="s">
        <v>111</v>
      </c>
      <c r="F699" s="13" t="s">
        <v>37</v>
      </c>
      <c r="G699" s="13" t="s">
        <v>39</v>
      </c>
      <c r="H699" s="16">
        <v>45293.0</v>
      </c>
      <c r="I699" s="14">
        <v>32.0</v>
      </c>
      <c r="J699" s="13" t="s">
        <v>40</v>
      </c>
      <c r="K699" s="13" t="s">
        <v>41</v>
      </c>
      <c r="L699" s="14">
        <v>1757.0</v>
      </c>
      <c r="M699" s="18" t="s">
        <v>99</v>
      </c>
      <c r="N699" s="18" t="s">
        <v>43</v>
      </c>
      <c r="O699" s="18">
        <v>29.2</v>
      </c>
      <c r="P699" s="18" t="s">
        <v>203</v>
      </c>
      <c r="Q699" s="16">
        <v>45744.0</v>
      </c>
      <c r="R699" s="16" t="s">
        <v>38</v>
      </c>
      <c r="S699" s="13" t="s">
        <v>55</v>
      </c>
      <c r="T699" s="13" t="s">
        <v>75</v>
      </c>
      <c r="U699" s="13">
        <f t="shared" si="1"/>
        <v>2</v>
      </c>
      <c r="V699" s="13" t="str">
        <f t="shared" si="2"/>
        <v>C00303|Anita Singh|66|West|Pune|Standard|Instagram|1/2/2024|32|Monthly|Upi|1,757|4|2|29.20|3.7|3/28/2025||Active|Security</v>
      </c>
      <c r="W699" s="13">
        <f t="shared" si="3"/>
        <v>1</v>
      </c>
      <c r="X699" s="13">
        <f>IFERROR(__xludf.DUMMYFUNCTION("COUNTUNIQUE(FILTER($B$2:$B$1826,$A$2:$A$1826=A699))"),2.0)</f>
        <v>2</v>
      </c>
    </row>
    <row r="700">
      <c r="A700" s="13" t="s">
        <v>1293</v>
      </c>
      <c r="B700" s="13" t="s">
        <v>633</v>
      </c>
      <c r="C700" s="14">
        <v>56.0</v>
      </c>
      <c r="D700" s="13" t="s">
        <v>35</v>
      </c>
      <c r="E700" s="13" t="s">
        <v>161</v>
      </c>
      <c r="F700" s="13" t="s">
        <v>62</v>
      </c>
      <c r="G700" s="13" t="s">
        <v>52</v>
      </c>
      <c r="H700" s="16">
        <v>45677.0</v>
      </c>
      <c r="I700" s="14">
        <v>29.0</v>
      </c>
      <c r="J700" s="13" t="s">
        <v>53</v>
      </c>
      <c r="K700" s="13" t="s">
        <v>41</v>
      </c>
      <c r="L700" s="14">
        <v>2542.0</v>
      </c>
      <c r="M700" s="18" t="s">
        <v>43</v>
      </c>
      <c r="N700" s="18" t="s">
        <v>43</v>
      </c>
      <c r="O700" s="18">
        <v>19.1</v>
      </c>
      <c r="P700" s="18" t="s">
        <v>185</v>
      </c>
      <c r="Q700" s="16">
        <v>46382.0</v>
      </c>
      <c r="R700" s="16">
        <v>46328.0</v>
      </c>
      <c r="S700" s="13" t="s">
        <v>45</v>
      </c>
      <c r="T700" s="13" t="s">
        <v>72</v>
      </c>
      <c r="U700" s="13">
        <f t="shared" si="1"/>
        <v>4</v>
      </c>
      <c r="V700" s="13" t="str">
        <f t="shared" si="2"/>
        <v>C01309|Anita Das|56|North|Chandigarh|Basic|Facebook|1/20/2025|29|Quarterly|Upi|2,542|2|2|19.10|3.2|12/26/2026|11/2/2026|Churned|Collaboration</v>
      </c>
      <c r="W700" s="13">
        <f t="shared" si="3"/>
        <v>1</v>
      </c>
      <c r="X700" s="13">
        <f>IFERROR(__xludf.DUMMYFUNCTION("COUNTUNIQUE(FILTER($B$2:$B$1826,$A$2:$A$1826=A700))"),4.0)</f>
        <v>4</v>
      </c>
    </row>
    <row r="701">
      <c r="A701" s="13" t="s">
        <v>1296</v>
      </c>
      <c r="B701" s="13" t="s">
        <v>190</v>
      </c>
      <c r="C701" s="14">
        <v>48.0</v>
      </c>
      <c r="D701" s="13" t="s">
        <v>35</v>
      </c>
      <c r="E701" s="13" t="s">
        <v>161</v>
      </c>
      <c r="F701" s="13" t="s">
        <v>37</v>
      </c>
      <c r="G701" s="13" t="s">
        <v>63</v>
      </c>
      <c r="H701" s="16">
        <v>45449.0</v>
      </c>
      <c r="I701" s="14">
        <v>30.0</v>
      </c>
      <c r="J701" s="13" t="s">
        <v>64</v>
      </c>
      <c r="K701" s="13" t="s">
        <v>41</v>
      </c>
      <c r="L701" s="14">
        <v>1294.0</v>
      </c>
      <c r="M701" s="18" t="s">
        <v>164</v>
      </c>
      <c r="N701" s="18" t="s">
        <v>46</v>
      </c>
      <c r="O701" s="18">
        <v>10.4</v>
      </c>
      <c r="P701" s="18" t="s">
        <v>368</v>
      </c>
      <c r="Q701" s="16">
        <v>45467.0</v>
      </c>
      <c r="R701" s="16" t="s">
        <v>38</v>
      </c>
      <c r="S701" s="13" t="s">
        <v>55</v>
      </c>
      <c r="T701" s="13" t="s">
        <v>66</v>
      </c>
      <c r="U701" s="13">
        <f t="shared" si="1"/>
        <v>1</v>
      </c>
      <c r="V701" s="13" t="str">
        <f t="shared" si="2"/>
        <v>C00391|Sneha Patel|48|North|Chandigarh|Standard|Google Ads|6/6/2024|30|Annual|Upi|1,294|3|0|10.40|4.9|6/24/2024||Active|Automation</v>
      </c>
      <c r="W701" s="13">
        <f t="shared" si="3"/>
        <v>1</v>
      </c>
      <c r="X701" s="13">
        <f>IFERROR(__xludf.DUMMYFUNCTION("COUNTUNIQUE(FILTER($B$2:$B$1826,$A$2:$A$1826=A701))"),1.0)</f>
        <v>1</v>
      </c>
    </row>
    <row r="702">
      <c r="A702" s="13" t="s">
        <v>1297</v>
      </c>
      <c r="B702" s="13" t="s">
        <v>303</v>
      </c>
      <c r="C702" s="14">
        <v>50.0</v>
      </c>
      <c r="D702" s="13" t="s">
        <v>69</v>
      </c>
      <c r="E702" s="13" t="s">
        <v>177</v>
      </c>
      <c r="F702" s="13" t="s">
        <v>37</v>
      </c>
      <c r="G702" s="13" t="s">
        <v>63</v>
      </c>
      <c r="H702" s="16">
        <v>45165.0</v>
      </c>
      <c r="I702" s="14">
        <v>1.0</v>
      </c>
      <c r="J702" s="13" t="s">
        <v>53</v>
      </c>
      <c r="K702" s="13" t="s">
        <v>41</v>
      </c>
      <c r="L702" s="14">
        <v>1288.0</v>
      </c>
      <c r="M702" s="18" t="s">
        <v>43</v>
      </c>
      <c r="N702" s="18" t="s">
        <v>46</v>
      </c>
      <c r="O702" s="18">
        <v>28.1</v>
      </c>
      <c r="P702" s="18" t="s">
        <v>123</v>
      </c>
      <c r="Q702" s="16">
        <v>45212.0</v>
      </c>
      <c r="R702" s="16" t="s">
        <v>38</v>
      </c>
      <c r="S702" s="13" t="s">
        <v>55</v>
      </c>
      <c r="T702" s="13" t="s">
        <v>75</v>
      </c>
      <c r="U702" s="13">
        <f t="shared" si="1"/>
        <v>2</v>
      </c>
      <c r="V702" s="13" t="str">
        <f t="shared" si="2"/>
        <v>C00594|Priya Kumar|50|South|Hyderabad|Standard|Google Ads|8/27/2023|1|Quarterly|Upi|1,288|2|0|28.10|4.1|10/13/2023||Active|Security</v>
      </c>
      <c r="W702" s="13">
        <f t="shared" si="3"/>
        <v>1</v>
      </c>
      <c r="X702" s="13">
        <f>IFERROR(__xludf.DUMMYFUNCTION("COUNTUNIQUE(FILTER($B$2:$B$1826,$A$2:$A$1826=A702))"),2.0)</f>
        <v>2</v>
      </c>
    </row>
    <row r="703">
      <c r="A703" s="13" t="s">
        <v>1298</v>
      </c>
      <c r="B703" s="13" t="s">
        <v>736</v>
      </c>
      <c r="C703" s="14">
        <v>28.0</v>
      </c>
      <c r="D703" s="13" t="s">
        <v>35</v>
      </c>
      <c r="E703" s="13" t="s">
        <v>36</v>
      </c>
      <c r="F703" s="13" t="s">
        <v>62</v>
      </c>
      <c r="G703" s="13" t="s">
        <v>210</v>
      </c>
      <c r="H703" s="16">
        <v>45142.0</v>
      </c>
      <c r="I703" s="14">
        <v>33.0</v>
      </c>
      <c r="J703" s="13" t="s">
        <v>64</v>
      </c>
      <c r="K703" s="13" t="s">
        <v>41</v>
      </c>
      <c r="L703" s="14">
        <v>892.0</v>
      </c>
      <c r="M703" s="18" t="s">
        <v>43</v>
      </c>
      <c r="N703" s="18" t="s">
        <v>46</v>
      </c>
      <c r="O703" s="18">
        <v>15.6</v>
      </c>
      <c r="P703" s="18" t="s">
        <v>233</v>
      </c>
      <c r="Q703" s="16">
        <v>46128.0</v>
      </c>
      <c r="R703" s="16" t="s">
        <v>38</v>
      </c>
      <c r="S703" s="13" t="s">
        <v>55</v>
      </c>
      <c r="T703" s="13" t="s">
        <v>75</v>
      </c>
      <c r="U703" s="13">
        <f t="shared" si="1"/>
        <v>2</v>
      </c>
      <c r="V703" s="13" t="str">
        <f t="shared" si="2"/>
        <v>C00722|Priya Iyer|28|North|Delhi|Basic|Referral|8/4/2023|33|Annual|Upi|892|2|0|15.60|3.5|4/16/2026||Active|Security</v>
      </c>
      <c r="W703" s="13">
        <f t="shared" si="3"/>
        <v>1</v>
      </c>
      <c r="X703" s="13">
        <f>IFERROR(__xludf.DUMMYFUNCTION("COUNTUNIQUE(FILTER($B$2:$B$1826,$A$2:$A$1826=A703))"),2.0)</f>
        <v>2</v>
      </c>
    </row>
    <row r="704">
      <c r="A704" s="13" t="s">
        <v>1299</v>
      </c>
      <c r="B704" s="13" t="s">
        <v>736</v>
      </c>
      <c r="C704" s="14">
        <v>38.0</v>
      </c>
      <c r="D704" s="13" t="s">
        <v>35</v>
      </c>
      <c r="E704" s="13" t="s">
        <v>161</v>
      </c>
      <c r="F704" s="13" t="s">
        <v>62</v>
      </c>
      <c r="G704" s="13" t="s">
        <v>120</v>
      </c>
      <c r="H704" s="16">
        <v>45288.0</v>
      </c>
      <c r="I704" s="14">
        <v>16.0</v>
      </c>
      <c r="J704" s="13" t="s">
        <v>64</v>
      </c>
      <c r="K704" s="13" t="s">
        <v>65</v>
      </c>
      <c r="L704" s="14">
        <v>825.0</v>
      </c>
      <c r="M704" s="18" t="s">
        <v>99</v>
      </c>
      <c r="N704" s="18" t="s">
        <v>43</v>
      </c>
      <c r="O704" s="18">
        <v>14.1</v>
      </c>
      <c r="P704" s="18" t="s">
        <v>701</v>
      </c>
      <c r="Q704" s="16">
        <v>45502.0</v>
      </c>
      <c r="R704" s="16">
        <v>45721.0</v>
      </c>
      <c r="S704" s="13" t="s">
        <v>45</v>
      </c>
      <c r="T704" s="13" t="s">
        <v>47</v>
      </c>
      <c r="U704" s="13">
        <f t="shared" si="1"/>
        <v>1</v>
      </c>
      <c r="V704" s="13" t="str">
        <f t="shared" si="2"/>
        <v>C01199|Priya Iyer|38|North|Chandigarh|Basic|Email|12/28/2023|16|Annual|Credit Card|825|4|2|14.10|2.8|7/29/2024|3/5/2025|Churned|Cloud Storage</v>
      </c>
      <c r="W704" s="13">
        <f t="shared" si="3"/>
        <v>1</v>
      </c>
      <c r="X704" s="13">
        <f>IFERROR(__xludf.DUMMYFUNCTION("COUNTUNIQUE(FILTER($B$2:$B$1826,$A$2:$A$1826=A704))"),1.0)</f>
        <v>1</v>
      </c>
    </row>
    <row r="705">
      <c r="A705" s="13" t="s">
        <v>754</v>
      </c>
      <c r="B705" s="13" t="s">
        <v>398</v>
      </c>
      <c r="C705" s="14">
        <v>38.0</v>
      </c>
      <c r="D705" s="13" t="s">
        <v>85</v>
      </c>
      <c r="E705" s="13" t="s">
        <v>92</v>
      </c>
      <c r="F705" s="13" t="s">
        <v>37</v>
      </c>
      <c r="G705" s="13" t="s">
        <v>39</v>
      </c>
      <c r="H705" s="16">
        <v>45961.0</v>
      </c>
      <c r="I705" s="14">
        <v>13.0</v>
      </c>
      <c r="J705" s="13" t="s">
        <v>64</v>
      </c>
      <c r="K705" s="13" t="s">
        <v>81</v>
      </c>
      <c r="L705" s="14">
        <v>1566.0</v>
      </c>
      <c r="M705" s="18" t="s">
        <v>98</v>
      </c>
      <c r="N705" s="18" t="s">
        <v>46</v>
      </c>
      <c r="O705" s="18">
        <v>30.2</v>
      </c>
      <c r="P705" s="18" t="s">
        <v>185</v>
      </c>
      <c r="Q705" s="16">
        <v>46125.0</v>
      </c>
      <c r="R705" s="16" t="s">
        <v>38</v>
      </c>
      <c r="S705" s="13" t="s">
        <v>45</v>
      </c>
      <c r="T705" s="13" t="s">
        <v>75</v>
      </c>
      <c r="U705" s="13">
        <f t="shared" si="1"/>
        <v>2</v>
      </c>
      <c r="V705" s="13" t="str">
        <f t="shared" si="2"/>
        <v>C01155|Vikram Sharma|38|West|Ahmedabad|Standard|Instagram|10/31/2025|13|Annual|Debit Card|1,566|1|0|30.20|3.2|4/13/2026||Churned|Security</v>
      </c>
      <c r="W705" s="13">
        <f t="shared" si="3"/>
        <v>1</v>
      </c>
      <c r="X705" s="13">
        <f>IFERROR(__xludf.DUMMYFUNCTION("COUNTUNIQUE(FILTER($B$2:$B$1826,$A$2:$A$1826=A705))"),2.0)</f>
        <v>2</v>
      </c>
    </row>
    <row r="706">
      <c r="A706" s="13" t="s">
        <v>1302</v>
      </c>
      <c r="B706" s="13" t="s">
        <v>229</v>
      </c>
      <c r="C706" s="14">
        <v>41.0</v>
      </c>
      <c r="D706" s="13" t="s">
        <v>69</v>
      </c>
      <c r="E706" s="13" t="s">
        <v>119</v>
      </c>
      <c r="F706" s="13" t="s">
        <v>37</v>
      </c>
      <c r="G706" s="13" t="s">
        <v>128</v>
      </c>
      <c r="H706" s="16">
        <v>45456.0</v>
      </c>
      <c r="I706" s="14">
        <v>7.0</v>
      </c>
      <c r="J706" s="13" t="s">
        <v>53</v>
      </c>
      <c r="K706" s="13" t="s">
        <v>65</v>
      </c>
      <c r="L706" s="14">
        <v>1709.0</v>
      </c>
      <c r="M706" s="18" t="s">
        <v>43</v>
      </c>
      <c r="N706" s="18" t="s">
        <v>98</v>
      </c>
      <c r="O706" s="18">
        <v>27.2</v>
      </c>
      <c r="P706" s="18" t="s">
        <v>449</v>
      </c>
      <c r="Q706" s="16">
        <v>45594.0</v>
      </c>
      <c r="R706" s="16" t="s">
        <v>38</v>
      </c>
      <c r="S706" s="13" t="s">
        <v>55</v>
      </c>
      <c r="T706" s="13" t="s">
        <v>75</v>
      </c>
      <c r="U706" s="13">
        <f t="shared" si="1"/>
        <v>2</v>
      </c>
      <c r="V706" s="13" t="str">
        <f t="shared" si="2"/>
        <v>C01118|Anita Nair|41|South|Kochi|Standard|Youtube|6/13/2024|7|Quarterly|Credit Card|1,709|2|1|27.20|2.7|10/29/2024||Active|Security</v>
      </c>
      <c r="W706" s="13">
        <f t="shared" si="3"/>
        <v>1</v>
      </c>
      <c r="X706" s="13">
        <f>IFERROR(__xludf.DUMMYFUNCTION("COUNTUNIQUE(FILTER($B$2:$B$1826,$A$2:$A$1826=A706))"),2.0)</f>
        <v>2</v>
      </c>
    </row>
    <row r="707">
      <c r="A707" s="13" t="s">
        <v>1303</v>
      </c>
      <c r="B707" s="13" t="s">
        <v>167</v>
      </c>
      <c r="C707" s="14">
        <v>27.0</v>
      </c>
      <c r="D707" s="13" t="s">
        <v>85</v>
      </c>
      <c r="E707" s="13" t="s">
        <v>292</v>
      </c>
      <c r="F707" s="13" t="s">
        <v>79</v>
      </c>
      <c r="G707" s="13" t="s">
        <v>63</v>
      </c>
      <c r="H707" s="16">
        <v>45424.0</v>
      </c>
      <c r="I707" s="14">
        <v>6.0</v>
      </c>
      <c r="J707" s="13" t="s">
        <v>64</v>
      </c>
      <c r="K707" s="13" t="s">
        <v>81</v>
      </c>
      <c r="L707" s="14">
        <v>3610.0</v>
      </c>
      <c r="M707" s="18" t="s">
        <v>43</v>
      </c>
      <c r="N707" s="18" t="s">
        <v>98</v>
      </c>
      <c r="O707" s="18">
        <v>41.2</v>
      </c>
      <c r="P707" s="18" t="s">
        <v>130</v>
      </c>
      <c r="Q707" s="16">
        <v>45496.0</v>
      </c>
      <c r="R707" s="16">
        <v>45454.0</v>
      </c>
      <c r="S707" s="13" t="s">
        <v>45</v>
      </c>
      <c r="T707" s="13" t="s">
        <v>66</v>
      </c>
      <c r="U707" s="13">
        <f t="shared" si="1"/>
        <v>3</v>
      </c>
      <c r="V707" s="13" t="str">
        <f t="shared" si="2"/>
        <v>C00841|Ravi Reddy|27|West|Mumbai|Premium|Google Ads|5/12/2024|6|Annual|Debit Card|3,610|2|1|41.20|3.9|7/23/2024|6/11/2024|Churned|Automation</v>
      </c>
      <c r="W707" s="13">
        <f t="shared" si="3"/>
        <v>1</v>
      </c>
      <c r="X707" s="13">
        <f>IFERROR(__xludf.DUMMYFUNCTION("COUNTUNIQUE(FILTER($B$2:$B$1826,$A$2:$A$1826=A707))"),3.0)</f>
        <v>3</v>
      </c>
    </row>
    <row r="708">
      <c r="A708" s="13" t="s">
        <v>379</v>
      </c>
      <c r="B708" s="13" t="s">
        <v>331</v>
      </c>
      <c r="C708" s="14">
        <v>60.0</v>
      </c>
      <c r="D708" s="13" t="s">
        <v>35</v>
      </c>
      <c r="E708" s="13" t="s">
        <v>140</v>
      </c>
      <c r="F708" s="13" t="s">
        <v>62</v>
      </c>
      <c r="G708" s="13" t="s">
        <v>52</v>
      </c>
      <c r="H708" s="16">
        <v>44574.0</v>
      </c>
      <c r="I708" s="14">
        <v>30.0</v>
      </c>
      <c r="J708" s="13" t="s">
        <v>40</v>
      </c>
      <c r="K708" s="13" t="s">
        <v>65</v>
      </c>
      <c r="L708" s="14">
        <v>764.0</v>
      </c>
      <c r="M708" s="18" t="s">
        <v>99</v>
      </c>
      <c r="N708" s="18" t="s">
        <v>46</v>
      </c>
      <c r="O708" s="18">
        <v>15.6</v>
      </c>
      <c r="P708" s="18" t="s">
        <v>76</v>
      </c>
      <c r="Q708" s="16">
        <v>44639.0</v>
      </c>
      <c r="R708" s="16">
        <v>44809.0</v>
      </c>
      <c r="S708" s="13" t="s">
        <v>45</v>
      </c>
      <c r="T708" s="13" t="s">
        <v>66</v>
      </c>
      <c r="U708" s="13">
        <f t="shared" si="1"/>
        <v>3</v>
      </c>
      <c r="V708" s="13" t="str">
        <f t="shared" si="2"/>
        <v>C00601|Arun Iyer|60|North|Lucknow|Basic|Facebook|1/13/2022|30|Monthly|Credit Card|764|4|0|15.60|4.4|3/19/2022|9/5/2022|Churned|Automation</v>
      </c>
      <c r="W708" s="13">
        <f t="shared" si="3"/>
        <v>1</v>
      </c>
      <c r="X708" s="13">
        <f>IFERROR(__xludf.DUMMYFUNCTION("COUNTUNIQUE(FILTER($B$2:$B$1826,$A$2:$A$1826=A708))"),3.0)</f>
        <v>3</v>
      </c>
    </row>
    <row r="709">
      <c r="A709" s="13" t="s">
        <v>991</v>
      </c>
      <c r="B709" s="13" t="s">
        <v>459</v>
      </c>
      <c r="C709" s="14">
        <v>54.0</v>
      </c>
      <c r="D709" s="13" t="s">
        <v>60</v>
      </c>
      <c r="E709" s="13" t="s">
        <v>133</v>
      </c>
      <c r="F709" s="13" t="s">
        <v>37</v>
      </c>
      <c r="G709" s="13" t="s">
        <v>128</v>
      </c>
      <c r="H709" s="16">
        <v>44686.0</v>
      </c>
      <c r="I709" s="14">
        <v>8.0</v>
      </c>
      <c r="J709" s="13" t="s">
        <v>64</v>
      </c>
      <c r="K709" s="13" t="s">
        <v>65</v>
      </c>
      <c r="L709" s="14">
        <v>1522.0</v>
      </c>
      <c r="M709" s="18" t="s">
        <v>98</v>
      </c>
      <c r="N709" s="18" t="s">
        <v>98</v>
      </c>
      <c r="O709" s="18">
        <v>14.8</v>
      </c>
      <c r="P709" s="18" t="s">
        <v>408</v>
      </c>
      <c r="Q709" s="16">
        <v>44879.0</v>
      </c>
      <c r="R709" s="16" t="s">
        <v>1307</v>
      </c>
      <c r="S709" s="13" t="s">
        <v>45</v>
      </c>
      <c r="T709" s="13" t="s">
        <v>47</v>
      </c>
      <c r="U709" s="13">
        <f t="shared" si="1"/>
        <v>4</v>
      </c>
      <c r="V709" s="13" t="str">
        <f t="shared" si="2"/>
        <v>C00200|Neha Patel|54|East|Guwahati|Standard|Youtube|5/5/2022|8|Annual|Credit Card|1,522|1|1|14.80|4.2|11/14/2022|17/06/2022|Churned|Cloud Storage</v>
      </c>
      <c r="W709" s="13">
        <f t="shared" si="3"/>
        <v>1</v>
      </c>
      <c r="X709" s="13">
        <f>IFERROR(__xludf.DUMMYFUNCTION("COUNTUNIQUE(FILTER($B$2:$B$1826,$A$2:$A$1826=A709))"),4.0)</f>
        <v>4</v>
      </c>
    </row>
    <row r="710">
      <c r="A710" s="13" t="s">
        <v>1308</v>
      </c>
      <c r="B710" s="13" t="s">
        <v>288</v>
      </c>
      <c r="C710" s="14">
        <v>52.0</v>
      </c>
      <c r="D710" s="13" t="s">
        <v>69</v>
      </c>
      <c r="E710" s="13" t="s">
        <v>177</v>
      </c>
      <c r="F710" s="13" t="s">
        <v>37</v>
      </c>
      <c r="G710" s="13" t="s">
        <v>52</v>
      </c>
      <c r="H710" s="16">
        <v>44575.0</v>
      </c>
      <c r="I710" s="14">
        <v>32.0</v>
      </c>
      <c r="J710" s="13" t="s">
        <v>40</v>
      </c>
      <c r="K710" s="13" t="s">
        <v>41</v>
      </c>
      <c r="L710" s="14">
        <v>1116.0</v>
      </c>
      <c r="M710" s="18" t="s">
        <v>98</v>
      </c>
      <c r="N710" s="18" t="s">
        <v>98</v>
      </c>
      <c r="O710" s="18">
        <v>21.6</v>
      </c>
      <c r="P710" s="18" t="s">
        <v>225</v>
      </c>
      <c r="Q710" s="16">
        <v>44585.0</v>
      </c>
      <c r="R710" s="16" t="s">
        <v>38</v>
      </c>
      <c r="S710" s="13" t="s">
        <v>55</v>
      </c>
      <c r="T710" s="13" t="s">
        <v>47</v>
      </c>
      <c r="U710" s="13">
        <f t="shared" si="1"/>
        <v>1</v>
      </c>
      <c r="V710" s="13" t="str">
        <f t="shared" si="2"/>
        <v>C00458|Rahul Sharma|52|South|Hyderabad|Standard|Facebook|1/14/2022|32|Monthly|Upi|1,116|1|1|21.60|3.8|1/24/2022||Active|Cloud Storage</v>
      </c>
      <c r="W710" s="13">
        <f t="shared" si="3"/>
        <v>1</v>
      </c>
      <c r="X710" s="13">
        <f>IFERROR(__xludf.DUMMYFUNCTION("COUNTUNIQUE(FILTER($B$2:$B$1826,$A$2:$A$1826=A710))"),1.0)</f>
        <v>1</v>
      </c>
    </row>
    <row r="711">
      <c r="A711" s="13" t="s">
        <v>631</v>
      </c>
      <c r="B711" s="13" t="s">
        <v>380</v>
      </c>
      <c r="C711" s="14">
        <v>58.0</v>
      </c>
      <c r="D711" s="13" t="s">
        <v>85</v>
      </c>
      <c r="E711" s="13" t="s">
        <v>292</v>
      </c>
      <c r="F711" s="13" t="s">
        <v>37</v>
      </c>
      <c r="G711" s="13" t="s">
        <v>120</v>
      </c>
      <c r="H711" s="16">
        <v>45362.0</v>
      </c>
      <c r="I711" s="14">
        <v>4.0</v>
      </c>
      <c r="J711" s="13" t="s">
        <v>64</v>
      </c>
      <c r="K711" s="13" t="s">
        <v>65</v>
      </c>
      <c r="L711" s="14">
        <v>1413.0</v>
      </c>
      <c r="M711" s="18" t="s">
        <v>164</v>
      </c>
      <c r="N711" s="18" t="s">
        <v>43</v>
      </c>
      <c r="O711" s="18">
        <v>23.4</v>
      </c>
      <c r="P711" s="18" t="s">
        <v>233</v>
      </c>
      <c r="Q711" s="16">
        <v>45419.0</v>
      </c>
      <c r="R711" s="16" t="s">
        <v>1309</v>
      </c>
      <c r="S711" s="13" t="s">
        <v>45</v>
      </c>
      <c r="T711" s="13" t="s">
        <v>66</v>
      </c>
      <c r="U711" s="13">
        <f t="shared" si="1"/>
        <v>4</v>
      </c>
      <c r="V711" s="13" t="str">
        <f t="shared" si="2"/>
        <v>C00213|Neha Iyer|58|West|Mumbai|Standard|Email|3/11/2024|4|Annual|Credit Card|1,413|3|2|23.40|3.5|5/7/2024|23/07/2024|Churned|Automation</v>
      </c>
      <c r="W711" s="13">
        <f t="shared" si="3"/>
        <v>1</v>
      </c>
      <c r="X711" s="13">
        <f>IFERROR(__xludf.DUMMYFUNCTION("COUNTUNIQUE(FILTER($B$2:$B$1826,$A$2:$A$1826=A711))"),4.0)</f>
        <v>4</v>
      </c>
    </row>
    <row r="712">
      <c r="A712" s="13" t="s">
        <v>713</v>
      </c>
      <c r="B712" s="13" t="s">
        <v>395</v>
      </c>
      <c r="C712" s="14">
        <v>49.0</v>
      </c>
      <c r="D712" s="13" t="s">
        <v>85</v>
      </c>
      <c r="E712" s="13" t="s">
        <v>111</v>
      </c>
      <c r="F712" s="13" t="s">
        <v>37</v>
      </c>
      <c r="G712" s="13" t="s">
        <v>39</v>
      </c>
      <c r="H712" s="16">
        <v>44852.0</v>
      </c>
      <c r="I712" s="14">
        <v>48.0</v>
      </c>
      <c r="J712" s="13" t="s">
        <v>53</v>
      </c>
      <c r="K712" s="13" t="s">
        <v>65</v>
      </c>
      <c r="L712" s="14">
        <v>1522.0</v>
      </c>
      <c r="M712" s="18" t="s">
        <v>46</v>
      </c>
      <c r="N712" s="18" t="s">
        <v>46</v>
      </c>
      <c r="O712" s="18">
        <v>28.4</v>
      </c>
      <c r="P712" s="18" t="s">
        <v>408</v>
      </c>
      <c r="Q712" s="16">
        <v>46294.0</v>
      </c>
      <c r="R712" s="16" t="s">
        <v>38</v>
      </c>
      <c r="S712" s="13" t="s">
        <v>55</v>
      </c>
      <c r="T712" s="13" t="s">
        <v>72</v>
      </c>
      <c r="U712" s="13">
        <f t="shared" si="1"/>
        <v>3</v>
      </c>
      <c r="V712" s="13" t="str">
        <f t="shared" si="2"/>
        <v>C00253|Ravi Singh|49|West|Pune|Standard|Instagram|10/18/2022|48|Quarterly|Credit Card|1,522|0|0|28.40|4.2|9/29/2026||Active|Collaboration</v>
      </c>
      <c r="W712" s="13">
        <f t="shared" si="3"/>
        <v>1</v>
      </c>
      <c r="X712" s="13">
        <f>IFERROR(__xludf.DUMMYFUNCTION("COUNTUNIQUE(FILTER($B$2:$B$1826,$A$2:$A$1826=A712))"),3.0)</f>
        <v>3</v>
      </c>
    </row>
    <row r="713">
      <c r="A713" s="13" t="s">
        <v>1310</v>
      </c>
      <c r="B713" s="13" t="s">
        <v>96</v>
      </c>
      <c r="C713" s="14">
        <v>37.0</v>
      </c>
      <c r="D713" s="13" t="s">
        <v>35</v>
      </c>
      <c r="E713" s="13" t="s">
        <v>140</v>
      </c>
      <c r="F713" s="13" t="s">
        <v>62</v>
      </c>
      <c r="G713" s="13" t="s">
        <v>210</v>
      </c>
      <c r="H713" s="16">
        <v>45363.0</v>
      </c>
      <c r="I713" s="14">
        <v>25.0</v>
      </c>
      <c r="J713" s="13" t="s">
        <v>53</v>
      </c>
      <c r="K713" s="13" t="s">
        <v>41</v>
      </c>
      <c r="L713" s="14">
        <v>553.0</v>
      </c>
      <c r="M713" s="18" t="s">
        <v>164</v>
      </c>
      <c r="N713" s="18" t="s">
        <v>98</v>
      </c>
      <c r="O713" s="18">
        <v>32.9</v>
      </c>
      <c r="P713" s="18" t="s">
        <v>89</v>
      </c>
      <c r="Q713" s="16">
        <v>45808.0</v>
      </c>
      <c r="R713" s="16" t="s">
        <v>38</v>
      </c>
      <c r="S713" s="13" t="s">
        <v>55</v>
      </c>
      <c r="T713" s="13" t="s">
        <v>66</v>
      </c>
      <c r="U713" s="13">
        <f t="shared" si="1"/>
        <v>2</v>
      </c>
      <c r="V713" s="13" t="str">
        <f t="shared" si="2"/>
        <v>C01368|Rahul Kumar|37|North|Lucknow|Basic|Referral|3/12/2024|25|Quarterly|Upi|553|3|1|32.90|3.3|5/31/2025||Active|Automation</v>
      </c>
      <c r="W713" s="13">
        <f t="shared" si="3"/>
        <v>1</v>
      </c>
      <c r="X713" s="13">
        <f>IFERROR(__xludf.DUMMYFUNCTION("COUNTUNIQUE(FILTER($B$2:$B$1826,$A$2:$A$1826=A713))"),2.0)</f>
        <v>2</v>
      </c>
    </row>
    <row r="714">
      <c r="A714" s="13" t="s">
        <v>1312</v>
      </c>
      <c r="B714" s="13" t="s">
        <v>152</v>
      </c>
      <c r="C714" s="14">
        <v>29.0</v>
      </c>
      <c r="D714" s="13" t="s">
        <v>35</v>
      </c>
      <c r="E714" s="13" t="s">
        <v>161</v>
      </c>
      <c r="F714" s="13" t="s">
        <v>62</v>
      </c>
      <c r="G714" s="13" t="s">
        <v>52</v>
      </c>
      <c r="H714" s="16">
        <v>45907.0</v>
      </c>
      <c r="I714" s="14">
        <v>40.0</v>
      </c>
      <c r="J714" s="13" t="s">
        <v>53</v>
      </c>
      <c r="K714" s="13" t="s">
        <v>81</v>
      </c>
      <c r="L714" s="14">
        <v>680.0</v>
      </c>
      <c r="M714" s="18" t="s">
        <v>43</v>
      </c>
      <c r="N714" s="18" t="s">
        <v>98</v>
      </c>
      <c r="O714" s="18">
        <v>18.0</v>
      </c>
      <c r="P714" s="18" t="s">
        <v>400</v>
      </c>
      <c r="Q714" s="16">
        <v>46855.0</v>
      </c>
      <c r="R714" s="16" t="s">
        <v>38</v>
      </c>
      <c r="S714" s="13" t="s">
        <v>55</v>
      </c>
      <c r="T714" s="13" t="s">
        <v>66</v>
      </c>
      <c r="U714" s="13">
        <f t="shared" si="1"/>
        <v>1</v>
      </c>
      <c r="V714" s="13" t="str">
        <f t="shared" si="2"/>
        <v>C00798|Vikram Kumar|29|North|Chandigarh|Basic|Facebook|9/7/2025|40|Quarterly|Debit Card|680|2|1|18.00|4.8|4/12/2028||Active|Automation</v>
      </c>
      <c r="W714" s="13">
        <f t="shared" si="3"/>
        <v>1</v>
      </c>
      <c r="X714" s="13">
        <f>IFERROR(__xludf.DUMMYFUNCTION("COUNTUNIQUE(FILTER($B$2:$B$1826,$A$2:$A$1826=A714))"),1.0)</f>
        <v>1</v>
      </c>
    </row>
    <row r="715">
      <c r="A715" s="13" t="s">
        <v>1313</v>
      </c>
      <c r="B715" s="13" t="s">
        <v>322</v>
      </c>
      <c r="C715" s="14">
        <v>67.0</v>
      </c>
      <c r="D715" s="13" t="s">
        <v>60</v>
      </c>
      <c r="E715" s="13" t="s">
        <v>133</v>
      </c>
      <c r="F715" s="13" t="s">
        <v>37</v>
      </c>
      <c r="G715" s="13" t="s">
        <v>39</v>
      </c>
      <c r="H715" s="16">
        <v>45905.0</v>
      </c>
      <c r="I715" s="14">
        <v>10.0</v>
      </c>
      <c r="J715" s="13" t="s">
        <v>64</v>
      </c>
      <c r="K715" s="13" t="s">
        <v>41</v>
      </c>
      <c r="L715" s="14">
        <v>1575.0</v>
      </c>
      <c r="M715" s="18" t="s">
        <v>98</v>
      </c>
      <c r="N715" s="18" t="s">
        <v>46</v>
      </c>
      <c r="O715" s="18">
        <v>38.3</v>
      </c>
      <c r="P715" s="18" t="s">
        <v>185</v>
      </c>
      <c r="Q715" s="16">
        <v>46150.0</v>
      </c>
      <c r="R715" s="16" t="s">
        <v>38</v>
      </c>
      <c r="S715" s="13" t="s">
        <v>55</v>
      </c>
      <c r="T715" s="13" t="s">
        <v>75</v>
      </c>
      <c r="U715" s="13">
        <f t="shared" si="1"/>
        <v>2</v>
      </c>
      <c r="V715" s="13" t="str">
        <f t="shared" si="2"/>
        <v>C00432|Rahul Iyer|67|East|Guwahati|Standard|Instagram|9/5/2025|10|Annual|Upi|1,575|1|0|38.30|3.2|5/8/2026||Active|Security</v>
      </c>
      <c r="W715" s="13">
        <f t="shared" si="3"/>
        <v>1</v>
      </c>
      <c r="X715" s="13">
        <f>IFERROR(__xludf.DUMMYFUNCTION("COUNTUNIQUE(FILTER($B$2:$B$1826,$A$2:$A$1826=A715))"),2.0)</f>
        <v>2</v>
      </c>
    </row>
    <row r="716">
      <c r="A716" s="13" t="s">
        <v>1314</v>
      </c>
      <c r="B716" s="13" t="s">
        <v>78</v>
      </c>
      <c r="C716" s="14">
        <v>63.0</v>
      </c>
      <c r="D716" s="13" t="s">
        <v>85</v>
      </c>
      <c r="E716" s="13" t="s">
        <v>87</v>
      </c>
      <c r="F716" s="13" t="s">
        <v>79</v>
      </c>
      <c r="G716" s="13" t="s">
        <v>80</v>
      </c>
      <c r="H716" s="16">
        <v>45911.0</v>
      </c>
      <c r="I716" s="14">
        <v>12.0</v>
      </c>
      <c r="J716" s="13" t="s">
        <v>53</v>
      </c>
      <c r="K716" s="13" t="s">
        <v>81</v>
      </c>
      <c r="L716" s="14">
        <v>3348.0</v>
      </c>
      <c r="M716" s="18" t="s">
        <v>164</v>
      </c>
      <c r="N716" s="18" t="s">
        <v>98</v>
      </c>
      <c r="O716" s="18">
        <v>49.5</v>
      </c>
      <c r="P716" s="18" t="s">
        <v>116</v>
      </c>
      <c r="Q716" s="16">
        <v>46190.0</v>
      </c>
      <c r="R716" s="16" t="s">
        <v>38</v>
      </c>
      <c r="S716" s="13" t="s">
        <v>55</v>
      </c>
      <c r="T716" s="13" t="s">
        <v>66</v>
      </c>
      <c r="U716" s="13">
        <f t="shared" si="1"/>
        <v>1</v>
      </c>
      <c r="V716" s="13" t="str">
        <f t="shared" si="2"/>
        <v>C00140|Vikram Patel|63|West|Surat|Premium|Organic Search|9/11/2025|12|Quarterly|Debit Card|3,348|3|1|49.50|3.4|6/17/2026||Active|Automation</v>
      </c>
      <c r="W716" s="13">
        <f t="shared" si="3"/>
        <v>1</v>
      </c>
      <c r="X716" s="13">
        <f>IFERROR(__xludf.DUMMYFUNCTION("COUNTUNIQUE(FILTER($B$2:$B$1826,$A$2:$A$1826=A716))"),1.0)</f>
        <v>1</v>
      </c>
    </row>
    <row r="717">
      <c r="A717" s="13" t="s">
        <v>1549</v>
      </c>
      <c r="B717" s="13" t="s">
        <v>257</v>
      </c>
      <c r="C717" s="14">
        <v>67.0</v>
      </c>
      <c r="D717" s="13" t="s">
        <v>85</v>
      </c>
      <c r="E717" s="13" t="s">
        <v>292</v>
      </c>
      <c r="F717" s="13" t="s">
        <v>62</v>
      </c>
      <c r="G717" s="13" t="s">
        <v>128</v>
      </c>
      <c r="H717" s="16">
        <v>44887.0</v>
      </c>
      <c r="I717" s="14">
        <v>15.0</v>
      </c>
      <c r="J717" s="13" t="s">
        <v>40</v>
      </c>
      <c r="K717" s="13" t="s">
        <v>81</v>
      </c>
      <c r="L717" s="14">
        <v>553.0</v>
      </c>
      <c r="M717" s="18" t="s">
        <v>98</v>
      </c>
      <c r="N717" s="18" t="s">
        <v>98</v>
      </c>
      <c r="O717" s="18">
        <v>18.2</v>
      </c>
      <c r="P717" s="18" t="s">
        <v>285</v>
      </c>
      <c r="Q717" s="16">
        <v>45244.0</v>
      </c>
      <c r="R717" s="16" t="s">
        <v>38</v>
      </c>
      <c r="S717" s="13" t="s">
        <v>55</v>
      </c>
      <c r="T717" s="13" t="s">
        <v>47</v>
      </c>
      <c r="U717" s="13">
        <f t="shared" si="1"/>
        <v>1</v>
      </c>
      <c r="V717" s="13" t="str">
        <f t="shared" si="2"/>
        <v>C00713|Sneha Reddy|67|West|Mumbai|Basic|Youtube|11/22/2022|15|Monthly|Debit Card|553|1|1|18.20|2.3|11/14/2023||Active|Cloud Storage</v>
      </c>
      <c r="W717" s="13">
        <f t="shared" si="3"/>
        <v>1</v>
      </c>
      <c r="X717" s="13">
        <f>IFERROR(__xludf.DUMMYFUNCTION("COUNTUNIQUE(FILTER($B$2:$B$1826,$A$2:$A$1826=A717))"),1.0)</f>
        <v>1</v>
      </c>
    </row>
    <row r="718">
      <c r="A718" s="13" t="s">
        <v>1316</v>
      </c>
      <c r="B718" s="13" t="s">
        <v>257</v>
      </c>
      <c r="C718" s="14">
        <v>57.0</v>
      </c>
      <c r="D718" s="13" t="s">
        <v>69</v>
      </c>
      <c r="E718" s="13" t="s">
        <v>119</v>
      </c>
      <c r="F718" s="13" t="s">
        <v>37</v>
      </c>
      <c r="G718" s="13" t="s">
        <v>120</v>
      </c>
      <c r="H718" s="16">
        <v>44693.0</v>
      </c>
      <c r="I718" s="14">
        <v>4.0</v>
      </c>
      <c r="J718" s="13" t="s">
        <v>64</v>
      </c>
      <c r="K718" s="13" t="s">
        <v>41</v>
      </c>
      <c r="L718" s="14">
        <v>1037.0</v>
      </c>
      <c r="M718" s="18" t="s">
        <v>43</v>
      </c>
      <c r="N718" s="18" t="s">
        <v>43</v>
      </c>
      <c r="O718" s="18">
        <v>31.9</v>
      </c>
      <c r="P718" s="18" t="s">
        <v>48</v>
      </c>
      <c r="Q718" s="16">
        <v>44721.0</v>
      </c>
      <c r="R718" s="16" t="s">
        <v>38</v>
      </c>
      <c r="S718" s="13" t="s">
        <v>55</v>
      </c>
      <c r="T718" s="13" t="s">
        <v>47</v>
      </c>
      <c r="U718" s="13">
        <f t="shared" si="1"/>
        <v>2</v>
      </c>
      <c r="V718" s="13" t="str">
        <f t="shared" si="2"/>
        <v>C00216|Sneha Reddy|57|South|Kochi|Standard|Email|5/12/2022|4|Annual|Upi|1,037|2|2|31.90|3.6|6/9/2022||Active|Cloud Storage</v>
      </c>
      <c r="W718" s="13">
        <f t="shared" si="3"/>
        <v>1</v>
      </c>
      <c r="X718" s="13">
        <f>IFERROR(__xludf.DUMMYFUNCTION("COUNTUNIQUE(FILTER($B$2:$B$1826,$A$2:$A$1826=A718))"),2.0)</f>
        <v>2</v>
      </c>
    </row>
    <row r="719">
      <c r="A719" s="13" t="s">
        <v>875</v>
      </c>
      <c r="B719" s="13" t="s">
        <v>362</v>
      </c>
      <c r="C719" s="14">
        <v>66.0</v>
      </c>
      <c r="D719" s="13" t="s">
        <v>35</v>
      </c>
      <c r="E719" s="13" t="s">
        <v>140</v>
      </c>
      <c r="F719" s="13" t="s">
        <v>62</v>
      </c>
      <c r="G719" s="13" t="s">
        <v>52</v>
      </c>
      <c r="H719" s="16">
        <v>45737.0</v>
      </c>
      <c r="I719" s="14">
        <v>36.0</v>
      </c>
      <c r="J719" s="13" t="s">
        <v>40</v>
      </c>
      <c r="K719" s="13" t="s">
        <v>65</v>
      </c>
      <c r="L719" s="14">
        <v>628.0</v>
      </c>
      <c r="M719" s="18" t="s">
        <v>46</v>
      </c>
      <c r="N719" s="18" t="s">
        <v>98</v>
      </c>
      <c r="O719" s="18">
        <v>11.3</v>
      </c>
      <c r="P719" s="18" t="s">
        <v>173</v>
      </c>
      <c r="Q719" s="16">
        <v>46332.0</v>
      </c>
      <c r="R719" s="16" t="s">
        <v>38</v>
      </c>
      <c r="S719" s="13" t="s">
        <v>55</v>
      </c>
      <c r="T719" s="13" t="s">
        <v>66</v>
      </c>
      <c r="U719" s="13">
        <f t="shared" si="1"/>
        <v>3</v>
      </c>
      <c r="V719" s="13" t="str">
        <f t="shared" si="2"/>
        <v>C00658|Neha Singh|66|North|Lucknow|Basic|Facebook|3/21/2025|36|Monthly|Credit Card|628|0|1|11.30|5|11/6/2026||Active|Automation</v>
      </c>
      <c r="W719" s="13">
        <f t="shared" si="3"/>
        <v>1</v>
      </c>
      <c r="X719" s="13">
        <f>IFERROR(__xludf.DUMMYFUNCTION("COUNTUNIQUE(FILTER($B$2:$B$1826,$A$2:$A$1826=A719))"),3.0)</f>
        <v>3</v>
      </c>
    </row>
    <row r="720">
      <c r="A720" s="13" t="s">
        <v>1199</v>
      </c>
      <c r="B720" s="13" t="s">
        <v>135</v>
      </c>
      <c r="C720" s="14">
        <v>40.0</v>
      </c>
      <c r="D720" s="13" t="s">
        <v>35</v>
      </c>
      <c r="E720" s="13" t="s">
        <v>36</v>
      </c>
      <c r="F720" s="13" t="s">
        <v>37</v>
      </c>
      <c r="G720" s="13" t="s">
        <v>52</v>
      </c>
      <c r="H720" s="16">
        <v>44759.0</v>
      </c>
      <c r="I720" s="14">
        <v>14.0</v>
      </c>
      <c r="J720" s="13" t="s">
        <v>40</v>
      </c>
      <c r="K720" s="13" t="s">
        <v>81</v>
      </c>
      <c r="L720" s="14">
        <v>1004.0</v>
      </c>
      <c r="M720" s="18" t="s">
        <v>164</v>
      </c>
      <c r="N720" s="18" t="s">
        <v>164</v>
      </c>
      <c r="O720" s="18">
        <v>25.0</v>
      </c>
      <c r="P720" s="18" t="s">
        <v>408</v>
      </c>
      <c r="Q720" s="16">
        <v>45165.0</v>
      </c>
      <c r="R720" s="16" t="s">
        <v>38</v>
      </c>
      <c r="S720" s="13" t="s">
        <v>55</v>
      </c>
      <c r="T720" s="13" t="s">
        <v>66</v>
      </c>
      <c r="U720" s="13">
        <f t="shared" si="1"/>
        <v>3</v>
      </c>
      <c r="V720" s="13" t="str">
        <f t="shared" si="2"/>
        <v>C00394|Karan Sharma|40|North|Delhi|Standard|Facebook|7/17/2022|14|Monthly|Debit Card|1,004|3|3|25.00|4.2|8/27/2023||Active|Automation</v>
      </c>
      <c r="W720" s="13">
        <f t="shared" si="3"/>
        <v>1</v>
      </c>
      <c r="X720" s="13">
        <f>IFERROR(__xludf.DUMMYFUNCTION("COUNTUNIQUE(FILTER($B$2:$B$1826,$A$2:$A$1826=A720))"),3.0)</f>
        <v>3</v>
      </c>
    </row>
    <row r="721">
      <c r="A721" s="13" t="s">
        <v>697</v>
      </c>
      <c r="B721" s="13" t="s">
        <v>734</v>
      </c>
      <c r="C721" s="14">
        <v>59.0</v>
      </c>
      <c r="D721" s="13" t="s">
        <v>69</v>
      </c>
      <c r="E721" s="13" t="s">
        <v>187</v>
      </c>
      <c r="F721" s="13" t="s">
        <v>62</v>
      </c>
      <c r="G721" s="13" t="s">
        <v>120</v>
      </c>
      <c r="H721" s="16">
        <v>45587.0</v>
      </c>
      <c r="I721" s="14">
        <v>23.0</v>
      </c>
      <c r="J721" s="13" t="s">
        <v>53</v>
      </c>
      <c r="K721" s="13" t="s">
        <v>41</v>
      </c>
      <c r="L721" s="14">
        <v>1140.0</v>
      </c>
      <c r="M721" s="18" t="s">
        <v>43</v>
      </c>
      <c r="N721" s="18" t="s">
        <v>46</v>
      </c>
      <c r="O721" s="18">
        <v>43.6</v>
      </c>
      <c r="P721" s="18" t="s">
        <v>130</v>
      </c>
      <c r="Q721" s="16">
        <v>45665.0</v>
      </c>
      <c r="R721" s="16" t="s">
        <v>38</v>
      </c>
      <c r="S721" s="13" t="s">
        <v>55</v>
      </c>
      <c r="T721" s="13" t="s">
        <v>66</v>
      </c>
      <c r="U721" s="13">
        <f t="shared" si="1"/>
        <v>2</v>
      </c>
      <c r="V721" s="13" t="str">
        <f t="shared" si="2"/>
        <v>C01017|Sneha Das|59|South|Chennai|Basic|Email|10/22/2024|23|Quarterly|Upi|1,140|2|0|43.60|3.9|1/8/2025||Active|Automation</v>
      </c>
      <c r="W721" s="13">
        <f t="shared" si="3"/>
        <v>1</v>
      </c>
      <c r="X721" s="13">
        <f>IFERROR(__xludf.DUMMYFUNCTION("COUNTUNIQUE(FILTER($B$2:$B$1826,$A$2:$A$1826=A721))"),2.0)</f>
        <v>2</v>
      </c>
    </row>
    <row r="722">
      <c r="A722" s="13" t="s">
        <v>879</v>
      </c>
      <c r="B722" s="13" t="s">
        <v>139</v>
      </c>
      <c r="C722" s="14">
        <v>64.0</v>
      </c>
      <c r="D722" s="13" t="s">
        <v>69</v>
      </c>
      <c r="E722" s="13" t="s">
        <v>177</v>
      </c>
      <c r="F722" s="13" t="s">
        <v>62</v>
      </c>
      <c r="G722" s="13" t="s">
        <v>120</v>
      </c>
      <c r="H722" s="16">
        <v>45034.0</v>
      </c>
      <c r="I722" s="14">
        <v>4.0</v>
      </c>
      <c r="J722" s="13" t="s">
        <v>53</v>
      </c>
      <c r="K722" s="13" t="s">
        <v>41</v>
      </c>
      <c r="L722" s="14">
        <v>668.0</v>
      </c>
      <c r="M722" s="18" t="s">
        <v>43</v>
      </c>
      <c r="N722" s="18" t="s">
        <v>46</v>
      </c>
      <c r="O722" s="18">
        <v>5.4</v>
      </c>
      <c r="P722" s="18" t="s">
        <v>248</v>
      </c>
      <c r="Q722" s="16">
        <v>45118.0</v>
      </c>
      <c r="R722" s="16" t="s">
        <v>38</v>
      </c>
      <c r="S722" s="13" t="s">
        <v>55</v>
      </c>
      <c r="T722" s="13" t="s">
        <v>47</v>
      </c>
      <c r="U722" s="13">
        <f t="shared" si="1"/>
        <v>2</v>
      </c>
      <c r="V722" s="13" t="str">
        <f t="shared" si="2"/>
        <v>C00161|Vikram Das|64|South|Hyderabad|Basic|Email|4/18/2023|4|Quarterly|Upi|668|2|0|5.40|2.6|7/11/2023||Active|Cloud Storage</v>
      </c>
      <c r="W722" s="13">
        <f t="shared" si="3"/>
        <v>1</v>
      </c>
      <c r="X722" s="13">
        <f>IFERROR(__xludf.DUMMYFUNCTION("COUNTUNIQUE(FILTER($B$2:$B$1826,$A$2:$A$1826=A722))"),2.0)</f>
        <v>2</v>
      </c>
    </row>
    <row r="723">
      <c r="A723" s="13" t="s">
        <v>1129</v>
      </c>
      <c r="B723" s="13" t="s">
        <v>351</v>
      </c>
      <c r="C723" s="14">
        <v>35.0</v>
      </c>
      <c r="D723" s="13" t="s">
        <v>35</v>
      </c>
      <c r="E723" s="13" t="s">
        <v>51</v>
      </c>
      <c r="F723" s="13" t="s">
        <v>62</v>
      </c>
      <c r="G723" s="13" t="s">
        <v>80</v>
      </c>
      <c r="H723" s="16">
        <v>45586.0</v>
      </c>
      <c r="I723" s="14">
        <v>20.0</v>
      </c>
      <c r="J723" s="13" t="s">
        <v>64</v>
      </c>
      <c r="K723" s="13" t="s">
        <v>41</v>
      </c>
      <c r="L723" s="14">
        <v>3427.0</v>
      </c>
      <c r="M723" s="18" t="s">
        <v>164</v>
      </c>
      <c r="N723" s="18" t="s">
        <v>43</v>
      </c>
      <c r="O723" s="18">
        <v>27.4</v>
      </c>
      <c r="P723" s="18" t="s">
        <v>876</v>
      </c>
      <c r="Q723" s="16">
        <v>45709.0</v>
      </c>
      <c r="R723" s="16" t="s">
        <v>38</v>
      </c>
      <c r="S723" s="13" t="s">
        <v>55</v>
      </c>
      <c r="T723" s="13" t="s">
        <v>104</v>
      </c>
      <c r="U723" s="13">
        <f t="shared" si="1"/>
        <v>3</v>
      </c>
      <c r="V723" s="13" t="str">
        <f t="shared" si="2"/>
        <v>C00590|Meera Nair|35|North|Jaipur|Basic|Organic Search|10/21/2024|20|Annual|Upi|3,427|3|2|27.40|1.8|2/21/2025||Active|Analytics</v>
      </c>
      <c r="W723" s="13">
        <f t="shared" si="3"/>
        <v>1</v>
      </c>
      <c r="X723" s="13">
        <f>IFERROR(__xludf.DUMMYFUNCTION("COUNTUNIQUE(FILTER($B$2:$B$1826,$A$2:$A$1826=A723))"),3.0)</f>
        <v>3</v>
      </c>
    </row>
    <row r="724">
      <c r="A724" s="13" t="s">
        <v>113</v>
      </c>
      <c r="B724" s="13" t="s">
        <v>316</v>
      </c>
      <c r="C724" s="14">
        <v>23.0</v>
      </c>
      <c r="D724" s="13" t="s">
        <v>85</v>
      </c>
      <c r="E724" s="13" t="s">
        <v>92</v>
      </c>
      <c r="F724" s="13" t="s">
        <v>62</v>
      </c>
      <c r="G724" s="13" t="s">
        <v>128</v>
      </c>
      <c r="H724" s="16">
        <v>44683.0</v>
      </c>
      <c r="I724" s="14">
        <v>9.0</v>
      </c>
      <c r="J724" s="13" t="s">
        <v>64</v>
      </c>
      <c r="K724" s="13" t="s">
        <v>81</v>
      </c>
      <c r="L724" s="14">
        <v>874.0</v>
      </c>
      <c r="M724" s="18" t="s">
        <v>43</v>
      </c>
      <c r="N724" s="18" t="s">
        <v>98</v>
      </c>
      <c r="O724" s="18">
        <v>14.3</v>
      </c>
      <c r="P724" s="18" t="s">
        <v>130</v>
      </c>
      <c r="Q724" s="16">
        <v>44724.0</v>
      </c>
      <c r="R724" s="16" t="s">
        <v>38</v>
      </c>
      <c r="S724" s="13" t="s">
        <v>55</v>
      </c>
      <c r="T724" s="13" t="s">
        <v>104</v>
      </c>
      <c r="U724" s="13">
        <f t="shared" si="1"/>
        <v>3</v>
      </c>
      <c r="V724" s="13" t="str">
        <f t="shared" si="2"/>
        <v>C00693|Neha Nair|23|West|Ahmedabad|Basic|Youtube|5/2/2022|9|Annual|Debit Card|874|2|1|14.30|3.9|6/12/2022||Active|Analytics</v>
      </c>
      <c r="W724" s="13">
        <f t="shared" si="3"/>
        <v>1</v>
      </c>
      <c r="X724" s="13">
        <f>IFERROR(__xludf.DUMMYFUNCTION("COUNTUNIQUE(FILTER($B$2:$B$1826,$A$2:$A$1826=A724))"),3.0)</f>
        <v>3</v>
      </c>
    </row>
    <row r="725">
      <c r="A725" s="13" t="s">
        <v>1318</v>
      </c>
      <c r="B725" s="13" t="s">
        <v>303</v>
      </c>
      <c r="C725" s="14">
        <v>50.0</v>
      </c>
      <c r="D725" s="13" t="s">
        <v>35</v>
      </c>
      <c r="E725" s="13" t="s">
        <v>140</v>
      </c>
      <c r="F725" s="13" t="s">
        <v>37</v>
      </c>
      <c r="G725" s="13" t="s">
        <v>80</v>
      </c>
      <c r="H725" s="16">
        <v>44727.0</v>
      </c>
      <c r="I725" s="14">
        <v>36.0</v>
      </c>
      <c r="J725" s="13" t="s">
        <v>64</v>
      </c>
      <c r="K725" s="13" t="s">
        <v>41</v>
      </c>
      <c r="L725" s="14">
        <v>1276.0</v>
      </c>
      <c r="M725" s="18" t="s">
        <v>98</v>
      </c>
      <c r="N725" s="18" t="s">
        <v>98</v>
      </c>
      <c r="O725" s="18">
        <v>26.9</v>
      </c>
      <c r="P725" s="18" t="s">
        <v>400</v>
      </c>
      <c r="Q725" s="16">
        <v>44822.0</v>
      </c>
      <c r="R725" s="16" t="s">
        <v>38</v>
      </c>
      <c r="S725" s="13" t="s">
        <v>230</v>
      </c>
      <c r="T725" s="13" t="s">
        <v>72</v>
      </c>
      <c r="U725" s="13">
        <f t="shared" si="1"/>
        <v>1</v>
      </c>
      <c r="V725" s="13" t="str">
        <f t="shared" si="2"/>
        <v>C00709|Priya Kumar|50|North|Lucknow|Standard|Organic Search|6/15/2022|36|Annual|Upi|1,276|1|1|26.90|4.8|9/18/2022||Yes|Collaboration</v>
      </c>
      <c r="W725" s="13">
        <f t="shared" si="3"/>
        <v>1</v>
      </c>
      <c r="X725" s="13">
        <f>IFERROR(__xludf.DUMMYFUNCTION("COUNTUNIQUE(FILTER($B$2:$B$1826,$A$2:$A$1826=A725))"),1.0)</f>
        <v>1</v>
      </c>
    </row>
    <row r="726">
      <c r="A726" s="13" t="s">
        <v>1319</v>
      </c>
      <c r="B726" s="13" t="s">
        <v>345</v>
      </c>
      <c r="C726" s="14">
        <v>22.0</v>
      </c>
      <c r="D726" s="13" t="s">
        <v>85</v>
      </c>
      <c r="E726" s="13" t="s">
        <v>92</v>
      </c>
      <c r="F726" s="13" t="s">
        <v>37</v>
      </c>
      <c r="G726" s="13" t="s">
        <v>39</v>
      </c>
      <c r="H726" s="16">
        <v>44605.0</v>
      </c>
      <c r="I726" s="14">
        <v>4.0</v>
      </c>
      <c r="J726" s="13" t="s">
        <v>53</v>
      </c>
      <c r="K726" s="13" t="s">
        <v>65</v>
      </c>
      <c r="L726" s="14">
        <v>1199.0</v>
      </c>
      <c r="M726" s="18" t="s">
        <v>43</v>
      </c>
      <c r="N726" s="18" t="s">
        <v>46</v>
      </c>
      <c r="O726" s="18">
        <v>23.5</v>
      </c>
      <c r="P726" s="18" t="s">
        <v>449</v>
      </c>
      <c r="Q726" s="16">
        <v>44712.0</v>
      </c>
      <c r="R726" s="16" t="s">
        <v>38</v>
      </c>
      <c r="S726" s="13" t="s">
        <v>55</v>
      </c>
      <c r="T726" s="13" t="s">
        <v>47</v>
      </c>
      <c r="U726" s="13">
        <f t="shared" si="1"/>
        <v>1</v>
      </c>
      <c r="V726" s="13" t="str">
        <f t="shared" si="2"/>
        <v>C00884|Arun Nair|22|West|Ahmedabad|Standard|Instagram|2/13/2022|4|Quarterly|Credit Card|1,199|2|0|23.50|2.7|5/31/2022||Active|Cloud Storage</v>
      </c>
      <c r="W726" s="13">
        <f t="shared" si="3"/>
        <v>1</v>
      </c>
      <c r="X726" s="13">
        <f>IFERROR(__xludf.DUMMYFUNCTION("COUNTUNIQUE(FILTER($B$2:$B$1826,$A$2:$A$1826=A726))"),1.0)</f>
        <v>1</v>
      </c>
    </row>
    <row r="727">
      <c r="A727" s="13" t="s">
        <v>1320</v>
      </c>
      <c r="B727" s="13" t="s">
        <v>362</v>
      </c>
      <c r="C727" s="14">
        <v>24.0</v>
      </c>
      <c r="D727" s="13" t="s">
        <v>85</v>
      </c>
      <c r="E727" s="13" t="s">
        <v>111</v>
      </c>
      <c r="F727" s="13" t="s">
        <v>62</v>
      </c>
      <c r="G727" s="13" t="s">
        <v>63</v>
      </c>
      <c r="H727" s="16">
        <v>45822.0</v>
      </c>
      <c r="I727" s="14">
        <v>24.0</v>
      </c>
      <c r="J727" s="13" t="s">
        <v>64</v>
      </c>
      <c r="K727" s="13" t="s">
        <v>41</v>
      </c>
      <c r="L727" s="14">
        <v>674.0</v>
      </c>
      <c r="M727" s="18" t="s">
        <v>43</v>
      </c>
      <c r="N727" s="18" t="s">
        <v>46</v>
      </c>
      <c r="O727" s="18">
        <v>12.0</v>
      </c>
      <c r="P727" s="18" t="s">
        <v>310</v>
      </c>
      <c r="Q727" s="16">
        <v>45891.0</v>
      </c>
      <c r="R727" s="16" t="s">
        <v>38</v>
      </c>
      <c r="S727" s="13" t="s">
        <v>55</v>
      </c>
      <c r="T727" s="13" t="s">
        <v>47</v>
      </c>
      <c r="U727" s="13">
        <f t="shared" si="1"/>
        <v>3</v>
      </c>
      <c r="V727" s="13" t="str">
        <f t="shared" si="2"/>
        <v>C00881|Neha Singh|24|West|Pune|Basic|Google Ads|6/14/2025|24|Annual|Upi|674|2|0|12.00|3.1|8/22/2025||Active|Cloud Storage</v>
      </c>
      <c r="W727" s="13">
        <f t="shared" si="3"/>
        <v>1</v>
      </c>
      <c r="X727" s="13">
        <f>IFERROR(__xludf.DUMMYFUNCTION("COUNTUNIQUE(FILTER($B$2:$B$1826,$A$2:$A$1826=A727))"),3.0)</f>
        <v>3</v>
      </c>
    </row>
    <row r="728">
      <c r="A728" s="13" t="s">
        <v>1321</v>
      </c>
      <c r="B728" s="13" t="s">
        <v>281</v>
      </c>
      <c r="C728" s="14">
        <v>57.0</v>
      </c>
      <c r="D728" s="13" t="s">
        <v>35</v>
      </c>
      <c r="E728" s="13" t="s">
        <v>36</v>
      </c>
      <c r="F728" s="13" t="s">
        <v>79</v>
      </c>
      <c r="G728" s="13" t="s">
        <v>39</v>
      </c>
      <c r="H728" s="16">
        <v>44678.0</v>
      </c>
      <c r="I728" s="14">
        <v>5.0</v>
      </c>
      <c r="J728" s="13" t="s">
        <v>64</v>
      </c>
      <c r="K728" s="13" t="s">
        <v>41</v>
      </c>
      <c r="L728" s="14">
        <v>2577.0</v>
      </c>
      <c r="M728" s="18" t="s">
        <v>164</v>
      </c>
      <c r="N728" s="18" t="s">
        <v>46</v>
      </c>
      <c r="O728" s="18">
        <v>40.3</v>
      </c>
      <c r="P728" s="18" t="s">
        <v>46</v>
      </c>
      <c r="Q728" s="16">
        <v>44699.0</v>
      </c>
      <c r="R728" s="16" t="s">
        <v>38</v>
      </c>
      <c r="S728" s="13" t="s">
        <v>55</v>
      </c>
      <c r="T728" s="13" t="s">
        <v>72</v>
      </c>
      <c r="U728" s="13">
        <f t="shared" si="1"/>
        <v>1</v>
      </c>
      <c r="V728" s="13" t="str">
        <f t="shared" si="2"/>
        <v>C00846|Anita Reddy|57|North|Delhi|Premium|Instagram|4/27/2022|5|Annual|Upi|2,577|3|0|40.30|0|5/18/2022||Active|Collaboration</v>
      </c>
      <c r="W728" s="13">
        <f t="shared" si="3"/>
        <v>1</v>
      </c>
      <c r="X728" s="13">
        <f>IFERROR(__xludf.DUMMYFUNCTION("COUNTUNIQUE(FILTER($B$2:$B$1826,$A$2:$A$1826=A728))"),1.0)</f>
        <v>1</v>
      </c>
    </row>
    <row r="729">
      <c r="A729" s="13" t="s">
        <v>1232</v>
      </c>
      <c r="B729" s="13" t="s">
        <v>316</v>
      </c>
      <c r="C729" s="14">
        <v>64.0</v>
      </c>
      <c r="D729" s="13" t="s">
        <v>85</v>
      </c>
      <c r="E729" s="13" t="s">
        <v>87</v>
      </c>
      <c r="F729" s="13" t="s">
        <v>37</v>
      </c>
      <c r="G729" s="13" t="s">
        <v>52</v>
      </c>
      <c r="H729" s="16">
        <v>44719.0</v>
      </c>
      <c r="I729" s="14">
        <v>5.0</v>
      </c>
      <c r="J729" s="13" t="s">
        <v>53</v>
      </c>
      <c r="K729" s="13" t="s">
        <v>65</v>
      </c>
      <c r="L729" s="14">
        <v>1209.0</v>
      </c>
      <c r="M729" s="18" t="s">
        <v>173</v>
      </c>
      <c r="N729" s="18" t="s">
        <v>46</v>
      </c>
      <c r="O729" s="18">
        <v>28.4</v>
      </c>
      <c r="P729" s="18" t="s">
        <v>143</v>
      </c>
      <c r="Q729" s="16">
        <v>44820.0</v>
      </c>
      <c r="R729" s="16" t="s">
        <v>38</v>
      </c>
      <c r="S729" s="13" t="s">
        <v>55</v>
      </c>
      <c r="T729" s="13" t="s">
        <v>66</v>
      </c>
      <c r="U729" s="13">
        <f t="shared" si="1"/>
        <v>3</v>
      </c>
      <c r="V729" s="13" t="str">
        <f t="shared" si="2"/>
        <v>C00266|Neha Nair|64|West|Surat|Standard|Facebook|6/7/2022|5|Quarterly|Credit Card|1,209|5|0|28.40|2.1|9/16/2022||Active|Automation</v>
      </c>
      <c r="W729" s="13">
        <f t="shared" si="3"/>
        <v>1</v>
      </c>
      <c r="X729" s="13">
        <f>IFERROR(__xludf.DUMMYFUNCTION("COUNTUNIQUE(FILTER($B$2:$B$1826,$A$2:$A$1826=A729))"),3.0)</f>
        <v>3</v>
      </c>
    </row>
    <row r="730">
      <c r="A730" s="13" t="s">
        <v>1322</v>
      </c>
      <c r="B730" s="13" t="s">
        <v>241</v>
      </c>
      <c r="C730" s="14">
        <v>24.0</v>
      </c>
      <c r="D730" s="13" t="s">
        <v>69</v>
      </c>
      <c r="E730" s="13" t="s">
        <v>177</v>
      </c>
      <c r="F730" s="13" t="s">
        <v>62</v>
      </c>
      <c r="G730" s="13" t="s">
        <v>80</v>
      </c>
      <c r="H730" s="16">
        <v>45593.0</v>
      </c>
      <c r="I730" s="14">
        <v>7.0</v>
      </c>
      <c r="J730" s="13" t="s">
        <v>40</v>
      </c>
      <c r="K730" s="13" t="s">
        <v>41</v>
      </c>
      <c r="L730" s="14">
        <v>709.0</v>
      </c>
      <c r="M730" s="18" t="s">
        <v>164</v>
      </c>
      <c r="N730" s="18" t="s">
        <v>46</v>
      </c>
      <c r="O730" s="18">
        <v>4.2</v>
      </c>
      <c r="P730" s="18" t="s">
        <v>263</v>
      </c>
      <c r="Q730" s="16">
        <v>45762.0</v>
      </c>
      <c r="R730" s="16" t="s">
        <v>38</v>
      </c>
      <c r="S730" s="13" t="s">
        <v>55</v>
      </c>
      <c r="T730" s="13" t="s">
        <v>66</v>
      </c>
      <c r="U730" s="13">
        <f t="shared" si="1"/>
        <v>2</v>
      </c>
      <c r="V730" s="13" t="str">
        <f t="shared" si="2"/>
        <v>C00600|Sneha Iyer|24|South|Hyderabad|Basic|Organic Search|10/28/2024|7|Monthly|Upi|709|3|0|4.20|2.9|4/15/2025||Active|Automation</v>
      </c>
      <c r="W730" s="13">
        <f t="shared" si="3"/>
        <v>1</v>
      </c>
      <c r="X730" s="13">
        <f>IFERROR(__xludf.DUMMYFUNCTION("COUNTUNIQUE(FILTER($B$2:$B$1826,$A$2:$A$1826=A730))"),2.0)</f>
        <v>2</v>
      </c>
    </row>
    <row r="731">
      <c r="A731" s="13" t="s">
        <v>1323</v>
      </c>
      <c r="B731" s="13" t="s">
        <v>303</v>
      </c>
      <c r="C731" s="14">
        <v>50.0</v>
      </c>
      <c r="D731" s="13" t="s">
        <v>60</v>
      </c>
      <c r="E731" s="13" t="s">
        <v>97</v>
      </c>
      <c r="F731" s="13" t="s">
        <v>62</v>
      </c>
      <c r="G731" s="13" t="s">
        <v>52</v>
      </c>
      <c r="H731" s="16">
        <v>44852.0</v>
      </c>
      <c r="I731" s="14">
        <v>3.0</v>
      </c>
      <c r="J731" s="13" t="s">
        <v>40</v>
      </c>
      <c r="K731" s="13" t="s">
        <v>65</v>
      </c>
      <c r="L731" s="14">
        <v>856.0</v>
      </c>
      <c r="M731" s="18" t="s">
        <v>164</v>
      </c>
      <c r="N731" s="18" t="s">
        <v>43</v>
      </c>
      <c r="O731" s="18">
        <v>31.6</v>
      </c>
      <c r="P731" s="18" t="s">
        <v>89</v>
      </c>
      <c r="Q731" s="16">
        <v>44959.0</v>
      </c>
      <c r="R731" s="16" t="s">
        <v>1324</v>
      </c>
      <c r="S731" s="13" t="s">
        <v>45</v>
      </c>
      <c r="T731" s="13" t="s">
        <v>72</v>
      </c>
      <c r="U731" s="13">
        <f t="shared" si="1"/>
        <v>1</v>
      </c>
      <c r="V731" s="13" t="str">
        <f t="shared" si="2"/>
        <v>C00473|Priya Kumar|50|East|Bhubaneswar|Basic|Facebook|10/18/2022|3|Monthly|Credit Card|856|3|2|31.60|3.3|2/2/2023|14/01/2023|Churned|Collaboration</v>
      </c>
      <c r="W731" s="13">
        <f t="shared" si="3"/>
        <v>1</v>
      </c>
      <c r="X731" s="13">
        <f>IFERROR(__xludf.DUMMYFUNCTION("COUNTUNIQUE(FILTER($B$2:$B$1826,$A$2:$A$1826=A731))"),1.0)</f>
        <v>1</v>
      </c>
    </row>
    <row r="732">
      <c r="A732" s="13" t="s">
        <v>1058</v>
      </c>
      <c r="B732" s="13" t="s">
        <v>364</v>
      </c>
      <c r="C732" s="14">
        <v>33.0</v>
      </c>
      <c r="D732" s="13" t="s">
        <v>85</v>
      </c>
      <c r="E732" s="13" t="s">
        <v>92</v>
      </c>
      <c r="F732" s="13" t="s">
        <v>37</v>
      </c>
      <c r="G732" s="13" t="s">
        <v>63</v>
      </c>
      <c r="H732" s="16">
        <v>44684.0</v>
      </c>
      <c r="I732" s="14">
        <v>18.0</v>
      </c>
      <c r="J732" s="13" t="s">
        <v>40</v>
      </c>
      <c r="K732" s="13" t="s">
        <v>65</v>
      </c>
      <c r="L732" s="14">
        <v>1506.0</v>
      </c>
      <c r="M732" s="18" t="s">
        <v>98</v>
      </c>
      <c r="N732" s="18" t="s">
        <v>46</v>
      </c>
      <c r="O732" s="18">
        <v>31.4</v>
      </c>
      <c r="P732" s="18" t="s">
        <v>173</v>
      </c>
      <c r="Q732" s="16">
        <v>45085.0</v>
      </c>
      <c r="R732" s="16" t="s">
        <v>1325</v>
      </c>
      <c r="S732" s="13" t="s">
        <v>45</v>
      </c>
      <c r="T732" s="13" t="s">
        <v>47</v>
      </c>
      <c r="U732" s="13">
        <f t="shared" si="1"/>
        <v>3</v>
      </c>
      <c r="V732" s="13" t="str">
        <f t="shared" si="2"/>
        <v>C01205|Sneha Kumar|33|West|Ahmedabad|Standard|Google Ads|5/3/2022|18|Monthly|Credit Card|1,506|1|0|31.40|5|6/8/2023|30/06/2023|Churned|Cloud Storage</v>
      </c>
      <c r="W732" s="13">
        <f t="shared" si="3"/>
        <v>1</v>
      </c>
      <c r="X732" s="13">
        <f>IFERROR(__xludf.DUMMYFUNCTION("COUNTUNIQUE(FILTER($B$2:$B$1826,$A$2:$A$1826=A732))"),3.0)</f>
        <v>3</v>
      </c>
    </row>
    <row r="733">
      <c r="A733" s="13" t="s">
        <v>1326</v>
      </c>
      <c r="B733" s="13" t="s">
        <v>172</v>
      </c>
      <c r="C733" s="14">
        <v>67.0</v>
      </c>
      <c r="D733" s="13" t="s">
        <v>85</v>
      </c>
      <c r="E733" s="13" t="s">
        <v>292</v>
      </c>
      <c r="F733" s="13" t="s">
        <v>37</v>
      </c>
      <c r="G733" s="13" t="s">
        <v>63</v>
      </c>
      <c r="H733" s="16">
        <v>45671.0</v>
      </c>
      <c r="I733" s="14">
        <v>23.0</v>
      </c>
      <c r="J733" s="13" t="s">
        <v>40</v>
      </c>
      <c r="K733" s="13" t="s">
        <v>65</v>
      </c>
      <c r="L733" s="14">
        <v>1771.0</v>
      </c>
      <c r="M733" s="18" t="s">
        <v>164</v>
      </c>
      <c r="N733" s="18" t="s">
        <v>46</v>
      </c>
      <c r="O733" s="18">
        <v>35.5</v>
      </c>
      <c r="P733" s="18" t="s">
        <v>130</v>
      </c>
      <c r="Q733" s="16">
        <v>46025.0</v>
      </c>
      <c r="R733" s="16">
        <v>45880.0</v>
      </c>
      <c r="S733" s="13" t="s">
        <v>45</v>
      </c>
      <c r="T733" s="13" t="s">
        <v>66</v>
      </c>
      <c r="U733" s="13">
        <f t="shared" si="1"/>
        <v>1</v>
      </c>
      <c r="V733" s="13" t="str">
        <f t="shared" si="2"/>
        <v>C01352|Meera Singh|67|West|Mumbai|Standard|Google Ads|1/14/2025|23|Monthly|Credit Card|1,771|3|0|35.50|3.9|1/3/2026|8/11/2025|Churned|Automation</v>
      </c>
      <c r="W733" s="13">
        <f t="shared" si="3"/>
        <v>1</v>
      </c>
      <c r="X733" s="13">
        <f>IFERROR(__xludf.DUMMYFUNCTION("COUNTUNIQUE(FILTER($B$2:$B$1826,$A$2:$A$1826=A733))"),1.0)</f>
        <v>1</v>
      </c>
    </row>
    <row r="734">
      <c r="A734" s="13" t="s">
        <v>1175</v>
      </c>
      <c r="B734" s="13" t="s">
        <v>232</v>
      </c>
      <c r="C734" s="14">
        <v>29.0</v>
      </c>
      <c r="D734" s="13" t="s">
        <v>85</v>
      </c>
      <c r="E734" s="13" t="s">
        <v>292</v>
      </c>
      <c r="F734" s="13" t="s">
        <v>37</v>
      </c>
      <c r="G734" s="13" t="s">
        <v>80</v>
      </c>
      <c r="H734" s="16">
        <v>45356.0</v>
      </c>
      <c r="I734" s="14">
        <v>47.0</v>
      </c>
      <c r="J734" s="13" t="s">
        <v>53</v>
      </c>
      <c r="K734" s="13" t="s">
        <v>65</v>
      </c>
      <c r="L734" s="14">
        <v>1546.0</v>
      </c>
      <c r="M734" s="18" t="s">
        <v>98</v>
      </c>
      <c r="N734" s="18" t="s">
        <v>46</v>
      </c>
      <c r="O734" s="18">
        <v>12.3</v>
      </c>
      <c r="P734" s="18" t="s">
        <v>48</v>
      </c>
      <c r="Q734" s="16">
        <v>46234.0</v>
      </c>
      <c r="R734" s="16" t="s">
        <v>1328</v>
      </c>
      <c r="S734" s="13" t="s">
        <v>45</v>
      </c>
      <c r="T734" s="13" t="s">
        <v>47</v>
      </c>
      <c r="U734" s="13">
        <f t="shared" si="1"/>
        <v>3</v>
      </c>
      <c r="V734" s="13" t="str">
        <f t="shared" si="2"/>
        <v>C00889|Meera Iyer|29|West|Mumbai|Standard|Organic Search|3/5/2024|47|Quarterly|Credit Card|1,546|1|0|12.30|3.6|7/31/2026|20/06/2027|Churned|Cloud Storage</v>
      </c>
      <c r="W734" s="13">
        <f t="shared" si="3"/>
        <v>1</v>
      </c>
      <c r="X734" s="13">
        <f>IFERROR(__xludf.DUMMYFUNCTION("COUNTUNIQUE(FILTER($B$2:$B$1826,$A$2:$A$1826=A734))"),3.0)</f>
        <v>3</v>
      </c>
    </row>
    <row r="735">
      <c r="A735" s="13" t="s">
        <v>677</v>
      </c>
      <c r="B735" s="13" t="s">
        <v>232</v>
      </c>
      <c r="C735" s="14">
        <v>42.0</v>
      </c>
      <c r="D735" s="13" t="s">
        <v>35</v>
      </c>
      <c r="E735" s="13" t="s">
        <v>161</v>
      </c>
      <c r="F735" s="13" t="s">
        <v>37</v>
      </c>
      <c r="G735" s="13" t="s">
        <v>210</v>
      </c>
      <c r="H735" s="16">
        <v>44737.0</v>
      </c>
      <c r="I735" s="14">
        <v>16.0</v>
      </c>
      <c r="J735" s="13" t="s">
        <v>53</v>
      </c>
      <c r="K735" s="13" t="s">
        <v>81</v>
      </c>
      <c r="L735" s="14">
        <v>1344.0</v>
      </c>
      <c r="M735" s="18" t="s">
        <v>46</v>
      </c>
      <c r="N735" s="18" t="s">
        <v>164</v>
      </c>
      <c r="O735" s="18">
        <v>26.0</v>
      </c>
      <c r="P735" s="18" t="s">
        <v>568</v>
      </c>
      <c r="Q735" s="16">
        <v>44949.0</v>
      </c>
      <c r="R735" s="16" t="s">
        <v>1329</v>
      </c>
      <c r="S735" s="13" t="s">
        <v>45</v>
      </c>
      <c r="T735" s="13" t="s">
        <v>72</v>
      </c>
      <c r="U735" s="13">
        <f t="shared" si="1"/>
        <v>5</v>
      </c>
      <c r="V735" s="13" t="str">
        <f t="shared" si="2"/>
        <v>C00271|Meera Iyer|42|North|Chandigarh|Standard|Referral|6/25/2022|16|Quarterly|Debit Card|1,344|0|3|26.00|2.2|1/23/2023|13/08/2022|Churned|Collaboration</v>
      </c>
      <c r="W735" s="13">
        <f t="shared" si="3"/>
        <v>1</v>
      </c>
      <c r="X735" s="13">
        <f>IFERROR(__xludf.DUMMYFUNCTION("COUNTUNIQUE(FILTER($B$2:$B$1826,$A$2:$A$1826=A735))"),5.0)</f>
        <v>5</v>
      </c>
    </row>
    <row r="736">
      <c r="A736" s="13" t="s">
        <v>1330</v>
      </c>
      <c r="B736" s="13" t="s">
        <v>364</v>
      </c>
      <c r="C736" s="14">
        <v>41.0</v>
      </c>
      <c r="D736" s="13" t="s">
        <v>35</v>
      </c>
      <c r="E736" s="13" t="s">
        <v>36</v>
      </c>
      <c r="F736" s="13" t="s">
        <v>62</v>
      </c>
      <c r="G736" s="13" t="s">
        <v>52</v>
      </c>
      <c r="H736" s="16">
        <v>45219.0</v>
      </c>
      <c r="I736" s="14">
        <v>17.0</v>
      </c>
      <c r="J736" s="13" t="s">
        <v>53</v>
      </c>
      <c r="K736" s="13" t="s">
        <v>81</v>
      </c>
      <c r="L736" s="14">
        <v>726.0</v>
      </c>
      <c r="M736" s="18" t="s">
        <v>98</v>
      </c>
      <c r="N736" s="18" t="s">
        <v>43</v>
      </c>
      <c r="O736" s="18">
        <v>23.2</v>
      </c>
      <c r="P736" s="18" t="s">
        <v>408</v>
      </c>
      <c r="Q736" s="16">
        <v>45679.0</v>
      </c>
      <c r="R736" s="16" t="s">
        <v>1331</v>
      </c>
      <c r="S736" s="13" t="s">
        <v>45</v>
      </c>
      <c r="T736" s="13" t="s">
        <v>66</v>
      </c>
      <c r="U736" s="13">
        <f t="shared" si="1"/>
        <v>2</v>
      </c>
      <c r="V736" s="13" t="str">
        <f t="shared" si="2"/>
        <v>C01338|Sneha Kumar|41|North|Delhi|Basic|Facebook|10/20/2023|17|Quarterly|Debit Card|726|1|2|23.20|4.2|1/22/2025|23/11/2023|Churned|Automation</v>
      </c>
      <c r="W736" s="13">
        <f t="shared" si="3"/>
        <v>1</v>
      </c>
      <c r="X736" s="13">
        <f>IFERROR(__xludf.DUMMYFUNCTION("COUNTUNIQUE(FILTER($B$2:$B$1826,$A$2:$A$1826=A736))"),2.0)</f>
        <v>2</v>
      </c>
    </row>
    <row r="737">
      <c r="A737" s="13" t="s">
        <v>1332</v>
      </c>
      <c r="B737" s="13" t="s">
        <v>420</v>
      </c>
      <c r="C737" s="14">
        <v>50.0</v>
      </c>
      <c r="D737" s="13" t="s">
        <v>85</v>
      </c>
      <c r="E737" s="13" t="s">
        <v>292</v>
      </c>
      <c r="F737" s="13" t="s">
        <v>37</v>
      </c>
      <c r="G737" s="13" t="s">
        <v>63</v>
      </c>
      <c r="H737" s="16">
        <v>45128.0</v>
      </c>
      <c r="I737" s="14">
        <v>40.0</v>
      </c>
      <c r="J737" s="13" t="s">
        <v>40</v>
      </c>
      <c r="K737" s="13" t="s">
        <v>41</v>
      </c>
      <c r="L737" s="14">
        <v>1450.0</v>
      </c>
      <c r="M737" s="18" t="s">
        <v>98</v>
      </c>
      <c r="N737" s="18" t="s">
        <v>98</v>
      </c>
      <c r="O737" s="18">
        <v>23.2</v>
      </c>
      <c r="P737" s="18" t="s">
        <v>173</v>
      </c>
      <c r="Q737" s="16">
        <v>45666.0</v>
      </c>
      <c r="R737" s="16" t="s">
        <v>38</v>
      </c>
      <c r="S737" s="13" t="s">
        <v>55</v>
      </c>
      <c r="T737" s="13" t="s">
        <v>47</v>
      </c>
      <c r="U737" s="13">
        <f t="shared" si="1"/>
        <v>2</v>
      </c>
      <c r="V737" s="13" t="str">
        <f t="shared" si="2"/>
        <v>C00447|Vikram Iyer|50|West|Mumbai|Standard|Google Ads|7/21/2023|40|Monthly|Upi|1,450|1|1|23.20|5|1/9/2025||Active|Cloud Storage</v>
      </c>
      <c r="W737" s="13">
        <f t="shared" si="3"/>
        <v>1</v>
      </c>
      <c r="X737" s="13">
        <f>IFERROR(__xludf.DUMMYFUNCTION("COUNTUNIQUE(FILTER($B$2:$B$1826,$A$2:$A$1826=A737))"),2.0)</f>
        <v>2</v>
      </c>
    </row>
    <row r="738">
      <c r="A738" s="13" t="s">
        <v>1227</v>
      </c>
      <c r="B738" s="13" t="s">
        <v>395</v>
      </c>
      <c r="C738" s="14">
        <v>22.0</v>
      </c>
      <c r="D738" s="13" t="s">
        <v>35</v>
      </c>
      <c r="E738" s="13" t="s">
        <v>51</v>
      </c>
      <c r="F738" s="13" t="s">
        <v>37</v>
      </c>
      <c r="G738" s="13" t="s">
        <v>63</v>
      </c>
      <c r="H738" s="16">
        <v>44939.0</v>
      </c>
      <c r="I738" s="14">
        <v>44.0</v>
      </c>
      <c r="J738" s="13" t="s">
        <v>64</v>
      </c>
      <c r="K738" s="13" t="s">
        <v>65</v>
      </c>
      <c r="L738" s="14">
        <v>724.0</v>
      </c>
      <c r="M738" s="18" t="s">
        <v>98</v>
      </c>
      <c r="N738" s="18" t="s">
        <v>43</v>
      </c>
      <c r="O738" s="18">
        <v>4.1</v>
      </c>
      <c r="P738" s="18" t="s">
        <v>185</v>
      </c>
      <c r="Q738" s="16">
        <v>45034.0</v>
      </c>
      <c r="R738" s="16" t="s">
        <v>38</v>
      </c>
      <c r="S738" s="13" t="s">
        <v>55</v>
      </c>
      <c r="T738" s="13" t="s">
        <v>72</v>
      </c>
      <c r="U738" s="13">
        <f t="shared" si="1"/>
        <v>2</v>
      </c>
      <c r="V738" s="13" t="str">
        <f t="shared" si="2"/>
        <v>C00301|Ravi Singh|22|North|Jaipur|Standard|Google Ads|1/13/2023|44|Annual|Credit Card|724|1|2|4.10|3.2|4/18/2023||Active|Collaboration</v>
      </c>
      <c r="W738" s="13">
        <f t="shared" si="3"/>
        <v>1</v>
      </c>
      <c r="X738" s="13">
        <f>IFERROR(__xludf.DUMMYFUNCTION("COUNTUNIQUE(FILTER($B$2:$B$1826,$A$2:$A$1826=A738))"),2.0)</f>
        <v>2</v>
      </c>
    </row>
    <row r="739">
      <c r="A739" s="13" t="s">
        <v>375</v>
      </c>
      <c r="B739" s="13" t="s">
        <v>636</v>
      </c>
      <c r="C739" s="14">
        <v>55.0</v>
      </c>
      <c r="D739" s="13" t="s">
        <v>60</v>
      </c>
      <c r="E739" s="13" t="s">
        <v>61</v>
      </c>
      <c r="F739" s="13" t="s">
        <v>37</v>
      </c>
      <c r="G739" s="13" t="s">
        <v>210</v>
      </c>
      <c r="H739" s="16">
        <v>44785.0</v>
      </c>
      <c r="I739" s="14">
        <v>5.0</v>
      </c>
      <c r="J739" s="13" t="s">
        <v>53</v>
      </c>
      <c r="K739" s="13" t="s">
        <v>81</v>
      </c>
      <c r="L739" s="14">
        <v>1522.0</v>
      </c>
      <c r="M739" s="18" t="s">
        <v>98</v>
      </c>
      <c r="N739" s="18" t="s">
        <v>164</v>
      </c>
      <c r="O739" s="18">
        <v>28.6</v>
      </c>
      <c r="P739" s="18" t="s">
        <v>296</v>
      </c>
      <c r="Q739" s="16">
        <v>44855.0</v>
      </c>
      <c r="R739" s="16" t="s">
        <v>38</v>
      </c>
      <c r="S739" s="13" t="s">
        <v>55</v>
      </c>
      <c r="T739" s="13" t="s">
        <v>75</v>
      </c>
      <c r="U739" s="13">
        <f t="shared" si="1"/>
        <v>2</v>
      </c>
      <c r="V739" s="13" t="str">
        <f t="shared" si="2"/>
        <v>C00034|Neha Reddy|55|East|Kolkata|Standard|Referral|8/12/2022|5|Quarterly|Debit Card|1,522|1|3|28.60|4.6|10/21/2022||Active|Security</v>
      </c>
      <c r="W739" s="13">
        <f t="shared" si="3"/>
        <v>1</v>
      </c>
      <c r="X739" s="13">
        <f>IFERROR(__xludf.DUMMYFUNCTION("COUNTUNIQUE(FILTER($B$2:$B$1826,$A$2:$A$1826=A739))"),2.0)</f>
        <v>2</v>
      </c>
    </row>
    <row r="740">
      <c r="A740" s="13" t="s">
        <v>1333</v>
      </c>
      <c r="B740" s="13" t="s">
        <v>152</v>
      </c>
      <c r="C740" s="14">
        <v>29.0</v>
      </c>
      <c r="D740" s="13" t="s">
        <v>85</v>
      </c>
      <c r="E740" s="13" t="s">
        <v>38</v>
      </c>
      <c r="F740" s="13" t="s">
        <v>62</v>
      </c>
      <c r="G740" s="13" t="s">
        <v>210</v>
      </c>
      <c r="H740" s="16">
        <v>45805.0</v>
      </c>
      <c r="I740" s="14">
        <v>24.0</v>
      </c>
      <c r="J740" s="13" t="s">
        <v>53</v>
      </c>
      <c r="K740" s="13" t="s">
        <v>41</v>
      </c>
      <c r="L740" s="14">
        <v>707.0</v>
      </c>
      <c r="M740" s="18" t="s">
        <v>99</v>
      </c>
      <c r="N740" s="18" t="s">
        <v>46</v>
      </c>
      <c r="O740" s="18">
        <v>14.8</v>
      </c>
      <c r="P740" s="18" t="s">
        <v>310</v>
      </c>
      <c r="Q740" s="16">
        <v>46296.0</v>
      </c>
      <c r="R740" s="16" t="s">
        <v>38</v>
      </c>
      <c r="S740" s="13" t="s">
        <v>55</v>
      </c>
      <c r="T740" s="13" t="s">
        <v>72</v>
      </c>
      <c r="U740" s="13">
        <f t="shared" si="1"/>
        <v>3</v>
      </c>
      <c r="V740" s="13" t="str">
        <f t="shared" si="2"/>
        <v>C00147|Vikram Kumar|29|West||Basic|Referral|5/28/2025|24|Quarterly|Upi|707|4|0|14.80|3.1|10/1/2026||Active|Collaboration</v>
      </c>
      <c r="W740" s="13">
        <f t="shared" si="3"/>
        <v>1</v>
      </c>
      <c r="X740" s="13">
        <f>IFERROR(__xludf.DUMMYFUNCTION("COUNTUNIQUE(FILTER($B$2:$B$1826,$A$2:$A$1826=A740))"),3.0)</f>
        <v>3</v>
      </c>
    </row>
    <row r="741">
      <c r="A741" s="13" t="s">
        <v>1334</v>
      </c>
      <c r="B741" s="13" t="s">
        <v>312</v>
      </c>
      <c r="C741" s="14">
        <v>43.0</v>
      </c>
      <c r="D741" s="13" t="s">
        <v>35</v>
      </c>
      <c r="E741" s="13" t="s">
        <v>36</v>
      </c>
      <c r="F741" s="13" t="s">
        <v>37</v>
      </c>
      <c r="G741" s="13" t="s">
        <v>128</v>
      </c>
      <c r="H741" s="16">
        <v>45203.0</v>
      </c>
      <c r="I741" s="14">
        <v>33.0</v>
      </c>
      <c r="J741" s="13" t="s">
        <v>64</v>
      </c>
      <c r="K741" s="13" t="s">
        <v>41</v>
      </c>
      <c r="L741" s="14">
        <v>1519.0</v>
      </c>
      <c r="M741" s="18" t="s">
        <v>164</v>
      </c>
      <c r="N741" s="18" t="s">
        <v>46</v>
      </c>
      <c r="O741" s="18">
        <v>20.8</v>
      </c>
      <c r="P741" s="18" t="s">
        <v>296</v>
      </c>
      <c r="Q741" s="16">
        <v>45808.0</v>
      </c>
      <c r="R741" s="16" t="s">
        <v>38</v>
      </c>
      <c r="S741" s="13" t="s">
        <v>55</v>
      </c>
      <c r="T741" s="13" t="s">
        <v>47</v>
      </c>
      <c r="U741" s="13">
        <f t="shared" si="1"/>
        <v>2</v>
      </c>
      <c r="V741" s="13" t="str">
        <f t="shared" si="2"/>
        <v>C00308|Anita Singh|43|North|Delhi|Standard|Youtube|10/4/2023|33|Annual|Upi|1,519|3|0|20.80|4.6|5/31/2025||Active|Cloud Storage</v>
      </c>
      <c r="W741" s="13">
        <f t="shared" si="3"/>
        <v>1</v>
      </c>
      <c r="X741" s="13">
        <f>IFERROR(__xludf.DUMMYFUNCTION("COUNTUNIQUE(FILTER($B$2:$B$1826,$A$2:$A$1826=A741))"),2.0)</f>
        <v>2</v>
      </c>
    </row>
    <row r="742">
      <c r="A742" s="13" t="s">
        <v>540</v>
      </c>
      <c r="B742" s="13" t="s">
        <v>303</v>
      </c>
      <c r="C742" s="14">
        <v>57.0</v>
      </c>
      <c r="D742" s="13" t="s">
        <v>35</v>
      </c>
      <c r="E742" s="13" t="s">
        <v>36</v>
      </c>
      <c r="F742" s="13" t="s">
        <v>79</v>
      </c>
      <c r="G742" s="13" t="s">
        <v>39</v>
      </c>
      <c r="H742" s="16">
        <v>45719.0</v>
      </c>
      <c r="I742" s="14">
        <v>33.0</v>
      </c>
      <c r="J742" s="13" t="s">
        <v>53</v>
      </c>
      <c r="K742" s="13" t="s">
        <v>81</v>
      </c>
      <c r="L742" s="14">
        <v>3502.0</v>
      </c>
      <c r="M742" s="18" t="s">
        <v>164</v>
      </c>
      <c r="N742" s="18" t="s">
        <v>43</v>
      </c>
      <c r="O742" s="18">
        <v>46.6</v>
      </c>
      <c r="P742" s="18" t="s">
        <v>150</v>
      </c>
      <c r="Q742" s="16">
        <v>46157.0</v>
      </c>
      <c r="R742" s="16">
        <v>46152.0</v>
      </c>
      <c r="S742" s="13" t="s">
        <v>45</v>
      </c>
      <c r="T742" s="13" t="s">
        <v>66</v>
      </c>
      <c r="U742" s="13">
        <f t="shared" si="1"/>
        <v>4</v>
      </c>
      <c r="V742" s="13" t="str">
        <f t="shared" si="2"/>
        <v>C00781|Priya Kumar|57|North|Delhi|Premium|Instagram|3/3/2025|33|Quarterly|Debit Card|3,502|3|2|46.60|4.5|5/15/2026|5/10/2026|Churned|Automation</v>
      </c>
      <c r="W742" s="13">
        <f t="shared" si="3"/>
        <v>1</v>
      </c>
      <c r="X742" s="13">
        <f>IFERROR(__xludf.DUMMYFUNCTION("COUNTUNIQUE(FILTER($B$2:$B$1826,$A$2:$A$1826=A742))"),3.0)</f>
        <v>3</v>
      </c>
    </row>
    <row r="743">
      <c r="A743" s="13" t="s">
        <v>535</v>
      </c>
      <c r="B743" s="13" t="s">
        <v>257</v>
      </c>
      <c r="C743" s="14">
        <v>66.0</v>
      </c>
      <c r="D743" s="13" t="s">
        <v>85</v>
      </c>
      <c r="E743" s="13" t="s">
        <v>92</v>
      </c>
      <c r="F743" s="13" t="s">
        <v>62</v>
      </c>
      <c r="G743" s="13" t="s">
        <v>128</v>
      </c>
      <c r="H743" s="16">
        <v>45740.0</v>
      </c>
      <c r="I743" s="14">
        <v>19.0</v>
      </c>
      <c r="J743" s="13" t="s">
        <v>40</v>
      </c>
      <c r="K743" s="13" t="s">
        <v>81</v>
      </c>
      <c r="L743" s="14">
        <v>667.0</v>
      </c>
      <c r="M743" s="18" t="s">
        <v>164</v>
      </c>
      <c r="N743" s="18" t="s">
        <v>46</v>
      </c>
      <c r="O743" s="18">
        <v>20.8</v>
      </c>
      <c r="P743" s="18" t="s">
        <v>263</v>
      </c>
      <c r="Q743" s="16">
        <v>46120.0</v>
      </c>
      <c r="R743" s="16" t="s">
        <v>1336</v>
      </c>
      <c r="S743" s="13" t="s">
        <v>45</v>
      </c>
      <c r="T743" s="13" t="s">
        <v>47</v>
      </c>
      <c r="U743" s="13">
        <f t="shared" si="1"/>
        <v>3</v>
      </c>
      <c r="V743" s="13" t="str">
        <f t="shared" si="2"/>
        <v>C01066|Sneha Reddy|66|West|Ahmedabad|Basic|Youtube|3/24/2025|19|Monthly|Debit Card|667|3|0|20.80|2.9|4/8/2026|15/12/2025|Churned|Cloud Storage</v>
      </c>
      <c r="W743" s="13">
        <f t="shared" si="3"/>
        <v>1</v>
      </c>
      <c r="X743" s="13">
        <f>IFERROR(__xludf.DUMMYFUNCTION("COUNTUNIQUE(FILTER($B$2:$B$1826,$A$2:$A$1826=A743))"),2.0)</f>
        <v>2</v>
      </c>
    </row>
    <row r="744">
      <c r="A744" s="13" t="s">
        <v>1337</v>
      </c>
      <c r="B744" s="13" t="s">
        <v>801</v>
      </c>
      <c r="C744" s="14">
        <v>55.0</v>
      </c>
      <c r="D744" s="13" t="s">
        <v>85</v>
      </c>
      <c r="E744" s="13" t="s">
        <v>92</v>
      </c>
      <c r="F744" s="13" t="s">
        <v>62</v>
      </c>
      <c r="G744" s="13" t="s">
        <v>80</v>
      </c>
      <c r="H744" s="16">
        <v>45597.0</v>
      </c>
      <c r="I744" s="14">
        <v>5.0</v>
      </c>
      <c r="J744" s="13" t="s">
        <v>40</v>
      </c>
      <c r="K744" s="13" t="s">
        <v>81</v>
      </c>
      <c r="L744" s="14">
        <v>833.0</v>
      </c>
      <c r="M744" s="18" t="s">
        <v>98</v>
      </c>
      <c r="N744" s="18" t="s">
        <v>98</v>
      </c>
      <c r="O744" s="18">
        <v>22.3</v>
      </c>
      <c r="P744" s="18" t="s">
        <v>150</v>
      </c>
      <c r="Q744" s="16">
        <v>45665.0</v>
      </c>
      <c r="R744" s="16" t="s">
        <v>1338</v>
      </c>
      <c r="S744" s="13" t="s">
        <v>45</v>
      </c>
      <c r="T744" s="13" t="s">
        <v>47</v>
      </c>
      <c r="U744" s="13">
        <f t="shared" si="1"/>
        <v>3</v>
      </c>
      <c r="V744" s="13" t="str">
        <f t="shared" si="2"/>
        <v>C00912|Karan Singh|55|West|Ahmedabad|Basic|Organic Search|11/1/2024|5|Monthly|Debit Card|833|1|1|22.30|4.5|1/8/2025|25/03/2025|Churned|Cloud Storage</v>
      </c>
      <c r="W744" s="13">
        <f t="shared" si="3"/>
        <v>1</v>
      </c>
      <c r="X744" s="13">
        <f>IFERROR(__xludf.DUMMYFUNCTION("COUNTUNIQUE(FILTER($B$2:$B$1826,$A$2:$A$1826=A744))"),3.0)</f>
        <v>3</v>
      </c>
    </row>
    <row r="745">
      <c r="A745" s="13" t="s">
        <v>1339</v>
      </c>
      <c r="B745" s="13" t="s">
        <v>383</v>
      </c>
      <c r="C745" s="14">
        <v>59.0</v>
      </c>
      <c r="D745" s="13" t="s">
        <v>85</v>
      </c>
      <c r="E745" s="13" t="s">
        <v>111</v>
      </c>
      <c r="F745" s="13" t="s">
        <v>37</v>
      </c>
      <c r="G745" s="13" t="s">
        <v>128</v>
      </c>
      <c r="H745" s="16">
        <v>45149.0</v>
      </c>
      <c r="I745" s="14">
        <v>22.0</v>
      </c>
      <c r="J745" s="13" t="s">
        <v>40</v>
      </c>
      <c r="K745" s="13" t="s">
        <v>41</v>
      </c>
      <c r="L745" s="14">
        <v>1417.0</v>
      </c>
      <c r="M745" s="18" t="s">
        <v>43</v>
      </c>
      <c r="N745" s="18" t="s">
        <v>98</v>
      </c>
      <c r="O745" s="18">
        <v>29.6</v>
      </c>
      <c r="P745" s="18" t="s">
        <v>408</v>
      </c>
      <c r="Q745" s="16">
        <v>45676.0</v>
      </c>
      <c r="R745" s="16" t="s">
        <v>38</v>
      </c>
      <c r="S745" s="13" t="s">
        <v>55</v>
      </c>
      <c r="T745" s="13" t="s">
        <v>75</v>
      </c>
      <c r="U745" s="13">
        <f t="shared" si="1"/>
        <v>1</v>
      </c>
      <c r="V745" s="13" t="str">
        <f t="shared" si="2"/>
        <v>C01591|Rahul Nair|59|West|Pune|Standard|Youtube|8/11/2023|22|Monthly|Upi|1,417|2|1|29.60|4.2|1/19/2025||Active|Security</v>
      </c>
      <c r="W745" s="13">
        <f t="shared" si="3"/>
        <v>1</v>
      </c>
      <c r="X745" s="13">
        <f>IFERROR(__xludf.DUMMYFUNCTION("COUNTUNIQUE(FILTER($B$2:$B$1826,$A$2:$A$1826=A745))"),1.0)</f>
        <v>1</v>
      </c>
    </row>
    <row r="746">
      <c r="A746" s="13" t="s">
        <v>1340</v>
      </c>
      <c r="B746" s="13" t="s">
        <v>126</v>
      </c>
      <c r="C746" s="14">
        <v>23.0</v>
      </c>
      <c r="D746" s="13" t="s">
        <v>69</v>
      </c>
      <c r="E746" s="13" t="s">
        <v>70</v>
      </c>
      <c r="F746" s="13" t="s">
        <v>62</v>
      </c>
      <c r="G746" s="13" t="s">
        <v>128</v>
      </c>
      <c r="H746" s="16">
        <v>45697.0</v>
      </c>
      <c r="I746" s="14">
        <v>46.0</v>
      </c>
      <c r="J746" s="13" t="s">
        <v>40</v>
      </c>
      <c r="K746" s="13" t="s">
        <v>81</v>
      </c>
      <c r="L746" s="14">
        <v>879.0</v>
      </c>
      <c r="M746" s="18" t="s">
        <v>164</v>
      </c>
      <c r="N746" s="18" t="s">
        <v>46</v>
      </c>
      <c r="O746" s="18">
        <v>1.0</v>
      </c>
      <c r="P746" s="18" t="s">
        <v>116</v>
      </c>
      <c r="Q746" s="16">
        <v>45776.0</v>
      </c>
      <c r="R746" s="16">
        <v>46699.0</v>
      </c>
      <c r="S746" s="13" t="s">
        <v>45</v>
      </c>
      <c r="T746" s="13" t="s">
        <v>66</v>
      </c>
      <c r="U746" s="13">
        <f t="shared" si="1"/>
        <v>2</v>
      </c>
      <c r="V746" s="13" t="str">
        <f t="shared" si="2"/>
        <v>C00032|Arun Patel|23|South|Bengaluru|Basic|Youtube|2/9/2025|46|Monthly|Debit Card|879|3|0|1.00|3.4|4/29/2025|11/8/2027|Churned|Automation</v>
      </c>
      <c r="W746" s="13">
        <f t="shared" si="3"/>
        <v>1</v>
      </c>
      <c r="X746" s="13">
        <f>IFERROR(__xludf.DUMMYFUNCTION("COUNTUNIQUE(FILTER($B$2:$B$1826,$A$2:$A$1826=A746))"),2.0)</f>
        <v>2</v>
      </c>
    </row>
    <row r="747">
      <c r="A747" s="13" t="s">
        <v>1024</v>
      </c>
      <c r="B747" s="13" t="s">
        <v>91</v>
      </c>
      <c r="C747" s="14">
        <v>65.0</v>
      </c>
      <c r="D747" s="13" t="s">
        <v>85</v>
      </c>
      <c r="E747" s="13" t="s">
        <v>92</v>
      </c>
      <c r="F747" s="13" t="s">
        <v>62</v>
      </c>
      <c r="G747" s="13" t="s">
        <v>52</v>
      </c>
      <c r="H747" s="16">
        <v>45702.0</v>
      </c>
      <c r="I747" s="14">
        <v>16.0</v>
      </c>
      <c r="J747" s="13" t="s">
        <v>40</v>
      </c>
      <c r="K747" s="13" t="s">
        <v>41</v>
      </c>
      <c r="L747" s="14">
        <v>559.0</v>
      </c>
      <c r="M747" s="18" t="s">
        <v>46</v>
      </c>
      <c r="N747" s="18" t="s">
        <v>164</v>
      </c>
      <c r="O747" s="18">
        <v>20.8</v>
      </c>
      <c r="P747" s="18" t="s">
        <v>263</v>
      </c>
      <c r="Q747" s="16">
        <v>46134.0</v>
      </c>
      <c r="R747" s="16" t="s">
        <v>38</v>
      </c>
      <c r="S747" s="13" t="s">
        <v>55</v>
      </c>
      <c r="T747" s="13" t="s">
        <v>72</v>
      </c>
      <c r="U747" s="13">
        <f t="shared" si="1"/>
        <v>3</v>
      </c>
      <c r="V747" s="13" t="str">
        <f t="shared" si="2"/>
        <v>C00795|Anita Sharma|65|West|Ahmedabad|Basic|Facebook|2/14/2025|16|Monthly|Upi|559|0|3|20.80|2.9|4/22/2026||Active|Collaboration</v>
      </c>
      <c r="W747" s="13">
        <f t="shared" si="3"/>
        <v>1</v>
      </c>
      <c r="X747" s="13">
        <f>IFERROR(__xludf.DUMMYFUNCTION("COUNTUNIQUE(FILTER($B$2:$B$1826,$A$2:$A$1826=A747))"),3.0)</f>
        <v>3</v>
      </c>
    </row>
    <row r="748">
      <c r="A748" s="13" t="s">
        <v>723</v>
      </c>
      <c r="B748" s="13" t="s">
        <v>340</v>
      </c>
      <c r="C748" s="14">
        <v>28.0</v>
      </c>
      <c r="D748" s="13" t="s">
        <v>85</v>
      </c>
      <c r="E748" s="13" t="s">
        <v>87</v>
      </c>
      <c r="F748" s="13" t="s">
        <v>37</v>
      </c>
      <c r="G748" s="13" t="s">
        <v>120</v>
      </c>
      <c r="H748" s="16">
        <v>45154.0</v>
      </c>
      <c r="I748" s="14">
        <v>31.0</v>
      </c>
      <c r="J748" s="13" t="s">
        <v>40</v>
      </c>
      <c r="K748" s="13" t="s">
        <v>81</v>
      </c>
      <c r="L748" s="14">
        <v>1186.0</v>
      </c>
      <c r="M748" s="18" t="s">
        <v>43</v>
      </c>
      <c r="N748" s="18" t="s">
        <v>98</v>
      </c>
      <c r="O748" s="18">
        <v>21.6</v>
      </c>
      <c r="P748" s="18" t="s">
        <v>48</v>
      </c>
      <c r="Q748" s="16">
        <v>45948.0</v>
      </c>
      <c r="R748" s="16" t="s">
        <v>38</v>
      </c>
      <c r="S748" s="13" t="s">
        <v>55</v>
      </c>
      <c r="T748" s="13" t="s">
        <v>66</v>
      </c>
      <c r="U748" s="13">
        <f t="shared" si="1"/>
        <v>3</v>
      </c>
      <c r="V748" s="13" t="str">
        <f t="shared" si="2"/>
        <v>C00920|Meera Sharma|28|West|Surat|Standard|Email|8/16/2023|31|Monthly|Debit Card|1,186|2|1|21.60|3.6|10/18/2025||Active|Automation</v>
      </c>
      <c r="W748" s="13">
        <f t="shared" si="3"/>
        <v>1</v>
      </c>
      <c r="X748" s="13">
        <f>IFERROR(__xludf.DUMMYFUNCTION("COUNTUNIQUE(FILTER($B$2:$B$1826,$A$2:$A$1826=A748))"),3.0)</f>
        <v>3</v>
      </c>
    </row>
    <row r="749">
      <c r="A749" s="13" t="s">
        <v>1344</v>
      </c>
      <c r="B749" s="13" t="s">
        <v>257</v>
      </c>
      <c r="C749" s="14">
        <v>22.0</v>
      </c>
      <c r="D749" s="13" t="s">
        <v>85</v>
      </c>
      <c r="E749" s="13" t="s">
        <v>87</v>
      </c>
      <c r="F749" s="13" t="s">
        <v>62</v>
      </c>
      <c r="G749" s="13" t="s">
        <v>39</v>
      </c>
      <c r="H749" s="16">
        <v>45603.0</v>
      </c>
      <c r="I749" s="14">
        <v>47.0</v>
      </c>
      <c r="J749" s="13" t="s">
        <v>64</v>
      </c>
      <c r="K749" s="13" t="s">
        <v>81</v>
      </c>
      <c r="L749" s="14">
        <v>894.0</v>
      </c>
      <c r="M749" s="18" t="s">
        <v>98</v>
      </c>
      <c r="N749" s="18" t="s">
        <v>46</v>
      </c>
      <c r="O749" s="18">
        <v>15.3</v>
      </c>
      <c r="P749" s="18" t="s">
        <v>408</v>
      </c>
      <c r="Q749" s="16">
        <v>46221.0</v>
      </c>
      <c r="R749" s="16" t="s">
        <v>38</v>
      </c>
      <c r="S749" s="13" t="s">
        <v>55</v>
      </c>
      <c r="T749" s="13" t="s">
        <v>66</v>
      </c>
      <c r="U749" s="13">
        <f t="shared" si="1"/>
        <v>3</v>
      </c>
      <c r="V749" s="13" t="str">
        <f t="shared" si="2"/>
        <v>C00758|Sneha Reddy|22|West|Surat|Basic|Instagram|11/7/2024|47|Annual|Debit Card|894|1|0|15.30|4.2|7/18/2026||Active|Automation</v>
      </c>
      <c r="W749" s="13">
        <f t="shared" si="3"/>
        <v>1</v>
      </c>
      <c r="X749" s="13">
        <f>IFERROR(__xludf.DUMMYFUNCTION("COUNTUNIQUE(FILTER($B$2:$B$1826,$A$2:$A$1826=A749))"),3.0)</f>
        <v>3</v>
      </c>
    </row>
    <row r="750">
      <c r="A750" s="13" t="s">
        <v>183</v>
      </c>
      <c r="B750" s="13" t="s">
        <v>176</v>
      </c>
      <c r="C750" s="14">
        <v>55.0</v>
      </c>
      <c r="D750" s="13" t="s">
        <v>69</v>
      </c>
      <c r="E750" s="13" t="s">
        <v>92</v>
      </c>
      <c r="F750" s="13" t="s">
        <v>62</v>
      </c>
      <c r="G750" s="13" t="s">
        <v>210</v>
      </c>
      <c r="H750" s="16">
        <v>44927.0</v>
      </c>
      <c r="I750" s="14">
        <v>10.0</v>
      </c>
      <c r="J750" s="13" t="s">
        <v>64</v>
      </c>
      <c r="K750" s="13" t="s">
        <v>65</v>
      </c>
      <c r="L750" s="14">
        <v>875.0</v>
      </c>
      <c r="M750" s="18" t="s">
        <v>43</v>
      </c>
      <c r="N750" s="18" t="s">
        <v>43</v>
      </c>
      <c r="O750" s="18">
        <v>16.3</v>
      </c>
      <c r="P750" s="18" t="s">
        <v>400</v>
      </c>
      <c r="Q750" s="16">
        <v>45157.0</v>
      </c>
      <c r="R750" s="16" t="s">
        <v>38</v>
      </c>
      <c r="S750" s="13" t="s">
        <v>55</v>
      </c>
      <c r="T750" s="13" t="s">
        <v>104</v>
      </c>
      <c r="U750" s="13">
        <f t="shared" si="1"/>
        <v>2</v>
      </c>
      <c r="V750" s="13" t="str">
        <f t="shared" si="2"/>
        <v>C01188|Ravi Iyer|55|South|Ahmedabad|Basic|Referral|1/1/2023|10|Annual|Credit Card|875|2|2|16.30|4.8|8/19/2023||Active|Analytics</v>
      </c>
      <c r="W750" s="13">
        <f t="shared" si="3"/>
        <v>1</v>
      </c>
      <c r="X750" s="13">
        <f>IFERROR(__xludf.DUMMYFUNCTION("COUNTUNIQUE(FILTER($B$2:$B$1826,$A$2:$A$1826=A750))"),2.0)</f>
        <v>2</v>
      </c>
    </row>
    <row r="751">
      <c r="A751" s="13" t="s">
        <v>1355</v>
      </c>
      <c r="B751" s="13" t="s">
        <v>340</v>
      </c>
      <c r="C751" s="14">
        <v>33.0</v>
      </c>
      <c r="D751" s="13" t="s">
        <v>60</v>
      </c>
      <c r="E751" s="13" t="s">
        <v>97</v>
      </c>
      <c r="F751" s="13" t="s">
        <v>62</v>
      </c>
      <c r="G751" s="13" t="s">
        <v>210</v>
      </c>
      <c r="H751" s="16">
        <v>45558.0</v>
      </c>
      <c r="I751" s="14">
        <v>29.0</v>
      </c>
      <c r="J751" s="13" t="s">
        <v>64</v>
      </c>
      <c r="K751" s="13" t="s">
        <v>65</v>
      </c>
      <c r="L751" s="14">
        <v>585.0</v>
      </c>
      <c r="M751" s="18" t="s">
        <v>46</v>
      </c>
      <c r="N751" s="18" t="s">
        <v>43</v>
      </c>
      <c r="O751" s="18">
        <v>14.1</v>
      </c>
      <c r="P751" s="18" t="s">
        <v>89</v>
      </c>
      <c r="Q751" s="16">
        <v>45833.0</v>
      </c>
      <c r="R751" s="16" t="s">
        <v>38</v>
      </c>
      <c r="S751" s="13" t="s">
        <v>55</v>
      </c>
      <c r="T751" s="13" t="s">
        <v>47</v>
      </c>
      <c r="U751" s="13">
        <f t="shared" si="1"/>
        <v>3</v>
      </c>
      <c r="V751" s="13" t="str">
        <f t="shared" si="2"/>
        <v>C00712|Meera Sharma|33|East|Bhubaneswar|Basic|Referral|9/23/2024|29|Annual|Credit Card|585|0|2|14.10|3.3|6/25/2025||Active|Cloud Storage</v>
      </c>
      <c r="W751" s="13">
        <f t="shared" si="3"/>
        <v>1</v>
      </c>
      <c r="X751" s="13">
        <f>IFERROR(__xludf.DUMMYFUNCTION("COUNTUNIQUE(FILTER($B$2:$B$1826,$A$2:$A$1826=A751))"),3.0)</f>
        <v>3</v>
      </c>
    </row>
    <row r="752">
      <c r="A752" s="13" t="s">
        <v>1358</v>
      </c>
      <c r="B752" s="13" t="s">
        <v>380</v>
      </c>
      <c r="C752" s="14">
        <v>55.0</v>
      </c>
      <c r="D752" s="13" t="s">
        <v>69</v>
      </c>
      <c r="E752" s="13" t="s">
        <v>187</v>
      </c>
      <c r="F752" s="13" t="s">
        <v>62</v>
      </c>
      <c r="G752" s="13" t="s">
        <v>63</v>
      </c>
      <c r="H752" s="16">
        <v>45667.0</v>
      </c>
      <c r="I752" s="14">
        <v>35.0</v>
      </c>
      <c r="J752" s="13" t="s">
        <v>53</v>
      </c>
      <c r="K752" s="13" t="s">
        <v>81</v>
      </c>
      <c r="L752" s="14">
        <v>502.0</v>
      </c>
      <c r="M752" s="18" t="s">
        <v>43</v>
      </c>
      <c r="N752" s="18" t="s">
        <v>98</v>
      </c>
      <c r="O752" s="18">
        <v>18.8</v>
      </c>
      <c r="P752" s="18" t="s">
        <v>185</v>
      </c>
      <c r="Q752" s="16">
        <v>45729.0</v>
      </c>
      <c r="R752" s="16">
        <v>46571.0</v>
      </c>
      <c r="S752" s="13" t="s">
        <v>45</v>
      </c>
      <c r="T752" s="13" t="s">
        <v>75</v>
      </c>
      <c r="U752" s="13">
        <f t="shared" si="1"/>
        <v>1</v>
      </c>
      <c r="V752" s="13" t="str">
        <f t="shared" si="2"/>
        <v>C00197|Neha Iyer|55|South|Chennai|Basic|Google Ads|1/10/2025|35|Quarterly|Debit Card|502|2|1|18.80|3.2|3/13/2025|7/3/2027|Churned|Security</v>
      </c>
      <c r="W752" s="13">
        <f t="shared" si="3"/>
        <v>1</v>
      </c>
      <c r="X752" s="13">
        <f>IFERROR(__xludf.DUMMYFUNCTION("COUNTUNIQUE(FILTER($B$2:$B$1826,$A$2:$A$1826=A752))"),1.0)</f>
        <v>1</v>
      </c>
    </row>
    <row r="753">
      <c r="A753" s="13" t="s">
        <v>786</v>
      </c>
      <c r="B753" s="13" t="s">
        <v>322</v>
      </c>
      <c r="C753" s="14">
        <v>65.0</v>
      </c>
      <c r="D753" s="13" t="s">
        <v>69</v>
      </c>
      <c r="E753" s="13" t="s">
        <v>119</v>
      </c>
      <c r="F753" s="13" t="s">
        <v>62</v>
      </c>
      <c r="G753" s="13" t="s">
        <v>63</v>
      </c>
      <c r="H753" s="16">
        <v>46008.0</v>
      </c>
      <c r="I753" s="14">
        <v>8.0</v>
      </c>
      <c r="J753" s="13" t="s">
        <v>64</v>
      </c>
      <c r="K753" s="13" t="s">
        <v>41</v>
      </c>
      <c r="L753" s="14">
        <v>720.0</v>
      </c>
      <c r="M753" s="18" t="s">
        <v>43</v>
      </c>
      <c r="N753" s="18" t="s">
        <v>46</v>
      </c>
      <c r="O753" s="18">
        <v>27.5</v>
      </c>
      <c r="P753" s="18" t="s">
        <v>173</v>
      </c>
      <c r="Q753" s="16">
        <v>46040.0</v>
      </c>
      <c r="R753" s="16" t="s">
        <v>38</v>
      </c>
      <c r="S753" s="13" t="s">
        <v>55</v>
      </c>
      <c r="T753" s="13" t="s">
        <v>72</v>
      </c>
      <c r="U753" s="13">
        <f t="shared" si="1"/>
        <v>2</v>
      </c>
      <c r="V753" s="13" t="str">
        <f t="shared" si="2"/>
        <v>C01067|Rahul Iyer|65|South|Kochi|Basic|Google Ads|12/17/2025|8|Annual|Upi|720|2|0|27.50|5|1/18/2026||Active|Collaboration</v>
      </c>
      <c r="W753" s="13">
        <f t="shared" si="3"/>
        <v>1</v>
      </c>
      <c r="X753" s="13">
        <f>IFERROR(__xludf.DUMMYFUNCTION("COUNTUNIQUE(FILTER($B$2:$B$1826,$A$2:$A$1826=A753))"),2.0)</f>
        <v>2</v>
      </c>
    </row>
    <row r="754">
      <c r="A754" s="13" t="s">
        <v>1361</v>
      </c>
      <c r="B754" s="13" t="s">
        <v>74</v>
      </c>
      <c r="C754" s="14">
        <v>46.0</v>
      </c>
      <c r="D754" s="13" t="s">
        <v>69</v>
      </c>
      <c r="E754" s="13" t="s">
        <v>70</v>
      </c>
      <c r="F754" s="13" t="s">
        <v>62</v>
      </c>
      <c r="G754" s="13" t="s">
        <v>80</v>
      </c>
      <c r="H754" s="16">
        <v>45248.0</v>
      </c>
      <c r="I754" s="14">
        <v>18.0</v>
      </c>
      <c r="J754" s="13" t="s">
        <v>40</v>
      </c>
      <c r="K754" s="13" t="s">
        <v>81</v>
      </c>
      <c r="L754" s="14">
        <v>875.0</v>
      </c>
      <c r="M754" s="18" t="s">
        <v>43</v>
      </c>
      <c r="N754" s="18" t="s">
        <v>46</v>
      </c>
      <c r="O754" s="18">
        <v>24.8</v>
      </c>
      <c r="P754" s="18" t="s">
        <v>123</v>
      </c>
      <c r="Q754" s="16">
        <v>45333.0</v>
      </c>
      <c r="R754" s="16" t="s">
        <v>38</v>
      </c>
      <c r="S754" s="13" t="s">
        <v>55</v>
      </c>
      <c r="T754" s="13" t="s">
        <v>66</v>
      </c>
      <c r="U754" s="13">
        <f t="shared" si="1"/>
        <v>2</v>
      </c>
      <c r="V754" s="13" t="str">
        <f t="shared" si="2"/>
        <v>C00162|Anita Kumar|46|South|Bengaluru|Basic|Organic Search|11/18/2023|18|Monthly|Debit Card|875|2|0|24.80|4.1|2/11/2024||Active|Automation</v>
      </c>
      <c r="W754" s="13">
        <f t="shared" si="3"/>
        <v>1</v>
      </c>
      <c r="X754" s="13">
        <f>IFERROR(__xludf.DUMMYFUNCTION("COUNTUNIQUE(FILTER($B$2:$B$1826,$A$2:$A$1826=A754))"),1.0)</f>
        <v>1</v>
      </c>
    </row>
    <row r="755">
      <c r="A755" s="13" t="s">
        <v>1362</v>
      </c>
      <c r="B755" s="13" t="s">
        <v>169</v>
      </c>
      <c r="C755" s="14">
        <v>28.0</v>
      </c>
      <c r="D755" s="13" t="s">
        <v>69</v>
      </c>
      <c r="E755" s="13" t="s">
        <v>70</v>
      </c>
      <c r="F755" s="13" t="s">
        <v>79</v>
      </c>
      <c r="G755" s="13" t="s">
        <v>52</v>
      </c>
      <c r="H755" s="16">
        <v>44578.0</v>
      </c>
      <c r="I755" s="14">
        <v>16.0</v>
      </c>
      <c r="J755" s="13" t="s">
        <v>53</v>
      </c>
      <c r="K755" s="13" t="s">
        <v>41</v>
      </c>
      <c r="L755" s="14">
        <v>3378.0</v>
      </c>
      <c r="M755" s="18" t="s">
        <v>99</v>
      </c>
      <c r="N755" s="18" t="s">
        <v>43</v>
      </c>
      <c r="O755" s="18">
        <v>40.6</v>
      </c>
      <c r="P755" s="18" t="s">
        <v>368</v>
      </c>
      <c r="Q755" s="16" t="s">
        <v>38</v>
      </c>
      <c r="R755" s="16" t="s">
        <v>38</v>
      </c>
      <c r="S755" s="13" t="s">
        <v>55</v>
      </c>
      <c r="T755" s="13" t="s">
        <v>75</v>
      </c>
      <c r="U755" s="13">
        <f t="shared" si="1"/>
        <v>2</v>
      </c>
      <c r="V755" s="13" t="str">
        <f t="shared" si="2"/>
        <v>C00651|Vikram Nair|28|South|Bengaluru|Premium|Facebook|1/17/2022|16|Quarterly|Upi|3,378|4|2|40.60|4.9|||Active|Security</v>
      </c>
      <c r="W755" s="13">
        <f t="shared" si="3"/>
        <v>1</v>
      </c>
      <c r="X755" s="13">
        <f>IFERROR(__xludf.DUMMYFUNCTION("COUNTUNIQUE(FILTER($B$2:$B$1826,$A$2:$A$1826=A755))"),2.0)</f>
        <v>2</v>
      </c>
    </row>
    <row r="756">
      <c r="A756" s="13" t="s">
        <v>1363</v>
      </c>
      <c r="B756" s="13" t="s">
        <v>172</v>
      </c>
      <c r="C756" s="14">
        <v>64.0</v>
      </c>
      <c r="D756" s="13" t="s">
        <v>69</v>
      </c>
      <c r="E756" s="13" t="s">
        <v>187</v>
      </c>
      <c r="F756" s="13" t="s">
        <v>37</v>
      </c>
      <c r="G756" s="13" t="s">
        <v>63</v>
      </c>
      <c r="H756" s="16">
        <v>45619.0</v>
      </c>
      <c r="I756" s="14">
        <v>47.0</v>
      </c>
      <c r="J756" s="13" t="s">
        <v>40</v>
      </c>
      <c r="K756" s="13" t="s">
        <v>41</v>
      </c>
      <c r="L756" s="14">
        <v>1443.0</v>
      </c>
      <c r="M756" s="18" t="s">
        <v>98</v>
      </c>
      <c r="N756" s="18" t="s">
        <v>98</v>
      </c>
      <c r="O756" s="18">
        <v>16.8</v>
      </c>
      <c r="P756" s="18" t="s">
        <v>296</v>
      </c>
      <c r="Q756" s="16">
        <v>46633.0</v>
      </c>
      <c r="R756" s="16">
        <v>46967.0</v>
      </c>
      <c r="S756" s="13" t="s">
        <v>45</v>
      </c>
      <c r="T756" s="13" t="s">
        <v>75</v>
      </c>
      <c r="U756" s="13">
        <f t="shared" si="1"/>
        <v>2</v>
      </c>
      <c r="V756" s="13" t="str">
        <f t="shared" si="2"/>
        <v>C00579|Meera Singh|64|South|Chennai|Standard|Google Ads|11/23/2024|47|Monthly|Upi|1,443|1|1|16.80|4.6|9/3/2027|8/2/2028|Churned|Security</v>
      </c>
      <c r="W756" s="13">
        <f t="shared" si="3"/>
        <v>1</v>
      </c>
      <c r="X756" s="13">
        <f>IFERROR(__xludf.DUMMYFUNCTION("COUNTUNIQUE(FILTER($B$2:$B$1826,$A$2:$A$1826=A756))"),2.0)</f>
        <v>2</v>
      </c>
    </row>
    <row r="757">
      <c r="A757" s="13" t="s">
        <v>1365</v>
      </c>
      <c r="B757" s="13" t="s">
        <v>380</v>
      </c>
      <c r="C757" s="14">
        <v>61.0</v>
      </c>
      <c r="D757" s="13" t="s">
        <v>60</v>
      </c>
      <c r="E757" s="13" t="s">
        <v>133</v>
      </c>
      <c r="F757" s="13" t="s">
        <v>37</v>
      </c>
      <c r="G757" s="13" t="s">
        <v>39</v>
      </c>
      <c r="H757" s="16">
        <v>45868.0</v>
      </c>
      <c r="I757" s="14">
        <v>23.0</v>
      </c>
      <c r="J757" s="13" t="s">
        <v>53</v>
      </c>
      <c r="K757" s="13" t="s">
        <v>81</v>
      </c>
      <c r="L757" s="14">
        <v>1183.0</v>
      </c>
      <c r="M757" s="18" t="s">
        <v>98</v>
      </c>
      <c r="N757" s="18" t="s">
        <v>98</v>
      </c>
      <c r="O757" s="18">
        <v>21.2</v>
      </c>
      <c r="P757" s="18" t="s">
        <v>408</v>
      </c>
      <c r="Q757" s="16">
        <v>46185.0</v>
      </c>
      <c r="R757" s="16" t="s">
        <v>38</v>
      </c>
      <c r="S757" s="13" t="s">
        <v>55</v>
      </c>
      <c r="T757" s="13" t="s">
        <v>75</v>
      </c>
      <c r="U757" s="13">
        <f t="shared" si="1"/>
        <v>2</v>
      </c>
      <c r="V757" s="13" t="str">
        <f t="shared" si="2"/>
        <v>C01409|Neha Iyer|61|East|Guwahati|Standard|Instagram|7/30/2025|23|Quarterly|Debit Card|1,183|1|1|21.20|4.2|6/12/2026||Active|Security</v>
      </c>
      <c r="W757" s="13">
        <f t="shared" si="3"/>
        <v>1</v>
      </c>
      <c r="X757" s="13">
        <f>IFERROR(__xludf.DUMMYFUNCTION("COUNTUNIQUE(FILTER($B$2:$B$1826,$A$2:$A$1826=A757))"),2.0)</f>
        <v>2</v>
      </c>
    </row>
    <row r="758">
      <c r="A758" s="13" t="s">
        <v>1366</v>
      </c>
      <c r="B758" s="13" t="s">
        <v>336</v>
      </c>
      <c r="C758" s="14">
        <v>48.0</v>
      </c>
      <c r="D758" s="13" t="s">
        <v>60</v>
      </c>
      <c r="E758" s="13" t="s">
        <v>133</v>
      </c>
      <c r="F758" s="13" t="s">
        <v>62</v>
      </c>
      <c r="G758" s="13" t="s">
        <v>39</v>
      </c>
      <c r="H758" s="16">
        <v>44792.0</v>
      </c>
      <c r="I758" s="14">
        <v>19.0</v>
      </c>
      <c r="J758" s="13" t="s">
        <v>53</v>
      </c>
      <c r="K758" s="13" t="s">
        <v>81</v>
      </c>
      <c r="L758" s="14">
        <v>727.0</v>
      </c>
      <c r="M758" s="18" t="s">
        <v>43</v>
      </c>
      <c r="N758" s="18" t="s">
        <v>98</v>
      </c>
      <c r="O758" s="18">
        <v>21.4</v>
      </c>
      <c r="P758" s="18" t="s">
        <v>185</v>
      </c>
      <c r="Q758" s="16">
        <v>45237.0</v>
      </c>
      <c r="R758" s="16" t="s">
        <v>38</v>
      </c>
      <c r="S758" s="13" t="s">
        <v>55</v>
      </c>
      <c r="T758" s="13" t="s">
        <v>104</v>
      </c>
      <c r="U758" s="13">
        <f t="shared" si="1"/>
        <v>3</v>
      </c>
      <c r="V758" s="13" t="str">
        <f t="shared" si="2"/>
        <v>C01225|Priya Patel|48|East|Guwahati|Basic|Instagram|8/19/2022|19|Quarterly|Debit Card|727|2|1|21.40|3.2|11/7/2023||Active|Analytics</v>
      </c>
      <c r="W758" s="13">
        <f t="shared" si="3"/>
        <v>1</v>
      </c>
      <c r="X758" s="13">
        <f>IFERROR(__xludf.DUMMYFUNCTION("COUNTUNIQUE(FILTER($B$2:$B$1826,$A$2:$A$1826=A758))"),3.0)</f>
        <v>3</v>
      </c>
    </row>
    <row r="759">
      <c r="A759" s="13" t="s">
        <v>1355</v>
      </c>
      <c r="B759" s="13" t="s">
        <v>395</v>
      </c>
      <c r="C759" s="14">
        <v>45.0</v>
      </c>
      <c r="D759" s="13" t="s">
        <v>85</v>
      </c>
      <c r="E759" s="13" t="s">
        <v>111</v>
      </c>
      <c r="F759" s="13" t="s">
        <v>37</v>
      </c>
      <c r="G759" s="13" t="s">
        <v>120</v>
      </c>
      <c r="H759" s="16">
        <v>45563.0</v>
      </c>
      <c r="I759" s="14">
        <v>39.0</v>
      </c>
      <c r="J759" s="13" t="s">
        <v>40</v>
      </c>
      <c r="K759" s="13" t="s">
        <v>81</v>
      </c>
      <c r="L759" s="14">
        <v>1028.0</v>
      </c>
      <c r="M759" s="18" t="s">
        <v>164</v>
      </c>
      <c r="N759" s="18" t="s">
        <v>43</v>
      </c>
      <c r="O759" s="18">
        <v>31.8</v>
      </c>
      <c r="P759" s="18" t="s">
        <v>263</v>
      </c>
      <c r="Q759" s="16">
        <v>46121.0</v>
      </c>
      <c r="R759" s="16" t="s">
        <v>38</v>
      </c>
      <c r="S759" s="13" t="s">
        <v>55</v>
      </c>
      <c r="T759" s="13" t="s">
        <v>72</v>
      </c>
      <c r="U759" s="13">
        <f t="shared" si="1"/>
        <v>3</v>
      </c>
      <c r="V759" s="13" t="str">
        <f t="shared" si="2"/>
        <v>C00712|Ravi Singh|45|West|Pune|Standard|Email|9/28/2024|39|Monthly|Debit Card|1,028|3|2|31.80|2.9|4/9/2026||Active|Collaboration</v>
      </c>
      <c r="W759" s="13">
        <f t="shared" si="3"/>
        <v>1</v>
      </c>
      <c r="X759" s="13">
        <f>IFERROR(__xludf.DUMMYFUNCTION("COUNTUNIQUE(FILTER($B$2:$B$1826,$A$2:$A$1826=A759))"),3.0)</f>
        <v>3</v>
      </c>
    </row>
    <row r="760">
      <c r="A760" s="13" t="s">
        <v>1367</v>
      </c>
      <c r="B760" s="13" t="s">
        <v>636</v>
      </c>
      <c r="C760" s="14">
        <v>59.0</v>
      </c>
      <c r="D760" s="13" t="s">
        <v>60</v>
      </c>
      <c r="E760" s="13" t="s">
        <v>133</v>
      </c>
      <c r="F760" s="13" t="s">
        <v>62</v>
      </c>
      <c r="G760" s="13" t="s">
        <v>120</v>
      </c>
      <c r="H760" s="16">
        <v>45432.0</v>
      </c>
      <c r="I760" s="14">
        <v>26.0</v>
      </c>
      <c r="J760" s="13" t="s">
        <v>40</v>
      </c>
      <c r="K760" s="13" t="s">
        <v>65</v>
      </c>
      <c r="L760" s="14">
        <v>526.0</v>
      </c>
      <c r="M760" s="18" t="s">
        <v>43</v>
      </c>
      <c r="N760" s="18" t="s">
        <v>46</v>
      </c>
      <c r="O760" s="18">
        <v>10.3</v>
      </c>
      <c r="P760" s="18" t="s">
        <v>456</v>
      </c>
      <c r="Q760" s="16">
        <v>46187.0</v>
      </c>
      <c r="R760" s="16" t="s">
        <v>38</v>
      </c>
      <c r="S760" s="13" t="s">
        <v>55</v>
      </c>
      <c r="T760" s="13" t="s">
        <v>75</v>
      </c>
      <c r="U760" s="13">
        <f t="shared" si="1"/>
        <v>2</v>
      </c>
      <c r="V760" s="13" t="str">
        <f t="shared" si="2"/>
        <v>C00536|Neha Reddy|59|East|Guwahati|Basic|Email|5/20/2024|26|Monthly|Credit Card|526|2|0|10.30|2.5|6/14/2026||Active|Security</v>
      </c>
      <c r="W760" s="13">
        <f t="shared" si="3"/>
        <v>1</v>
      </c>
      <c r="X760" s="13">
        <f>IFERROR(__xludf.DUMMYFUNCTION("COUNTUNIQUE(FILTER($B$2:$B$1826,$A$2:$A$1826=A760))"),2.0)</f>
        <v>2</v>
      </c>
    </row>
    <row r="761">
      <c r="A761" s="13" t="s">
        <v>1368</v>
      </c>
      <c r="B761" s="13" t="s">
        <v>179</v>
      </c>
      <c r="C761" s="14">
        <v>65.0</v>
      </c>
      <c r="D761" s="13" t="s">
        <v>69</v>
      </c>
      <c r="E761" s="13" t="s">
        <v>187</v>
      </c>
      <c r="F761" s="13" t="s">
        <v>37</v>
      </c>
      <c r="G761" s="13" t="s">
        <v>128</v>
      </c>
      <c r="H761" s="16">
        <v>45842.0</v>
      </c>
      <c r="I761" s="14">
        <v>8.0</v>
      </c>
      <c r="J761" s="13" t="s">
        <v>40</v>
      </c>
      <c r="K761" s="13" t="s">
        <v>65</v>
      </c>
      <c r="L761" s="14">
        <v>1624.0</v>
      </c>
      <c r="M761" s="18" t="s">
        <v>43</v>
      </c>
      <c r="N761" s="18" t="s">
        <v>43</v>
      </c>
      <c r="O761" s="18">
        <v>33.5</v>
      </c>
      <c r="P761" s="18" t="s">
        <v>130</v>
      </c>
      <c r="Q761" s="16">
        <v>45885.0</v>
      </c>
      <c r="R761" s="16">
        <v>46113.0</v>
      </c>
      <c r="S761" s="13" t="s">
        <v>45</v>
      </c>
      <c r="T761" s="13" t="s">
        <v>104</v>
      </c>
      <c r="U761" s="13">
        <f t="shared" si="1"/>
        <v>3</v>
      </c>
      <c r="V761" s="13" t="str">
        <f t="shared" si="2"/>
        <v>C00840|Ravi Kumar|65|South|Chennai|Standard|Youtube|7/4/2025|8|Monthly|Credit Card|1,624|2|2|33.50|3.9|8/16/2025|4/1/2026|Churned|Analytics</v>
      </c>
      <c r="W761" s="13">
        <f t="shared" si="3"/>
        <v>1</v>
      </c>
      <c r="X761" s="13">
        <f>IFERROR(__xludf.DUMMYFUNCTION("COUNTUNIQUE(FILTER($B$2:$B$1826,$A$2:$A$1826=A761))"),3.0)</f>
        <v>3</v>
      </c>
    </row>
    <row r="762">
      <c r="A762" s="13" t="s">
        <v>542</v>
      </c>
      <c r="B762" s="13" t="s">
        <v>50</v>
      </c>
      <c r="C762" s="14">
        <v>64.0</v>
      </c>
      <c r="D762" s="13" t="s">
        <v>60</v>
      </c>
      <c r="E762" s="13" t="s">
        <v>107</v>
      </c>
      <c r="F762" s="13" t="s">
        <v>37</v>
      </c>
      <c r="G762" s="13" t="s">
        <v>80</v>
      </c>
      <c r="H762" s="16">
        <v>44691.0</v>
      </c>
      <c r="I762" s="14">
        <v>42.0</v>
      </c>
      <c r="J762" s="13" t="s">
        <v>40</v>
      </c>
      <c r="K762" s="13" t="s">
        <v>65</v>
      </c>
      <c r="L762" s="14">
        <v>1369.0</v>
      </c>
      <c r="M762" s="18" t="s">
        <v>46</v>
      </c>
      <c r="N762" s="18" t="s">
        <v>46</v>
      </c>
      <c r="O762" s="18">
        <v>23.3</v>
      </c>
      <c r="P762" s="18" t="s">
        <v>263</v>
      </c>
      <c r="Q762" s="16">
        <v>45107.0</v>
      </c>
      <c r="R762" s="16" t="s">
        <v>38</v>
      </c>
      <c r="S762" s="13" t="s">
        <v>55</v>
      </c>
      <c r="T762" s="13" t="s">
        <v>47</v>
      </c>
      <c r="U762" s="13">
        <f t="shared" si="1"/>
        <v>2</v>
      </c>
      <c r="V762" s="13" t="str">
        <f t="shared" si="2"/>
        <v>C01599|Rahul Das|64|East|Patna|Standard|Organic Search|5/10/2022|42|Monthly|Credit Card|1,369|0|0|23.30|2.9|6/30/2023||Active|Cloud Storage</v>
      </c>
      <c r="W762" s="13">
        <f t="shared" si="3"/>
        <v>1</v>
      </c>
      <c r="X762" s="13">
        <f>IFERROR(__xludf.DUMMYFUNCTION("COUNTUNIQUE(FILTER($B$2:$B$1826,$A$2:$A$1826=A762))"),2.0)</f>
        <v>2</v>
      </c>
    </row>
    <row r="763">
      <c r="A763" s="13" t="s">
        <v>1370</v>
      </c>
      <c r="B763" s="13" t="s">
        <v>59</v>
      </c>
      <c r="C763" s="14">
        <v>50.0</v>
      </c>
      <c r="D763" s="13" t="s">
        <v>60</v>
      </c>
      <c r="E763" s="13" t="s">
        <v>133</v>
      </c>
      <c r="F763" s="13" t="s">
        <v>62</v>
      </c>
      <c r="G763" s="13" t="s">
        <v>52</v>
      </c>
      <c r="H763" s="16">
        <v>45071.0</v>
      </c>
      <c r="I763" s="14">
        <v>1.0</v>
      </c>
      <c r="J763" s="13" t="s">
        <v>40</v>
      </c>
      <c r="K763" s="13" t="s">
        <v>41</v>
      </c>
      <c r="L763" s="14">
        <v>509.0</v>
      </c>
      <c r="M763" s="18" t="s">
        <v>98</v>
      </c>
      <c r="N763" s="18" t="s">
        <v>46</v>
      </c>
      <c r="O763" s="18">
        <v>16.6</v>
      </c>
      <c r="P763" s="18" t="s">
        <v>263</v>
      </c>
      <c r="Q763" s="16">
        <v>45114.0</v>
      </c>
      <c r="R763" s="16" t="s">
        <v>38</v>
      </c>
      <c r="S763" s="13" t="s">
        <v>529</v>
      </c>
      <c r="T763" s="13" t="s">
        <v>72</v>
      </c>
      <c r="U763" s="13">
        <f t="shared" si="1"/>
        <v>2</v>
      </c>
      <c r="V763" s="13" t="str">
        <f t="shared" si="2"/>
        <v>C00766|Priya Das|50|East|Guwahati|Basic|Facebook|5/25/2023|1|Monthly|Upi|509|1|0|16.60|2.9|7/7/2023||No|Collaboration</v>
      </c>
      <c r="W763" s="13">
        <f t="shared" si="3"/>
        <v>1</v>
      </c>
      <c r="X763" s="13">
        <f>IFERROR(__xludf.DUMMYFUNCTION("COUNTUNIQUE(FILTER($B$2:$B$1826,$A$2:$A$1826=A763))"),2.0)</f>
        <v>2</v>
      </c>
    </row>
    <row r="764">
      <c r="A764" s="13" t="s">
        <v>1371</v>
      </c>
      <c r="B764" s="13" t="s">
        <v>322</v>
      </c>
      <c r="C764" s="14">
        <v>24.0</v>
      </c>
      <c r="D764" s="13" t="s">
        <v>35</v>
      </c>
      <c r="E764" s="13" t="s">
        <v>51</v>
      </c>
      <c r="F764" s="13" t="s">
        <v>37</v>
      </c>
      <c r="G764" s="13" t="s">
        <v>52</v>
      </c>
      <c r="H764" s="16">
        <v>45068.0</v>
      </c>
      <c r="I764" s="14">
        <v>3.0</v>
      </c>
      <c r="J764" s="13" t="s">
        <v>40</v>
      </c>
      <c r="K764" s="13" t="s">
        <v>41</v>
      </c>
      <c r="L764" s="14">
        <v>1385.0</v>
      </c>
      <c r="M764" s="18" t="s">
        <v>46</v>
      </c>
      <c r="N764" s="18" t="s">
        <v>46</v>
      </c>
      <c r="O764" s="18">
        <v>18.9</v>
      </c>
      <c r="P764" s="18" t="s">
        <v>408</v>
      </c>
      <c r="Q764" s="16">
        <v>45129.0</v>
      </c>
      <c r="R764" s="16" t="s">
        <v>38</v>
      </c>
      <c r="S764" s="13" t="s">
        <v>55</v>
      </c>
      <c r="T764" s="13" t="s">
        <v>66</v>
      </c>
      <c r="U764" s="13">
        <f t="shared" si="1"/>
        <v>2</v>
      </c>
      <c r="V764" s="13" t="str">
        <f t="shared" si="2"/>
        <v>C00618|Rahul Iyer|24|North|Jaipur|Standard|Facebook|5/22/2023|3|Monthly|Upi|1,385|0|0|18.90|4.2|7/22/2023||Active|Automation</v>
      </c>
      <c r="W764" s="13">
        <f t="shared" si="3"/>
        <v>1</v>
      </c>
      <c r="X764" s="13">
        <f>IFERROR(__xludf.DUMMYFUNCTION("COUNTUNIQUE(FILTER($B$2:$B$1826,$A$2:$A$1826=A764))"),2.0)</f>
        <v>2</v>
      </c>
    </row>
    <row r="765">
      <c r="A765" s="13" t="s">
        <v>659</v>
      </c>
      <c r="B765" s="13" t="s">
        <v>232</v>
      </c>
      <c r="C765" s="14">
        <v>39.0</v>
      </c>
      <c r="D765" s="13" t="s">
        <v>85</v>
      </c>
      <c r="E765" s="13" t="s">
        <v>38</v>
      </c>
      <c r="F765" s="13" t="s">
        <v>62</v>
      </c>
      <c r="G765" s="13" t="s">
        <v>128</v>
      </c>
      <c r="H765" s="16">
        <v>45671.0</v>
      </c>
      <c r="I765" s="14">
        <v>39.0</v>
      </c>
      <c r="J765" s="13" t="s">
        <v>53</v>
      </c>
      <c r="K765" s="13" t="s">
        <v>81</v>
      </c>
      <c r="L765" s="14">
        <v>547.0</v>
      </c>
      <c r="M765" s="18" t="s">
        <v>99</v>
      </c>
      <c r="N765" s="18" t="s">
        <v>46</v>
      </c>
      <c r="O765" s="18">
        <v>28.8</v>
      </c>
      <c r="P765" s="18" t="s">
        <v>248</v>
      </c>
      <c r="Q765" s="16">
        <v>46482.0</v>
      </c>
      <c r="R765" s="16" t="s">
        <v>1372</v>
      </c>
      <c r="S765" s="13" t="s">
        <v>45</v>
      </c>
      <c r="T765" s="13" t="s">
        <v>104</v>
      </c>
      <c r="U765" s="13">
        <f t="shared" si="1"/>
        <v>2</v>
      </c>
      <c r="V765" s="13" t="str">
        <f t="shared" si="2"/>
        <v>C01479|Meera Iyer|39|West||Basic|Youtube|1/14/2025|39|Quarterly|Debit Card|547|4|0|28.80|2.6|4/5/2027|17/03/2026|Churned|Analytics</v>
      </c>
      <c r="W765" s="13">
        <f t="shared" si="3"/>
        <v>1</v>
      </c>
      <c r="X765" s="13">
        <f>IFERROR(__xludf.DUMMYFUNCTION("COUNTUNIQUE(FILTER($B$2:$B$1826,$A$2:$A$1826=A765))"),2.0)</f>
        <v>2</v>
      </c>
    </row>
    <row r="766">
      <c r="A766" s="13" t="s">
        <v>1373</v>
      </c>
      <c r="B766" s="13" t="s">
        <v>222</v>
      </c>
      <c r="C766" s="14">
        <v>49.0</v>
      </c>
      <c r="D766" s="13" t="s">
        <v>60</v>
      </c>
      <c r="E766" s="13" t="s">
        <v>133</v>
      </c>
      <c r="F766" s="13" t="s">
        <v>62</v>
      </c>
      <c r="G766" s="13" t="s">
        <v>210</v>
      </c>
      <c r="H766" s="16">
        <v>45905.0</v>
      </c>
      <c r="I766" s="14">
        <v>37.0</v>
      </c>
      <c r="J766" s="13" t="s">
        <v>53</v>
      </c>
      <c r="K766" s="13" t="s">
        <v>81</v>
      </c>
      <c r="L766" s="14">
        <v>648.0</v>
      </c>
      <c r="M766" s="18" t="s">
        <v>164</v>
      </c>
      <c r="N766" s="18" t="s">
        <v>99</v>
      </c>
      <c r="O766" s="18">
        <v>25.8</v>
      </c>
      <c r="P766" s="18" t="s">
        <v>48</v>
      </c>
      <c r="Q766" s="16">
        <v>46370.0</v>
      </c>
      <c r="R766" s="16" t="s">
        <v>38</v>
      </c>
      <c r="S766" s="13" t="s">
        <v>55</v>
      </c>
      <c r="T766" s="13" t="s">
        <v>66</v>
      </c>
      <c r="U766" s="13">
        <f t="shared" si="1"/>
        <v>2</v>
      </c>
      <c r="V766" s="13" t="str">
        <f t="shared" si="2"/>
        <v>C00619|Karan Iyer|49|East|Guwahati|Basic|Referral|9/5/2025|37|Quarterly|Debit Card|648|3|4|25.80|3.6|12/14/2026||Active|Automation</v>
      </c>
      <c r="W766" s="13">
        <f t="shared" si="3"/>
        <v>1</v>
      </c>
      <c r="X766" s="13">
        <f>IFERROR(__xludf.DUMMYFUNCTION("COUNTUNIQUE(FILTER($B$2:$B$1826,$A$2:$A$1826=A766))"),2.0)</f>
        <v>2</v>
      </c>
    </row>
    <row r="767">
      <c r="A767" s="13" t="s">
        <v>1374</v>
      </c>
      <c r="B767" s="13" t="s">
        <v>202</v>
      </c>
      <c r="C767" s="14">
        <v>68.0</v>
      </c>
      <c r="D767" s="13" t="s">
        <v>69</v>
      </c>
      <c r="E767" s="13" t="s">
        <v>119</v>
      </c>
      <c r="F767" s="13" t="s">
        <v>62</v>
      </c>
      <c r="G767" s="13" t="s">
        <v>120</v>
      </c>
      <c r="H767" s="16">
        <v>45368.0</v>
      </c>
      <c r="I767" s="14">
        <v>24.0</v>
      </c>
      <c r="J767" s="13" t="s">
        <v>40</v>
      </c>
      <c r="K767" s="13" t="s">
        <v>65</v>
      </c>
      <c r="L767" s="14">
        <v>864.0</v>
      </c>
      <c r="M767" s="18" t="s">
        <v>46</v>
      </c>
      <c r="N767" s="18" t="s">
        <v>43</v>
      </c>
      <c r="O767" s="18">
        <v>23.9</v>
      </c>
      <c r="P767" s="18" t="s">
        <v>310</v>
      </c>
      <c r="Q767" s="16">
        <v>45607.0</v>
      </c>
      <c r="R767" s="16" t="s">
        <v>1375</v>
      </c>
      <c r="S767" s="13" t="s">
        <v>45</v>
      </c>
      <c r="T767" s="13" t="s">
        <v>72</v>
      </c>
      <c r="U767" s="13">
        <f t="shared" si="1"/>
        <v>1</v>
      </c>
      <c r="V767" s="13" t="str">
        <f t="shared" si="2"/>
        <v>C01038|Arun Das|68|South|Kochi|Basic|Email|3/17/2024|24|Monthly|Credit Card|864|0|2|23.90|3.1|11/11/2024|28/11/2025|Churned|Collaboration</v>
      </c>
      <c r="W767" s="13">
        <f t="shared" si="3"/>
        <v>1</v>
      </c>
      <c r="X767" s="13">
        <f>IFERROR(__xludf.DUMMYFUNCTION("COUNTUNIQUE(FILTER($B$2:$B$1826,$A$2:$A$1826=A767))"),1.0)</f>
        <v>1</v>
      </c>
    </row>
    <row r="768">
      <c r="A768" s="13" t="s">
        <v>1376</v>
      </c>
      <c r="B768" s="13" t="s">
        <v>172</v>
      </c>
      <c r="C768" s="14">
        <v>24.0</v>
      </c>
      <c r="D768" s="13" t="s">
        <v>35</v>
      </c>
      <c r="E768" s="13" t="s">
        <v>161</v>
      </c>
      <c r="F768" s="13" t="s">
        <v>62</v>
      </c>
      <c r="G768" s="13" t="s">
        <v>128</v>
      </c>
      <c r="H768" s="16">
        <v>45852.0</v>
      </c>
      <c r="I768" s="14">
        <v>6.0</v>
      </c>
      <c r="J768" s="13" t="s">
        <v>40</v>
      </c>
      <c r="K768" s="13" t="s">
        <v>65</v>
      </c>
      <c r="L768" s="14">
        <v>585.0</v>
      </c>
      <c r="M768" s="18" t="s">
        <v>43</v>
      </c>
      <c r="N768" s="18" t="s">
        <v>43</v>
      </c>
      <c r="O768" s="18">
        <v>9.7</v>
      </c>
      <c r="P768" s="18" t="s">
        <v>173</v>
      </c>
      <c r="Q768" s="16">
        <v>45987.0</v>
      </c>
      <c r="R768" s="16" t="s">
        <v>38</v>
      </c>
      <c r="S768" s="13" t="s">
        <v>55</v>
      </c>
      <c r="T768" s="13" t="s">
        <v>66</v>
      </c>
      <c r="U768" s="13">
        <f t="shared" si="1"/>
        <v>2</v>
      </c>
      <c r="V768" s="13" t="str">
        <f t="shared" si="2"/>
        <v>C00977|Meera Singh|24|North|Chandigarh|Basic|Youtube|7/14/2025|6|Monthly|Credit Card|585|2|2|9.70|5|11/26/2025||Active|Automation</v>
      </c>
      <c r="W768" s="13">
        <f t="shared" si="3"/>
        <v>1</v>
      </c>
      <c r="X768" s="13">
        <f>IFERROR(__xludf.DUMMYFUNCTION("COUNTUNIQUE(FILTER($B$2:$B$1826,$A$2:$A$1826=A768))"),2.0)</f>
        <v>2</v>
      </c>
    </row>
    <row r="769">
      <c r="A769" s="13" t="s">
        <v>1236</v>
      </c>
      <c r="B769" s="13" t="s">
        <v>331</v>
      </c>
      <c r="C769" s="14">
        <v>63.0</v>
      </c>
      <c r="D769" s="13" t="s">
        <v>69</v>
      </c>
      <c r="E769" s="13" t="s">
        <v>70</v>
      </c>
      <c r="F769" s="13" t="s">
        <v>37</v>
      </c>
      <c r="G769" s="13" t="s">
        <v>210</v>
      </c>
      <c r="H769" s="16">
        <v>45405.0</v>
      </c>
      <c r="I769" s="14">
        <v>20.0</v>
      </c>
      <c r="J769" s="13" t="s">
        <v>40</v>
      </c>
      <c r="K769" s="13" t="s">
        <v>81</v>
      </c>
      <c r="L769" s="14">
        <v>1036.0</v>
      </c>
      <c r="M769" s="18" t="s">
        <v>98</v>
      </c>
      <c r="N769" s="18" t="s">
        <v>46</v>
      </c>
      <c r="O769" s="18">
        <v>31.0</v>
      </c>
      <c r="P769" s="18" t="s">
        <v>408</v>
      </c>
      <c r="Q769" s="16">
        <v>45993.0</v>
      </c>
      <c r="R769" s="16" t="s">
        <v>1377</v>
      </c>
      <c r="S769" s="13" t="s">
        <v>45</v>
      </c>
      <c r="T769" s="13" t="s">
        <v>75</v>
      </c>
      <c r="U769" s="13">
        <f t="shared" si="1"/>
        <v>3</v>
      </c>
      <c r="V769" s="13" t="str">
        <f t="shared" si="2"/>
        <v>C00970|Arun Iyer|63|South|Bengaluru|Standard|Referral|4/23/2024|20|Monthly|Debit Card|1,036|1|0|31.00|4.2|12/2/2025|13/07/2025|Churned|Security</v>
      </c>
      <c r="W769" s="13">
        <f t="shared" si="3"/>
        <v>1</v>
      </c>
      <c r="X769" s="13">
        <f>IFERROR(__xludf.DUMMYFUNCTION("COUNTUNIQUE(FILTER($B$2:$B$1826,$A$2:$A$1826=A769))"),3.0)</f>
        <v>3</v>
      </c>
    </row>
    <row r="770">
      <c r="A770" s="13" t="s">
        <v>1302</v>
      </c>
      <c r="B770" s="13" t="s">
        <v>325</v>
      </c>
      <c r="C770" s="14">
        <v>46.0</v>
      </c>
      <c r="D770" s="13" t="s">
        <v>85</v>
      </c>
      <c r="E770" s="13" t="s">
        <v>92</v>
      </c>
      <c r="F770" s="13" t="s">
        <v>79</v>
      </c>
      <c r="G770" s="13" t="s">
        <v>39</v>
      </c>
      <c r="H770" s="16">
        <v>45221.0</v>
      </c>
      <c r="I770" s="14">
        <v>30.0</v>
      </c>
      <c r="J770" s="13" t="s">
        <v>64</v>
      </c>
      <c r="K770" s="13" t="s">
        <v>41</v>
      </c>
      <c r="L770" s="14">
        <v>3757.0</v>
      </c>
      <c r="M770" s="18" t="s">
        <v>43</v>
      </c>
      <c r="N770" s="18" t="s">
        <v>46</v>
      </c>
      <c r="O770" s="18">
        <v>39.9</v>
      </c>
      <c r="P770" s="18" t="s">
        <v>275</v>
      </c>
      <c r="Q770" s="16">
        <v>45988.0</v>
      </c>
      <c r="R770" s="16" t="s">
        <v>38</v>
      </c>
      <c r="S770" s="13" t="s">
        <v>55</v>
      </c>
      <c r="T770" s="13" t="s">
        <v>75</v>
      </c>
      <c r="U770" s="13">
        <f t="shared" si="1"/>
        <v>2</v>
      </c>
      <c r="V770" s="13" t="str">
        <f t="shared" si="2"/>
        <v>C01118|Priya Sharma|46|West|Ahmedabad|Premium|Instagram|10/22/2023|30|Annual|Upi|3,757|2|0|39.90|4.3|11/27/2025||Active|Security</v>
      </c>
      <c r="W770" s="13">
        <f t="shared" si="3"/>
        <v>1</v>
      </c>
      <c r="X770" s="13">
        <f>IFERROR(__xludf.DUMMYFUNCTION("COUNTUNIQUE(FILTER($B$2:$B$1826,$A$2:$A$1826=A770))"),2.0)</f>
        <v>2</v>
      </c>
    </row>
    <row r="771">
      <c r="A771" s="13" t="s">
        <v>444</v>
      </c>
      <c r="B771" s="13" t="s">
        <v>190</v>
      </c>
      <c r="C771" s="14">
        <v>59.0</v>
      </c>
      <c r="D771" s="13" t="s">
        <v>35</v>
      </c>
      <c r="E771" s="13" t="s">
        <v>51</v>
      </c>
      <c r="F771" s="13" t="s">
        <v>37</v>
      </c>
      <c r="G771" s="13" t="s">
        <v>63</v>
      </c>
      <c r="H771" s="16">
        <v>44902.0</v>
      </c>
      <c r="I771" s="14">
        <v>13.0</v>
      </c>
      <c r="J771" s="13" t="s">
        <v>64</v>
      </c>
      <c r="K771" s="13" t="s">
        <v>65</v>
      </c>
      <c r="L771" s="14">
        <v>1038.0</v>
      </c>
      <c r="M771" s="18" t="s">
        <v>98</v>
      </c>
      <c r="N771" s="18" t="s">
        <v>46</v>
      </c>
      <c r="O771" s="18">
        <v>39.6</v>
      </c>
      <c r="P771" s="18" t="s">
        <v>108</v>
      </c>
      <c r="Q771" s="16">
        <v>45129.0</v>
      </c>
      <c r="R771" s="16" t="s">
        <v>38</v>
      </c>
      <c r="S771" s="13" t="s">
        <v>55</v>
      </c>
      <c r="T771" s="13" t="s">
        <v>47</v>
      </c>
      <c r="U771" s="13">
        <f t="shared" si="1"/>
        <v>2</v>
      </c>
      <c r="V771" s="13" t="str">
        <f t="shared" si="2"/>
        <v>C00261|Sneha Patel|59|North|Jaipur|Standard|Google Ads|12/7/2022|13|Annual|Credit Card|1,038|1|0|39.60|2.4|7/22/2023||Active|Cloud Storage</v>
      </c>
      <c r="W771" s="13">
        <f t="shared" si="3"/>
        <v>1</v>
      </c>
      <c r="X771" s="13">
        <f>IFERROR(__xludf.DUMMYFUNCTION("COUNTUNIQUE(FILTER($B$2:$B$1826,$A$2:$A$1826=A771))"),2.0)</f>
        <v>2</v>
      </c>
    </row>
    <row r="772">
      <c r="A772" s="13" t="s">
        <v>1378</v>
      </c>
      <c r="B772" s="13" t="s">
        <v>448</v>
      </c>
      <c r="C772" s="14">
        <v>55.0</v>
      </c>
      <c r="D772" s="13" t="s">
        <v>85</v>
      </c>
      <c r="E772" s="13" t="s">
        <v>87</v>
      </c>
      <c r="F772" s="13" t="s">
        <v>62</v>
      </c>
      <c r="G772" s="13" t="s">
        <v>63</v>
      </c>
      <c r="H772" s="16">
        <v>45453.0</v>
      </c>
      <c r="I772" s="14">
        <v>19.0</v>
      </c>
      <c r="J772" s="13" t="s">
        <v>64</v>
      </c>
      <c r="K772" s="13" t="s">
        <v>41</v>
      </c>
      <c r="L772" s="14">
        <v>845.0</v>
      </c>
      <c r="M772" s="18" t="s">
        <v>98</v>
      </c>
      <c r="N772" s="18" t="s">
        <v>46</v>
      </c>
      <c r="O772" s="18">
        <v>9.4</v>
      </c>
      <c r="P772" s="18" t="s">
        <v>173</v>
      </c>
      <c r="Q772" s="16">
        <v>45793.0</v>
      </c>
      <c r="R772" s="16" t="s">
        <v>38</v>
      </c>
      <c r="S772" s="13" t="s">
        <v>55</v>
      </c>
      <c r="T772" s="13" t="s">
        <v>47</v>
      </c>
      <c r="U772" s="13">
        <f t="shared" si="1"/>
        <v>1</v>
      </c>
      <c r="V772" s="13" t="str">
        <f t="shared" si="2"/>
        <v>C01534|Meera Reddy|55|West|Surat|Basic|Google Ads|6/10/2024|19|Annual|Upi|845|1|0|9.40|5|5/16/2025||Active|Cloud Storage</v>
      </c>
      <c r="W772" s="13">
        <f t="shared" si="3"/>
        <v>1</v>
      </c>
      <c r="X772" s="13">
        <f>IFERROR(__xludf.DUMMYFUNCTION("COUNTUNIQUE(FILTER($B$2:$B$1826,$A$2:$A$1826=A772))"),1.0)</f>
        <v>1</v>
      </c>
    </row>
    <row r="773">
      <c r="A773" s="13" t="s">
        <v>389</v>
      </c>
      <c r="B773" s="13" t="s">
        <v>106</v>
      </c>
      <c r="C773" s="14">
        <v>52.0</v>
      </c>
      <c r="D773" s="13" t="s">
        <v>69</v>
      </c>
      <c r="E773" s="13" t="s">
        <v>177</v>
      </c>
      <c r="F773" s="13" t="s">
        <v>37</v>
      </c>
      <c r="G773" s="13" t="s">
        <v>210</v>
      </c>
      <c r="H773" s="16">
        <v>45528.0</v>
      </c>
      <c r="I773" s="14">
        <v>30.0</v>
      </c>
      <c r="J773" s="13" t="s">
        <v>64</v>
      </c>
      <c r="K773" s="13" t="s">
        <v>65</v>
      </c>
      <c r="L773" s="14">
        <v>1763.0</v>
      </c>
      <c r="M773" s="18" t="s">
        <v>164</v>
      </c>
      <c r="N773" s="18" t="s">
        <v>164</v>
      </c>
      <c r="O773" s="18">
        <v>26.0</v>
      </c>
      <c r="P773" s="18" t="s">
        <v>123</v>
      </c>
      <c r="Q773" s="16">
        <v>46410.0</v>
      </c>
      <c r="R773" s="16" t="s">
        <v>38</v>
      </c>
      <c r="S773" s="13" t="s">
        <v>55</v>
      </c>
      <c r="T773" s="13" t="s">
        <v>104</v>
      </c>
      <c r="U773" s="13">
        <f t="shared" si="1"/>
        <v>3</v>
      </c>
      <c r="V773" s="13" t="str">
        <f t="shared" si="2"/>
        <v>C00595|Rahul Patel|52|South|Hyderabad|Standard|Referral|8/24/2024|30|Annual|Credit Card|1,763|3|3|26.00|4.1|1/23/2027||Active|Analytics</v>
      </c>
      <c r="W773" s="13">
        <f t="shared" si="3"/>
        <v>1</v>
      </c>
      <c r="X773" s="13">
        <f>IFERROR(__xludf.DUMMYFUNCTION("COUNTUNIQUE(FILTER($B$2:$B$1826,$A$2:$A$1826=A773))"),3.0)</f>
        <v>3</v>
      </c>
    </row>
    <row r="774">
      <c r="A774" s="13" t="s">
        <v>1362</v>
      </c>
      <c r="B774" s="13" t="s">
        <v>257</v>
      </c>
      <c r="C774" s="14">
        <v>12.0</v>
      </c>
      <c r="D774" s="13" t="s">
        <v>85</v>
      </c>
      <c r="E774" s="13" t="s">
        <v>111</v>
      </c>
      <c r="F774" s="13" t="s">
        <v>62</v>
      </c>
      <c r="G774" s="13" t="s">
        <v>63</v>
      </c>
      <c r="H774" s="16">
        <v>44573.0</v>
      </c>
      <c r="I774" s="14">
        <v>20.0</v>
      </c>
      <c r="J774" s="13" t="s">
        <v>40</v>
      </c>
      <c r="K774" s="13" t="s">
        <v>81</v>
      </c>
      <c r="L774" s="14">
        <v>601.0</v>
      </c>
      <c r="M774" s="18" t="s">
        <v>164</v>
      </c>
      <c r="N774" s="18" t="s">
        <v>46</v>
      </c>
      <c r="O774" s="18">
        <v>14.8</v>
      </c>
      <c r="P774" s="18" t="s">
        <v>99</v>
      </c>
      <c r="Q774" s="16">
        <v>45133.0</v>
      </c>
      <c r="R774" s="16" t="s">
        <v>38</v>
      </c>
      <c r="S774" s="13" t="s">
        <v>55</v>
      </c>
      <c r="T774" s="13" t="s">
        <v>75</v>
      </c>
      <c r="U774" s="13">
        <f t="shared" si="1"/>
        <v>2</v>
      </c>
      <c r="V774" s="13" t="str">
        <f t="shared" si="2"/>
        <v>C00651|Sneha Reddy|12|West|Pune|Basic|Google Ads|1/12/2022|20|Monthly|Debit Card|601|3|0|14.80|4|7/26/2023||Active|Security</v>
      </c>
      <c r="W774" s="13">
        <f t="shared" si="3"/>
        <v>1</v>
      </c>
      <c r="X774" s="13">
        <f>IFERROR(__xludf.DUMMYFUNCTION("COUNTUNIQUE(FILTER($B$2:$B$1826,$A$2:$A$1826=A774))"),2.0)</f>
        <v>2</v>
      </c>
    </row>
    <row r="775">
      <c r="A775" s="13" t="s">
        <v>1379</v>
      </c>
      <c r="B775" s="13" t="s">
        <v>232</v>
      </c>
      <c r="C775" s="14">
        <v>42.0</v>
      </c>
      <c r="D775" s="13" t="s">
        <v>69</v>
      </c>
      <c r="E775" s="13" t="s">
        <v>70</v>
      </c>
      <c r="F775" s="13" t="s">
        <v>62</v>
      </c>
      <c r="G775" s="13" t="s">
        <v>80</v>
      </c>
      <c r="H775" s="16">
        <v>45024.0</v>
      </c>
      <c r="I775" s="14">
        <v>23.0</v>
      </c>
      <c r="J775" s="13" t="s">
        <v>64</v>
      </c>
      <c r="K775" s="13" t="s">
        <v>65</v>
      </c>
      <c r="L775" s="14">
        <v>597.0</v>
      </c>
      <c r="M775" s="18" t="s">
        <v>98</v>
      </c>
      <c r="N775" s="18" t="s">
        <v>46</v>
      </c>
      <c r="O775" s="18">
        <v>24.5</v>
      </c>
      <c r="P775" s="18" t="s">
        <v>185</v>
      </c>
      <c r="Q775" s="16">
        <v>45470.0</v>
      </c>
      <c r="R775" s="16" t="s">
        <v>38</v>
      </c>
      <c r="S775" s="13" t="s">
        <v>55</v>
      </c>
      <c r="T775" s="13" t="s">
        <v>72</v>
      </c>
      <c r="U775" s="13">
        <f t="shared" si="1"/>
        <v>1</v>
      </c>
      <c r="V775" s="13" t="str">
        <f t="shared" si="2"/>
        <v>C01218|Meera Iyer|42|South|Bengaluru|Basic|Organic Search|4/8/2023|23|Annual|Credit Card|597|1|0|24.50|3.2|6/27/2024||Active|Collaboration</v>
      </c>
      <c r="W775" s="13">
        <f t="shared" si="3"/>
        <v>1</v>
      </c>
      <c r="X775" s="13">
        <f>IFERROR(__xludf.DUMMYFUNCTION("COUNTUNIQUE(FILTER($B$2:$B$1826,$A$2:$A$1826=A775))"),1.0)</f>
        <v>1</v>
      </c>
    </row>
    <row r="776">
      <c r="A776" s="13" t="s">
        <v>835</v>
      </c>
      <c r="B776" s="13" t="s">
        <v>34</v>
      </c>
      <c r="C776" s="14">
        <v>40.0</v>
      </c>
      <c r="D776" s="13" t="s">
        <v>69</v>
      </c>
      <c r="E776" s="13" t="s">
        <v>70</v>
      </c>
      <c r="F776" s="13" t="s">
        <v>37</v>
      </c>
      <c r="G776" s="13" t="s">
        <v>63</v>
      </c>
      <c r="H776" s="16">
        <v>45005.0</v>
      </c>
      <c r="I776" s="14">
        <v>18.0</v>
      </c>
      <c r="J776" s="13" t="s">
        <v>64</v>
      </c>
      <c r="K776" s="13" t="s">
        <v>81</v>
      </c>
      <c r="L776" s="14">
        <v>1103.0</v>
      </c>
      <c r="M776" s="18" t="s">
        <v>98</v>
      </c>
      <c r="N776" s="18" t="s">
        <v>43</v>
      </c>
      <c r="O776" s="18">
        <v>28.2</v>
      </c>
      <c r="P776" s="18" t="s">
        <v>225</v>
      </c>
      <c r="Q776" s="16">
        <v>45549.0</v>
      </c>
      <c r="R776" s="16" t="s">
        <v>38</v>
      </c>
      <c r="S776" s="13" t="s">
        <v>55</v>
      </c>
      <c r="T776" s="13" t="s">
        <v>66</v>
      </c>
      <c r="U776" s="13">
        <f t="shared" si="1"/>
        <v>2</v>
      </c>
      <c r="V776" s="13" t="str">
        <f t="shared" si="2"/>
        <v>C01150|Meera Das|40|South|Bengaluru|Standard|Google Ads|3/20/2023|18|Annual|Debit Card|1,103|1|2|28.20|3.8|9/14/2024||Active|Automation</v>
      </c>
      <c r="W776" s="13">
        <f t="shared" si="3"/>
        <v>1</v>
      </c>
      <c r="X776" s="13">
        <f>IFERROR(__xludf.DUMMYFUNCTION("COUNTUNIQUE(FILTER($B$2:$B$1826,$A$2:$A$1826=A776))"),2.0)</f>
        <v>2</v>
      </c>
    </row>
    <row r="777">
      <c r="A777" s="13" t="s">
        <v>681</v>
      </c>
      <c r="B777" s="13" t="s">
        <v>364</v>
      </c>
      <c r="C777" s="14">
        <v>39.0</v>
      </c>
      <c r="D777" s="13" t="s">
        <v>85</v>
      </c>
      <c r="E777" s="13" t="s">
        <v>111</v>
      </c>
      <c r="F777" s="13" t="s">
        <v>62</v>
      </c>
      <c r="G777" s="13" t="s">
        <v>128</v>
      </c>
      <c r="H777" s="16">
        <v>45036.0</v>
      </c>
      <c r="I777" s="14">
        <v>14.0</v>
      </c>
      <c r="J777" s="13" t="s">
        <v>40</v>
      </c>
      <c r="K777" s="13" t="s">
        <v>41</v>
      </c>
      <c r="L777" s="14">
        <v>813.0</v>
      </c>
      <c r="M777" s="18" t="s">
        <v>99</v>
      </c>
      <c r="N777" s="18" t="s">
        <v>98</v>
      </c>
      <c r="O777" s="18">
        <v>19.7</v>
      </c>
      <c r="P777" s="18" t="s">
        <v>701</v>
      </c>
      <c r="Q777" s="16">
        <v>45130.0</v>
      </c>
      <c r="R777" s="16" t="s">
        <v>38</v>
      </c>
      <c r="S777" s="13" t="s">
        <v>55</v>
      </c>
      <c r="T777" s="13" t="s">
        <v>47</v>
      </c>
      <c r="U777" s="13">
        <f t="shared" si="1"/>
        <v>2</v>
      </c>
      <c r="V777" s="13" t="str">
        <f t="shared" si="2"/>
        <v>C00568|Sneha Kumar|39|West|Pune|Basic|Youtube|4/20/2023|14|Monthly|Upi|813|4|1|19.70|2.8|7/23/2023||Active|Cloud Storage</v>
      </c>
      <c r="W777" s="13">
        <f t="shared" si="3"/>
        <v>1</v>
      </c>
      <c r="X777" s="13">
        <f>IFERROR(__xludf.DUMMYFUNCTION("COUNTUNIQUE(FILTER($B$2:$B$1826,$A$2:$A$1826=A777))"),2.0)</f>
        <v>2</v>
      </c>
    </row>
    <row r="778">
      <c r="A778" s="13" t="s">
        <v>1380</v>
      </c>
      <c r="B778" s="13" t="s">
        <v>118</v>
      </c>
      <c r="C778" s="14">
        <v>41.0</v>
      </c>
      <c r="D778" s="13" t="s">
        <v>85</v>
      </c>
      <c r="E778" s="13" t="s">
        <v>87</v>
      </c>
      <c r="F778" s="13" t="s">
        <v>37</v>
      </c>
      <c r="G778" s="13" t="s">
        <v>210</v>
      </c>
      <c r="H778" s="16">
        <v>45181.0</v>
      </c>
      <c r="I778" s="14">
        <v>33.0</v>
      </c>
      <c r="J778" s="13" t="s">
        <v>53</v>
      </c>
      <c r="K778" s="13" t="s">
        <v>81</v>
      </c>
      <c r="L778" s="14">
        <v>1572.0</v>
      </c>
      <c r="M778" s="18" t="s">
        <v>46</v>
      </c>
      <c r="N778" s="18" t="s">
        <v>46</v>
      </c>
      <c r="O778" s="18">
        <v>38.9</v>
      </c>
      <c r="P778" s="18" t="s">
        <v>456</v>
      </c>
      <c r="Q778" s="16">
        <v>45577.0</v>
      </c>
      <c r="R778" s="16">
        <v>46003.0</v>
      </c>
      <c r="S778" s="13" t="s">
        <v>45</v>
      </c>
      <c r="T778" s="13" t="s">
        <v>72</v>
      </c>
      <c r="U778" s="13">
        <f t="shared" si="1"/>
        <v>1</v>
      </c>
      <c r="V778" s="13" t="str">
        <f t="shared" si="2"/>
        <v>C01048|Karan Nair|41|West|Surat|Standard|Referral|9/12/2023|33|Quarterly|Debit Card|1,572|0|0|38.90|2.5|10/12/2024|12/12/2025|Churned|Collaboration</v>
      </c>
      <c r="W778" s="13">
        <f t="shared" si="3"/>
        <v>1</v>
      </c>
      <c r="X778" s="13">
        <f>IFERROR(__xludf.DUMMYFUNCTION("COUNTUNIQUE(FILTER($B$2:$B$1826,$A$2:$A$1826=A778))"),1.0)</f>
        <v>1</v>
      </c>
    </row>
    <row r="779">
      <c r="A779" s="13" t="s">
        <v>728</v>
      </c>
      <c r="B779" s="13" t="s">
        <v>398</v>
      </c>
      <c r="C779" s="14">
        <v>54.0</v>
      </c>
      <c r="D779" s="13" t="s">
        <v>35</v>
      </c>
      <c r="E779" s="13" t="s">
        <v>51</v>
      </c>
      <c r="F779" s="13" t="s">
        <v>79</v>
      </c>
      <c r="G779" s="13" t="s">
        <v>52</v>
      </c>
      <c r="H779" s="16">
        <v>45130.0</v>
      </c>
      <c r="I779" s="14">
        <v>46.0</v>
      </c>
      <c r="J779" s="13" t="s">
        <v>53</v>
      </c>
      <c r="K779" s="13" t="s">
        <v>81</v>
      </c>
      <c r="L779" s="14">
        <v>2903.0</v>
      </c>
      <c r="M779" s="18" t="s">
        <v>164</v>
      </c>
      <c r="N779" s="18" t="s">
        <v>43</v>
      </c>
      <c r="O779" s="18">
        <v>39.1</v>
      </c>
      <c r="P779" s="18" t="s">
        <v>203</v>
      </c>
      <c r="Q779" s="16">
        <v>46143.0</v>
      </c>
      <c r="R779" s="16" t="s">
        <v>38</v>
      </c>
      <c r="S779" s="13" t="s">
        <v>55</v>
      </c>
      <c r="T779" s="13" t="s">
        <v>72</v>
      </c>
      <c r="U779" s="13">
        <f t="shared" si="1"/>
        <v>3</v>
      </c>
      <c r="V779" s="13" t="str">
        <f t="shared" si="2"/>
        <v>C01087|Vikram Sharma|54|North|Jaipur|Premium|Facebook|7/23/2023|46|Quarterly|Debit Card|2,903|3|2|39.10|3.7|5/1/2026||Active|Collaboration</v>
      </c>
      <c r="W779" s="13">
        <f t="shared" si="3"/>
        <v>1</v>
      </c>
      <c r="X779" s="13">
        <f>IFERROR(__xludf.DUMMYFUNCTION("COUNTUNIQUE(FILTER($B$2:$B$1826,$A$2:$A$1826=A779))"),3.0)</f>
        <v>3</v>
      </c>
    </row>
    <row r="780">
      <c r="A780" s="13" t="s">
        <v>1382</v>
      </c>
      <c r="B780" s="13" t="s">
        <v>68</v>
      </c>
      <c r="C780" s="14">
        <v>66.0</v>
      </c>
      <c r="D780" s="13" t="s">
        <v>35</v>
      </c>
      <c r="E780" s="13" t="s">
        <v>161</v>
      </c>
      <c r="F780" s="13" t="s">
        <v>79</v>
      </c>
      <c r="G780" s="13" t="s">
        <v>128</v>
      </c>
      <c r="H780" s="16">
        <v>45934.0</v>
      </c>
      <c r="I780" s="14">
        <v>23.0</v>
      </c>
      <c r="J780" s="13" t="s">
        <v>40</v>
      </c>
      <c r="K780" s="13" t="s">
        <v>41</v>
      </c>
      <c r="L780" s="14">
        <v>3145.0</v>
      </c>
      <c r="M780" s="18" t="s">
        <v>98</v>
      </c>
      <c r="N780" s="18" t="s">
        <v>46</v>
      </c>
      <c r="O780" s="18">
        <v>51.1</v>
      </c>
      <c r="P780" s="18" t="s">
        <v>368</v>
      </c>
      <c r="Q780" s="16">
        <v>46139.0</v>
      </c>
      <c r="R780" s="16" t="s">
        <v>1383</v>
      </c>
      <c r="S780" s="13" t="s">
        <v>45</v>
      </c>
      <c r="T780" s="13" t="s">
        <v>75</v>
      </c>
      <c r="U780" s="13">
        <f t="shared" si="1"/>
        <v>2</v>
      </c>
      <c r="V780" s="13" t="str">
        <f t="shared" si="2"/>
        <v>C00365|Anita Patel|66|North|Chandigarh|Premium|Youtube|10/4/2025|23|Monthly|Upi|3,145|1|0|51.10|4.9|4/27/2026|29/11/2026|Churned|Security</v>
      </c>
      <c r="W780" s="13">
        <f t="shared" si="3"/>
        <v>1</v>
      </c>
      <c r="X780" s="13">
        <f>IFERROR(__xludf.DUMMYFUNCTION("COUNTUNIQUE(FILTER($B$2:$B$1826,$A$2:$A$1826=A780))"),2.0)</f>
        <v>2</v>
      </c>
    </row>
    <row r="781">
      <c r="A781" s="13" t="s">
        <v>234</v>
      </c>
      <c r="B781" s="13" t="s">
        <v>169</v>
      </c>
      <c r="C781" s="14">
        <v>44.0</v>
      </c>
      <c r="D781" s="13" t="s">
        <v>69</v>
      </c>
      <c r="E781" s="13" t="s">
        <v>70</v>
      </c>
      <c r="F781" s="13" t="s">
        <v>37</v>
      </c>
      <c r="G781" s="13" t="s">
        <v>210</v>
      </c>
      <c r="H781" s="16">
        <v>44754.0</v>
      </c>
      <c r="I781" s="14">
        <v>24.0</v>
      </c>
      <c r="J781" s="13" t="s">
        <v>40</v>
      </c>
      <c r="K781" s="13" t="s">
        <v>81</v>
      </c>
      <c r="L781" s="14">
        <v>1012.0</v>
      </c>
      <c r="M781" s="18" t="s">
        <v>43</v>
      </c>
      <c r="N781" s="18" t="s">
        <v>46</v>
      </c>
      <c r="O781" s="18">
        <v>22.1</v>
      </c>
      <c r="P781" s="18" t="s">
        <v>310</v>
      </c>
      <c r="Q781" s="16">
        <v>45043.0</v>
      </c>
      <c r="R781" s="16" t="s">
        <v>1384</v>
      </c>
      <c r="S781" s="13" t="s">
        <v>45</v>
      </c>
      <c r="T781" s="13" t="s">
        <v>72</v>
      </c>
      <c r="U781" s="13">
        <f t="shared" si="1"/>
        <v>3</v>
      </c>
      <c r="V781" s="13" t="str">
        <f t="shared" si="2"/>
        <v>C00740|Vikram Nair|44|South|Bengaluru|Standard|Referral|7/12/2022|24|Monthly|Debit Card|1,012|2|0|22.10|3.1|4/27/2023|14/09/2022|Churned|Collaboration</v>
      </c>
      <c r="W781" s="13">
        <f t="shared" si="3"/>
        <v>1</v>
      </c>
      <c r="X781" s="13">
        <f>IFERROR(__xludf.DUMMYFUNCTION("COUNTUNIQUE(FILTER($B$2:$B$1826,$A$2:$A$1826=A781))"),3.0)</f>
        <v>3</v>
      </c>
    </row>
    <row r="782">
      <c r="A782" s="13" t="s">
        <v>1385</v>
      </c>
      <c r="B782" s="13" t="s">
        <v>303</v>
      </c>
      <c r="C782" s="14">
        <v>42.0</v>
      </c>
      <c r="D782" s="13" t="s">
        <v>35</v>
      </c>
      <c r="E782" s="13" t="s">
        <v>36</v>
      </c>
      <c r="F782" s="13" t="s">
        <v>79</v>
      </c>
      <c r="G782" s="13" t="s">
        <v>120</v>
      </c>
      <c r="H782" s="16">
        <v>45806.0</v>
      </c>
      <c r="I782" s="14">
        <v>41.0</v>
      </c>
      <c r="J782" s="13" t="s">
        <v>40</v>
      </c>
      <c r="K782" s="13" t="s">
        <v>81</v>
      </c>
      <c r="L782" s="14">
        <v>3534.0</v>
      </c>
      <c r="M782" s="18" t="s">
        <v>98</v>
      </c>
      <c r="N782" s="18" t="s">
        <v>46</v>
      </c>
      <c r="O782" s="18">
        <v>35.9</v>
      </c>
      <c r="P782" s="18" t="s">
        <v>296</v>
      </c>
      <c r="Q782" s="16">
        <v>46933.0</v>
      </c>
      <c r="R782" s="16" t="s">
        <v>38</v>
      </c>
      <c r="S782" s="13" t="s">
        <v>55</v>
      </c>
      <c r="T782" s="13" t="s">
        <v>47</v>
      </c>
      <c r="U782" s="13">
        <f t="shared" si="1"/>
        <v>1</v>
      </c>
      <c r="V782" s="13" t="str">
        <f t="shared" si="2"/>
        <v>C00562|Priya Kumar|42|North|Delhi|Premium|Email|5/29/2025|41|Monthly|Debit Card|3,534|1|0|35.90|4.6|6/29/2028||Active|Cloud Storage</v>
      </c>
      <c r="W782" s="13">
        <f t="shared" si="3"/>
        <v>1</v>
      </c>
      <c r="X782" s="13">
        <f>IFERROR(__xludf.DUMMYFUNCTION("COUNTUNIQUE(FILTER($B$2:$B$1826,$A$2:$A$1826=A782))"),1.0)</f>
        <v>1</v>
      </c>
    </row>
    <row r="783">
      <c r="A783" s="13" t="s">
        <v>1386</v>
      </c>
      <c r="B783" s="13" t="s">
        <v>176</v>
      </c>
      <c r="C783" s="14">
        <v>31.0</v>
      </c>
      <c r="D783" s="13" t="s">
        <v>69</v>
      </c>
      <c r="E783" s="13" t="s">
        <v>187</v>
      </c>
      <c r="F783" s="13" t="s">
        <v>62</v>
      </c>
      <c r="G783" s="13" t="s">
        <v>128</v>
      </c>
      <c r="H783" s="16">
        <v>44806.0</v>
      </c>
      <c r="I783" s="14">
        <v>4.0</v>
      </c>
      <c r="J783" s="13" t="s">
        <v>64</v>
      </c>
      <c r="K783" s="13" t="s">
        <v>81</v>
      </c>
      <c r="L783" s="14">
        <v>862.0</v>
      </c>
      <c r="M783" s="18" t="s">
        <v>43</v>
      </c>
      <c r="N783" s="18" t="s">
        <v>98</v>
      </c>
      <c r="O783" s="18">
        <v>18.4</v>
      </c>
      <c r="P783" s="18" t="s">
        <v>116</v>
      </c>
      <c r="Q783" s="16">
        <v>44840.0</v>
      </c>
      <c r="R783" s="16" t="s">
        <v>38</v>
      </c>
      <c r="S783" s="13" t="s">
        <v>55</v>
      </c>
      <c r="T783" s="13" t="s">
        <v>104</v>
      </c>
      <c r="U783" s="13">
        <f t="shared" si="1"/>
        <v>1</v>
      </c>
      <c r="V783" s="13" t="str">
        <f t="shared" si="2"/>
        <v>C01446|Ravi Iyer|31|South|Chennai|Basic|Youtube|9/2/2022|4|Annual|Debit Card|862|2|1|18.40|3.4|10/6/2022||Active|Analytics</v>
      </c>
      <c r="W783" s="13">
        <f t="shared" si="3"/>
        <v>1</v>
      </c>
      <c r="X783" s="13">
        <f>IFERROR(__xludf.DUMMYFUNCTION("COUNTUNIQUE(FILTER($B$2:$B$1826,$A$2:$A$1826=A783))"),1.0)</f>
        <v>1</v>
      </c>
    </row>
    <row r="784">
      <c r="A784" s="13" t="s">
        <v>1120</v>
      </c>
      <c r="B784" s="13" t="s">
        <v>349</v>
      </c>
      <c r="C784" s="14">
        <v>67.0</v>
      </c>
      <c r="D784" s="13" t="s">
        <v>35</v>
      </c>
      <c r="E784" s="13" t="s">
        <v>97</v>
      </c>
      <c r="F784" s="13" t="s">
        <v>79</v>
      </c>
      <c r="G784" s="13" t="s">
        <v>80</v>
      </c>
      <c r="H784" s="16">
        <v>45312.0</v>
      </c>
      <c r="I784" s="14">
        <v>34.0</v>
      </c>
      <c r="J784" s="13" t="s">
        <v>64</v>
      </c>
      <c r="K784" s="13" t="s">
        <v>41</v>
      </c>
      <c r="L784" s="14">
        <v>2851.0</v>
      </c>
      <c r="M784" s="18" t="s">
        <v>43</v>
      </c>
      <c r="N784" s="18" t="s">
        <v>46</v>
      </c>
      <c r="O784" s="18">
        <v>51.3</v>
      </c>
      <c r="P784" s="18" t="s">
        <v>89</v>
      </c>
      <c r="Q784" s="16">
        <v>45447.0</v>
      </c>
      <c r="R784" s="16" t="s">
        <v>38</v>
      </c>
      <c r="S784" s="13" t="s">
        <v>55</v>
      </c>
      <c r="T784" s="13" t="s">
        <v>72</v>
      </c>
      <c r="U784" s="13">
        <f t="shared" si="1"/>
        <v>5</v>
      </c>
      <c r="V784" s="13" t="str">
        <f t="shared" si="2"/>
        <v>C00682|Priya Singh|67|North|Bhubaneswar|Premium|Organic Search|1/21/2024|34|Annual|Upi|2,851|2|0|51.30|3.3|6/4/2024||Active|Collaboration</v>
      </c>
      <c r="W784" s="13">
        <f t="shared" si="3"/>
        <v>1</v>
      </c>
      <c r="X784" s="13">
        <f>IFERROR(__xludf.DUMMYFUNCTION("COUNTUNIQUE(FILTER($B$2:$B$1826,$A$2:$A$1826=A784))"),5.0)</f>
        <v>5</v>
      </c>
    </row>
    <row r="785">
      <c r="A785" s="13" t="s">
        <v>1160</v>
      </c>
      <c r="B785" s="13" t="s">
        <v>420</v>
      </c>
      <c r="C785" s="14">
        <v>54.0</v>
      </c>
      <c r="D785" s="13" t="s">
        <v>69</v>
      </c>
      <c r="E785" s="13" t="s">
        <v>119</v>
      </c>
      <c r="F785" s="13" t="s">
        <v>62</v>
      </c>
      <c r="G785" s="13" t="s">
        <v>63</v>
      </c>
      <c r="H785" s="16">
        <v>44968.0</v>
      </c>
      <c r="I785" s="14">
        <v>45.0</v>
      </c>
      <c r="J785" s="13" t="s">
        <v>53</v>
      </c>
      <c r="K785" s="13" t="s">
        <v>41</v>
      </c>
      <c r="L785" s="14">
        <v>587.0</v>
      </c>
      <c r="M785" s="18" t="s">
        <v>43</v>
      </c>
      <c r="N785" s="18" t="s">
        <v>43</v>
      </c>
      <c r="O785" s="18">
        <v>23.1</v>
      </c>
      <c r="P785" s="18" t="s">
        <v>456</v>
      </c>
      <c r="Q785" s="16">
        <v>44984.0</v>
      </c>
      <c r="R785" s="16" t="s">
        <v>38</v>
      </c>
      <c r="S785" s="13" t="s">
        <v>55</v>
      </c>
      <c r="T785" s="13" t="s">
        <v>72</v>
      </c>
      <c r="U785" s="13">
        <f t="shared" si="1"/>
        <v>2</v>
      </c>
      <c r="V785" s="13" t="str">
        <f t="shared" si="2"/>
        <v>C00172|Vikram Iyer|54|South|Kochi|Basic|Google Ads|2/11/2023|45|Quarterly|Upi|587|2|2|23.10|2.5|2/27/2023||Active|Collaboration</v>
      </c>
      <c r="W785" s="13">
        <f t="shared" si="3"/>
        <v>1</v>
      </c>
      <c r="X785" s="13">
        <f>IFERROR(__xludf.DUMMYFUNCTION("COUNTUNIQUE(FILTER($B$2:$B$1826,$A$2:$A$1826=A785))"),2.0)</f>
        <v>2</v>
      </c>
    </row>
    <row r="786">
      <c r="A786" s="13" t="s">
        <v>1641</v>
      </c>
      <c r="B786" s="13" t="s">
        <v>96</v>
      </c>
      <c r="C786" s="14">
        <v>32.0</v>
      </c>
      <c r="D786" s="13" t="s">
        <v>35</v>
      </c>
      <c r="E786" s="13" t="s">
        <v>140</v>
      </c>
      <c r="F786" s="13" t="s">
        <v>62</v>
      </c>
      <c r="G786" s="13" t="s">
        <v>63</v>
      </c>
      <c r="H786" s="16">
        <v>44935.0</v>
      </c>
      <c r="I786" s="14">
        <v>47.0</v>
      </c>
      <c r="J786" s="13" t="s">
        <v>64</v>
      </c>
      <c r="K786" s="13" t="s">
        <v>65</v>
      </c>
      <c r="L786" s="14">
        <v>661.0</v>
      </c>
      <c r="M786" s="18" t="s">
        <v>164</v>
      </c>
      <c r="N786" s="18" t="s">
        <v>98</v>
      </c>
      <c r="O786" s="18">
        <v>6.4</v>
      </c>
      <c r="P786" s="18" t="s">
        <v>48</v>
      </c>
      <c r="Q786" s="16">
        <v>44986.0</v>
      </c>
      <c r="R786" s="16" t="s">
        <v>38</v>
      </c>
      <c r="S786" s="13" t="s">
        <v>55</v>
      </c>
      <c r="T786" s="13" t="s">
        <v>75</v>
      </c>
      <c r="U786" s="13">
        <f t="shared" si="1"/>
        <v>1</v>
      </c>
      <c r="V786" s="13" t="str">
        <f t="shared" si="2"/>
        <v>C00955|Rahul Kumar|32|North|Lucknow|Basic|Google Ads|1/9/2023|47|Annual|Credit Card|661|3|1|6.40|3.6|3/1/2023||Active|Security</v>
      </c>
      <c r="W786" s="13">
        <f t="shared" si="3"/>
        <v>1</v>
      </c>
      <c r="X786" s="13">
        <f>IFERROR(__xludf.DUMMYFUNCTION("COUNTUNIQUE(FILTER($B$2:$B$1826,$A$2:$A$1826=A786))"),1.0)</f>
        <v>1</v>
      </c>
    </row>
    <row r="787">
      <c r="A787" s="13" t="s">
        <v>1388</v>
      </c>
      <c r="B787" s="13" t="s">
        <v>322</v>
      </c>
      <c r="C787" s="14">
        <v>27.0</v>
      </c>
      <c r="D787" s="13" t="s">
        <v>69</v>
      </c>
      <c r="E787" s="13" t="s">
        <v>177</v>
      </c>
      <c r="F787" s="13" t="s">
        <v>37</v>
      </c>
      <c r="G787" s="13" t="s">
        <v>52</v>
      </c>
      <c r="H787" s="16">
        <v>44953.0</v>
      </c>
      <c r="I787" s="14">
        <v>48.0</v>
      </c>
      <c r="J787" s="13" t="s">
        <v>64</v>
      </c>
      <c r="K787" s="13" t="s">
        <v>65</v>
      </c>
      <c r="L787" s="14">
        <v>1316.0</v>
      </c>
      <c r="M787" s="18" t="s">
        <v>43</v>
      </c>
      <c r="N787" s="18" t="s">
        <v>98</v>
      </c>
      <c r="O787" s="18">
        <v>42.0</v>
      </c>
      <c r="P787" s="18" t="s">
        <v>89</v>
      </c>
      <c r="Q787" s="16">
        <v>45739.0</v>
      </c>
      <c r="R787" s="16">
        <v>45422.0</v>
      </c>
      <c r="S787" s="13" t="s">
        <v>45</v>
      </c>
      <c r="T787" s="13" t="s">
        <v>75</v>
      </c>
      <c r="U787" s="13">
        <f t="shared" si="1"/>
        <v>3</v>
      </c>
      <c r="V787" s="13" t="str">
        <f t="shared" si="2"/>
        <v>C00167|Rahul Iyer|27|South|Hyderabad|Standard|Facebook|1/27/2023|48|Annual|Credit Card|1,316|2|1|42.00|3.3|3/23/2025|5/10/2024|Churned|Security</v>
      </c>
      <c r="W787" s="13">
        <f t="shared" si="3"/>
        <v>1</v>
      </c>
      <c r="X787" s="13">
        <f>IFERROR(__xludf.DUMMYFUNCTION("COUNTUNIQUE(FILTER($B$2:$B$1826,$A$2:$A$1826=A787))"),3.0)</f>
        <v>3</v>
      </c>
    </row>
    <row r="788">
      <c r="A788" s="13" t="s">
        <v>1390</v>
      </c>
      <c r="B788" s="13" t="s">
        <v>448</v>
      </c>
      <c r="C788" s="14">
        <v>41.0</v>
      </c>
      <c r="D788" s="13" t="s">
        <v>69</v>
      </c>
      <c r="E788" s="13" t="s">
        <v>177</v>
      </c>
      <c r="F788" s="13" t="s">
        <v>79</v>
      </c>
      <c r="G788" s="13" t="s">
        <v>39</v>
      </c>
      <c r="H788" s="16">
        <v>45166.0</v>
      </c>
      <c r="I788" s="14">
        <v>17.0</v>
      </c>
      <c r="J788" s="13" t="s">
        <v>64</v>
      </c>
      <c r="K788" s="13" t="s">
        <v>81</v>
      </c>
      <c r="L788" s="14">
        <v>3002.0</v>
      </c>
      <c r="M788" s="18" t="s">
        <v>99</v>
      </c>
      <c r="N788" s="18" t="s">
        <v>98</v>
      </c>
      <c r="O788" s="18">
        <v>36.0</v>
      </c>
      <c r="P788" s="18" t="s">
        <v>275</v>
      </c>
      <c r="Q788" s="16">
        <v>45539.0</v>
      </c>
      <c r="R788" s="16" t="s">
        <v>38</v>
      </c>
      <c r="S788" s="13" t="s">
        <v>55</v>
      </c>
      <c r="T788" s="13" t="s">
        <v>75</v>
      </c>
      <c r="U788" s="13">
        <f t="shared" si="1"/>
        <v>3</v>
      </c>
      <c r="V788" s="13" t="str">
        <f t="shared" si="2"/>
        <v>C00463|Meera Reddy|41|South|Hyderabad|Premium|Instagram|8/28/2023|17|Annual|Debit Card|3,002|4|1|36.00|4.3|9/4/2024||Active|Security</v>
      </c>
      <c r="W788" s="13">
        <f t="shared" si="3"/>
        <v>1</v>
      </c>
      <c r="X788" s="13">
        <f>IFERROR(__xludf.DUMMYFUNCTION("COUNTUNIQUE(FILTER($B$2:$B$1826,$A$2:$A$1826=A788))"),3.0)</f>
        <v>3</v>
      </c>
    </row>
    <row r="789">
      <c r="A789" s="13" t="s">
        <v>689</v>
      </c>
      <c r="B789" s="13" t="s">
        <v>250</v>
      </c>
      <c r="C789" s="14">
        <v>40.0</v>
      </c>
      <c r="D789" s="13" t="s">
        <v>69</v>
      </c>
      <c r="E789" s="13" t="s">
        <v>70</v>
      </c>
      <c r="F789" s="13" t="s">
        <v>79</v>
      </c>
      <c r="G789" s="13" t="s">
        <v>80</v>
      </c>
      <c r="H789" s="16">
        <v>45351.0</v>
      </c>
      <c r="I789" s="14">
        <v>10.0</v>
      </c>
      <c r="J789" s="13" t="s">
        <v>64</v>
      </c>
      <c r="K789" s="13" t="s">
        <v>81</v>
      </c>
      <c r="L789" s="14">
        <v>2887.0</v>
      </c>
      <c r="M789" s="18" t="s">
        <v>43</v>
      </c>
      <c r="N789" s="18" t="s">
        <v>43</v>
      </c>
      <c r="O789" s="18">
        <v>30.7</v>
      </c>
      <c r="P789" s="18" t="s">
        <v>173</v>
      </c>
      <c r="Q789" s="16">
        <v>45538.0</v>
      </c>
      <c r="R789" s="16" t="s">
        <v>38</v>
      </c>
      <c r="S789" s="13" t="s">
        <v>55</v>
      </c>
      <c r="T789" s="13" t="s">
        <v>66</v>
      </c>
      <c r="U789" s="13">
        <f t="shared" si="1"/>
        <v>5</v>
      </c>
      <c r="V789" s="13" t="str">
        <f t="shared" si="2"/>
        <v>C01293|Vikram Singh|40|South|Bengaluru|Premium|Organic Search|2/29/2024|10|Annual|Debit Card|2,887|2|2|30.70|5|9/3/2024||Active|Automation</v>
      </c>
      <c r="W789" s="13">
        <f t="shared" si="3"/>
        <v>1</v>
      </c>
      <c r="X789" s="13">
        <f>IFERROR(__xludf.DUMMYFUNCTION("COUNTUNIQUE(FILTER($B$2:$B$1826,$A$2:$A$1826=A789))"),5.0)</f>
        <v>5</v>
      </c>
    </row>
    <row r="790">
      <c r="A790" s="13" t="s">
        <v>1391</v>
      </c>
      <c r="B790" s="13" t="s">
        <v>383</v>
      </c>
      <c r="C790" s="14">
        <v>27.0</v>
      </c>
      <c r="D790" s="13" t="s">
        <v>60</v>
      </c>
      <c r="E790" s="13" t="s">
        <v>61</v>
      </c>
      <c r="F790" s="13" t="s">
        <v>37</v>
      </c>
      <c r="G790" s="13" t="s">
        <v>39</v>
      </c>
      <c r="H790" s="16">
        <v>45090.0</v>
      </c>
      <c r="I790" s="14">
        <v>14.0</v>
      </c>
      <c r="J790" s="13" t="s">
        <v>53</v>
      </c>
      <c r="K790" s="13" t="s">
        <v>81</v>
      </c>
      <c r="L790" s="14">
        <v>1117.0</v>
      </c>
      <c r="M790" s="18" t="s">
        <v>46</v>
      </c>
      <c r="N790" s="18" t="s">
        <v>43</v>
      </c>
      <c r="O790" s="18">
        <v>32.5</v>
      </c>
      <c r="P790" s="18" t="s">
        <v>1166</v>
      </c>
      <c r="Q790" s="16">
        <v>45437.0</v>
      </c>
      <c r="R790" s="16" t="s">
        <v>38</v>
      </c>
      <c r="S790" s="13" t="s">
        <v>55</v>
      </c>
      <c r="T790" s="13" t="s">
        <v>72</v>
      </c>
      <c r="U790" s="13">
        <f t="shared" si="1"/>
        <v>2</v>
      </c>
      <c r="V790" s="13" t="str">
        <f t="shared" si="2"/>
        <v>C01522|Rahul Nair|27|East|Kolkata|Standard|Instagram|6/13/2023|14|Quarterly|Debit Card|1,117|0|2|32.50|1.3|5/25/2024||Active|Collaboration</v>
      </c>
      <c r="W790" s="13">
        <f t="shared" si="3"/>
        <v>1</v>
      </c>
      <c r="X790" s="13">
        <f>IFERROR(__xludf.DUMMYFUNCTION("COUNTUNIQUE(FILTER($B$2:$B$1826,$A$2:$A$1826=A790))"),2.0)</f>
        <v>2</v>
      </c>
    </row>
    <row r="791">
      <c r="A791" s="13" t="s">
        <v>668</v>
      </c>
      <c r="B791" s="13" t="s">
        <v>91</v>
      </c>
      <c r="C791" s="14">
        <v>30.0</v>
      </c>
      <c r="D791" s="13" t="s">
        <v>85</v>
      </c>
      <c r="E791" s="13" t="s">
        <v>292</v>
      </c>
      <c r="F791" s="13" t="s">
        <v>62</v>
      </c>
      <c r="G791" s="13" t="s">
        <v>63</v>
      </c>
      <c r="H791" s="16">
        <v>45851.0</v>
      </c>
      <c r="I791" s="14">
        <v>23.0</v>
      </c>
      <c r="J791" s="13" t="s">
        <v>53</v>
      </c>
      <c r="K791" s="13" t="s">
        <v>65</v>
      </c>
      <c r="L791" s="14">
        <v>503.0</v>
      </c>
      <c r="M791" s="18" t="s">
        <v>43</v>
      </c>
      <c r="N791" s="18" t="s">
        <v>46</v>
      </c>
      <c r="O791" s="18">
        <v>10.6</v>
      </c>
      <c r="P791" s="18" t="s">
        <v>130</v>
      </c>
      <c r="Q791" s="16">
        <v>46347.0</v>
      </c>
      <c r="R791" s="16" t="s">
        <v>1393</v>
      </c>
      <c r="S791" s="13" t="s">
        <v>45</v>
      </c>
      <c r="T791" s="13" t="s">
        <v>47</v>
      </c>
      <c r="U791" s="13">
        <f t="shared" si="1"/>
        <v>4</v>
      </c>
      <c r="V791" s="13" t="str">
        <f t="shared" si="2"/>
        <v>C00763|Anita Sharma|30|West|Mumbai|Basic|Google Ads|7/13/2025|23|Quarterly|Credit Card|503|2|0|10.60|3.9|11/21/2026|20/07/2026|Churned|Cloud Storage</v>
      </c>
      <c r="W791" s="13">
        <f t="shared" si="3"/>
        <v>1</v>
      </c>
      <c r="X791" s="13">
        <f>IFERROR(__xludf.DUMMYFUNCTION("COUNTUNIQUE(FILTER($B$2:$B$1826,$A$2:$A$1826=A791))"),4.0)</f>
        <v>4</v>
      </c>
    </row>
    <row r="792">
      <c r="A792" s="13" t="s">
        <v>1394</v>
      </c>
      <c r="B792" s="13" t="s">
        <v>380</v>
      </c>
      <c r="C792" s="14">
        <v>65.0</v>
      </c>
      <c r="D792" s="13" t="s">
        <v>69</v>
      </c>
      <c r="E792" s="13" t="s">
        <v>70</v>
      </c>
      <c r="F792" s="13" t="s">
        <v>62</v>
      </c>
      <c r="G792" s="13" t="s">
        <v>80</v>
      </c>
      <c r="H792" s="16">
        <v>45496.0</v>
      </c>
      <c r="I792" s="14">
        <v>38.0</v>
      </c>
      <c r="J792" s="13" t="s">
        <v>53</v>
      </c>
      <c r="K792" s="13" t="s">
        <v>81</v>
      </c>
      <c r="L792" s="14">
        <v>721.0</v>
      </c>
      <c r="M792" s="18" t="s">
        <v>164</v>
      </c>
      <c r="N792" s="18" t="s">
        <v>46</v>
      </c>
      <c r="O792" s="18">
        <v>25.5</v>
      </c>
      <c r="P792" s="18" t="s">
        <v>76</v>
      </c>
      <c r="Q792" s="16">
        <v>46475.0</v>
      </c>
      <c r="R792" s="16" t="s">
        <v>38</v>
      </c>
      <c r="S792" s="13" t="s">
        <v>55</v>
      </c>
      <c r="T792" s="13" t="s">
        <v>72</v>
      </c>
      <c r="U792" s="13">
        <f t="shared" si="1"/>
        <v>2</v>
      </c>
      <c r="V792" s="13" t="str">
        <f t="shared" si="2"/>
        <v>C00957|Neha Iyer|65|South|Bengaluru|Basic|Organic Search|7/23/2024|38|Quarterly|Debit Card|721|3|0|25.50|4.4|3/29/2027||Active|Collaboration</v>
      </c>
      <c r="W792" s="13">
        <f t="shared" si="3"/>
        <v>1</v>
      </c>
      <c r="X792" s="13">
        <f>IFERROR(__xludf.DUMMYFUNCTION("COUNTUNIQUE(FILTER($B$2:$B$1826,$A$2:$A$1826=A792))"),2.0)</f>
        <v>2</v>
      </c>
    </row>
    <row r="793">
      <c r="A793" s="13" t="s">
        <v>1395</v>
      </c>
      <c r="B793" s="13" t="s">
        <v>308</v>
      </c>
      <c r="C793" s="14">
        <v>29.0</v>
      </c>
      <c r="D793" s="13" t="s">
        <v>85</v>
      </c>
      <c r="E793" s="13" t="s">
        <v>92</v>
      </c>
      <c r="F793" s="13" t="s">
        <v>62</v>
      </c>
      <c r="G793" s="13" t="s">
        <v>39</v>
      </c>
      <c r="H793" s="16">
        <v>45600.0</v>
      </c>
      <c r="I793" s="14">
        <v>7.0</v>
      </c>
      <c r="J793" s="13" t="s">
        <v>64</v>
      </c>
      <c r="K793" s="13" t="s">
        <v>41</v>
      </c>
      <c r="L793" s="14">
        <v>895.0</v>
      </c>
      <c r="M793" s="18" t="s">
        <v>43</v>
      </c>
      <c r="N793" s="18" t="s">
        <v>46</v>
      </c>
      <c r="O793" s="18">
        <v>29.8</v>
      </c>
      <c r="P793" s="18" t="s">
        <v>310</v>
      </c>
      <c r="Q793" s="16">
        <v>45757.0</v>
      </c>
      <c r="R793" s="16" t="s">
        <v>38</v>
      </c>
      <c r="S793" s="13" t="s">
        <v>55</v>
      </c>
      <c r="T793" s="13" t="s">
        <v>72</v>
      </c>
      <c r="U793" s="13">
        <f t="shared" si="1"/>
        <v>1</v>
      </c>
      <c r="V793" s="13" t="str">
        <f t="shared" si="2"/>
        <v>C00989|Karan Kumar|29|West|Ahmedabad|Basic|Instagram|11/4/2024|7|Annual|Upi|895|2|0|29.80|3.1|4/10/2025||Active|Collaboration</v>
      </c>
      <c r="W793" s="13">
        <f t="shared" si="3"/>
        <v>1</v>
      </c>
      <c r="X793" s="13">
        <f>IFERROR(__xludf.DUMMYFUNCTION("COUNTUNIQUE(FILTER($B$2:$B$1826,$A$2:$A$1826=A793))"),1.0)</f>
        <v>1</v>
      </c>
    </row>
    <row r="794">
      <c r="A794" s="13" t="s">
        <v>1396</v>
      </c>
      <c r="B794" s="13" t="s">
        <v>734</v>
      </c>
      <c r="C794" s="14">
        <v>29.0</v>
      </c>
      <c r="D794" s="13" t="s">
        <v>69</v>
      </c>
      <c r="E794" s="13" t="s">
        <v>187</v>
      </c>
      <c r="F794" s="13" t="s">
        <v>62</v>
      </c>
      <c r="G794" s="13" t="s">
        <v>210</v>
      </c>
      <c r="H794" s="16">
        <v>44672.0</v>
      </c>
      <c r="I794" s="14">
        <v>6.0</v>
      </c>
      <c r="J794" s="13" t="s">
        <v>53</v>
      </c>
      <c r="K794" s="13" t="s">
        <v>41</v>
      </c>
      <c r="L794" s="14">
        <v>891.0</v>
      </c>
      <c r="M794" s="18" t="s">
        <v>46</v>
      </c>
      <c r="N794" s="18" t="s">
        <v>43</v>
      </c>
      <c r="O794" s="18">
        <v>6.5</v>
      </c>
      <c r="P794" s="18" t="s">
        <v>89</v>
      </c>
      <c r="Q794" s="16">
        <v>44770.0</v>
      </c>
      <c r="R794" s="16" t="s">
        <v>38</v>
      </c>
      <c r="S794" s="13" t="s">
        <v>55</v>
      </c>
      <c r="T794" s="13" t="s">
        <v>47</v>
      </c>
      <c r="U794" s="13">
        <f t="shared" si="1"/>
        <v>1</v>
      </c>
      <c r="V794" s="13" t="str">
        <f t="shared" si="2"/>
        <v>C01223|Sneha Das|29|South|Chennai|Basic|Referral|4/21/2022|6|Quarterly|Upi|891|0|2|6.50|3.3|7/28/2022||Active|Cloud Storage</v>
      </c>
      <c r="W794" s="13">
        <f t="shared" si="3"/>
        <v>1</v>
      </c>
      <c r="X794" s="13">
        <f>IFERROR(__xludf.DUMMYFUNCTION("COUNTUNIQUE(FILTER($B$2:$B$1826,$A$2:$A$1826=A794))"),1.0)</f>
        <v>1</v>
      </c>
    </row>
    <row r="795">
      <c r="A795" s="13" t="s">
        <v>1398</v>
      </c>
      <c r="B795" s="13" t="s">
        <v>167</v>
      </c>
      <c r="C795" s="14">
        <v>19.0</v>
      </c>
      <c r="D795" s="13" t="s">
        <v>69</v>
      </c>
      <c r="E795" s="13" t="s">
        <v>177</v>
      </c>
      <c r="F795" s="13" t="s">
        <v>62</v>
      </c>
      <c r="G795" s="13" t="s">
        <v>39</v>
      </c>
      <c r="H795" s="16">
        <v>45045.0</v>
      </c>
      <c r="I795" s="14">
        <v>14.0</v>
      </c>
      <c r="J795" s="13" t="s">
        <v>53</v>
      </c>
      <c r="K795" s="13" t="s">
        <v>41</v>
      </c>
      <c r="L795" s="14">
        <v>869.0</v>
      </c>
      <c r="M795" s="18" t="s">
        <v>98</v>
      </c>
      <c r="N795" s="18" t="s">
        <v>43</v>
      </c>
      <c r="O795" s="18">
        <v>25.6</v>
      </c>
      <c r="P795" s="18" t="s">
        <v>408</v>
      </c>
      <c r="Q795" s="16">
        <v>45405.0</v>
      </c>
      <c r="R795" s="16" t="s">
        <v>38</v>
      </c>
      <c r="S795" s="13" t="s">
        <v>55</v>
      </c>
      <c r="T795" s="13" t="s">
        <v>72</v>
      </c>
      <c r="U795" s="13">
        <f t="shared" si="1"/>
        <v>2</v>
      </c>
      <c r="V795" s="13" t="str">
        <f t="shared" si="2"/>
        <v>C00411|Ravi Reddy|19|South|Hyderabad|Basic|Instagram|4/29/2023|14|Quarterly|Upi|869|1|2|25.60|4.2|4/23/2024||Active|Collaboration</v>
      </c>
      <c r="W795" s="13">
        <f t="shared" si="3"/>
        <v>1</v>
      </c>
      <c r="X795" s="13">
        <f>IFERROR(__xludf.DUMMYFUNCTION("COUNTUNIQUE(FILTER($B$2:$B$1826,$A$2:$A$1826=A795))"),2.0)</f>
        <v>2</v>
      </c>
    </row>
    <row r="796">
      <c r="A796" s="13" t="s">
        <v>1400</v>
      </c>
      <c r="B796" s="13" t="s">
        <v>405</v>
      </c>
      <c r="C796" s="14">
        <v>67.0</v>
      </c>
      <c r="D796" s="13" t="s">
        <v>85</v>
      </c>
      <c r="E796" s="13" t="s">
        <v>87</v>
      </c>
      <c r="F796" s="13" t="s">
        <v>37</v>
      </c>
      <c r="G796" s="13" t="s">
        <v>120</v>
      </c>
      <c r="H796" s="16">
        <v>45930.0</v>
      </c>
      <c r="I796" s="14">
        <v>25.0</v>
      </c>
      <c r="J796" s="13" t="s">
        <v>40</v>
      </c>
      <c r="K796" s="13" t="s">
        <v>65</v>
      </c>
      <c r="L796" s="14">
        <v>1247.0</v>
      </c>
      <c r="M796" s="18" t="s">
        <v>164</v>
      </c>
      <c r="N796" s="18" t="s">
        <v>43</v>
      </c>
      <c r="O796" s="18">
        <v>16.0</v>
      </c>
      <c r="P796" s="18" t="s">
        <v>296</v>
      </c>
      <c r="Q796" s="16">
        <v>46038.0</v>
      </c>
      <c r="R796" s="16" t="s">
        <v>1401</v>
      </c>
      <c r="S796" s="13" t="s">
        <v>45</v>
      </c>
      <c r="T796" s="13" t="s">
        <v>72</v>
      </c>
      <c r="U796" s="13">
        <f t="shared" si="1"/>
        <v>3</v>
      </c>
      <c r="V796" s="13" t="str">
        <f t="shared" si="2"/>
        <v>C00205|Rahul Reddy|67|West|Surat|Standard|Email|9/30/2025|25|Monthly|Credit Card|1,247|3|2|16.00|4.6|1/16/2026|30/11/2026|Churned|Collaboration</v>
      </c>
      <c r="W796" s="13">
        <f t="shared" si="3"/>
        <v>1</v>
      </c>
      <c r="X796" s="13">
        <f>IFERROR(__xludf.DUMMYFUNCTION("COUNTUNIQUE(FILTER($B$2:$B$1826,$A$2:$A$1826=A796))"),3.0)</f>
        <v>3</v>
      </c>
    </row>
    <row r="797">
      <c r="A797" s="13" t="s">
        <v>1403</v>
      </c>
      <c r="B797" s="13" t="s">
        <v>636</v>
      </c>
      <c r="C797" s="14">
        <v>42.0</v>
      </c>
      <c r="D797" s="13" t="s">
        <v>85</v>
      </c>
      <c r="E797" s="13" t="s">
        <v>87</v>
      </c>
      <c r="F797" s="13" t="s">
        <v>37</v>
      </c>
      <c r="G797" s="13" t="s">
        <v>210</v>
      </c>
      <c r="H797" s="16">
        <v>45562.0</v>
      </c>
      <c r="I797" s="14">
        <v>43.0</v>
      </c>
      <c r="J797" s="13" t="s">
        <v>53</v>
      </c>
      <c r="K797" s="13" t="s">
        <v>81</v>
      </c>
      <c r="L797" s="14">
        <v>1026.0</v>
      </c>
      <c r="M797" s="18" t="s">
        <v>98</v>
      </c>
      <c r="N797" s="18" t="s">
        <v>164</v>
      </c>
      <c r="O797" s="18">
        <v>35.6</v>
      </c>
      <c r="P797" s="18" t="s">
        <v>203</v>
      </c>
      <c r="Q797" s="16">
        <v>46818.0</v>
      </c>
      <c r="R797" s="16" t="s">
        <v>1405</v>
      </c>
      <c r="S797" s="13" t="s">
        <v>45</v>
      </c>
      <c r="T797" s="13" t="s">
        <v>104</v>
      </c>
      <c r="U797" s="13">
        <f t="shared" si="1"/>
        <v>2</v>
      </c>
      <c r="V797" s="13" t="str">
        <f t="shared" si="2"/>
        <v>C00580|Neha Reddy|42|West|Surat|Standard|Referral|9/27/2024|43|Quarterly|Debit Card|1,026|1|3|35.60|3.7|3/6/2028|26/10/2025|Churned|Analytics</v>
      </c>
      <c r="W797" s="13">
        <f t="shared" si="3"/>
        <v>1</v>
      </c>
      <c r="X797" s="13">
        <f>IFERROR(__xludf.DUMMYFUNCTION("COUNTUNIQUE(FILTER($B$2:$B$1826,$A$2:$A$1826=A797))"),2.0)</f>
        <v>2</v>
      </c>
    </row>
    <row r="798">
      <c r="A798" s="13" t="s">
        <v>900</v>
      </c>
      <c r="B798" s="13" t="s">
        <v>206</v>
      </c>
      <c r="C798" s="14">
        <v>46.0</v>
      </c>
      <c r="D798" s="13" t="s">
        <v>85</v>
      </c>
      <c r="E798" s="13" t="s">
        <v>292</v>
      </c>
      <c r="F798" s="13" t="s">
        <v>37</v>
      </c>
      <c r="G798" s="13" t="s">
        <v>39</v>
      </c>
      <c r="H798" s="16">
        <v>45585.0</v>
      </c>
      <c r="I798" s="14">
        <v>13.0</v>
      </c>
      <c r="J798" s="13" t="s">
        <v>40</v>
      </c>
      <c r="K798" s="13" t="s">
        <v>65</v>
      </c>
      <c r="L798" s="14">
        <v>1444.0</v>
      </c>
      <c r="M798" s="18" t="s">
        <v>43</v>
      </c>
      <c r="N798" s="18" t="s">
        <v>46</v>
      </c>
      <c r="O798" s="18">
        <v>31.3</v>
      </c>
      <c r="P798" s="18" t="s">
        <v>99</v>
      </c>
      <c r="Q798" s="16">
        <v>45768.0</v>
      </c>
      <c r="R798" s="16" t="s">
        <v>38</v>
      </c>
      <c r="S798" s="13" t="s">
        <v>55</v>
      </c>
      <c r="T798" s="13" t="s">
        <v>72</v>
      </c>
      <c r="U798" s="13">
        <f t="shared" si="1"/>
        <v>2</v>
      </c>
      <c r="V798" s="13" t="str">
        <f t="shared" si="2"/>
        <v>C01251|Karan Patel|46|West|Mumbai|Standard|Instagram|10/20/2024|13|Monthly|Credit Card|1,444|2|0|31.30|4|4/21/2025||Active|Collaboration</v>
      </c>
      <c r="W798" s="13">
        <f t="shared" si="3"/>
        <v>1</v>
      </c>
      <c r="X798" s="13">
        <f>IFERROR(__xludf.DUMMYFUNCTION("COUNTUNIQUE(FILTER($B$2:$B$1826,$A$2:$A$1826=A798))"),2.0)</f>
        <v>2</v>
      </c>
    </row>
    <row r="799">
      <c r="A799" s="13" t="s">
        <v>1406</v>
      </c>
      <c r="B799" s="13" t="s">
        <v>91</v>
      </c>
      <c r="C799" s="14">
        <v>60.0</v>
      </c>
      <c r="D799" s="13" t="s">
        <v>85</v>
      </c>
      <c r="E799" s="13" t="s">
        <v>292</v>
      </c>
      <c r="F799" s="13" t="s">
        <v>62</v>
      </c>
      <c r="G799" s="13" t="s">
        <v>120</v>
      </c>
      <c r="H799" s="16">
        <v>44929.0</v>
      </c>
      <c r="I799" s="14">
        <v>11.0</v>
      </c>
      <c r="J799" s="13" t="s">
        <v>53</v>
      </c>
      <c r="K799" s="13" t="s">
        <v>41</v>
      </c>
      <c r="L799" s="14">
        <v>763.0</v>
      </c>
      <c r="M799" s="18" t="s">
        <v>98</v>
      </c>
      <c r="N799" s="18" t="s">
        <v>98</v>
      </c>
      <c r="O799" s="18">
        <v>37.1</v>
      </c>
      <c r="P799" s="18" t="s">
        <v>400</v>
      </c>
      <c r="Q799" s="16">
        <v>44981.0</v>
      </c>
      <c r="R799" s="16" t="s">
        <v>38</v>
      </c>
      <c r="S799" s="13" t="s">
        <v>55</v>
      </c>
      <c r="T799" s="13" t="s">
        <v>47</v>
      </c>
      <c r="U799" s="13">
        <f t="shared" si="1"/>
        <v>1</v>
      </c>
      <c r="V799" s="13" t="str">
        <f t="shared" si="2"/>
        <v>C00793|Anita Sharma|60|West|Mumbai|Basic|Email|1/3/2023|11|Quarterly|Upi|763|1|1|37.10|4.8|2/24/2023||Active|Cloud Storage</v>
      </c>
      <c r="W799" s="13">
        <f t="shared" si="3"/>
        <v>1</v>
      </c>
      <c r="X799" s="13">
        <f>IFERROR(__xludf.DUMMYFUNCTION("COUNTUNIQUE(FILTER($B$2:$B$1826,$A$2:$A$1826=A799))"),1.0)</f>
        <v>1</v>
      </c>
    </row>
    <row r="800">
      <c r="A800" s="13" t="s">
        <v>502</v>
      </c>
      <c r="B800" s="13" t="s">
        <v>222</v>
      </c>
      <c r="C800" s="14">
        <v>66.0</v>
      </c>
      <c r="D800" s="13" t="s">
        <v>69</v>
      </c>
      <c r="E800" s="13" t="s">
        <v>119</v>
      </c>
      <c r="F800" s="13" t="s">
        <v>37</v>
      </c>
      <c r="G800" s="13" t="s">
        <v>63</v>
      </c>
      <c r="H800" s="16">
        <v>45557.0</v>
      </c>
      <c r="I800" s="14">
        <v>42.0</v>
      </c>
      <c r="J800" s="13" t="s">
        <v>64</v>
      </c>
      <c r="K800" s="13" t="s">
        <v>41</v>
      </c>
      <c r="L800" s="14">
        <v>1431.0</v>
      </c>
      <c r="M800" s="18" t="s">
        <v>43</v>
      </c>
      <c r="N800" s="18" t="s">
        <v>98</v>
      </c>
      <c r="O800" s="18">
        <v>33.8</v>
      </c>
      <c r="P800" s="18" t="s">
        <v>225</v>
      </c>
      <c r="Q800" s="16">
        <v>45678.0</v>
      </c>
      <c r="R800" s="16">
        <v>46119.0</v>
      </c>
      <c r="S800" s="13" t="s">
        <v>45</v>
      </c>
      <c r="T800" s="13" t="s">
        <v>66</v>
      </c>
      <c r="U800" s="13">
        <f t="shared" si="1"/>
        <v>2</v>
      </c>
      <c r="V800" s="13" t="str">
        <f t="shared" si="2"/>
        <v>C00654|Karan Iyer|66|South|Kochi|Standard|Google Ads|9/22/2024|42|Annual|Upi|1,431|2|1|33.80|3.8|1/21/2025|4/7/2026|Churned|Automation</v>
      </c>
      <c r="W800" s="13">
        <f t="shared" si="3"/>
        <v>1</v>
      </c>
      <c r="X800" s="13">
        <f>IFERROR(__xludf.DUMMYFUNCTION("COUNTUNIQUE(FILTER($B$2:$B$1826,$A$2:$A$1826=A800))"),2.0)</f>
        <v>2</v>
      </c>
    </row>
    <row r="801">
      <c r="A801" s="13" t="s">
        <v>1409</v>
      </c>
      <c r="B801" s="13" t="s">
        <v>336</v>
      </c>
      <c r="C801" s="14">
        <v>19.0</v>
      </c>
      <c r="D801" s="13" t="s">
        <v>60</v>
      </c>
      <c r="E801" s="13" t="s">
        <v>133</v>
      </c>
      <c r="F801" s="13" t="s">
        <v>37</v>
      </c>
      <c r="G801" s="13" t="s">
        <v>128</v>
      </c>
      <c r="H801" s="16">
        <v>45657.0</v>
      </c>
      <c r="I801" s="14">
        <v>24.0</v>
      </c>
      <c r="J801" s="13" t="s">
        <v>53</v>
      </c>
      <c r="K801" s="13" t="s">
        <v>81</v>
      </c>
      <c r="L801" s="14">
        <v>1433.0</v>
      </c>
      <c r="M801" s="18" t="s">
        <v>164</v>
      </c>
      <c r="N801" s="18" t="s">
        <v>46</v>
      </c>
      <c r="O801" s="18">
        <v>21.7</v>
      </c>
      <c r="P801" s="18" t="s">
        <v>203</v>
      </c>
      <c r="Q801" s="16">
        <v>46059.0</v>
      </c>
      <c r="R801" s="16" t="s">
        <v>38</v>
      </c>
      <c r="S801" s="13" t="s">
        <v>55</v>
      </c>
      <c r="T801" s="13" t="s">
        <v>66</v>
      </c>
      <c r="U801" s="13">
        <f t="shared" si="1"/>
        <v>2</v>
      </c>
      <c r="V801" s="13" t="str">
        <f t="shared" si="2"/>
        <v>C00923|Priya Patel|19|East|Guwahati|Standard|Youtube|12/31/2024|24|Quarterly|Debit Card|1,433|3|0|21.70|3.7|2/6/2026||Active|Automation</v>
      </c>
      <c r="W801" s="13">
        <f t="shared" si="3"/>
        <v>1</v>
      </c>
      <c r="X801" s="13">
        <f>IFERROR(__xludf.DUMMYFUNCTION("COUNTUNIQUE(FILTER($B$2:$B$1826,$A$2:$A$1826=A801))"),2.0)</f>
        <v>2</v>
      </c>
    </row>
    <row r="802">
      <c r="A802" s="13" t="s">
        <v>882</v>
      </c>
      <c r="B802" s="13" t="s">
        <v>448</v>
      </c>
      <c r="C802" s="14" t="s">
        <v>38</v>
      </c>
      <c r="D802" s="13" t="s">
        <v>69</v>
      </c>
      <c r="E802" s="13" t="s">
        <v>119</v>
      </c>
      <c r="F802" s="13" t="s">
        <v>62</v>
      </c>
      <c r="G802" s="13" t="s">
        <v>120</v>
      </c>
      <c r="H802" s="16">
        <v>45138.0</v>
      </c>
      <c r="I802" s="14">
        <v>3.0</v>
      </c>
      <c r="J802" s="13" t="s">
        <v>53</v>
      </c>
      <c r="K802" s="13" t="s">
        <v>65</v>
      </c>
      <c r="L802" s="14">
        <v>749.0</v>
      </c>
      <c r="M802" s="18" t="s">
        <v>43</v>
      </c>
      <c r="N802" s="18" t="s">
        <v>43</v>
      </c>
      <c r="O802" s="18">
        <v>9.6</v>
      </c>
      <c r="P802" s="18" t="s">
        <v>123</v>
      </c>
      <c r="Q802" s="16">
        <v>45154.0</v>
      </c>
      <c r="R802" s="16" t="s">
        <v>38</v>
      </c>
      <c r="S802" s="13" t="s">
        <v>55</v>
      </c>
      <c r="T802" s="13" t="s">
        <v>72</v>
      </c>
      <c r="U802" s="13">
        <f t="shared" si="1"/>
        <v>2</v>
      </c>
      <c r="V802" s="13" t="str">
        <f t="shared" si="2"/>
        <v>C00529|Meera Reddy||South|Kochi|Basic|Email|7/31/2023|3|Quarterly|Credit Card|749|2|2|9.60|4.1|8/16/2023||Active|Collaboration</v>
      </c>
      <c r="W802" s="13">
        <f t="shared" si="3"/>
        <v>1</v>
      </c>
      <c r="X802" s="13">
        <f>IFERROR(__xludf.DUMMYFUNCTION("COUNTUNIQUE(FILTER($B$2:$B$1826,$A$2:$A$1826=A802))"),2.0)</f>
        <v>2</v>
      </c>
    </row>
    <row r="803">
      <c r="A803" s="13" t="s">
        <v>1006</v>
      </c>
      <c r="B803" s="13" t="s">
        <v>74</v>
      </c>
      <c r="C803" s="14">
        <v>53.0</v>
      </c>
      <c r="D803" s="13" t="s">
        <v>35</v>
      </c>
      <c r="E803" s="13" t="s">
        <v>161</v>
      </c>
      <c r="F803" s="13" t="s">
        <v>62</v>
      </c>
      <c r="G803" s="13" t="s">
        <v>210</v>
      </c>
      <c r="H803" s="16">
        <v>45416.0</v>
      </c>
      <c r="I803" s="14">
        <v>2.0</v>
      </c>
      <c r="J803" s="13" t="s">
        <v>64</v>
      </c>
      <c r="K803" s="13" t="s">
        <v>65</v>
      </c>
      <c r="L803" s="14">
        <v>651.0</v>
      </c>
      <c r="M803" s="18" t="s">
        <v>173</v>
      </c>
      <c r="N803" s="18" t="s">
        <v>46</v>
      </c>
      <c r="O803" s="18">
        <v>7.1</v>
      </c>
      <c r="P803" s="18" t="s">
        <v>275</v>
      </c>
      <c r="Q803" s="16">
        <v>45440.0</v>
      </c>
      <c r="R803" s="16" t="s">
        <v>38</v>
      </c>
      <c r="S803" s="13" t="s">
        <v>55</v>
      </c>
      <c r="T803" s="13" t="s">
        <v>47</v>
      </c>
      <c r="U803" s="13">
        <f t="shared" si="1"/>
        <v>3</v>
      </c>
      <c r="V803" s="13" t="str">
        <f t="shared" si="2"/>
        <v>C01571|Anita Kumar|53|North|Chandigarh|Basic|Referral|5/4/2024|2|Annual|Credit Card|651|5|0|7.10|4.3|5/28/2024||Active|Cloud Storage</v>
      </c>
      <c r="W803" s="13">
        <f t="shared" si="3"/>
        <v>1</v>
      </c>
      <c r="X803" s="13">
        <f>IFERROR(__xludf.DUMMYFUNCTION("COUNTUNIQUE(FILTER($B$2:$B$1826,$A$2:$A$1826=A803))"),3.0)</f>
        <v>3</v>
      </c>
    </row>
    <row r="804">
      <c r="A804" s="13" t="s">
        <v>1002</v>
      </c>
      <c r="B804" s="13" t="s">
        <v>172</v>
      </c>
      <c r="C804" s="14">
        <v>65.0</v>
      </c>
      <c r="D804" s="13" t="s">
        <v>35</v>
      </c>
      <c r="E804" s="13" t="s">
        <v>36</v>
      </c>
      <c r="F804" s="13" t="s">
        <v>62</v>
      </c>
      <c r="G804" s="13" t="s">
        <v>39</v>
      </c>
      <c r="H804" s="16">
        <v>45858.0</v>
      </c>
      <c r="I804" s="14">
        <v>32.0</v>
      </c>
      <c r="J804" s="13" t="s">
        <v>64</v>
      </c>
      <c r="K804" s="13" t="s">
        <v>81</v>
      </c>
      <c r="L804" s="14">
        <v>639.0</v>
      </c>
      <c r="M804" s="18" t="s">
        <v>46</v>
      </c>
      <c r="N804" s="18" t="s">
        <v>98</v>
      </c>
      <c r="O804" s="18">
        <v>34.0</v>
      </c>
      <c r="P804" s="18" t="s">
        <v>173</v>
      </c>
      <c r="Q804" s="16">
        <v>46337.0</v>
      </c>
      <c r="R804" s="16" t="s">
        <v>38</v>
      </c>
      <c r="S804" s="13" t="s">
        <v>55</v>
      </c>
      <c r="T804" s="13" t="s">
        <v>75</v>
      </c>
      <c r="U804" s="13">
        <f t="shared" si="1"/>
        <v>2</v>
      </c>
      <c r="V804" s="13" t="str">
        <f t="shared" si="2"/>
        <v>C00359|Meera Singh|65|North|Delhi|Basic|Instagram|7/20/2025|32|Annual|Debit Card|639|0|1|34.00|5|11/11/2026||Active|Security</v>
      </c>
      <c r="W804" s="13">
        <f t="shared" si="3"/>
        <v>1</v>
      </c>
      <c r="X804" s="13">
        <f>IFERROR(__xludf.DUMMYFUNCTION("COUNTUNIQUE(FILTER($B$2:$B$1826,$A$2:$A$1826=A804))"),2.0)</f>
        <v>2</v>
      </c>
    </row>
    <row r="805">
      <c r="A805" s="13" t="s">
        <v>1410</v>
      </c>
      <c r="B805" s="13" t="s">
        <v>224</v>
      </c>
      <c r="C805" s="14">
        <v>46.0</v>
      </c>
      <c r="D805" s="13" t="s">
        <v>35</v>
      </c>
      <c r="E805" s="13" t="s">
        <v>161</v>
      </c>
      <c r="F805" s="13" t="s">
        <v>62</v>
      </c>
      <c r="G805" s="13" t="s">
        <v>39</v>
      </c>
      <c r="H805" s="16">
        <v>45809.0</v>
      </c>
      <c r="I805" s="14">
        <v>47.0</v>
      </c>
      <c r="J805" s="13" t="s">
        <v>53</v>
      </c>
      <c r="K805" s="13" t="s">
        <v>41</v>
      </c>
      <c r="L805" s="14">
        <v>550.0</v>
      </c>
      <c r="M805" s="18" t="s">
        <v>98</v>
      </c>
      <c r="N805" s="18" t="s">
        <v>98</v>
      </c>
      <c r="O805" s="18">
        <v>16.1</v>
      </c>
      <c r="P805" s="18" t="s">
        <v>89</v>
      </c>
      <c r="Q805" s="16">
        <v>45980.0</v>
      </c>
      <c r="R805" s="16" t="s">
        <v>38</v>
      </c>
      <c r="S805" s="13" t="s">
        <v>55</v>
      </c>
      <c r="T805" s="13" t="s">
        <v>47</v>
      </c>
      <c r="U805" s="13">
        <f t="shared" si="1"/>
        <v>1</v>
      </c>
      <c r="V805" s="13" t="str">
        <f t="shared" si="2"/>
        <v>C00084|Anita Iyer|46|North|Chandigarh|Basic|Instagram|6/1/2025|47|Quarterly|Upi|550|1|1|16.10|3.3|11/19/2025||Active|Cloud Storage</v>
      </c>
      <c r="W805" s="13">
        <f t="shared" si="3"/>
        <v>1</v>
      </c>
      <c r="X805" s="13">
        <f>IFERROR(__xludf.DUMMYFUNCTION("COUNTUNIQUE(FILTER($B$2:$B$1826,$A$2:$A$1826=A805))"),1.0)</f>
        <v>1</v>
      </c>
    </row>
    <row r="806">
      <c r="A806" s="13" t="s">
        <v>455</v>
      </c>
      <c r="B806" s="13" t="s">
        <v>424</v>
      </c>
      <c r="C806" s="14">
        <v>42.0</v>
      </c>
      <c r="D806" s="13" t="s">
        <v>60</v>
      </c>
      <c r="E806" s="13" t="s">
        <v>61</v>
      </c>
      <c r="F806" s="13" t="s">
        <v>37</v>
      </c>
      <c r="G806" s="13" t="s">
        <v>120</v>
      </c>
      <c r="H806" s="16">
        <v>44800.0</v>
      </c>
      <c r="I806" s="14">
        <v>13.0</v>
      </c>
      <c r="J806" s="13" t="s">
        <v>64</v>
      </c>
      <c r="K806" s="13" t="s">
        <v>65</v>
      </c>
      <c r="L806" s="14">
        <v>1629.0</v>
      </c>
      <c r="M806" s="18" t="s">
        <v>43</v>
      </c>
      <c r="N806" s="18" t="s">
        <v>46</v>
      </c>
      <c r="O806" s="18">
        <v>16.0</v>
      </c>
      <c r="P806" s="18" t="s">
        <v>368</v>
      </c>
      <c r="Q806" s="16">
        <v>45086.0</v>
      </c>
      <c r="R806" s="16" t="s">
        <v>38</v>
      </c>
      <c r="S806" s="13" t="s">
        <v>55</v>
      </c>
      <c r="T806" s="13" t="s">
        <v>47</v>
      </c>
      <c r="U806" s="13">
        <f t="shared" si="1"/>
        <v>5</v>
      </c>
      <c r="V806" s="13" t="str">
        <f t="shared" si="2"/>
        <v>C01530|Neha Kumar|42|East|Kolkata|Standard|Email|8/27/2022|13|Annual|Credit Card|1,629|2|0|16.00|4.9|6/9/2023||Active|Cloud Storage</v>
      </c>
      <c r="W806" s="13">
        <f t="shared" si="3"/>
        <v>1</v>
      </c>
      <c r="X806" s="13">
        <f>IFERROR(__xludf.DUMMYFUNCTION("COUNTUNIQUE(FILTER($B$2:$B$1826,$A$2:$A$1826=A806))"),4.0)</f>
        <v>4</v>
      </c>
    </row>
    <row r="807">
      <c r="A807" s="13" t="s">
        <v>909</v>
      </c>
      <c r="B807" s="13" t="s">
        <v>420</v>
      </c>
      <c r="C807" s="14">
        <v>19.0</v>
      </c>
      <c r="D807" s="13" t="s">
        <v>85</v>
      </c>
      <c r="E807" s="13" t="s">
        <v>92</v>
      </c>
      <c r="F807" s="13" t="s">
        <v>37</v>
      </c>
      <c r="G807" s="13" t="s">
        <v>128</v>
      </c>
      <c r="H807" s="16">
        <v>44942.0</v>
      </c>
      <c r="I807" s="14">
        <v>18.0</v>
      </c>
      <c r="J807" s="13" t="s">
        <v>53</v>
      </c>
      <c r="K807" s="13" t="s">
        <v>41</v>
      </c>
      <c r="L807" s="14">
        <v>1618.0</v>
      </c>
      <c r="M807" s="18" t="s">
        <v>46</v>
      </c>
      <c r="N807" s="18" t="s">
        <v>43</v>
      </c>
      <c r="O807" s="18">
        <v>33.4</v>
      </c>
      <c r="P807" s="18" t="s">
        <v>99</v>
      </c>
      <c r="Q807" s="16">
        <v>45137.0</v>
      </c>
      <c r="R807" s="16" t="s">
        <v>38</v>
      </c>
      <c r="S807" s="13" t="s">
        <v>55</v>
      </c>
      <c r="T807" s="13" t="s">
        <v>104</v>
      </c>
      <c r="U807" s="13">
        <f t="shared" si="1"/>
        <v>4</v>
      </c>
      <c r="V807" s="13" t="str">
        <f t="shared" si="2"/>
        <v>C01558|Vikram Iyer|19|West|Ahmedabad|Standard|Youtube|1/16/2023|18|Quarterly|Upi|1,618|0|2|33.40|4|7/30/2023||Active|Analytics</v>
      </c>
      <c r="W807" s="13">
        <f t="shared" si="3"/>
        <v>1</v>
      </c>
      <c r="X807" s="13">
        <f>IFERROR(__xludf.DUMMYFUNCTION("COUNTUNIQUE(FILTER($B$2:$B$1826,$A$2:$A$1826=A807))"),4.0)</f>
        <v>4</v>
      </c>
    </row>
    <row r="808">
      <c r="A808" s="13" t="s">
        <v>945</v>
      </c>
      <c r="B808" s="13" t="s">
        <v>215</v>
      </c>
      <c r="C808" s="14">
        <v>58.0</v>
      </c>
      <c r="D808" s="13" t="s">
        <v>85</v>
      </c>
      <c r="E808" s="13" t="s">
        <v>177</v>
      </c>
      <c r="F808" s="13" t="s">
        <v>62</v>
      </c>
      <c r="G808" s="13" t="s">
        <v>80</v>
      </c>
      <c r="H808" s="16">
        <v>45862.0</v>
      </c>
      <c r="I808" s="14">
        <v>21.0</v>
      </c>
      <c r="J808" s="13" t="s">
        <v>53</v>
      </c>
      <c r="K808" s="13" t="s">
        <v>81</v>
      </c>
      <c r="L808" s="14">
        <v>614.0</v>
      </c>
      <c r="M808" s="18" t="s">
        <v>43</v>
      </c>
      <c r="N808" s="18" t="s">
        <v>164</v>
      </c>
      <c r="O808" s="18">
        <v>8.5</v>
      </c>
      <c r="P808" s="18" t="s">
        <v>233</v>
      </c>
      <c r="Q808" s="16">
        <v>46204.0</v>
      </c>
      <c r="R808" s="16" t="s">
        <v>38</v>
      </c>
      <c r="S808" s="13" t="s">
        <v>55</v>
      </c>
      <c r="T808" s="13" t="s">
        <v>66</v>
      </c>
      <c r="U808" s="13">
        <f t="shared" si="1"/>
        <v>3</v>
      </c>
      <c r="V808" s="13" t="str">
        <f t="shared" si="2"/>
        <v>C00849|Neha Sharma|58|West|Hyderabad|Basic|Organic Search|7/24/2025|21|Quarterly|Debit Card|614|2|3|8.50|3.5|7/1/2026||Active|Automation</v>
      </c>
      <c r="W808" s="13">
        <f t="shared" si="3"/>
        <v>1</v>
      </c>
      <c r="X808" s="13">
        <f>IFERROR(__xludf.DUMMYFUNCTION("COUNTUNIQUE(FILTER($B$2:$B$1826,$A$2:$A$1826=A808))"),3.0)</f>
        <v>3</v>
      </c>
    </row>
    <row r="809">
      <c r="A809" s="13" t="s">
        <v>462</v>
      </c>
      <c r="B809" s="13" t="s">
        <v>383</v>
      </c>
      <c r="C809" s="14">
        <v>66.0</v>
      </c>
      <c r="D809" s="13" t="s">
        <v>85</v>
      </c>
      <c r="E809" s="13" t="s">
        <v>92</v>
      </c>
      <c r="F809" s="13" t="s">
        <v>37</v>
      </c>
      <c r="G809" s="13" t="s">
        <v>120</v>
      </c>
      <c r="H809" s="16">
        <v>45704.0</v>
      </c>
      <c r="I809" s="14">
        <v>1.0</v>
      </c>
      <c r="J809" s="13" t="s">
        <v>53</v>
      </c>
      <c r="K809" s="13" t="s">
        <v>41</v>
      </c>
      <c r="L809" s="14">
        <v>1353.0</v>
      </c>
      <c r="M809" s="18" t="s">
        <v>164</v>
      </c>
      <c r="N809" s="18" t="s">
        <v>43</v>
      </c>
      <c r="O809" s="18">
        <v>28.4</v>
      </c>
      <c r="P809" s="18" t="s">
        <v>275</v>
      </c>
      <c r="Q809" s="16">
        <v>45742.0</v>
      </c>
      <c r="R809" s="16" t="s">
        <v>38</v>
      </c>
      <c r="S809" s="13" t="s">
        <v>55</v>
      </c>
      <c r="T809" s="13" t="s">
        <v>66</v>
      </c>
      <c r="U809" s="13">
        <f t="shared" si="1"/>
        <v>5</v>
      </c>
      <c r="V809" s="13" t="str">
        <f t="shared" si="2"/>
        <v>C00944|Rahul Nair|66|West|Ahmedabad|Standard|Email|2/16/2025|1|Quarterly|Upi|1,353|3|2|28.40|4.3|3/26/2025||Active|Automation</v>
      </c>
      <c r="W809" s="13">
        <f t="shared" si="3"/>
        <v>1</v>
      </c>
      <c r="X809" s="13">
        <f>IFERROR(__xludf.DUMMYFUNCTION("COUNTUNIQUE(FILTER($B$2:$B$1826,$A$2:$A$1826=A809))"),5.0)</f>
        <v>5</v>
      </c>
    </row>
    <row r="810">
      <c r="A810" s="13" t="s">
        <v>1411</v>
      </c>
      <c r="B810" s="13" t="s">
        <v>636</v>
      </c>
      <c r="C810" s="14">
        <v>38.0</v>
      </c>
      <c r="D810" s="13" t="s">
        <v>69</v>
      </c>
      <c r="E810" s="13" t="s">
        <v>119</v>
      </c>
      <c r="F810" s="13" t="s">
        <v>62</v>
      </c>
      <c r="G810" s="13" t="s">
        <v>63</v>
      </c>
      <c r="H810" s="16">
        <v>45915.0</v>
      </c>
      <c r="I810" s="14">
        <v>37.0</v>
      </c>
      <c r="J810" s="13" t="s">
        <v>53</v>
      </c>
      <c r="K810" s="13" t="s">
        <v>65</v>
      </c>
      <c r="L810" s="14">
        <v>822.0</v>
      </c>
      <c r="M810" s="18" t="s">
        <v>43</v>
      </c>
      <c r="N810" s="18" t="s">
        <v>43</v>
      </c>
      <c r="O810" s="18">
        <v>4.5</v>
      </c>
      <c r="P810" s="18" t="s">
        <v>701</v>
      </c>
      <c r="Q810" s="16">
        <v>46632.0</v>
      </c>
      <c r="R810" s="16">
        <v>46085.0</v>
      </c>
      <c r="S810" s="13" t="s">
        <v>45</v>
      </c>
      <c r="T810" s="13" t="s">
        <v>75</v>
      </c>
      <c r="U810" s="13">
        <f t="shared" si="1"/>
        <v>1</v>
      </c>
      <c r="V810" s="13" t="str">
        <f t="shared" si="2"/>
        <v>C01429|Neha Reddy|38|South|Kochi|Basic|Google Ads|9/15/2025|37|Quarterly|Credit Card|822|2|2|4.50|2.8|9/2/2027|3/4/2026|Churned|Security</v>
      </c>
      <c r="W810" s="13">
        <f t="shared" si="3"/>
        <v>1</v>
      </c>
      <c r="X810" s="13">
        <f>IFERROR(__xludf.DUMMYFUNCTION("COUNTUNIQUE(FILTER($B$2:$B$1826,$A$2:$A$1826=A810))"),1.0)</f>
        <v>1</v>
      </c>
    </row>
    <row r="811">
      <c r="A811" s="13" t="s">
        <v>1413</v>
      </c>
      <c r="B811" s="13" t="s">
        <v>169</v>
      </c>
      <c r="C811" s="14">
        <v>34.0</v>
      </c>
      <c r="D811" s="13" t="s">
        <v>85</v>
      </c>
      <c r="E811" s="13" t="s">
        <v>292</v>
      </c>
      <c r="F811" s="13" t="s">
        <v>62</v>
      </c>
      <c r="G811" s="13" t="s">
        <v>80</v>
      </c>
      <c r="H811" s="16">
        <v>44903.0</v>
      </c>
      <c r="I811" s="14">
        <v>40.0</v>
      </c>
      <c r="J811" s="13" t="s">
        <v>53</v>
      </c>
      <c r="K811" s="13" t="s">
        <v>81</v>
      </c>
      <c r="L811" s="14">
        <v>719.0</v>
      </c>
      <c r="M811" s="18" t="s">
        <v>43</v>
      </c>
      <c r="N811" s="18" t="s">
        <v>98</v>
      </c>
      <c r="O811" s="18">
        <v>15.9</v>
      </c>
      <c r="P811" s="18" t="s">
        <v>89</v>
      </c>
      <c r="Q811" s="16">
        <v>44960.0</v>
      </c>
      <c r="R811" s="16" t="s">
        <v>38</v>
      </c>
      <c r="S811" s="13" t="s">
        <v>55</v>
      </c>
      <c r="T811" s="13" t="s">
        <v>47</v>
      </c>
      <c r="U811" s="13">
        <f t="shared" si="1"/>
        <v>1</v>
      </c>
      <c r="V811" s="13" t="str">
        <f t="shared" si="2"/>
        <v>C01382|Vikram Nair|34|West|Mumbai|Basic|Organic Search|12/8/2022|40|Quarterly|Debit Card|719|2|1|15.90|3.3|2/3/2023||Active|Cloud Storage</v>
      </c>
      <c r="W811" s="13">
        <f t="shared" si="3"/>
        <v>1</v>
      </c>
      <c r="X811" s="13">
        <f>IFERROR(__xludf.DUMMYFUNCTION("COUNTUNIQUE(FILTER($B$2:$B$1826,$A$2:$A$1826=A811))"),1.0)</f>
        <v>1</v>
      </c>
    </row>
    <row r="812">
      <c r="A812" s="13" t="s">
        <v>1414</v>
      </c>
      <c r="B812" s="13" t="s">
        <v>476</v>
      </c>
      <c r="C812" s="14">
        <v>41.0</v>
      </c>
      <c r="D812" s="13" t="s">
        <v>35</v>
      </c>
      <c r="E812" s="13" t="s">
        <v>36</v>
      </c>
      <c r="F812" s="13" t="s">
        <v>62</v>
      </c>
      <c r="G812" s="13" t="s">
        <v>39</v>
      </c>
      <c r="H812" s="16">
        <v>44788.0</v>
      </c>
      <c r="I812" s="14">
        <v>37.0</v>
      </c>
      <c r="J812" s="13" t="s">
        <v>40</v>
      </c>
      <c r="K812" s="13" t="s">
        <v>65</v>
      </c>
      <c r="L812" s="14">
        <v>580.0</v>
      </c>
      <c r="M812" s="18" t="s">
        <v>43</v>
      </c>
      <c r="N812" s="18" t="s">
        <v>43</v>
      </c>
      <c r="O812" s="18">
        <v>17.6</v>
      </c>
      <c r="P812" s="18" t="s">
        <v>48</v>
      </c>
      <c r="Q812" s="16">
        <v>45619.0</v>
      </c>
      <c r="R812" s="16" t="s">
        <v>38</v>
      </c>
      <c r="S812" s="13" t="s">
        <v>55</v>
      </c>
      <c r="T812" s="13" t="s">
        <v>66</v>
      </c>
      <c r="U812" s="13">
        <f t="shared" si="1"/>
        <v>1</v>
      </c>
      <c r="V812" s="13" t="str">
        <f t="shared" si="2"/>
        <v>C00776|Ravi Das|41|North|Delhi|Basic|Instagram|8/15/2022|37|Monthly|Credit Card|580|2|2|17.60|3.6|11/23/2024||Active|Automation</v>
      </c>
      <c r="W812" s="13">
        <f t="shared" si="3"/>
        <v>1</v>
      </c>
      <c r="X812" s="13">
        <f>IFERROR(__xludf.DUMMYFUNCTION("COUNTUNIQUE(FILTER($B$2:$B$1826,$A$2:$A$1826=A812))"),1.0)</f>
        <v>1</v>
      </c>
    </row>
    <row r="813">
      <c r="A813" s="13" t="s">
        <v>1133</v>
      </c>
      <c r="B813" s="13" t="s">
        <v>333</v>
      </c>
      <c r="C813" s="14">
        <v>50.0</v>
      </c>
      <c r="D813" s="13" t="s">
        <v>60</v>
      </c>
      <c r="E813" s="13" t="s">
        <v>107</v>
      </c>
      <c r="F813" s="13" t="s">
        <v>79</v>
      </c>
      <c r="G813" s="13" t="s">
        <v>52</v>
      </c>
      <c r="H813" s="16">
        <v>45968.0</v>
      </c>
      <c r="I813" s="14">
        <v>41.0</v>
      </c>
      <c r="J813" s="13" t="s">
        <v>53</v>
      </c>
      <c r="K813" s="13" t="s">
        <v>65</v>
      </c>
      <c r="L813" s="14">
        <v>1513.0</v>
      </c>
      <c r="M813" s="18" t="s">
        <v>43</v>
      </c>
      <c r="N813" s="18" t="s">
        <v>98</v>
      </c>
      <c r="O813" s="18">
        <v>21.1</v>
      </c>
      <c r="P813" s="18" t="s">
        <v>38</v>
      </c>
      <c r="Q813" s="16">
        <v>47068.0</v>
      </c>
      <c r="R813" s="16" t="s">
        <v>1417</v>
      </c>
      <c r="S813" s="13" t="s">
        <v>45</v>
      </c>
      <c r="T813" s="13" t="s">
        <v>75</v>
      </c>
      <c r="U813" s="13">
        <f t="shared" si="1"/>
        <v>2</v>
      </c>
      <c r="V813" s="13" t="str">
        <f t="shared" si="2"/>
        <v>C00572|Neha Das|50|East|Patna|Premium|Facebook|11/7/2025|41|Quarterly|Credit Card|1,513|2|1|21.10||11/11/2028|18/02/2028|Churned|Security</v>
      </c>
      <c r="W813" s="13">
        <f t="shared" si="3"/>
        <v>1</v>
      </c>
      <c r="X813" s="13">
        <f>IFERROR(__xludf.DUMMYFUNCTION("COUNTUNIQUE(FILTER($B$2:$B$1826,$A$2:$A$1826=A813))"),2.0)</f>
        <v>2</v>
      </c>
    </row>
    <row r="814">
      <c r="A814" s="13" t="s">
        <v>1418</v>
      </c>
      <c r="B814" s="13" t="s">
        <v>393</v>
      </c>
      <c r="C814" s="14">
        <v>45.0</v>
      </c>
      <c r="D814" s="13" t="s">
        <v>69</v>
      </c>
      <c r="E814" s="13" t="s">
        <v>119</v>
      </c>
      <c r="F814" s="13" t="s">
        <v>37</v>
      </c>
      <c r="G814" s="13" t="s">
        <v>80</v>
      </c>
      <c r="H814" s="16">
        <v>45246.0</v>
      </c>
      <c r="I814" s="14">
        <v>30.0</v>
      </c>
      <c r="J814" s="13" t="s">
        <v>40</v>
      </c>
      <c r="K814" s="13" t="s">
        <v>81</v>
      </c>
      <c r="L814" s="14">
        <v>848.0</v>
      </c>
      <c r="M814" s="18" t="s">
        <v>43</v>
      </c>
      <c r="N814" s="18" t="s">
        <v>98</v>
      </c>
      <c r="O814" s="18">
        <v>29.4</v>
      </c>
      <c r="P814" s="18" t="s">
        <v>89</v>
      </c>
      <c r="Q814" s="16">
        <v>45850.0</v>
      </c>
      <c r="R814" s="16" t="s">
        <v>38</v>
      </c>
      <c r="S814" s="13" t="s">
        <v>45</v>
      </c>
      <c r="T814" s="13" t="s">
        <v>104</v>
      </c>
      <c r="U814" s="13">
        <f t="shared" si="1"/>
        <v>3</v>
      </c>
      <c r="V814" s="13" t="str">
        <f t="shared" si="2"/>
        <v>C00322|Karan Das|45|South|Kochi|Standard|Organic Search|11/16/2023|30|Monthly|Debit Card|848|2|1|29.40|3.3|7/12/2025||Churned|Analytics</v>
      </c>
      <c r="W814" s="13">
        <f t="shared" si="3"/>
        <v>1</v>
      </c>
      <c r="X814" s="13">
        <f>IFERROR(__xludf.DUMMYFUNCTION("COUNTUNIQUE(FILTER($B$2:$B$1826,$A$2:$A$1826=A814))"),3.0)</f>
        <v>3</v>
      </c>
    </row>
    <row r="815">
      <c r="A815" s="13" t="s">
        <v>1419</v>
      </c>
      <c r="B815" s="13" t="s">
        <v>383</v>
      </c>
      <c r="C815" s="14">
        <v>62.0</v>
      </c>
      <c r="D815" s="13" t="s">
        <v>69</v>
      </c>
      <c r="E815" s="13" t="s">
        <v>187</v>
      </c>
      <c r="F815" s="13" t="s">
        <v>37</v>
      </c>
      <c r="G815" s="13" t="s">
        <v>80</v>
      </c>
      <c r="H815" s="16">
        <v>44726.0</v>
      </c>
      <c r="I815" s="14">
        <v>39.0</v>
      </c>
      <c r="J815" s="13" t="s">
        <v>40</v>
      </c>
      <c r="K815" s="13" t="s">
        <v>65</v>
      </c>
      <c r="L815" s="14">
        <v>1022.0</v>
      </c>
      <c r="M815" s="18" t="s">
        <v>164</v>
      </c>
      <c r="N815" s="18" t="s">
        <v>98</v>
      </c>
      <c r="O815" s="18">
        <v>25.2</v>
      </c>
      <c r="P815" s="18" t="s">
        <v>123</v>
      </c>
      <c r="Q815" s="16">
        <v>45247.0</v>
      </c>
      <c r="R815" s="16" t="s">
        <v>38</v>
      </c>
      <c r="S815" s="13" t="s">
        <v>55</v>
      </c>
      <c r="T815" s="13" t="s">
        <v>104</v>
      </c>
      <c r="U815" s="13">
        <f t="shared" si="1"/>
        <v>1</v>
      </c>
      <c r="V815" s="13" t="str">
        <f t="shared" si="2"/>
        <v>C01268|Rahul Nair|62|South|Chennai|Standard|Organic Search|6/14/2022|39|Monthly|Credit Card|1,022|3|1|25.20|4.1|11/17/2023||Active|Analytics</v>
      </c>
      <c r="W815" s="13">
        <f t="shared" si="3"/>
        <v>1</v>
      </c>
      <c r="X815" s="13">
        <f>IFERROR(__xludf.DUMMYFUNCTION("COUNTUNIQUE(FILTER($B$2:$B$1826,$A$2:$A$1826=A815))"),1.0)</f>
        <v>1</v>
      </c>
    </row>
    <row r="816">
      <c r="A816" s="13" t="s">
        <v>1391</v>
      </c>
      <c r="B816" s="13" t="s">
        <v>68</v>
      </c>
      <c r="C816" s="14">
        <v>37.0</v>
      </c>
      <c r="D816" s="13" t="s">
        <v>85</v>
      </c>
      <c r="E816" s="13" t="s">
        <v>111</v>
      </c>
      <c r="F816" s="13" t="s">
        <v>79</v>
      </c>
      <c r="G816" s="13" t="s">
        <v>39</v>
      </c>
      <c r="H816" s="16">
        <v>45499.0</v>
      </c>
      <c r="I816" s="14">
        <v>24.0</v>
      </c>
      <c r="J816" s="13" t="s">
        <v>40</v>
      </c>
      <c r="K816" s="13" t="s">
        <v>41</v>
      </c>
      <c r="L816" s="14">
        <v>2966.0</v>
      </c>
      <c r="M816" s="18" t="s">
        <v>46</v>
      </c>
      <c r="N816" s="18" t="s">
        <v>46</v>
      </c>
      <c r="O816" s="18">
        <v>37.8</v>
      </c>
      <c r="P816" s="18" t="s">
        <v>456</v>
      </c>
      <c r="Q816" s="16">
        <v>46238.0</v>
      </c>
      <c r="R816" s="16" t="s">
        <v>1421</v>
      </c>
      <c r="S816" s="13" t="s">
        <v>45</v>
      </c>
      <c r="T816" s="13" t="s">
        <v>47</v>
      </c>
      <c r="U816" s="13">
        <f t="shared" si="1"/>
        <v>2</v>
      </c>
      <c r="V816" s="13" t="str">
        <f t="shared" si="2"/>
        <v>C01522|Anita Patel|37|West|Pune|Premium|Instagram|7/26/2024|24|Monthly|Upi|2,966|0|0|37.80|2.5|8/4/2026|17/03/2025|Churned|Cloud Storage</v>
      </c>
      <c r="W816" s="13">
        <f t="shared" si="3"/>
        <v>1</v>
      </c>
      <c r="X816" s="13">
        <f>IFERROR(__xludf.DUMMYFUNCTION("COUNTUNIQUE(FILTER($B$2:$B$1826,$A$2:$A$1826=A816))"),2.0)</f>
        <v>2</v>
      </c>
    </row>
    <row r="817">
      <c r="A817" s="13" t="s">
        <v>1422</v>
      </c>
      <c r="B817" s="13" t="s">
        <v>448</v>
      </c>
      <c r="C817" s="14">
        <v>29.0</v>
      </c>
      <c r="D817" s="13" t="s">
        <v>85</v>
      </c>
      <c r="E817" s="13" t="s">
        <v>87</v>
      </c>
      <c r="F817" s="13" t="s">
        <v>62</v>
      </c>
      <c r="G817" s="13" t="s">
        <v>80</v>
      </c>
      <c r="H817" s="16">
        <v>45470.0</v>
      </c>
      <c r="I817" s="14">
        <v>16.0</v>
      </c>
      <c r="J817" s="13" t="s">
        <v>40</v>
      </c>
      <c r="K817" s="13" t="s">
        <v>65</v>
      </c>
      <c r="L817" s="14">
        <v>735.0</v>
      </c>
      <c r="M817" s="18" t="s">
        <v>43</v>
      </c>
      <c r="N817" s="18" t="s">
        <v>43</v>
      </c>
      <c r="O817" s="18">
        <v>23.4</v>
      </c>
      <c r="P817" s="18" t="s">
        <v>233</v>
      </c>
      <c r="Q817" s="16">
        <v>45536.0</v>
      </c>
      <c r="R817" s="16">
        <v>45970.0</v>
      </c>
      <c r="S817" s="13" t="s">
        <v>45</v>
      </c>
      <c r="T817" s="13" t="s">
        <v>104</v>
      </c>
      <c r="U817" s="13">
        <f t="shared" si="1"/>
        <v>1</v>
      </c>
      <c r="V817" s="13" t="str">
        <f t="shared" si="2"/>
        <v>C01183|Meera Reddy|29|West|Surat|Basic|Organic Search|6/27/2024|16|Monthly|Credit Card|735|2|2|23.40|3.5|9/1/2024|11/9/2025|Churned|Analytics</v>
      </c>
      <c r="W817" s="13">
        <f t="shared" si="3"/>
        <v>1</v>
      </c>
      <c r="X817" s="13">
        <f>IFERROR(__xludf.DUMMYFUNCTION("COUNTUNIQUE(FILTER($B$2:$B$1826,$A$2:$A$1826=A817))"),1.0)</f>
        <v>1</v>
      </c>
    </row>
    <row r="818">
      <c r="A818" s="13" t="s">
        <v>1424</v>
      </c>
      <c r="B818" s="13" t="s">
        <v>345</v>
      </c>
      <c r="C818" s="14">
        <v>49.0</v>
      </c>
      <c r="D818" s="13" t="s">
        <v>35</v>
      </c>
      <c r="E818" s="13" t="s">
        <v>140</v>
      </c>
      <c r="F818" s="13" t="s">
        <v>79</v>
      </c>
      <c r="G818" s="13" t="s">
        <v>120</v>
      </c>
      <c r="H818" s="16">
        <v>45351.0</v>
      </c>
      <c r="I818" s="14">
        <v>5.0</v>
      </c>
      <c r="J818" s="13" t="s">
        <v>64</v>
      </c>
      <c r="K818" s="13" t="s">
        <v>41</v>
      </c>
      <c r="L818" s="14">
        <v>3099.0</v>
      </c>
      <c r="M818" s="18" t="s">
        <v>46</v>
      </c>
      <c r="N818" s="18" t="s">
        <v>46</v>
      </c>
      <c r="O818" s="18">
        <v>35.0</v>
      </c>
      <c r="P818" s="18" t="s">
        <v>225</v>
      </c>
      <c r="Q818" s="16">
        <v>45391.0</v>
      </c>
      <c r="R818" s="16" t="s">
        <v>1425</v>
      </c>
      <c r="S818" s="13" t="s">
        <v>45</v>
      </c>
      <c r="T818" s="13" t="s">
        <v>72</v>
      </c>
      <c r="U818" s="13">
        <f t="shared" si="1"/>
        <v>1</v>
      </c>
      <c r="V818" s="13" t="str">
        <f t="shared" si="2"/>
        <v>C00015|Arun Nair|49|North|Lucknow|Premium|Email|2/29/2024|5|Annual|Upi|3,099|0|0|35.00|3.8|4/9/2024|13/08/2024|Churned|Collaboration</v>
      </c>
      <c r="W818" s="13">
        <f t="shared" si="3"/>
        <v>1</v>
      </c>
      <c r="X818" s="13">
        <f>IFERROR(__xludf.DUMMYFUNCTION("COUNTUNIQUE(FILTER($B$2:$B$1826,$A$2:$A$1826=A818))"),1.0)</f>
        <v>1</v>
      </c>
    </row>
    <row r="819">
      <c r="A819" s="13" t="s">
        <v>531</v>
      </c>
      <c r="B819" s="13" t="s">
        <v>340</v>
      </c>
      <c r="C819" s="14">
        <v>65.0</v>
      </c>
      <c r="D819" s="13" t="s">
        <v>35</v>
      </c>
      <c r="E819" s="13" t="s">
        <v>161</v>
      </c>
      <c r="F819" s="13" t="s">
        <v>62</v>
      </c>
      <c r="G819" s="13" t="s">
        <v>80</v>
      </c>
      <c r="H819" s="16">
        <v>45850.0</v>
      </c>
      <c r="I819" s="14">
        <v>42.0</v>
      </c>
      <c r="J819" s="13" t="s">
        <v>40</v>
      </c>
      <c r="K819" s="13" t="s">
        <v>65</v>
      </c>
      <c r="L819" s="14">
        <v>562.0</v>
      </c>
      <c r="M819" s="18" t="s">
        <v>98</v>
      </c>
      <c r="N819" s="18" t="s">
        <v>46</v>
      </c>
      <c r="O819" s="18">
        <v>18.4</v>
      </c>
      <c r="P819" s="18" t="s">
        <v>173</v>
      </c>
      <c r="Q819" s="16">
        <v>46397.0</v>
      </c>
      <c r="R819" s="16" t="s">
        <v>38</v>
      </c>
      <c r="S819" s="13" t="s">
        <v>55</v>
      </c>
      <c r="T819" s="13" t="s">
        <v>75</v>
      </c>
      <c r="U819" s="13">
        <f t="shared" si="1"/>
        <v>3</v>
      </c>
      <c r="V819" s="13" t="str">
        <f t="shared" si="2"/>
        <v>C00816|Meera Sharma|65|North|Chandigarh|Basic|Organic Search|7/12/2025|42|Monthly|Credit Card|562|1|0|18.40|5|1/10/2027||Active|Security</v>
      </c>
      <c r="W819" s="13">
        <f t="shared" si="3"/>
        <v>1</v>
      </c>
      <c r="X819" s="13">
        <f>IFERROR(__xludf.DUMMYFUNCTION("COUNTUNIQUE(FILTER($B$2:$B$1826,$A$2:$A$1826=A819))"),2.0)</f>
        <v>2</v>
      </c>
    </row>
    <row r="820">
      <c r="A820" s="13" t="s">
        <v>1426</v>
      </c>
      <c r="B820" s="13" t="s">
        <v>110</v>
      </c>
      <c r="C820" s="14">
        <v>67.0</v>
      </c>
      <c r="D820" s="13" t="s">
        <v>60</v>
      </c>
      <c r="E820" s="13" t="s">
        <v>97</v>
      </c>
      <c r="F820" s="13" t="s">
        <v>79</v>
      </c>
      <c r="G820" s="13" t="s">
        <v>128</v>
      </c>
      <c r="H820" s="16">
        <v>45550.0</v>
      </c>
      <c r="I820" s="14">
        <v>14.0</v>
      </c>
      <c r="J820" s="13" t="s">
        <v>40</v>
      </c>
      <c r="K820" s="13" t="s">
        <v>65</v>
      </c>
      <c r="L820" s="14">
        <v>3419.0</v>
      </c>
      <c r="M820" s="18" t="s">
        <v>98</v>
      </c>
      <c r="N820" s="18" t="s">
        <v>46</v>
      </c>
      <c r="O820" s="18">
        <v>48.8</v>
      </c>
      <c r="P820" s="18" t="s">
        <v>310</v>
      </c>
      <c r="Q820" s="16">
        <v>45597.0</v>
      </c>
      <c r="R820" s="16" t="s">
        <v>38</v>
      </c>
      <c r="S820" s="13" t="s">
        <v>55</v>
      </c>
      <c r="T820" s="13" t="s">
        <v>72</v>
      </c>
      <c r="U820" s="13">
        <f t="shared" si="1"/>
        <v>1</v>
      </c>
      <c r="V820" s="13" t="str">
        <f t="shared" si="2"/>
        <v>C01345|Sneha Nair|67|East|Bhubaneswar|Premium|Youtube|9/15/2024|14|Monthly|Credit Card|3,419|1|0|48.80|3.1|11/1/2024||Active|Collaboration</v>
      </c>
      <c r="W820" s="13">
        <f t="shared" si="3"/>
        <v>1</v>
      </c>
      <c r="X820" s="13">
        <f>IFERROR(__xludf.DUMMYFUNCTION("COUNTUNIQUE(FILTER($B$2:$B$1826,$A$2:$A$1826=A820))"),1.0)</f>
        <v>1</v>
      </c>
    </row>
    <row r="821">
      <c r="A821" s="13" t="s">
        <v>1427</v>
      </c>
      <c r="B821" s="13" t="s">
        <v>176</v>
      </c>
      <c r="C821" s="14">
        <v>20.0</v>
      </c>
      <c r="D821" s="13" t="s">
        <v>85</v>
      </c>
      <c r="E821" s="13" t="s">
        <v>92</v>
      </c>
      <c r="F821" s="13" t="s">
        <v>37</v>
      </c>
      <c r="G821" s="13" t="s">
        <v>52</v>
      </c>
      <c r="H821" s="16">
        <v>45090.0</v>
      </c>
      <c r="I821" s="14">
        <v>37.0</v>
      </c>
      <c r="J821" s="13" t="s">
        <v>40</v>
      </c>
      <c r="K821" s="13" t="s">
        <v>65</v>
      </c>
      <c r="L821" s="14">
        <v>1778.0</v>
      </c>
      <c r="M821" s="18" t="s">
        <v>99</v>
      </c>
      <c r="N821" s="18" t="s">
        <v>46</v>
      </c>
      <c r="O821" s="18">
        <v>26.4</v>
      </c>
      <c r="P821" s="18" t="s">
        <v>263</v>
      </c>
      <c r="Q821" s="16">
        <v>45403.0</v>
      </c>
      <c r="R821" s="16" t="s">
        <v>38</v>
      </c>
      <c r="S821" s="13" t="s">
        <v>55</v>
      </c>
      <c r="T821" s="13" t="s">
        <v>66</v>
      </c>
      <c r="U821" s="13">
        <f t="shared" si="1"/>
        <v>2</v>
      </c>
      <c r="V821" s="13" t="str">
        <f t="shared" si="2"/>
        <v>C00605|Ravi Iyer|20|West|Ahmedabad|Standard|Facebook|6/13/2023|37|Monthly|Credit Card|1,778|4|0|26.40|2.9|4/21/2024||Active|Automation</v>
      </c>
      <c r="W821" s="13">
        <f t="shared" si="3"/>
        <v>1</v>
      </c>
      <c r="X821" s="13">
        <f>IFERROR(__xludf.DUMMYFUNCTION("COUNTUNIQUE(FILTER($B$2:$B$1826,$A$2:$A$1826=A821))"),2.0)</f>
        <v>2</v>
      </c>
    </row>
    <row r="822">
      <c r="A822" s="13" t="s">
        <v>1230</v>
      </c>
      <c r="B822" s="13" t="s">
        <v>106</v>
      </c>
      <c r="C822" s="14">
        <v>28.0</v>
      </c>
      <c r="D822" s="13" t="s">
        <v>60</v>
      </c>
      <c r="E822" s="13" t="s">
        <v>107</v>
      </c>
      <c r="F822" s="13" t="s">
        <v>79</v>
      </c>
      <c r="G822" s="13" t="s">
        <v>39</v>
      </c>
      <c r="H822" s="16">
        <v>45724.0</v>
      </c>
      <c r="I822" s="14">
        <v>41.0</v>
      </c>
      <c r="J822" s="13" t="s">
        <v>64</v>
      </c>
      <c r="K822" s="13" t="s">
        <v>65</v>
      </c>
      <c r="L822" s="14">
        <v>3377.0</v>
      </c>
      <c r="M822" s="18" t="s">
        <v>98</v>
      </c>
      <c r="N822" s="18" t="s">
        <v>98</v>
      </c>
      <c r="O822" s="18">
        <v>40.4</v>
      </c>
      <c r="P822" s="18" t="s">
        <v>123</v>
      </c>
      <c r="Q822" s="16">
        <v>46337.0</v>
      </c>
      <c r="R822" s="16" t="s">
        <v>38</v>
      </c>
      <c r="S822" s="13" t="s">
        <v>55</v>
      </c>
      <c r="T822" s="13" t="s">
        <v>75</v>
      </c>
      <c r="U822" s="13">
        <f t="shared" si="1"/>
        <v>4</v>
      </c>
      <c r="V822" s="13" t="str">
        <f t="shared" si="2"/>
        <v>C00743|Rahul Patel|28|East|Patna|Premium|Instagram|3/8/2025|41|Annual|Credit Card|3,377|1|1|40.40|4.1|11/11/2026||Active|Security</v>
      </c>
      <c r="W822" s="13">
        <f t="shared" si="3"/>
        <v>1</v>
      </c>
      <c r="X822" s="13">
        <f>IFERROR(__xludf.DUMMYFUNCTION("COUNTUNIQUE(FILTER($B$2:$B$1826,$A$2:$A$1826=A822))"),3.0)</f>
        <v>3</v>
      </c>
    </row>
    <row r="823">
      <c r="A823" s="13" t="s">
        <v>1428</v>
      </c>
      <c r="B823" s="13" t="s">
        <v>476</v>
      </c>
      <c r="C823" s="14">
        <v>49.0</v>
      </c>
      <c r="D823" s="13" t="s">
        <v>69</v>
      </c>
      <c r="E823" s="13" t="s">
        <v>70</v>
      </c>
      <c r="F823" s="13" t="s">
        <v>79</v>
      </c>
      <c r="G823" s="13" t="s">
        <v>80</v>
      </c>
      <c r="H823" s="16">
        <v>45182.0</v>
      </c>
      <c r="I823" s="14">
        <v>10.0</v>
      </c>
      <c r="J823" s="13" t="s">
        <v>64</v>
      </c>
      <c r="K823" s="13" t="s">
        <v>41</v>
      </c>
      <c r="L823" s="14">
        <v>3475.0</v>
      </c>
      <c r="M823" s="18" t="s">
        <v>98</v>
      </c>
      <c r="N823" s="18" t="s">
        <v>46</v>
      </c>
      <c r="O823" s="18">
        <v>38.9</v>
      </c>
      <c r="P823" s="18" t="s">
        <v>275</v>
      </c>
      <c r="Q823" s="16">
        <v>45452.0</v>
      </c>
      <c r="R823" s="16" t="s">
        <v>38</v>
      </c>
      <c r="S823" s="13" t="s">
        <v>55</v>
      </c>
      <c r="T823" s="13" t="s">
        <v>72</v>
      </c>
      <c r="U823" s="13">
        <f t="shared" si="1"/>
        <v>1</v>
      </c>
      <c r="V823" s="13" t="str">
        <f t="shared" si="2"/>
        <v>C00527|Ravi Das|49|South|Bengaluru|Premium|Organic Search|9/13/2023|10|Annual|Upi|3,475|1|0|38.90|4.3|6/9/2024||Active|Collaboration</v>
      </c>
      <c r="W823" s="13">
        <f t="shared" si="3"/>
        <v>1</v>
      </c>
      <c r="X823" s="13">
        <f>IFERROR(__xludf.DUMMYFUNCTION("COUNTUNIQUE(FILTER($B$2:$B$1826,$A$2:$A$1826=A823))"),1.0)</f>
        <v>1</v>
      </c>
    </row>
    <row r="824">
      <c r="A824" s="13" t="s">
        <v>1162</v>
      </c>
      <c r="B824" s="13" t="s">
        <v>308</v>
      </c>
      <c r="C824" s="14">
        <v>61.0</v>
      </c>
      <c r="D824" s="13" t="s">
        <v>69</v>
      </c>
      <c r="E824" s="13" t="s">
        <v>177</v>
      </c>
      <c r="F824" s="13" t="s">
        <v>37</v>
      </c>
      <c r="G824" s="13" t="s">
        <v>120</v>
      </c>
      <c r="H824" s="16">
        <v>45555.0</v>
      </c>
      <c r="I824" s="14">
        <v>42.0</v>
      </c>
      <c r="J824" s="13" t="s">
        <v>40</v>
      </c>
      <c r="K824" s="13" t="s">
        <v>65</v>
      </c>
      <c r="L824" s="14">
        <v>1492.0</v>
      </c>
      <c r="M824" s="18" t="s">
        <v>98</v>
      </c>
      <c r="N824" s="18" t="s">
        <v>46</v>
      </c>
      <c r="O824" s="18">
        <v>35.0</v>
      </c>
      <c r="P824" s="18" t="s">
        <v>296</v>
      </c>
      <c r="Q824" s="16">
        <v>46556.0</v>
      </c>
      <c r="R824" s="16" t="s">
        <v>38</v>
      </c>
      <c r="S824" s="13" t="s">
        <v>55</v>
      </c>
      <c r="T824" s="13" t="s">
        <v>47</v>
      </c>
      <c r="U824" s="13">
        <f t="shared" si="1"/>
        <v>3</v>
      </c>
      <c r="V824" s="13" t="str">
        <f t="shared" si="2"/>
        <v>C01319|Karan Kumar|61|South|Hyderabad|Standard|Email|9/20/2024|42|Monthly|Credit Card|1,492|1|0|35.00|4.6|6/18/2027||Active|Cloud Storage</v>
      </c>
      <c r="W824" s="13">
        <f t="shared" si="3"/>
        <v>1</v>
      </c>
      <c r="X824" s="13">
        <f>IFERROR(__xludf.DUMMYFUNCTION("COUNTUNIQUE(FILTER($B$2:$B$1826,$A$2:$A$1826=A824))"),3.0)</f>
        <v>3</v>
      </c>
    </row>
    <row r="825">
      <c r="A825" s="13" t="s">
        <v>1429</v>
      </c>
      <c r="B825" s="13" t="s">
        <v>395</v>
      </c>
      <c r="C825" s="14">
        <v>66.0</v>
      </c>
      <c r="D825" s="13" t="s">
        <v>69</v>
      </c>
      <c r="E825" s="13" t="s">
        <v>187</v>
      </c>
      <c r="F825" s="13" t="s">
        <v>62</v>
      </c>
      <c r="G825" s="13" t="s">
        <v>80</v>
      </c>
      <c r="H825" s="16">
        <v>44806.0</v>
      </c>
      <c r="I825" s="14">
        <v>42.0</v>
      </c>
      <c r="J825" s="13" t="s">
        <v>40</v>
      </c>
      <c r="K825" s="13" t="s">
        <v>65</v>
      </c>
      <c r="L825" s="14">
        <v>754.0</v>
      </c>
      <c r="M825" s="18" t="s">
        <v>98</v>
      </c>
      <c r="N825" s="18" t="s">
        <v>98</v>
      </c>
      <c r="O825" s="18">
        <v>9.6</v>
      </c>
      <c r="P825" s="18" t="s">
        <v>164</v>
      </c>
      <c r="Q825" s="16">
        <v>44840.0</v>
      </c>
      <c r="R825" s="16" t="s">
        <v>38</v>
      </c>
      <c r="S825" s="13" t="s">
        <v>55</v>
      </c>
      <c r="T825" s="13" t="s">
        <v>104</v>
      </c>
      <c r="U825" s="13">
        <f t="shared" si="1"/>
        <v>1</v>
      </c>
      <c r="V825" s="13" t="str">
        <f t="shared" si="2"/>
        <v>C00634|Ravi Singh|66|South|Chennai|Basic|Organic Search|9/2/2022|42|Monthly|Credit Card|754|1|1|9.60|3|10/6/2022||Active|Analytics</v>
      </c>
      <c r="W825" s="13">
        <f t="shared" si="3"/>
        <v>1</v>
      </c>
      <c r="X825" s="13">
        <f>IFERROR(__xludf.DUMMYFUNCTION("COUNTUNIQUE(FILTER($B$2:$B$1826,$A$2:$A$1826=A825))"),1.0)</f>
        <v>1</v>
      </c>
    </row>
    <row r="826">
      <c r="A826" s="13" t="s">
        <v>1430</v>
      </c>
      <c r="B826" s="13" t="s">
        <v>172</v>
      </c>
      <c r="C826" s="14">
        <v>34.0</v>
      </c>
      <c r="D826" s="13" t="s">
        <v>35</v>
      </c>
      <c r="E826" s="13" t="s">
        <v>161</v>
      </c>
      <c r="F826" s="13" t="s">
        <v>37</v>
      </c>
      <c r="G826" s="13" t="s">
        <v>210</v>
      </c>
      <c r="H826" s="16">
        <v>45695.0</v>
      </c>
      <c r="I826" s="14">
        <v>35.0</v>
      </c>
      <c r="J826" s="13" t="s">
        <v>53</v>
      </c>
      <c r="K826" s="13" t="s">
        <v>81</v>
      </c>
      <c r="L826" s="14">
        <v>1080.0</v>
      </c>
      <c r="M826" s="18" t="s">
        <v>164</v>
      </c>
      <c r="N826" s="18" t="s">
        <v>46</v>
      </c>
      <c r="O826" s="18">
        <v>23.7</v>
      </c>
      <c r="P826" s="18" t="s">
        <v>225</v>
      </c>
      <c r="Q826" s="16">
        <v>45819.0</v>
      </c>
      <c r="R826" s="16">
        <v>46639.0</v>
      </c>
      <c r="S826" s="13" t="s">
        <v>45</v>
      </c>
      <c r="T826" s="13" t="s">
        <v>47</v>
      </c>
      <c r="U826" s="13">
        <f t="shared" si="1"/>
        <v>1</v>
      </c>
      <c r="V826" s="13" t="str">
        <f t="shared" si="2"/>
        <v>C00817|Meera Singh|34|North|Chandigarh|Standard|Referral|2/7/2025|35|Quarterly|Debit Card|1,080|3|0|23.70|3.8|6/11/2025|9/9/2027|Churned|Cloud Storage</v>
      </c>
      <c r="W826" s="13">
        <f t="shared" si="3"/>
        <v>1</v>
      </c>
      <c r="X826" s="13">
        <f>IFERROR(__xludf.DUMMYFUNCTION("COUNTUNIQUE(FILTER($B$2:$B$1826,$A$2:$A$1826=A826))"),1.0)</f>
        <v>1</v>
      </c>
    </row>
    <row r="827">
      <c r="A827" s="13" t="s">
        <v>1432</v>
      </c>
      <c r="B827" s="13" t="s">
        <v>336</v>
      </c>
      <c r="C827" s="14">
        <v>52.0</v>
      </c>
      <c r="D827" s="13" t="s">
        <v>69</v>
      </c>
      <c r="E827" s="13" t="s">
        <v>187</v>
      </c>
      <c r="F827" s="13" t="s">
        <v>37</v>
      </c>
      <c r="G827" s="13" t="s">
        <v>120</v>
      </c>
      <c r="H827" s="16">
        <v>44925.0</v>
      </c>
      <c r="I827" s="14">
        <v>3.0</v>
      </c>
      <c r="J827" s="13" t="s">
        <v>53</v>
      </c>
      <c r="K827" s="13" t="s">
        <v>41</v>
      </c>
      <c r="L827" s="14">
        <v>1564.0</v>
      </c>
      <c r="M827" s="18" t="s">
        <v>98</v>
      </c>
      <c r="N827" s="18" t="s">
        <v>46</v>
      </c>
      <c r="O827" s="18">
        <v>23.1</v>
      </c>
      <c r="P827" s="18" t="s">
        <v>701</v>
      </c>
      <c r="Q827" s="16">
        <v>44946.0</v>
      </c>
      <c r="R827" s="16" t="s">
        <v>1433</v>
      </c>
      <c r="S827" s="13" t="s">
        <v>45</v>
      </c>
      <c r="T827" s="13" t="s">
        <v>47</v>
      </c>
      <c r="U827" s="13">
        <f t="shared" si="1"/>
        <v>2</v>
      </c>
      <c r="V827" s="13" t="str">
        <f t="shared" si="2"/>
        <v>C01413|Priya Patel|52|South|Chennai|Standard|Email|12/30/2022|3|Quarterly|Upi|1,564|1|0|23.10|2.8|1/20/2023|22/02/2023|Churned|Cloud Storage</v>
      </c>
      <c r="W827" s="13">
        <f t="shared" si="3"/>
        <v>1</v>
      </c>
      <c r="X827" s="13">
        <f>IFERROR(__xludf.DUMMYFUNCTION("COUNTUNIQUE(FILTER($B$2:$B$1826,$A$2:$A$1826=A827))"),2.0)</f>
        <v>2</v>
      </c>
    </row>
    <row r="828">
      <c r="A828" s="13" t="s">
        <v>165</v>
      </c>
      <c r="B828" s="13" t="s">
        <v>639</v>
      </c>
      <c r="C828" s="14">
        <v>31.0</v>
      </c>
      <c r="D828" s="13" t="s">
        <v>69</v>
      </c>
      <c r="E828" s="13" t="s">
        <v>119</v>
      </c>
      <c r="F828" s="13" t="s">
        <v>37</v>
      </c>
      <c r="G828" s="13" t="s">
        <v>80</v>
      </c>
      <c r="H828" s="16">
        <v>44666.0</v>
      </c>
      <c r="I828" s="14">
        <v>21.0</v>
      </c>
      <c r="J828" s="13" t="s">
        <v>40</v>
      </c>
      <c r="K828" s="13" t="s">
        <v>81</v>
      </c>
      <c r="L828" s="14">
        <v>1200.0</v>
      </c>
      <c r="M828" s="18" t="s">
        <v>98</v>
      </c>
      <c r="N828" s="18" t="s">
        <v>46</v>
      </c>
      <c r="O828" s="18">
        <v>32.7</v>
      </c>
      <c r="P828" s="18" t="s">
        <v>275</v>
      </c>
      <c r="Q828" s="16">
        <v>44795.0</v>
      </c>
      <c r="R828" s="16">
        <v>45207.0</v>
      </c>
      <c r="S828" s="13" t="s">
        <v>45</v>
      </c>
      <c r="T828" s="13" t="s">
        <v>66</v>
      </c>
      <c r="U828" s="13">
        <f t="shared" si="1"/>
        <v>2</v>
      </c>
      <c r="V828" s="13" t="str">
        <f t="shared" si="2"/>
        <v>C00467|Priya Nair|31|South|Kochi|Standard|Organic Search|4/15/2022|21|Monthly|Debit Card|1,200|1|0|32.70|4.3|8/22/2022|10/8/2023|Churned|Automation</v>
      </c>
      <c r="W828" s="13">
        <f t="shared" si="3"/>
        <v>1</v>
      </c>
      <c r="X828" s="13">
        <f>IFERROR(__xludf.DUMMYFUNCTION("COUNTUNIQUE(FILTER($B$2:$B$1826,$A$2:$A$1826=A828))"),2.0)</f>
        <v>2</v>
      </c>
    </row>
    <row r="829">
      <c r="A829" s="13" t="s">
        <v>1434</v>
      </c>
      <c r="B829" s="13" t="s">
        <v>351</v>
      </c>
      <c r="C829" s="14">
        <v>19.0</v>
      </c>
      <c r="D829" s="13" t="s">
        <v>85</v>
      </c>
      <c r="E829" s="13" t="s">
        <v>92</v>
      </c>
      <c r="F829" s="13" t="s">
        <v>37</v>
      </c>
      <c r="G829" s="13" t="s">
        <v>80</v>
      </c>
      <c r="H829" s="16">
        <v>45442.0</v>
      </c>
      <c r="I829" s="14">
        <v>8.0</v>
      </c>
      <c r="J829" s="13" t="s">
        <v>53</v>
      </c>
      <c r="K829" s="13" t="s">
        <v>65</v>
      </c>
      <c r="L829" s="14">
        <v>1795.0</v>
      </c>
      <c r="M829" s="18" t="s">
        <v>164</v>
      </c>
      <c r="N829" s="18" t="s">
        <v>46</v>
      </c>
      <c r="O829" s="18">
        <v>36.0</v>
      </c>
      <c r="P829" s="18" t="s">
        <v>368</v>
      </c>
      <c r="Q829" s="16">
        <v>45501.0</v>
      </c>
      <c r="R829" s="16" t="s">
        <v>38</v>
      </c>
      <c r="S829" s="13" t="s">
        <v>55</v>
      </c>
      <c r="T829" s="13" t="s">
        <v>66</v>
      </c>
      <c r="U829" s="13">
        <f t="shared" si="1"/>
        <v>1</v>
      </c>
      <c r="V829" s="13" t="str">
        <f t="shared" si="2"/>
        <v>C00441|Meera Nair|19|West|Ahmedabad|Standard|Organic Search|5/30/2024|8|Quarterly|Credit Card|1,795|3|0|36.00|4.9|7/28/2024||Active|Automation</v>
      </c>
      <c r="W829" s="13">
        <f t="shared" si="3"/>
        <v>1</v>
      </c>
      <c r="X829" s="13">
        <f>IFERROR(__xludf.DUMMYFUNCTION("COUNTUNIQUE(FILTER($B$2:$B$1826,$A$2:$A$1826=A829))"),1.0)</f>
        <v>1</v>
      </c>
    </row>
    <row r="830">
      <c r="A830" s="13" t="s">
        <v>1435</v>
      </c>
      <c r="B830" s="13" t="s">
        <v>224</v>
      </c>
      <c r="C830" s="14">
        <v>62.0</v>
      </c>
      <c r="D830" s="13" t="s">
        <v>85</v>
      </c>
      <c r="E830" s="13" t="s">
        <v>111</v>
      </c>
      <c r="F830" s="13" t="s">
        <v>62</v>
      </c>
      <c r="G830" s="13" t="s">
        <v>120</v>
      </c>
      <c r="H830" s="16">
        <v>45615.0</v>
      </c>
      <c r="I830" s="14">
        <v>19.0</v>
      </c>
      <c r="J830" s="13" t="s">
        <v>64</v>
      </c>
      <c r="K830" s="13" t="s">
        <v>81</v>
      </c>
      <c r="L830" s="14">
        <v>652.0</v>
      </c>
      <c r="M830" s="18" t="s">
        <v>46</v>
      </c>
      <c r="N830" s="18" t="s">
        <v>98</v>
      </c>
      <c r="O830" s="18">
        <v>14.6</v>
      </c>
      <c r="P830" s="18" t="s">
        <v>123</v>
      </c>
      <c r="Q830" s="16">
        <v>46169.0</v>
      </c>
      <c r="R830" s="16" t="s">
        <v>1436</v>
      </c>
      <c r="S830" s="13" t="s">
        <v>45</v>
      </c>
      <c r="T830" s="13" t="s">
        <v>72</v>
      </c>
      <c r="U830" s="13">
        <f t="shared" si="1"/>
        <v>1</v>
      </c>
      <c r="V830" s="13" t="str">
        <f t="shared" si="2"/>
        <v>C00555|Anita Iyer|62|West|Pune|Basic|Email|11/19/2024|19|Annual|Debit Card|652|0|1|14.60|4.1|5/27/2026|30/08/2025|Churned|Collaboration</v>
      </c>
      <c r="W830" s="13">
        <f t="shared" si="3"/>
        <v>1</v>
      </c>
      <c r="X830" s="13">
        <f>IFERROR(__xludf.DUMMYFUNCTION("COUNTUNIQUE(FILTER($B$2:$B$1826,$A$2:$A$1826=A830))"),1.0)</f>
        <v>1</v>
      </c>
    </row>
    <row r="831">
      <c r="A831" s="13" t="s">
        <v>1438</v>
      </c>
      <c r="B831" s="13" t="s">
        <v>288</v>
      </c>
      <c r="C831" s="14">
        <v>67.0</v>
      </c>
      <c r="D831" s="13" t="s">
        <v>69</v>
      </c>
      <c r="E831" s="13" t="s">
        <v>292</v>
      </c>
      <c r="F831" s="13" t="s">
        <v>79</v>
      </c>
      <c r="G831" s="13" t="s">
        <v>39</v>
      </c>
      <c r="H831" s="16">
        <v>45560.0</v>
      </c>
      <c r="I831" s="14">
        <v>1.0</v>
      </c>
      <c r="J831" s="13" t="s">
        <v>53</v>
      </c>
      <c r="K831" s="13" t="s">
        <v>81</v>
      </c>
      <c r="L831" s="14">
        <v>3014.0</v>
      </c>
      <c r="M831" s="18" t="s">
        <v>46</v>
      </c>
      <c r="N831" s="18" t="s">
        <v>98</v>
      </c>
      <c r="O831" s="18">
        <v>39.8</v>
      </c>
      <c r="P831" s="18" t="s">
        <v>275</v>
      </c>
      <c r="Q831" s="16">
        <v>45580.0</v>
      </c>
      <c r="R831" s="16" t="s">
        <v>38</v>
      </c>
      <c r="S831" s="13" t="s">
        <v>55</v>
      </c>
      <c r="T831" s="13" t="s">
        <v>72</v>
      </c>
      <c r="U831" s="13">
        <f t="shared" si="1"/>
        <v>1</v>
      </c>
      <c r="V831" s="13" t="str">
        <f t="shared" si="2"/>
        <v>C01282|Rahul Sharma|67|South|Mumbai|Premium|Instagram|9/25/2024|1|Quarterly|Debit Card|3,014|0|1|39.80|4.3|10/15/2024||Active|Collaboration</v>
      </c>
      <c r="W831" s="13">
        <f t="shared" si="3"/>
        <v>1</v>
      </c>
      <c r="X831" s="13">
        <f>IFERROR(__xludf.DUMMYFUNCTION("COUNTUNIQUE(FILTER($B$2:$B$1826,$A$2:$A$1826=A831))"),1.0)</f>
        <v>1</v>
      </c>
    </row>
    <row r="832">
      <c r="A832" s="13" t="s">
        <v>1439</v>
      </c>
      <c r="B832" s="13" t="s">
        <v>184</v>
      </c>
      <c r="C832" s="14">
        <v>68.0</v>
      </c>
      <c r="D832" s="13" t="s">
        <v>85</v>
      </c>
      <c r="E832" s="13" t="s">
        <v>92</v>
      </c>
      <c r="F832" s="13" t="s">
        <v>37</v>
      </c>
      <c r="G832" s="13" t="s">
        <v>80</v>
      </c>
      <c r="H832" s="16">
        <v>44936.0</v>
      </c>
      <c r="I832" s="14">
        <v>13.0</v>
      </c>
      <c r="J832" s="13" t="s">
        <v>64</v>
      </c>
      <c r="K832" s="13" t="s">
        <v>65</v>
      </c>
      <c r="L832" s="14">
        <v>1236.0</v>
      </c>
      <c r="M832" s="18" t="s">
        <v>46</v>
      </c>
      <c r="N832" s="18" t="s">
        <v>98</v>
      </c>
      <c r="O832" s="18">
        <v>19.9</v>
      </c>
      <c r="P832" s="18" t="s">
        <v>568</v>
      </c>
      <c r="Q832" s="16">
        <v>45103.0</v>
      </c>
      <c r="R832" s="16" t="s">
        <v>1440</v>
      </c>
      <c r="S832" s="13" t="s">
        <v>45</v>
      </c>
      <c r="T832" s="13" t="s">
        <v>104</v>
      </c>
      <c r="U832" s="13">
        <f t="shared" si="1"/>
        <v>1</v>
      </c>
      <c r="V832" s="13" t="str">
        <f t="shared" si="2"/>
        <v>C00194|Vikram Reddy|68|West|Ahmedabad|Standard|Organic Search|1/10/2023|13|Annual|Credit Card|1,236|0|1|19.90|2.2|6/26/2023|23/10/2023|Churned|Analytics</v>
      </c>
      <c r="W832" s="13">
        <f t="shared" si="3"/>
        <v>1</v>
      </c>
      <c r="X832" s="13">
        <f>IFERROR(__xludf.DUMMYFUNCTION("COUNTUNIQUE(FILTER($B$2:$B$1826,$A$2:$A$1826=A832))"),1.0)</f>
        <v>1</v>
      </c>
    </row>
    <row r="833">
      <c r="A833" s="13" t="s">
        <v>1441</v>
      </c>
      <c r="B833" s="13" t="s">
        <v>605</v>
      </c>
      <c r="C833" s="14">
        <v>39.0</v>
      </c>
      <c r="D833" s="13" t="s">
        <v>60</v>
      </c>
      <c r="E833" s="13" t="s">
        <v>97</v>
      </c>
      <c r="F833" s="13" t="s">
        <v>37</v>
      </c>
      <c r="G833" s="13" t="s">
        <v>39</v>
      </c>
      <c r="H833" s="16">
        <v>45225.0</v>
      </c>
      <c r="I833" s="14">
        <v>11.0</v>
      </c>
      <c r="J833" s="13" t="s">
        <v>64</v>
      </c>
      <c r="K833" s="13" t="s">
        <v>65</v>
      </c>
      <c r="L833" s="14">
        <v>1174.0</v>
      </c>
      <c r="M833" s="18" t="s">
        <v>43</v>
      </c>
      <c r="N833" s="18" t="s">
        <v>46</v>
      </c>
      <c r="O833" s="18">
        <v>14.5</v>
      </c>
      <c r="P833" s="18" t="s">
        <v>449</v>
      </c>
      <c r="Q833" s="16">
        <v>45315.0</v>
      </c>
      <c r="R833" s="16" t="s">
        <v>38</v>
      </c>
      <c r="S833" s="13" t="s">
        <v>55</v>
      </c>
      <c r="T833" s="13" t="s">
        <v>66</v>
      </c>
      <c r="U833" s="13">
        <f t="shared" si="1"/>
        <v>2</v>
      </c>
      <c r="V833" s="13" t="str">
        <f t="shared" si="2"/>
        <v>C01403|Meera Patel|39|East|Bhubaneswar|Standard|Instagram|10/26/2023|11|Annual|Credit Card|1,174|2|0|14.50|2.7|1/24/2024||Active|Automation</v>
      </c>
      <c r="W833" s="13">
        <f t="shared" si="3"/>
        <v>1</v>
      </c>
      <c r="X833" s="13">
        <f>IFERROR(__xludf.DUMMYFUNCTION("COUNTUNIQUE(FILTER($B$2:$B$1826,$A$2:$A$1826=A833))"),2.0)</f>
        <v>2</v>
      </c>
    </row>
    <row r="834">
      <c r="A834" s="13" t="s">
        <v>415</v>
      </c>
      <c r="B834" s="13" t="s">
        <v>241</v>
      </c>
      <c r="C834" s="14">
        <v>46.0</v>
      </c>
      <c r="D834" s="13" t="s">
        <v>60</v>
      </c>
      <c r="E834" s="13" t="s">
        <v>38</v>
      </c>
      <c r="F834" s="13" t="s">
        <v>79</v>
      </c>
      <c r="G834" s="13" t="s">
        <v>120</v>
      </c>
      <c r="H834" s="16">
        <v>45183.0</v>
      </c>
      <c r="I834" s="14">
        <v>24.0</v>
      </c>
      <c r="J834" s="13" t="s">
        <v>64</v>
      </c>
      <c r="K834" s="13" t="s">
        <v>65</v>
      </c>
      <c r="L834" s="14">
        <v>2723.0</v>
      </c>
      <c r="M834" s="18" t="s">
        <v>43</v>
      </c>
      <c r="N834" s="18" t="s">
        <v>46</v>
      </c>
      <c r="O834" s="18">
        <v>29.8</v>
      </c>
      <c r="P834" s="18" t="s">
        <v>116</v>
      </c>
      <c r="Q834" s="16">
        <v>45515.0</v>
      </c>
      <c r="R834" s="16" t="s">
        <v>38</v>
      </c>
      <c r="S834" s="13" t="s">
        <v>55</v>
      </c>
      <c r="T834" s="13" t="s">
        <v>75</v>
      </c>
      <c r="U834" s="13">
        <f t="shared" si="1"/>
        <v>2</v>
      </c>
      <c r="V834" s="13" t="str">
        <f t="shared" si="2"/>
        <v>C00854|Sneha Iyer|46|East||Premium|Email|9/14/2023|24|Annual|Credit Card|2,723|2|0|29.80|3.4|8/11/2024||Active|Security</v>
      </c>
      <c r="W834" s="13">
        <f t="shared" si="3"/>
        <v>1</v>
      </c>
      <c r="X834" s="13">
        <f>IFERROR(__xludf.DUMMYFUNCTION("COUNTUNIQUE(FILTER($B$2:$B$1826,$A$2:$A$1826=A834))"),2.0)</f>
        <v>2</v>
      </c>
    </row>
    <row r="835">
      <c r="A835" s="13" t="s">
        <v>1442</v>
      </c>
      <c r="B835" s="13" t="s">
        <v>420</v>
      </c>
      <c r="C835" s="14">
        <v>42.0</v>
      </c>
      <c r="D835" s="13" t="s">
        <v>85</v>
      </c>
      <c r="E835" s="13" t="s">
        <v>292</v>
      </c>
      <c r="F835" s="13" t="s">
        <v>79</v>
      </c>
      <c r="G835" s="13" t="s">
        <v>210</v>
      </c>
      <c r="H835" s="16">
        <v>45884.0</v>
      </c>
      <c r="I835" s="14">
        <v>9.0</v>
      </c>
      <c r="J835" s="13" t="s">
        <v>40</v>
      </c>
      <c r="K835" s="13" t="s">
        <v>65</v>
      </c>
      <c r="L835" s="14">
        <v>2038.0</v>
      </c>
      <c r="M835" s="18" t="s">
        <v>46</v>
      </c>
      <c r="N835" s="18" t="s">
        <v>43</v>
      </c>
      <c r="O835" s="18">
        <v>40.1</v>
      </c>
      <c r="P835" s="18" t="s">
        <v>164</v>
      </c>
      <c r="Q835" s="16">
        <v>45997.0</v>
      </c>
      <c r="R835" s="16" t="s">
        <v>1443</v>
      </c>
      <c r="S835" s="13" t="s">
        <v>45</v>
      </c>
      <c r="T835" s="13" t="s">
        <v>75</v>
      </c>
      <c r="U835" s="13">
        <f t="shared" si="1"/>
        <v>2</v>
      </c>
      <c r="V835" s="13" t="str">
        <f t="shared" si="2"/>
        <v>C00012|Vikram Iyer|42|West|Mumbai|Premium|Referral|8/15/2025|9|Monthly|Credit Card|2,038|0|2|40.10|3|12/6/2025|29/12/2025|Churned|Security</v>
      </c>
      <c r="W835" s="13">
        <f t="shared" si="3"/>
        <v>1</v>
      </c>
      <c r="X835" s="13">
        <f>IFERROR(__xludf.DUMMYFUNCTION("COUNTUNIQUE(FILTER($B$2:$B$1826,$A$2:$A$1826=A835))"),2.0)</f>
        <v>2</v>
      </c>
    </row>
    <row r="836">
      <c r="A836" s="13" t="s">
        <v>1444</v>
      </c>
      <c r="B836" s="13" t="s">
        <v>110</v>
      </c>
      <c r="C836" s="14">
        <v>21.0</v>
      </c>
      <c r="D836" s="13" t="s">
        <v>60</v>
      </c>
      <c r="E836" s="13" t="s">
        <v>97</v>
      </c>
      <c r="F836" s="13" t="s">
        <v>37</v>
      </c>
      <c r="G836" s="13" t="s">
        <v>80</v>
      </c>
      <c r="H836" s="16">
        <v>45592.0</v>
      </c>
      <c r="I836" s="14">
        <v>29.0</v>
      </c>
      <c r="J836" s="13" t="s">
        <v>64</v>
      </c>
      <c r="K836" s="13" t="s">
        <v>65</v>
      </c>
      <c r="L836" s="14">
        <v>1075.0</v>
      </c>
      <c r="M836" s="18" t="s">
        <v>98</v>
      </c>
      <c r="N836" s="18" t="s">
        <v>98</v>
      </c>
      <c r="O836" s="18">
        <v>34.6</v>
      </c>
      <c r="P836" s="18" t="s">
        <v>225</v>
      </c>
      <c r="Q836" s="16">
        <v>45766.0</v>
      </c>
      <c r="R836" s="16" t="s">
        <v>1445</v>
      </c>
      <c r="S836" s="13" t="s">
        <v>45</v>
      </c>
      <c r="T836" s="13" t="s">
        <v>75</v>
      </c>
      <c r="U836" s="13">
        <f t="shared" si="1"/>
        <v>1</v>
      </c>
      <c r="V836" s="13" t="str">
        <f t="shared" si="2"/>
        <v>C00784|Sneha Nair|21|East|Bhubaneswar|Standard|Organic Search|10/27/2024|29|Annual|Credit Card|1,075|1|1|34.60|3.8|4/19/2025|25/10/2025|Churned|Security</v>
      </c>
      <c r="W836" s="13">
        <f t="shared" si="3"/>
        <v>1</v>
      </c>
      <c r="X836" s="13">
        <f>IFERROR(__xludf.DUMMYFUNCTION("COUNTUNIQUE(FILTER($B$2:$B$1826,$A$2:$A$1826=A836))"),1.0)</f>
        <v>1</v>
      </c>
    </row>
    <row r="837">
      <c r="A837" s="13" t="s">
        <v>657</v>
      </c>
      <c r="B837" s="13" t="s">
        <v>639</v>
      </c>
      <c r="C837" s="14">
        <v>27.0</v>
      </c>
      <c r="D837" s="13" t="s">
        <v>60</v>
      </c>
      <c r="E837" s="13" t="s">
        <v>133</v>
      </c>
      <c r="F837" s="13" t="s">
        <v>62</v>
      </c>
      <c r="G837" s="13" t="s">
        <v>63</v>
      </c>
      <c r="H837" s="16">
        <v>45871.0</v>
      </c>
      <c r="I837" s="14">
        <v>22.0</v>
      </c>
      <c r="J837" s="13" t="s">
        <v>64</v>
      </c>
      <c r="K837" s="13" t="s">
        <v>41</v>
      </c>
      <c r="L837" s="14">
        <v>688.0</v>
      </c>
      <c r="M837" s="18" t="s">
        <v>164</v>
      </c>
      <c r="N837" s="18" t="s">
        <v>43</v>
      </c>
      <c r="O837" s="18">
        <v>28.8</v>
      </c>
      <c r="P837" s="18" t="s">
        <v>368</v>
      </c>
      <c r="Q837" s="16">
        <v>46172.0</v>
      </c>
      <c r="R837" s="16" t="s">
        <v>38</v>
      </c>
      <c r="S837" s="13" t="s">
        <v>55</v>
      </c>
      <c r="T837" s="13" t="s">
        <v>72</v>
      </c>
      <c r="U837" s="13">
        <f t="shared" si="1"/>
        <v>3</v>
      </c>
      <c r="V837" s="13" t="str">
        <f t="shared" si="2"/>
        <v>C00512|Priya Nair|27|East|Guwahati|Basic|Google Ads|8/2/2025|22|Annual|Upi|688|3|2|28.80|4.9|5/30/2026||Active|Collaboration</v>
      </c>
      <c r="W837" s="13">
        <f t="shared" si="3"/>
        <v>1</v>
      </c>
      <c r="X837" s="13">
        <f>IFERROR(__xludf.DUMMYFUNCTION("COUNTUNIQUE(FILTER($B$2:$B$1826,$A$2:$A$1826=A837))"),3.0)</f>
        <v>3</v>
      </c>
    </row>
    <row r="838">
      <c r="A838" s="13" t="s">
        <v>1447</v>
      </c>
      <c r="B838" s="13" t="s">
        <v>232</v>
      </c>
      <c r="C838" s="14">
        <v>54.0</v>
      </c>
      <c r="D838" s="13" t="s">
        <v>85</v>
      </c>
      <c r="E838" s="13" t="s">
        <v>111</v>
      </c>
      <c r="F838" s="13" t="s">
        <v>79</v>
      </c>
      <c r="G838" s="13" t="s">
        <v>80</v>
      </c>
      <c r="H838" s="16">
        <v>45174.0</v>
      </c>
      <c r="I838" s="14">
        <v>37.0</v>
      </c>
      <c r="J838" s="13" t="s">
        <v>40</v>
      </c>
      <c r="K838" s="13" t="s">
        <v>65</v>
      </c>
      <c r="L838" s="14">
        <v>2501.0</v>
      </c>
      <c r="M838" s="18" t="s">
        <v>43</v>
      </c>
      <c r="N838" s="18" t="s">
        <v>98</v>
      </c>
      <c r="O838" s="18">
        <v>28.9</v>
      </c>
      <c r="P838" s="18" t="s">
        <v>99</v>
      </c>
      <c r="Q838" s="16">
        <v>45855.0</v>
      </c>
      <c r="R838" s="16" t="s">
        <v>38</v>
      </c>
      <c r="S838" s="13" t="s">
        <v>55</v>
      </c>
      <c r="T838" s="13" t="s">
        <v>104</v>
      </c>
      <c r="U838" s="13">
        <f t="shared" si="1"/>
        <v>2</v>
      </c>
      <c r="V838" s="13" t="str">
        <f t="shared" si="2"/>
        <v>C01588|Meera Iyer|54|West|Pune|Premium|Organic Search|9/5/2023|37|Monthly|Credit Card|2,501|2|1|28.90|4|7/17/2025||Active|Analytics</v>
      </c>
      <c r="W838" s="13">
        <f t="shared" si="3"/>
        <v>1</v>
      </c>
      <c r="X838" s="13">
        <f>IFERROR(__xludf.DUMMYFUNCTION("COUNTUNIQUE(FILTER($B$2:$B$1826,$A$2:$A$1826=A838))"),2.0)</f>
        <v>2</v>
      </c>
    </row>
    <row r="839">
      <c r="A839" s="13" t="s">
        <v>1448</v>
      </c>
      <c r="B839" s="13" t="s">
        <v>281</v>
      </c>
      <c r="C839" s="14">
        <v>31.0</v>
      </c>
      <c r="D839" s="13" t="s">
        <v>35</v>
      </c>
      <c r="E839" s="13" t="s">
        <v>161</v>
      </c>
      <c r="F839" s="13" t="s">
        <v>79</v>
      </c>
      <c r="G839" s="13" t="s">
        <v>210</v>
      </c>
      <c r="H839" s="16">
        <v>45475.0</v>
      </c>
      <c r="I839" s="14">
        <v>48.0</v>
      </c>
      <c r="J839" s="13" t="s">
        <v>64</v>
      </c>
      <c r="K839" s="13" t="s">
        <v>81</v>
      </c>
      <c r="L839" s="14">
        <v>2958.0</v>
      </c>
      <c r="M839" s="18" t="s">
        <v>164</v>
      </c>
      <c r="N839" s="18" t="s">
        <v>46</v>
      </c>
      <c r="O839" s="18">
        <v>46.8</v>
      </c>
      <c r="P839" s="18" t="s">
        <v>518</v>
      </c>
      <c r="Q839" s="16">
        <v>45951.0</v>
      </c>
      <c r="R839" s="16">
        <v>46421.0</v>
      </c>
      <c r="S839" s="13" t="s">
        <v>45</v>
      </c>
      <c r="T839" s="13" t="s">
        <v>72</v>
      </c>
      <c r="U839" s="13">
        <f t="shared" si="1"/>
        <v>1</v>
      </c>
      <c r="V839" s="13" t="str">
        <f t="shared" si="2"/>
        <v>C00288|Anita Reddy|31|North|Chandigarh|Premium|Referral|7/2/2024|48|Annual|Debit Card|2,958|3|0|46.80|1.7|10/21/2025|2/3/2027|Churned|Collaboration</v>
      </c>
      <c r="W839" s="13">
        <f t="shared" si="3"/>
        <v>1</v>
      </c>
      <c r="X839" s="13">
        <f>IFERROR(__xludf.DUMMYFUNCTION("COUNTUNIQUE(FILTER($B$2:$B$1826,$A$2:$A$1826=A839))"),1.0)</f>
        <v>1</v>
      </c>
    </row>
    <row r="840">
      <c r="A840" s="13" t="s">
        <v>1451</v>
      </c>
      <c r="B840" s="13" t="s">
        <v>202</v>
      </c>
      <c r="C840" s="14">
        <v>21.0</v>
      </c>
      <c r="D840" s="13" t="s">
        <v>35</v>
      </c>
      <c r="E840" s="13" t="s">
        <v>51</v>
      </c>
      <c r="F840" s="13" t="s">
        <v>62</v>
      </c>
      <c r="G840" s="13" t="s">
        <v>120</v>
      </c>
      <c r="H840" s="16">
        <v>45437.0</v>
      </c>
      <c r="I840" s="14">
        <v>26.0</v>
      </c>
      <c r="J840" s="13" t="s">
        <v>64</v>
      </c>
      <c r="K840" s="13" t="s">
        <v>65</v>
      </c>
      <c r="L840" s="14">
        <v>523.0</v>
      </c>
      <c r="M840" s="18" t="s">
        <v>99</v>
      </c>
      <c r="N840" s="18" t="s">
        <v>46</v>
      </c>
      <c r="O840" s="18">
        <v>16.5</v>
      </c>
      <c r="P840" s="18" t="s">
        <v>130</v>
      </c>
      <c r="Q840" s="16">
        <v>45971.0</v>
      </c>
      <c r="R840" s="16">
        <v>45968.0</v>
      </c>
      <c r="S840" s="13" t="s">
        <v>45</v>
      </c>
      <c r="T840" s="13" t="s">
        <v>66</v>
      </c>
      <c r="U840" s="13">
        <f t="shared" si="1"/>
        <v>2</v>
      </c>
      <c r="V840" s="13" t="str">
        <f t="shared" si="2"/>
        <v>C00523|Arun Das|21|North|Jaipur|Basic|Email|5/25/2024|26|Annual|Credit Card|523|4|0|16.50|3.9|11/10/2025|11/7/2025|Churned|Automation</v>
      </c>
      <c r="W840" s="13">
        <f t="shared" si="3"/>
        <v>1</v>
      </c>
      <c r="X840" s="13">
        <f>IFERROR(__xludf.DUMMYFUNCTION("COUNTUNIQUE(FILTER($B$2:$B$1826,$A$2:$A$1826=A840))"),2.0)</f>
        <v>2</v>
      </c>
    </row>
    <row r="841">
      <c r="A841" s="13" t="s">
        <v>804</v>
      </c>
      <c r="B841" s="13" t="s">
        <v>288</v>
      </c>
      <c r="C841" s="14">
        <v>55.0</v>
      </c>
      <c r="D841" s="13" t="s">
        <v>60</v>
      </c>
      <c r="E841" s="13" t="s">
        <v>107</v>
      </c>
      <c r="F841" s="13" t="s">
        <v>37</v>
      </c>
      <c r="G841" s="13" t="s">
        <v>52</v>
      </c>
      <c r="H841" s="16">
        <v>44716.0</v>
      </c>
      <c r="I841" s="14">
        <v>37.0</v>
      </c>
      <c r="J841" s="13" t="s">
        <v>53</v>
      </c>
      <c r="K841" s="13" t="s">
        <v>81</v>
      </c>
      <c r="L841" s="14">
        <v>1798.0</v>
      </c>
      <c r="M841" s="18" t="s">
        <v>98</v>
      </c>
      <c r="N841" s="18" t="s">
        <v>98</v>
      </c>
      <c r="O841" s="18">
        <v>16.9</v>
      </c>
      <c r="P841" s="18" t="s">
        <v>368</v>
      </c>
      <c r="Q841" s="16">
        <v>45815.0</v>
      </c>
      <c r="R841" s="16" t="s">
        <v>38</v>
      </c>
      <c r="S841" s="13" t="s">
        <v>55</v>
      </c>
      <c r="T841" s="13" t="s">
        <v>47</v>
      </c>
      <c r="U841" s="13">
        <f t="shared" si="1"/>
        <v>2</v>
      </c>
      <c r="V841" s="13" t="str">
        <f t="shared" si="2"/>
        <v>C01008|Rahul Sharma|55|East|Patna|Standard|Facebook|6/4/2022|37|Quarterly|Debit Card|1,798|1|1|16.90|4.9|6/7/2025||Active|Cloud Storage</v>
      </c>
      <c r="W841" s="13">
        <f t="shared" si="3"/>
        <v>1</v>
      </c>
      <c r="X841" s="13">
        <f>IFERROR(__xludf.DUMMYFUNCTION("COUNTUNIQUE(FILTER($B$2:$B$1826,$A$2:$A$1826=A841))"),2.0)</f>
        <v>2</v>
      </c>
    </row>
    <row r="842">
      <c r="A842" s="13" t="s">
        <v>1455</v>
      </c>
      <c r="B842" s="13" t="s">
        <v>448</v>
      </c>
      <c r="C842" s="14">
        <v>48.0</v>
      </c>
      <c r="D842" s="13" t="s">
        <v>35</v>
      </c>
      <c r="E842" s="13" t="s">
        <v>140</v>
      </c>
      <c r="F842" s="13" t="s">
        <v>37</v>
      </c>
      <c r="G842" s="13" t="s">
        <v>120</v>
      </c>
      <c r="H842" s="16">
        <v>45486.0</v>
      </c>
      <c r="I842" s="14">
        <v>48.0</v>
      </c>
      <c r="J842" s="13" t="s">
        <v>64</v>
      </c>
      <c r="K842" s="13" t="s">
        <v>81</v>
      </c>
      <c r="L842" s="14">
        <v>1073.0</v>
      </c>
      <c r="M842" s="18" t="s">
        <v>43</v>
      </c>
      <c r="N842" s="18" t="s">
        <v>43</v>
      </c>
      <c r="O842" s="18">
        <v>17.9</v>
      </c>
      <c r="P842" s="18" t="s">
        <v>76</v>
      </c>
      <c r="Q842" s="16">
        <v>46822.0</v>
      </c>
      <c r="R842" s="16" t="s">
        <v>38</v>
      </c>
      <c r="S842" s="13" t="s">
        <v>55</v>
      </c>
      <c r="T842" s="13" t="s">
        <v>75</v>
      </c>
      <c r="U842" s="13">
        <f t="shared" si="1"/>
        <v>3</v>
      </c>
      <c r="V842" s="13" t="str">
        <f t="shared" si="2"/>
        <v>C01540|Meera Reddy|48|North|Lucknow|Standard|Email|7/13/2024|48|Annual|Debit Card|1,073|2|2|17.90|4.4|3/10/2028||Active|Security</v>
      </c>
      <c r="W842" s="13">
        <f t="shared" si="3"/>
        <v>1</v>
      </c>
      <c r="X842" s="13">
        <f>IFERROR(__xludf.DUMMYFUNCTION("COUNTUNIQUE(FILTER($B$2:$B$1826,$A$2:$A$1826=A842))"),3.0)</f>
        <v>3</v>
      </c>
    </row>
    <row r="843">
      <c r="A843" s="13" t="s">
        <v>1457</v>
      </c>
      <c r="B843" s="13" t="s">
        <v>636</v>
      </c>
      <c r="C843" s="14">
        <v>53.0</v>
      </c>
      <c r="D843" s="13" t="s">
        <v>85</v>
      </c>
      <c r="E843" s="13" t="s">
        <v>92</v>
      </c>
      <c r="F843" s="13" t="s">
        <v>62</v>
      </c>
      <c r="G843" s="13" t="s">
        <v>128</v>
      </c>
      <c r="H843" s="16">
        <v>45360.0</v>
      </c>
      <c r="I843" s="14">
        <v>2.0</v>
      </c>
      <c r="J843" s="13" t="s">
        <v>53</v>
      </c>
      <c r="K843" s="13" t="s">
        <v>81</v>
      </c>
      <c r="L843" s="14">
        <v>664.0</v>
      </c>
      <c r="M843" s="18" t="s">
        <v>99</v>
      </c>
      <c r="N843" s="18" t="s">
        <v>46</v>
      </c>
      <c r="O843" s="18">
        <v>10.7</v>
      </c>
      <c r="P843" s="18" t="s">
        <v>275</v>
      </c>
      <c r="Q843" s="16">
        <v>45403.0</v>
      </c>
      <c r="R843" s="16" t="s">
        <v>38</v>
      </c>
      <c r="S843" s="13" t="s">
        <v>55</v>
      </c>
      <c r="T843" s="13" t="s">
        <v>47</v>
      </c>
      <c r="U843" s="13">
        <f t="shared" si="1"/>
        <v>1</v>
      </c>
      <c r="V843" s="13" t="str">
        <f t="shared" si="2"/>
        <v>C00044|Neha Reddy|53|West|Ahmedabad|Basic|Youtube|3/9/2024|2|Quarterly|Debit Card|664|4|0|10.70|4.3|4/21/2024||Active|Cloud Storage</v>
      </c>
      <c r="W843" s="13">
        <f t="shared" si="3"/>
        <v>1</v>
      </c>
      <c r="X843" s="13">
        <f>IFERROR(__xludf.DUMMYFUNCTION("COUNTUNIQUE(FILTER($B$2:$B$1826,$A$2:$A$1826=A843))"),1.0)</f>
        <v>1</v>
      </c>
    </row>
    <row r="844">
      <c r="A844" s="13" t="s">
        <v>1458</v>
      </c>
      <c r="B844" s="13" t="s">
        <v>405</v>
      </c>
      <c r="C844" s="14">
        <v>23.0</v>
      </c>
      <c r="D844" s="13" t="s">
        <v>60</v>
      </c>
      <c r="E844" s="13" t="s">
        <v>97</v>
      </c>
      <c r="F844" s="13" t="s">
        <v>62</v>
      </c>
      <c r="G844" s="13" t="s">
        <v>39</v>
      </c>
      <c r="H844" s="16">
        <v>44984.0</v>
      </c>
      <c r="I844" s="14">
        <v>20.0</v>
      </c>
      <c r="J844" s="13" t="s">
        <v>53</v>
      </c>
      <c r="K844" s="13" t="s">
        <v>65</v>
      </c>
      <c r="L844" s="14">
        <v>512.0</v>
      </c>
      <c r="M844" s="18" t="s">
        <v>164</v>
      </c>
      <c r="N844" s="18" t="s">
        <v>46</v>
      </c>
      <c r="O844" s="18">
        <v>22.2</v>
      </c>
      <c r="P844" s="18" t="s">
        <v>48</v>
      </c>
      <c r="Q844" s="16">
        <v>45034.0</v>
      </c>
      <c r="R844" s="16" t="s">
        <v>38</v>
      </c>
      <c r="S844" s="13" t="s">
        <v>55</v>
      </c>
      <c r="T844" s="13" t="s">
        <v>47</v>
      </c>
      <c r="U844" s="13">
        <f t="shared" si="1"/>
        <v>1</v>
      </c>
      <c r="V844" s="13" t="str">
        <f t="shared" si="2"/>
        <v>C01577|Rahul Reddy|23|East|Bhubaneswar|Basic|Instagram|2/27/2023|20|Quarterly|Credit Card|512|3|0|22.20|3.6|4/18/2023||Active|Cloud Storage</v>
      </c>
      <c r="W844" s="13">
        <f t="shared" si="3"/>
        <v>1</v>
      </c>
      <c r="X844" s="13">
        <f>IFERROR(__xludf.DUMMYFUNCTION("COUNTUNIQUE(FILTER($B$2:$B$1826,$A$2:$A$1826=A844))"),1.0)</f>
        <v>1</v>
      </c>
    </row>
    <row r="845">
      <c r="A845" s="13" t="s">
        <v>1460</v>
      </c>
      <c r="B845" s="13" t="s">
        <v>235</v>
      </c>
      <c r="C845" s="14">
        <v>43.0</v>
      </c>
      <c r="D845" s="13" t="s">
        <v>69</v>
      </c>
      <c r="E845" s="13" t="s">
        <v>187</v>
      </c>
      <c r="F845" s="13" t="s">
        <v>62</v>
      </c>
      <c r="G845" s="13" t="s">
        <v>120</v>
      </c>
      <c r="H845" s="16">
        <v>45117.0</v>
      </c>
      <c r="I845" s="14">
        <v>0.0</v>
      </c>
      <c r="J845" s="13" t="s">
        <v>40</v>
      </c>
      <c r="K845" s="13" t="s">
        <v>65</v>
      </c>
      <c r="L845" s="14">
        <v>610.0</v>
      </c>
      <c r="M845" s="18" t="s">
        <v>164</v>
      </c>
      <c r="N845" s="18" t="s">
        <v>98</v>
      </c>
      <c r="O845" s="18">
        <v>10.5</v>
      </c>
      <c r="P845" s="18" t="s">
        <v>158</v>
      </c>
      <c r="Q845" s="16">
        <v>45140.0</v>
      </c>
      <c r="R845" s="16" t="s">
        <v>1461</v>
      </c>
      <c r="S845" s="13" t="s">
        <v>55</v>
      </c>
      <c r="T845" s="13" t="s">
        <v>47</v>
      </c>
      <c r="U845" s="13">
        <f t="shared" si="1"/>
        <v>1</v>
      </c>
      <c r="V845" s="13" t="str">
        <f t="shared" si="2"/>
        <v>C01348|Sneha Sharma|43|South|Chennai|Basic|Email|7/10/2023|0|Monthly|Credit Card|610|3|1|10.50|4.7|8/2/2023|18/10/2023|Active|Cloud Storage</v>
      </c>
      <c r="W845" s="13">
        <f t="shared" si="3"/>
        <v>1</v>
      </c>
      <c r="X845" s="13">
        <f>IFERROR(__xludf.DUMMYFUNCTION("COUNTUNIQUE(FILTER($B$2:$B$1826,$A$2:$A$1826=A845))"),1.0)</f>
        <v>1</v>
      </c>
    </row>
    <row r="846">
      <c r="A846" s="13" t="s">
        <v>1462</v>
      </c>
      <c r="B846" s="13" t="s">
        <v>247</v>
      </c>
      <c r="C846" s="14">
        <v>29.0</v>
      </c>
      <c r="D846" s="13" t="s">
        <v>35</v>
      </c>
      <c r="E846" s="13" t="s">
        <v>140</v>
      </c>
      <c r="F846" s="13" t="s">
        <v>62</v>
      </c>
      <c r="G846" s="13" t="s">
        <v>39</v>
      </c>
      <c r="H846" s="16">
        <v>44983.0</v>
      </c>
      <c r="I846" s="14">
        <v>25.0</v>
      </c>
      <c r="J846" s="13" t="s">
        <v>64</v>
      </c>
      <c r="K846" s="13" t="s">
        <v>41</v>
      </c>
      <c r="L846" s="14">
        <v>562.0</v>
      </c>
      <c r="M846" s="18" t="s">
        <v>164</v>
      </c>
      <c r="N846" s="18" t="s">
        <v>98</v>
      </c>
      <c r="O846" s="18">
        <v>6.2</v>
      </c>
      <c r="P846" s="18" t="s">
        <v>456</v>
      </c>
      <c r="Q846" s="16">
        <v>45172.0</v>
      </c>
      <c r="R846" s="16" t="s">
        <v>38</v>
      </c>
      <c r="S846" s="13" t="s">
        <v>55</v>
      </c>
      <c r="T846" s="13" t="s">
        <v>75</v>
      </c>
      <c r="U846" s="13">
        <f t="shared" si="1"/>
        <v>1</v>
      </c>
      <c r="V846" s="13" t="str">
        <f t="shared" si="2"/>
        <v>C00780|Ravi Sharma|29|North|Lucknow|Basic|Instagram|2/26/2023|25|Annual|Upi|562|3|1|6.20|2.5|9/3/2023||Active|Security</v>
      </c>
      <c r="W846" s="13">
        <f t="shared" si="3"/>
        <v>1</v>
      </c>
      <c r="X846" s="13">
        <f>IFERROR(__xludf.DUMMYFUNCTION("COUNTUNIQUE(FILTER($B$2:$B$1826,$A$2:$A$1826=A846))"),1.0)</f>
        <v>1</v>
      </c>
    </row>
    <row r="847">
      <c r="A847" s="13" t="s">
        <v>521</v>
      </c>
      <c r="B847" s="13" t="s">
        <v>364</v>
      </c>
      <c r="C847" s="14">
        <v>19.0</v>
      </c>
      <c r="D847" s="13" t="s">
        <v>69</v>
      </c>
      <c r="E847" s="13" t="s">
        <v>107</v>
      </c>
      <c r="F847" s="13" t="s">
        <v>62</v>
      </c>
      <c r="G847" s="13" t="s">
        <v>39</v>
      </c>
      <c r="H847" s="16">
        <v>44747.0</v>
      </c>
      <c r="I847" s="14">
        <v>33.0</v>
      </c>
      <c r="J847" s="13" t="s">
        <v>53</v>
      </c>
      <c r="K847" s="13" t="s">
        <v>65</v>
      </c>
      <c r="L847" s="14">
        <v>629.0</v>
      </c>
      <c r="M847" s="18" t="s">
        <v>164</v>
      </c>
      <c r="N847" s="18" t="s">
        <v>98</v>
      </c>
      <c r="O847" s="18">
        <v>20.3</v>
      </c>
      <c r="P847" s="18" t="s">
        <v>48</v>
      </c>
      <c r="Q847" s="16">
        <v>45872.0</v>
      </c>
      <c r="R847" s="16" t="s">
        <v>38</v>
      </c>
      <c r="S847" s="13" t="s">
        <v>55</v>
      </c>
      <c r="T847" s="13" t="s">
        <v>75</v>
      </c>
      <c r="U847" s="13">
        <f t="shared" si="1"/>
        <v>4</v>
      </c>
      <c r="V847" s="13" t="str">
        <f t="shared" si="2"/>
        <v>C01517|Sneha Kumar|19|South|Patna|Basic|Instagram|7/5/2022|33|Quarterly|Credit Card|629|3|1|20.30|3.6|8/3/2025||Active|Security</v>
      </c>
      <c r="W847" s="13">
        <f t="shared" si="3"/>
        <v>1</v>
      </c>
      <c r="X847" s="13">
        <f>IFERROR(__xludf.DUMMYFUNCTION("COUNTUNIQUE(FILTER($B$2:$B$1826,$A$2:$A$1826=A847))"),4.0)</f>
        <v>4</v>
      </c>
    </row>
    <row r="848">
      <c r="A848" s="13" t="s">
        <v>1400</v>
      </c>
      <c r="B848" s="13" t="s">
        <v>118</v>
      </c>
      <c r="C848" s="14">
        <v>20.0</v>
      </c>
      <c r="D848" s="13" t="s">
        <v>60</v>
      </c>
      <c r="E848" s="13" t="s">
        <v>107</v>
      </c>
      <c r="F848" s="13" t="s">
        <v>79</v>
      </c>
      <c r="G848" s="13" t="s">
        <v>128</v>
      </c>
      <c r="H848" s="16">
        <v>44695.0</v>
      </c>
      <c r="I848" s="14">
        <v>28.0</v>
      </c>
      <c r="J848" s="13" t="s">
        <v>53</v>
      </c>
      <c r="K848" s="13" t="s">
        <v>81</v>
      </c>
      <c r="L848" s="14">
        <v>2468.0</v>
      </c>
      <c r="M848" s="18" t="s">
        <v>46</v>
      </c>
      <c r="N848" s="18" t="s">
        <v>46</v>
      </c>
      <c r="O848" s="18">
        <v>21.2</v>
      </c>
      <c r="P848" s="18" t="s">
        <v>275</v>
      </c>
      <c r="Q848" s="16">
        <v>45423.0</v>
      </c>
      <c r="R848" s="16">
        <v>44751.0</v>
      </c>
      <c r="S848" s="13" t="s">
        <v>45</v>
      </c>
      <c r="T848" s="13" t="s">
        <v>72</v>
      </c>
      <c r="U848" s="13">
        <f t="shared" si="1"/>
        <v>3</v>
      </c>
      <c r="V848" s="13" t="str">
        <f t="shared" si="2"/>
        <v>C00205|Karan Nair|20|East|Patna|Premium|Youtube|5/14/2022|28|Quarterly|Debit Card|2,468|0|0|21.20|4.3|5/11/2024|7/9/2022|Churned|Collaboration</v>
      </c>
      <c r="W848" s="13">
        <f t="shared" si="3"/>
        <v>1</v>
      </c>
      <c r="X848" s="13">
        <f>IFERROR(__xludf.DUMMYFUNCTION("COUNTUNIQUE(FILTER($B$2:$B$1826,$A$2:$A$1826=A848))"),3.0)</f>
        <v>3</v>
      </c>
    </row>
    <row r="849">
      <c r="A849" s="13" t="s">
        <v>1465</v>
      </c>
      <c r="B849" s="13" t="s">
        <v>470</v>
      </c>
      <c r="C849" s="14">
        <v>66.0</v>
      </c>
      <c r="D849" s="13" t="s">
        <v>69</v>
      </c>
      <c r="E849" s="13" t="s">
        <v>187</v>
      </c>
      <c r="F849" s="13" t="s">
        <v>62</v>
      </c>
      <c r="G849" s="13" t="s">
        <v>63</v>
      </c>
      <c r="H849" s="16">
        <v>44824.0</v>
      </c>
      <c r="I849" s="14">
        <v>34.0</v>
      </c>
      <c r="J849" s="13" t="s">
        <v>64</v>
      </c>
      <c r="K849" s="13" t="s">
        <v>65</v>
      </c>
      <c r="L849" s="14">
        <v>854.0</v>
      </c>
      <c r="M849" s="18" t="s">
        <v>98</v>
      </c>
      <c r="N849" s="18" t="s">
        <v>46</v>
      </c>
      <c r="O849" s="18">
        <v>17.1</v>
      </c>
      <c r="P849" s="18" t="s">
        <v>408</v>
      </c>
      <c r="Q849" s="16">
        <v>44913.0</v>
      </c>
      <c r="R849" s="16" t="s">
        <v>38</v>
      </c>
      <c r="S849" s="13" t="s">
        <v>55</v>
      </c>
      <c r="T849" s="13" t="s">
        <v>72</v>
      </c>
      <c r="U849" s="13">
        <f t="shared" si="1"/>
        <v>2</v>
      </c>
      <c r="V849" s="13" t="str">
        <f t="shared" si="2"/>
        <v>C00093|Arun Singh|66|South|Chennai|Basic|Google Ads|9/20/2022|34|Annual|Credit Card|854|1|0|17.10|4.2|12/18/2022||Active|Collaboration</v>
      </c>
      <c r="W849" s="13">
        <f t="shared" si="3"/>
        <v>1</v>
      </c>
      <c r="X849" s="13">
        <f>IFERROR(__xludf.DUMMYFUNCTION("COUNTUNIQUE(FILTER($B$2:$B$1826,$A$2:$A$1826=A849))"),2.0)</f>
        <v>2</v>
      </c>
    </row>
    <row r="850">
      <c r="A850" s="13" t="s">
        <v>1082</v>
      </c>
      <c r="B850" s="13" t="s">
        <v>345</v>
      </c>
      <c r="C850" s="14">
        <v>32.0</v>
      </c>
      <c r="D850" s="13" t="s">
        <v>85</v>
      </c>
      <c r="E850" s="13" t="s">
        <v>111</v>
      </c>
      <c r="F850" s="13" t="s">
        <v>62</v>
      </c>
      <c r="G850" s="13" t="s">
        <v>39</v>
      </c>
      <c r="H850" s="16">
        <v>45624.0</v>
      </c>
      <c r="I850" s="14">
        <v>10.0</v>
      </c>
      <c r="J850" s="13" t="s">
        <v>53</v>
      </c>
      <c r="K850" s="13" t="s">
        <v>65</v>
      </c>
      <c r="L850" s="14">
        <v>841.0</v>
      </c>
      <c r="M850" s="18" t="s">
        <v>98</v>
      </c>
      <c r="N850" s="18" t="s">
        <v>98</v>
      </c>
      <c r="O850" s="18">
        <v>20.5</v>
      </c>
      <c r="P850" s="18" t="s">
        <v>173</v>
      </c>
      <c r="Q850" s="16">
        <v>45690.0</v>
      </c>
      <c r="R850" s="16" t="s">
        <v>1466</v>
      </c>
      <c r="S850" s="13" t="s">
        <v>45</v>
      </c>
      <c r="T850" s="13" t="s">
        <v>72</v>
      </c>
      <c r="U850" s="13">
        <f t="shared" si="1"/>
        <v>4</v>
      </c>
      <c r="V850" s="13" t="str">
        <f t="shared" si="2"/>
        <v>C01265|Arun Nair|32|West|Pune|Basic|Instagram|11/28/2024|10|Quarterly|Credit Card|841|1|1|20.50|5|2/2/2025|21/03/2025|Churned|Collaboration</v>
      </c>
      <c r="W850" s="13">
        <f t="shared" si="3"/>
        <v>1</v>
      </c>
      <c r="X850" s="13">
        <f>IFERROR(__xludf.DUMMYFUNCTION("COUNTUNIQUE(FILTER($B$2:$B$1826,$A$2:$A$1826=A850))"),4.0)</f>
        <v>4</v>
      </c>
    </row>
    <row r="851">
      <c r="A851" s="13" t="s">
        <v>1467</v>
      </c>
      <c r="B851" s="13" t="s">
        <v>206</v>
      </c>
      <c r="C851" s="14">
        <v>29.0</v>
      </c>
      <c r="D851" s="13" t="s">
        <v>60</v>
      </c>
      <c r="E851" s="13" t="s">
        <v>61</v>
      </c>
      <c r="F851" s="13" t="s">
        <v>37</v>
      </c>
      <c r="G851" s="13" t="s">
        <v>210</v>
      </c>
      <c r="H851" s="16">
        <v>44620.0</v>
      </c>
      <c r="I851" s="14">
        <v>31.0</v>
      </c>
      <c r="J851" s="13" t="s">
        <v>40</v>
      </c>
      <c r="K851" s="13" t="s">
        <v>41</v>
      </c>
      <c r="L851" s="14">
        <v>1416.0</v>
      </c>
      <c r="M851" s="18" t="s">
        <v>98</v>
      </c>
      <c r="N851" s="18" t="s">
        <v>43</v>
      </c>
      <c r="O851" s="18">
        <v>26.6</v>
      </c>
      <c r="P851" s="18" t="s">
        <v>456</v>
      </c>
      <c r="Q851" s="16">
        <v>45182.0</v>
      </c>
      <c r="R851" s="16" t="s">
        <v>38</v>
      </c>
      <c r="S851" s="13" t="s">
        <v>55</v>
      </c>
      <c r="T851" s="13" t="s">
        <v>72</v>
      </c>
      <c r="U851" s="13">
        <f t="shared" si="1"/>
        <v>1</v>
      </c>
      <c r="V851" s="13" t="str">
        <f t="shared" si="2"/>
        <v>C00544|Karan Patel|29|East|Kolkata|Standard|Referral|2/28/2022|31|Monthly|Upi|1,416|1|2|26.60|2.5|9/13/2023||Active|Collaboration</v>
      </c>
      <c r="W851" s="13">
        <f t="shared" si="3"/>
        <v>1</v>
      </c>
      <c r="X851" s="13">
        <f>IFERROR(__xludf.DUMMYFUNCTION("COUNTUNIQUE(FILTER($B$2:$B$1826,$A$2:$A$1826=A851))"),1.0)</f>
        <v>1</v>
      </c>
    </row>
    <row r="852">
      <c r="A852" s="13" t="s">
        <v>1468</v>
      </c>
      <c r="B852" s="13" t="s">
        <v>331</v>
      </c>
      <c r="C852" s="14">
        <v>49.0</v>
      </c>
      <c r="D852" s="13" t="s">
        <v>35</v>
      </c>
      <c r="E852" s="13" t="s">
        <v>140</v>
      </c>
      <c r="F852" s="13" t="s">
        <v>79</v>
      </c>
      <c r="G852" s="13" t="s">
        <v>63</v>
      </c>
      <c r="H852" s="16">
        <v>45536.0</v>
      </c>
      <c r="I852" s="14">
        <v>30.0</v>
      </c>
      <c r="J852" s="13" t="s">
        <v>53</v>
      </c>
      <c r="K852" s="13" t="s">
        <v>65</v>
      </c>
      <c r="L852" s="14">
        <v>2274.0</v>
      </c>
      <c r="M852" s="18" t="s">
        <v>164</v>
      </c>
      <c r="N852" s="18" t="s">
        <v>46</v>
      </c>
      <c r="O852" s="18">
        <v>32.1</v>
      </c>
      <c r="P852" s="18" t="s">
        <v>48</v>
      </c>
      <c r="Q852" s="16">
        <v>46423.0</v>
      </c>
      <c r="R852" s="16">
        <v>46301.0</v>
      </c>
      <c r="S852" s="13" t="s">
        <v>45</v>
      </c>
      <c r="T852" s="13" t="s">
        <v>47</v>
      </c>
      <c r="U852" s="13">
        <f t="shared" si="1"/>
        <v>1</v>
      </c>
      <c r="V852" s="13" t="str">
        <f t="shared" si="2"/>
        <v>C00457|Arun Iyer|49|North|Lucknow|Premium|Google Ads|9/1/2024|30|Quarterly|Credit Card|2,274|3|0|32.10|3.6|2/5/2027|10/6/2026|Churned|Cloud Storage</v>
      </c>
      <c r="W852" s="13">
        <f t="shared" si="3"/>
        <v>1</v>
      </c>
      <c r="X852" s="13">
        <f>IFERROR(__xludf.DUMMYFUNCTION("COUNTUNIQUE(FILTER($B$2:$B$1826,$A$2:$A$1826=A852))"),1.0)</f>
        <v>1</v>
      </c>
    </row>
    <row r="853">
      <c r="A853" s="13" t="s">
        <v>353</v>
      </c>
      <c r="B853" s="13" t="s">
        <v>215</v>
      </c>
      <c r="C853" s="14">
        <v>66.0</v>
      </c>
      <c r="D853" s="13" t="s">
        <v>60</v>
      </c>
      <c r="E853" s="13" t="s">
        <v>61</v>
      </c>
      <c r="F853" s="13" t="s">
        <v>37</v>
      </c>
      <c r="G853" s="13" t="s">
        <v>52</v>
      </c>
      <c r="H853" s="16">
        <v>45731.0</v>
      </c>
      <c r="I853" s="14">
        <v>13.0</v>
      </c>
      <c r="J853" s="13" t="s">
        <v>40</v>
      </c>
      <c r="K853" s="13" t="s">
        <v>81</v>
      </c>
      <c r="L853" s="14">
        <v>1131.0</v>
      </c>
      <c r="M853" s="18" t="s">
        <v>99</v>
      </c>
      <c r="N853" s="18" t="s">
        <v>43</v>
      </c>
      <c r="O853" s="18">
        <v>23.6</v>
      </c>
      <c r="P853" s="18" t="s">
        <v>203</v>
      </c>
      <c r="Q853" s="16">
        <v>45814.0</v>
      </c>
      <c r="R853" s="16" t="s">
        <v>38</v>
      </c>
      <c r="S853" s="13" t="s">
        <v>55</v>
      </c>
      <c r="T853" s="13" t="s">
        <v>75</v>
      </c>
      <c r="U853" s="13">
        <f t="shared" si="1"/>
        <v>3</v>
      </c>
      <c r="V853" s="13" t="str">
        <f t="shared" si="2"/>
        <v>C00662|Neha Sharma|66|East|Kolkata|Standard|Facebook|3/15/2025|13|Monthly|Debit Card|1,131|4|2|23.60|3.7|6/6/2025||Active|Security</v>
      </c>
      <c r="W853" s="13">
        <f t="shared" si="3"/>
        <v>1</v>
      </c>
      <c r="X853" s="13">
        <f>IFERROR(__xludf.DUMMYFUNCTION("COUNTUNIQUE(FILTER($B$2:$B$1826,$A$2:$A$1826=A853))"),3.0)</f>
        <v>3</v>
      </c>
    </row>
    <row r="854">
      <c r="A854" s="13" t="s">
        <v>1363</v>
      </c>
      <c r="B854" s="13" t="s">
        <v>176</v>
      </c>
      <c r="C854" s="14">
        <v>67.0</v>
      </c>
      <c r="D854" s="13" t="s">
        <v>69</v>
      </c>
      <c r="E854" s="13" t="s">
        <v>51</v>
      </c>
      <c r="F854" s="13" t="s">
        <v>62</v>
      </c>
      <c r="G854" s="13" t="s">
        <v>39</v>
      </c>
      <c r="H854" s="16">
        <v>45912.0</v>
      </c>
      <c r="I854" s="14">
        <v>20.0</v>
      </c>
      <c r="J854" s="13" t="s">
        <v>40</v>
      </c>
      <c r="K854" s="13" t="s">
        <v>65</v>
      </c>
      <c r="L854" s="14">
        <v>735.0</v>
      </c>
      <c r="M854" s="18" t="s">
        <v>43</v>
      </c>
      <c r="N854" s="18" t="s">
        <v>46</v>
      </c>
      <c r="O854" s="18">
        <v>5.2</v>
      </c>
      <c r="P854" s="18" t="s">
        <v>233</v>
      </c>
      <c r="Q854" s="16">
        <v>46454.0</v>
      </c>
      <c r="R854" s="16" t="s">
        <v>38</v>
      </c>
      <c r="S854" s="13" t="s">
        <v>55</v>
      </c>
      <c r="T854" s="13" t="s">
        <v>75</v>
      </c>
      <c r="U854" s="13">
        <f t="shared" si="1"/>
        <v>2</v>
      </c>
      <c r="V854" s="13" t="str">
        <f t="shared" si="2"/>
        <v>C00579|Ravi Iyer|67|South|Jaipur|Basic|Instagram|9/12/2025|20|Monthly|Credit Card|735|2|0|5.20|3.5|3/8/2027||Active|Security</v>
      </c>
      <c r="W854" s="13">
        <f t="shared" si="3"/>
        <v>1</v>
      </c>
      <c r="X854" s="13">
        <f>IFERROR(__xludf.DUMMYFUNCTION("COUNTUNIQUE(FILTER($B$2:$B$1826,$A$2:$A$1826=A854))"),2.0)</f>
        <v>2</v>
      </c>
    </row>
    <row r="855">
      <c r="A855" s="13" t="s">
        <v>1121</v>
      </c>
      <c r="B855" s="13" t="s">
        <v>470</v>
      </c>
      <c r="C855" s="14">
        <v>29.0</v>
      </c>
      <c r="D855" s="13" t="s">
        <v>69</v>
      </c>
      <c r="E855" s="13" t="s">
        <v>70</v>
      </c>
      <c r="F855" s="13" t="s">
        <v>37</v>
      </c>
      <c r="G855" s="13" t="s">
        <v>128</v>
      </c>
      <c r="H855" s="16">
        <v>45350.0</v>
      </c>
      <c r="I855" s="14">
        <v>41.0</v>
      </c>
      <c r="J855" s="13" t="s">
        <v>53</v>
      </c>
      <c r="K855" s="13" t="s">
        <v>65</v>
      </c>
      <c r="L855" s="14">
        <v>1185.0</v>
      </c>
      <c r="M855" s="18" t="s">
        <v>173</v>
      </c>
      <c r="N855" s="18" t="s">
        <v>46</v>
      </c>
      <c r="O855" s="18">
        <v>28.1</v>
      </c>
      <c r="P855" s="18" t="s">
        <v>248</v>
      </c>
      <c r="Q855" s="16" t="s">
        <v>38</v>
      </c>
      <c r="R855" s="16" t="s">
        <v>38</v>
      </c>
      <c r="S855" s="13" t="s">
        <v>55</v>
      </c>
      <c r="T855" s="13" t="s">
        <v>104</v>
      </c>
      <c r="U855" s="13">
        <f t="shared" si="1"/>
        <v>3</v>
      </c>
      <c r="V855" s="13" t="str">
        <f t="shared" si="2"/>
        <v>C00768|Arun Singh|29|South|Bengaluru|Standard|Youtube|2/28/2024|41|Quarterly|Credit Card|1,185|5|0|28.10|2.6|||Active|Analytics</v>
      </c>
      <c r="W855" s="13">
        <f t="shared" si="3"/>
        <v>1</v>
      </c>
      <c r="X855" s="13">
        <f>IFERROR(__xludf.DUMMYFUNCTION("COUNTUNIQUE(FILTER($B$2:$B$1826,$A$2:$A$1826=A855))"),3.0)</f>
        <v>3</v>
      </c>
    </row>
    <row r="856">
      <c r="A856" s="13" t="s">
        <v>667</v>
      </c>
      <c r="B856" s="13" t="s">
        <v>645</v>
      </c>
      <c r="C856" s="14">
        <v>26.0</v>
      </c>
      <c r="D856" s="13" t="s">
        <v>85</v>
      </c>
      <c r="E856" s="13" t="s">
        <v>87</v>
      </c>
      <c r="F856" s="13" t="s">
        <v>79</v>
      </c>
      <c r="G856" s="13" t="s">
        <v>39</v>
      </c>
      <c r="H856" s="16">
        <v>45849.0</v>
      </c>
      <c r="I856" s="14">
        <v>0.0</v>
      </c>
      <c r="J856" s="13" t="s">
        <v>64</v>
      </c>
      <c r="K856" s="13" t="s">
        <v>65</v>
      </c>
      <c r="L856" s="14">
        <v>3271.0</v>
      </c>
      <c r="M856" s="18" t="s">
        <v>99</v>
      </c>
      <c r="N856" s="18" t="s">
        <v>46</v>
      </c>
      <c r="O856" s="18">
        <v>43.8</v>
      </c>
      <c r="P856" s="18" t="s">
        <v>408</v>
      </c>
      <c r="Q856" s="16">
        <v>46397.0</v>
      </c>
      <c r="R856" s="16" t="s">
        <v>38</v>
      </c>
      <c r="S856" s="13" t="s">
        <v>55</v>
      </c>
      <c r="T856" s="13" t="s">
        <v>66</v>
      </c>
      <c r="U856" s="13">
        <f t="shared" si="1"/>
        <v>4</v>
      </c>
      <c r="V856" s="13" t="str">
        <f t="shared" si="2"/>
        <v>C01172|Ravi Nair|26|West|Surat|Premium|Instagram|7/11/2025|0|Annual|Credit Card|3,271|4|0|43.80|4.2|1/10/2027||Active|Automation</v>
      </c>
      <c r="W856" s="13">
        <f t="shared" si="3"/>
        <v>1</v>
      </c>
      <c r="X856" s="13">
        <f>IFERROR(__xludf.DUMMYFUNCTION("COUNTUNIQUE(FILTER($B$2:$B$1826,$A$2:$A$1826=A856))"),4.0)</f>
        <v>4</v>
      </c>
    </row>
    <row r="857">
      <c r="A857" s="13" t="s">
        <v>1470</v>
      </c>
      <c r="B857" s="13" t="s">
        <v>176</v>
      </c>
      <c r="C857" s="14">
        <v>23.0</v>
      </c>
      <c r="D857" s="13" t="s">
        <v>60</v>
      </c>
      <c r="E857" s="13" t="s">
        <v>97</v>
      </c>
      <c r="F857" s="13" t="s">
        <v>62</v>
      </c>
      <c r="G857" s="13" t="s">
        <v>128</v>
      </c>
      <c r="H857" s="16">
        <v>45560.0</v>
      </c>
      <c r="I857" s="14">
        <v>36.0</v>
      </c>
      <c r="J857" s="13" t="s">
        <v>53</v>
      </c>
      <c r="K857" s="13" t="s">
        <v>65</v>
      </c>
      <c r="L857" s="14">
        <v>548.0</v>
      </c>
      <c r="M857" s="18" t="s">
        <v>43</v>
      </c>
      <c r="N857" s="18" t="s">
        <v>98</v>
      </c>
      <c r="O857" s="18">
        <v>35.5</v>
      </c>
      <c r="P857" s="18" t="s">
        <v>310</v>
      </c>
      <c r="Q857" s="16">
        <v>46271.0</v>
      </c>
      <c r="R857" s="16" t="s">
        <v>38</v>
      </c>
      <c r="S857" s="13" t="s">
        <v>55</v>
      </c>
      <c r="T857" s="13" t="s">
        <v>104</v>
      </c>
      <c r="U857" s="13">
        <f t="shared" si="1"/>
        <v>3</v>
      </c>
      <c r="V857" s="13" t="str">
        <f t="shared" si="2"/>
        <v>C00691|Ravi Iyer|23|East|Bhubaneswar|Basic|Youtube|9/25/2024|36|Quarterly|Credit Card|548|2|1|35.50|3.1|9/6/2026||Active|Analytics</v>
      </c>
      <c r="W857" s="13">
        <f t="shared" si="3"/>
        <v>1</v>
      </c>
      <c r="X857" s="13">
        <f>IFERROR(__xludf.DUMMYFUNCTION("COUNTUNIQUE(FILTER($B$2:$B$1826,$A$2:$A$1826=A857))"),2.0)</f>
        <v>2</v>
      </c>
    </row>
    <row r="858">
      <c r="A858" s="13" t="s">
        <v>1471</v>
      </c>
      <c r="B858" s="13" t="s">
        <v>169</v>
      </c>
      <c r="C858" s="14">
        <v>46.0</v>
      </c>
      <c r="D858" s="13" t="s">
        <v>69</v>
      </c>
      <c r="E858" s="13" t="s">
        <v>70</v>
      </c>
      <c r="F858" s="13" t="s">
        <v>62</v>
      </c>
      <c r="G858" s="13" t="s">
        <v>120</v>
      </c>
      <c r="H858" s="16">
        <v>44789.0</v>
      </c>
      <c r="I858" s="14">
        <v>8.0</v>
      </c>
      <c r="J858" s="13" t="s">
        <v>64</v>
      </c>
      <c r="K858" s="13" t="s">
        <v>41</v>
      </c>
      <c r="L858" s="14">
        <v>650.0</v>
      </c>
      <c r="M858" s="18" t="s">
        <v>164</v>
      </c>
      <c r="N858" s="18" t="s">
        <v>46</v>
      </c>
      <c r="O858" s="18">
        <v>30.1</v>
      </c>
      <c r="P858" s="18" t="s">
        <v>185</v>
      </c>
      <c r="Q858" s="16">
        <v>44887.0</v>
      </c>
      <c r="R858" s="16" t="s">
        <v>38</v>
      </c>
      <c r="S858" s="13" t="s">
        <v>55</v>
      </c>
      <c r="T858" s="13" t="s">
        <v>38</v>
      </c>
      <c r="U858" s="13">
        <f t="shared" si="1"/>
        <v>1</v>
      </c>
      <c r="V858" s="13" t="str">
        <f t="shared" si="2"/>
        <v>C01113|Vikram Nair|46|South|Bengaluru|Basic|Email|8/16/2022|8|Annual|Upi|650|3|0|30.10|3.2|11/22/2022||Active|</v>
      </c>
      <c r="W858" s="13">
        <f t="shared" si="3"/>
        <v>1</v>
      </c>
      <c r="X858" s="13">
        <f>IFERROR(__xludf.DUMMYFUNCTION("COUNTUNIQUE(FILTER($B$2:$B$1826,$A$2:$A$1826=A858))"),1.0)</f>
        <v>1</v>
      </c>
    </row>
    <row r="859">
      <c r="A859" s="13" t="s">
        <v>1472</v>
      </c>
      <c r="B859" s="13" t="s">
        <v>239</v>
      </c>
      <c r="C859" s="14">
        <v>53.0</v>
      </c>
      <c r="D859" s="13" t="s">
        <v>85</v>
      </c>
      <c r="E859" s="13" t="s">
        <v>111</v>
      </c>
      <c r="F859" s="13" t="s">
        <v>62</v>
      </c>
      <c r="G859" s="13" t="s">
        <v>52</v>
      </c>
      <c r="H859" s="16">
        <v>45016.0</v>
      </c>
      <c r="I859" s="14">
        <v>2.0</v>
      </c>
      <c r="J859" s="13" t="s">
        <v>53</v>
      </c>
      <c r="K859" s="13" t="s">
        <v>81</v>
      </c>
      <c r="L859" s="14">
        <v>880.0</v>
      </c>
      <c r="M859" s="18" t="s">
        <v>43</v>
      </c>
      <c r="N859" s="18" t="s">
        <v>98</v>
      </c>
      <c r="O859" s="18">
        <v>27.0</v>
      </c>
      <c r="P859" s="18" t="s">
        <v>233</v>
      </c>
      <c r="Q859" s="16">
        <v>45045.0</v>
      </c>
      <c r="R859" s="16" t="s">
        <v>38</v>
      </c>
      <c r="S859" s="13" t="s">
        <v>55</v>
      </c>
      <c r="T859" s="13" t="s">
        <v>47</v>
      </c>
      <c r="U859" s="13">
        <f t="shared" si="1"/>
        <v>1</v>
      </c>
      <c r="V859" s="13" t="str">
        <f t="shared" si="2"/>
        <v>C00374|Meera Kumar|53|West|Pune|Basic|Facebook|3/31/2023|2|Quarterly|Debit Card|880|2|1|27.00|3.5|4/29/2023||Active|Cloud Storage</v>
      </c>
      <c r="W859" s="13">
        <f t="shared" si="3"/>
        <v>1</v>
      </c>
      <c r="X859" s="13">
        <f>IFERROR(__xludf.DUMMYFUNCTION("COUNTUNIQUE(FILTER($B$2:$B$1826,$A$2:$A$1826=A859))"),1.0)</f>
        <v>1</v>
      </c>
    </row>
    <row r="860">
      <c r="A860" s="13" t="s">
        <v>691</v>
      </c>
      <c r="B860" s="13" t="s">
        <v>476</v>
      </c>
      <c r="C860" s="14">
        <v>31.0</v>
      </c>
      <c r="D860" s="13" t="s">
        <v>69</v>
      </c>
      <c r="E860" s="13" t="s">
        <v>177</v>
      </c>
      <c r="F860" s="13" t="s">
        <v>62</v>
      </c>
      <c r="G860" s="13" t="s">
        <v>52</v>
      </c>
      <c r="H860" s="16">
        <v>44901.0</v>
      </c>
      <c r="I860" s="14">
        <v>41.0</v>
      </c>
      <c r="J860" s="13" t="s">
        <v>53</v>
      </c>
      <c r="K860" s="13" t="s">
        <v>41</v>
      </c>
      <c r="L860" s="14">
        <v>815.0</v>
      </c>
      <c r="M860" s="18" t="s">
        <v>164</v>
      </c>
      <c r="N860" s="18" t="s">
        <v>46</v>
      </c>
      <c r="O860" s="18">
        <v>15.4</v>
      </c>
      <c r="P860" s="18" t="s">
        <v>76</v>
      </c>
      <c r="Q860" s="16">
        <v>45222.0</v>
      </c>
      <c r="R860" s="16" t="s">
        <v>38</v>
      </c>
      <c r="S860" s="13" t="s">
        <v>55</v>
      </c>
      <c r="T860" s="13" t="s">
        <v>75</v>
      </c>
      <c r="U860" s="13">
        <f t="shared" si="1"/>
        <v>2</v>
      </c>
      <c r="V860" s="13" t="str">
        <f t="shared" si="2"/>
        <v>C01421|Ravi Das|31|South|Hyderabad|Basic|Facebook|12/6/2022|41|Quarterly|Upi|815|3|0|15.40|4.4|10/23/2023||Active|Security</v>
      </c>
      <c r="W860" s="13">
        <f t="shared" si="3"/>
        <v>1</v>
      </c>
      <c r="X860" s="13">
        <f>IFERROR(__xludf.DUMMYFUNCTION("COUNTUNIQUE(FILTER($B$2:$B$1826,$A$2:$A$1826=A860))"),2.0)</f>
        <v>2</v>
      </c>
    </row>
    <row r="861">
      <c r="A861" s="13" t="s">
        <v>926</v>
      </c>
      <c r="B861" s="13" t="s">
        <v>215</v>
      </c>
      <c r="C861" s="14">
        <v>22.0</v>
      </c>
      <c r="D861" s="13" t="s">
        <v>85</v>
      </c>
      <c r="E861" s="13" t="s">
        <v>87</v>
      </c>
      <c r="F861" s="13" t="s">
        <v>79</v>
      </c>
      <c r="G861" s="13" t="s">
        <v>120</v>
      </c>
      <c r="H861" s="16">
        <v>45221.0</v>
      </c>
      <c r="I861" s="14">
        <v>9.0</v>
      </c>
      <c r="J861" s="13" t="s">
        <v>53</v>
      </c>
      <c r="K861" s="13" t="s">
        <v>41</v>
      </c>
      <c r="L861" s="14">
        <v>2152.0</v>
      </c>
      <c r="M861" s="18" t="s">
        <v>98</v>
      </c>
      <c r="N861" s="18" t="s">
        <v>98</v>
      </c>
      <c r="O861" s="18">
        <v>35.6</v>
      </c>
      <c r="P861" s="18" t="s">
        <v>296</v>
      </c>
      <c r="Q861" s="16">
        <v>45359.0</v>
      </c>
      <c r="R861" s="16" t="s">
        <v>1473</v>
      </c>
      <c r="S861" s="13" t="s">
        <v>45</v>
      </c>
      <c r="T861" s="13" t="s">
        <v>47</v>
      </c>
      <c r="U861" s="13">
        <f t="shared" si="1"/>
        <v>2</v>
      </c>
      <c r="V861" s="13" t="str">
        <f t="shared" si="2"/>
        <v>C00608|Neha Sharma|22|West|Surat|Premium|Email|10/22/2023|9|Quarterly|Upi|2,152|1|1|35.60|4.6|3/8/2024|28/04/2024|Churned|Cloud Storage</v>
      </c>
      <c r="W861" s="13">
        <f t="shared" si="3"/>
        <v>1</v>
      </c>
      <c r="X861" s="13">
        <f>IFERROR(__xludf.DUMMYFUNCTION("COUNTUNIQUE(FILTER($B$2:$B$1826,$A$2:$A$1826=A861))"),2.0)</f>
        <v>2</v>
      </c>
    </row>
    <row r="862">
      <c r="A862" s="13" t="s">
        <v>1474</v>
      </c>
      <c r="B862" s="13" t="s">
        <v>349</v>
      </c>
      <c r="C862" s="14">
        <v>36.0</v>
      </c>
      <c r="D862" s="13" t="s">
        <v>69</v>
      </c>
      <c r="E862" s="13" t="s">
        <v>187</v>
      </c>
      <c r="F862" s="13" t="s">
        <v>62</v>
      </c>
      <c r="G862" s="13" t="s">
        <v>63</v>
      </c>
      <c r="H862" s="16">
        <v>45885.0</v>
      </c>
      <c r="I862" s="14">
        <v>27.0</v>
      </c>
      <c r="J862" s="13" t="s">
        <v>40</v>
      </c>
      <c r="K862" s="13" t="s">
        <v>65</v>
      </c>
      <c r="L862" s="14">
        <v>598.0</v>
      </c>
      <c r="M862" s="18" t="s">
        <v>43</v>
      </c>
      <c r="N862" s="18" t="s">
        <v>46</v>
      </c>
      <c r="O862" s="18">
        <v>18.3</v>
      </c>
      <c r="P862" s="18" t="s">
        <v>173</v>
      </c>
      <c r="Q862" s="16">
        <v>46253.0</v>
      </c>
      <c r="R862" s="16" t="s">
        <v>38</v>
      </c>
      <c r="S862" s="13" t="s">
        <v>55</v>
      </c>
      <c r="T862" s="13" t="s">
        <v>104</v>
      </c>
      <c r="U862" s="13">
        <f t="shared" si="1"/>
        <v>1</v>
      </c>
      <c r="V862" s="13" t="str">
        <f t="shared" si="2"/>
        <v>C00985|Priya Singh|36|South|Chennai|Basic|Google Ads|8/16/2025|27|Monthly|Credit Card|598|2|0|18.30|5|8/19/2026||Active|Analytics</v>
      </c>
      <c r="W862" s="13">
        <f t="shared" si="3"/>
        <v>1</v>
      </c>
      <c r="X862" s="13">
        <f>IFERROR(__xludf.DUMMYFUNCTION("COUNTUNIQUE(FILTER($B$2:$B$1826,$A$2:$A$1826=A862))"),1.0)</f>
        <v>1</v>
      </c>
    </row>
    <row r="863">
      <c r="A863" s="13" t="s">
        <v>1475</v>
      </c>
      <c r="B863" s="13" t="s">
        <v>639</v>
      </c>
      <c r="C863" s="14">
        <v>33.0</v>
      </c>
      <c r="D863" s="13" t="s">
        <v>69</v>
      </c>
      <c r="E863" s="13" t="s">
        <v>187</v>
      </c>
      <c r="F863" s="13" t="s">
        <v>62</v>
      </c>
      <c r="G863" s="13" t="s">
        <v>52</v>
      </c>
      <c r="H863" s="16">
        <v>45126.0</v>
      </c>
      <c r="I863" s="14">
        <v>21.0</v>
      </c>
      <c r="J863" s="13" t="s">
        <v>64</v>
      </c>
      <c r="K863" s="13" t="s">
        <v>65</v>
      </c>
      <c r="L863" s="14">
        <v>559.0</v>
      </c>
      <c r="M863" s="18" t="s">
        <v>164</v>
      </c>
      <c r="N863" s="18" t="s">
        <v>164</v>
      </c>
      <c r="O863" s="18">
        <v>8.6</v>
      </c>
      <c r="P863" s="18" t="s">
        <v>233</v>
      </c>
      <c r="Q863" s="16">
        <v>45672.0</v>
      </c>
      <c r="R863" s="16" t="s">
        <v>38</v>
      </c>
      <c r="S863" s="13" t="s">
        <v>55</v>
      </c>
      <c r="T863" s="13" t="s">
        <v>72</v>
      </c>
      <c r="U863" s="13">
        <f t="shared" si="1"/>
        <v>2</v>
      </c>
      <c r="V863" s="13" t="str">
        <f t="shared" si="2"/>
        <v>C01487|Priya Nair|33|South|Chennai|Basic|Facebook|7/19/2023|21|Annual|Credit Card|559|3|3|8.60|3.5|1/15/2025||Active|Collaboration</v>
      </c>
      <c r="W863" s="13">
        <f t="shared" si="3"/>
        <v>1</v>
      </c>
      <c r="X863" s="13">
        <f>IFERROR(__xludf.DUMMYFUNCTION("COUNTUNIQUE(FILTER($B$2:$B$1826,$A$2:$A$1826=A863))"),2.0)</f>
        <v>2</v>
      </c>
    </row>
    <row r="864">
      <c r="A864" s="13" t="s">
        <v>1476</v>
      </c>
      <c r="B864" s="13" t="s">
        <v>734</v>
      </c>
      <c r="C864" s="14">
        <v>56.0</v>
      </c>
      <c r="D864" s="13" t="s">
        <v>85</v>
      </c>
      <c r="E864" s="13" t="s">
        <v>111</v>
      </c>
      <c r="F864" s="13" t="s">
        <v>62</v>
      </c>
      <c r="G864" s="13" t="s">
        <v>128</v>
      </c>
      <c r="H864" s="16">
        <v>45261.0</v>
      </c>
      <c r="I864" s="14">
        <v>18.0</v>
      </c>
      <c r="J864" s="13" t="s">
        <v>40</v>
      </c>
      <c r="K864" s="13" t="s">
        <v>81</v>
      </c>
      <c r="L864" s="14">
        <v>519.0</v>
      </c>
      <c r="M864" s="18" t="s">
        <v>98</v>
      </c>
      <c r="N864" s="18" t="s">
        <v>46</v>
      </c>
      <c r="O864" s="18">
        <v>20.7</v>
      </c>
      <c r="P864" s="18" t="s">
        <v>173</v>
      </c>
      <c r="Q864" s="16">
        <v>45532.0</v>
      </c>
      <c r="R864" s="16" t="s">
        <v>1477</v>
      </c>
      <c r="S864" s="13" t="s">
        <v>45</v>
      </c>
      <c r="T864" s="13" t="s">
        <v>75</v>
      </c>
      <c r="U864" s="13">
        <f t="shared" si="1"/>
        <v>1</v>
      </c>
      <c r="V864" s="13" t="str">
        <f t="shared" si="2"/>
        <v>C00256|Sneha Das|56|West|Pune|Basic|Youtube|12/1/2023|18|Monthly|Debit Card|519|1|0|20.70|5|8/28/2024|24/04/2024|Churned|Security</v>
      </c>
      <c r="W864" s="13">
        <f t="shared" si="3"/>
        <v>1</v>
      </c>
      <c r="X864" s="13">
        <f>IFERROR(__xludf.DUMMYFUNCTION("COUNTUNIQUE(FILTER($B$2:$B$1826,$A$2:$A$1826=A864))"),1.0)</f>
        <v>1</v>
      </c>
    </row>
    <row r="865">
      <c r="A865" s="13" t="s">
        <v>1478</v>
      </c>
      <c r="B865" s="13" t="s">
        <v>651</v>
      </c>
      <c r="C865" s="14">
        <v>68.0</v>
      </c>
      <c r="D865" s="13" t="s">
        <v>60</v>
      </c>
      <c r="E865" s="13" t="s">
        <v>97</v>
      </c>
      <c r="F865" s="13" t="s">
        <v>37</v>
      </c>
      <c r="G865" s="13" t="s">
        <v>63</v>
      </c>
      <c r="H865" s="16">
        <v>45797.0</v>
      </c>
      <c r="I865" s="14">
        <v>39.0</v>
      </c>
      <c r="J865" s="13" t="s">
        <v>53</v>
      </c>
      <c r="K865" s="13" t="s">
        <v>81</v>
      </c>
      <c r="L865" s="14">
        <v>1679.0</v>
      </c>
      <c r="M865" s="18" t="s">
        <v>46</v>
      </c>
      <c r="N865" s="18" t="s">
        <v>98</v>
      </c>
      <c r="O865" s="18">
        <v>14.1</v>
      </c>
      <c r="P865" s="18" t="s">
        <v>130</v>
      </c>
      <c r="Q865" s="16">
        <v>46692.0</v>
      </c>
      <c r="R865" s="16" t="s">
        <v>1479</v>
      </c>
      <c r="S865" s="13" t="s">
        <v>45</v>
      </c>
      <c r="T865" s="13" t="s">
        <v>72</v>
      </c>
      <c r="U865" s="13">
        <f t="shared" si="1"/>
        <v>1</v>
      </c>
      <c r="V865" s="13" t="str">
        <f t="shared" si="2"/>
        <v>C01554|Arun Sharma|68|East|Bhubaneswar|Standard|Google Ads|5/20/2025|39|Quarterly|Debit Card|1,679|0|1|14.10|3.9|11/1/2027|30/10/2027|Churned|Collaboration</v>
      </c>
      <c r="W865" s="13">
        <f t="shared" si="3"/>
        <v>1</v>
      </c>
      <c r="X865" s="13">
        <f>IFERROR(__xludf.DUMMYFUNCTION("COUNTUNIQUE(FILTER($B$2:$B$1826,$A$2:$A$1826=A865))"),1.0)</f>
        <v>1</v>
      </c>
    </row>
    <row r="866">
      <c r="A866" s="13" t="s">
        <v>750</v>
      </c>
      <c r="B866" s="13" t="s">
        <v>163</v>
      </c>
      <c r="C866" s="14">
        <v>56.0</v>
      </c>
      <c r="D866" s="13" t="s">
        <v>60</v>
      </c>
      <c r="E866" s="13" t="s">
        <v>133</v>
      </c>
      <c r="F866" s="13" t="s">
        <v>37</v>
      </c>
      <c r="G866" s="13" t="s">
        <v>210</v>
      </c>
      <c r="H866" s="16">
        <v>45292.0</v>
      </c>
      <c r="I866" s="14">
        <v>6.0</v>
      </c>
      <c r="J866" s="13" t="s">
        <v>53</v>
      </c>
      <c r="K866" s="13" t="s">
        <v>81</v>
      </c>
      <c r="L866" s="14">
        <v>1496.0</v>
      </c>
      <c r="M866" s="18" t="s">
        <v>43</v>
      </c>
      <c r="N866" s="18" t="s">
        <v>164</v>
      </c>
      <c r="O866" s="18">
        <v>35.7</v>
      </c>
      <c r="P866" s="18" t="s">
        <v>173</v>
      </c>
      <c r="Q866" s="16">
        <v>45451.0</v>
      </c>
      <c r="R866" s="16" t="s">
        <v>38</v>
      </c>
      <c r="S866" s="13" t="s">
        <v>55</v>
      </c>
      <c r="T866" s="13" t="s">
        <v>72</v>
      </c>
      <c r="U866" s="13">
        <f t="shared" si="1"/>
        <v>2</v>
      </c>
      <c r="V866" s="13" t="str">
        <f t="shared" si="2"/>
        <v>C00516|Sneha Singh|56|East|Guwahati|Standard|Referral|1/1/2024|6|Quarterly|Debit Card|1,496|2|3|35.70|5|6/8/2024||Active|Collaboration</v>
      </c>
      <c r="W866" s="13">
        <f t="shared" si="3"/>
        <v>1</v>
      </c>
      <c r="X866" s="13">
        <f>IFERROR(__xludf.DUMMYFUNCTION("COUNTUNIQUE(FILTER($B$2:$B$1826,$A$2:$A$1826=A866))"),2.0)</f>
        <v>2</v>
      </c>
    </row>
    <row r="867">
      <c r="A867" s="13" t="s">
        <v>631</v>
      </c>
      <c r="B867" s="13" t="s">
        <v>325</v>
      </c>
      <c r="C867" s="14">
        <v>26.0</v>
      </c>
      <c r="D867" s="13" t="s">
        <v>85</v>
      </c>
      <c r="E867" s="13" t="s">
        <v>87</v>
      </c>
      <c r="F867" s="13" t="s">
        <v>37</v>
      </c>
      <c r="G867" s="13" t="s">
        <v>128</v>
      </c>
      <c r="H867" s="16">
        <v>45929.0</v>
      </c>
      <c r="I867" s="14">
        <v>25.0</v>
      </c>
      <c r="J867" s="13" t="s">
        <v>40</v>
      </c>
      <c r="K867" s="13" t="s">
        <v>65</v>
      </c>
      <c r="L867" s="14">
        <v>1603.0</v>
      </c>
      <c r="M867" s="18" t="s">
        <v>98</v>
      </c>
      <c r="N867" s="18" t="s">
        <v>98</v>
      </c>
      <c r="O867" s="18">
        <v>33.0</v>
      </c>
      <c r="P867" s="18" t="s">
        <v>233</v>
      </c>
      <c r="Q867" s="16">
        <v>46597.0</v>
      </c>
      <c r="R867" s="16" t="s">
        <v>38</v>
      </c>
      <c r="S867" s="13" t="s">
        <v>55</v>
      </c>
      <c r="T867" s="13" t="s">
        <v>66</v>
      </c>
      <c r="U867" s="13">
        <f t="shared" si="1"/>
        <v>4</v>
      </c>
      <c r="V867" s="13" t="str">
        <f t="shared" si="2"/>
        <v>C00213|Priya Sharma|26|West|Surat|Standard|Youtube|9/29/2025|25|Monthly|Credit Card|1,603|1|1|33.00|3.5|7/29/2027||Active|Automation</v>
      </c>
      <c r="W867" s="13">
        <f t="shared" si="3"/>
        <v>1</v>
      </c>
      <c r="X867" s="13">
        <f>IFERROR(__xludf.DUMMYFUNCTION("COUNTUNIQUE(FILTER($B$2:$B$1826,$A$2:$A$1826=A867))"),4.0)</f>
        <v>4</v>
      </c>
    </row>
    <row r="868">
      <c r="A868" s="13" t="s">
        <v>1481</v>
      </c>
      <c r="B868" s="13" t="s">
        <v>393</v>
      </c>
      <c r="C868" s="14">
        <v>61.0</v>
      </c>
      <c r="D868" s="13" t="s">
        <v>85</v>
      </c>
      <c r="E868" s="13" t="s">
        <v>87</v>
      </c>
      <c r="F868" s="13" t="s">
        <v>37</v>
      </c>
      <c r="G868" s="13" t="s">
        <v>63</v>
      </c>
      <c r="H868" s="16">
        <v>45273.0</v>
      </c>
      <c r="I868" s="14">
        <v>42.0</v>
      </c>
      <c r="J868" s="13" t="s">
        <v>40</v>
      </c>
      <c r="K868" s="13" t="s">
        <v>41</v>
      </c>
      <c r="L868" s="14">
        <v>1586.0</v>
      </c>
      <c r="M868" s="18" t="s">
        <v>99</v>
      </c>
      <c r="N868" s="18" t="s">
        <v>98</v>
      </c>
      <c r="O868" s="18">
        <v>17.8</v>
      </c>
      <c r="P868" s="18" t="s">
        <v>164</v>
      </c>
      <c r="Q868" s="16">
        <v>46353.0</v>
      </c>
      <c r="R868" s="16" t="s">
        <v>1482</v>
      </c>
      <c r="S868" s="13" t="s">
        <v>45</v>
      </c>
      <c r="T868" s="13" t="s">
        <v>66</v>
      </c>
      <c r="U868" s="13">
        <f t="shared" si="1"/>
        <v>2</v>
      </c>
      <c r="V868" s="13" t="str">
        <f t="shared" si="2"/>
        <v>C01378|Karan Das|61|West|Surat|Standard|Google Ads|12/13/2023|42|Monthly|Upi|1,586|4|1|17.80|3|11/27/2026|28/03/2024|Churned|Automation</v>
      </c>
      <c r="W868" s="13">
        <f t="shared" si="3"/>
        <v>1</v>
      </c>
      <c r="X868" s="13">
        <f>IFERROR(__xludf.DUMMYFUNCTION("COUNTUNIQUE(FILTER($B$2:$B$1826,$A$2:$A$1826=A868))"),2.0)</f>
        <v>2</v>
      </c>
    </row>
    <row r="869">
      <c r="A869" s="13" t="s">
        <v>684</v>
      </c>
      <c r="B869" s="13" t="s">
        <v>281</v>
      </c>
      <c r="C869" s="14">
        <v>34.0</v>
      </c>
      <c r="D869" s="13" t="s">
        <v>35</v>
      </c>
      <c r="E869" s="13" t="s">
        <v>161</v>
      </c>
      <c r="F869" s="13" t="s">
        <v>62</v>
      </c>
      <c r="G869" s="13" t="s">
        <v>120</v>
      </c>
      <c r="H869" s="16">
        <v>44620.0</v>
      </c>
      <c r="I869" s="14">
        <v>120.0</v>
      </c>
      <c r="J869" s="13" t="s">
        <v>53</v>
      </c>
      <c r="K869" s="13" t="s">
        <v>65</v>
      </c>
      <c r="L869" s="14">
        <v>628.0</v>
      </c>
      <c r="M869" s="18" t="s">
        <v>173</v>
      </c>
      <c r="N869" s="18" t="s">
        <v>98</v>
      </c>
      <c r="O869" s="18">
        <v>26.2</v>
      </c>
      <c r="P869" s="18" t="s">
        <v>408</v>
      </c>
      <c r="Q869" s="16">
        <v>46028.0</v>
      </c>
      <c r="R869" s="16" t="s">
        <v>38</v>
      </c>
      <c r="S869" s="13" t="s">
        <v>55</v>
      </c>
      <c r="T869" s="13" t="s">
        <v>104</v>
      </c>
      <c r="U869" s="13">
        <f t="shared" si="1"/>
        <v>2</v>
      </c>
      <c r="V869" s="13" t="str">
        <f t="shared" si="2"/>
        <v>C00371|Anita Reddy|34|North|Chandigarh|Basic|Email|2/28/2022|120|Quarterly|Credit Card|628|5|1|26.20|4.2|1/6/2026||Active|Analytics</v>
      </c>
      <c r="W869" s="13">
        <f t="shared" si="3"/>
        <v>1</v>
      </c>
      <c r="X869" s="13">
        <f>IFERROR(__xludf.DUMMYFUNCTION("COUNTUNIQUE(FILTER($B$2:$B$1826,$A$2:$A$1826=A869))"),2.0)</f>
        <v>2</v>
      </c>
    </row>
    <row r="870">
      <c r="A870" s="13" t="s">
        <v>1483</v>
      </c>
      <c r="B870" s="13" t="s">
        <v>383</v>
      </c>
      <c r="C870" s="14">
        <v>24.0</v>
      </c>
      <c r="D870" s="13" t="s">
        <v>85</v>
      </c>
      <c r="E870" s="13" t="s">
        <v>92</v>
      </c>
      <c r="F870" s="13" t="s">
        <v>37</v>
      </c>
      <c r="G870" s="13" t="s">
        <v>39</v>
      </c>
      <c r="H870" s="16">
        <v>45049.0</v>
      </c>
      <c r="I870" s="14">
        <v>36.0</v>
      </c>
      <c r="J870" s="13" t="s">
        <v>53</v>
      </c>
      <c r="K870" s="13" t="s">
        <v>65</v>
      </c>
      <c r="L870" s="14">
        <v>1662.0</v>
      </c>
      <c r="M870" s="18" t="s">
        <v>98</v>
      </c>
      <c r="N870" s="18" t="s">
        <v>46</v>
      </c>
      <c r="O870" s="18">
        <v>24.2</v>
      </c>
      <c r="P870" s="18" t="s">
        <v>173</v>
      </c>
      <c r="Q870" s="16">
        <v>45821.0</v>
      </c>
      <c r="R870" s="16" t="s">
        <v>1421</v>
      </c>
      <c r="S870" s="13" t="s">
        <v>45</v>
      </c>
      <c r="T870" s="13" t="s">
        <v>66</v>
      </c>
      <c r="U870" s="13">
        <f t="shared" si="1"/>
        <v>1</v>
      </c>
      <c r="V870" s="13" t="str">
        <f t="shared" si="2"/>
        <v>C00665|Rahul Nair|24|West|Ahmedabad|Standard|Instagram|5/3/2023|36|Quarterly|Credit Card|1,662|1|0|24.20|5|6/13/2025|17/03/2025|Churned|Automation</v>
      </c>
      <c r="W870" s="13">
        <f t="shared" si="3"/>
        <v>1</v>
      </c>
      <c r="X870" s="13">
        <f>IFERROR(__xludf.DUMMYFUNCTION("COUNTUNIQUE(FILTER($B$2:$B$1826,$A$2:$A$1826=A870))"),1.0)</f>
        <v>1</v>
      </c>
    </row>
    <row r="871">
      <c r="A871" s="13" t="s">
        <v>1484</v>
      </c>
      <c r="B871" s="13" t="s">
        <v>801</v>
      </c>
      <c r="C871" s="14">
        <v>35.0</v>
      </c>
      <c r="D871" s="13" t="s">
        <v>69</v>
      </c>
      <c r="E871" s="13" t="s">
        <v>177</v>
      </c>
      <c r="F871" s="13" t="s">
        <v>37</v>
      </c>
      <c r="G871" s="13" t="s">
        <v>63</v>
      </c>
      <c r="H871" s="16">
        <v>44747.0</v>
      </c>
      <c r="I871" s="14">
        <v>41.0</v>
      </c>
      <c r="J871" s="13" t="s">
        <v>64</v>
      </c>
      <c r="K871" s="13" t="s">
        <v>65</v>
      </c>
      <c r="L871" s="14">
        <v>1508.0</v>
      </c>
      <c r="M871" s="18" t="s">
        <v>43</v>
      </c>
      <c r="N871" s="18" t="s">
        <v>98</v>
      </c>
      <c r="O871" s="18">
        <v>33.2</v>
      </c>
      <c r="P871" s="18" t="s">
        <v>203</v>
      </c>
      <c r="Q871" s="16">
        <v>45138.0</v>
      </c>
      <c r="R871" s="16" t="s">
        <v>38</v>
      </c>
      <c r="S871" s="13" t="s">
        <v>55</v>
      </c>
      <c r="T871" s="13" t="s">
        <v>72</v>
      </c>
      <c r="U871" s="13">
        <f t="shared" si="1"/>
        <v>1</v>
      </c>
      <c r="V871" s="13" t="str">
        <f t="shared" si="2"/>
        <v>C01103|Karan Singh|35|South|Hyderabad|Standard|Google Ads|7/5/2022|41|Annual|Credit Card|1,508|2|1|33.20|3.7|7/31/2023||Active|Collaboration</v>
      </c>
      <c r="W871" s="13">
        <f t="shared" si="3"/>
        <v>1</v>
      </c>
      <c r="X871" s="13">
        <f>IFERROR(__xludf.DUMMYFUNCTION("COUNTUNIQUE(FILTER($B$2:$B$1826,$A$2:$A$1826=A871))"),1.0)</f>
        <v>1</v>
      </c>
    </row>
    <row r="872">
      <c r="A872" s="13" t="s">
        <v>1470</v>
      </c>
      <c r="B872" s="13" t="s">
        <v>176</v>
      </c>
      <c r="C872" s="14">
        <v>67.0</v>
      </c>
      <c r="D872" s="13" t="s">
        <v>85</v>
      </c>
      <c r="E872" s="13" t="s">
        <v>92</v>
      </c>
      <c r="F872" s="13" t="s">
        <v>37</v>
      </c>
      <c r="G872" s="13" t="s">
        <v>39</v>
      </c>
      <c r="H872" s="16">
        <v>45223.0</v>
      </c>
      <c r="I872" s="14">
        <v>2.0</v>
      </c>
      <c r="J872" s="13" t="s">
        <v>64</v>
      </c>
      <c r="K872" s="13" t="s">
        <v>81</v>
      </c>
      <c r="L872" s="14">
        <v>1316.0</v>
      </c>
      <c r="M872" s="18" t="s">
        <v>98</v>
      </c>
      <c r="N872" s="18" t="s">
        <v>98</v>
      </c>
      <c r="O872" s="18">
        <v>17.0</v>
      </c>
      <c r="P872" s="18" t="s">
        <v>89</v>
      </c>
      <c r="Q872" s="16">
        <v>45297.0</v>
      </c>
      <c r="R872" s="16" t="s">
        <v>38</v>
      </c>
      <c r="S872" s="13" t="s">
        <v>55</v>
      </c>
      <c r="T872" s="13" t="s">
        <v>47</v>
      </c>
      <c r="U872" s="13">
        <f t="shared" si="1"/>
        <v>3</v>
      </c>
      <c r="V872" s="13" t="str">
        <f t="shared" si="2"/>
        <v>C00691|Ravi Iyer|67|West|Ahmedabad|Standard|Instagram|10/24/2023|2|Annual|Debit Card|1,316|1|1|17.00|3.3|1/6/2024||Active|Cloud Storage</v>
      </c>
      <c r="W872" s="13">
        <f t="shared" si="3"/>
        <v>1</v>
      </c>
      <c r="X872" s="13">
        <f>IFERROR(__xludf.DUMMYFUNCTION("COUNTUNIQUE(FILTER($B$2:$B$1826,$A$2:$A$1826=A872))"),2.0)</f>
        <v>2</v>
      </c>
    </row>
    <row r="873">
      <c r="A873" s="13" t="s">
        <v>531</v>
      </c>
      <c r="B873" s="13" t="s">
        <v>167</v>
      </c>
      <c r="C873" s="14">
        <v>44.0</v>
      </c>
      <c r="D873" s="13" t="s">
        <v>35</v>
      </c>
      <c r="E873" s="13" t="s">
        <v>51</v>
      </c>
      <c r="F873" s="13" t="s">
        <v>62</v>
      </c>
      <c r="G873" s="13" t="s">
        <v>52</v>
      </c>
      <c r="H873" s="16">
        <v>45786.0</v>
      </c>
      <c r="I873" s="14">
        <v>43.0</v>
      </c>
      <c r="J873" s="13" t="s">
        <v>40</v>
      </c>
      <c r="K873" s="13" t="s">
        <v>65</v>
      </c>
      <c r="L873" s="14">
        <v>633.0</v>
      </c>
      <c r="M873" s="18" t="s">
        <v>98</v>
      </c>
      <c r="N873" s="18" t="s">
        <v>98</v>
      </c>
      <c r="O873" s="18">
        <v>23.5</v>
      </c>
      <c r="P873" s="18" t="s">
        <v>310</v>
      </c>
      <c r="Q873" s="16">
        <v>46492.0</v>
      </c>
      <c r="R873" s="16" t="s">
        <v>38</v>
      </c>
      <c r="S873" s="13" t="s">
        <v>55</v>
      </c>
      <c r="T873" s="13" t="s">
        <v>104</v>
      </c>
      <c r="U873" s="13">
        <f t="shared" si="1"/>
        <v>3</v>
      </c>
      <c r="V873" s="13" t="str">
        <f t="shared" si="2"/>
        <v>C00816|Ravi Reddy|44|North|Jaipur|Basic|Facebook|5/9/2025|43|Monthly|Credit Card|633|1|1|23.50|3.1|4/15/2027||Active|Analytics</v>
      </c>
      <c r="W873" s="13">
        <f t="shared" si="3"/>
        <v>2</v>
      </c>
      <c r="X873" s="13">
        <f>IFERROR(__xludf.DUMMYFUNCTION("COUNTUNIQUE(FILTER($B$2:$B$1826,$A$2:$A$1826=A873))"),2.0)</f>
        <v>2</v>
      </c>
    </row>
    <row r="874">
      <c r="A874" s="13" t="s">
        <v>543</v>
      </c>
      <c r="B874" s="13" t="s">
        <v>163</v>
      </c>
      <c r="C874" s="14">
        <v>63.0</v>
      </c>
      <c r="D874" s="13" t="s">
        <v>60</v>
      </c>
      <c r="E874" s="13" t="s">
        <v>61</v>
      </c>
      <c r="F874" s="13" t="s">
        <v>62</v>
      </c>
      <c r="G874" s="13" t="s">
        <v>39</v>
      </c>
      <c r="H874" s="16">
        <v>45468.0</v>
      </c>
      <c r="I874" s="14">
        <v>3.0</v>
      </c>
      <c r="J874" s="13" t="s">
        <v>40</v>
      </c>
      <c r="K874" s="13" t="s">
        <v>41</v>
      </c>
      <c r="L874" s="14">
        <v>578.0</v>
      </c>
      <c r="M874" s="18" t="s">
        <v>43</v>
      </c>
      <c r="N874" s="18" t="s">
        <v>164</v>
      </c>
      <c r="O874" s="18">
        <v>19.2</v>
      </c>
      <c r="P874" s="18" t="s">
        <v>225</v>
      </c>
      <c r="Q874" s="16">
        <v>45481.0</v>
      </c>
      <c r="R874" s="16" t="s">
        <v>38</v>
      </c>
      <c r="S874" s="13" t="s">
        <v>55</v>
      </c>
      <c r="T874" s="13" t="s">
        <v>47</v>
      </c>
      <c r="U874" s="13">
        <f t="shared" si="1"/>
        <v>3</v>
      </c>
      <c r="V874" s="13" t="str">
        <f t="shared" si="2"/>
        <v>C01508|Sneha Singh|63|East|Kolkata|Basic|Instagram|6/25/2024|3|Monthly|Upi|578|2|3|19.20|3.8|7/8/2024||Active|Cloud Storage</v>
      </c>
      <c r="W874" s="13">
        <f t="shared" si="3"/>
        <v>1</v>
      </c>
      <c r="X874" s="13">
        <f>IFERROR(__xludf.DUMMYFUNCTION("COUNTUNIQUE(FILTER($B$2:$B$1826,$A$2:$A$1826=A874))"),3.0)</f>
        <v>3</v>
      </c>
    </row>
    <row r="875">
      <c r="A875" s="13" t="s">
        <v>1485</v>
      </c>
      <c r="B875" s="13" t="s">
        <v>172</v>
      </c>
      <c r="C875" s="14">
        <v>45.0</v>
      </c>
      <c r="D875" s="13" t="s">
        <v>69</v>
      </c>
      <c r="E875" s="13" t="s">
        <v>187</v>
      </c>
      <c r="F875" s="13" t="s">
        <v>62</v>
      </c>
      <c r="G875" s="13" t="s">
        <v>39</v>
      </c>
      <c r="H875" s="16">
        <v>44604.0</v>
      </c>
      <c r="I875" s="14">
        <v>40.0</v>
      </c>
      <c r="J875" s="13" t="s">
        <v>40</v>
      </c>
      <c r="K875" s="13" t="s">
        <v>81</v>
      </c>
      <c r="L875" s="14">
        <v>723.0</v>
      </c>
      <c r="M875" s="18" t="s">
        <v>43</v>
      </c>
      <c r="N875" s="18" t="s">
        <v>46</v>
      </c>
      <c r="O875" s="18">
        <v>22.7</v>
      </c>
      <c r="P875" s="18" t="s">
        <v>89</v>
      </c>
      <c r="Q875" s="16">
        <v>45742.0</v>
      </c>
      <c r="R875" s="16" t="s">
        <v>38</v>
      </c>
      <c r="S875" s="13" t="s">
        <v>55</v>
      </c>
      <c r="T875" s="13" t="s">
        <v>66</v>
      </c>
      <c r="U875" s="13">
        <f t="shared" si="1"/>
        <v>1</v>
      </c>
      <c r="V875" s="13" t="str">
        <f t="shared" si="2"/>
        <v>C00902|Meera Singh|45|South|Chennai|Basic|Instagram|2/12/2022|40|Monthly|Debit Card|723|2|0|22.70|3.3|3/26/2025||Active|Automation</v>
      </c>
      <c r="W875" s="13">
        <f t="shared" si="3"/>
        <v>1</v>
      </c>
      <c r="X875" s="13">
        <f>IFERROR(__xludf.DUMMYFUNCTION("COUNTUNIQUE(FILTER($B$2:$B$1826,$A$2:$A$1826=A875))"),1.0)</f>
        <v>1</v>
      </c>
    </row>
    <row r="876">
      <c r="A876" s="13" t="s">
        <v>1486</v>
      </c>
      <c r="B876" s="13" t="s">
        <v>336</v>
      </c>
      <c r="C876" s="14">
        <v>39.0</v>
      </c>
      <c r="D876" s="13" t="s">
        <v>85</v>
      </c>
      <c r="E876" s="13" t="s">
        <v>92</v>
      </c>
      <c r="F876" s="13" t="s">
        <v>37</v>
      </c>
      <c r="G876" s="13" t="s">
        <v>210</v>
      </c>
      <c r="H876" s="16">
        <v>45101.0</v>
      </c>
      <c r="I876" s="14">
        <v>28.0</v>
      </c>
      <c r="J876" s="13" t="s">
        <v>64</v>
      </c>
      <c r="K876" s="13" t="s">
        <v>41</v>
      </c>
      <c r="L876" s="14">
        <v>1326.0</v>
      </c>
      <c r="M876" s="18" t="s">
        <v>98</v>
      </c>
      <c r="N876" s="18" t="s">
        <v>98</v>
      </c>
      <c r="O876" s="18">
        <v>33.1</v>
      </c>
      <c r="P876" s="18" t="s">
        <v>310</v>
      </c>
      <c r="Q876" s="16">
        <v>45476.0</v>
      </c>
      <c r="R876" s="16" t="s">
        <v>38</v>
      </c>
      <c r="S876" s="13" t="s">
        <v>55</v>
      </c>
      <c r="T876" s="13" t="s">
        <v>66</v>
      </c>
      <c r="U876" s="13">
        <f t="shared" si="1"/>
        <v>1</v>
      </c>
      <c r="V876" s="13" t="str">
        <f t="shared" si="2"/>
        <v>C00819|Priya Patel|39|West|Ahmedabad|Standard|Referral|6/24/2023|28|Annual|Upi|1,326|1|1|33.10|3.1|7/3/2024||Active|Automation</v>
      </c>
      <c r="W876" s="13">
        <f t="shared" si="3"/>
        <v>1</v>
      </c>
      <c r="X876" s="13">
        <f>IFERROR(__xludf.DUMMYFUNCTION("COUNTUNIQUE(FILTER($B$2:$B$1826,$A$2:$A$1826=A876))"),1.0)</f>
        <v>1</v>
      </c>
    </row>
    <row r="877">
      <c r="A877" s="13" t="s">
        <v>1487</v>
      </c>
      <c r="B877" s="13" t="s">
        <v>636</v>
      </c>
      <c r="C877" s="14">
        <v>64.0</v>
      </c>
      <c r="D877" s="13" t="s">
        <v>69</v>
      </c>
      <c r="E877" s="13" t="s">
        <v>70</v>
      </c>
      <c r="F877" s="13" t="s">
        <v>79</v>
      </c>
      <c r="G877" s="13" t="s">
        <v>128</v>
      </c>
      <c r="H877" s="16">
        <v>45601.0</v>
      </c>
      <c r="I877" s="14">
        <v>46.0</v>
      </c>
      <c r="J877" s="13" t="s">
        <v>64</v>
      </c>
      <c r="K877" s="13" t="s">
        <v>81</v>
      </c>
      <c r="L877" s="14">
        <v>3652.0</v>
      </c>
      <c r="M877" s="18" t="s">
        <v>99</v>
      </c>
      <c r="N877" s="18" t="s">
        <v>46</v>
      </c>
      <c r="O877" s="18">
        <v>34.6</v>
      </c>
      <c r="P877" s="18" t="s">
        <v>158</v>
      </c>
      <c r="Q877" s="16">
        <v>46848.0</v>
      </c>
      <c r="R877" s="16" t="s">
        <v>38</v>
      </c>
      <c r="S877" s="13" t="s">
        <v>55</v>
      </c>
      <c r="T877" s="13" t="s">
        <v>66</v>
      </c>
      <c r="U877" s="13">
        <f t="shared" si="1"/>
        <v>1</v>
      </c>
      <c r="V877" s="13" t="str">
        <f t="shared" si="2"/>
        <v>C01186|Neha Reddy|64|South|Bengaluru|Premium|Youtube|11/5/2024|46|Annual|Debit Card|3,652|4|0|34.60|4.7|4/5/2028||Active|Automation</v>
      </c>
      <c r="W877" s="13">
        <f t="shared" si="3"/>
        <v>1</v>
      </c>
      <c r="X877" s="13">
        <f>IFERROR(__xludf.DUMMYFUNCTION("COUNTUNIQUE(FILTER($B$2:$B$1826,$A$2:$A$1826=A877))"),1.0)</f>
        <v>1</v>
      </c>
    </row>
    <row r="878">
      <c r="A878" s="13" t="s">
        <v>1265</v>
      </c>
      <c r="B878" s="13" t="s">
        <v>345</v>
      </c>
      <c r="C878" s="14">
        <v>54.0</v>
      </c>
      <c r="D878" s="13" t="s">
        <v>85</v>
      </c>
      <c r="E878" s="13" t="s">
        <v>92</v>
      </c>
      <c r="F878" s="13" t="s">
        <v>37</v>
      </c>
      <c r="G878" s="13" t="s">
        <v>63</v>
      </c>
      <c r="H878" s="16">
        <v>45504.0</v>
      </c>
      <c r="I878" s="14">
        <v>40.0</v>
      </c>
      <c r="J878" s="13" t="s">
        <v>64</v>
      </c>
      <c r="K878" s="13" t="s">
        <v>41</v>
      </c>
      <c r="L878" s="14">
        <v>1445.0</v>
      </c>
      <c r="M878" s="18" t="s">
        <v>164</v>
      </c>
      <c r="N878" s="18" t="s">
        <v>43</v>
      </c>
      <c r="O878" s="18">
        <v>34.4</v>
      </c>
      <c r="P878" s="18" t="s">
        <v>248</v>
      </c>
      <c r="Q878" s="16">
        <v>45864.0</v>
      </c>
      <c r="R878" s="16" t="s">
        <v>38</v>
      </c>
      <c r="S878" s="13" t="s">
        <v>55</v>
      </c>
      <c r="T878" s="13" t="s">
        <v>72</v>
      </c>
      <c r="U878" s="13">
        <f t="shared" si="1"/>
        <v>2</v>
      </c>
      <c r="V878" s="13" t="str">
        <f t="shared" si="2"/>
        <v>C00459|Arun Nair|54|West|Ahmedabad|Standard|Google Ads|7/31/2024|40|Annual|Upi|1,445|3|2|34.40|2.6|7/26/2025||Active|Collaboration</v>
      </c>
      <c r="W878" s="13">
        <f t="shared" si="3"/>
        <v>1</v>
      </c>
      <c r="X878" s="13">
        <f>IFERROR(__xludf.DUMMYFUNCTION("COUNTUNIQUE(FILTER($B$2:$B$1826,$A$2:$A$1826=A878))"),2.0)</f>
        <v>2</v>
      </c>
    </row>
    <row r="879">
      <c r="A879" s="13" t="s">
        <v>1376</v>
      </c>
      <c r="B879" s="13" t="s">
        <v>206</v>
      </c>
      <c r="C879" s="14">
        <v>44.0</v>
      </c>
      <c r="D879" s="13" t="s">
        <v>69</v>
      </c>
      <c r="E879" s="13" t="s">
        <v>70</v>
      </c>
      <c r="F879" s="13" t="s">
        <v>37</v>
      </c>
      <c r="G879" s="13" t="s">
        <v>63</v>
      </c>
      <c r="H879" s="16">
        <v>45127.0</v>
      </c>
      <c r="I879" s="14">
        <v>37.0</v>
      </c>
      <c r="J879" s="13" t="s">
        <v>40</v>
      </c>
      <c r="K879" s="13" t="s">
        <v>81</v>
      </c>
      <c r="L879" s="14">
        <v>1027.0</v>
      </c>
      <c r="M879" s="18" t="s">
        <v>43</v>
      </c>
      <c r="N879" s="18" t="s">
        <v>98</v>
      </c>
      <c r="O879" s="18">
        <v>21.0</v>
      </c>
      <c r="P879" s="18" t="s">
        <v>203</v>
      </c>
      <c r="Q879" s="16">
        <v>46142.0</v>
      </c>
      <c r="R879" s="16" t="s">
        <v>38</v>
      </c>
      <c r="S879" s="13" t="s">
        <v>55</v>
      </c>
      <c r="T879" s="13" t="s">
        <v>75</v>
      </c>
      <c r="U879" s="13">
        <f t="shared" si="1"/>
        <v>2</v>
      </c>
      <c r="V879" s="13" t="str">
        <f t="shared" si="2"/>
        <v>C00977|Karan Patel|44|South|Bengaluru|Standard|Google Ads|7/20/2023|37|Monthly|Debit Card|1,027|2|1|21.00|3.7|4/30/2026||Active|Security</v>
      </c>
      <c r="W879" s="13">
        <f t="shared" si="3"/>
        <v>1</v>
      </c>
      <c r="X879" s="13">
        <f>IFERROR(__xludf.DUMMYFUNCTION("COUNTUNIQUE(FILTER($B$2:$B$1826,$A$2:$A$1826=A879))"),2.0)</f>
        <v>2</v>
      </c>
    </row>
    <row r="880">
      <c r="A880" s="13" t="s">
        <v>1488</v>
      </c>
      <c r="B880" s="13" t="s">
        <v>132</v>
      </c>
      <c r="C880" s="14">
        <v>64.0</v>
      </c>
      <c r="D880" s="13" t="s">
        <v>60</v>
      </c>
      <c r="E880" s="13" t="s">
        <v>107</v>
      </c>
      <c r="F880" s="13" t="s">
        <v>62</v>
      </c>
      <c r="G880" s="13" t="s">
        <v>128</v>
      </c>
      <c r="H880" s="16">
        <v>45454.0</v>
      </c>
      <c r="I880" s="14">
        <v>27.0</v>
      </c>
      <c r="J880" s="13" t="s">
        <v>53</v>
      </c>
      <c r="K880" s="13" t="s">
        <v>81</v>
      </c>
      <c r="L880" s="14">
        <v>775.0</v>
      </c>
      <c r="M880" s="18" t="s">
        <v>46</v>
      </c>
      <c r="N880" s="18" t="s">
        <v>43</v>
      </c>
      <c r="O880" s="18">
        <v>38.4</v>
      </c>
      <c r="P880" s="18" t="s">
        <v>275</v>
      </c>
      <c r="Q880" s="16">
        <v>45934.0</v>
      </c>
      <c r="R880" s="16" t="s">
        <v>38</v>
      </c>
      <c r="S880" s="13" t="s">
        <v>55</v>
      </c>
      <c r="T880" s="13" t="s">
        <v>104</v>
      </c>
      <c r="U880" s="13">
        <f t="shared" si="1"/>
        <v>1</v>
      </c>
      <c r="V880" s="13" t="str">
        <f t="shared" si="2"/>
        <v>C00635|Arun Kumar|64|East|Patna|Basic|Youtube|6/11/2024|27|Quarterly|Debit Card|775|0|2|38.40|4.3|10/4/2025||Active|Analytics</v>
      </c>
      <c r="W880" s="13">
        <f t="shared" si="3"/>
        <v>1</v>
      </c>
      <c r="X880" s="13">
        <f>IFERROR(__xludf.DUMMYFUNCTION("COUNTUNIQUE(FILTER($B$2:$B$1826,$A$2:$A$1826=A880))"),1.0)</f>
        <v>1</v>
      </c>
    </row>
    <row r="881">
      <c r="A881" s="13" t="s">
        <v>1489</v>
      </c>
      <c r="B881" s="13" t="s">
        <v>96</v>
      </c>
      <c r="C881" s="14">
        <v>60.0</v>
      </c>
      <c r="D881" s="13" t="s">
        <v>35</v>
      </c>
      <c r="E881" s="13" t="s">
        <v>36</v>
      </c>
      <c r="F881" s="13" t="s">
        <v>37</v>
      </c>
      <c r="G881" s="13" t="s">
        <v>52</v>
      </c>
      <c r="H881" s="16">
        <v>44892.0</v>
      </c>
      <c r="I881" s="14">
        <v>47.0</v>
      </c>
      <c r="J881" s="13" t="s">
        <v>53</v>
      </c>
      <c r="K881" s="13" t="s">
        <v>81</v>
      </c>
      <c r="L881" s="14">
        <v>1791.0</v>
      </c>
      <c r="M881" s="18" t="s">
        <v>98</v>
      </c>
      <c r="N881" s="18" t="s">
        <v>46</v>
      </c>
      <c r="O881" s="18">
        <v>20.1</v>
      </c>
      <c r="P881" s="18" t="s">
        <v>185</v>
      </c>
      <c r="Q881" s="16">
        <v>45269.0</v>
      </c>
      <c r="R881" s="16" t="s">
        <v>38</v>
      </c>
      <c r="S881" s="13" t="s">
        <v>55</v>
      </c>
      <c r="T881" s="13" t="s">
        <v>104</v>
      </c>
      <c r="U881" s="13">
        <f t="shared" si="1"/>
        <v>1</v>
      </c>
      <c r="V881" s="13" t="str">
        <f t="shared" si="2"/>
        <v>C01587|Rahul Kumar|60|North|Delhi|Standard|Facebook|11/27/2022|47|Quarterly|Debit Card|1,791|1|0|20.10|3.2|12/9/2023||Active|Analytics</v>
      </c>
      <c r="W881" s="13">
        <f t="shared" si="3"/>
        <v>1</v>
      </c>
      <c r="X881" s="13">
        <f>IFERROR(__xludf.DUMMYFUNCTION("COUNTUNIQUE(FILTER($B$2:$B$1826,$A$2:$A$1826=A881))"),1.0)</f>
        <v>1</v>
      </c>
    </row>
    <row r="882">
      <c r="A882" s="13" t="s">
        <v>1490</v>
      </c>
      <c r="B882" s="13" t="s">
        <v>405</v>
      </c>
      <c r="C882" s="14">
        <v>30.0</v>
      </c>
      <c r="D882" s="13" t="s">
        <v>35</v>
      </c>
      <c r="E882" s="13" t="s">
        <v>36</v>
      </c>
      <c r="F882" s="13" t="s">
        <v>79</v>
      </c>
      <c r="G882" s="13" t="s">
        <v>80</v>
      </c>
      <c r="H882" s="16">
        <v>45997.0</v>
      </c>
      <c r="I882" s="14">
        <v>44.0</v>
      </c>
      <c r="J882" s="13" t="s">
        <v>40</v>
      </c>
      <c r="K882" s="13" t="s">
        <v>65</v>
      </c>
      <c r="L882" s="14">
        <v>3425.0</v>
      </c>
      <c r="M882" s="18" t="s">
        <v>43</v>
      </c>
      <c r="N882" s="18" t="s">
        <v>46</v>
      </c>
      <c r="O882" s="18">
        <v>42.4</v>
      </c>
      <c r="P882" s="18" t="s">
        <v>173</v>
      </c>
      <c r="Q882" s="16">
        <v>46978.0</v>
      </c>
      <c r="R882" s="16" t="s">
        <v>38</v>
      </c>
      <c r="S882" s="13" t="s">
        <v>55</v>
      </c>
      <c r="T882" s="13" t="s">
        <v>72</v>
      </c>
      <c r="U882" s="13">
        <f t="shared" si="1"/>
        <v>2</v>
      </c>
      <c r="V882" s="13" t="str">
        <f t="shared" si="2"/>
        <v>C00680|Rahul Reddy|30|North|Delhi|Premium|Organic Search|12/6/2025|44|Monthly|Credit Card|3,425|2|0|42.40|5|8/13/2028||Active|Collaboration</v>
      </c>
      <c r="W882" s="13">
        <f t="shared" si="3"/>
        <v>1</v>
      </c>
      <c r="X882" s="13">
        <f>IFERROR(__xludf.DUMMYFUNCTION("COUNTUNIQUE(FILTER($B$2:$B$1826,$A$2:$A$1826=A882))"),2.0)</f>
        <v>2</v>
      </c>
    </row>
    <row r="883">
      <c r="A883" s="13" t="s">
        <v>1491</v>
      </c>
      <c r="B883" s="13" t="s">
        <v>229</v>
      </c>
      <c r="C883" s="14">
        <v>67.0</v>
      </c>
      <c r="D883" s="13" t="s">
        <v>85</v>
      </c>
      <c r="E883" s="13" t="s">
        <v>92</v>
      </c>
      <c r="F883" s="13" t="s">
        <v>37</v>
      </c>
      <c r="G883" s="13" t="s">
        <v>39</v>
      </c>
      <c r="H883" s="16">
        <v>45095.0</v>
      </c>
      <c r="I883" s="14">
        <v>26.0</v>
      </c>
      <c r="J883" s="13" t="s">
        <v>40</v>
      </c>
      <c r="K883" s="13" t="s">
        <v>81</v>
      </c>
      <c r="L883" s="14">
        <v>1661.0</v>
      </c>
      <c r="M883" s="18" t="s">
        <v>43</v>
      </c>
      <c r="N883" s="18" t="s">
        <v>164</v>
      </c>
      <c r="O883" s="18">
        <v>29.7</v>
      </c>
      <c r="P883" s="18" t="s">
        <v>89</v>
      </c>
      <c r="Q883" s="16">
        <v>45188.0</v>
      </c>
      <c r="R883" s="16" t="s">
        <v>38</v>
      </c>
      <c r="S883" s="13" t="s">
        <v>55</v>
      </c>
      <c r="T883" s="13" t="s">
        <v>72</v>
      </c>
      <c r="U883" s="13">
        <f t="shared" si="1"/>
        <v>1</v>
      </c>
      <c r="V883" s="13" t="str">
        <f t="shared" si="2"/>
        <v>C00364|Anita Nair|67|West|Ahmedabad|Standard|Instagram|6/18/2023|26|Monthly|Debit Card|1,661|2|3|29.70|3.3|9/19/2023||Active|Collaboration</v>
      </c>
      <c r="W883" s="13">
        <f t="shared" si="3"/>
        <v>1</v>
      </c>
      <c r="X883" s="13">
        <f>IFERROR(__xludf.DUMMYFUNCTION("COUNTUNIQUE(FILTER($B$2:$B$1826,$A$2:$A$1826=A883))"),1.0)</f>
        <v>1</v>
      </c>
    </row>
    <row r="884">
      <c r="A884" s="13" t="s">
        <v>1492</v>
      </c>
      <c r="B884" s="13" t="s">
        <v>152</v>
      </c>
      <c r="C884" s="14">
        <v>55.0</v>
      </c>
      <c r="D884" s="13" t="s">
        <v>35</v>
      </c>
      <c r="E884" s="13" t="s">
        <v>36</v>
      </c>
      <c r="F884" s="13" t="s">
        <v>37</v>
      </c>
      <c r="G884" s="13" t="s">
        <v>63</v>
      </c>
      <c r="H884" s="16">
        <v>44907.0</v>
      </c>
      <c r="I884" s="14">
        <v>1.0</v>
      </c>
      <c r="J884" s="13" t="s">
        <v>64</v>
      </c>
      <c r="K884" s="13" t="s">
        <v>65</v>
      </c>
      <c r="L884" s="14">
        <v>1011.0</v>
      </c>
      <c r="M884" s="18" t="s">
        <v>43</v>
      </c>
      <c r="N884" s="18" t="s">
        <v>46</v>
      </c>
      <c r="O884" s="18">
        <v>30.0</v>
      </c>
      <c r="P884" s="18" t="s">
        <v>310</v>
      </c>
      <c r="Q884" s="16">
        <v>44937.0</v>
      </c>
      <c r="R884" s="16" t="s">
        <v>1493</v>
      </c>
      <c r="S884" s="13" t="s">
        <v>45</v>
      </c>
      <c r="T884" s="13" t="s">
        <v>104</v>
      </c>
      <c r="U884" s="13">
        <f t="shared" si="1"/>
        <v>1</v>
      </c>
      <c r="V884" s="13" t="str">
        <f t="shared" si="2"/>
        <v>C00042|Vikram Kumar|55|North|Delhi|Standard|Google Ads|12/12/2022|1|Annual|Credit Card|1,011|2|0|30.00|3.1|1/11/2023|23/01/2023|Churned|Analytics</v>
      </c>
      <c r="W884" s="13">
        <f t="shared" si="3"/>
        <v>1</v>
      </c>
      <c r="X884" s="13">
        <f>IFERROR(__xludf.DUMMYFUNCTION("COUNTUNIQUE(FILTER($B$2:$B$1826,$A$2:$A$1826=A884))"),1.0)</f>
        <v>1</v>
      </c>
    </row>
    <row r="885">
      <c r="A885" s="13" t="s">
        <v>1494</v>
      </c>
      <c r="B885" s="13" t="s">
        <v>190</v>
      </c>
      <c r="C885" s="14">
        <v>51.0</v>
      </c>
      <c r="D885" s="13" t="s">
        <v>69</v>
      </c>
      <c r="E885" s="13" t="s">
        <v>119</v>
      </c>
      <c r="F885" s="13" t="s">
        <v>62</v>
      </c>
      <c r="G885" s="13" t="s">
        <v>39</v>
      </c>
      <c r="H885" s="16">
        <v>45269.0</v>
      </c>
      <c r="I885" s="14">
        <v>7.0</v>
      </c>
      <c r="J885" s="13" t="s">
        <v>40</v>
      </c>
      <c r="K885" s="13" t="s">
        <v>65</v>
      </c>
      <c r="L885" s="14">
        <v>578.0</v>
      </c>
      <c r="M885" s="18" t="s">
        <v>98</v>
      </c>
      <c r="N885" s="18" t="s">
        <v>43</v>
      </c>
      <c r="O885" s="18">
        <v>16.2</v>
      </c>
      <c r="P885" s="18" t="s">
        <v>173</v>
      </c>
      <c r="Q885" s="16">
        <v>45425.0</v>
      </c>
      <c r="R885" s="16" t="s">
        <v>1495</v>
      </c>
      <c r="S885" s="13" t="s">
        <v>45</v>
      </c>
      <c r="T885" s="13" t="s">
        <v>104</v>
      </c>
      <c r="U885" s="13">
        <f t="shared" si="1"/>
        <v>1</v>
      </c>
      <c r="V885" s="13" t="str">
        <f t="shared" si="2"/>
        <v>C00354|Sneha Patel|51|South|Kochi|Basic|Instagram|12/9/2023|7|Monthly|Credit Card|578|1|2|16.20|5|5/13/2024|22/02/2024|Churned|Analytics</v>
      </c>
      <c r="W885" s="13">
        <f t="shared" si="3"/>
        <v>1</v>
      </c>
      <c r="X885" s="13">
        <f>IFERROR(__xludf.DUMMYFUNCTION("COUNTUNIQUE(FILTER($B$2:$B$1826,$A$2:$A$1826=A885))"),1.0)</f>
        <v>1</v>
      </c>
    </row>
    <row r="886">
      <c r="A886" s="13" t="s">
        <v>1496</v>
      </c>
      <c r="B886" s="13" t="s">
        <v>639</v>
      </c>
      <c r="C886" s="14">
        <v>31.0</v>
      </c>
      <c r="D886" s="13" t="s">
        <v>35</v>
      </c>
      <c r="E886" s="13" t="s">
        <v>36</v>
      </c>
      <c r="F886" s="13" t="s">
        <v>37</v>
      </c>
      <c r="G886" s="13" t="s">
        <v>210</v>
      </c>
      <c r="H886" s="16">
        <v>45158.0</v>
      </c>
      <c r="I886" s="14">
        <v>7.0</v>
      </c>
      <c r="J886" s="13" t="s">
        <v>64</v>
      </c>
      <c r="K886" s="13" t="s">
        <v>65</v>
      </c>
      <c r="L886" s="14">
        <v>1603.0</v>
      </c>
      <c r="M886" s="18" t="s">
        <v>99</v>
      </c>
      <c r="N886" s="18" t="s">
        <v>43</v>
      </c>
      <c r="O886" s="18">
        <v>25.4</v>
      </c>
      <c r="P886" s="18" t="s">
        <v>185</v>
      </c>
      <c r="Q886" s="16">
        <v>45210.0</v>
      </c>
      <c r="R886" s="16" t="s">
        <v>38</v>
      </c>
      <c r="S886" s="13" t="s">
        <v>55</v>
      </c>
      <c r="T886" s="13" t="s">
        <v>66</v>
      </c>
      <c r="U886" s="13">
        <f t="shared" si="1"/>
        <v>1</v>
      </c>
      <c r="V886" s="13" t="str">
        <f t="shared" si="2"/>
        <v>C01275|Priya Nair|31|North|Delhi|Standard|Referral|8/20/2023|7|Annual|Credit Card|1,603|4|2|25.40|3.2|10/11/2023||Active|Automation</v>
      </c>
      <c r="W886" s="13">
        <f t="shared" si="3"/>
        <v>1</v>
      </c>
      <c r="X886" s="13">
        <f>IFERROR(__xludf.DUMMYFUNCTION("COUNTUNIQUE(FILTER($B$2:$B$1826,$A$2:$A$1826=A886))"),1.0)</f>
        <v>1</v>
      </c>
    </row>
    <row r="887">
      <c r="A887" s="13" t="s">
        <v>1470</v>
      </c>
      <c r="B887" s="13" t="s">
        <v>163</v>
      </c>
      <c r="C887" s="14">
        <v>44.0</v>
      </c>
      <c r="D887" s="13" t="s">
        <v>85</v>
      </c>
      <c r="E887" s="13" t="s">
        <v>87</v>
      </c>
      <c r="F887" s="13" t="s">
        <v>37</v>
      </c>
      <c r="G887" s="13" t="s">
        <v>63</v>
      </c>
      <c r="H887" s="16">
        <v>45931.0</v>
      </c>
      <c r="I887" s="14">
        <v>36.0</v>
      </c>
      <c r="J887" s="13" t="s">
        <v>40</v>
      </c>
      <c r="K887" s="13" t="s">
        <v>65</v>
      </c>
      <c r="L887" s="14">
        <v>1373.0</v>
      </c>
      <c r="M887" s="18" t="s">
        <v>99</v>
      </c>
      <c r="N887" s="18" t="s">
        <v>46</v>
      </c>
      <c r="O887" s="18">
        <v>28.9</v>
      </c>
      <c r="P887" s="18" t="s">
        <v>38</v>
      </c>
      <c r="Q887" s="16">
        <v>46431.0</v>
      </c>
      <c r="R887" s="16" t="s">
        <v>38</v>
      </c>
      <c r="S887" s="13" t="s">
        <v>55</v>
      </c>
      <c r="T887" s="13" t="s">
        <v>104</v>
      </c>
      <c r="U887" s="13">
        <f t="shared" si="1"/>
        <v>3</v>
      </c>
      <c r="V887" s="13" t="str">
        <f t="shared" si="2"/>
        <v>C00691|Sneha Singh|44|West|Surat|Standard|Google Ads|10/1/2025|36|Monthly|Credit Card|1,373|4|0|28.90||2/13/2027||Active|Analytics</v>
      </c>
      <c r="W887" s="13">
        <f t="shared" si="3"/>
        <v>1</v>
      </c>
      <c r="X887" s="13">
        <f>IFERROR(__xludf.DUMMYFUNCTION("COUNTUNIQUE(FILTER($B$2:$B$1826,$A$2:$A$1826=A887))"),2.0)</f>
        <v>2</v>
      </c>
    </row>
    <row r="888">
      <c r="A888" s="13" t="s">
        <v>660</v>
      </c>
      <c r="B888" s="13" t="s">
        <v>380</v>
      </c>
      <c r="C888" s="14">
        <v>39.0</v>
      </c>
      <c r="D888" s="13" t="s">
        <v>35</v>
      </c>
      <c r="E888" s="13" t="s">
        <v>36</v>
      </c>
      <c r="F888" s="13" t="s">
        <v>37</v>
      </c>
      <c r="G888" s="13" t="s">
        <v>210</v>
      </c>
      <c r="H888" s="16">
        <v>45641.0</v>
      </c>
      <c r="I888" s="14">
        <v>37.0</v>
      </c>
      <c r="J888" s="13" t="s">
        <v>64</v>
      </c>
      <c r="K888" s="13" t="s">
        <v>65</v>
      </c>
      <c r="L888" s="14">
        <v>1533.0</v>
      </c>
      <c r="M888" s="18" t="s">
        <v>98</v>
      </c>
      <c r="N888" s="18" t="s">
        <v>98</v>
      </c>
      <c r="O888" s="18">
        <v>30.3</v>
      </c>
      <c r="P888" s="18" t="s">
        <v>185</v>
      </c>
      <c r="Q888" s="16">
        <v>46769.0</v>
      </c>
      <c r="R888" s="16" t="s">
        <v>38</v>
      </c>
      <c r="S888" s="13" t="s">
        <v>55</v>
      </c>
      <c r="T888" s="13" t="s">
        <v>47</v>
      </c>
      <c r="U888" s="13">
        <f t="shared" si="1"/>
        <v>6</v>
      </c>
      <c r="V888" s="13" t="str">
        <f t="shared" si="2"/>
        <v>C00984|Neha Iyer|39|North|Delhi|Standard|Referral|12/15/2024|37|Annual|Credit Card|1,533|1|1|30.30|3.2|1/17/2028||Active|Cloud Storage</v>
      </c>
      <c r="W888" s="13">
        <f t="shared" si="3"/>
        <v>1</v>
      </c>
      <c r="X888" s="13">
        <f>IFERROR(__xludf.DUMMYFUNCTION("COUNTUNIQUE(FILTER($B$2:$B$1826,$A$2:$A$1826=A888))"),6.0)</f>
        <v>6</v>
      </c>
    </row>
    <row r="889">
      <c r="A889" s="13" t="s">
        <v>1322</v>
      </c>
      <c r="B889" s="13" t="s">
        <v>169</v>
      </c>
      <c r="C889" s="14">
        <v>68.0</v>
      </c>
      <c r="D889" s="13" t="s">
        <v>85</v>
      </c>
      <c r="E889" s="13" t="s">
        <v>87</v>
      </c>
      <c r="F889" s="13" t="s">
        <v>62</v>
      </c>
      <c r="G889" s="13" t="s">
        <v>63</v>
      </c>
      <c r="H889" s="16">
        <v>45566.0</v>
      </c>
      <c r="I889" s="14">
        <v>2.0</v>
      </c>
      <c r="J889" s="13" t="s">
        <v>53</v>
      </c>
      <c r="K889" s="13" t="s">
        <v>81</v>
      </c>
      <c r="L889" s="14">
        <v>663.0</v>
      </c>
      <c r="M889" s="18" t="s">
        <v>164</v>
      </c>
      <c r="N889" s="18" t="s">
        <v>43</v>
      </c>
      <c r="O889" s="18">
        <v>16.2</v>
      </c>
      <c r="P889" s="18" t="s">
        <v>263</v>
      </c>
      <c r="Q889" s="16">
        <v>45625.0</v>
      </c>
      <c r="R889" s="16" t="s">
        <v>38</v>
      </c>
      <c r="S889" s="13" t="s">
        <v>55</v>
      </c>
      <c r="T889" s="13" t="s">
        <v>104</v>
      </c>
      <c r="U889" s="13">
        <f t="shared" si="1"/>
        <v>2</v>
      </c>
      <c r="V889" s="13" t="str">
        <f t="shared" si="2"/>
        <v>C00600|Vikram Nair|68|West|Surat|Basic|Google Ads|10/1/2024|2|Quarterly|Debit Card|663|3|2|16.20|2.9|11/29/2024||Active|Analytics</v>
      </c>
      <c r="W889" s="13">
        <f t="shared" si="3"/>
        <v>1</v>
      </c>
      <c r="X889" s="13">
        <f>IFERROR(__xludf.DUMMYFUNCTION("COUNTUNIQUE(FILTER($B$2:$B$1826,$A$2:$A$1826=A889))"),2.0)</f>
        <v>2</v>
      </c>
    </row>
    <row r="890">
      <c r="A890" s="13" t="s">
        <v>1497</v>
      </c>
      <c r="B890" s="13" t="s">
        <v>179</v>
      </c>
      <c r="C890" s="14">
        <v>22.0</v>
      </c>
      <c r="D890" s="13" t="s">
        <v>69</v>
      </c>
      <c r="E890" s="13" t="s">
        <v>51</v>
      </c>
      <c r="F890" s="13" t="s">
        <v>79</v>
      </c>
      <c r="G890" s="13" t="s">
        <v>39</v>
      </c>
      <c r="H890" s="16">
        <v>45765.0</v>
      </c>
      <c r="I890" s="14">
        <v>48.0</v>
      </c>
      <c r="J890" s="13" t="s">
        <v>53</v>
      </c>
      <c r="K890" s="13" t="s">
        <v>65</v>
      </c>
      <c r="L890" s="14">
        <v>3311.0</v>
      </c>
      <c r="M890" s="18" t="s">
        <v>98</v>
      </c>
      <c r="N890" s="18" t="s">
        <v>98</v>
      </c>
      <c r="O890" s="18">
        <v>32.1</v>
      </c>
      <c r="P890" s="18" t="s">
        <v>173</v>
      </c>
      <c r="Q890" s="16">
        <v>46417.0</v>
      </c>
      <c r="R890" s="16" t="s">
        <v>1498</v>
      </c>
      <c r="S890" s="13" t="s">
        <v>45</v>
      </c>
      <c r="T890" s="13" t="s">
        <v>47</v>
      </c>
      <c r="U890" s="13">
        <f t="shared" si="1"/>
        <v>1</v>
      </c>
      <c r="V890" s="13" t="str">
        <f t="shared" si="2"/>
        <v>C01081|Ravi Kumar|22|South|Jaipur|Premium|Instagram|4/18/2025|48|Quarterly|Credit Card|3,311|1|1|32.10|5|1/30/2027|24/08/2025|Churned|Cloud Storage</v>
      </c>
      <c r="W890" s="13">
        <f t="shared" si="3"/>
        <v>1</v>
      </c>
      <c r="X890" s="13">
        <f>IFERROR(__xludf.DUMMYFUNCTION("COUNTUNIQUE(FILTER($B$2:$B$1826,$A$2:$A$1826=A890))"),1.0)</f>
        <v>1</v>
      </c>
    </row>
    <row r="891">
      <c r="A891" s="13" t="s">
        <v>1008</v>
      </c>
      <c r="B891" s="13" t="s">
        <v>639</v>
      </c>
      <c r="C891" s="14">
        <v>30.0</v>
      </c>
      <c r="D891" s="13" t="s">
        <v>69</v>
      </c>
      <c r="E891" s="13" t="s">
        <v>140</v>
      </c>
      <c r="F891" s="13" t="s">
        <v>37</v>
      </c>
      <c r="G891" s="13" t="s">
        <v>80</v>
      </c>
      <c r="H891" s="16">
        <v>44927.0</v>
      </c>
      <c r="I891" s="14">
        <v>33.0</v>
      </c>
      <c r="J891" s="13" t="s">
        <v>40</v>
      </c>
      <c r="K891" s="13" t="s">
        <v>81</v>
      </c>
      <c r="L891" s="14">
        <v>1044.0</v>
      </c>
      <c r="M891" s="18" t="s">
        <v>98</v>
      </c>
      <c r="N891" s="18" t="s">
        <v>98</v>
      </c>
      <c r="O891" s="18">
        <v>33.4</v>
      </c>
      <c r="P891" s="18" t="s">
        <v>233</v>
      </c>
      <c r="Q891" s="16">
        <v>45156.0</v>
      </c>
      <c r="R891" s="16" t="s">
        <v>38</v>
      </c>
      <c r="S891" s="13" t="s">
        <v>55</v>
      </c>
      <c r="T891" s="13" t="s">
        <v>72</v>
      </c>
      <c r="U891" s="13">
        <f t="shared" si="1"/>
        <v>3</v>
      </c>
      <c r="V891" s="13" t="str">
        <f t="shared" si="2"/>
        <v>C00721|Priya Nair|30|South|Lucknow|Standard|Organic Search|1/1/2023|33|Monthly|Debit Card|1,044|1|1|33.40|3.5|8/18/2023||Active|Collaboration</v>
      </c>
      <c r="W891" s="13">
        <f t="shared" si="3"/>
        <v>1</v>
      </c>
      <c r="X891" s="13">
        <f>IFERROR(__xludf.DUMMYFUNCTION("COUNTUNIQUE(FILTER($B$2:$B$1826,$A$2:$A$1826=A891))"),3.0)</f>
        <v>3</v>
      </c>
    </row>
    <row r="892">
      <c r="A892" s="13" t="s">
        <v>1499</v>
      </c>
      <c r="B892" s="13" t="s">
        <v>152</v>
      </c>
      <c r="C892" s="14">
        <v>34.0</v>
      </c>
      <c r="D892" s="13" t="s">
        <v>85</v>
      </c>
      <c r="E892" s="13" t="s">
        <v>119</v>
      </c>
      <c r="F892" s="13" t="s">
        <v>62</v>
      </c>
      <c r="G892" s="13" t="s">
        <v>52</v>
      </c>
      <c r="H892" s="16">
        <v>45817.0</v>
      </c>
      <c r="I892" s="14">
        <v>1.0</v>
      </c>
      <c r="J892" s="13" t="s">
        <v>40</v>
      </c>
      <c r="K892" s="13" t="s">
        <v>65</v>
      </c>
      <c r="L892" s="14">
        <v>694.0</v>
      </c>
      <c r="M892" s="18" t="s">
        <v>43</v>
      </c>
      <c r="N892" s="18" t="s">
        <v>99</v>
      </c>
      <c r="O892" s="18">
        <v>17.8</v>
      </c>
      <c r="P892" s="18" t="s">
        <v>173</v>
      </c>
      <c r="Q892" s="16">
        <v>45834.0</v>
      </c>
      <c r="R892" s="16" t="s">
        <v>38</v>
      </c>
      <c r="S892" s="13" t="s">
        <v>55</v>
      </c>
      <c r="T892" s="13" t="s">
        <v>47</v>
      </c>
      <c r="U892" s="13">
        <f t="shared" si="1"/>
        <v>2</v>
      </c>
      <c r="V892" s="13" t="str">
        <f t="shared" si="2"/>
        <v>C00150|Vikram Kumar|34|West|Kochi|Basic|Facebook|6/9/2025|1|Monthly|Credit Card|694|2|4|17.80|5|6/26/2025||Active|Cloud Storage</v>
      </c>
      <c r="W892" s="13">
        <f t="shared" si="3"/>
        <v>1</v>
      </c>
      <c r="X892" s="13">
        <f>IFERROR(__xludf.DUMMYFUNCTION("COUNTUNIQUE(FILTER($B$2:$B$1826,$A$2:$A$1826=A892))"),2.0)</f>
        <v>2</v>
      </c>
    </row>
    <row r="893">
      <c r="A893" s="13" t="s">
        <v>1500</v>
      </c>
      <c r="B893" s="13" t="s">
        <v>222</v>
      </c>
      <c r="C893" s="14">
        <v>32.0</v>
      </c>
      <c r="D893" s="13" t="s">
        <v>69</v>
      </c>
      <c r="E893" s="13" t="s">
        <v>177</v>
      </c>
      <c r="F893" s="13" t="s">
        <v>79</v>
      </c>
      <c r="G893" s="13" t="s">
        <v>120</v>
      </c>
      <c r="H893" s="16">
        <v>44653.0</v>
      </c>
      <c r="I893" s="14">
        <v>10.0</v>
      </c>
      <c r="J893" s="13" t="s">
        <v>64</v>
      </c>
      <c r="K893" s="13" t="s">
        <v>81</v>
      </c>
      <c r="L893" s="14">
        <v>3368.0</v>
      </c>
      <c r="M893" s="18" t="s">
        <v>98</v>
      </c>
      <c r="N893" s="18" t="s">
        <v>98</v>
      </c>
      <c r="O893" s="18">
        <v>34.8</v>
      </c>
      <c r="P893" s="18" t="s">
        <v>76</v>
      </c>
      <c r="Q893" s="16">
        <v>44795.0</v>
      </c>
      <c r="R893" s="16" t="s">
        <v>38</v>
      </c>
      <c r="S893" s="13" t="s">
        <v>55</v>
      </c>
      <c r="T893" s="13" t="s">
        <v>72</v>
      </c>
      <c r="U893" s="13">
        <f t="shared" si="1"/>
        <v>2</v>
      </c>
      <c r="V893" s="13" t="str">
        <f t="shared" si="2"/>
        <v>C00799|Karan Iyer|32|South|Hyderabad|Premium|Email|4/2/2022|10|Annual|Debit Card|3,368|1|1|34.80|4.4|8/22/2022||Active|Collaboration</v>
      </c>
      <c r="W893" s="13">
        <f t="shared" si="3"/>
        <v>1</v>
      </c>
      <c r="X893" s="13">
        <f>IFERROR(__xludf.DUMMYFUNCTION("COUNTUNIQUE(FILTER($B$2:$B$1826,$A$2:$A$1826=A893))"),2.0)</f>
        <v>2</v>
      </c>
    </row>
    <row r="894">
      <c r="A894" s="13" t="s">
        <v>1501</v>
      </c>
      <c r="B894" s="13" t="s">
        <v>308</v>
      </c>
      <c r="C894" s="14">
        <v>63.0</v>
      </c>
      <c r="D894" s="13" t="s">
        <v>35</v>
      </c>
      <c r="E894" s="13" t="s">
        <v>140</v>
      </c>
      <c r="F894" s="13" t="s">
        <v>62</v>
      </c>
      <c r="G894" s="13" t="s">
        <v>120</v>
      </c>
      <c r="H894" s="16">
        <v>45131.0</v>
      </c>
      <c r="I894" s="14">
        <v>13.0</v>
      </c>
      <c r="J894" s="13" t="s">
        <v>53</v>
      </c>
      <c r="K894" s="13" t="s">
        <v>41</v>
      </c>
      <c r="L894" s="14">
        <v>1258.0</v>
      </c>
      <c r="M894" s="18" t="s">
        <v>43</v>
      </c>
      <c r="N894" s="18" t="s">
        <v>46</v>
      </c>
      <c r="O894" s="18">
        <v>21.5</v>
      </c>
      <c r="P894" s="18" t="s">
        <v>89</v>
      </c>
      <c r="Q894" s="16">
        <v>45146.0</v>
      </c>
      <c r="R894" s="16">
        <v>45511.0</v>
      </c>
      <c r="S894" s="13" t="s">
        <v>45</v>
      </c>
      <c r="T894" s="13" t="s">
        <v>47</v>
      </c>
      <c r="U894" s="13">
        <f t="shared" si="1"/>
        <v>2</v>
      </c>
      <c r="V894" s="13" t="str">
        <f t="shared" si="2"/>
        <v>C00839|Karan Kumar|63|North|Lucknow|Basic|Email|7/24/2023|13|Quarterly|Upi|1,258|2|0|21.50|3.3|8/8/2023|8/7/2024|Churned|Cloud Storage</v>
      </c>
      <c r="W894" s="13">
        <f t="shared" si="3"/>
        <v>1</v>
      </c>
      <c r="X894" s="13">
        <f>IFERROR(__xludf.DUMMYFUNCTION("COUNTUNIQUE(FILTER($B$2:$B$1826,$A$2:$A$1826=A894))"),2.0)</f>
        <v>2</v>
      </c>
    </row>
    <row r="895">
      <c r="A895" s="13" t="s">
        <v>1776</v>
      </c>
      <c r="B895" s="13" t="s">
        <v>222</v>
      </c>
      <c r="C895" s="14">
        <v>53.0</v>
      </c>
      <c r="D895" s="13" t="s">
        <v>69</v>
      </c>
      <c r="E895" s="13" t="s">
        <v>36</v>
      </c>
      <c r="F895" s="13" t="s">
        <v>62</v>
      </c>
      <c r="G895" s="13" t="s">
        <v>128</v>
      </c>
      <c r="H895" s="16">
        <v>45562.0</v>
      </c>
      <c r="I895" s="14">
        <v>5.0</v>
      </c>
      <c r="J895" s="13" t="s">
        <v>53</v>
      </c>
      <c r="K895" s="13" t="s">
        <v>65</v>
      </c>
      <c r="L895" s="14">
        <v>666.0</v>
      </c>
      <c r="M895" s="18" t="s">
        <v>164</v>
      </c>
      <c r="N895" s="18" t="s">
        <v>46</v>
      </c>
      <c r="O895" s="18">
        <v>21.7</v>
      </c>
      <c r="P895" s="18" t="s">
        <v>99</v>
      </c>
      <c r="Q895" s="16">
        <v>45637.0</v>
      </c>
      <c r="R895" s="16" t="s">
        <v>38</v>
      </c>
      <c r="S895" s="13" t="s">
        <v>55</v>
      </c>
      <c r="T895" s="13" t="s">
        <v>66</v>
      </c>
      <c r="U895" s="13">
        <f t="shared" si="1"/>
        <v>3</v>
      </c>
      <c r="V895" s="13" t="str">
        <f t="shared" si="2"/>
        <v>C00145|Karan Iyer|53|South|Delhi|Basic|Youtube|9/27/2024|5|Quarterly|Credit Card|666|3|0|21.70|4|12/11/2024||Active|Automation</v>
      </c>
      <c r="W895" s="13">
        <f t="shared" si="3"/>
        <v>1</v>
      </c>
      <c r="X895" s="13">
        <f>IFERROR(__xludf.DUMMYFUNCTION("COUNTUNIQUE(FILTER($B$2:$B$1826,$A$2:$A$1826=A895))"),3.0)</f>
        <v>3</v>
      </c>
    </row>
    <row r="896">
      <c r="A896" s="13" t="s">
        <v>1367</v>
      </c>
      <c r="B896" s="13" t="s">
        <v>235</v>
      </c>
      <c r="C896" s="14">
        <v>26.0</v>
      </c>
      <c r="D896" s="13" t="s">
        <v>35</v>
      </c>
      <c r="E896" s="13" t="s">
        <v>36</v>
      </c>
      <c r="F896" s="13" t="s">
        <v>62</v>
      </c>
      <c r="G896" s="13" t="s">
        <v>39</v>
      </c>
      <c r="H896" s="16">
        <v>44739.0</v>
      </c>
      <c r="I896" s="14">
        <v>36.0</v>
      </c>
      <c r="J896" s="13" t="s">
        <v>40</v>
      </c>
      <c r="K896" s="13" t="s">
        <v>41</v>
      </c>
      <c r="L896" s="14">
        <v>601.0</v>
      </c>
      <c r="M896" s="18" t="s">
        <v>98</v>
      </c>
      <c r="N896" s="18" t="s">
        <v>46</v>
      </c>
      <c r="O896" s="18">
        <v>26.7</v>
      </c>
      <c r="P896" s="18" t="s">
        <v>185</v>
      </c>
      <c r="Q896" s="16">
        <v>44822.0</v>
      </c>
      <c r="R896" s="16" t="s">
        <v>1505</v>
      </c>
      <c r="S896" s="13" t="s">
        <v>45</v>
      </c>
      <c r="T896" s="13" t="s">
        <v>75</v>
      </c>
      <c r="U896" s="13">
        <f t="shared" si="1"/>
        <v>2</v>
      </c>
      <c r="V896" s="13" t="str">
        <f t="shared" si="2"/>
        <v>C00536|Sneha Sharma|26|North|Delhi|Basic|Instagram|6/27/2022|36|Monthly|Upi|601|1|0|26.70|3.2|9/18/2022|13/03/2025|Churned|Security</v>
      </c>
      <c r="W896" s="13">
        <f t="shared" si="3"/>
        <v>1</v>
      </c>
      <c r="X896" s="13">
        <f>IFERROR(__xludf.DUMMYFUNCTION("COUNTUNIQUE(FILTER($B$2:$B$1826,$A$2:$A$1826=A896))"),2.0)</f>
        <v>2</v>
      </c>
    </row>
    <row r="897">
      <c r="A897" s="13" t="s">
        <v>1087</v>
      </c>
      <c r="B897" s="13" t="s">
        <v>395</v>
      </c>
      <c r="C897" s="14">
        <v>68.0</v>
      </c>
      <c r="D897" s="13" t="s">
        <v>35</v>
      </c>
      <c r="E897" s="13" t="s">
        <v>36</v>
      </c>
      <c r="F897" s="13" t="s">
        <v>62</v>
      </c>
      <c r="G897" s="13" t="s">
        <v>80</v>
      </c>
      <c r="H897" s="16">
        <v>45321.0</v>
      </c>
      <c r="I897" s="14">
        <v>29.0</v>
      </c>
      <c r="J897" s="13" t="s">
        <v>40</v>
      </c>
      <c r="K897" s="13" t="s">
        <v>81</v>
      </c>
      <c r="L897" s="14">
        <v>725.0</v>
      </c>
      <c r="M897" s="18" t="s">
        <v>43</v>
      </c>
      <c r="N897" s="18" t="s">
        <v>98</v>
      </c>
      <c r="O897" s="18">
        <v>20.9</v>
      </c>
      <c r="P897" s="18" t="s">
        <v>296</v>
      </c>
      <c r="Q897" s="16">
        <v>45373.0</v>
      </c>
      <c r="R897" s="16">
        <v>46204.0</v>
      </c>
      <c r="S897" s="13" t="s">
        <v>45</v>
      </c>
      <c r="T897" s="13" t="s">
        <v>72</v>
      </c>
      <c r="U897" s="13">
        <f t="shared" si="1"/>
        <v>3</v>
      </c>
      <c r="V897" s="13" t="str">
        <f t="shared" si="2"/>
        <v>C00378|Ravi Singh|68|North|Delhi|Basic|Organic Search|1/30/2024|29|Monthly|Debit Card|725|2|1|20.90|4.6|3/22/2024|7/1/2026|Churned|Collaboration</v>
      </c>
      <c r="W897" s="13">
        <f t="shared" si="3"/>
        <v>1</v>
      </c>
      <c r="X897" s="13">
        <f>IFERROR(__xludf.DUMMYFUNCTION("COUNTUNIQUE(FILTER($B$2:$B$1826,$A$2:$A$1826=A897))"),3.0)</f>
        <v>3</v>
      </c>
    </row>
    <row r="898">
      <c r="A898" s="13" t="s">
        <v>1507</v>
      </c>
      <c r="B898" s="13" t="s">
        <v>322</v>
      </c>
      <c r="C898" s="14">
        <v>51.0</v>
      </c>
      <c r="D898" s="13" t="s">
        <v>35</v>
      </c>
      <c r="E898" s="13" t="s">
        <v>51</v>
      </c>
      <c r="F898" s="13" t="s">
        <v>62</v>
      </c>
      <c r="G898" s="13" t="s">
        <v>210</v>
      </c>
      <c r="H898" s="16">
        <v>44921.0</v>
      </c>
      <c r="I898" s="14">
        <v>23.0</v>
      </c>
      <c r="J898" s="13" t="s">
        <v>40</v>
      </c>
      <c r="K898" s="13" t="s">
        <v>41</v>
      </c>
      <c r="L898" s="14">
        <v>828.0</v>
      </c>
      <c r="M898" s="18" t="s">
        <v>98</v>
      </c>
      <c r="N898" s="18" t="s">
        <v>98</v>
      </c>
      <c r="O898" s="18">
        <v>14.7</v>
      </c>
      <c r="P898" s="18" t="s">
        <v>76</v>
      </c>
      <c r="Q898" s="16">
        <v>45320.0</v>
      </c>
      <c r="R898" s="16" t="s">
        <v>38</v>
      </c>
      <c r="S898" s="13" t="s">
        <v>55</v>
      </c>
      <c r="T898" s="13" t="s">
        <v>47</v>
      </c>
      <c r="U898" s="13">
        <f t="shared" si="1"/>
        <v>3</v>
      </c>
      <c r="V898" s="13" t="str">
        <f t="shared" si="2"/>
        <v>C00090|Rahul Iyer|51|North|Jaipur|Basic|Referral|12/26/2022|23|Monthly|Upi|828|1|1|14.70|4.4|1/29/2024||Active|Cloud Storage</v>
      </c>
      <c r="W898" s="13">
        <f t="shared" si="3"/>
        <v>1</v>
      </c>
      <c r="X898" s="13">
        <f>IFERROR(__xludf.DUMMYFUNCTION("COUNTUNIQUE(FILTER($B$2:$B$1826,$A$2:$A$1826=A898))"),2.0)</f>
        <v>2</v>
      </c>
    </row>
    <row r="899">
      <c r="A899" s="13" t="s">
        <v>665</v>
      </c>
      <c r="B899" s="13" t="s">
        <v>145</v>
      </c>
      <c r="C899" s="14">
        <v>28.0</v>
      </c>
      <c r="D899" s="13" t="s">
        <v>69</v>
      </c>
      <c r="E899" s="13" t="s">
        <v>177</v>
      </c>
      <c r="F899" s="13" t="s">
        <v>37</v>
      </c>
      <c r="G899" s="13" t="s">
        <v>120</v>
      </c>
      <c r="H899" s="16">
        <v>44613.0</v>
      </c>
      <c r="I899" s="14">
        <v>29.0</v>
      </c>
      <c r="J899" s="13" t="s">
        <v>64</v>
      </c>
      <c r="K899" s="13" t="s">
        <v>65</v>
      </c>
      <c r="L899" s="14">
        <v>1615.0</v>
      </c>
      <c r="M899" s="18" t="s">
        <v>43</v>
      </c>
      <c r="N899" s="18" t="s">
        <v>43</v>
      </c>
      <c r="O899" s="18">
        <v>21.8</v>
      </c>
      <c r="P899" s="18" t="s">
        <v>225</v>
      </c>
      <c r="Q899" s="16">
        <v>44917.0</v>
      </c>
      <c r="R899" s="16" t="s">
        <v>38</v>
      </c>
      <c r="S899" s="13" t="s">
        <v>55</v>
      </c>
      <c r="T899" s="13" t="s">
        <v>104</v>
      </c>
      <c r="U899" s="13">
        <f t="shared" si="1"/>
        <v>2</v>
      </c>
      <c r="V899" s="13" t="str">
        <f t="shared" si="2"/>
        <v>C01285|Ravi Patel|28|South|Hyderabad|Standard|Email|2/21/2022|29|Annual|Credit Card|1,615|2|2|21.80|3.8|12/22/2022||Active|Analytics</v>
      </c>
      <c r="W899" s="13">
        <f t="shared" si="3"/>
        <v>1</v>
      </c>
      <c r="X899" s="13">
        <f>IFERROR(__xludf.DUMMYFUNCTION("COUNTUNIQUE(FILTER($B$2:$B$1826,$A$2:$A$1826=A899))"),2.0)</f>
        <v>2</v>
      </c>
    </row>
    <row r="900">
      <c r="A900" s="13" t="s">
        <v>1783</v>
      </c>
      <c r="B900" s="13" t="s">
        <v>349</v>
      </c>
      <c r="C900" s="14">
        <v>19.0</v>
      </c>
      <c r="D900" s="13" t="s">
        <v>35</v>
      </c>
      <c r="E900" s="13" t="s">
        <v>140</v>
      </c>
      <c r="F900" s="13" t="s">
        <v>37</v>
      </c>
      <c r="G900" s="13" t="s">
        <v>63</v>
      </c>
      <c r="H900" s="16">
        <v>45828.0</v>
      </c>
      <c r="I900" s="14">
        <v>47.0</v>
      </c>
      <c r="J900" s="13" t="s">
        <v>53</v>
      </c>
      <c r="K900" s="13" t="s">
        <v>41</v>
      </c>
      <c r="L900" s="14">
        <v>1378.0</v>
      </c>
      <c r="M900" s="18" t="s">
        <v>164</v>
      </c>
      <c r="N900" s="18" t="s">
        <v>98</v>
      </c>
      <c r="O900" s="18">
        <v>18.3</v>
      </c>
      <c r="P900" s="18" t="s">
        <v>368</v>
      </c>
      <c r="Q900" s="16">
        <v>46131.0</v>
      </c>
      <c r="R900" s="16" t="s">
        <v>38</v>
      </c>
      <c r="S900" s="13" t="s">
        <v>55</v>
      </c>
      <c r="T900" s="13" t="s">
        <v>66</v>
      </c>
      <c r="U900" s="13">
        <f t="shared" si="1"/>
        <v>2</v>
      </c>
      <c r="V900" s="13" t="str">
        <f t="shared" si="2"/>
        <v>C00229|Priya Singh|19|North|Lucknow|Standard|Google Ads|6/20/2025|47|Quarterly|Upi|1,378|3|1|18.30|4.9|4/19/2026||Active|Automation</v>
      </c>
      <c r="W900" s="13">
        <f t="shared" si="3"/>
        <v>1</v>
      </c>
      <c r="X900" s="13">
        <f>IFERROR(__xludf.DUMMYFUNCTION("COUNTUNIQUE(FILTER($B$2:$B$1826,$A$2:$A$1826=A900))"),2.0)</f>
        <v>2</v>
      </c>
    </row>
    <row r="901">
      <c r="A901" s="13" t="s">
        <v>1509</v>
      </c>
      <c r="B901" s="13" t="s">
        <v>34</v>
      </c>
      <c r="C901" s="14">
        <v>37.0</v>
      </c>
      <c r="D901" s="13" t="s">
        <v>85</v>
      </c>
      <c r="E901" s="13" t="s">
        <v>292</v>
      </c>
      <c r="F901" s="13" t="s">
        <v>79</v>
      </c>
      <c r="G901" s="13" t="s">
        <v>128</v>
      </c>
      <c r="H901" s="16">
        <v>45848.0</v>
      </c>
      <c r="I901" s="14">
        <v>3.0</v>
      </c>
      <c r="J901" s="13" t="s">
        <v>64</v>
      </c>
      <c r="K901" s="13" t="s">
        <v>81</v>
      </c>
      <c r="L901" s="14">
        <v>3327.0</v>
      </c>
      <c r="M901" s="18" t="s">
        <v>99</v>
      </c>
      <c r="N901" s="18" t="s">
        <v>46</v>
      </c>
      <c r="O901" s="18">
        <v>48.6</v>
      </c>
      <c r="P901" s="18" t="s">
        <v>233</v>
      </c>
      <c r="Q901" s="16">
        <v>45918.0</v>
      </c>
      <c r="R901" s="16" t="s">
        <v>38</v>
      </c>
      <c r="S901" s="13" t="s">
        <v>55</v>
      </c>
      <c r="T901" s="13" t="s">
        <v>75</v>
      </c>
      <c r="U901" s="13">
        <f t="shared" si="1"/>
        <v>2</v>
      </c>
      <c r="V901" s="13" t="str">
        <f t="shared" si="2"/>
        <v>C00120|Meera Das|37|West|Mumbai|Premium|Youtube|7/10/2025|3|Annual|Debit Card|3,327|4|0|48.60|3.5|9/18/2025||Active|Security</v>
      </c>
      <c r="W901" s="13">
        <f t="shared" si="3"/>
        <v>1</v>
      </c>
      <c r="X901" s="13">
        <f>IFERROR(__xludf.DUMMYFUNCTION("COUNTUNIQUE(FILTER($B$2:$B$1826,$A$2:$A$1826=A901))"),2.0)</f>
        <v>2</v>
      </c>
    </row>
    <row r="902">
      <c r="A902" s="13" t="s">
        <v>369</v>
      </c>
      <c r="B902" s="13" t="s">
        <v>312</v>
      </c>
      <c r="C902" s="14">
        <v>28.0</v>
      </c>
      <c r="D902" s="13" t="s">
        <v>69</v>
      </c>
      <c r="E902" s="13" t="s">
        <v>119</v>
      </c>
      <c r="F902" s="13" t="s">
        <v>37</v>
      </c>
      <c r="G902" s="13" t="s">
        <v>210</v>
      </c>
      <c r="H902" s="16">
        <v>45865.0</v>
      </c>
      <c r="I902" s="14">
        <v>30.0</v>
      </c>
      <c r="J902" s="13" t="s">
        <v>53</v>
      </c>
      <c r="K902" s="13" t="s">
        <v>81</v>
      </c>
      <c r="L902" s="14">
        <v>1464.0</v>
      </c>
      <c r="M902" s="18" t="s">
        <v>43</v>
      </c>
      <c r="N902" s="18" t="s">
        <v>98</v>
      </c>
      <c r="O902" s="18">
        <v>34.9</v>
      </c>
      <c r="P902" s="18" t="s">
        <v>408</v>
      </c>
      <c r="Q902" s="16">
        <v>46775.0</v>
      </c>
      <c r="R902" s="16" t="s">
        <v>38</v>
      </c>
      <c r="S902" s="13" t="s">
        <v>55</v>
      </c>
      <c r="T902" s="13" t="s">
        <v>47</v>
      </c>
      <c r="U902" s="13">
        <f t="shared" si="1"/>
        <v>3</v>
      </c>
      <c r="V902" s="13" t="str">
        <f t="shared" si="2"/>
        <v>C00921|Anita Singh|28|South|Kochi|Standard|Referral|7/27/2025|30|Quarterly|Debit Card|1,464|2|1|34.90|4.2|1/23/2028||Active|Cloud Storage</v>
      </c>
      <c r="W902" s="13">
        <f t="shared" si="3"/>
        <v>1</v>
      </c>
      <c r="X902" s="13">
        <f>IFERROR(__xludf.DUMMYFUNCTION("COUNTUNIQUE(FILTER($B$2:$B$1826,$A$2:$A$1826=A902))"),3.0)</f>
        <v>3</v>
      </c>
    </row>
    <row r="903">
      <c r="A903" s="13" t="s">
        <v>1510</v>
      </c>
      <c r="B903" s="13" t="s">
        <v>333</v>
      </c>
      <c r="C903" s="14">
        <v>27.0</v>
      </c>
      <c r="D903" s="13" t="s">
        <v>60</v>
      </c>
      <c r="E903" s="13" t="s">
        <v>97</v>
      </c>
      <c r="F903" s="13" t="s">
        <v>62</v>
      </c>
      <c r="G903" s="13" t="s">
        <v>63</v>
      </c>
      <c r="H903" s="16">
        <v>45446.0</v>
      </c>
      <c r="I903" s="14">
        <v>20.0</v>
      </c>
      <c r="J903" s="13" t="s">
        <v>64</v>
      </c>
      <c r="K903" s="13" t="s">
        <v>65</v>
      </c>
      <c r="L903" s="14">
        <v>734.0</v>
      </c>
      <c r="M903" s="18" t="s">
        <v>46</v>
      </c>
      <c r="N903" s="18" t="s">
        <v>98</v>
      </c>
      <c r="O903" s="18">
        <v>25.8</v>
      </c>
      <c r="P903" s="18" t="s">
        <v>164</v>
      </c>
      <c r="Q903" s="16">
        <v>46010.0</v>
      </c>
      <c r="R903" s="16" t="s">
        <v>38</v>
      </c>
      <c r="S903" s="13" t="s">
        <v>55</v>
      </c>
      <c r="T903" s="13" t="s">
        <v>47</v>
      </c>
      <c r="U903" s="13">
        <f t="shared" si="1"/>
        <v>2</v>
      </c>
      <c r="V903" s="13" t="str">
        <f t="shared" si="2"/>
        <v>C00796|Neha Das|27|East|Bhubaneswar|Basic|Google Ads|6/3/2024|20|Annual|Credit Card|734|0|1|25.80|3|12/19/2025||Active|Cloud Storage</v>
      </c>
      <c r="W903" s="13">
        <f t="shared" si="3"/>
        <v>1</v>
      </c>
      <c r="X903" s="13">
        <f>IFERROR(__xludf.DUMMYFUNCTION("COUNTUNIQUE(FILTER($B$2:$B$1826,$A$2:$A$1826=A903))"),2.0)</f>
        <v>2</v>
      </c>
    </row>
    <row r="904">
      <c r="A904" s="13" t="s">
        <v>1511</v>
      </c>
      <c r="B904" s="13" t="s">
        <v>160</v>
      </c>
      <c r="C904" s="14">
        <v>34.0</v>
      </c>
      <c r="D904" s="13" t="s">
        <v>85</v>
      </c>
      <c r="E904" s="13" t="s">
        <v>87</v>
      </c>
      <c r="F904" s="13" t="s">
        <v>37</v>
      </c>
      <c r="G904" s="13" t="s">
        <v>80</v>
      </c>
      <c r="H904" s="16">
        <v>45471.0</v>
      </c>
      <c r="I904" s="14">
        <v>25.0</v>
      </c>
      <c r="J904" s="13" t="s">
        <v>40</v>
      </c>
      <c r="K904" s="13" t="s">
        <v>81</v>
      </c>
      <c r="L904" s="14">
        <v>1332.0</v>
      </c>
      <c r="M904" s="18" t="s">
        <v>98</v>
      </c>
      <c r="N904" s="18" t="s">
        <v>43</v>
      </c>
      <c r="O904" s="18">
        <v>21.6</v>
      </c>
      <c r="P904" s="18" t="s">
        <v>130</v>
      </c>
      <c r="Q904" s="16">
        <v>45889.0</v>
      </c>
      <c r="R904" s="16" t="s">
        <v>38</v>
      </c>
      <c r="S904" s="13" t="s">
        <v>55</v>
      </c>
      <c r="T904" s="13" t="s">
        <v>47</v>
      </c>
      <c r="U904" s="13">
        <f t="shared" si="1"/>
        <v>3</v>
      </c>
      <c r="V904" s="13" t="str">
        <f t="shared" si="2"/>
        <v>C00832|Rahul Singh|34|West|Surat|Standard|Organic Search|6/28/2024|25|Monthly|Debit Card|1,332|1|2|21.60|3.9|8/20/2025||Active|Cloud Storage</v>
      </c>
      <c r="W904" s="13">
        <f t="shared" si="3"/>
        <v>1</v>
      </c>
      <c r="X904" s="13">
        <f>IFERROR(__xludf.DUMMYFUNCTION("COUNTUNIQUE(FILTER($B$2:$B$1826,$A$2:$A$1826=A904))"),3.0)</f>
        <v>3</v>
      </c>
    </row>
    <row r="905">
      <c r="A905" s="13" t="s">
        <v>588</v>
      </c>
      <c r="B905" s="13" t="s">
        <v>639</v>
      </c>
      <c r="C905" s="14">
        <v>38.0</v>
      </c>
      <c r="D905" s="13" t="s">
        <v>69</v>
      </c>
      <c r="E905" s="13" t="s">
        <v>177</v>
      </c>
      <c r="F905" s="13" t="s">
        <v>79</v>
      </c>
      <c r="G905" s="13" t="s">
        <v>80</v>
      </c>
      <c r="H905" s="16">
        <v>45398.0</v>
      </c>
      <c r="I905" s="14">
        <v>24.0</v>
      </c>
      <c r="J905" s="13" t="s">
        <v>64</v>
      </c>
      <c r="K905" s="13" t="s">
        <v>65</v>
      </c>
      <c r="L905" s="14">
        <v>2288.0</v>
      </c>
      <c r="M905" s="18" t="s">
        <v>43</v>
      </c>
      <c r="N905" s="18" t="s">
        <v>38</v>
      </c>
      <c r="O905" s="18">
        <v>30.1</v>
      </c>
      <c r="P905" s="18" t="s">
        <v>89</v>
      </c>
      <c r="Q905" s="16">
        <v>45889.0</v>
      </c>
      <c r="R905" s="16" t="s">
        <v>38</v>
      </c>
      <c r="S905" s="13" t="s">
        <v>55</v>
      </c>
      <c r="T905" s="13" t="s">
        <v>104</v>
      </c>
      <c r="U905" s="13">
        <f t="shared" si="1"/>
        <v>2</v>
      </c>
      <c r="V905" s="13" t="str">
        <f t="shared" si="2"/>
        <v>C01165|Priya Nair|38|South|Hyderabad|Premium|Organic Search|4/16/2024|24|Annual|Credit Card|2,288|2||30.10|3.3|8/20/2025||Active|Analytics</v>
      </c>
      <c r="W905" s="13">
        <f t="shared" si="3"/>
        <v>1</v>
      </c>
      <c r="X905" s="13">
        <f>IFERROR(__xludf.DUMMYFUNCTION("COUNTUNIQUE(FILTER($B$2:$B$1826,$A$2:$A$1826=A905))"),2.0)</f>
        <v>2</v>
      </c>
    </row>
    <row r="906">
      <c r="A906" s="13" t="s">
        <v>1512</v>
      </c>
      <c r="B906" s="13" t="s">
        <v>333</v>
      </c>
      <c r="C906" s="14">
        <v>55.0</v>
      </c>
      <c r="D906" s="13" t="s">
        <v>69</v>
      </c>
      <c r="E906" s="13" t="s">
        <v>177</v>
      </c>
      <c r="F906" s="13" t="s">
        <v>37</v>
      </c>
      <c r="G906" s="13" t="s">
        <v>39</v>
      </c>
      <c r="H906" s="16">
        <v>45912.0</v>
      </c>
      <c r="I906" s="14">
        <v>25.0</v>
      </c>
      <c r="J906" s="13" t="s">
        <v>64</v>
      </c>
      <c r="K906" s="13" t="s">
        <v>41</v>
      </c>
      <c r="L906" s="14" t="s">
        <v>38</v>
      </c>
      <c r="M906" s="18" t="s">
        <v>99</v>
      </c>
      <c r="N906" s="18" t="s">
        <v>43</v>
      </c>
      <c r="O906" s="18">
        <v>29.4</v>
      </c>
      <c r="P906" s="18" t="s">
        <v>38</v>
      </c>
      <c r="Q906" s="16">
        <v>46375.0</v>
      </c>
      <c r="R906" s="16">
        <v>45788.0</v>
      </c>
      <c r="S906" s="13" t="s">
        <v>45</v>
      </c>
      <c r="T906" s="13" t="s">
        <v>72</v>
      </c>
      <c r="U906" s="13">
        <f t="shared" si="1"/>
        <v>1</v>
      </c>
      <c r="V906" s="13" t="str">
        <f t="shared" si="2"/>
        <v>C00409|Neha Das|55|South|Hyderabad|Standard|Instagram|9/12/2025|25|Annual|Upi||4|2|29.40||12/19/2026|5/11/2025|Churned|Collaboration</v>
      </c>
      <c r="W906" s="13">
        <f t="shared" si="3"/>
        <v>1</v>
      </c>
      <c r="X906" s="13">
        <f>IFERROR(__xludf.DUMMYFUNCTION("COUNTUNIQUE(FILTER($B$2:$B$1826,$A$2:$A$1826=A906))"),1.0)</f>
        <v>1</v>
      </c>
    </row>
    <row r="907">
      <c r="A907" s="13" t="s">
        <v>1514</v>
      </c>
      <c r="B907" s="13" t="s">
        <v>257</v>
      </c>
      <c r="C907" s="14">
        <v>58.0</v>
      </c>
      <c r="D907" s="13" t="s">
        <v>69</v>
      </c>
      <c r="E907" s="13" t="s">
        <v>119</v>
      </c>
      <c r="F907" s="13" t="s">
        <v>37</v>
      </c>
      <c r="G907" s="13" t="s">
        <v>128</v>
      </c>
      <c r="H907" s="16">
        <v>44967.0</v>
      </c>
      <c r="I907" s="14">
        <v>10.0</v>
      </c>
      <c r="J907" s="13" t="s">
        <v>64</v>
      </c>
      <c r="K907" s="13" t="s">
        <v>81</v>
      </c>
      <c r="L907" s="14">
        <v>1250.0</v>
      </c>
      <c r="M907" s="18" t="s">
        <v>46</v>
      </c>
      <c r="N907" s="18" t="s">
        <v>46</v>
      </c>
      <c r="O907" s="18">
        <v>13.5</v>
      </c>
      <c r="P907" s="18" t="s">
        <v>408</v>
      </c>
      <c r="Q907" s="16">
        <v>45043.0</v>
      </c>
      <c r="R907" s="16" t="s">
        <v>38</v>
      </c>
      <c r="S907" s="13" t="s">
        <v>55</v>
      </c>
      <c r="T907" s="13" t="s">
        <v>104</v>
      </c>
      <c r="U907" s="13">
        <f t="shared" si="1"/>
        <v>3</v>
      </c>
      <c r="V907" s="13" t="str">
        <f t="shared" si="2"/>
        <v>C01528|Sneha Reddy|58|South|Kochi|Standard|Youtube|2/10/2023|10|Annual|Debit Card|1,250|0|0|13.50|4.2|4/27/2023||Active|Analytics</v>
      </c>
      <c r="W907" s="13">
        <f t="shared" si="3"/>
        <v>1</v>
      </c>
      <c r="X907" s="13">
        <f>IFERROR(__xludf.DUMMYFUNCTION("COUNTUNIQUE(FILTER($B$2:$B$1826,$A$2:$A$1826=A907))"),3.0)</f>
        <v>3</v>
      </c>
    </row>
    <row r="908">
      <c r="A908" s="13" t="s">
        <v>1515</v>
      </c>
      <c r="B908" s="13" t="s">
        <v>398</v>
      </c>
      <c r="C908" s="14">
        <v>42.0</v>
      </c>
      <c r="D908" s="13" t="s">
        <v>35</v>
      </c>
      <c r="E908" s="13" t="s">
        <v>36</v>
      </c>
      <c r="F908" s="13" t="s">
        <v>62</v>
      </c>
      <c r="G908" s="13" t="s">
        <v>63</v>
      </c>
      <c r="H908" s="16">
        <v>44670.0</v>
      </c>
      <c r="I908" s="14">
        <v>22.0</v>
      </c>
      <c r="J908" s="13" t="s">
        <v>64</v>
      </c>
      <c r="K908" s="13" t="s">
        <v>65</v>
      </c>
      <c r="L908" s="14">
        <v>659.0</v>
      </c>
      <c r="M908" s="18" t="s">
        <v>164</v>
      </c>
      <c r="N908" s="18" t="s">
        <v>46</v>
      </c>
      <c r="O908" s="18">
        <v>27.8</v>
      </c>
      <c r="P908" s="18" t="s">
        <v>233</v>
      </c>
      <c r="Q908" s="16">
        <v>44834.0</v>
      </c>
      <c r="R908" s="16" t="s">
        <v>1516</v>
      </c>
      <c r="S908" s="13" t="s">
        <v>45</v>
      </c>
      <c r="T908" s="13" t="s">
        <v>66</v>
      </c>
      <c r="U908" s="13">
        <f t="shared" si="1"/>
        <v>1</v>
      </c>
      <c r="V908" s="13" t="str">
        <f t="shared" si="2"/>
        <v>C01385|Vikram Sharma|42|North|Delhi|Basic|Google Ads|4/19/2022|22|Annual|Credit Card|659|3|0|27.80|3.5|9/30/2022|23/12/2022|Churned|Automation</v>
      </c>
      <c r="W908" s="13">
        <f t="shared" si="3"/>
        <v>1</v>
      </c>
      <c r="X908" s="13">
        <f>IFERROR(__xludf.DUMMYFUNCTION("COUNTUNIQUE(FILTER($B$2:$B$1826,$A$2:$A$1826=A908))"),1.0)</f>
        <v>1</v>
      </c>
    </row>
    <row r="909">
      <c r="A909" s="13" t="s">
        <v>438</v>
      </c>
      <c r="B909" s="13" t="s">
        <v>476</v>
      </c>
      <c r="C909" s="14">
        <v>29.0</v>
      </c>
      <c r="D909" s="13" t="s">
        <v>85</v>
      </c>
      <c r="E909" s="13" t="s">
        <v>92</v>
      </c>
      <c r="F909" s="13" t="s">
        <v>37</v>
      </c>
      <c r="G909" s="13" t="s">
        <v>210</v>
      </c>
      <c r="H909" s="16">
        <v>45183.0</v>
      </c>
      <c r="I909" s="14">
        <v>7.0</v>
      </c>
      <c r="J909" s="13" t="s">
        <v>64</v>
      </c>
      <c r="K909" s="13" t="s">
        <v>81</v>
      </c>
      <c r="L909" s="14">
        <v>1154.0</v>
      </c>
      <c r="M909" s="18" t="s">
        <v>173</v>
      </c>
      <c r="N909" s="18" t="s">
        <v>46</v>
      </c>
      <c r="O909" s="18">
        <v>23.9</v>
      </c>
      <c r="P909" s="18" t="s">
        <v>164</v>
      </c>
      <c r="Q909" s="16">
        <v>45299.0</v>
      </c>
      <c r="R909" s="16" t="s">
        <v>1517</v>
      </c>
      <c r="S909" s="13" t="s">
        <v>45</v>
      </c>
      <c r="T909" s="13" t="s">
        <v>75</v>
      </c>
      <c r="U909" s="13">
        <f t="shared" si="1"/>
        <v>3</v>
      </c>
      <c r="V909" s="13" t="str">
        <f t="shared" si="2"/>
        <v>C00915|Ravi Das|29|West|Ahmedabad|Standard|Referral|9/14/2023|7|Annual|Debit Card|1,154|5|0|23.90|3|1/8/2024|13/11/2023|Churned|Security</v>
      </c>
      <c r="W909" s="13">
        <f t="shared" si="3"/>
        <v>1</v>
      </c>
      <c r="X909" s="13">
        <f>IFERROR(__xludf.DUMMYFUNCTION("COUNTUNIQUE(FILTER($B$2:$B$1826,$A$2:$A$1826=A909))"),3.0)</f>
        <v>3</v>
      </c>
    </row>
    <row r="910">
      <c r="A910" s="13" t="s">
        <v>1518</v>
      </c>
      <c r="B910" s="13" t="s">
        <v>734</v>
      </c>
      <c r="C910" s="14">
        <v>49.0</v>
      </c>
      <c r="D910" s="13" t="s">
        <v>35</v>
      </c>
      <c r="E910" s="13" t="s">
        <v>97</v>
      </c>
      <c r="F910" s="13" t="s">
        <v>79</v>
      </c>
      <c r="G910" s="13" t="s">
        <v>52</v>
      </c>
      <c r="H910" s="16">
        <v>44862.0</v>
      </c>
      <c r="I910" s="14">
        <v>29.0</v>
      </c>
      <c r="J910" s="13" t="s">
        <v>40</v>
      </c>
      <c r="K910" s="13" t="s">
        <v>41</v>
      </c>
      <c r="L910" s="14">
        <v>3801.0</v>
      </c>
      <c r="M910" s="18" t="s">
        <v>98</v>
      </c>
      <c r="N910" s="18" t="s">
        <v>46</v>
      </c>
      <c r="O910" s="18">
        <v>40.7</v>
      </c>
      <c r="P910" s="18" t="s">
        <v>150</v>
      </c>
      <c r="Q910" s="16">
        <v>45262.0</v>
      </c>
      <c r="R910" s="16" t="s">
        <v>38</v>
      </c>
      <c r="S910" s="13" t="s">
        <v>55</v>
      </c>
      <c r="T910" s="13" t="s">
        <v>66</v>
      </c>
      <c r="U910" s="13">
        <f t="shared" si="1"/>
        <v>1</v>
      </c>
      <c r="V910" s="13" t="str">
        <f t="shared" si="2"/>
        <v>C01434|Sneha Das|49|North|Bhubaneswar|Premium|Facebook|10/28/2022|29|Monthly|Upi|3,801|1|0|40.70|4.5|12/2/2023||Active|Automation</v>
      </c>
      <c r="W910" s="13">
        <f t="shared" si="3"/>
        <v>1</v>
      </c>
      <c r="X910" s="13">
        <f>IFERROR(__xludf.DUMMYFUNCTION("COUNTUNIQUE(FILTER($B$2:$B$1826,$A$2:$A$1826=A910))"),1.0)</f>
        <v>1</v>
      </c>
    </row>
    <row r="911">
      <c r="A911" s="13" t="s">
        <v>1519</v>
      </c>
      <c r="B911" s="13" t="s">
        <v>91</v>
      </c>
      <c r="C911" s="14">
        <v>30.0</v>
      </c>
      <c r="D911" s="13" t="s">
        <v>60</v>
      </c>
      <c r="E911" s="13" t="s">
        <v>133</v>
      </c>
      <c r="F911" s="13" t="s">
        <v>37</v>
      </c>
      <c r="G911" s="13" t="s">
        <v>39</v>
      </c>
      <c r="H911" s="16">
        <v>45478.0</v>
      </c>
      <c r="I911" s="14">
        <v>2.0</v>
      </c>
      <c r="J911" s="13" t="s">
        <v>40</v>
      </c>
      <c r="K911" s="13" t="s">
        <v>81</v>
      </c>
      <c r="L911" s="14">
        <v>1579.0</v>
      </c>
      <c r="M911" s="18" t="s">
        <v>98</v>
      </c>
      <c r="N911" s="18" t="s">
        <v>46</v>
      </c>
      <c r="O911" s="18">
        <v>25.4</v>
      </c>
      <c r="P911" s="18" t="s">
        <v>173</v>
      </c>
      <c r="Q911" s="16">
        <v>45531.0</v>
      </c>
      <c r="R911" s="16">
        <v>45543.0</v>
      </c>
      <c r="S911" s="13" t="s">
        <v>45</v>
      </c>
      <c r="T911" s="13" t="s">
        <v>72</v>
      </c>
      <c r="U911" s="13">
        <f t="shared" si="1"/>
        <v>3</v>
      </c>
      <c r="V911" s="13" t="str">
        <f t="shared" si="2"/>
        <v>C01410|Anita Sharma|30|East|Guwahati|Standard|Instagram|7/5/2024|2|Monthly|Debit Card|1,579|1|0|25.40|5|8/27/2024|9/8/2024|Churned|Collaboration</v>
      </c>
      <c r="W911" s="13">
        <f t="shared" si="3"/>
        <v>1</v>
      </c>
      <c r="X911" s="13">
        <f>IFERROR(__xludf.DUMMYFUNCTION("COUNTUNIQUE(FILTER($B$2:$B$1826,$A$2:$A$1826=A911))"),3.0)</f>
        <v>3</v>
      </c>
    </row>
    <row r="912">
      <c r="A912" s="13" t="s">
        <v>1521</v>
      </c>
      <c r="B912" s="13" t="s">
        <v>351</v>
      </c>
      <c r="C912" s="14">
        <v>20.0</v>
      </c>
      <c r="D912" s="13" t="s">
        <v>85</v>
      </c>
      <c r="E912" s="13" t="s">
        <v>111</v>
      </c>
      <c r="F912" s="13" t="s">
        <v>62</v>
      </c>
      <c r="G912" s="13" t="s">
        <v>128</v>
      </c>
      <c r="H912" s="16">
        <v>45931.0</v>
      </c>
      <c r="I912" s="14">
        <v>13.0</v>
      </c>
      <c r="J912" s="13" t="s">
        <v>64</v>
      </c>
      <c r="K912" s="13" t="s">
        <v>81</v>
      </c>
      <c r="L912" s="14">
        <v>663.0</v>
      </c>
      <c r="M912" s="18" t="s">
        <v>173</v>
      </c>
      <c r="N912" s="18" t="s">
        <v>43</v>
      </c>
      <c r="O912" s="18">
        <v>23.0</v>
      </c>
      <c r="P912" s="18" t="s">
        <v>98</v>
      </c>
      <c r="Q912" s="16">
        <v>45983.0</v>
      </c>
      <c r="R912" s="16" t="s">
        <v>1522</v>
      </c>
      <c r="S912" s="13" t="s">
        <v>45</v>
      </c>
      <c r="T912" s="13" t="s">
        <v>75</v>
      </c>
      <c r="U912" s="13">
        <f t="shared" si="1"/>
        <v>1</v>
      </c>
      <c r="V912" s="13" t="str">
        <f t="shared" si="2"/>
        <v>C01388|Meera Nair|20|West|Pune|Basic|Youtube|10/1/2025|13|Annual|Debit Card|663|5|2|23.00|1|11/22/2025|30/04/2026|Churned|Security</v>
      </c>
      <c r="W912" s="13">
        <f t="shared" si="3"/>
        <v>1</v>
      </c>
      <c r="X912" s="13">
        <f>IFERROR(__xludf.DUMMYFUNCTION("COUNTUNIQUE(FILTER($B$2:$B$1826,$A$2:$A$1826=A912))"),1.0)</f>
        <v>1</v>
      </c>
    </row>
    <row r="913">
      <c r="A913" s="13" t="s">
        <v>1523</v>
      </c>
      <c r="B913" s="13" t="s">
        <v>420</v>
      </c>
      <c r="C913" s="14">
        <v>47.0</v>
      </c>
      <c r="D913" s="13" t="s">
        <v>60</v>
      </c>
      <c r="E913" s="13" t="s">
        <v>107</v>
      </c>
      <c r="F913" s="13" t="s">
        <v>62</v>
      </c>
      <c r="G913" s="13" t="s">
        <v>210</v>
      </c>
      <c r="H913" s="16">
        <v>45627.0</v>
      </c>
      <c r="I913" s="14">
        <v>2.0</v>
      </c>
      <c r="J913" s="13" t="s">
        <v>53</v>
      </c>
      <c r="K913" s="13" t="s">
        <v>65</v>
      </c>
      <c r="L913" s="14">
        <v>584.0</v>
      </c>
      <c r="M913" s="18" t="s">
        <v>98</v>
      </c>
      <c r="N913" s="18" t="s">
        <v>98</v>
      </c>
      <c r="O913" s="18">
        <v>4.9</v>
      </c>
      <c r="P913" s="18" t="s">
        <v>263</v>
      </c>
      <c r="Q913" s="16">
        <v>45667.0</v>
      </c>
      <c r="R913" s="16" t="s">
        <v>38</v>
      </c>
      <c r="S913" s="13" t="s">
        <v>55</v>
      </c>
      <c r="T913" s="13" t="s">
        <v>104</v>
      </c>
      <c r="U913" s="13">
        <f t="shared" si="1"/>
        <v>1</v>
      </c>
      <c r="V913" s="13" t="str">
        <f t="shared" si="2"/>
        <v>C00347|Vikram Iyer|47|East|Patna|Basic|Referral|12/1/2024|2|Quarterly|Credit Card|584|1|1|4.90|2.9|1/10/2025||Active|Analytics</v>
      </c>
      <c r="W913" s="13">
        <f t="shared" si="3"/>
        <v>1</v>
      </c>
      <c r="X913" s="13">
        <f>IFERROR(__xludf.DUMMYFUNCTION("COUNTUNIQUE(FILTER($B$2:$B$1826,$A$2:$A$1826=A913))"),1.0)</f>
        <v>1</v>
      </c>
    </row>
    <row r="914">
      <c r="A914" s="13" t="s">
        <v>1524</v>
      </c>
      <c r="B914" s="13" t="s">
        <v>316</v>
      </c>
      <c r="C914" s="14">
        <v>43.0</v>
      </c>
      <c r="D914" s="13" t="s">
        <v>85</v>
      </c>
      <c r="E914" s="13" t="s">
        <v>292</v>
      </c>
      <c r="F914" s="13" t="s">
        <v>62</v>
      </c>
      <c r="G914" s="13" t="s">
        <v>63</v>
      </c>
      <c r="H914" s="16">
        <v>44829.0</v>
      </c>
      <c r="I914" s="14">
        <v>40.0</v>
      </c>
      <c r="J914" s="13" t="s">
        <v>53</v>
      </c>
      <c r="K914" s="13" t="s">
        <v>41</v>
      </c>
      <c r="L914" s="14">
        <v>792.0</v>
      </c>
      <c r="M914" s="18" t="s">
        <v>46</v>
      </c>
      <c r="N914" s="18" t="s">
        <v>46</v>
      </c>
      <c r="O914" s="18">
        <v>18.5</v>
      </c>
      <c r="P914" s="18" t="s">
        <v>263</v>
      </c>
      <c r="Q914" s="16">
        <v>45618.0</v>
      </c>
      <c r="R914" s="16" t="s">
        <v>38</v>
      </c>
      <c r="S914" s="13" t="s">
        <v>55</v>
      </c>
      <c r="T914" s="13" t="s">
        <v>72</v>
      </c>
      <c r="U914" s="13">
        <f t="shared" si="1"/>
        <v>1</v>
      </c>
      <c r="V914" s="13" t="str">
        <f t="shared" si="2"/>
        <v>C00559|Neha Nair|43|West|Mumbai|Basic|Google Ads|9/25/2022|40|Quarterly|Upi|792|0|0|18.50|2.9|11/22/2024||Active|Collaboration</v>
      </c>
      <c r="W914" s="13">
        <f t="shared" si="3"/>
        <v>1</v>
      </c>
      <c r="X914" s="13">
        <f>IFERROR(__xludf.DUMMYFUNCTION("COUNTUNIQUE(FILTER($B$2:$B$1826,$A$2:$A$1826=A914))"),1.0)</f>
        <v>1</v>
      </c>
    </row>
    <row r="915">
      <c r="A915" s="13" t="s">
        <v>178</v>
      </c>
      <c r="B915" s="13" t="s">
        <v>395</v>
      </c>
      <c r="C915" s="14">
        <v>50.0</v>
      </c>
      <c r="D915" s="13" t="s">
        <v>85</v>
      </c>
      <c r="E915" s="13" t="s">
        <v>92</v>
      </c>
      <c r="F915" s="13" t="s">
        <v>62</v>
      </c>
      <c r="G915" s="13" t="s">
        <v>80</v>
      </c>
      <c r="H915" s="16">
        <v>45431.0</v>
      </c>
      <c r="I915" s="14">
        <v>27.0</v>
      </c>
      <c r="J915" s="13" t="s">
        <v>53</v>
      </c>
      <c r="K915" s="13" t="s">
        <v>65</v>
      </c>
      <c r="L915" s="14">
        <v>566.0</v>
      </c>
      <c r="M915" s="18" t="s">
        <v>164</v>
      </c>
      <c r="N915" s="18" t="s">
        <v>46</v>
      </c>
      <c r="O915" s="18">
        <v>16.5</v>
      </c>
      <c r="P915" s="18" t="s">
        <v>108</v>
      </c>
      <c r="Q915" s="16">
        <v>45708.0</v>
      </c>
      <c r="R915" s="16" t="s">
        <v>38</v>
      </c>
      <c r="S915" s="13" t="s">
        <v>55</v>
      </c>
      <c r="T915" s="13" t="s">
        <v>104</v>
      </c>
      <c r="U915" s="13">
        <f t="shared" si="1"/>
        <v>2</v>
      </c>
      <c r="V915" s="13" t="str">
        <f t="shared" si="2"/>
        <v>C01428|Ravi Singh|50|West|Ahmedabad|Basic|Organic Search|5/19/2024|27|Quarterly|Credit Card|566|3|0|16.50|2.4|2/20/2025||Active|Analytics</v>
      </c>
      <c r="W915" s="13">
        <f t="shared" si="3"/>
        <v>1</v>
      </c>
      <c r="X915" s="13">
        <f>IFERROR(__xludf.DUMMYFUNCTION("COUNTUNIQUE(FILTER($B$2:$B$1826,$A$2:$A$1826=A915))"),2.0)</f>
        <v>2</v>
      </c>
    </row>
    <row r="916">
      <c r="A916" s="13" t="s">
        <v>1525</v>
      </c>
      <c r="B916" s="13" t="s">
        <v>336</v>
      </c>
      <c r="C916" s="14">
        <v>55.0</v>
      </c>
      <c r="D916" s="13" t="s">
        <v>35</v>
      </c>
      <c r="E916" s="13" t="s">
        <v>161</v>
      </c>
      <c r="F916" s="13" t="s">
        <v>79</v>
      </c>
      <c r="G916" s="13" t="s">
        <v>63</v>
      </c>
      <c r="H916" s="16">
        <v>44609.0</v>
      </c>
      <c r="I916" s="14">
        <v>9.0</v>
      </c>
      <c r="J916" s="13" t="s">
        <v>40</v>
      </c>
      <c r="K916" s="13" t="s">
        <v>41</v>
      </c>
      <c r="L916" s="14">
        <v>2151.0</v>
      </c>
      <c r="M916" s="18" t="s">
        <v>46</v>
      </c>
      <c r="N916" s="18" t="s">
        <v>46</v>
      </c>
      <c r="O916" s="18">
        <v>46.6</v>
      </c>
      <c r="P916" s="18" t="s">
        <v>310</v>
      </c>
      <c r="Q916" s="16">
        <v>44709.0</v>
      </c>
      <c r="R916" s="16" t="s">
        <v>1526</v>
      </c>
      <c r="S916" s="13" t="s">
        <v>45</v>
      </c>
      <c r="T916" s="13" t="s">
        <v>104</v>
      </c>
      <c r="U916" s="13">
        <f t="shared" si="1"/>
        <v>2</v>
      </c>
      <c r="V916" s="13" t="str">
        <f t="shared" si="2"/>
        <v>C00922|Priya Patel|55|North|Chandigarh|Premium|Google Ads|2/17/2022|9|Monthly|Upi|2,151|0|0|46.60|3.1|5/28/2022|26/09/2022|Churned|Analytics</v>
      </c>
      <c r="W916" s="13">
        <f t="shared" si="3"/>
        <v>1</v>
      </c>
      <c r="X916" s="13">
        <f>IFERROR(__xludf.DUMMYFUNCTION("COUNTUNIQUE(FILTER($B$2:$B$1826,$A$2:$A$1826=A916))"),2.0)</f>
        <v>2</v>
      </c>
    </row>
    <row r="917">
      <c r="A917" s="13" t="s">
        <v>1187</v>
      </c>
      <c r="B917" s="13" t="s">
        <v>325</v>
      </c>
      <c r="C917" s="14">
        <v>22.0</v>
      </c>
      <c r="D917" s="13" t="s">
        <v>35</v>
      </c>
      <c r="E917" s="13" t="s">
        <v>161</v>
      </c>
      <c r="F917" s="13" t="s">
        <v>79</v>
      </c>
      <c r="G917" s="13" t="s">
        <v>80</v>
      </c>
      <c r="H917" s="16">
        <v>44706.0</v>
      </c>
      <c r="I917" s="14">
        <v>10.0</v>
      </c>
      <c r="J917" s="13" t="s">
        <v>64</v>
      </c>
      <c r="K917" s="13" t="s">
        <v>41</v>
      </c>
      <c r="L917" s="14">
        <v>3787.0</v>
      </c>
      <c r="M917" s="18" t="s">
        <v>46</v>
      </c>
      <c r="N917" s="18" t="s">
        <v>46</v>
      </c>
      <c r="O917" s="18">
        <v>37.1</v>
      </c>
      <c r="P917" s="18" t="s">
        <v>173</v>
      </c>
      <c r="Q917" s="16">
        <v>44885.0</v>
      </c>
      <c r="R917" s="16" t="s">
        <v>38</v>
      </c>
      <c r="S917" s="13" t="s">
        <v>55</v>
      </c>
      <c r="T917" s="13" t="s">
        <v>47</v>
      </c>
      <c r="U917" s="13">
        <f t="shared" si="1"/>
        <v>2</v>
      </c>
      <c r="V917" s="13" t="str">
        <f t="shared" si="2"/>
        <v>C00020|Priya Sharma|22|North|Chandigarh|Premium|Organic Search|5/25/2022|10|Annual|Upi|3,787|0|0|37.10|5|11/20/2022||Active|Cloud Storage</v>
      </c>
      <c r="W917" s="13">
        <f t="shared" si="3"/>
        <v>1</v>
      </c>
      <c r="X917" s="13">
        <f>IFERROR(__xludf.DUMMYFUNCTION("COUNTUNIQUE(FILTER($B$2:$B$1826,$A$2:$A$1826=A917))"),2.0)</f>
        <v>2</v>
      </c>
    </row>
    <row r="918">
      <c r="A918" s="13" t="s">
        <v>1514</v>
      </c>
      <c r="B918" s="13" t="s">
        <v>411</v>
      </c>
      <c r="C918" s="14">
        <v>59.0</v>
      </c>
      <c r="D918" s="13" t="s">
        <v>35</v>
      </c>
      <c r="E918" s="13" t="s">
        <v>51</v>
      </c>
      <c r="F918" s="13" t="s">
        <v>62</v>
      </c>
      <c r="G918" s="13" t="s">
        <v>63</v>
      </c>
      <c r="H918" s="16">
        <v>44569.0</v>
      </c>
      <c r="I918" s="14">
        <v>28.0</v>
      </c>
      <c r="J918" s="13" t="s">
        <v>64</v>
      </c>
      <c r="K918" s="13" t="s">
        <v>41</v>
      </c>
      <c r="L918" s="14">
        <v>618.0</v>
      </c>
      <c r="M918" s="18" t="s">
        <v>164</v>
      </c>
      <c r="N918" s="18" t="s">
        <v>98</v>
      </c>
      <c r="O918" s="18">
        <v>16.7</v>
      </c>
      <c r="P918" s="18" t="s">
        <v>173</v>
      </c>
      <c r="Q918" s="16">
        <v>45313.0</v>
      </c>
      <c r="R918" s="16" t="s">
        <v>1527</v>
      </c>
      <c r="S918" s="13" t="s">
        <v>45</v>
      </c>
      <c r="T918" s="13" t="s">
        <v>75</v>
      </c>
      <c r="U918" s="13">
        <f t="shared" si="1"/>
        <v>3</v>
      </c>
      <c r="V918" s="13" t="str">
        <f t="shared" si="2"/>
        <v>C01528|Karan Reddy|59|North|Jaipur|Basic|Google Ads|1/8/2022|28|Annual|Upi|618|3|1|16.70|5|1/22/2024|29/04/2022|Churned|Security</v>
      </c>
      <c r="W918" s="13">
        <f t="shared" si="3"/>
        <v>1</v>
      </c>
      <c r="X918" s="13">
        <f>IFERROR(__xludf.DUMMYFUNCTION("COUNTUNIQUE(FILTER($B$2:$B$1826,$A$2:$A$1826=A918))"),3.0)</f>
        <v>3</v>
      </c>
    </row>
    <row r="919">
      <c r="A919" s="13" t="s">
        <v>1528</v>
      </c>
      <c r="B919" s="13" t="s">
        <v>336</v>
      </c>
      <c r="C919" s="14">
        <v>31.0</v>
      </c>
      <c r="D919" s="13" t="s">
        <v>85</v>
      </c>
      <c r="E919" s="13" t="s">
        <v>111</v>
      </c>
      <c r="F919" s="13" t="s">
        <v>79</v>
      </c>
      <c r="G919" s="13" t="s">
        <v>52</v>
      </c>
      <c r="H919" s="16">
        <v>45946.0</v>
      </c>
      <c r="I919" s="14">
        <v>38.0</v>
      </c>
      <c r="J919" s="13" t="s">
        <v>53</v>
      </c>
      <c r="K919" s="13" t="s">
        <v>41</v>
      </c>
      <c r="L919" s="14">
        <v>1452.0</v>
      </c>
      <c r="M919" s="18" t="s">
        <v>43</v>
      </c>
      <c r="N919" s="18" t="s">
        <v>164</v>
      </c>
      <c r="O919" s="18">
        <v>33.3</v>
      </c>
      <c r="P919" s="18" t="s">
        <v>449</v>
      </c>
      <c r="Q919" s="16" t="s">
        <v>38</v>
      </c>
      <c r="R919" s="16" t="s">
        <v>1529</v>
      </c>
      <c r="S919" s="13" t="s">
        <v>45</v>
      </c>
      <c r="T919" s="13" t="s">
        <v>66</v>
      </c>
      <c r="U919" s="13">
        <f t="shared" si="1"/>
        <v>2</v>
      </c>
      <c r="V919" s="13" t="str">
        <f t="shared" si="2"/>
        <v>C00405|Priya Patel|31|West|Pune|Premium|Facebook|10/16/2025|38|Quarterly|Upi|1,452|2|3|33.30|2.7||27/11/2025|Churned|Automation</v>
      </c>
      <c r="W919" s="13">
        <f t="shared" si="3"/>
        <v>1</v>
      </c>
      <c r="X919" s="13">
        <f>IFERROR(__xludf.DUMMYFUNCTION("COUNTUNIQUE(FILTER($B$2:$B$1826,$A$2:$A$1826=A919))"),2.0)</f>
        <v>2</v>
      </c>
    </row>
    <row r="920">
      <c r="A920" s="13" t="s">
        <v>1530</v>
      </c>
      <c r="B920" s="13" t="s">
        <v>232</v>
      </c>
      <c r="C920" s="14">
        <v>57.0</v>
      </c>
      <c r="D920" s="13" t="s">
        <v>69</v>
      </c>
      <c r="E920" s="13" t="s">
        <v>70</v>
      </c>
      <c r="F920" s="13" t="s">
        <v>37</v>
      </c>
      <c r="G920" s="13" t="s">
        <v>63</v>
      </c>
      <c r="H920" s="16">
        <v>44947.0</v>
      </c>
      <c r="I920" s="14">
        <v>12.0</v>
      </c>
      <c r="J920" s="13" t="s">
        <v>53</v>
      </c>
      <c r="K920" s="13" t="s">
        <v>81</v>
      </c>
      <c r="L920" s="14">
        <v>1232.0</v>
      </c>
      <c r="M920" s="18" t="s">
        <v>164</v>
      </c>
      <c r="N920" s="18" t="s">
        <v>46</v>
      </c>
      <c r="O920" s="18">
        <v>38.8</v>
      </c>
      <c r="P920" s="18" t="s">
        <v>285</v>
      </c>
      <c r="Q920" s="16">
        <v>45159.0</v>
      </c>
      <c r="R920" s="16">
        <v>45597.0</v>
      </c>
      <c r="S920" s="13" t="s">
        <v>45</v>
      </c>
      <c r="T920" s="13" t="s">
        <v>72</v>
      </c>
      <c r="U920" s="13">
        <f t="shared" si="1"/>
        <v>3</v>
      </c>
      <c r="V920" s="13" t="str">
        <f t="shared" si="2"/>
        <v>C01179|Meera Iyer|57|South|Bengaluru|Standard|Google Ads|1/21/2023|12|Quarterly|Debit Card|1,232|3|0|38.80|2.3|8/21/2023|11/1/2024|Churned|Collaboration</v>
      </c>
      <c r="W920" s="13">
        <f t="shared" si="3"/>
        <v>1</v>
      </c>
      <c r="X920" s="13">
        <f>IFERROR(__xludf.DUMMYFUNCTION("COUNTUNIQUE(FILTER($B$2:$B$1826,$A$2:$A$1826=A920))"),3.0)</f>
        <v>3</v>
      </c>
    </row>
    <row r="921">
      <c r="A921" s="13" t="s">
        <v>1332</v>
      </c>
      <c r="B921" s="13" t="s">
        <v>303</v>
      </c>
      <c r="C921" s="14">
        <v>23.0</v>
      </c>
      <c r="D921" s="13" t="s">
        <v>85</v>
      </c>
      <c r="E921" s="13" t="s">
        <v>92</v>
      </c>
      <c r="F921" s="13" t="s">
        <v>37</v>
      </c>
      <c r="G921" s="13" t="s">
        <v>52</v>
      </c>
      <c r="H921" s="16">
        <v>45055.0</v>
      </c>
      <c r="I921" s="14">
        <v>34.0</v>
      </c>
      <c r="J921" s="13" t="s">
        <v>53</v>
      </c>
      <c r="K921" s="13" t="s">
        <v>65</v>
      </c>
      <c r="L921" s="14">
        <v>1256.0</v>
      </c>
      <c r="M921" s="18" t="s">
        <v>43</v>
      </c>
      <c r="N921" s="18" t="s">
        <v>46</v>
      </c>
      <c r="O921" s="18">
        <v>25.2</v>
      </c>
      <c r="P921" s="18" t="s">
        <v>456</v>
      </c>
      <c r="Q921" s="16">
        <v>45395.0</v>
      </c>
      <c r="R921" s="16" t="s">
        <v>38</v>
      </c>
      <c r="S921" s="13" t="s">
        <v>55</v>
      </c>
      <c r="T921" s="13" t="s">
        <v>104</v>
      </c>
      <c r="U921" s="13">
        <f t="shared" si="1"/>
        <v>2</v>
      </c>
      <c r="V921" s="13" t="str">
        <f t="shared" si="2"/>
        <v>C00447|Priya Kumar|23|West|Ahmedabad|Standard|Facebook|5/9/2023|34|Quarterly|Credit Card|1,256|2|0|25.20|2.5|4/13/2024||Active|Analytics</v>
      </c>
      <c r="W921" s="13">
        <f t="shared" si="3"/>
        <v>1</v>
      </c>
      <c r="X921" s="13">
        <f>IFERROR(__xludf.DUMMYFUNCTION("COUNTUNIQUE(FILTER($B$2:$B$1826,$A$2:$A$1826=A921))"),2.0)</f>
        <v>2</v>
      </c>
    </row>
    <row r="922">
      <c r="A922" s="13" t="s">
        <v>466</v>
      </c>
      <c r="B922" s="13" t="s">
        <v>91</v>
      </c>
      <c r="C922" s="14">
        <v>55.0</v>
      </c>
      <c r="D922" s="13" t="s">
        <v>85</v>
      </c>
      <c r="E922" s="13" t="s">
        <v>292</v>
      </c>
      <c r="F922" s="13" t="s">
        <v>37</v>
      </c>
      <c r="G922" s="13" t="s">
        <v>52</v>
      </c>
      <c r="H922" s="16">
        <v>45475.0</v>
      </c>
      <c r="I922" s="14">
        <v>1.0</v>
      </c>
      <c r="J922" s="13" t="s">
        <v>64</v>
      </c>
      <c r="K922" s="13" t="s">
        <v>81</v>
      </c>
      <c r="L922" s="14">
        <v>1089.0</v>
      </c>
      <c r="M922" s="18" t="s">
        <v>164</v>
      </c>
      <c r="N922" s="18" t="s">
        <v>43</v>
      </c>
      <c r="O922" s="18">
        <v>36.7</v>
      </c>
      <c r="P922" s="18" t="s">
        <v>108</v>
      </c>
      <c r="Q922" s="16">
        <v>45522.0</v>
      </c>
      <c r="R922" s="16" t="s">
        <v>1531</v>
      </c>
      <c r="S922" s="13" t="s">
        <v>45</v>
      </c>
      <c r="T922" s="13" t="s">
        <v>72</v>
      </c>
      <c r="U922" s="13">
        <f t="shared" si="1"/>
        <v>3</v>
      </c>
      <c r="V922" s="13" t="str">
        <f t="shared" si="2"/>
        <v>C01270|Anita Sharma|55|West|Mumbai|Standard|Facebook|7/2/2024|1|Annual|Debit Card|1,089|3|2|36.70|2.4|8/18/2024|25/08/2024|Churned|Collaboration</v>
      </c>
      <c r="W922" s="13">
        <f t="shared" si="3"/>
        <v>1</v>
      </c>
      <c r="X922" s="13">
        <f>IFERROR(__xludf.DUMMYFUNCTION("COUNTUNIQUE(FILTER($B$2:$B$1826,$A$2:$A$1826=A922))"),3.0)</f>
        <v>3</v>
      </c>
    </row>
    <row r="923">
      <c r="A923" s="13" t="s">
        <v>223</v>
      </c>
      <c r="B923" s="13" t="s">
        <v>96</v>
      </c>
      <c r="C923" s="14">
        <v>63.0</v>
      </c>
      <c r="D923" s="13" t="s">
        <v>60</v>
      </c>
      <c r="E923" s="13" t="s">
        <v>133</v>
      </c>
      <c r="F923" s="13" t="s">
        <v>62</v>
      </c>
      <c r="G923" s="13" t="s">
        <v>210</v>
      </c>
      <c r="H923" s="16">
        <v>45563.0</v>
      </c>
      <c r="I923" s="14">
        <v>21.0</v>
      </c>
      <c r="J923" s="13" t="s">
        <v>53</v>
      </c>
      <c r="K923" s="13" t="s">
        <v>65</v>
      </c>
      <c r="L923" s="14">
        <v>880.0</v>
      </c>
      <c r="M923" s="18" t="s">
        <v>98</v>
      </c>
      <c r="N923" s="18" t="s">
        <v>43</v>
      </c>
      <c r="O923" s="18">
        <v>2.9</v>
      </c>
      <c r="P923" s="18" t="s">
        <v>99</v>
      </c>
      <c r="Q923" s="16">
        <v>46174.0</v>
      </c>
      <c r="R923" s="16" t="s">
        <v>38</v>
      </c>
      <c r="S923" s="13" t="s">
        <v>55</v>
      </c>
      <c r="T923" s="13" t="s">
        <v>75</v>
      </c>
      <c r="U923" s="13">
        <f t="shared" si="1"/>
        <v>2</v>
      </c>
      <c r="V923" s="13" t="str">
        <f t="shared" si="2"/>
        <v>C00924|Rahul Kumar|63|East|Guwahati|Basic|Referral|9/28/2024|21|Quarterly|Credit Card|880|1|2|2.90|4|6/1/2026||Active|Security</v>
      </c>
      <c r="W923" s="13">
        <f t="shared" si="3"/>
        <v>1</v>
      </c>
      <c r="X923" s="13">
        <f>IFERROR(__xludf.DUMMYFUNCTION("COUNTUNIQUE(FILTER($B$2:$B$1826,$A$2:$A$1826=A923))"),2.0)</f>
        <v>2</v>
      </c>
    </row>
    <row r="924">
      <c r="A924" s="13" t="s">
        <v>1532</v>
      </c>
      <c r="B924" s="13" t="s">
        <v>405</v>
      </c>
      <c r="C924" s="14">
        <v>43.0</v>
      </c>
      <c r="D924" s="13" t="s">
        <v>60</v>
      </c>
      <c r="E924" s="13" t="s">
        <v>133</v>
      </c>
      <c r="F924" s="13" t="s">
        <v>37</v>
      </c>
      <c r="G924" s="13" t="s">
        <v>120</v>
      </c>
      <c r="H924" s="16">
        <v>45488.0</v>
      </c>
      <c r="I924" s="14">
        <v>10.0</v>
      </c>
      <c r="J924" s="13" t="s">
        <v>64</v>
      </c>
      <c r="K924" s="13" t="s">
        <v>65</v>
      </c>
      <c r="L924" s="14">
        <v>1393.0</v>
      </c>
      <c r="M924" s="18" t="s">
        <v>43</v>
      </c>
      <c r="N924" s="18" t="s">
        <v>46</v>
      </c>
      <c r="O924" s="18">
        <v>29.7</v>
      </c>
      <c r="P924" s="18" t="s">
        <v>164</v>
      </c>
      <c r="Q924" s="16">
        <v>45510.0</v>
      </c>
      <c r="R924" s="16" t="s">
        <v>38</v>
      </c>
      <c r="S924" s="13" t="s">
        <v>55</v>
      </c>
      <c r="T924" s="13" t="s">
        <v>75</v>
      </c>
      <c r="U924" s="13">
        <f t="shared" si="1"/>
        <v>2</v>
      </c>
      <c r="V924" s="13" t="str">
        <f t="shared" si="2"/>
        <v>C00946|Rahul Reddy|43|East|Guwahati|Standard|Email|7/15/2024|10|Annual|Credit Card|1,393|2|0|29.70|3|8/6/2024||Active|Security</v>
      </c>
      <c r="W924" s="13">
        <f t="shared" si="3"/>
        <v>1</v>
      </c>
      <c r="X924" s="13">
        <f>IFERROR(__xludf.DUMMYFUNCTION("COUNTUNIQUE(FILTER($B$2:$B$1826,$A$2:$A$1826=A924))"),2.0)</f>
        <v>2</v>
      </c>
    </row>
    <row r="925">
      <c r="A925" s="13" t="s">
        <v>1533</v>
      </c>
      <c r="B925" s="13" t="s">
        <v>118</v>
      </c>
      <c r="C925" s="14">
        <v>28.0</v>
      </c>
      <c r="D925" s="13" t="s">
        <v>35</v>
      </c>
      <c r="E925" s="13" t="s">
        <v>140</v>
      </c>
      <c r="F925" s="13" t="s">
        <v>37</v>
      </c>
      <c r="G925" s="13" t="s">
        <v>52</v>
      </c>
      <c r="H925" s="16">
        <v>44915.0</v>
      </c>
      <c r="I925" s="14">
        <v>10.0</v>
      </c>
      <c r="J925" s="13" t="s">
        <v>53</v>
      </c>
      <c r="K925" s="13" t="s">
        <v>65</v>
      </c>
      <c r="L925" s="14">
        <v>1221.0</v>
      </c>
      <c r="M925" s="18" t="s">
        <v>43</v>
      </c>
      <c r="N925" s="18" t="s">
        <v>46</v>
      </c>
      <c r="O925" s="18">
        <v>32.7</v>
      </c>
      <c r="P925" s="18" t="s">
        <v>310</v>
      </c>
      <c r="Q925" s="16">
        <v>44933.0</v>
      </c>
      <c r="R925" s="16" t="s">
        <v>38</v>
      </c>
      <c r="S925" s="13" t="s">
        <v>55</v>
      </c>
      <c r="T925" s="13" t="s">
        <v>47</v>
      </c>
      <c r="U925" s="13">
        <f t="shared" si="1"/>
        <v>1</v>
      </c>
      <c r="V925" s="13" t="str">
        <f t="shared" si="2"/>
        <v>C00749|Karan Nair|28|North|Lucknow|Standard|Facebook|12/20/2022|10|Quarterly|Credit Card|1,221|2|0|32.70|3.1|1/7/2023||Active|Cloud Storage</v>
      </c>
      <c r="W925" s="13">
        <f t="shared" si="3"/>
        <v>1</v>
      </c>
      <c r="X925" s="13">
        <f>IFERROR(__xludf.DUMMYFUNCTION("COUNTUNIQUE(FILTER($B$2:$B$1826,$A$2:$A$1826=A925))"),1.0)</f>
        <v>1</v>
      </c>
    </row>
    <row r="926">
      <c r="A926" s="13" t="s">
        <v>828</v>
      </c>
      <c r="B926" s="13" t="s">
        <v>393</v>
      </c>
      <c r="C926" s="14">
        <v>29.0</v>
      </c>
      <c r="D926" s="13" t="s">
        <v>85</v>
      </c>
      <c r="E926" s="13" t="s">
        <v>87</v>
      </c>
      <c r="F926" s="13" t="s">
        <v>62</v>
      </c>
      <c r="G926" s="13" t="s">
        <v>128</v>
      </c>
      <c r="H926" s="16">
        <v>45687.0</v>
      </c>
      <c r="I926" s="14">
        <v>18.0</v>
      </c>
      <c r="J926" s="13" t="s">
        <v>53</v>
      </c>
      <c r="K926" s="13" t="s">
        <v>81</v>
      </c>
      <c r="L926" s="14">
        <v>748.0</v>
      </c>
      <c r="M926" s="18" t="s">
        <v>43</v>
      </c>
      <c r="N926" s="18" t="s">
        <v>46</v>
      </c>
      <c r="O926" s="18">
        <v>23.5</v>
      </c>
      <c r="P926" s="18" t="s">
        <v>203</v>
      </c>
      <c r="Q926" s="16">
        <v>46208.0</v>
      </c>
      <c r="R926" s="16" t="s">
        <v>38</v>
      </c>
      <c r="S926" s="13" t="s">
        <v>55</v>
      </c>
      <c r="T926" s="13" t="s">
        <v>104</v>
      </c>
      <c r="U926" s="13">
        <f t="shared" si="1"/>
        <v>4</v>
      </c>
      <c r="V926" s="13" t="str">
        <f t="shared" si="2"/>
        <v>C00045|Karan Das|29|West|Surat|Basic|Youtube|1/30/2025|18|Quarterly|Debit Card|748|2|0|23.50|3.7|7/5/2026||Active|Analytics</v>
      </c>
      <c r="W926" s="13">
        <f t="shared" si="3"/>
        <v>1</v>
      </c>
      <c r="X926" s="13">
        <f>IFERROR(__xludf.DUMMYFUNCTION("COUNTUNIQUE(FILTER($B$2:$B$1826,$A$2:$A$1826=A926))"),4.0)</f>
        <v>4</v>
      </c>
    </row>
    <row r="927">
      <c r="A927" s="13" t="s">
        <v>769</v>
      </c>
      <c r="B927" s="13" t="s">
        <v>333</v>
      </c>
      <c r="C927" s="14">
        <v>50.0</v>
      </c>
      <c r="D927" s="13" t="s">
        <v>35</v>
      </c>
      <c r="E927" s="13" t="s">
        <v>36</v>
      </c>
      <c r="F927" s="13" t="s">
        <v>79</v>
      </c>
      <c r="G927" s="13" t="s">
        <v>52</v>
      </c>
      <c r="H927" s="16">
        <v>45538.0</v>
      </c>
      <c r="I927" s="14">
        <v>39.0</v>
      </c>
      <c r="J927" s="13" t="s">
        <v>40</v>
      </c>
      <c r="K927" s="13" t="s">
        <v>65</v>
      </c>
      <c r="L927" s="14">
        <v>3930.0</v>
      </c>
      <c r="M927" s="18" t="s">
        <v>173</v>
      </c>
      <c r="N927" s="18" t="s">
        <v>46</v>
      </c>
      <c r="O927" s="18">
        <v>13.4</v>
      </c>
      <c r="P927" s="18" t="s">
        <v>76</v>
      </c>
      <c r="Q927" s="16">
        <v>46560.0</v>
      </c>
      <c r="R927" s="16" t="s">
        <v>38</v>
      </c>
      <c r="S927" s="13" t="s">
        <v>55</v>
      </c>
      <c r="T927" s="13" t="s">
        <v>47</v>
      </c>
      <c r="U927" s="13">
        <f t="shared" si="1"/>
        <v>2</v>
      </c>
      <c r="V927" s="13" t="str">
        <f t="shared" si="2"/>
        <v>C00724|Neha Das|50|North|Delhi|Premium|Facebook|9/3/2024|39|Monthly|Credit Card|3,930|5|0|13.40|4.4|6/22/2027||Active|Cloud Storage</v>
      </c>
      <c r="W927" s="13">
        <f t="shared" si="3"/>
        <v>1</v>
      </c>
      <c r="X927" s="13">
        <f>IFERROR(__xludf.DUMMYFUNCTION("COUNTUNIQUE(FILTER($B$2:$B$1826,$A$2:$A$1826=A927))"),2.0)</f>
        <v>2</v>
      </c>
    </row>
    <row r="928">
      <c r="A928" s="13" t="s">
        <v>1534</v>
      </c>
      <c r="B928" s="13" t="s">
        <v>229</v>
      </c>
      <c r="C928" s="14">
        <v>23.0</v>
      </c>
      <c r="D928" s="13" t="s">
        <v>60</v>
      </c>
      <c r="E928" s="13" t="s">
        <v>133</v>
      </c>
      <c r="F928" s="13" t="s">
        <v>79</v>
      </c>
      <c r="G928" s="13" t="s">
        <v>80</v>
      </c>
      <c r="H928" s="16">
        <v>44827.0</v>
      </c>
      <c r="I928" s="14">
        <v>34.0</v>
      </c>
      <c r="J928" s="13" t="s">
        <v>40</v>
      </c>
      <c r="K928" s="13" t="s">
        <v>65</v>
      </c>
      <c r="L928" s="14">
        <v>1381.0</v>
      </c>
      <c r="M928" s="18" t="s">
        <v>98</v>
      </c>
      <c r="N928" s="18" t="s">
        <v>46</v>
      </c>
      <c r="O928" s="18">
        <v>21.8</v>
      </c>
      <c r="P928" s="18" t="s">
        <v>143</v>
      </c>
      <c r="Q928" s="16">
        <v>45099.0</v>
      </c>
      <c r="R928" s="16" t="s">
        <v>38</v>
      </c>
      <c r="S928" s="13" t="s">
        <v>55</v>
      </c>
      <c r="T928" s="13" t="s">
        <v>72</v>
      </c>
      <c r="U928" s="13">
        <f t="shared" si="1"/>
        <v>1</v>
      </c>
      <c r="V928" s="13" t="str">
        <f t="shared" si="2"/>
        <v>C00694|Anita Nair|23|East|Guwahati|Premium|Organic Search|9/23/2022|34|Monthly|Credit Card|1,381|1|0|21.80|2.1|6/22/2023||Active|Collaboration</v>
      </c>
      <c r="W928" s="13">
        <f t="shared" si="3"/>
        <v>1</v>
      </c>
      <c r="X928" s="13">
        <f>IFERROR(__xludf.DUMMYFUNCTION("COUNTUNIQUE(FILTER($B$2:$B$1826,$A$2:$A$1826=A928))"),1.0)</f>
        <v>1</v>
      </c>
    </row>
    <row r="929">
      <c r="A929" s="13" t="s">
        <v>1535</v>
      </c>
      <c r="B929" s="13" t="s">
        <v>448</v>
      </c>
      <c r="C929" s="14">
        <v>63.0</v>
      </c>
      <c r="D929" s="13" t="s">
        <v>69</v>
      </c>
      <c r="E929" s="13" t="s">
        <v>187</v>
      </c>
      <c r="F929" s="13" t="s">
        <v>79</v>
      </c>
      <c r="G929" s="13" t="s">
        <v>52</v>
      </c>
      <c r="H929" s="16">
        <v>45040.0</v>
      </c>
      <c r="I929" s="14">
        <v>21.0</v>
      </c>
      <c r="J929" s="13" t="s">
        <v>40</v>
      </c>
      <c r="K929" s="13" t="s">
        <v>41</v>
      </c>
      <c r="L929" s="14">
        <v>3135.0</v>
      </c>
      <c r="M929" s="18" t="s">
        <v>46</v>
      </c>
      <c r="N929" s="18" t="s">
        <v>46</v>
      </c>
      <c r="O929" s="18">
        <v>27.5</v>
      </c>
      <c r="P929" s="18" t="s">
        <v>76</v>
      </c>
      <c r="Q929" s="16">
        <v>45398.0</v>
      </c>
      <c r="R929" s="16" t="s">
        <v>38</v>
      </c>
      <c r="S929" s="13" t="s">
        <v>55</v>
      </c>
      <c r="T929" s="13" t="s">
        <v>72</v>
      </c>
      <c r="U929" s="13">
        <f t="shared" si="1"/>
        <v>1</v>
      </c>
      <c r="V929" s="13" t="str">
        <f t="shared" si="2"/>
        <v>C00855|Meera Reddy|63|South|Chennai|Premium|Facebook|4/24/2023|21|Monthly|Upi|3,135|0|0|27.50|4.4|4/16/2024||Active|Collaboration</v>
      </c>
      <c r="W929" s="13">
        <f t="shared" si="3"/>
        <v>1</v>
      </c>
      <c r="X929" s="13">
        <f>IFERROR(__xludf.DUMMYFUNCTION("COUNTUNIQUE(FILTER($B$2:$B$1826,$A$2:$A$1826=A929))"),1.0)</f>
        <v>1</v>
      </c>
    </row>
    <row r="930">
      <c r="A930" s="13" t="s">
        <v>1536</v>
      </c>
      <c r="B930" s="13" t="s">
        <v>206</v>
      </c>
      <c r="C930" s="14">
        <v>58.0</v>
      </c>
      <c r="D930" s="13" t="s">
        <v>69</v>
      </c>
      <c r="E930" s="13" t="s">
        <v>187</v>
      </c>
      <c r="F930" s="13" t="s">
        <v>37</v>
      </c>
      <c r="G930" s="13" t="s">
        <v>39</v>
      </c>
      <c r="H930" s="16">
        <v>45562.0</v>
      </c>
      <c r="I930" s="14">
        <v>37.0</v>
      </c>
      <c r="J930" s="13" t="s">
        <v>53</v>
      </c>
      <c r="K930" s="13" t="s">
        <v>41</v>
      </c>
      <c r="L930" s="14">
        <v>1319.0</v>
      </c>
      <c r="M930" s="18" t="s">
        <v>164</v>
      </c>
      <c r="N930" s="18" t="s">
        <v>46</v>
      </c>
      <c r="O930" s="18">
        <v>31.3</v>
      </c>
      <c r="P930" s="18" t="s">
        <v>99</v>
      </c>
      <c r="Q930" s="16">
        <v>45767.0</v>
      </c>
      <c r="R930" s="16" t="s">
        <v>38</v>
      </c>
      <c r="S930" s="13" t="s">
        <v>55</v>
      </c>
      <c r="T930" s="13" t="s">
        <v>66</v>
      </c>
      <c r="U930" s="13">
        <f t="shared" si="1"/>
        <v>1</v>
      </c>
      <c r="V930" s="13" t="str">
        <f t="shared" si="2"/>
        <v>C01296|Karan Patel|58|South|Chennai|Standard|Instagram|9/27/2024|37|Quarterly|Upi|1,319|3|0|31.30|4|4/20/2025||Active|Automation</v>
      </c>
      <c r="W930" s="13">
        <f t="shared" si="3"/>
        <v>1</v>
      </c>
      <c r="X930" s="13">
        <f>IFERROR(__xludf.DUMMYFUNCTION("COUNTUNIQUE(FILTER($B$2:$B$1826,$A$2:$A$1826=A930))"),1.0)</f>
        <v>1</v>
      </c>
    </row>
    <row r="931">
      <c r="A931" s="13" t="s">
        <v>1537</v>
      </c>
      <c r="B931" s="13" t="s">
        <v>362</v>
      </c>
      <c r="C931" s="14">
        <v>59.0</v>
      </c>
      <c r="D931" s="13" t="s">
        <v>85</v>
      </c>
      <c r="E931" s="13" t="s">
        <v>92</v>
      </c>
      <c r="F931" s="13" t="s">
        <v>62</v>
      </c>
      <c r="G931" s="13" t="s">
        <v>120</v>
      </c>
      <c r="H931" s="16">
        <v>44957.0</v>
      </c>
      <c r="I931" s="14">
        <v>18.0</v>
      </c>
      <c r="J931" s="13" t="s">
        <v>40</v>
      </c>
      <c r="K931" s="13" t="s">
        <v>65</v>
      </c>
      <c r="L931" s="14">
        <v>685.0</v>
      </c>
      <c r="M931" s="18" t="s">
        <v>164</v>
      </c>
      <c r="N931" s="18" t="s">
        <v>98</v>
      </c>
      <c r="O931" s="18">
        <v>11.2</v>
      </c>
      <c r="P931" s="18" t="s">
        <v>185</v>
      </c>
      <c r="Q931" s="16">
        <v>45452.0</v>
      </c>
      <c r="R931" s="16" t="s">
        <v>38</v>
      </c>
      <c r="S931" s="13" t="s">
        <v>55</v>
      </c>
      <c r="T931" s="13" t="s">
        <v>72</v>
      </c>
      <c r="U931" s="13">
        <f t="shared" si="1"/>
        <v>3</v>
      </c>
      <c r="V931" s="13" t="str">
        <f t="shared" si="2"/>
        <v>C01006|Neha Singh|59|West|Ahmedabad|Basic|Email|1/31/2023|18|Monthly|Credit Card|685|3|1|11.20|3.2|6/9/2024||Active|Collaboration</v>
      </c>
      <c r="W931" s="13">
        <f t="shared" si="3"/>
        <v>1</v>
      </c>
      <c r="X931" s="13">
        <f>IFERROR(__xludf.DUMMYFUNCTION("COUNTUNIQUE(FILTER($B$2:$B$1826,$A$2:$A$1826=A931))"),3.0)</f>
        <v>3</v>
      </c>
    </row>
    <row r="932">
      <c r="A932" s="13" t="s">
        <v>245</v>
      </c>
      <c r="B932" s="13" t="s">
        <v>340</v>
      </c>
      <c r="C932" s="14">
        <v>37.0</v>
      </c>
      <c r="D932" s="13" t="s">
        <v>85</v>
      </c>
      <c r="E932" s="13" t="s">
        <v>111</v>
      </c>
      <c r="F932" s="13" t="s">
        <v>37</v>
      </c>
      <c r="G932" s="13" t="s">
        <v>210</v>
      </c>
      <c r="H932" s="16">
        <v>45554.0</v>
      </c>
      <c r="I932" s="14">
        <v>21.0</v>
      </c>
      <c r="J932" s="13" t="s">
        <v>64</v>
      </c>
      <c r="K932" s="13" t="s">
        <v>41</v>
      </c>
      <c r="L932" s="14">
        <v>1203.0</v>
      </c>
      <c r="M932" s="18" t="s">
        <v>98</v>
      </c>
      <c r="N932" s="18" t="s">
        <v>98</v>
      </c>
      <c r="O932" s="18">
        <v>30.6</v>
      </c>
      <c r="P932" s="18" t="s">
        <v>108</v>
      </c>
      <c r="Q932" s="16">
        <v>45756.0</v>
      </c>
      <c r="R932" s="16" t="s">
        <v>38</v>
      </c>
      <c r="S932" s="13" t="s">
        <v>55</v>
      </c>
      <c r="T932" s="13" t="s">
        <v>47</v>
      </c>
      <c r="U932" s="13">
        <f t="shared" si="1"/>
        <v>4</v>
      </c>
      <c r="V932" s="13" t="str">
        <f t="shared" si="2"/>
        <v>C01272|Meera Sharma|37|West|Pune|Standard|Referral|9/19/2024|21|Annual|Upi|1,203|1|1|30.60|2.4|4/9/2025||Active|Cloud Storage</v>
      </c>
      <c r="W932" s="13">
        <f t="shared" si="3"/>
        <v>1</v>
      </c>
      <c r="X932" s="13">
        <f>IFERROR(__xludf.DUMMYFUNCTION("COUNTUNIQUE(FILTER($B$2:$B$1826,$A$2:$A$1826=A932))"),4.0)</f>
        <v>4</v>
      </c>
    </row>
    <row r="933">
      <c r="A933" s="13" t="s">
        <v>1538</v>
      </c>
      <c r="B933" s="13" t="s">
        <v>202</v>
      </c>
      <c r="C933" s="14">
        <v>24.0</v>
      </c>
      <c r="D933" s="13" t="s">
        <v>60</v>
      </c>
      <c r="E933" s="13" t="s">
        <v>97</v>
      </c>
      <c r="F933" s="13" t="s">
        <v>37</v>
      </c>
      <c r="G933" s="13" t="s">
        <v>120</v>
      </c>
      <c r="H933" s="16">
        <v>45996.0</v>
      </c>
      <c r="I933" s="14">
        <v>1.0</v>
      </c>
      <c r="J933" s="13" t="s">
        <v>53</v>
      </c>
      <c r="K933" s="13" t="s">
        <v>65</v>
      </c>
      <c r="L933" s="14">
        <v>1146.0</v>
      </c>
      <c r="M933" s="18" t="s">
        <v>98</v>
      </c>
      <c r="N933" s="18" t="s">
        <v>98</v>
      </c>
      <c r="O933" s="18">
        <v>35.8</v>
      </c>
      <c r="P933" s="18" t="s">
        <v>173</v>
      </c>
      <c r="Q933" s="16">
        <v>46007.0</v>
      </c>
      <c r="R933" s="16" t="s">
        <v>38</v>
      </c>
      <c r="S933" s="13" t="s">
        <v>55</v>
      </c>
      <c r="T933" s="13" t="s">
        <v>47</v>
      </c>
      <c r="U933" s="13">
        <f t="shared" si="1"/>
        <v>2</v>
      </c>
      <c r="V933" s="13" t="str">
        <f t="shared" si="2"/>
        <v>C01073|Arun Das|24|East|Bhubaneswar|Standard|Email|12/5/2025|1|Quarterly|Credit Card|1,146|1|1|35.80|5|12/16/2025||Active|Cloud Storage</v>
      </c>
      <c r="W933" s="13">
        <f t="shared" si="3"/>
        <v>1</v>
      </c>
      <c r="X933" s="13">
        <f>IFERROR(__xludf.DUMMYFUNCTION("COUNTUNIQUE(FILTER($B$2:$B$1826,$A$2:$A$1826=A933))"),2.0)</f>
        <v>2</v>
      </c>
    </row>
    <row r="934">
      <c r="A934" s="13" t="s">
        <v>438</v>
      </c>
      <c r="B934" s="13" t="s">
        <v>241</v>
      </c>
      <c r="C934" s="14">
        <v>29.0</v>
      </c>
      <c r="D934" s="13" t="s">
        <v>85</v>
      </c>
      <c r="E934" s="13" t="s">
        <v>111</v>
      </c>
      <c r="F934" s="13" t="s">
        <v>37</v>
      </c>
      <c r="G934" s="13" t="s">
        <v>128</v>
      </c>
      <c r="H934" s="16">
        <v>45205.0</v>
      </c>
      <c r="I934" s="14">
        <v>7.0</v>
      </c>
      <c r="J934" s="13" t="s">
        <v>64</v>
      </c>
      <c r="K934" s="13" t="s">
        <v>41</v>
      </c>
      <c r="L934" s="14">
        <v>1281.0</v>
      </c>
      <c r="M934" s="18" t="s">
        <v>43</v>
      </c>
      <c r="N934" s="18" t="s">
        <v>46</v>
      </c>
      <c r="O934" s="18">
        <v>27.7</v>
      </c>
      <c r="P934" s="18" t="s">
        <v>275</v>
      </c>
      <c r="Q934" s="16">
        <v>45395.0</v>
      </c>
      <c r="R934" s="16">
        <v>45508.0</v>
      </c>
      <c r="S934" s="13" t="s">
        <v>45</v>
      </c>
      <c r="T934" s="13" t="s">
        <v>72</v>
      </c>
      <c r="U934" s="13">
        <f t="shared" si="1"/>
        <v>3</v>
      </c>
      <c r="V934" s="13" t="str">
        <f t="shared" si="2"/>
        <v>C00915|Sneha Iyer|29|West|Pune|Standard|Youtube|10/6/2023|7|Annual|Upi|1,281|2|0|27.70|4.3|4/13/2024|8/4/2024|Churned|Collaboration</v>
      </c>
      <c r="W934" s="13">
        <f t="shared" si="3"/>
        <v>1</v>
      </c>
      <c r="X934" s="13">
        <f>IFERROR(__xludf.DUMMYFUNCTION("COUNTUNIQUE(FILTER($B$2:$B$1826,$A$2:$A$1826=A934))"),3.0)</f>
        <v>3</v>
      </c>
    </row>
    <row r="935">
      <c r="A935" s="13" t="s">
        <v>1157</v>
      </c>
      <c r="B935" s="13" t="s">
        <v>411</v>
      </c>
      <c r="C935" s="14">
        <v>44.0</v>
      </c>
      <c r="D935" s="13" t="s">
        <v>35</v>
      </c>
      <c r="E935" s="13" t="s">
        <v>36</v>
      </c>
      <c r="F935" s="13" t="s">
        <v>79</v>
      </c>
      <c r="G935" s="13" t="s">
        <v>80</v>
      </c>
      <c r="H935" s="16">
        <v>45539.0</v>
      </c>
      <c r="I935" s="14">
        <v>24.0</v>
      </c>
      <c r="J935" s="13" t="s">
        <v>40</v>
      </c>
      <c r="K935" s="13" t="s">
        <v>65</v>
      </c>
      <c r="L935" s="14">
        <v>3125.0</v>
      </c>
      <c r="M935" s="18" t="s">
        <v>98</v>
      </c>
      <c r="N935" s="18" t="s">
        <v>43</v>
      </c>
      <c r="O935" s="18">
        <v>40.3</v>
      </c>
      <c r="P935" s="18" t="s">
        <v>130</v>
      </c>
      <c r="Q935" s="16">
        <v>45575.0</v>
      </c>
      <c r="R935" s="16" t="s">
        <v>38</v>
      </c>
      <c r="S935" s="13" t="s">
        <v>55</v>
      </c>
      <c r="T935" s="13" t="s">
        <v>66</v>
      </c>
      <c r="U935" s="13">
        <f t="shared" si="1"/>
        <v>3</v>
      </c>
      <c r="V935" s="13" t="str">
        <f t="shared" si="2"/>
        <v>C00035|Karan Reddy|44|North|Delhi|Premium|Organic Search|9/4/2024|24|Monthly|Credit Card|3,125|1|2|40.30|3.9|10/10/2024||Active|Automation</v>
      </c>
      <c r="W935" s="13">
        <f t="shared" si="3"/>
        <v>1</v>
      </c>
      <c r="X935" s="13">
        <f>IFERROR(__xludf.DUMMYFUNCTION("COUNTUNIQUE(FILTER($B$2:$B$1826,$A$2:$A$1826=A935))"),3.0)</f>
        <v>3</v>
      </c>
    </row>
    <row r="936">
      <c r="A936" s="13" t="s">
        <v>909</v>
      </c>
      <c r="B936" s="13" t="s">
        <v>235</v>
      </c>
      <c r="C936" s="14">
        <v>23.0</v>
      </c>
      <c r="D936" s="13" t="s">
        <v>35</v>
      </c>
      <c r="E936" s="13" t="s">
        <v>161</v>
      </c>
      <c r="F936" s="13" t="s">
        <v>62</v>
      </c>
      <c r="G936" s="13" t="s">
        <v>128</v>
      </c>
      <c r="H936" s="16">
        <v>45726.0</v>
      </c>
      <c r="I936" s="14">
        <v>3.0</v>
      </c>
      <c r="J936" s="13" t="s">
        <v>40</v>
      </c>
      <c r="K936" s="13" t="s">
        <v>41</v>
      </c>
      <c r="L936" s="14">
        <v>527.0</v>
      </c>
      <c r="M936" s="18" t="s">
        <v>46</v>
      </c>
      <c r="N936" s="18" t="s">
        <v>98</v>
      </c>
      <c r="O936" s="18">
        <v>21.3</v>
      </c>
      <c r="P936" s="18" t="s">
        <v>116</v>
      </c>
      <c r="Q936" s="16">
        <v>45827.0</v>
      </c>
      <c r="R936" s="16" t="s">
        <v>1540</v>
      </c>
      <c r="S936" s="13" t="s">
        <v>45</v>
      </c>
      <c r="T936" s="13" t="s">
        <v>104</v>
      </c>
      <c r="U936" s="13">
        <f t="shared" si="1"/>
        <v>4</v>
      </c>
      <c r="V936" s="13" t="str">
        <f t="shared" si="2"/>
        <v>C01558|Sneha Sharma|23|North|Chandigarh|Basic|Youtube|3/10/2025|3|Monthly|Upi|527|0|1|21.30|3.4|6/19/2025|25/04/2025|Churned|Analytics</v>
      </c>
      <c r="W936" s="13">
        <f t="shared" si="3"/>
        <v>1</v>
      </c>
      <c r="X936" s="13">
        <f>IFERROR(__xludf.DUMMYFUNCTION("COUNTUNIQUE(FILTER($B$2:$B$1826,$A$2:$A$1826=A936))"),4.0)</f>
        <v>4</v>
      </c>
    </row>
    <row r="937">
      <c r="A937" s="13" t="s">
        <v>666</v>
      </c>
      <c r="B937" s="13" t="s">
        <v>308</v>
      </c>
      <c r="C937" s="14">
        <v>52.0</v>
      </c>
      <c r="D937" s="13" t="s">
        <v>69</v>
      </c>
      <c r="E937" s="13" t="s">
        <v>187</v>
      </c>
      <c r="F937" s="13" t="s">
        <v>62</v>
      </c>
      <c r="G937" s="13" t="s">
        <v>210</v>
      </c>
      <c r="H937" s="16">
        <v>45293.0</v>
      </c>
      <c r="I937" s="14">
        <v>22.0</v>
      </c>
      <c r="J937" s="13" t="s">
        <v>53</v>
      </c>
      <c r="K937" s="13" t="s">
        <v>81</v>
      </c>
      <c r="L937" s="14">
        <v>674.0</v>
      </c>
      <c r="M937" s="18" t="s">
        <v>164</v>
      </c>
      <c r="N937" s="18" t="s">
        <v>43</v>
      </c>
      <c r="O937" s="18">
        <v>16.5</v>
      </c>
      <c r="P937" s="18" t="s">
        <v>203</v>
      </c>
      <c r="Q937" s="16">
        <v>45807.0</v>
      </c>
      <c r="R937" s="16" t="s">
        <v>38</v>
      </c>
      <c r="S937" s="13" t="s">
        <v>55</v>
      </c>
      <c r="T937" s="13" t="s">
        <v>75</v>
      </c>
      <c r="U937" s="13">
        <f t="shared" si="1"/>
        <v>4</v>
      </c>
      <c r="V937" s="13" t="str">
        <f t="shared" si="2"/>
        <v>C01071|Karan Kumar|52|South|Chennai|Basic|Referral|1/2/2024|22|Quarterly|Debit Card|674|3|2|16.50|3.7|5/30/2025||Active|Security</v>
      </c>
      <c r="W937" s="13">
        <f t="shared" si="3"/>
        <v>1</v>
      </c>
      <c r="X937" s="13">
        <f>IFERROR(__xludf.DUMMYFUNCTION("COUNTUNIQUE(FILTER($B$2:$B$1826,$A$2:$A$1826=A937))"),4.0)</f>
        <v>4</v>
      </c>
    </row>
    <row r="938">
      <c r="A938" s="13" t="s">
        <v>862</v>
      </c>
      <c r="B938" s="13" t="s">
        <v>179</v>
      </c>
      <c r="C938" s="14">
        <v>22.0</v>
      </c>
      <c r="D938" s="13" t="s">
        <v>69</v>
      </c>
      <c r="E938" s="13" t="s">
        <v>70</v>
      </c>
      <c r="F938" s="13" t="s">
        <v>37</v>
      </c>
      <c r="G938" s="13" t="s">
        <v>120</v>
      </c>
      <c r="H938" s="16">
        <v>44887.0</v>
      </c>
      <c r="I938" s="14">
        <v>8.0</v>
      </c>
      <c r="J938" s="13" t="s">
        <v>64</v>
      </c>
      <c r="K938" s="13" t="s">
        <v>81</v>
      </c>
      <c r="L938" s="14">
        <v>1231.0</v>
      </c>
      <c r="M938" s="18" t="s">
        <v>43</v>
      </c>
      <c r="N938" s="18" t="s">
        <v>98</v>
      </c>
      <c r="O938" s="18">
        <v>32.2</v>
      </c>
      <c r="P938" s="18" t="s">
        <v>48</v>
      </c>
      <c r="Q938" s="16">
        <v>44911.0</v>
      </c>
      <c r="R938" s="16">
        <v>45052.0</v>
      </c>
      <c r="S938" s="13" t="s">
        <v>45</v>
      </c>
      <c r="T938" s="13" t="s">
        <v>47</v>
      </c>
      <c r="U938" s="13">
        <f t="shared" si="1"/>
        <v>6</v>
      </c>
      <c r="V938" s="13" t="str">
        <f t="shared" si="2"/>
        <v>C01423|Ravi Kumar|22|South|Bengaluru|Standard|Email|11/22/2022|8|Annual|Debit Card|1,231|2|1|32.20|3.6|12/16/2022|5/6/2023|Churned|Cloud Storage</v>
      </c>
      <c r="W938" s="13">
        <f t="shared" si="3"/>
        <v>1</v>
      </c>
      <c r="X938" s="13">
        <f>IFERROR(__xludf.DUMMYFUNCTION("COUNTUNIQUE(FILTER($B$2:$B$1826,$A$2:$A$1826=A938))"),6.0)</f>
        <v>6</v>
      </c>
    </row>
    <row r="939">
      <c r="A939" s="13" t="s">
        <v>318</v>
      </c>
      <c r="B939" s="13" t="s">
        <v>331</v>
      </c>
      <c r="C939" s="14">
        <v>50.0</v>
      </c>
      <c r="D939" s="13" t="s">
        <v>35</v>
      </c>
      <c r="E939" s="13" t="s">
        <v>36</v>
      </c>
      <c r="F939" s="13" t="s">
        <v>62</v>
      </c>
      <c r="G939" s="13" t="s">
        <v>39</v>
      </c>
      <c r="H939" s="16">
        <v>44874.0</v>
      </c>
      <c r="I939" s="14">
        <v>9.0</v>
      </c>
      <c r="J939" s="13" t="s">
        <v>40</v>
      </c>
      <c r="K939" s="13" t="s">
        <v>81</v>
      </c>
      <c r="L939" s="14">
        <v>664.0</v>
      </c>
      <c r="M939" s="18" t="s">
        <v>98</v>
      </c>
      <c r="N939" s="18" t="s">
        <v>46</v>
      </c>
      <c r="O939" s="18">
        <v>15.0</v>
      </c>
      <c r="P939" s="18" t="s">
        <v>173</v>
      </c>
      <c r="Q939" s="16">
        <v>45086.0</v>
      </c>
      <c r="R939" s="16" t="s">
        <v>38</v>
      </c>
      <c r="S939" s="13" t="s">
        <v>55</v>
      </c>
      <c r="T939" s="13" t="s">
        <v>75</v>
      </c>
      <c r="U939" s="13">
        <f t="shared" si="1"/>
        <v>4</v>
      </c>
      <c r="V939" s="13" t="str">
        <f t="shared" si="2"/>
        <v>C00981|Arun Iyer|50|North|Delhi|Basic|Instagram|11/9/2022|9|Monthly|Debit Card|664|1|0|15.00|5|6/9/2023||Active|Security</v>
      </c>
      <c r="W939" s="13">
        <f t="shared" si="3"/>
        <v>1</v>
      </c>
      <c r="X939" s="13">
        <f>IFERROR(__xludf.DUMMYFUNCTION("COUNTUNIQUE(FILTER($B$2:$B$1826,$A$2:$A$1826=A939))"),4.0)</f>
        <v>4</v>
      </c>
    </row>
    <row r="940">
      <c r="A940" s="13" t="s">
        <v>1542</v>
      </c>
      <c r="B940" s="13" t="s">
        <v>448</v>
      </c>
      <c r="C940" s="14">
        <v>51.0</v>
      </c>
      <c r="D940" s="13" t="s">
        <v>85</v>
      </c>
      <c r="E940" s="13" t="s">
        <v>36</v>
      </c>
      <c r="F940" s="13" t="s">
        <v>62</v>
      </c>
      <c r="G940" s="13" t="s">
        <v>63</v>
      </c>
      <c r="H940" s="16">
        <v>44989.0</v>
      </c>
      <c r="I940" s="14">
        <v>15.0</v>
      </c>
      <c r="J940" s="13" t="s">
        <v>40</v>
      </c>
      <c r="K940" s="13" t="s">
        <v>65</v>
      </c>
      <c r="L940" s="14">
        <v>502.0</v>
      </c>
      <c r="M940" s="18" t="s">
        <v>99</v>
      </c>
      <c r="N940" s="18" t="s">
        <v>46</v>
      </c>
      <c r="O940" s="18">
        <v>27.7</v>
      </c>
      <c r="P940" s="18" t="s">
        <v>518</v>
      </c>
      <c r="Q940" s="16">
        <v>45040.0</v>
      </c>
      <c r="R940" s="16" t="s">
        <v>38</v>
      </c>
      <c r="S940" s="13" t="s">
        <v>55</v>
      </c>
      <c r="T940" s="13" t="s">
        <v>47</v>
      </c>
      <c r="U940" s="13">
        <f t="shared" si="1"/>
        <v>2</v>
      </c>
      <c r="V940" s="13" t="str">
        <f t="shared" si="2"/>
        <v>C01127|Meera Reddy|51|West|Delhi|Basic|Google Ads|3/4/2023|15|Monthly|Credit Card|502|4|0|27.70|1.7|4/24/2023||Active|Cloud Storage</v>
      </c>
      <c r="W940" s="13">
        <f t="shared" si="3"/>
        <v>1</v>
      </c>
      <c r="X940" s="13">
        <f>IFERROR(__xludf.DUMMYFUNCTION("COUNTUNIQUE(FILTER($B$2:$B$1826,$A$2:$A$1826=A940))"),2.0)</f>
        <v>2</v>
      </c>
    </row>
    <row r="941">
      <c r="A941" s="13" t="s">
        <v>1544</v>
      </c>
      <c r="B941" s="13" t="s">
        <v>312</v>
      </c>
      <c r="C941" s="14">
        <v>39.0</v>
      </c>
      <c r="D941" s="13" t="s">
        <v>35</v>
      </c>
      <c r="E941" s="13" t="s">
        <v>161</v>
      </c>
      <c r="F941" s="13" t="s">
        <v>62</v>
      </c>
      <c r="G941" s="13" t="s">
        <v>210</v>
      </c>
      <c r="H941" s="16">
        <v>45608.0</v>
      </c>
      <c r="I941" s="14">
        <v>25.0</v>
      </c>
      <c r="J941" s="13" t="s">
        <v>53</v>
      </c>
      <c r="K941" s="13" t="s">
        <v>65</v>
      </c>
      <c r="L941" s="14">
        <v>602.0</v>
      </c>
      <c r="M941" s="18" t="s">
        <v>164</v>
      </c>
      <c r="N941" s="18" t="s">
        <v>98</v>
      </c>
      <c r="O941" s="18">
        <v>23.9</v>
      </c>
      <c r="P941" s="18" t="s">
        <v>225</v>
      </c>
      <c r="Q941" s="16">
        <v>45880.0</v>
      </c>
      <c r="R941" s="16" t="s">
        <v>38</v>
      </c>
      <c r="S941" s="13" t="s">
        <v>55</v>
      </c>
      <c r="T941" s="13" t="s">
        <v>104</v>
      </c>
      <c r="U941" s="13">
        <f t="shared" si="1"/>
        <v>1</v>
      </c>
      <c r="V941" s="13" t="str">
        <f t="shared" si="2"/>
        <v>C00312|Anita Singh|39|North|Chandigarh|Basic|Referral|11/12/2024|25|Quarterly|Credit Card|602|3|1|23.90|3.8|8/11/2025||Active|Analytics</v>
      </c>
      <c r="W941" s="13">
        <f t="shared" si="3"/>
        <v>1</v>
      </c>
      <c r="X941" s="13">
        <f>IFERROR(__xludf.DUMMYFUNCTION("COUNTUNIQUE(FILTER($B$2:$B$1826,$A$2:$A$1826=A941))"),1.0)</f>
        <v>1</v>
      </c>
    </row>
    <row r="942">
      <c r="A942" s="13" t="s">
        <v>1545</v>
      </c>
      <c r="B942" s="13" t="s">
        <v>202</v>
      </c>
      <c r="C942" s="14">
        <v>25.0</v>
      </c>
      <c r="D942" s="13" t="s">
        <v>60</v>
      </c>
      <c r="E942" s="13" t="s">
        <v>133</v>
      </c>
      <c r="F942" s="13" t="s">
        <v>62</v>
      </c>
      <c r="G942" s="13" t="s">
        <v>80</v>
      </c>
      <c r="H942" s="16">
        <v>45896.0</v>
      </c>
      <c r="I942" s="14">
        <v>43.0</v>
      </c>
      <c r="J942" s="13" t="s">
        <v>64</v>
      </c>
      <c r="K942" s="13" t="s">
        <v>41</v>
      </c>
      <c r="L942" s="14">
        <v>706.0</v>
      </c>
      <c r="M942" s="18" t="s">
        <v>46</v>
      </c>
      <c r="N942" s="18" t="s">
        <v>43</v>
      </c>
      <c r="O942" s="18">
        <v>11.7</v>
      </c>
      <c r="P942" s="18" t="s">
        <v>164</v>
      </c>
      <c r="Q942" s="16">
        <v>46136.0</v>
      </c>
      <c r="R942" s="16" t="s">
        <v>38</v>
      </c>
      <c r="S942" s="13" t="s">
        <v>55</v>
      </c>
      <c r="T942" s="13" t="s">
        <v>47</v>
      </c>
      <c r="U942" s="13">
        <f t="shared" si="1"/>
        <v>1</v>
      </c>
      <c r="V942" s="13" t="str">
        <f t="shared" si="2"/>
        <v>C01333|Arun Das|25|East|Guwahati|Basic|Organic Search|8/27/2025|43|Annual|Upi|706|0|2|11.70|3|4/24/2026||Active|Cloud Storage</v>
      </c>
      <c r="W942" s="13">
        <f t="shared" si="3"/>
        <v>1</v>
      </c>
      <c r="X942" s="13">
        <f>IFERROR(__xludf.DUMMYFUNCTION("COUNTUNIQUE(FILTER($B$2:$B$1826,$A$2:$A$1826=A942))"),1.0)</f>
        <v>1</v>
      </c>
    </row>
    <row r="943">
      <c r="A943" s="13" t="s">
        <v>1547</v>
      </c>
      <c r="B943" s="13" t="s">
        <v>250</v>
      </c>
      <c r="C943" s="14">
        <v>51.0</v>
      </c>
      <c r="D943" s="13" t="s">
        <v>60</v>
      </c>
      <c r="E943" s="13" t="s">
        <v>97</v>
      </c>
      <c r="F943" s="13" t="s">
        <v>79</v>
      </c>
      <c r="G943" s="13" t="s">
        <v>128</v>
      </c>
      <c r="H943" s="16">
        <v>45183.0</v>
      </c>
      <c r="I943" s="14">
        <v>24.0</v>
      </c>
      <c r="J943" s="13" t="s">
        <v>40</v>
      </c>
      <c r="K943" s="13" t="s">
        <v>65</v>
      </c>
      <c r="L943" s="14">
        <v>2469.0</v>
      </c>
      <c r="M943" s="18" t="s">
        <v>98</v>
      </c>
      <c r="N943" s="18" t="s">
        <v>38</v>
      </c>
      <c r="O943" s="18">
        <v>36.0</v>
      </c>
      <c r="P943" s="18" t="s">
        <v>275</v>
      </c>
      <c r="Q943" s="16">
        <v>45773.0</v>
      </c>
      <c r="R943" s="16" t="s">
        <v>38</v>
      </c>
      <c r="S943" s="13" t="s">
        <v>55</v>
      </c>
      <c r="T943" s="13" t="s">
        <v>104</v>
      </c>
      <c r="U943" s="13">
        <f t="shared" si="1"/>
        <v>1</v>
      </c>
      <c r="V943" s="13" t="str">
        <f t="shared" si="2"/>
        <v>C01556|Vikram Singh|51|East|Bhubaneswar|Premium|Youtube|9/14/2023|24|Monthly|Credit Card|2,469|1||36.00|4.3|4/26/2025||Active|Analytics</v>
      </c>
      <c r="W943" s="13">
        <f t="shared" si="3"/>
        <v>1</v>
      </c>
      <c r="X943" s="13">
        <f>IFERROR(__xludf.DUMMYFUNCTION("COUNTUNIQUE(FILTER($B$2:$B$1826,$A$2:$A$1826=A943))"),1.0)</f>
        <v>1</v>
      </c>
    </row>
    <row r="944">
      <c r="A944" s="13" t="s">
        <v>1548</v>
      </c>
      <c r="B944" s="13" t="s">
        <v>110</v>
      </c>
      <c r="C944" s="14">
        <v>54.0</v>
      </c>
      <c r="D944" s="13" t="s">
        <v>69</v>
      </c>
      <c r="E944" s="13" t="s">
        <v>177</v>
      </c>
      <c r="F944" s="13" t="s">
        <v>62</v>
      </c>
      <c r="G944" s="13" t="s">
        <v>52</v>
      </c>
      <c r="H944" s="16">
        <v>45357.0</v>
      </c>
      <c r="I944" s="14">
        <v>47.0</v>
      </c>
      <c r="J944" s="13" t="s">
        <v>64</v>
      </c>
      <c r="K944" s="13" t="s">
        <v>65</v>
      </c>
      <c r="L944" s="14">
        <v>699.0</v>
      </c>
      <c r="M944" s="18" t="s">
        <v>98</v>
      </c>
      <c r="N944" s="18" t="s">
        <v>98</v>
      </c>
      <c r="O944" s="18">
        <v>22.0</v>
      </c>
      <c r="P944" s="18" t="s">
        <v>275</v>
      </c>
      <c r="Q944" s="16">
        <v>45705.0</v>
      </c>
      <c r="R944" s="16" t="s">
        <v>38</v>
      </c>
      <c r="S944" s="13" t="s">
        <v>55</v>
      </c>
      <c r="T944" s="13" t="s">
        <v>47</v>
      </c>
      <c r="U944" s="13">
        <f t="shared" si="1"/>
        <v>2</v>
      </c>
      <c r="V944" s="13" t="str">
        <f t="shared" si="2"/>
        <v>C00444|Sneha Nair|54|South|Hyderabad|Basic|Facebook|3/6/2024|47|Annual|Credit Card|699|1|1|22.00|4.3|2/17/2025||Active|Cloud Storage</v>
      </c>
      <c r="W944" s="13">
        <f t="shared" si="3"/>
        <v>1</v>
      </c>
      <c r="X944" s="13">
        <f>IFERROR(__xludf.DUMMYFUNCTION("COUNTUNIQUE(FILTER($B$2:$B$1826,$A$2:$A$1826=A944))"),2.0)</f>
        <v>2</v>
      </c>
    </row>
    <row r="945">
      <c r="A945" s="13" t="s">
        <v>1550</v>
      </c>
      <c r="B945" s="13" t="s">
        <v>605</v>
      </c>
      <c r="C945" s="14">
        <v>25.0</v>
      </c>
      <c r="D945" s="13" t="s">
        <v>35</v>
      </c>
      <c r="E945" s="13" t="s">
        <v>36</v>
      </c>
      <c r="F945" s="13" t="s">
        <v>79</v>
      </c>
      <c r="G945" s="13" t="s">
        <v>80</v>
      </c>
      <c r="H945" s="16">
        <v>44664.0</v>
      </c>
      <c r="I945" s="14">
        <v>1.0</v>
      </c>
      <c r="J945" s="13" t="s">
        <v>40</v>
      </c>
      <c r="K945" s="13" t="s">
        <v>65</v>
      </c>
      <c r="L945" s="14">
        <v>2910.0</v>
      </c>
      <c r="M945" s="18" t="s">
        <v>43</v>
      </c>
      <c r="N945" s="18" t="s">
        <v>46</v>
      </c>
      <c r="O945" s="18">
        <v>32.0</v>
      </c>
      <c r="P945" s="18" t="s">
        <v>310</v>
      </c>
      <c r="Q945" s="16">
        <v>44698.0</v>
      </c>
      <c r="R945" s="16">
        <v>44687.0</v>
      </c>
      <c r="S945" s="13" t="s">
        <v>45</v>
      </c>
      <c r="T945" s="13" t="s">
        <v>47</v>
      </c>
      <c r="U945" s="13">
        <f t="shared" si="1"/>
        <v>1</v>
      </c>
      <c r="V945" s="13" t="str">
        <f t="shared" si="2"/>
        <v>C00160|Meera Patel|25|North|Delhi|Premium|Organic Search|4/13/2022|1|Monthly|Credit Card|2,910|2|0|32.00|3.1|5/17/2022|5/6/2022|Churned|Cloud Storage</v>
      </c>
      <c r="W945" s="13">
        <f t="shared" si="3"/>
        <v>1</v>
      </c>
      <c r="X945" s="13">
        <f>IFERROR(__xludf.DUMMYFUNCTION("COUNTUNIQUE(FILTER($B$2:$B$1826,$A$2:$A$1826=A945))"),1.0)</f>
        <v>1</v>
      </c>
    </row>
    <row r="946">
      <c r="A946" s="13" t="s">
        <v>1552</v>
      </c>
      <c r="B946" s="13" t="s">
        <v>736</v>
      </c>
      <c r="C946" s="14">
        <v>28.0</v>
      </c>
      <c r="D946" s="13" t="s">
        <v>69</v>
      </c>
      <c r="E946" s="13" t="s">
        <v>119</v>
      </c>
      <c r="F946" s="13" t="s">
        <v>37</v>
      </c>
      <c r="G946" s="13" t="s">
        <v>210</v>
      </c>
      <c r="H946" s="16">
        <v>44717.0</v>
      </c>
      <c r="I946" s="14">
        <v>18.0</v>
      </c>
      <c r="J946" s="13" t="s">
        <v>53</v>
      </c>
      <c r="K946" s="13" t="s">
        <v>81</v>
      </c>
      <c r="L946" s="14">
        <v>1303.0</v>
      </c>
      <c r="M946" s="18" t="s">
        <v>98</v>
      </c>
      <c r="N946" s="18" t="s">
        <v>46</v>
      </c>
      <c r="O946" s="18">
        <v>36.9</v>
      </c>
      <c r="P946" s="18" t="s">
        <v>203</v>
      </c>
      <c r="Q946" s="16">
        <v>44762.0</v>
      </c>
      <c r="R946" s="16" t="s">
        <v>38</v>
      </c>
      <c r="S946" s="13" t="s">
        <v>55</v>
      </c>
      <c r="T946" s="13" t="s">
        <v>47</v>
      </c>
      <c r="U946" s="13">
        <f t="shared" si="1"/>
        <v>3</v>
      </c>
      <c r="V946" s="13" t="str">
        <f t="shared" si="2"/>
        <v>C01323|Priya Iyer|28|South|Kochi|Standard|Referral|6/5/2022|18|Quarterly|Debit Card|1,303|1|0|36.90|3.7|7/20/2022||Active|Cloud Storage</v>
      </c>
      <c r="W946" s="13">
        <f t="shared" si="3"/>
        <v>1</v>
      </c>
      <c r="X946" s="13">
        <f>IFERROR(__xludf.DUMMYFUNCTION("COUNTUNIQUE(FILTER($B$2:$B$1826,$A$2:$A$1826=A946))"),3.0)</f>
        <v>3</v>
      </c>
    </row>
    <row r="947">
      <c r="A947" s="13" t="s">
        <v>1553</v>
      </c>
      <c r="B947" s="13" t="s">
        <v>152</v>
      </c>
      <c r="C947" s="14">
        <v>63.0</v>
      </c>
      <c r="D947" s="13" t="s">
        <v>35</v>
      </c>
      <c r="E947" s="13" t="s">
        <v>140</v>
      </c>
      <c r="F947" s="13" t="s">
        <v>62</v>
      </c>
      <c r="G947" s="13" t="s">
        <v>63</v>
      </c>
      <c r="H947" s="16">
        <v>44738.0</v>
      </c>
      <c r="I947" s="14">
        <v>47.0</v>
      </c>
      <c r="J947" s="13" t="s">
        <v>64</v>
      </c>
      <c r="K947" s="13" t="s">
        <v>65</v>
      </c>
      <c r="L947" s="14" t="s">
        <v>38</v>
      </c>
      <c r="M947" s="18" t="s">
        <v>173</v>
      </c>
      <c r="N947" s="18" t="s">
        <v>43</v>
      </c>
      <c r="O947" s="18">
        <v>20.6</v>
      </c>
      <c r="P947" s="18" t="s">
        <v>173</v>
      </c>
      <c r="Q947" s="16">
        <v>45307.0</v>
      </c>
      <c r="R947" s="16" t="s">
        <v>38</v>
      </c>
      <c r="S947" s="13" t="s">
        <v>55</v>
      </c>
      <c r="T947" s="13" t="s">
        <v>104</v>
      </c>
      <c r="U947" s="13">
        <f t="shared" si="1"/>
        <v>2</v>
      </c>
      <c r="V947" s="13" t="str">
        <f t="shared" si="2"/>
        <v>C00247|Vikram Kumar|63|North|Lucknow|Basic|Google Ads|6/26/2022|47|Annual|Credit Card||5|2|20.60|5|1/16/2024||Active|Analytics</v>
      </c>
      <c r="W947" s="13">
        <f t="shared" si="3"/>
        <v>1</v>
      </c>
      <c r="X947" s="13">
        <f>IFERROR(__xludf.DUMMYFUNCTION("COUNTUNIQUE(FILTER($B$2:$B$1826,$A$2:$A$1826=A947))"),2.0)</f>
        <v>2</v>
      </c>
    </row>
    <row r="948">
      <c r="A948" s="13" t="s">
        <v>1554</v>
      </c>
      <c r="B948" s="13" t="s">
        <v>132</v>
      </c>
      <c r="C948" s="14">
        <v>61.0</v>
      </c>
      <c r="D948" s="13" t="s">
        <v>85</v>
      </c>
      <c r="E948" s="13" t="s">
        <v>187</v>
      </c>
      <c r="F948" s="13" t="s">
        <v>62</v>
      </c>
      <c r="G948" s="13" t="s">
        <v>52</v>
      </c>
      <c r="H948" s="16">
        <v>45334.0</v>
      </c>
      <c r="I948" s="14">
        <v>2.0</v>
      </c>
      <c r="J948" s="13" t="s">
        <v>40</v>
      </c>
      <c r="K948" s="13" t="s">
        <v>65</v>
      </c>
      <c r="L948" s="14">
        <v>720.0</v>
      </c>
      <c r="M948" s="18" t="s">
        <v>164</v>
      </c>
      <c r="N948" s="18" t="s">
        <v>46</v>
      </c>
      <c r="O948" s="18">
        <v>8.1</v>
      </c>
      <c r="P948" s="18" t="s">
        <v>296</v>
      </c>
      <c r="Q948" s="16">
        <v>45366.0</v>
      </c>
      <c r="R948" s="16" t="s">
        <v>38</v>
      </c>
      <c r="S948" s="13" t="s">
        <v>55</v>
      </c>
      <c r="T948" s="13" t="s">
        <v>72</v>
      </c>
      <c r="U948" s="13">
        <f t="shared" si="1"/>
        <v>2</v>
      </c>
      <c r="V948" s="13" t="str">
        <f t="shared" si="2"/>
        <v>C01498|Arun Kumar|61|West|Chennai|Basic|Facebook|2/12/2024|2|Monthly|Credit Card|720|3|0|8.10|4.6|3/15/2024||Active|Collaboration</v>
      </c>
      <c r="W948" s="13">
        <f t="shared" si="3"/>
        <v>1</v>
      </c>
      <c r="X948" s="13">
        <f>IFERROR(__xludf.DUMMYFUNCTION("COUNTUNIQUE(FILTER($B$2:$B$1826,$A$2:$A$1826=A948))"),2.0)</f>
        <v>2</v>
      </c>
    </row>
    <row r="949">
      <c r="A949" s="13" t="s">
        <v>1555</v>
      </c>
      <c r="B949" s="13" t="s">
        <v>202</v>
      </c>
      <c r="C949" s="14">
        <v>54.0</v>
      </c>
      <c r="D949" s="13" t="s">
        <v>85</v>
      </c>
      <c r="E949" s="13" t="s">
        <v>111</v>
      </c>
      <c r="F949" s="13" t="s">
        <v>37</v>
      </c>
      <c r="G949" s="13" t="s">
        <v>63</v>
      </c>
      <c r="H949" s="16">
        <v>45936.0</v>
      </c>
      <c r="I949" s="14">
        <v>18.0</v>
      </c>
      <c r="J949" s="13" t="s">
        <v>64</v>
      </c>
      <c r="K949" s="13" t="s">
        <v>65</v>
      </c>
      <c r="L949" s="14">
        <v>1239.0</v>
      </c>
      <c r="M949" s="18" t="s">
        <v>164</v>
      </c>
      <c r="N949" s="18" t="s">
        <v>46</v>
      </c>
      <c r="O949" s="18">
        <v>41.6</v>
      </c>
      <c r="P949" s="18" t="s">
        <v>2039</v>
      </c>
      <c r="Q949" s="16">
        <v>46404.0</v>
      </c>
      <c r="R949" s="16">
        <v>45819.0</v>
      </c>
      <c r="S949" s="13" t="s">
        <v>45</v>
      </c>
      <c r="T949" s="13" t="s">
        <v>47</v>
      </c>
      <c r="U949" s="13">
        <f t="shared" si="1"/>
        <v>2</v>
      </c>
      <c r="V949" s="13" t="str">
        <f t="shared" si="2"/>
        <v>C01473|Arun Das|54|West|Pune|Standard|Google Ads|10/6/2025|18|Annual|Credit Card|1,239|3|0|41.60|1.6|1/17/2027|6/11/2025|Churned|Cloud Storage</v>
      </c>
      <c r="W949" s="13">
        <f t="shared" si="3"/>
        <v>1</v>
      </c>
      <c r="X949" s="13">
        <f>IFERROR(__xludf.DUMMYFUNCTION("COUNTUNIQUE(FILTER($B$2:$B$1826,$A$2:$A$1826=A949))"),2.0)</f>
        <v>2</v>
      </c>
    </row>
    <row r="950">
      <c r="A950" s="13" t="s">
        <v>989</v>
      </c>
      <c r="B950" s="13" t="s">
        <v>145</v>
      </c>
      <c r="C950" s="14">
        <v>39.0</v>
      </c>
      <c r="D950" s="13" t="s">
        <v>35</v>
      </c>
      <c r="E950" s="13" t="s">
        <v>161</v>
      </c>
      <c r="F950" s="13" t="s">
        <v>62</v>
      </c>
      <c r="G950" s="13" t="s">
        <v>63</v>
      </c>
      <c r="H950" s="16">
        <v>45314.0</v>
      </c>
      <c r="I950" s="14">
        <v>30.0</v>
      </c>
      <c r="J950" s="13" t="s">
        <v>64</v>
      </c>
      <c r="K950" s="13" t="s">
        <v>81</v>
      </c>
      <c r="L950" s="14">
        <v>777.0</v>
      </c>
      <c r="M950" s="18" t="s">
        <v>98</v>
      </c>
      <c r="N950" s="18" t="s">
        <v>46</v>
      </c>
      <c r="O950" s="18">
        <v>16.6</v>
      </c>
      <c r="P950" s="18" t="s">
        <v>275</v>
      </c>
      <c r="Q950" s="16">
        <v>45998.0</v>
      </c>
      <c r="R950" s="16">
        <v>45872.0</v>
      </c>
      <c r="S950" s="13" t="s">
        <v>45</v>
      </c>
      <c r="T950" s="13" t="s">
        <v>72</v>
      </c>
      <c r="U950" s="13">
        <f t="shared" si="1"/>
        <v>3</v>
      </c>
      <c r="V950" s="13" t="str">
        <f t="shared" si="2"/>
        <v>C01466|Ravi Patel|39|North|Chandigarh|Basic|Google Ads|1/23/2024|30|Annual|Debit Card|777|1|0|16.60|4.3|12/7/2025|8/3/2025|Churned|Collaboration</v>
      </c>
      <c r="W950" s="13">
        <f t="shared" si="3"/>
        <v>1</v>
      </c>
      <c r="X950" s="13">
        <f>IFERROR(__xludf.DUMMYFUNCTION("COUNTUNIQUE(FILTER($B$2:$B$1826,$A$2:$A$1826=A950))"),3.0)</f>
        <v>3</v>
      </c>
    </row>
    <row r="951">
      <c r="A951" s="13" t="s">
        <v>1559</v>
      </c>
      <c r="B951" s="13" t="s">
        <v>633</v>
      </c>
      <c r="C951" s="14">
        <v>24.0</v>
      </c>
      <c r="D951" s="13" t="s">
        <v>69</v>
      </c>
      <c r="E951" s="13" t="s">
        <v>119</v>
      </c>
      <c r="F951" s="13" t="s">
        <v>62</v>
      </c>
      <c r="G951" s="13" t="s">
        <v>210</v>
      </c>
      <c r="H951" s="16">
        <v>45160.0</v>
      </c>
      <c r="I951" s="14">
        <v>10.0</v>
      </c>
      <c r="J951" s="13" t="s">
        <v>64</v>
      </c>
      <c r="K951" s="13" t="s">
        <v>65</v>
      </c>
      <c r="L951" s="14">
        <v>883.0</v>
      </c>
      <c r="M951" s="18" t="s">
        <v>164</v>
      </c>
      <c r="N951" s="18" t="s">
        <v>46</v>
      </c>
      <c r="O951" s="18">
        <v>26.4</v>
      </c>
      <c r="P951" s="18" t="s">
        <v>203</v>
      </c>
      <c r="Q951" s="16">
        <v>45447.0</v>
      </c>
      <c r="R951" s="16" t="s">
        <v>1560</v>
      </c>
      <c r="S951" s="13" t="s">
        <v>230</v>
      </c>
      <c r="T951" s="13" t="s">
        <v>47</v>
      </c>
      <c r="U951" s="13">
        <f t="shared" si="1"/>
        <v>3</v>
      </c>
      <c r="V951" s="13" t="str">
        <f t="shared" si="2"/>
        <v>C00834|Anita Das|24|South|Kochi|Basic|Referral|8/22/2023|10|Annual|Credit Card|883|3|0|26.40|3.7|6/4/2024|16/04/2024|Yes|Cloud Storage</v>
      </c>
      <c r="W951" s="13">
        <f t="shared" si="3"/>
        <v>1</v>
      </c>
      <c r="X951" s="13">
        <f>IFERROR(__xludf.DUMMYFUNCTION("COUNTUNIQUE(FILTER($B$2:$B$1826,$A$2:$A$1826=A951))"),3.0)</f>
        <v>3</v>
      </c>
    </row>
    <row r="952">
      <c r="A952" s="13" t="s">
        <v>1120</v>
      </c>
      <c r="B952" s="13" t="s">
        <v>448</v>
      </c>
      <c r="C952" s="14">
        <v>53.0</v>
      </c>
      <c r="D952" s="13" t="s">
        <v>60</v>
      </c>
      <c r="E952" s="13" t="s">
        <v>133</v>
      </c>
      <c r="F952" s="13" t="s">
        <v>37</v>
      </c>
      <c r="G952" s="13" t="s">
        <v>80</v>
      </c>
      <c r="H952" s="16">
        <v>45955.0</v>
      </c>
      <c r="I952" s="14">
        <v>11.0</v>
      </c>
      <c r="J952" s="13" t="s">
        <v>64</v>
      </c>
      <c r="K952" s="13" t="s">
        <v>81</v>
      </c>
      <c r="L952" s="14">
        <v>1517.0</v>
      </c>
      <c r="M952" s="18" t="s">
        <v>376</v>
      </c>
      <c r="N952" s="18" t="s">
        <v>98</v>
      </c>
      <c r="O952" s="18">
        <v>23.0</v>
      </c>
      <c r="P952" s="18" t="s">
        <v>76</v>
      </c>
      <c r="Q952" s="16">
        <v>46285.0</v>
      </c>
      <c r="R952" s="16">
        <v>46175.0</v>
      </c>
      <c r="S952" s="13" t="s">
        <v>45</v>
      </c>
      <c r="T952" s="13" t="s">
        <v>47</v>
      </c>
      <c r="U952" s="13">
        <f t="shared" si="1"/>
        <v>5</v>
      </c>
      <c r="V952" s="13" t="str">
        <f t="shared" si="2"/>
        <v>C00682|Meera Reddy|53|East|Guwahati|Standard|Organic Search|10/25/2025|11|Annual|Debit Card|1,517|6|1|23.00|4.4|9/20/2026|6/2/2026|Churned|Cloud Storage</v>
      </c>
      <c r="W952" s="13">
        <f t="shared" si="3"/>
        <v>1</v>
      </c>
      <c r="X952" s="13">
        <f>IFERROR(__xludf.DUMMYFUNCTION("COUNTUNIQUE(FILTER($B$2:$B$1826,$A$2:$A$1826=A952))"),5.0)</f>
        <v>5</v>
      </c>
    </row>
    <row r="953">
      <c r="A953" s="13" t="s">
        <v>347</v>
      </c>
      <c r="B953" s="13" t="s">
        <v>239</v>
      </c>
      <c r="C953" s="14">
        <v>35.0</v>
      </c>
      <c r="D953" s="13" t="s">
        <v>69</v>
      </c>
      <c r="E953" s="13" t="s">
        <v>187</v>
      </c>
      <c r="F953" s="13" t="s">
        <v>37</v>
      </c>
      <c r="G953" s="13" t="s">
        <v>120</v>
      </c>
      <c r="H953" s="16">
        <v>44729.0</v>
      </c>
      <c r="I953" s="14">
        <v>27.0</v>
      </c>
      <c r="J953" s="13" t="s">
        <v>64</v>
      </c>
      <c r="K953" s="13" t="s">
        <v>81</v>
      </c>
      <c r="L953" s="14">
        <v>1556.0</v>
      </c>
      <c r="M953" s="18" t="s">
        <v>98</v>
      </c>
      <c r="N953" s="18" t="s">
        <v>98</v>
      </c>
      <c r="O953" s="18">
        <v>18.3</v>
      </c>
      <c r="P953" s="18" t="s">
        <v>203</v>
      </c>
      <c r="Q953" s="16">
        <v>45271.0</v>
      </c>
      <c r="R953" s="16" t="s">
        <v>1562</v>
      </c>
      <c r="S953" s="13" t="s">
        <v>45</v>
      </c>
      <c r="T953" s="13" t="s">
        <v>47</v>
      </c>
      <c r="U953" s="13">
        <f t="shared" si="1"/>
        <v>5</v>
      </c>
      <c r="V953" s="13" t="str">
        <f t="shared" si="2"/>
        <v>C01175|Meera Kumar|35|South|Chennai|Standard|Email|6/17/2022|27|Annual|Debit Card|1,556|1|1|18.30|3.7|12/11/2023|31/10/2022|Churned|Cloud Storage</v>
      </c>
      <c r="W953" s="13">
        <f t="shared" si="3"/>
        <v>1</v>
      </c>
      <c r="X953" s="13">
        <f>IFERROR(__xludf.DUMMYFUNCTION("COUNTUNIQUE(FILTER($B$2:$B$1826,$A$2:$A$1826=A953))"),4.0)</f>
        <v>4</v>
      </c>
    </row>
    <row r="954">
      <c r="A954" s="13" t="s">
        <v>887</v>
      </c>
      <c r="B954" s="13" t="s">
        <v>448</v>
      </c>
      <c r="C954" s="14">
        <v>66.0</v>
      </c>
      <c r="D954" s="13" t="s">
        <v>69</v>
      </c>
      <c r="E954" s="13" t="s">
        <v>177</v>
      </c>
      <c r="F954" s="13" t="s">
        <v>37</v>
      </c>
      <c r="G954" s="13" t="s">
        <v>210</v>
      </c>
      <c r="H954" s="16">
        <v>45326.0</v>
      </c>
      <c r="I954" s="14">
        <v>36.0</v>
      </c>
      <c r="J954" s="13" t="s">
        <v>53</v>
      </c>
      <c r="K954" s="13" t="s">
        <v>81</v>
      </c>
      <c r="L954" s="14">
        <v>1671.0</v>
      </c>
      <c r="M954" s="18" t="s">
        <v>98</v>
      </c>
      <c r="N954" s="18" t="s">
        <v>98</v>
      </c>
      <c r="O954" s="18">
        <v>28.1</v>
      </c>
      <c r="P954" s="18" t="s">
        <v>164</v>
      </c>
      <c r="Q954" s="16">
        <v>46140.0</v>
      </c>
      <c r="R954" s="16" t="s">
        <v>1563</v>
      </c>
      <c r="S954" s="13" t="s">
        <v>45</v>
      </c>
      <c r="T954" s="13" t="s">
        <v>104</v>
      </c>
      <c r="U954" s="13">
        <f t="shared" si="1"/>
        <v>2</v>
      </c>
      <c r="V954" s="13" t="str">
        <f t="shared" si="2"/>
        <v>C01515|Meera Reddy|66|South|Hyderabad|Standard|Referral|2/4/2024|36|Quarterly|Debit Card|1,671|1|1|28.10|3|4/28/2026|27/05/2025|Churned|Analytics</v>
      </c>
      <c r="W954" s="13">
        <f t="shared" si="3"/>
        <v>1</v>
      </c>
      <c r="X954" s="13">
        <f>IFERROR(__xludf.DUMMYFUNCTION("COUNTUNIQUE(FILTER($B$2:$B$1826,$A$2:$A$1826=A954))"),2.0)</f>
        <v>2</v>
      </c>
    </row>
    <row r="955">
      <c r="A955" s="13" t="s">
        <v>1390</v>
      </c>
      <c r="B955" s="13" t="s">
        <v>736</v>
      </c>
      <c r="C955" s="14">
        <v>34.0</v>
      </c>
      <c r="D955" s="13" t="s">
        <v>85</v>
      </c>
      <c r="E955" s="13" t="s">
        <v>111</v>
      </c>
      <c r="F955" s="13" t="s">
        <v>37</v>
      </c>
      <c r="G955" s="13" t="s">
        <v>128</v>
      </c>
      <c r="H955" s="16">
        <v>44947.0</v>
      </c>
      <c r="I955" s="14">
        <v>46.0</v>
      </c>
      <c r="J955" s="13" t="s">
        <v>53</v>
      </c>
      <c r="K955" s="13" t="s">
        <v>65</v>
      </c>
      <c r="L955" s="14">
        <v>1109.0</v>
      </c>
      <c r="M955" s="18" t="s">
        <v>164</v>
      </c>
      <c r="N955" s="18" t="s">
        <v>46</v>
      </c>
      <c r="O955" s="18">
        <v>21.3</v>
      </c>
      <c r="P955" s="18" t="s">
        <v>400</v>
      </c>
      <c r="Q955" s="16">
        <v>45252.0</v>
      </c>
      <c r="R955" s="16" t="s">
        <v>38</v>
      </c>
      <c r="S955" s="13" t="s">
        <v>55</v>
      </c>
      <c r="T955" s="13" t="s">
        <v>47</v>
      </c>
      <c r="U955" s="13">
        <f t="shared" si="1"/>
        <v>3</v>
      </c>
      <c r="V955" s="13" t="str">
        <f t="shared" si="2"/>
        <v>C00463|Priya Iyer|34|West|Pune|Standard|Youtube|1/21/2023|46|Quarterly|Credit Card|1,109|3|0|21.30|4.8|11/22/2023||Active|Cloud Storage</v>
      </c>
      <c r="W955" s="13">
        <f t="shared" si="3"/>
        <v>1</v>
      </c>
      <c r="X955" s="13">
        <f>IFERROR(__xludf.DUMMYFUNCTION("COUNTUNIQUE(FILTER($B$2:$B$1826,$A$2:$A$1826=A955))"),3.0)</f>
        <v>3</v>
      </c>
    </row>
    <row r="956">
      <c r="A956" s="13" t="s">
        <v>1066</v>
      </c>
      <c r="B956" s="13" t="s">
        <v>169</v>
      </c>
      <c r="C956" s="14">
        <v>26.0</v>
      </c>
      <c r="D956" s="13" t="s">
        <v>35</v>
      </c>
      <c r="E956" s="13" t="s">
        <v>51</v>
      </c>
      <c r="F956" s="13" t="s">
        <v>62</v>
      </c>
      <c r="G956" s="13" t="s">
        <v>63</v>
      </c>
      <c r="H956" s="16">
        <v>45167.0</v>
      </c>
      <c r="I956" s="14">
        <v>8.0</v>
      </c>
      <c r="J956" s="13" t="s">
        <v>53</v>
      </c>
      <c r="K956" s="13" t="s">
        <v>65</v>
      </c>
      <c r="L956" s="14">
        <v>896.0</v>
      </c>
      <c r="M956" s="18" t="s">
        <v>98</v>
      </c>
      <c r="N956" s="18" t="s">
        <v>46</v>
      </c>
      <c r="O956" s="18">
        <v>27.5</v>
      </c>
      <c r="P956" s="18" t="s">
        <v>173</v>
      </c>
      <c r="Q956" s="16">
        <v>45194.0</v>
      </c>
      <c r="R956" s="16" t="s">
        <v>38</v>
      </c>
      <c r="S956" s="13" t="s">
        <v>55</v>
      </c>
      <c r="T956" s="13" t="s">
        <v>75</v>
      </c>
      <c r="U956" s="13">
        <f t="shared" si="1"/>
        <v>2</v>
      </c>
      <c r="V956" s="13" t="str">
        <f t="shared" si="2"/>
        <v>C01110|Vikram Nair|26|North|Jaipur|Basic|Google Ads|8/29/2023|8|Quarterly|Credit Card|896|1|0|27.50|5|9/25/2023||Active|Security</v>
      </c>
      <c r="W956" s="13">
        <f t="shared" si="3"/>
        <v>1</v>
      </c>
      <c r="X956" s="13">
        <f>IFERROR(__xludf.DUMMYFUNCTION("COUNTUNIQUE(FILTER($B$2:$B$1826,$A$2:$A$1826=A956))"),2.0)</f>
        <v>2</v>
      </c>
    </row>
    <row r="957">
      <c r="A957" s="13" t="s">
        <v>797</v>
      </c>
      <c r="B957" s="13" t="s">
        <v>345</v>
      </c>
      <c r="C957" s="14">
        <v>21.0</v>
      </c>
      <c r="D957" s="13" t="s">
        <v>60</v>
      </c>
      <c r="E957" s="13" t="s">
        <v>107</v>
      </c>
      <c r="F957" s="13" t="s">
        <v>62</v>
      </c>
      <c r="G957" s="13" t="s">
        <v>39</v>
      </c>
      <c r="H957" s="16">
        <v>45184.0</v>
      </c>
      <c r="I957" s="14">
        <v>28.0</v>
      </c>
      <c r="J957" s="13" t="s">
        <v>53</v>
      </c>
      <c r="K957" s="13" t="s">
        <v>65</v>
      </c>
      <c r="L957" s="14">
        <v>743.0</v>
      </c>
      <c r="M957" s="18" t="s">
        <v>46</v>
      </c>
      <c r="N957" s="18" t="s">
        <v>38</v>
      </c>
      <c r="O957" s="18">
        <v>19.8</v>
      </c>
      <c r="P957" s="18" t="s">
        <v>408</v>
      </c>
      <c r="Q957" s="16">
        <v>45801.0</v>
      </c>
      <c r="R957" s="16" t="s">
        <v>38</v>
      </c>
      <c r="S957" s="13" t="s">
        <v>55</v>
      </c>
      <c r="T957" s="13" t="s">
        <v>72</v>
      </c>
      <c r="U957" s="13">
        <f t="shared" si="1"/>
        <v>5</v>
      </c>
      <c r="V957" s="13" t="str">
        <f t="shared" si="2"/>
        <v>C00022|Arun Nair|21|East|Patna|Basic|Instagram|9/15/2023|28|Quarterly|Credit Card|743|0||19.80|4.2|5/24/2025||Active|Collaboration</v>
      </c>
      <c r="W957" s="13">
        <f t="shared" si="3"/>
        <v>1</v>
      </c>
      <c r="X957" s="13">
        <f>IFERROR(__xludf.DUMMYFUNCTION("COUNTUNIQUE(FILTER($B$2:$B$1826,$A$2:$A$1826=A957))"),5.0)</f>
        <v>5</v>
      </c>
    </row>
    <row r="958">
      <c r="A958" s="13" t="s">
        <v>868</v>
      </c>
      <c r="B958" s="13" t="s">
        <v>364</v>
      </c>
      <c r="C958" s="14">
        <v>43.0</v>
      </c>
      <c r="D958" s="13" t="s">
        <v>60</v>
      </c>
      <c r="E958" s="13" t="s">
        <v>133</v>
      </c>
      <c r="F958" s="13" t="s">
        <v>79</v>
      </c>
      <c r="G958" s="13" t="s">
        <v>120</v>
      </c>
      <c r="H958" s="16">
        <v>45665.0</v>
      </c>
      <c r="I958" s="14">
        <v>7.0</v>
      </c>
      <c r="J958" s="13" t="s">
        <v>40</v>
      </c>
      <c r="K958" s="13" t="s">
        <v>65</v>
      </c>
      <c r="L958" s="14">
        <v>3802.0</v>
      </c>
      <c r="M958" s="18" t="s">
        <v>46</v>
      </c>
      <c r="N958" s="18" t="s">
        <v>46</v>
      </c>
      <c r="O958" s="18">
        <v>47.3</v>
      </c>
      <c r="P958" s="18" t="s">
        <v>99</v>
      </c>
      <c r="Q958" s="16">
        <v>45764.0</v>
      </c>
      <c r="R958" s="16" t="s">
        <v>38</v>
      </c>
      <c r="S958" s="13" t="s">
        <v>55</v>
      </c>
      <c r="T958" s="13" t="s">
        <v>104</v>
      </c>
      <c r="U958" s="13">
        <f t="shared" si="1"/>
        <v>2</v>
      </c>
      <c r="V958" s="13" t="str">
        <f t="shared" si="2"/>
        <v>C00064|Sneha Kumar|43|East|Guwahati|Premium|Email|1/8/2025|7|Monthly|Credit Card|3,802|0|0|47.30|4|4/17/2025||Active|Analytics</v>
      </c>
      <c r="W958" s="13">
        <f t="shared" si="3"/>
        <v>1</v>
      </c>
      <c r="X958" s="13">
        <f>IFERROR(__xludf.DUMMYFUNCTION("COUNTUNIQUE(FILTER($B$2:$B$1826,$A$2:$A$1826=A958))"),2.0)</f>
        <v>2</v>
      </c>
    </row>
    <row r="959">
      <c r="A959" s="13" t="s">
        <v>1126</v>
      </c>
      <c r="B959" s="13" t="s">
        <v>364</v>
      </c>
      <c r="C959" s="14">
        <v>39.0</v>
      </c>
      <c r="D959" s="13" t="s">
        <v>60</v>
      </c>
      <c r="E959" s="13" t="s">
        <v>61</v>
      </c>
      <c r="F959" s="13" t="s">
        <v>62</v>
      </c>
      <c r="G959" s="13" t="s">
        <v>52</v>
      </c>
      <c r="H959" s="16">
        <v>45854.0</v>
      </c>
      <c r="I959" s="14">
        <v>7.0</v>
      </c>
      <c r="J959" s="13" t="s">
        <v>53</v>
      </c>
      <c r="K959" s="13" t="s">
        <v>81</v>
      </c>
      <c r="L959" s="14">
        <v>882.0</v>
      </c>
      <c r="M959" s="18" t="s">
        <v>46</v>
      </c>
      <c r="N959" s="18" t="s">
        <v>46</v>
      </c>
      <c r="O959" s="18">
        <v>6.5</v>
      </c>
      <c r="P959" s="18" t="s">
        <v>275</v>
      </c>
      <c r="Q959" s="16">
        <v>46018.0</v>
      </c>
      <c r="R959" s="16" t="s">
        <v>38</v>
      </c>
      <c r="S959" s="13" t="s">
        <v>55</v>
      </c>
      <c r="T959" s="13" t="s">
        <v>75</v>
      </c>
      <c r="U959" s="13">
        <f t="shared" si="1"/>
        <v>2</v>
      </c>
      <c r="V959" s="13" t="str">
        <f t="shared" si="2"/>
        <v>C00973|Sneha Kumar|39|East|Kolkata|Basic|Facebook|7/16/2025|7|Quarterly|Debit Card|882|0|0|6.50|4.3|12/27/2025||Active|Security</v>
      </c>
      <c r="W959" s="13">
        <f t="shared" si="3"/>
        <v>1</v>
      </c>
      <c r="X959" s="13">
        <f>IFERROR(__xludf.DUMMYFUNCTION("COUNTUNIQUE(FILTER($B$2:$B$1826,$A$2:$A$1826=A959))"),2.0)</f>
        <v>2</v>
      </c>
    </row>
    <row r="960">
      <c r="A960" s="13" t="s">
        <v>1548</v>
      </c>
      <c r="B960" s="13" t="s">
        <v>241</v>
      </c>
      <c r="C960" s="14">
        <v>63.0</v>
      </c>
      <c r="D960" s="13" t="s">
        <v>85</v>
      </c>
      <c r="E960" s="13" t="s">
        <v>292</v>
      </c>
      <c r="F960" s="13" t="s">
        <v>62</v>
      </c>
      <c r="G960" s="13" t="s">
        <v>39</v>
      </c>
      <c r="H960" s="16">
        <v>45777.0</v>
      </c>
      <c r="I960" s="14">
        <v>44.0</v>
      </c>
      <c r="J960" s="13" t="s">
        <v>64</v>
      </c>
      <c r="K960" s="13" t="s">
        <v>65</v>
      </c>
      <c r="L960" s="14">
        <v>758.0</v>
      </c>
      <c r="M960" s="18" t="s">
        <v>164</v>
      </c>
      <c r="N960" s="18" t="s">
        <v>46</v>
      </c>
      <c r="O960" s="18">
        <v>21.9</v>
      </c>
      <c r="P960" s="18" t="s">
        <v>116</v>
      </c>
      <c r="Q960" s="16">
        <v>46815.0</v>
      </c>
      <c r="R960" s="16">
        <v>46148.0</v>
      </c>
      <c r="S960" s="13" t="s">
        <v>45</v>
      </c>
      <c r="T960" s="13" t="s">
        <v>66</v>
      </c>
      <c r="U960" s="13">
        <f t="shared" si="1"/>
        <v>2</v>
      </c>
      <c r="V960" s="13" t="str">
        <f t="shared" si="2"/>
        <v>C00444|Sneha Iyer|63|West|Mumbai|Basic|Instagram|4/30/2025|44|Annual|Credit Card|758|3|0|21.90|3.4|3/3/2028|5/6/2026|Churned|Automation</v>
      </c>
      <c r="W960" s="13">
        <f t="shared" si="3"/>
        <v>1</v>
      </c>
      <c r="X960" s="13">
        <f>IFERROR(__xludf.DUMMYFUNCTION("COUNTUNIQUE(FILTER($B$2:$B$1826,$A$2:$A$1826=A960))"),2.0)</f>
        <v>2</v>
      </c>
    </row>
    <row r="961">
      <c r="A961" s="13" t="s">
        <v>1567</v>
      </c>
      <c r="B961" s="13" t="s">
        <v>331</v>
      </c>
      <c r="C961" s="14">
        <v>57.0</v>
      </c>
      <c r="D961" s="13" t="s">
        <v>35</v>
      </c>
      <c r="E961" s="13" t="s">
        <v>161</v>
      </c>
      <c r="F961" s="13" t="s">
        <v>37</v>
      </c>
      <c r="G961" s="13" t="s">
        <v>52</v>
      </c>
      <c r="H961" s="16">
        <v>45620.0</v>
      </c>
      <c r="I961" s="14">
        <v>32.0</v>
      </c>
      <c r="J961" s="13" t="s">
        <v>40</v>
      </c>
      <c r="K961" s="13" t="s">
        <v>65</v>
      </c>
      <c r="L961" s="14">
        <v>1299.0</v>
      </c>
      <c r="M961" s="18" t="s">
        <v>98</v>
      </c>
      <c r="N961" s="18" t="s">
        <v>43</v>
      </c>
      <c r="O961" s="18">
        <v>35.2</v>
      </c>
      <c r="P961" s="18" t="s">
        <v>203</v>
      </c>
      <c r="Q961" s="16">
        <v>45796.0</v>
      </c>
      <c r="R961" s="16" t="s">
        <v>38</v>
      </c>
      <c r="S961" s="13" t="s">
        <v>55</v>
      </c>
      <c r="T961" s="13" t="s">
        <v>104</v>
      </c>
      <c r="U961" s="13">
        <f t="shared" si="1"/>
        <v>1</v>
      </c>
      <c r="V961" s="13" t="str">
        <f t="shared" si="2"/>
        <v>C01339|Arun Iyer|57|North|Chandigarh|Standard|Facebook|11/24/2024|32|Monthly|Credit Card|1,299|1|2|35.20|3.7|5/19/2025||Active|Analytics</v>
      </c>
      <c r="W961" s="13">
        <f t="shared" si="3"/>
        <v>1</v>
      </c>
      <c r="X961" s="13">
        <f>IFERROR(__xludf.DUMMYFUNCTION("COUNTUNIQUE(FILTER($B$2:$B$1826,$A$2:$A$1826=A961))"),1.0)</f>
        <v>1</v>
      </c>
    </row>
    <row r="962">
      <c r="A962" s="13" t="s">
        <v>1568</v>
      </c>
      <c r="B962" s="13" t="s">
        <v>308</v>
      </c>
      <c r="C962" s="14">
        <v>38.0</v>
      </c>
      <c r="D962" s="13" t="s">
        <v>69</v>
      </c>
      <c r="E962" s="13" t="s">
        <v>70</v>
      </c>
      <c r="F962" s="13" t="s">
        <v>62</v>
      </c>
      <c r="G962" s="13" t="s">
        <v>120</v>
      </c>
      <c r="H962" s="16">
        <v>45072.0</v>
      </c>
      <c r="I962" s="14">
        <v>1.0</v>
      </c>
      <c r="J962" s="13" t="s">
        <v>40</v>
      </c>
      <c r="K962" s="13" t="s">
        <v>41</v>
      </c>
      <c r="L962" s="14">
        <v>880.0</v>
      </c>
      <c r="M962" s="18" t="s">
        <v>164</v>
      </c>
      <c r="N962" s="18" t="s">
        <v>46</v>
      </c>
      <c r="O962" s="18">
        <v>18.8</v>
      </c>
      <c r="P962" s="18" t="s">
        <v>701</v>
      </c>
      <c r="Q962" s="16">
        <v>45093.0</v>
      </c>
      <c r="R962" s="16" t="s">
        <v>38</v>
      </c>
      <c r="S962" s="13" t="s">
        <v>55</v>
      </c>
      <c r="T962" s="13" t="s">
        <v>72</v>
      </c>
      <c r="U962" s="13">
        <f t="shared" si="1"/>
        <v>2</v>
      </c>
      <c r="V962" s="13" t="str">
        <f t="shared" si="2"/>
        <v>C01407|Karan Kumar|38|South|Bengaluru|Basic|Email|5/26/2023|1|Monthly|Upi|880|3|0|18.80|2.8|6/16/2023||Active|Collaboration</v>
      </c>
      <c r="W962" s="13">
        <f t="shared" si="3"/>
        <v>1</v>
      </c>
      <c r="X962" s="13">
        <f>IFERROR(__xludf.DUMMYFUNCTION("COUNTUNIQUE(FILTER($B$2:$B$1826,$A$2:$A$1826=A962))"),2.0)</f>
        <v>2</v>
      </c>
    </row>
    <row r="963">
      <c r="A963" s="13" t="s">
        <v>1569</v>
      </c>
      <c r="B963" s="13" t="s">
        <v>239</v>
      </c>
      <c r="C963" s="14">
        <v>47.0</v>
      </c>
      <c r="D963" s="13" t="s">
        <v>85</v>
      </c>
      <c r="E963" s="13" t="s">
        <v>111</v>
      </c>
      <c r="F963" s="13" t="s">
        <v>37</v>
      </c>
      <c r="G963" s="13" t="s">
        <v>128</v>
      </c>
      <c r="H963" s="16">
        <v>45997.0</v>
      </c>
      <c r="I963" s="14">
        <v>8.0</v>
      </c>
      <c r="J963" s="13" t="s">
        <v>53</v>
      </c>
      <c r="K963" s="13" t="s">
        <v>65</v>
      </c>
      <c r="L963" s="14">
        <v>1134.0</v>
      </c>
      <c r="M963" s="18" t="s">
        <v>98</v>
      </c>
      <c r="N963" s="18" t="s">
        <v>98</v>
      </c>
      <c r="O963" s="18">
        <v>31.1</v>
      </c>
      <c r="P963" s="18" t="s">
        <v>48</v>
      </c>
      <c r="Q963" s="16">
        <v>46257.0</v>
      </c>
      <c r="R963" s="16" t="s">
        <v>38</v>
      </c>
      <c r="S963" s="13" t="s">
        <v>55</v>
      </c>
      <c r="T963" s="13" t="s">
        <v>75</v>
      </c>
      <c r="U963" s="13">
        <f t="shared" si="1"/>
        <v>1</v>
      </c>
      <c r="V963" s="13" t="str">
        <f t="shared" si="2"/>
        <v>C01399|Meera Kumar|47|West|Pune|Standard|Youtube|12/6/2025|8|Quarterly|Credit Card|1,134|1|1|31.10|3.6|8/23/2026||Active|Security</v>
      </c>
      <c r="W963" s="13">
        <f t="shared" si="3"/>
        <v>1</v>
      </c>
      <c r="X963" s="13">
        <f>IFERROR(__xludf.DUMMYFUNCTION("COUNTUNIQUE(FILTER($B$2:$B$1826,$A$2:$A$1826=A963))"),1.0)</f>
        <v>1</v>
      </c>
    </row>
    <row r="964">
      <c r="A964" s="13" t="s">
        <v>1570</v>
      </c>
      <c r="B964" s="13" t="s">
        <v>184</v>
      </c>
      <c r="C964" s="14">
        <v>49.0</v>
      </c>
      <c r="D964" s="13" t="s">
        <v>60</v>
      </c>
      <c r="E964" s="13" t="s">
        <v>61</v>
      </c>
      <c r="F964" s="13" t="s">
        <v>62</v>
      </c>
      <c r="G964" s="13" t="s">
        <v>63</v>
      </c>
      <c r="H964" s="16">
        <v>45133.0</v>
      </c>
      <c r="I964" s="14">
        <v>28.0</v>
      </c>
      <c r="J964" s="13" t="s">
        <v>40</v>
      </c>
      <c r="K964" s="13" t="s">
        <v>81</v>
      </c>
      <c r="L964" s="14">
        <v>715.0</v>
      </c>
      <c r="M964" s="18" t="s">
        <v>164</v>
      </c>
      <c r="N964" s="18" t="s">
        <v>98</v>
      </c>
      <c r="O964" s="18">
        <v>31.7</v>
      </c>
      <c r="P964" s="18" t="s">
        <v>48</v>
      </c>
      <c r="Q964" s="16">
        <v>45232.0</v>
      </c>
      <c r="R964" s="16" t="s">
        <v>38</v>
      </c>
      <c r="S964" s="13" t="s">
        <v>55</v>
      </c>
      <c r="T964" s="13" t="s">
        <v>47</v>
      </c>
      <c r="U964" s="13">
        <f t="shared" si="1"/>
        <v>3</v>
      </c>
      <c r="V964" s="13" t="str">
        <f t="shared" si="2"/>
        <v>C00043|Vikram Reddy|49|East|Kolkata|Basic|Google Ads|7/26/2023|28|Monthly|Debit Card|715|3|1|31.70|3.6|11/2/2023||Active|Cloud Storage</v>
      </c>
      <c r="W964" s="13">
        <f t="shared" si="3"/>
        <v>1</v>
      </c>
      <c r="X964" s="13">
        <f>IFERROR(__xludf.DUMMYFUNCTION("COUNTUNIQUE(FILTER($B$2:$B$1826,$A$2:$A$1826=A964))"),3.0)</f>
        <v>3</v>
      </c>
    </row>
    <row r="965">
      <c r="A965" s="13" t="s">
        <v>646</v>
      </c>
      <c r="B965" s="13" t="s">
        <v>169</v>
      </c>
      <c r="C965" s="14">
        <v>23.0</v>
      </c>
      <c r="D965" s="13" t="s">
        <v>35</v>
      </c>
      <c r="E965" s="13" t="s">
        <v>36</v>
      </c>
      <c r="F965" s="13" t="s">
        <v>62</v>
      </c>
      <c r="G965" s="13" t="s">
        <v>80</v>
      </c>
      <c r="H965" s="16">
        <v>44944.0</v>
      </c>
      <c r="I965" s="14">
        <v>43.0</v>
      </c>
      <c r="J965" s="13" t="s">
        <v>64</v>
      </c>
      <c r="K965" s="13" t="s">
        <v>41</v>
      </c>
      <c r="L965" s="14">
        <v>836.0</v>
      </c>
      <c r="M965" s="18" t="s">
        <v>164</v>
      </c>
      <c r="N965" s="18" t="s">
        <v>98</v>
      </c>
      <c r="O965" s="18">
        <v>12.1</v>
      </c>
      <c r="P965" s="18" t="s">
        <v>150</v>
      </c>
      <c r="Q965" s="16">
        <v>46095.0</v>
      </c>
      <c r="R965" s="16" t="s">
        <v>38</v>
      </c>
      <c r="S965" s="13" t="s">
        <v>55</v>
      </c>
      <c r="T965" s="13" t="s">
        <v>66</v>
      </c>
      <c r="U965" s="13">
        <f t="shared" si="1"/>
        <v>3</v>
      </c>
      <c r="V965" s="13" t="str">
        <f t="shared" si="2"/>
        <v>C00282|Vikram Nair|23|North|Delhi|Basic|Organic Search|1/18/2023|43|Annual|Upi|836|3|1|12.10|4.5|3/14/2026||Active|Automation</v>
      </c>
      <c r="W965" s="13">
        <f t="shared" si="3"/>
        <v>1</v>
      </c>
      <c r="X965" s="13">
        <f>IFERROR(__xludf.DUMMYFUNCTION("COUNTUNIQUE(FILTER($B$2:$B$1826,$A$2:$A$1826=A965))"),3.0)</f>
        <v>3</v>
      </c>
    </row>
    <row r="966">
      <c r="A966" s="13" t="s">
        <v>1571</v>
      </c>
      <c r="B966" s="13" t="s">
        <v>651</v>
      </c>
      <c r="C966" s="14">
        <v>52.0</v>
      </c>
      <c r="D966" s="13" t="s">
        <v>35</v>
      </c>
      <c r="E966" s="13" t="s">
        <v>36</v>
      </c>
      <c r="F966" s="13" t="s">
        <v>62</v>
      </c>
      <c r="G966" s="13" t="s">
        <v>39</v>
      </c>
      <c r="H966" s="16">
        <v>45177.0</v>
      </c>
      <c r="I966" s="14">
        <v>9.0</v>
      </c>
      <c r="J966" s="13" t="s">
        <v>64</v>
      </c>
      <c r="K966" s="13" t="s">
        <v>65</v>
      </c>
      <c r="L966" s="14">
        <v>699.0</v>
      </c>
      <c r="M966" s="18" t="s">
        <v>99</v>
      </c>
      <c r="N966" s="18" t="s">
        <v>98</v>
      </c>
      <c r="O966" s="18">
        <v>15.3</v>
      </c>
      <c r="P966" s="18" t="s">
        <v>130</v>
      </c>
      <c r="Q966" s="16">
        <v>45217.0</v>
      </c>
      <c r="R966" s="16" t="s">
        <v>1572</v>
      </c>
      <c r="S966" s="13" t="s">
        <v>45</v>
      </c>
      <c r="T966" s="13" t="s">
        <v>66</v>
      </c>
      <c r="U966" s="13">
        <f t="shared" si="1"/>
        <v>2</v>
      </c>
      <c r="V966" s="13" t="str">
        <f t="shared" si="2"/>
        <v>C00847|Arun Sharma|52|North|Delhi|Basic|Instagram|9/8/2023|9|Annual|Credit Card|699|4|1|15.30|3.9|10/18/2023|25/06/2024|Churned|Automation</v>
      </c>
      <c r="W966" s="13">
        <f t="shared" si="3"/>
        <v>1</v>
      </c>
      <c r="X966" s="13">
        <f>IFERROR(__xludf.DUMMYFUNCTION("COUNTUNIQUE(FILTER($B$2:$B$1826,$A$2:$A$1826=A966))"),2.0)</f>
        <v>2</v>
      </c>
    </row>
    <row r="967">
      <c r="A967" s="13" t="s">
        <v>728</v>
      </c>
      <c r="B967" s="13" t="s">
        <v>163</v>
      </c>
      <c r="C967" s="14">
        <v>25.0</v>
      </c>
      <c r="D967" s="13" t="s">
        <v>35</v>
      </c>
      <c r="E967" s="13" t="s">
        <v>161</v>
      </c>
      <c r="F967" s="13" t="s">
        <v>79</v>
      </c>
      <c r="G967" s="13" t="s">
        <v>39</v>
      </c>
      <c r="H967" s="16">
        <v>45216.0</v>
      </c>
      <c r="I967" s="14">
        <v>16.0</v>
      </c>
      <c r="J967" s="13" t="s">
        <v>40</v>
      </c>
      <c r="K967" s="13" t="s">
        <v>65</v>
      </c>
      <c r="L967" s="14">
        <v>3358.0</v>
      </c>
      <c r="M967" s="18" t="s">
        <v>164</v>
      </c>
      <c r="N967" s="18" t="s">
        <v>46</v>
      </c>
      <c r="O967" s="18">
        <v>50.8</v>
      </c>
      <c r="P967" s="18" t="s">
        <v>408</v>
      </c>
      <c r="Q967" s="16">
        <v>45469.0</v>
      </c>
      <c r="R967" s="16" t="s">
        <v>1573</v>
      </c>
      <c r="S967" s="13" t="s">
        <v>45</v>
      </c>
      <c r="T967" s="13" t="s">
        <v>66</v>
      </c>
      <c r="U967" s="13">
        <f t="shared" si="1"/>
        <v>3</v>
      </c>
      <c r="V967" s="13" t="str">
        <f t="shared" si="2"/>
        <v>C01087|Sneha Singh|25|North|Chandigarh|Premium|Instagram|10/17/2023|16|Monthly|Credit Card|3,358|3|0|50.80|4.2|6/26/2024|17/07/2024|Churned|Automation</v>
      </c>
      <c r="W967" s="13">
        <f t="shared" si="3"/>
        <v>1</v>
      </c>
      <c r="X967" s="13">
        <f>IFERROR(__xludf.DUMMYFUNCTION("COUNTUNIQUE(FILTER($B$2:$B$1826,$A$2:$A$1826=A967))"),3.0)</f>
        <v>3</v>
      </c>
    </row>
    <row r="968">
      <c r="A968" s="13" t="s">
        <v>1574</v>
      </c>
      <c r="B968" s="13" t="s">
        <v>160</v>
      </c>
      <c r="C968" s="14">
        <v>59.0</v>
      </c>
      <c r="D968" s="13" t="s">
        <v>35</v>
      </c>
      <c r="E968" s="13" t="s">
        <v>51</v>
      </c>
      <c r="F968" s="13" t="s">
        <v>79</v>
      </c>
      <c r="G968" s="13" t="s">
        <v>128</v>
      </c>
      <c r="H968" s="16">
        <v>45606.0</v>
      </c>
      <c r="I968" s="14">
        <v>10.0</v>
      </c>
      <c r="J968" s="13" t="s">
        <v>53</v>
      </c>
      <c r="K968" s="13" t="s">
        <v>81</v>
      </c>
      <c r="L968" s="14">
        <v>1488.0</v>
      </c>
      <c r="M968" s="18" t="s">
        <v>98</v>
      </c>
      <c r="N968" s="18" t="s">
        <v>43</v>
      </c>
      <c r="O968" s="18">
        <v>27.0</v>
      </c>
      <c r="P968" s="18" t="s">
        <v>158</v>
      </c>
      <c r="Q968" s="16">
        <v>45653.0</v>
      </c>
      <c r="R968" s="16" t="s">
        <v>1575</v>
      </c>
      <c r="S968" s="13" t="s">
        <v>45</v>
      </c>
      <c r="T968" s="13" t="s">
        <v>72</v>
      </c>
      <c r="U968" s="13">
        <f t="shared" si="1"/>
        <v>2</v>
      </c>
      <c r="V968" s="13" t="str">
        <f t="shared" si="2"/>
        <v>C01298|Rahul Singh|59|North|Jaipur|Premium|Youtube|11/10/2024|10|Quarterly|Debit Card|1,488|1|2|27.00|4.7|12/27/2024|25/09/2025|Churned|Collaboration</v>
      </c>
      <c r="W968" s="13">
        <f t="shared" si="3"/>
        <v>1</v>
      </c>
      <c r="X968" s="13">
        <f>IFERROR(__xludf.DUMMYFUNCTION("COUNTUNIQUE(FILTER($B$2:$B$1826,$A$2:$A$1826=A968))"),2.0)</f>
        <v>2</v>
      </c>
    </row>
    <row r="969">
      <c r="A969" s="13" t="s">
        <v>1576</v>
      </c>
      <c r="B969" s="13" t="s">
        <v>163</v>
      </c>
      <c r="C969" s="14">
        <v>66.0</v>
      </c>
      <c r="D969" s="13" t="s">
        <v>60</v>
      </c>
      <c r="E969" s="13" t="s">
        <v>133</v>
      </c>
      <c r="F969" s="13" t="s">
        <v>62</v>
      </c>
      <c r="G969" s="13" t="s">
        <v>63</v>
      </c>
      <c r="H969" s="16">
        <v>44649.0</v>
      </c>
      <c r="I969" s="14">
        <v>21.0</v>
      </c>
      <c r="J969" s="13" t="s">
        <v>40</v>
      </c>
      <c r="K969" s="13" t="s">
        <v>65</v>
      </c>
      <c r="L969" s="14">
        <v>513.0</v>
      </c>
      <c r="M969" s="18" t="s">
        <v>164</v>
      </c>
      <c r="N969" s="18" t="s">
        <v>98</v>
      </c>
      <c r="O969" s="18">
        <v>14.9</v>
      </c>
      <c r="P969" s="18" t="s">
        <v>130</v>
      </c>
      <c r="Q969" s="16">
        <v>45041.0</v>
      </c>
      <c r="R969" s="16">
        <v>44963.0</v>
      </c>
      <c r="S969" s="13" t="s">
        <v>45</v>
      </c>
      <c r="T969" s="13" t="s">
        <v>66</v>
      </c>
      <c r="U969" s="13">
        <f t="shared" si="1"/>
        <v>2</v>
      </c>
      <c r="V969" s="13" t="str">
        <f t="shared" si="2"/>
        <v>C00462|Sneha Singh|66|East|Guwahati|Basic|Google Ads|3/29/2022|21|Monthly|Credit Card|513|3|1|14.90|3.9|4/25/2023|2/6/2023|Churned|Automation</v>
      </c>
      <c r="W969" s="13">
        <f t="shared" si="3"/>
        <v>1</v>
      </c>
      <c r="X969" s="13">
        <f>IFERROR(__xludf.DUMMYFUNCTION("COUNTUNIQUE(FILTER($B$2:$B$1826,$A$2:$A$1826=A969))"),2.0)</f>
        <v>2</v>
      </c>
    </row>
    <row r="970">
      <c r="A970" s="13" t="s">
        <v>1578</v>
      </c>
      <c r="B970" s="13" t="s">
        <v>247</v>
      </c>
      <c r="C970" s="14">
        <v>64.0</v>
      </c>
      <c r="D970" s="13" t="s">
        <v>85</v>
      </c>
      <c r="E970" s="13" t="s">
        <v>111</v>
      </c>
      <c r="F970" s="13" t="s">
        <v>62</v>
      </c>
      <c r="G970" s="13" t="s">
        <v>80</v>
      </c>
      <c r="H970" s="16">
        <v>45151.0</v>
      </c>
      <c r="I970" s="14">
        <v>32.0</v>
      </c>
      <c r="J970" s="13" t="s">
        <v>40</v>
      </c>
      <c r="K970" s="13" t="s">
        <v>81</v>
      </c>
      <c r="L970" s="14">
        <v>720.0</v>
      </c>
      <c r="M970" s="18" t="s">
        <v>164</v>
      </c>
      <c r="N970" s="18" t="s">
        <v>98</v>
      </c>
      <c r="O970" s="18">
        <v>29.1</v>
      </c>
      <c r="P970" s="18" t="s">
        <v>89</v>
      </c>
      <c r="Q970" s="16">
        <v>45588.0</v>
      </c>
      <c r="R970" s="16" t="s">
        <v>1579</v>
      </c>
      <c r="S970" s="13" t="s">
        <v>55</v>
      </c>
      <c r="T970" s="13" t="s">
        <v>104</v>
      </c>
      <c r="U970" s="13">
        <f t="shared" si="1"/>
        <v>2</v>
      </c>
      <c r="V970" s="13" t="str">
        <f t="shared" si="2"/>
        <v>C01044|Ravi Sharma|64|West|Pune|Basic|Organic Search|8/13/2023|32|Monthly|Debit Card|720|3|1|29.10|3.3|10/23/2024|18/11/2023|Active|Analytics</v>
      </c>
      <c r="W970" s="13">
        <f t="shared" si="3"/>
        <v>1</v>
      </c>
      <c r="X970" s="13">
        <f>IFERROR(__xludf.DUMMYFUNCTION("COUNTUNIQUE(FILTER($B$2:$B$1826,$A$2:$A$1826=A970))"),2.0)</f>
        <v>2</v>
      </c>
    </row>
    <row r="971">
      <c r="A971" s="13" t="s">
        <v>1580</v>
      </c>
      <c r="B971" s="13" t="s">
        <v>645</v>
      </c>
      <c r="C971" s="14">
        <v>43.0</v>
      </c>
      <c r="D971" s="13" t="s">
        <v>60</v>
      </c>
      <c r="E971" s="13" t="s">
        <v>133</v>
      </c>
      <c r="F971" s="13" t="s">
        <v>62</v>
      </c>
      <c r="G971" s="13" t="s">
        <v>52</v>
      </c>
      <c r="H971" s="16">
        <v>45261.0</v>
      </c>
      <c r="I971" s="14">
        <v>20.0</v>
      </c>
      <c r="J971" s="13" t="s">
        <v>64</v>
      </c>
      <c r="K971" s="13" t="s">
        <v>81</v>
      </c>
      <c r="L971" s="14">
        <v>808.0</v>
      </c>
      <c r="M971" s="18" t="s">
        <v>43</v>
      </c>
      <c r="N971" s="18" t="s">
        <v>43</v>
      </c>
      <c r="O971" s="18">
        <v>27.4</v>
      </c>
      <c r="P971" s="18" t="s">
        <v>173</v>
      </c>
      <c r="Q971" s="16">
        <v>45586.0</v>
      </c>
      <c r="R971" s="16" t="s">
        <v>1540</v>
      </c>
      <c r="S971" s="13" t="s">
        <v>45</v>
      </c>
      <c r="T971" s="13" t="s">
        <v>66</v>
      </c>
      <c r="U971" s="13">
        <f t="shared" si="1"/>
        <v>1</v>
      </c>
      <c r="V971" s="13" t="str">
        <f t="shared" si="2"/>
        <v>C00757|Ravi Nair|43|East|Guwahati|Basic|Facebook|12/1/2023|20|Annual|Debit Card|808|2|2|27.40|5|10/21/2024|25/04/2025|Churned|Automation</v>
      </c>
      <c r="W971" s="13">
        <f t="shared" si="3"/>
        <v>1</v>
      </c>
      <c r="X971" s="13">
        <f>IFERROR(__xludf.DUMMYFUNCTION("COUNTUNIQUE(FILTER($B$2:$B$1826,$A$2:$A$1826=A971))"),1.0)</f>
        <v>1</v>
      </c>
    </row>
    <row r="972">
      <c r="A972" s="13" t="s">
        <v>1581</v>
      </c>
      <c r="B972" s="13" t="s">
        <v>420</v>
      </c>
      <c r="C972" s="14">
        <v>37.0</v>
      </c>
      <c r="D972" s="13" t="s">
        <v>69</v>
      </c>
      <c r="E972" s="13" t="s">
        <v>119</v>
      </c>
      <c r="F972" s="13" t="s">
        <v>62</v>
      </c>
      <c r="G972" s="13" t="s">
        <v>63</v>
      </c>
      <c r="H972" s="16">
        <v>45564.0</v>
      </c>
      <c r="I972" s="14">
        <v>22.0</v>
      </c>
      <c r="J972" s="13" t="s">
        <v>64</v>
      </c>
      <c r="K972" s="13" t="s">
        <v>81</v>
      </c>
      <c r="L972" s="14">
        <v>814.0</v>
      </c>
      <c r="M972" s="18" t="s">
        <v>98</v>
      </c>
      <c r="N972" s="18" t="s">
        <v>46</v>
      </c>
      <c r="O972" s="18">
        <v>16.8</v>
      </c>
      <c r="P972" s="18" t="s">
        <v>408</v>
      </c>
      <c r="Q972" s="16">
        <v>45831.0</v>
      </c>
      <c r="R972" s="16" t="s">
        <v>38</v>
      </c>
      <c r="S972" s="13" t="s">
        <v>55</v>
      </c>
      <c r="T972" s="13" t="s">
        <v>47</v>
      </c>
      <c r="U972" s="13">
        <f t="shared" si="1"/>
        <v>1</v>
      </c>
      <c r="V972" s="13" t="str">
        <f t="shared" si="2"/>
        <v>C01398|Vikram Iyer|37|South|Kochi|Basic|Google Ads|9/29/2024|22|Annual|Debit Card|814|1|0|16.80|4.2|6/23/2025||Active|Cloud Storage</v>
      </c>
      <c r="W972" s="13">
        <f t="shared" si="3"/>
        <v>1</v>
      </c>
      <c r="X972" s="13">
        <f>IFERROR(__xludf.DUMMYFUNCTION("COUNTUNIQUE(FILTER($B$2:$B$1826,$A$2:$A$1826=A972))"),1.0)</f>
        <v>1</v>
      </c>
    </row>
    <row r="973">
      <c r="A973" s="13" t="s">
        <v>901</v>
      </c>
      <c r="B973" s="13" t="s">
        <v>34</v>
      </c>
      <c r="C973" s="14">
        <v>61.0</v>
      </c>
      <c r="D973" s="13" t="s">
        <v>35</v>
      </c>
      <c r="E973" s="13" t="s">
        <v>97</v>
      </c>
      <c r="F973" s="13" t="s">
        <v>37</v>
      </c>
      <c r="G973" s="13" t="s">
        <v>210</v>
      </c>
      <c r="H973" s="16">
        <v>45189.0</v>
      </c>
      <c r="I973" s="14">
        <v>13.0</v>
      </c>
      <c r="J973" s="13" t="s">
        <v>64</v>
      </c>
      <c r="K973" s="13" t="s">
        <v>41</v>
      </c>
      <c r="L973" s="14">
        <v>1691.0</v>
      </c>
      <c r="M973" s="18" t="s">
        <v>164</v>
      </c>
      <c r="N973" s="18" t="s">
        <v>46</v>
      </c>
      <c r="O973" s="18">
        <v>23.5</v>
      </c>
      <c r="P973" s="18" t="s">
        <v>108</v>
      </c>
      <c r="Q973" s="16">
        <v>45341.0</v>
      </c>
      <c r="R973" s="16">
        <v>45354.0</v>
      </c>
      <c r="S973" s="13" t="s">
        <v>45</v>
      </c>
      <c r="T973" s="13" t="s">
        <v>66</v>
      </c>
      <c r="U973" s="13">
        <f t="shared" si="1"/>
        <v>4</v>
      </c>
      <c r="V973" s="13" t="str">
        <f t="shared" si="2"/>
        <v>C00642|Meera Das|61|North|Bhubaneswar|Standard|Referral|9/20/2023|13|Annual|Upi|1,691|3|0|23.50|2.4|2/19/2024|3/3/2024|Churned|Automation</v>
      </c>
      <c r="W973" s="13">
        <f t="shared" si="3"/>
        <v>1</v>
      </c>
      <c r="X973" s="13">
        <f>IFERROR(__xludf.DUMMYFUNCTION("COUNTUNIQUE(FILTER($B$2:$B$1826,$A$2:$A$1826=A973))"),4.0)</f>
        <v>4</v>
      </c>
    </row>
    <row r="974">
      <c r="A974" s="13" t="s">
        <v>1583</v>
      </c>
      <c r="B974" s="13" t="s">
        <v>736</v>
      </c>
      <c r="C974" s="14">
        <v>59.0</v>
      </c>
      <c r="D974" s="13" t="s">
        <v>60</v>
      </c>
      <c r="E974" s="13" t="s">
        <v>97</v>
      </c>
      <c r="F974" s="13" t="s">
        <v>37</v>
      </c>
      <c r="G974" s="13" t="s">
        <v>210</v>
      </c>
      <c r="H974" s="16">
        <v>45673.0</v>
      </c>
      <c r="I974" s="14">
        <v>36.0</v>
      </c>
      <c r="J974" s="13" t="s">
        <v>40</v>
      </c>
      <c r="K974" s="13" t="s">
        <v>41</v>
      </c>
      <c r="L974" s="14">
        <v>1594.0</v>
      </c>
      <c r="M974" s="18" t="s">
        <v>376</v>
      </c>
      <c r="N974" s="18" t="s">
        <v>46</v>
      </c>
      <c r="O974" s="18">
        <v>18.5</v>
      </c>
      <c r="P974" s="18" t="s">
        <v>203</v>
      </c>
      <c r="Q974" s="16">
        <v>46038.0</v>
      </c>
      <c r="R974" s="16" t="s">
        <v>38</v>
      </c>
      <c r="S974" s="13" t="s">
        <v>55</v>
      </c>
      <c r="T974" s="13" t="s">
        <v>66</v>
      </c>
      <c r="U974" s="13">
        <f t="shared" si="1"/>
        <v>2</v>
      </c>
      <c r="V974" s="13" t="str">
        <f t="shared" si="2"/>
        <v>C00286|Priya Iyer|59|East|Bhubaneswar|Standard|Referral|1/16/2025|36|Monthly|Upi|1,594|6|0|18.50|3.7|1/16/2026||Active|Automation</v>
      </c>
      <c r="W974" s="13">
        <f t="shared" si="3"/>
        <v>1</v>
      </c>
      <c r="X974" s="13">
        <f>IFERROR(__xludf.DUMMYFUNCTION("COUNTUNIQUE(FILTER($B$2:$B$1826,$A$2:$A$1826=A974))"),2.0)</f>
        <v>2</v>
      </c>
    </row>
    <row r="975">
      <c r="A975" s="13" t="s">
        <v>1574</v>
      </c>
      <c r="B975" s="13" t="s">
        <v>257</v>
      </c>
      <c r="C975" s="14">
        <v>28.0</v>
      </c>
      <c r="D975" s="13" t="s">
        <v>60</v>
      </c>
      <c r="E975" s="13" t="s">
        <v>97</v>
      </c>
      <c r="F975" s="13" t="s">
        <v>79</v>
      </c>
      <c r="G975" s="13" t="s">
        <v>128</v>
      </c>
      <c r="H975" s="16">
        <v>45579.0</v>
      </c>
      <c r="I975" s="14">
        <v>24.0</v>
      </c>
      <c r="J975" s="13" t="s">
        <v>53</v>
      </c>
      <c r="K975" s="13" t="s">
        <v>81</v>
      </c>
      <c r="L975" s="14">
        <v>2553.0</v>
      </c>
      <c r="M975" s="18" t="s">
        <v>43</v>
      </c>
      <c r="N975" s="18" t="s">
        <v>43</v>
      </c>
      <c r="O975" s="18">
        <v>43.0</v>
      </c>
      <c r="P975" s="18" t="s">
        <v>116</v>
      </c>
      <c r="Q975" s="16">
        <v>46170.0</v>
      </c>
      <c r="R975" s="16" t="s">
        <v>38</v>
      </c>
      <c r="S975" s="13" t="s">
        <v>55</v>
      </c>
      <c r="T975" s="13" t="s">
        <v>104</v>
      </c>
      <c r="U975" s="13">
        <f t="shared" si="1"/>
        <v>2</v>
      </c>
      <c r="V975" s="13" t="str">
        <f t="shared" si="2"/>
        <v>C01298|Sneha Reddy|28|East|Bhubaneswar|Premium|Youtube|10/14/2024|24|Quarterly|Debit Card|2,553|2|2|43.00|3.4|5/28/2026||Active|Analytics</v>
      </c>
      <c r="W975" s="13">
        <f t="shared" si="3"/>
        <v>1</v>
      </c>
      <c r="X975" s="13">
        <f>IFERROR(__xludf.DUMMYFUNCTION("COUNTUNIQUE(FILTER($B$2:$B$1826,$A$2:$A$1826=A975))"),2.0)</f>
        <v>2</v>
      </c>
    </row>
    <row r="976">
      <c r="A976" s="13" t="s">
        <v>1584</v>
      </c>
      <c r="B976" s="13" t="s">
        <v>232</v>
      </c>
      <c r="C976" s="14">
        <v>51.0</v>
      </c>
      <c r="D976" s="13" t="s">
        <v>35</v>
      </c>
      <c r="E976" s="13" t="s">
        <v>140</v>
      </c>
      <c r="F976" s="13" t="s">
        <v>37</v>
      </c>
      <c r="G976" s="13" t="s">
        <v>120</v>
      </c>
      <c r="H976" s="16">
        <v>44568.0</v>
      </c>
      <c r="I976" s="14">
        <v>5.0</v>
      </c>
      <c r="J976" s="13" t="s">
        <v>64</v>
      </c>
      <c r="K976" s="13" t="s">
        <v>65</v>
      </c>
      <c r="L976" s="14">
        <v>1505.0</v>
      </c>
      <c r="M976" s="18" t="s">
        <v>43</v>
      </c>
      <c r="N976" s="18" t="s">
        <v>43</v>
      </c>
      <c r="O976" s="18">
        <v>23.3</v>
      </c>
      <c r="P976" s="18" t="s">
        <v>48</v>
      </c>
      <c r="Q976" s="16">
        <v>44718.0</v>
      </c>
      <c r="R976" s="16" t="s">
        <v>38</v>
      </c>
      <c r="S976" s="13" t="s">
        <v>55</v>
      </c>
      <c r="T976" s="13" t="s">
        <v>47</v>
      </c>
      <c r="U976" s="13">
        <f t="shared" si="1"/>
        <v>1</v>
      </c>
      <c r="V976" s="13" t="str">
        <f t="shared" si="2"/>
        <v>C00518|Meera Iyer|51|North|Lucknow|Standard|Email|1/7/2022|5|Annual|Credit Card|1,505|2|2|23.30|3.6|6/6/2022||Active|Cloud Storage</v>
      </c>
      <c r="W976" s="13">
        <f t="shared" si="3"/>
        <v>1</v>
      </c>
      <c r="X976" s="13">
        <f>IFERROR(__xludf.DUMMYFUNCTION("COUNTUNIQUE(FILTER($B$2:$B$1826,$A$2:$A$1826=A976))"),1.0)</f>
        <v>1</v>
      </c>
    </row>
    <row r="977">
      <c r="A977" s="13" t="s">
        <v>1585</v>
      </c>
      <c r="B977" s="13" t="s">
        <v>288</v>
      </c>
      <c r="C977" s="14">
        <v>42.0</v>
      </c>
      <c r="D977" s="13" t="s">
        <v>35</v>
      </c>
      <c r="E977" s="13" t="s">
        <v>140</v>
      </c>
      <c r="F977" s="13" t="s">
        <v>37</v>
      </c>
      <c r="G977" s="13" t="s">
        <v>120</v>
      </c>
      <c r="H977" s="16">
        <v>45781.0</v>
      </c>
      <c r="I977" s="14">
        <v>7.0</v>
      </c>
      <c r="J977" s="13" t="s">
        <v>40</v>
      </c>
      <c r="K977" s="13" t="s">
        <v>41</v>
      </c>
      <c r="L977" s="14">
        <v>1319.0</v>
      </c>
      <c r="M977" s="18" t="s">
        <v>38</v>
      </c>
      <c r="N977" s="18" t="s">
        <v>98</v>
      </c>
      <c r="O977" s="18">
        <v>38.2</v>
      </c>
      <c r="P977" s="18" t="s">
        <v>38</v>
      </c>
      <c r="Q977" s="16">
        <v>45826.0</v>
      </c>
      <c r="R977" s="16" t="s">
        <v>38</v>
      </c>
      <c r="S977" s="13" t="s">
        <v>55</v>
      </c>
      <c r="T977" s="13" t="s">
        <v>104</v>
      </c>
      <c r="U977" s="13">
        <f t="shared" si="1"/>
        <v>1</v>
      </c>
      <c r="V977" s="13" t="str">
        <f t="shared" si="2"/>
        <v>C00545|Rahul Sharma|42|North|Lucknow|Standard|Email|5/4/2025|7|Monthly|Upi|1,319||1|38.20||6/18/2025||Active|Analytics</v>
      </c>
      <c r="W977" s="13">
        <f t="shared" si="3"/>
        <v>1</v>
      </c>
      <c r="X977" s="13">
        <f>IFERROR(__xludf.DUMMYFUNCTION("COUNTUNIQUE(FILTER($B$2:$B$1826,$A$2:$A$1826=A977))"),1.0)</f>
        <v>1</v>
      </c>
    </row>
    <row r="978">
      <c r="A978" s="13" t="s">
        <v>1209</v>
      </c>
      <c r="B978" s="13" t="s">
        <v>342</v>
      </c>
      <c r="C978" s="14">
        <v>58.0</v>
      </c>
      <c r="D978" s="13" t="s">
        <v>35</v>
      </c>
      <c r="E978" s="13" t="s">
        <v>161</v>
      </c>
      <c r="F978" s="13" t="s">
        <v>62</v>
      </c>
      <c r="G978" s="13" t="s">
        <v>63</v>
      </c>
      <c r="H978" s="16">
        <v>45968.0</v>
      </c>
      <c r="I978" s="14">
        <v>28.0</v>
      </c>
      <c r="J978" s="13" t="s">
        <v>64</v>
      </c>
      <c r="K978" s="13" t="s">
        <v>65</v>
      </c>
      <c r="L978" s="14">
        <v>837.0</v>
      </c>
      <c r="M978" s="18" t="s">
        <v>43</v>
      </c>
      <c r="N978" s="18" t="s">
        <v>43</v>
      </c>
      <c r="O978" s="18">
        <v>19.0</v>
      </c>
      <c r="P978" s="18" t="s">
        <v>116</v>
      </c>
      <c r="Q978" s="16">
        <v>45988.0</v>
      </c>
      <c r="R978" s="16" t="s">
        <v>38</v>
      </c>
      <c r="S978" s="13" t="s">
        <v>55</v>
      </c>
      <c r="T978" s="13" t="s">
        <v>72</v>
      </c>
      <c r="U978" s="13">
        <f t="shared" si="1"/>
        <v>3</v>
      </c>
      <c r="V978" s="13" t="str">
        <f t="shared" si="2"/>
        <v>C00569|Priya Reddy|58|North|Chandigarh|Basic|Google Ads|11/7/2025|28|Annual|Credit Card|837|2|2|19.00|3.4|11/27/2025||Active|Collaboration</v>
      </c>
      <c r="W978" s="13">
        <f t="shared" si="3"/>
        <v>1</v>
      </c>
      <c r="X978" s="13">
        <f>IFERROR(__xludf.DUMMYFUNCTION("COUNTUNIQUE(FILTER($B$2:$B$1826,$A$2:$A$1826=A978))"),3.0)</f>
        <v>3</v>
      </c>
    </row>
    <row r="979">
      <c r="A979" s="13" t="s">
        <v>1320</v>
      </c>
      <c r="B979" s="13" t="s">
        <v>459</v>
      </c>
      <c r="C979" s="14">
        <v>43.0</v>
      </c>
      <c r="D979" s="13" t="s">
        <v>69</v>
      </c>
      <c r="E979" s="13" t="s">
        <v>187</v>
      </c>
      <c r="F979" s="13" t="s">
        <v>62</v>
      </c>
      <c r="G979" s="13" t="s">
        <v>80</v>
      </c>
      <c r="H979" s="16">
        <v>45730.0</v>
      </c>
      <c r="I979" s="14">
        <v>18.0</v>
      </c>
      <c r="J979" s="13" t="s">
        <v>40</v>
      </c>
      <c r="K979" s="13" t="s">
        <v>81</v>
      </c>
      <c r="L979" s="14">
        <v>680.0</v>
      </c>
      <c r="M979" s="18" t="s">
        <v>98</v>
      </c>
      <c r="N979" s="18" t="s">
        <v>46</v>
      </c>
      <c r="O979" s="18">
        <v>15.7</v>
      </c>
      <c r="P979" s="18" t="s">
        <v>275</v>
      </c>
      <c r="Q979" s="16">
        <v>45763.0</v>
      </c>
      <c r="R979" s="16">
        <v>46084.0</v>
      </c>
      <c r="S979" s="13" t="s">
        <v>45</v>
      </c>
      <c r="T979" s="13" t="s">
        <v>66</v>
      </c>
      <c r="U979" s="13">
        <f t="shared" si="1"/>
        <v>3</v>
      </c>
      <c r="V979" s="13" t="str">
        <f t="shared" si="2"/>
        <v>C00881|Neha Patel|43|South|Chennai|Basic|Organic Search|3/14/2025|18|Monthly|Debit Card|680|1|0|15.70|4.3|4/16/2025|3/3/2026|Churned|Automation</v>
      </c>
      <c r="W979" s="13">
        <f t="shared" si="3"/>
        <v>1</v>
      </c>
      <c r="X979" s="13">
        <f>IFERROR(__xludf.DUMMYFUNCTION("COUNTUNIQUE(FILTER($B$2:$B$1826,$A$2:$A$1826=A979))"),3.0)</f>
        <v>3</v>
      </c>
    </row>
    <row r="980">
      <c r="A980" s="13" t="s">
        <v>962</v>
      </c>
      <c r="B980" s="13" t="s">
        <v>190</v>
      </c>
      <c r="C980" s="14">
        <v>30.0</v>
      </c>
      <c r="D980" s="13" t="s">
        <v>69</v>
      </c>
      <c r="E980" s="13" t="s">
        <v>70</v>
      </c>
      <c r="F980" s="13" t="s">
        <v>37</v>
      </c>
      <c r="G980" s="13" t="s">
        <v>80</v>
      </c>
      <c r="H980" s="16">
        <v>45114.0</v>
      </c>
      <c r="I980" s="14">
        <v>32.0</v>
      </c>
      <c r="J980" s="13" t="s">
        <v>40</v>
      </c>
      <c r="K980" s="13" t="s">
        <v>65</v>
      </c>
      <c r="L980" s="14">
        <v>1415.0</v>
      </c>
      <c r="M980" s="18" t="s">
        <v>38</v>
      </c>
      <c r="N980" s="18" t="s">
        <v>98</v>
      </c>
      <c r="O980" s="18">
        <v>24.5</v>
      </c>
      <c r="P980" s="18" t="s">
        <v>173</v>
      </c>
      <c r="Q980" s="16">
        <v>45371.0</v>
      </c>
      <c r="R980" s="16" t="s">
        <v>38</v>
      </c>
      <c r="S980" s="13" t="s">
        <v>55</v>
      </c>
      <c r="T980" s="13" t="s">
        <v>104</v>
      </c>
      <c r="U980" s="13">
        <f t="shared" si="1"/>
        <v>3</v>
      </c>
      <c r="V980" s="13" t="str">
        <f t="shared" si="2"/>
        <v>C00036|Sneha Patel|30|South|Bengaluru|Standard|Organic Search|7/7/2023|32|Monthly|Credit Card|1,415||1|24.50|5|3/20/2024||Active|Analytics</v>
      </c>
      <c r="W980" s="13">
        <f t="shared" si="3"/>
        <v>1</v>
      </c>
      <c r="X980" s="13">
        <f>IFERROR(__xludf.DUMMYFUNCTION("COUNTUNIQUE(FILTER($B$2:$B$1826,$A$2:$A$1826=A980))"),3.0)</f>
        <v>3</v>
      </c>
    </row>
    <row r="981">
      <c r="A981" s="13" t="s">
        <v>95</v>
      </c>
      <c r="B981" s="13" t="s">
        <v>118</v>
      </c>
      <c r="C981" s="14">
        <v>47.0</v>
      </c>
      <c r="D981" s="13" t="s">
        <v>35</v>
      </c>
      <c r="E981" s="13" t="s">
        <v>177</v>
      </c>
      <c r="F981" s="13" t="s">
        <v>62</v>
      </c>
      <c r="G981" s="13" t="s">
        <v>128</v>
      </c>
      <c r="H981" s="16">
        <v>45790.0</v>
      </c>
      <c r="I981" s="14">
        <v>25.0</v>
      </c>
      <c r="J981" s="13" t="s">
        <v>40</v>
      </c>
      <c r="K981" s="13" t="s">
        <v>81</v>
      </c>
      <c r="L981" s="14">
        <v>617.0</v>
      </c>
      <c r="M981" s="18" t="s">
        <v>43</v>
      </c>
      <c r="N981" s="18" t="s">
        <v>43</v>
      </c>
      <c r="O981" s="18">
        <v>14.4</v>
      </c>
      <c r="P981" s="18" t="s">
        <v>248</v>
      </c>
      <c r="Q981" s="16">
        <v>45883.0</v>
      </c>
      <c r="R981" s="16" t="s">
        <v>38</v>
      </c>
      <c r="S981" s="13" t="s">
        <v>45</v>
      </c>
      <c r="T981" s="13" t="s">
        <v>75</v>
      </c>
      <c r="U981" s="13">
        <f t="shared" si="1"/>
        <v>4</v>
      </c>
      <c r="V981" s="13" t="str">
        <f t="shared" si="2"/>
        <v>C00007|Karan Nair|47|North|Hyderabad|Basic|Youtube|5/13/2025|25|Monthly|Debit Card|617|2|2|14.40|2.6|8/14/2025||Churned|Security</v>
      </c>
      <c r="W981" s="13">
        <f t="shared" si="3"/>
        <v>1</v>
      </c>
      <c r="X981" s="13">
        <f>IFERROR(__xludf.DUMMYFUNCTION("COUNTUNIQUE(FILTER($B$2:$B$1826,$A$2:$A$1826=A981))"),4.0)</f>
        <v>4</v>
      </c>
    </row>
    <row r="982">
      <c r="A982" s="13" t="s">
        <v>385</v>
      </c>
      <c r="B982" s="13" t="s">
        <v>734</v>
      </c>
      <c r="C982" s="14">
        <v>47.0</v>
      </c>
      <c r="D982" s="13" t="s">
        <v>85</v>
      </c>
      <c r="E982" s="13" t="s">
        <v>292</v>
      </c>
      <c r="F982" s="13" t="s">
        <v>37</v>
      </c>
      <c r="G982" s="13" t="s">
        <v>210</v>
      </c>
      <c r="H982" s="16">
        <v>44982.0</v>
      </c>
      <c r="I982" s="14">
        <v>44.0</v>
      </c>
      <c r="J982" s="13" t="s">
        <v>64</v>
      </c>
      <c r="K982" s="13" t="s">
        <v>41</v>
      </c>
      <c r="L982" s="14">
        <v>1349.0</v>
      </c>
      <c r="M982" s="18" t="s">
        <v>98</v>
      </c>
      <c r="N982" s="18" t="s">
        <v>43</v>
      </c>
      <c r="O982" s="18">
        <v>36.2</v>
      </c>
      <c r="P982" s="18" t="s">
        <v>233</v>
      </c>
      <c r="Q982" s="16">
        <v>45034.0</v>
      </c>
      <c r="R982" s="16" t="s">
        <v>38</v>
      </c>
      <c r="S982" s="13" t="s">
        <v>55</v>
      </c>
      <c r="T982" s="13" t="s">
        <v>72</v>
      </c>
      <c r="U982" s="13">
        <f t="shared" si="1"/>
        <v>2</v>
      </c>
      <c r="V982" s="13" t="str">
        <f t="shared" si="2"/>
        <v>C01260|Sneha Das|47|West|Mumbai|Standard|Referral|2/25/2023|44|Annual|Upi|1,349|1|2|36.20|3.5|4/18/2023||Active|Collaboration</v>
      </c>
      <c r="W982" s="13">
        <f t="shared" si="3"/>
        <v>1</v>
      </c>
      <c r="X982" s="13">
        <f>IFERROR(__xludf.DUMMYFUNCTION("COUNTUNIQUE(FILTER($B$2:$B$1826,$A$2:$A$1826=A982))"),2.0)</f>
        <v>2</v>
      </c>
    </row>
    <row r="983">
      <c r="A983" s="13" t="s">
        <v>1588</v>
      </c>
      <c r="B983" s="13" t="s">
        <v>250</v>
      </c>
      <c r="C983" s="14">
        <v>43.0</v>
      </c>
      <c r="D983" s="13" t="s">
        <v>35</v>
      </c>
      <c r="E983" s="13" t="s">
        <v>140</v>
      </c>
      <c r="F983" s="13" t="s">
        <v>62</v>
      </c>
      <c r="G983" s="13" t="s">
        <v>120</v>
      </c>
      <c r="H983" s="16">
        <v>44986.0</v>
      </c>
      <c r="I983" s="14">
        <v>14.0</v>
      </c>
      <c r="J983" s="13" t="s">
        <v>64</v>
      </c>
      <c r="K983" s="13" t="s">
        <v>65</v>
      </c>
      <c r="L983" s="14">
        <v>706.0</v>
      </c>
      <c r="M983" s="18" t="s">
        <v>43</v>
      </c>
      <c r="N983" s="18" t="s">
        <v>164</v>
      </c>
      <c r="O983" s="18">
        <v>8.0</v>
      </c>
      <c r="P983" s="18" t="s">
        <v>408</v>
      </c>
      <c r="Q983" s="16">
        <v>45362.0</v>
      </c>
      <c r="R983" s="16" t="s">
        <v>38</v>
      </c>
      <c r="S983" s="13" t="s">
        <v>55</v>
      </c>
      <c r="T983" s="13" t="s">
        <v>104</v>
      </c>
      <c r="U983" s="13">
        <f t="shared" si="1"/>
        <v>1</v>
      </c>
      <c r="V983" s="13" t="str">
        <f t="shared" si="2"/>
        <v>C00296|Vikram Singh|43|North|Lucknow|Basic|Email|3/1/2023|14|Annual|Credit Card|706|2|3|8.00|4.2|3/11/2024||Active|Analytics</v>
      </c>
      <c r="W983" s="13">
        <f t="shared" si="3"/>
        <v>1</v>
      </c>
      <c r="X983" s="13">
        <f>IFERROR(__xludf.DUMMYFUNCTION("COUNTUNIQUE(FILTER($B$2:$B$1826,$A$2:$A$1826=A983))"),1.0)</f>
        <v>1</v>
      </c>
    </row>
    <row r="984">
      <c r="A984" s="13" t="s">
        <v>1589</v>
      </c>
      <c r="B984" s="13" t="s">
        <v>118</v>
      </c>
      <c r="C984" s="14">
        <v>46.0</v>
      </c>
      <c r="D984" s="13" t="s">
        <v>69</v>
      </c>
      <c r="E984" s="13" t="s">
        <v>70</v>
      </c>
      <c r="F984" s="13" t="s">
        <v>37</v>
      </c>
      <c r="G984" s="13" t="s">
        <v>128</v>
      </c>
      <c r="H984" s="16">
        <v>44606.0</v>
      </c>
      <c r="I984" s="14">
        <v>25.0</v>
      </c>
      <c r="J984" s="13" t="s">
        <v>40</v>
      </c>
      <c r="K984" s="13" t="s">
        <v>65</v>
      </c>
      <c r="L984" s="14">
        <v>1389.0</v>
      </c>
      <c r="M984" s="18" t="s">
        <v>43</v>
      </c>
      <c r="N984" s="18" t="s">
        <v>98</v>
      </c>
      <c r="O984" s="18">
        <v>27.9</v>
      </c>
      <c r="P984" s="18" t="s">
        <v>701</v>
      </c>
      <c r="Q984" s="16">
        <v>45118.0</v>
      </c>
      <c r="R984" s="16" t="s">
        <v>38</v>
      </c>
      <c r="S984" s="13" t="s">
        <v>55</v>
      </c>
      <c r="T984" s="13" t="s">
        <v>72</v>
      </c>
      <c r="U984" s="13">
        <f t="shared" si="1"/>
        <v>1</v>
      </c>
      <c r="V984" s="13" t="str">
        <f t="shared" si="2"/>
        <v>C01406|Karan Nair|46|South|Bengaluru|Standard|Youtube|2/14/2022|25|Monthly|Credit Card|1,389|2|1|27.90|2.8|7/11/2023||Active|Collaboration</v>
      </c>
      <c r="W984" s="13">
        <f t="shared" si="3"/>
        <v>1</v>
      </c>
      <c r="X984" s="13">
        <f>IFERROR(__xludf.DUMMYFUNCTION("COUNTUNIQUE(FILTER($B$2:$B$1826,$A$2:$A$1826=A984))"),1.0)</f>
        <v>1</v>
      </c>
    </row>
    <row r="985">
      <c r="A985" s="13" t="s">
        <v>1591</v>
      </c>
      <c r="B985" s="13" t="s">
        <v>395</v>
      </c>
      <c r="C985" s="14">
        <v>21.0</v>
      </c>
      <c r="D985" s="13" t="s">
        <v>69</v>
      </c>
      <c r="E985" s="13" t="s">
        <v>177</v>
      </c>
      <c r="F985" s="13" t="s">
        <v>62</v>
      </c>
      <c r="G985" s="13" t="s">
        <v>210</v>
      </c>
      <c r="H985" s="16">
        <v>45542.0</v>
      </c>
      <c r="I985" s="14">
        <v>11.0</v>
      </c>
      <c r="J985" s="13" t="s">
        <v>53</v>
      </c>
      <c r="K985" s="13" t="s">
        <v>65</v>
      </c>
      <c r="L985" s="14">
        <v>798.0</v>
      </c>
      <c r="M985" s="18" t="s">
        <v>98</v>
      </c>
      <c r="N985" s="18" t="s">
        <v>98</v>
      </c>
      <c r="O985" s="18">
        <v>10.8</v>
      </c>
      <c r="P985" s="18" t="s">
        <v>99</v>
      </c>
      <c r="Q985" s="16">
        <v>45858.0</v>
      </c>
      <c r="R985" s="16" t="s">
        <v>38</v>
      </c>
      <c r="S985" s="13" t="s">
        <v>55</v>
      </c>
      <c r="T985" s="13" t="s">
        <v>104</v>
      </c>
      <c r="U985" s="13">
        <f t="shared" si="1"/>
        <v>1</v>
      </c>
      <c r="V985" s="13" t="str">
        <f t="shared" si="2"/>
        <v>C00714|Ravi Singh|21|South|Hyderabad|Basic|Referral|9/7/2024|11|Quarterly|Credit Card|798|1|1|10.80|4|7/20/2025||Active|Analytics</v>
      </c>
      <c r="W985" s="13">
        <f t="shared" si="3"/>
        <v>1</v>
      </c>
      <c r="X985" s="13">
        <f>IFERROR(__xludf.DUMMYFUNCTION("COUNTUNIQUE(FILTER($B$2:$B$1826,$A$2:$A$1826=A985))"),1.0)</f>
        <v>1</v>
      </c>
    </row>
    <row r="986">
      <c r="A986" s="13" t="s">
        <v>909</v>
      </c>
      <c r="B986" s="13" t="s">
        <v>169</v>
      </c>
      <c r="C986" s="14">
        <v>28.0</v>
      </c>
      <c r="D986" s="13" t="s">
        <v>69</v>
      </c>
      <c r="E986" s="13" t="s">
        <v>70</v>
      </c>
      <c r="F986" s="13" t="s">
        <v>37</v>
      </c>
      <c r="G986" s="13" t="s">
        <v>39</v>
      </c>
      <c r="H986" s="16">
        <v>44751.0</v>
      </c>
      <c r="I986" s="14">
        <v>40.0</v>
      </c>
      <c r="J986" s="13" t="s">
        <v>53</v>
      </c>
      <c r="K986" s="13" t="s">
        <v>41</v>
      </c>
      <c r="L986" s="14">
        <v>1255.0</v>
      </c>
      <c r="M986" s="18" t="s">
        <v>46</v>
      </c>
      <c r="N986" s="18" t="s">
        <v>43</v>
      </c>
      <c r="O986" s="18">
        <v>35.7</v>
      </c>
      <c r="P986" s="18" t="s">
        <v>310</v>
      </c>
      <c r="Q986" s="16">
        <v>45836.0</v>
      </c>
      <c r="R986" s="16" t="s">
        <v>38</v>
      </c>
      <c r="S986" s="13" t="s">
        <v>55</v>
      </c>
      <c r="T986" s="13" t="s">
        <v>75</v>
      </c>
      <c r="U986" s="13">
        <f t="shared" si="1"/>
        <v>4</v>
      </c>
      <c r="V986" s="13" t="str">
        <f t="shared" si="2"/>
        <v>C01558|Vikram Nair|28|South|Bengaluru|Standard|Instagram|7/9/2022|40|Quarterly|Upi|1,255|0|2|35.70|3.1|6/28/2025||Active|Security</v>
      </c>
      <c r="W986" s="13">
        <f t="shared" si="3"/>
        <v>1</v>
      </c>
      <c r="X986" s="13">
        <f>IFERROR(__xludf.DUMMYFUNCTION("COUNTUNIQUE(FILTER($B$2:$B$1826,$A$2:$A$1826=A986))"),4.0)</f>
        <v>4</v>
      </c>
    </row>
    <row r="987">
      <c r="A987" s="13" t="s">
        <v>985</v>
      </c>
      <c r="B987" s="13" t="s">
        <v>322</v>
      </c>
      <c r="C987" s="14">
        <v>54.0</v>
      </c>
      <c r="D987" s="13" t="s">
        <v>69</v>
      </c>
      <c r="E987" s="13" t="s">
        <v>187</v>
      </c>
      <c r="F987" s="13" t="s">
        <v>62</v>
      </c>
      <c r="G987" s="13" t="s">
        <v>39</v>
      </c>
      <c r="H987" s="16">
        <v>45628.0</v>
      </c>
      <c r="I987" s="14">
        <v>5.0</v>
      </c>
      <c r="J987" s="13" t="s">
        <v>53</v>
      </c>
      <c r="K987" s="13" t="s">
        <v>65</v>
      </c>
      <c r="L987" s="14">
        <v>546.0</v>
      </c>
      <c r="M987" s="18" t="s">
        <v>98</v>
      </c>
      <c r="N987" s="18" t="s">
        <v>98</v>
      </c>
      <c r="O987" s="18">
        <v>13.3</v>
      </c>
      <c r="P987" s="18" t="s">
        <v>233</v>
      </c>
      <c r="Q987" s="16">
        <v>45784.0</v>
      </c>
      <c r="R987" s="16" t="s">
        <v>38</v>
      </c>
      <c r="S987" s="13" t="s">
        <v>55</v>
      </c>
      <c r="T987" s="13" t="s">
        <v>47</v>
      </c>
      <c r="U987" s="13">
        <f t="shared" si="1"/>
        <v>3</v>
      </c>
      <c r="V987" s="13" t="str">
        <f t="shared" si="2"/>
        <v>C00571|Rahul Iyer|54|South|Chennai|Basic|Instagram|12/2/2024|5|Quarterly|Credit Card|546|1|1|13.30|3.5|5/7/2025||Active|Cloud Storage</v>
      </c>
      <c r="W987" s="13">
        <f t="shared" si="3"/>
        <v>1</v>
      </c>
      <c r="X987" s="13">
        <f>IFERROR(__xludf.DUMMYFUNCTION("COUNTUNIQUE(FILTER($B$2:$B$1826,$A$2:$A$1826=A987))"),3.0)</f>
        <v>3</v>
      </c>
    </row>
    <row r="988">
      <c r="A988" s="13" t="s">
        <v>350</v>
      </c>
      <c r="B988" s="13" t="s">
        <v>257</v>
      </c>
      <c r="C988" s="14">
        <v>65.0</v>
      </c>
      <c r="D988" s="13" t="s">
        <v>35</v>
      </c>
      <c r="E988" s="13" t="s">
        <v>51</v>
      </c>
      <c r="F988" s="13" t="s">
        <v>37</v>
      </c>
      <c r="G988" s="13" t="s">
        <v>63</v>
      </c>
      <c r="H988" s="16">
        <v>44699.0</v>
      </c>
      <c r="I988" s="14">
        <v>7.0</v>
      </c>
      <c r="J988" s="13" t="s">
        <v>40</v>
      </c>
      <c r="K988" s="13" t="s">
        <v>41</v>
      </c>
      <c r="L988" s="14">
        <v>1182.0</v>
      </c>
      <c r="M988" s="18" t="s">
        <v>98</v>
      </c>
      <c r="N988" s="18" t="s">
        <v>46</v>
      </c>
      <c r="O988" s="18">
        <v>15.5</v>
      </c>
      <c r="P988" s="18" t="s">
        <v>173</v>
      </c>
      <c r="Q988" s="16">
        <v>44740.0</v>
      </c>
      <c r="R988" s="16" t="s">
        <v>38</v>
      </c>
      <c r="S988" s="13" t="s">
        <v>55</v>
      </c>
      <c r="T988" s="13" t="s">
        <v>66</v>
      </c>
      <c r="U988" s="13">
        <f t="shared" si="1"/>
        <v>4</v>
      </c>
      <c r="V988" s="13" t="str">
        <f t="shared" si="2"/>
        <v>C00484|Sneha Reddy|65|North|Jaipur|Standard|Google Ads|5/18/2022|7|Monthly|Upi|1,182|1|0|15.50|5|6/28/2022||Active|Automation</v>
      </c>
      <c r="W988" s="13">
        <f t="shared" si="3"/>
        <v>1</v>
      </c>
      <c r="X988" s="13">
        <f>IFERROR(__xludf.DUMMYFUNCTION("COUNTUNIQUE(FILTER($B$2:$B$1826,$A$2:$A$1826=A988))"),4.0)</f>
        <v>4</v>
      </c>
    </row>
    <row r="989">
      <c r="A989" s="13" t="s">
        <v>1254</v>
      </c>
      <c r="B989" s="13" t="s">
        <v>106</v>
      </c>
      <c r="C989" s="14">
        <v>22.0</v>
      </c>
      <c r="D989" s="13" t="s">
        <v>69</v>
      </c>
      <c r="E989" s="13" t="s">
        <v>70</v>
      </c>
      <c r="F989" s="13" t="s">
        <v>62</v>
      </c>
      <c r="G989" s="13" t="s">
        <v>39</v>
      </c>
      <c r="H989" s="16">
        <v>45119.0</v>
      </c>
      <c r="I989" s="14">
        <v>33.0</v>
      </c>
      <c r="J989" s="13" t="s">
        <v>53</v>
      </c>
      <c r="K989" s="13" t="s">
        <v>41</v>
      </c>
      <c r="L989" s="14">
        <v>755.0</v>
      </c>
      <c r="M989" s="18" t="s">
        <v>98</v>
      </c>
      <c r="N989" s="18" t="s">
        <v>46</v>
      </c>
      <c r="O989" s="18">
        <v>23.6</v>
      </c>
      <c r="P989" s="18" t="s">
        <v>263</v>
      </c>
      <c r="Q989" s="16">
        <v>45187.0</v>
      </c>
      <c r="R989" s="16" t="s">
        <v>1592</v>
      </c>
      <c r="S989" s="13" t="s">
        <v>45</v>
      </c>
      <c r="T989" s="13" t="s">
        <v>47</v>
      </c>
      <c r="U989" s="13">
        <f t="shared" si="1"/>
        <v>4</v>
      </c>
      <c r="V989" s="13" t="str">
        <f t="shared" si="2"/>
        <v>C00383|Rahul Patel|22|South|Bengaluru|Basic|Instagram|7/12/2023|33|Quarterly|Upi|755|1|0|23.60|2.9|9/18/2023|17/09/2024|Churned|Cloud Storage</v>
      </c>
      <c r="W989" s="13">
        <f t="shared" si="3"/>
        <v>1</v>
      </c>
      <c r="X989" s="13">
        <f>IFERROR(__xludf.DUMMYFUNCTION("COUNTUNIQUE(FILTER($B$2:$B$1826,$A$2:$A$1826=A989))"),4.0)</f>
        <v>4</v>
      </c>
    </row>
    <row r="990">
      <c r="A990" s="13" t="s">
        <v>407</v>
      </c>
      <c r="B990" s="13" t="s">
        <v>651</v>
      </c>
      <c r="C990" s="14">
        <v>43.0</v>
      </c>
      <c r="D990" s="13" t="s">
        <v>60</v>
      </c>
      <c r="E990" s="13" t="s">
        <v>107</v>
      </c>
      <c r="F990" s="13" t="s">
        <v>37</v>
      </c>
      <c r="G990" s="13" t="s">
        <v>120</v>
      </c>
      <c r="H990" s="16">
        <v>44920.0</v>
      </c>
      <c r="I990" s="14">
        <v>46.0</v>
      </c>
      <c r="J990" s="13" t="s">
        <v>40</v>
      </c>
      <c r="K990" s="13" t="s">
        <v>41</v>
      </c>
      <c r="L990" s="14">
        <v>1164.0</v>
      </c>
      <c r="M990" s="18" t="s">
        <v>98</v>
      </c>
      <c r="N990" s="18" t="s">
        <v>46</v>
      </c>
      <c r="O990" s="18">
        <v>10.5</v>
      </c>
      <c r="P990" s="18" t="s">
        <v>130</v>
      </c>
      <c r="Q990" s="16">
        <v>46171.0</v>
      </c>
      <c r="R990" s="16" t="s">
        <v>38</v>
      </c>
      <c r="S990" s="13" t="s">
        <v>55</v>
      </c>
      <c r="T990" s="13" t="s">
        <v>72</v>
      </c>
      <c r="U990" s="13">
        <f t="shared" si="1"/>
        <v>4</v>
      </c>
      <c r="V990" s="13" t="str">
        <f t="shared" si="2"/>
        <v>C00496|Arun Sharma|43|East|Patna|Standard|Email|12/25/2022|46|Monthly|Upi|1,164|1|0|10.50|3.9|5/29/2026||Active|Collaboration</v>
      </c>
      <c r="W990" s="13">
        <f t="shared" si="3"/>
        <v>1</v>
      </c>
      <c r="X990" s="13">
        <f>IFERROR(__xludf.DUMMYFUNCTION("COUNTUNIQUE(FILTER($B$2:$B$1826,$A$2:$A$1826=A990))"),4.0)</f>
        <v>4</v>
      </c>
    </row>
    <row r="991">
      <c r="A991" s="13" t="s">
        <v>462</v>
      </c>
      <c r="B991" s="13" t="s">
        <v>139</v>
      </c>
      <c r="C991" s="14">
        <v>29.0</v>
      </c>
      <c r="D991" s="13" t="s">
        <v>85</v>
      </c>
      <c r="E991" s="13" t="s">
        <v>87</v>
      </c>
      <c r="F991" s="13" t="s">
        <v>37</v>
      </c>
      <c r="G991" s="13" t="s">
        <v>52</v>
      </c>
      <c r="H991" s="16">
        <v>45389.0</v>
      </c>
      <c r="I991" s="14">
        <v>34.0</v>
      </c>
      <c r="J991" s="13" t="s">
        <v>64</v>
      </c>
      <c r="K991" s="13" t="s">
        <v>65</v>
      </c>
      <c r="L991" s="14">
        <v>1531.0</v>
      </c>
      <c r="M991" s="18" t="s">
        <v>164</v>
      </c>
      <c r="N991" s="18" t="s">
        <v>98</v>
      </c>
      <c r="O991" s="18">
        <v>31.7</v>
      </c>
      <c r="P991" s="18" t="s">
        <v>173</v>
      </c>
      <c r="Q991" s="16">
        <v>46228.0</v>
      </c>
      <c r="R991" s="16" t="s">
        <v>38</v>
      </c>
      <c r="S991" s="13" t="s">
        <v>55</v>
      </c>
      <c r="T991" s="13" t="s">
        <v>47</v>
      </c>
      <c r="U991" s="13">
        <f t="shared" si="1"/>
        <v>5</v>
      </c>
      <c r="V991" s="13" t="str">
        <f t="shared" si="2"/>
        <v>C00944|Vikram Das|29|West|Surat|Standard|Facebook|4/7/2024|34|Annual|Credit Card|1,531|3|1|31.70|5|7/25/2026||Active|Cloud Storage</v>
      </c>
      <c r="W991" s="13">
        <f t="shared" si="3"/>
        <v>1</v>
      </c>
      <c r="X991" s="13">
        <f>IFERROR(__xludf.DUMMYFUNCTION("COUNTUNIQUE(FILTER($B$2:$B$1826,$A$2:$A$1826=A991))"),5.0)</f>
        <v>5</v>
      </c>
    </row>
    <row r="992">
      <c r="A992" s="13" t="s">
        <v>1593</v>
      </c>
      <c r="B992" s="13" t="s">
        <v>74</v>
      </c>
      <c r="C992" s="14">
        <v>39.0</v>
      </c>
      <c r="D992" s="13" t="s">
        <v>69</v>
      </c>
      <c r="E992" s="13" t="s">
        <v>70</v>
      </c>
      <c r="F992" s="13" t="s">
        <v>37</v>
      </c>
      <c r="G992" s="13" t="s">
        <v>210</v>
      </c>
      <c r="H992" s="16">
        <v>45173.0</v>
      </c>
      <c r="I992" s="14">
        <v>8.0</v>
      </c>
      <c r="J992" s="13" t="s">
        <v>53</v>
      </c>
      <c r="K992" s="13" t="s">
        <v>41</v>
      </c>
      <c r="L992" s="14">
        <v>1390.0</v>
      </c>
      <c r="M992" s="18" t="s">
        <v>164</v>
      </c>
      <c r="N992" s="18" t="s">
        <v>98</v>
      </c>
      <c r="O992" s="18">
        <v>15.0</v>
      </c>
      <c r="P992" s="18" t="s">
        <v>1222</v>
      </c>
      <c r="Q992" s="16">
        <v>45259.0</v>
      </c>
      <c r="R992" s="16" t="s">
        <v>38</v>
      </c>
      <c r="S992" s="13" t="s">
        <v>55</v>
      </c>
      <c r="T992" s="13" t="s">
        <v>104</v>
      </c>
      <c r="U992" s="13">
        <f t="shared" si="1"/>
        <v>1</v>
      </c>
      <c r="V992" s="13" t="str">
        <f t="shared" si="2"/>
        <v>C00075|Anita Kumar|39|South|Bengaluru|Standard|Referral|9/4/2023|8|Quarterly|Upi|1,390|3|1|15.00|1.4|11/29/2023||Active|Analytics</v>
      </c>
      <c r="W992" s="13">
        <f t="shared" si="3"/>
        <v>1</v>
      </c>
      <c r="X992" s="13">
        <f>IFERROR(__xludf.DUMMYFUNCTION("COUNTUNIQUE(FILTER($B$2:$B$1826,$A$2:$A$1826=A992))"),1.0)</f>
        <v>1</v>
      </c>
    </row>
    <row r="993">
      <c r="A993" s="13" t="s">
        <v>1594</v>
      </c>
      <c r="B993" s="13" t="s">
        <v>241</v>
      </c>
      <c r="C993" s="14">
        <v>50.0</v>
      </c>
      <c r="D993" s="13" t="s">
        <v>85</v>
      </c>
      <c r="E993" s="13" t="s">
        <v>111</v>
      </c>
      <c r="F993" s="13" t="s">
        <v>62</v>
      </c>
      <c r="G993" s="13" t="s">
        <v>80</v>
      </c>
      <c r="H993" s="16">
        <v>44848.0</v>
      </c>
      <c r="I993" s="14">
        <v>42.0</v>
      </c>
      <c r="J993" s="13" t="s">
        <v>53</v>
      </c>
      <c r="K993" s="13" t="s">
        <v>65</v>
      </c>
      <c r="L993" s="14">
        <v>701.0</v>
      </c>
      <c r="M993" s="18" t="s">
        <v>99</v>
      </c>
      <c r="N993" s="18" t="s">
        <v>98</v>
      </c>
      <c r="O993" s="18">
        <v>22.1</v>
      </c>
      <c r="P993" s="18" t="s">
        <v>310</v>
      </c>
      <c r="Q993" s="16">
        <v>44891.0</v>
      </c>
      <c r="R993" s="16" t="s">
        <v>304</v>
      </c>
      <c r="S993" s="13" t="s">
        <v>45</v>
      </c>
      <c r="T993" s="13" t="s">
        <v>75</v>
      </c>
      <c r="U993" s="13">
        <f t="shared" si="1"/>
        <v>1</v>
      </c>
      <c r="V993" s="13" t="str">
        <f t="shared" si="2"/>
        <v>C00442|Sneha Iyer|50|West|Pune|Basic|Organic Search|10/14/2022|42|Quarterly|Credit Card|701|4|1|22.10|3.1|11/26/2022|21/02/2024|Churned|Security</v>
      </c>
      <c r="W993" s="13">
        <f t="shared" si="3"/>
        <v>1</v>
      </c>
      <c r="X993" s="13">
        <f>IFERROR(__xludf.DUMMYFUNCTION("COUNTUNIQUE(FILTER($B$2:$B$1826,$A$2:$A$1826=A993))"),1.0)</f>
        <v>1</v>
      </c>
    </row>
    <row r="994">
      <c r="A994" s="13" t="s">
        <v>1595</v>
      </c>
      <c r="B994" s="13" t="s">
        <v>734</v>
      </c>
      <c r="C994" s="14">
        <v>60.0</v>
      </c>
      <c r="D994" s="13" t="s">
        <v>69</v>
      </c>
      <c r="E994" s="13" t="s">
        <v>119</v>
      </c>
      <c r="F994" s="13" t="s">
        <v>62</v>
      </c>
      <c r="G994" s="13" t="s">
        <v>63</v>
      </c>
      <c r="H994" s="16">
        <v>45064.0</v>
      </c>
      <c r="I994" s="14">
        <v>10.0</v>
      </c>
      <c r="J994" s="13" t="s">
        <v>40</v>
      </c>
      <c r="K994" s="13" t="s">
        <v>41</v>
      </c>
      <c r="L994" s="14">
        <v>550.0</v>
      </c>
      <c r="M994" s="18" t="s">
        <v>43</v>
      </c>
      <c r="N994" s="18" t="s">
        <v>46</v>
      </c>
      <c r="O994" s="18">
        <v>17.5</v>
      </c>
      <c r="P994" s="18" t="s">
        <v>400</v>
      </c>
      <c r="Q994" s="16">
        <v>45101.0</v>
      </c>
      <c r="R994" s="16" t="s">
        <v>1596</v>
      </c>
      <c r="S994" s="13" t="s">
        <v>45</v>
      </c>
      <c r="T994" s="13" t="s">
        <v>66</v>
      </c>
      <c r="U994" s="13">
        <f t="shared" si="1"/>
        <v>3</v>
      </c>
      <c r="V994" s="13" t="str">
        <f t="shared" si="2"/>
        <v>C00761|Sneha Das|60|South|Kochi|Basic|Google Ads|5/18/2023|10|Monthly|Upi|550|2|0|17.50|4.8|6/24/2023|13/12/2023|Churned|Automation</v>
      </c>
      <c r="W994" s="13">
        <f t="shared" si="3"/>
        <v>1</v>
      </c>
      <c r="X994" s="13">
        <f>IFERROR(__xludf.DUMMYFUNCTION("COUNTUNIQUE(FILTER($B$2:$B$1826,$A$2:$A$1826=A994))"),3.0)</f>
        <v>3</v>
      </c>
    </row>
    <row r="995">
      <c r="A995" s="13" t="s">
        <v>893</v>
      </c>
      <c r="B995" s="13" t="s">
        <v>96</v>
      </c>
      <c r="C995" s="14">
        <v>25.0</v>
      </c>
      <c r="D995" s="13" t="s">
        <v>60</v>
      </c>
      <c r="E995" s="13" t="s">
        <v>133</v>
      </c>
      <c r="F995" s="13" t="s">
        <v>62</v>
      </c>
      <c r="G995" s="13" t="s">
        <v>128</v>
      </c>
      <c r="H995" s="16">
        <v>45543.0</v>
      </c>
      <c r="I995" s="14">
        <v>5.0</v>
      </c>
      <c r="J995" s="13" t="s">
        <v>40</v>
      </c>
      <c r="K995" s="13" t="s">
        <v>81</v>
      </c>
      <c r="L995" s="14">
        <v>598.0</v>
      </c>
      <c r="M995" s="18" t="s">
        <v>98</v>
      </c>
      <c r="N995" s="18" t="s">
        <v>98</v>
      </c>
      <c r="O995" s="18">
        <v>20.3</v>
      </c>
      <c r="P995" s="18" t="s">
        <v>275</v>
      </c>
      <c r="Q995" s="16">
        <v>45682.0</v>
      </c>
      <c r="R995" s="16" t="s">
        <v>38</v>
      </c>
      <c r="S995" s="13" t="s">
        <v>55</v>
      </c>
      <c r="T995" s="13" t="s">
        <v>66</v>
      </c>
      <c r="U995" s="13">
        <f t="shared" si="1"/>
        <v>2</v>
      </c>
      <c r="V995" s="13" t="str">
        <f t="shared" si="2"/>
        <v>C00603|Rahul Kumar|25|East|Guwahati|Basic|Youtube|9/8/2024|5|Monthly|Debit Card|598|1|1|20.30|4.3|1/25/2025||Active|Automation</v>
      </c>
      <c r="W995" s="13">
        <f t="shared" si="3"/>
        <v>1</v>
      </c>
      <c r="X995" s="13">
        <f>IFERROR(__xludf.DUMMYFUNCTION("COUNTUNIQUE(FILTER($B$2:$B$1826,$A$2:$A$1826=A995))"),2.0)</f>
        <v>2</v>
      </c>
    </row>
    <row r="996">
      <c r="A996" s="13" t="s">
        <v>1597</v>
      </c>
      <c r="B996" s="13" t="s">
        <v>257</v>
      </c>
      <c r="C996" s="14">
        <v>58.0</v>
      </c>
      <c r="D996" s="13" t="s">
        <v>35</v>
      </c>
      <c r="E996" s="13" t="s">
        <v>36</v>
      </c>
      <c r="F996" s="13" t="s">
        <v>37</v>
      </c>
      <c r="G996" s="13" t="s">
        <v>52</v>
      </c>
      <c r="H996" s="16">
        <v>45629.0</v>
      </c>
      <c r="I996" s="14">
        <v>24.0</v>
      </c>
      <c r="J996" s="13" t="s">
        <v>53</v>
      </c>
      <c r="K996" s="13" t="s">
        <v>65</v>
      </c>
      <c r="L996" s="14">
        <v>1341.0</v>
      </c>
      <c r="M996" s="18" t="s">
        <v>43</v>
      </c>
      <c r="N996" s="18" t="s">
        <v>98</v>
      </c>
      <c r="O996" s="18">
        <v>28.4</v>
      </c>
      <c r="P996" s="18" t="s">
        <v>164</v>
      </c>
      <c r="Q996" s="16">
        <v>46266.0</v>
      </c>
      <c r="R996" s="16" t="s">
        <v>38</v>
      </c>
      <c r="S996" s="13" t="s">
        <v>55</v>
      </c>
      <c r="T996" s="13" t="s">
        <v>72</v>
      </c>
      <c r="U996" s="13">
        <f t="shared" si="1"/>
        <v>1</v>
      </c>
      <c r="V996" s="13" t="str">
        <f t="shared" si="2"/>
        <v>C00553|Sneha Reddy|58|North|Delhi|Standard|Facebook|12/3/2024|24|Quarterly|Credit Card|1,341|2|1|28.40|3|9/1/2026||Active|Collaboration</v>
      </c>
      <c r="W996" s="13">
        <f t="shared" si="3"/>
        <v>1</v>
      </c>
      <c r="X996" s="13">
        <f>IFERROR(__xludf.DUMMYFUNCTION("COUNTUNIQUE(FILTER($B$2:$B$1826,$A$2:$A$1826=A996))"),1.0)</f>
        <v>1</v>
      </c>
    </row>
    <row r="997">
      <c r="A997" s="13" t="s">
        <v>1598</v>
      </c>
      <c r="B997" s="13" t="s">
        <v>247</v>
      </c>
      <c r="C997" s="14">
        <v>28.0</v>
      </c>
      <c r="D997" s="13" t="s">
        <v>35</v>
      </c>
      <c r="E997" s="13" t="s">
        <v>140</v>
      </c>
      <c r="F997" s="13" t="s">
        <v>37</v>
      </c>
      <c r="G997" s="13" t="s">
        <v>120</v>
      </c>
      <c r="H997" s="16">
        <v>45614.0</v>
      </c>
      <c r="I997" s="14">
        <v>3.0</v>
      </c>
      <c r="J997" s="13" t="s">
        <v>53</v>
      </c>
      <c r="K997" s="13" t="s">
        <v>65</v>
      </c>
      <c r="L997" s="14">
        <v>1745.0</v>
      </c>
      <c r="M997" s="18" t="s">
        <v>43</v>
      </c>
      <c r="N997" s="18" t="s">
        <v>98</v>
      </c>
      <c r="O997" s="18">
        <v>28.3</v>
      </c>
      <c r="P997" s="18" t="s">
        <v>130</v>
      </c>
      <c r="Q997" s="16">
        <v>45696.0</v>
      </c>
      <c r="R997" s="16" t="s">
        <v>38</v>
      </c>
      <c r="S997" s="13" t="s">
        <v>55</v>
      </c>
      <c r="T997" s="13" t="s">
        <v>75</v>
      </c>
      <c r="U997" s="13">
        <f t="shared" si="1"/>
        <v>1</v>
      </c>
      <c r="V997" s="13" t="str">
        <f t="shared" si="2"/>
        <v>C00105|Ravi Sharma|28|North|Lucknow|Standard|Email|11/18/2024|3|Quarterly|Credit Card|1,745|2|1|28.30|3.9|2/8/2025||Active|Security</v>
      </c>
      <c r="W997" s="13">
        <f t="shared" si="3"/>
        <v>1</v>
      </c>
      <c r="X997" s="13">
        <f>IFERROR(__xludf.DUMMYFUNCTION("COUNTUNIQUE(FILTER($B$2:$B$1826,$A$2:$A$1826=A997))"),1.0)</f>
        <v>1</v>
      </c>
    </row>
    <row r="998">
      <c r="A998" s="13" t="s">
        <v>1600</v>
      </c>
      <c r="B998" s="13" t="s">
        <v>152</v>
      </c>
      <c r="C998" s="14">
        <v>27.0</v>
      </c>
      <c r="D998" s="13" t="s">
        <v>60</v>
      </c>
      <c r="E998" s="13" t="s">
        <v>97</v>
      </c>
      <c r="F998" s="13" t="s">
        <v>62</v>
      </c>
      <c r="G998" s="13" t="s">
        <v>39</v>
      </c>
      <c r="H998" s="16">
        <v>44752.0</v>
      </c>
      <c r="I998" s="14">
        <v>40.0</v>
      </c>
      <c r="J998" s="13" t="s">
        <v>40</v>
      </c>
      <c r="K998" s="13" t="s">
        <v>65</v>
      </c>
      <c r="L998" s="14">
        <v>700.0</v>
      </c>
      <c r="M998" s="18" t="s">
        <v>46</v>
      </c>
      <c r="N998" s="18" t="s">
        <v>43</v>
      </c>
      <c r="O998" s="18">
        <v>32.9</v>
      </c>
      <c r="P998" s="18" t="s">
        <v>701</v>
      </c>
      <c r="Q998" s="16">
        <v>44852.0</v>
      </c>
      <c r="R998" s="16" t="s">
        <v>38</v>
      </c>
      <c r="S998" s="13" t="s">
        <v>55</v>
      </c>
      <c r="T998" s="13" t="s">
        <v>66</v>
      </c>
      <c r="U998" s="13">
        <f t="shared" si="1"/>
        <v>1</v>
      </c>
      <c r="V998" s="13" t="str">
        <f t="shared" si="2"/>
        <v>C01499|Vikram Kumar|27|East|Bhubaneswar|Basic|Instagram|7/10/2022|40|Monthly|Credit Card|700|0|2|32.90|2.8|10/18/2022||Active|Automation</v>
      </c>
      <c r="W998" s="13">
        <f t="shared" si="3"/>
        <v>1</v>
      </c>
      <c r="X998" s="13">
        <f>IFERROR(__xludf.DUMMYFUNCTION("COUNTUNIQUE(FILTER($B$2:$B$1826,$A$2:$A$1826=A998))"),1.0)</f>
        <v>1</v>
      </c>
    </row>
    <row r="999">
      <c r="A999" s="13" t="s">
        <v>1601</v>
      </c>
      <c r="B999" s="13" t="s">
        <v>169</v>
      </c>
      <c r="C999" s="14">
        <v>23.0</v>
      </c>
      <c r="D999" s="13" t="s">
        <v>85</v>
      </c>
      <c r="E999" s="13" t="s">
        <v>111</v>
      </c>
      <c r="F999" s="13" t="s">
        <v>62</v>
      </c>
      <c r="G999" s="13" t="s">
        <v>80</v>
      </c>
      <c r="H999" s="16">
        <v>45084.0</v>
      </c>
      <c r="I999" s="14">
        <v>14.0</v>
      </c>
      <c r="J999" s="13" t="s">
        <v>40</v>
      </c>
      <c r="K999" s="13" t="s">
        <v>65</v>
      </c>
      <c r="L999" s="14">
        <v>532.0</v>
      </c>
      <c r="M999" s="18" t="s">
        <v>98</v>
      </c>
      <c r="N999" s="18" t="s">
        <v>43</v>
      </c>
      <c r="O999" s="18">
        <v>20.5</v>
      </c>
      <c r="P999" s="18" t="s">
        <v>275</v>
      </c>
      <c r="Q999" s="16">
        <v>45113.0</v>
      </c>
      <c r="R999" s="16" t="s">
        <v>38</v>
      </c>
      <c r="S999" s="13" t="s">
        <v>55</v>
      </c>
      <c r="T999" s="13" t="s">
        <v>47</v>
      </c>
      <c r="U999" s="13">
        <f t="shared" si="1"/>
        <v>2</v>
      </c>
      <c r="V999" s="13" t="str">
        <f t="shared" si="2"/>
        <v>C00397|Vikram Nair|23|West|Pune|Basic|Organic Search|6/7/2023|14|Monthly|Credit Card|532|1|2|20.50|4.3|7/6/2023||Active|Cloud Storage</v>
      </c>
      <c r="W999" s="13">
        <f t="shared" si="3"/>
        <v>1</v>
      </c>
      <c r="X999" s="13">
        <f>IFERROR(__xludf.DUMMYFUNCTION("COUNTUNIQUE(FILTER($B$2:$B$1826,$A$2:$A$1826=A999))"),2.0)</f>
        <v>2</v>
      </c>
    </row>
    <row r="1000">
      <c r="A1000" s="13" t="s">
        <v>1481</v>
      </c>
      <c r="B1000" s="13" t="s">
        <v>167</v>
      </c>
      <c r="C1000" s="14">
        <v>59.0</v>
      </c>
      <c r="D1000" s="13" t="s">
        <v>85</v>
      </c>
      <c r="E1000" s="13" t="s">
        <v>292</v>
      </c>
      <c r="F1000" s="13" t="s">
        <v>62</v>
      </c>
      <c r="G1000" s="13" t="s">
        <v>120</v>
      </c>
      <c r="H1000" s="16">
        <v>45263.0</v>
      </c>
      <c r="I1000" s="14">
        <v>40.0</v>
      </c>
      <c r="J1000" s="13" t="s">
        <v>64</v>
      </c>
      <c r="K1000" s="13" t="s">
        <v>41</v>
      </c>
      <c r="L1000" s="14">
        <v>689.0</v>
      </c>
      <c r="M1000" s="18" t="s">
        <v>43</v>
      </c>
      <c r="N1000" s="18" t="s">
        <v>98</v>
      </c>
      <c r="O1000" s="18">
        <v>8.2</v>
      </c>
      <c r="P1000" s="18" t="s">
        <v>38</v>
      </c>
      <c r="Q1000" s="16">
        <v>45801.0</v>
      </c>
      <c r="R1000" s="16" t="s">
        <v>1602</v>
      </c>
      <c r="S1000" s="13" t="s">
        <v>45</v>
      </c>
      <c r="T1000" s="13" t="s">
        <v>66</v>
      </c>
      <c r="U1000" s="13">
        <f t="shared" si="1"/>
        <v>2</v>
      </c>
      <c r="V1000" s="13" t="str">
        <f t="shared" si="2"/>
        <v>C01378|Ravi Reddy|59|West|Mumbai|Basic|Email|12/3/2023|40|Annual|Upi|689|2|1|8.20||5/24/2025|28/03/2027|Churned|Automation</v>
      </c>
      <c r="W1000" s="13">
        <f t="shared" si="3"/>
        <v>1</v>
      </c>
      <c r="X1000" s="13">
        <f>IFERROR(__xludf.DUMMYFUNCTION("COUNTUNIQUE(FILTER($B$2:$B$1826,$A$2:$A$1826=A1000))"),2.0)</f>
        <v>2</v>
      </c>
    </row>
    <row r="1001">
      <c r="A1001" s="13" t="s">
        <v>1603</v>
      </c>
      <c r="B1001" s="13" t="s">
        <v>308</v>
      </c>
      <c r="C1001" s="14">
        <v>56.0</v>
      </c>
      <c r="D1001" s="13" t="s">
        <v>60</v>
      </c>
      <c r="E1001" s="13" t="s">
        <v>97</v>
      </c>
      <c r="F1001" s="13" t="s">
        <v>62</v>
      </c>
      <c r="G1001" s="13" t="s">
        <v>63</v>
      </c>
      <c r="H1001" s="16">
        <v>45450.0</v>
      </c>
      <c r="I1001" s="14">
        <v>31.0</v>
      </c>
      <c r="J1001" s="13" t="s">
        <v>53</v>
      </c>
      <c r="K1001" s="13" t="s">
        <v>65</v>
      </c>
      <c r="L1001" s="14">
        <v>759.0</v>
      </c>
      <c r="M1001" s="18" t="s">
        <v>164</v>
      </c>
      <c r="N1001" s="18" t="s">
        <v>46</v>
      </c>
      <c r="O1001" s="18">
        <v>5.0</v>
      </c>
      <c r="P1001" s="18" t="s">
        <v>116</v>
      </c>
      <c r="Q1001" s="16">
        <v>46201.0</v>
      </c>
      <c r="R1001" s="16" t="s">
        <v>38</v>
      </c>
      <c r="S1001" s="13" t="s">
        <v>55</v>
      </c>
      <c r="T1001" s="13" t="s">
        <v>104</v>
      </c>
      <c r="U1001" s="13">
        <f t="shared" si="1"/>
        <v>2</v>
      </c>
      <c r="V1001" s="13" t="str">
        <f t="shared" si="2"/>
        <v>C00319|Karan Kumar|56|East|Bhubaneswar|Basic|Google Ads|6/7/2024|31|Quarterly|Credit Card|759|3|0|5.00|3.4|6/28/2026||Active|Analytics</v>
      </c>
      <c r="W1001" s="13">
        <f t="shared" si="3"/>
        <v>1</v>
      </c>
      <c r="X1001" s="13">
        <f>IFERROR(__xludf.DUMMYFUNCTION("COUNTUNIQUE(FILTER($B$2:$B$1826,$A$2:$A$1826=A1001))"),2.0)</f>
        <v>2</v>
      </c>
    </row>
    <row r="1002">
      <c r="A1002" s="13" t="s">
        <v>1604</v>
      </c>
      <c r="B1002" s="13" t="s">
        <v>393</v>
      </c>
      <c r="C1002" s="14">
        <v>55.0</v>
      </c>
      <c r="D1002" s="13" t="s">
        <v>69</v>
      </c>
      <c r="E1002" s="13" t="s">
        <v>187</v>
      </c>
      <c r="F1002" s="13" t="s">
        <v>79</v>
      </c>
      <c r="G1002" s="13" t="s">
        <v>39</v>
      </c>
      <c r="H1002" s="16">
        <v>45512.0</v>
      </c>
      <c r="I1002" s="14">
        <v>10.0</v>
      </c>
      <c r="J1002" s="13" t="s">
        <v>40</v>
      </c>
      <c r="K1002" s="13" t="s">
        <v>65</v>
      </c>
      <c r="L1002" s="14">
        <v>3034.0</v>
      </c>
      <c r="M1002" s="18" t="s">
        <v>43</v>
      </c>
      <c r="N1002" s="18" t="s">
        <v>98</v>
      </c>
      <c r="O1002" s="18">
        <v>39.9</v>
      </c>
      <c r="P1002" s="18" t="s">
        <v>89</v>
      </c>
      <c r="Q1002" s="16">
        <v>45707.0</v>
      </c>
      <c r="R1002" s="16">
        <v>45812.0</v>
      </c>
      <c r="S1002" s="13" t="s">
        <v>45</v>
      </c>
      <c r="T1002" s="13" t="s">
        <v>104</v>
      </c>
      <c r="U1002" s="13">
        <f t="shared" si="1"/>
        <v>2</v>
      </c>
      <c r="V1002" s="13" t="str">
        <f t="shared" si="2"/>
        <v>C00304|Karan Das|55|South|Chennai|Premium|Instagram|8/8/2024|10|Monthly|Credit Card|3,034|2|1|39.90|3.3|2/19/2025|6/4/2025|Churned|Analytics</v>
      </c>
      <c r="W1002" s="13">
        <f t="shared" si="3"/>
        <v>1</v>
      </c>
      <c r="X1002" s="13">
        <f>IFERROR(__xludf.DUMMYFUNCTION("COUNTUNIQUE(FILTER($B$2:$B$1826,$A$2:$A$1826=A1002))"),2.0)</f>
        <v>2</v>
      </c>
    </row>
    <row r="1003">
      <c r="A1003" s="13" t="s">
        <v>1606</v>
      </c>
      <c r="B1003" s="13" t="s">
        <v>118</v>
      </c>
      <c r="C1003" s="14">
        <v>20.0</v>
      </c>
      <c r="D1003" s="13" t="s">
        <v>69</v>
      </c>
      <c r="E1003" s="13" t="s">
        <v>119</v>
      </c>
      <c r="F1003" s="13" t="s">
        <v>79</v>
      </c>
      <c r="G1003" s="13" t="s">
        <v>52</v>
      </c>
      <c r="H1003" s="16">
        <v>44697.0</v>
      </c>
      <c r="I1003" s="14">
        <v>21.0</v>
      </c>
      <c r="J1003" s="13" t="s">
        <v>53</v>
      </c>
      <c r="K1003" s="13" t="s">
        <v>65</v>
      </c>
      <c r="L1003" s="14">
        <v>2830.0</v>
      </c>
      <c r="M1003" s="18" t="s">
        <v>164</v>
      </c>
      <c r="N1003" s="18" t="s">
        <v>98</v>
      </c>
      <c r="O1003" s="18">
        <v>31.7</v>
      </c>
      <c r="P1003" s="18" t="s">
        <v>233</v>
      </c>
      <c r="Q1003" s="16">
        <v>45149.0</v>
      </c>
      <c r="R1003" s="16" t="s">
        <v>1607</v>
      </c>
      <c r="S1003" s="13" t="s">
        <v>45</v>
      </c>
      <c r="T1003" s="13" t="s">
        <v>104</v>
      </c>
      <c r="U1003" s="13">
        <f t="shared" si="1"/>
        <v>1</v>
      </c>
      <c r="V1003" s="13" t="str">
        <f t="shared" si="2"/>
        <v>C00497|Karan Nair|20|South|Kochi|Premium|Facebook|5/16/2022|21|Quarterly|Credit Card|2,830|3|1|31.70|3.5|8/11/2023|19/11/2022|Churned|Analytics</v>
      </c>
      <c r="W1003" s="13">
        <f t="shared" si="3"/>
        <v>1</v>
      </c>
      <c r="X1003" s="13">
        <f>IFERROR(__xludf.DUMMYFUNCTION("COUNTUNIQUE(FILTER($B$2:$B$1826,$A$2:$A$1826=A1003))"),1.0)</f>
        <v>1</v>
      </c>
    </row>
    <row r="1004">
      <c r="A1004" s="13" t="s">
        <v>1608</v>
      </c>
      <c r="B1004" s="13" t="s">
        <v>605</v>
      </c>
      <c r="C1004" s="14">
        <v>40.0</v>
      </c>
      <c r="D1004" s="13" t="s">
        <v>69</v>
      </c>
      <c r="E1004" s="13" t="s">
        <v>119</v>
      </c>
      <c r="F1004" s="13" t="s">
        <v>79</v>
      </c>
      <c r="G1004" s="13" t="s">
        <v>120</v>
      </c>
      <c r="H1004" s="16">
        <v>45373.0</v>
      </c>
      <c r="I1004" s="14">
        <v>38.0</v>
      </c>
      <c r="J1004" s="13" t="s">
        <v>40</v>
      </c>
      <c r="K1004" s="13" t="s">
        <v>81</v>
      </c>
      <c r="L1004" s="14">
        <v>2585.0</v>
      </c>
      <c r="M1004" s="18" t="s">
        <v>98</v>
      </c>
      <c r="N1004" s="18" t="s">
        <v>46</v>
      </c>
      <c r="O1004" s="18">
        <v>36.7</v>
      </c>
      <c r="P1004" s="18" t="s">
        <v>130</v>
      </c>
      <c r="Q1004" s="16">
        <v>45881.0</v>
      </c>
      <c r="R1004" s="16" t="s">
        <v>38</v>
      </c>
      <c r="S1004" s="13" t="s">
        <v>55</v>
      </c>
      <c r="T1004" s="13" t="s">
        <v>72</v>
      </c>
      <c r="U1004" s="13">
        <f t="shared" si="1"/>
        <v>2</v>
      </c>
      <c r="V1004" s="13" t="str">
        <f t="shared" si="2"/>
        <v>C00631|Meera Patel|40|South|Kochi|Premium|Email|3/22/2024|38|Monthly|Debit Card|2,585|1|0|36.70|3.9|8/12/2025||Active|Collaboration</v>
      </c>
      <c r="W1004" s="13">
        <f t="shared" si="3"/>
        <v>1</v>
      </c>
      <c r="X1004" s="13">
        <f>IFERROR(__xludf.DUMMYFUNCTION("COUNTUNIQUE(FILTER($B$2:$B$1826,$A$2:$A$1826=A1004))"),2.0)</f>
        <v>2</v>
      </c>
    </row>
    <row r="1005">
      <c r="A1005" s="13" t="s">
        <v>1609</v>
      </c>
      <c r="B1005" s="13" t="s">
        <v>132</v>
      </c>
      <c r="C1005" s="14">
        <v>49.0</v>
      </c>
      <c r="D1005" s="13" t="s">
        <v>85</v>
      </c>
      <c r="E1005" s="13" t="s">
        <v>292</v>
      </c>
      <c r="F1005" s="13" t="s">
        <v>62</v>
      </c>
      <c r="G1005" s="13" t="s">
        <v>63</v>
      </c>
      <c r="H1005" s="16">
        <v>44579.0</v>
      </c>
      <c r="I1005" s="14">
        <v>10.0</v>
      </c>
      <c r="J1005" s="13" t="s">
        <v>40</v>
      </c>
      <c r="K1005" s="13" t="s">
        <v>41</v>
      </c>
      <c r="L1005" s="14">
        <v>751.0</v>
      </c>
      <c r="M1005" s="18" t="s">
        <v>46</v>
      </c>
      <c r="N1005" s="18" t="s">
        <v>98</v>
      </c>
      <c r="O1005" s="18">
        <v>12.9</v>
      </c>
      <c r="P1005" s="18" t="s">
        <v>130</v>
      </c>
      <c r="Q1005" s="16">
        <v>44666.0</v>
      </c>
      <c r="R1005" s="16" t="s">
        <v>38</v>
      </c>
      <c r="S1005" s="13" t="s">
        <v>55</v>
      </c>
      <c r="T1005" s="13" t="s">
        <v>47</v>
      </c>
      <c r="U1005" s="13">
        <f t="shared" si="1"/>
        <v>3</v>
      </c>
      <c r="V1005" s="13" t="str">
        <f t="shared" si="2"/>
        <v>C01216|Arun Kumar|49|West|Mumbai|Basic|Google Ads|1/18/2022|10|Monthly|Upi|751|0|1|12.90|3.9|4/15/2022||Active|Cloud Storage</v>
      </c>
      <c r="W1005" s="13">
        <f t="shared" si="3"/>
        <v>1</v>
      </c>
      <c r="X1005" s="13">
        <f>IFERROR(__xludf.DUMMYFUNCTION("COUNTUNIQUE(FILTER($B$2:$B$1826,$A$2:$A$1826=A1005))"),3.0)</f>
        <v>3</v>
      </c>
    </row>
    <row r="1006">
      <c r="A1006" s="13" t="s">
        <v>1610</v>
      </c>
      <c r="B1006" s="13" t="s">
        <v>132</v>
      </c>
      <c r="C1006" s="14">
        <v>31.0</v>
      </c>
      <c r="D1006" s="13" t="s">
        <v>60</v>
      </c>
      <c r="E1006" s="13" t="s">
        <v>107</v>
      </c>
      <c r="F1006" s="13" t="s">
        <v>37</v>
      </c>
      <c r="G1006" s="13" t="s">
        <v>63</v>
      </c>
      <c r="H1006" s="16">
        <v>44644.0</v>
      </c>
      <c r="I1006" s="14">
        <v>11.0</v>
      </c>
      <c r="J1006" s="13" t="s">
        <v>40</v>
      </c>
      <c r="K1006" s="13" t="s">
        <v>65</v>
      </c>
      <c r="L1006" s="14">
        <v>1101.0</v>
      </c>
      <c r="M1006" s="18" t="s">
        <v>43</v>
      </c>
      <c r="N1006" s="18" t="s">
        <v>98</v>
      </c>
      <c r="O1006" s="18">
        <v>31.9</v>
      </c>
      <c r="P1006" s="18" t="s">
        <v>173</v>
      </c>
      <c r="Q1006" s="16">
        <v>44952.0</v>
      </c>
      <c r="R1006" s="16">
        <v>44657.0</v>
      </c>
      <c r="S1006" s="13" t="s">
        <v>45</v>
      </c>
      <c r="T1006" s="13" t="s">
        <v>75</v>
      </c>
      <c r="U1006" s="13">
        <f t="shared" si="1"/>
        <v>1</v>
      </c>
      <c r="V1006" s="13" t="str">
        <f t="shared" si="2"/>
        <v>C00597|Arun Kumar|31|East|Patna|Standard|Google Ads|3/24/2022|11|Monthly|Credit Card|1,101|2|1|31.90|5|1/26/2023|4/6/2022|Churned|Security</v>
      </c>
      <c r="W1006" s="13">
        <f t="shared" si="3"/>
        <v>1</v>
      </c>
      <c r="X1006" s="13">
        <f>IFERROR(__xludf.DUMMYFUNCTION("COUNTUNIQUE(FILTER($B$2:$B$1826,$A$2:$A$1826=A1006))"),1.0)</f>
        <v>1</v>
      </c>
    </row>
    <row r="1007">
      <c r="A1007" s="13" t="s">
        <v>1612</v>
      </c>
      <c r="B1007" s="13" t="s">
        <v>288</v>
      </c>
      <c r="C1007" s="14">
        <v>50.0</v>
      </c>
      <c r="D1007" s="13" t="s">
        <v>60</v>
      </c>
      <c r="E1007" s="13" t="s">
        <v>107</v>
      </c>
      <c r="F1007" s="13" t="s">
        <v>37</v>
      </c>
      <c r="G1007" s="13" t="s">
        <v>80</v>
      </c>
      <c r="H1007" s="16">
        <v>44708.0</v>
      </c>
      <c r="I1007" s="14">
        <v>40.0</v>
      </c>
      <c r="J1007" s="13" t="s">
        <v>64</v>
      </c>
      <c r="K1007" s="13" t="s">
        <v>41</v>
      </c>
      <c r="L1007" s="14">
        <v>1472.0</v>
      </c>
      <c r="M1007" s="18" t="s">
        <v>99</v>
      </c>
      <c r="N1007" s="18" t="s">
        <v>46</v>
      </c>
      <c r="O1007" s="18">
        <v>33.4</v>
      </c>
      <c r="P1007" s="18" t="s">
        <v>285</v>
      </c>
      <c r="Q1007" s="16">
        <v>45250.0</v>
      </c>
      <c r="R1007" s="16" t="s">
        <v>38</v>
      </c>
      <c r="S1007" s="13" t="s">
        <v>55</v>
      </c>
      <c r="T1007" s="13" t="s">
        <v>72</v>
      </c>
      <c r="U1007" s="13">
        <f t="shared" si="1"/>
        <v>1</v>
      </c>
      <c r="V1007" s="13" t="str">
        <f t="shared" si="2"/>
        <v>C00221|Rahul Sharma|50|East|Patna|Standard|Organic Search|5/27/2022|40|Annual|Upi|1,472|4|0|33.40|2.3|11/20/2023||Active|Collaboration</v>
      </c>
      <c r="W1007" s="13">
        <f t="shared" si="3"/>
        <v>1</v>
      </c>
      <c r="X1007" s="13">
        <f>IFERROR(__xludf.DUMMYFUNCTION("COUNTUNIQUE(FILTER($B$2:$B$1826,$A$2:$A$1826=A1007))"),1.0)</f>
        <v>1</v>
      </c>
    </row>
    <row r="1008">
      <c r="A1008" s="13" t="s">
        <v>1123</v>
      </c>
      <c r="B1008" s="13" t="s">
        <v>393</v>
      </c>
      <c r="C1008" s="14">
        <v>34.0</v>
      </c>
      <c r="D1008" s="13" t="s">
        <v>85</v>
      </c>
      <c r="E1008" s="13" t="s">
        <v>92</v>
      </c>
      <c r="F1008" s="13" t="s">
        <v>37</v>
      </c>
      <c r="G1008" s="13" t="s">
        <v>52</v>
      </c>
      <c r="H1008" s="16">
        <v>45530.0</v>
      </c>
      <c r="I1008" s="14">
        <v>29.0</v>
      </c>
      <c r="J1008" s="13" t="s">
        <v>53</v>
      </c>
      <c r="K1008" s="13" t="s">
        <v>81</v>
      </c>
      <c r="L1008" s="14">
        <v>1312.0</v>
      </c>
      <c r="M1008" s="18" t="s">
        <v>43</v>
      </c>
      <c r="N1008" s="18" t="s">
        <v>98</v>
      </c>
      <c r="O1008" s="18">
        <v>9.9</v>
      </c>
      <c r="P1008" s="18" t="s">
        <v>116</v>
      </c>
      <c r="Q1008" s="16">
        <v>46209.0</v>
      </c>
      <c r="R1008" s="16" t="s">
        <v>38</v>
      </c>
      <c r="S1008" s="13" t="s">
        <v>55</v>
      </c>
      <c r="T1008" s="13" t="s">
        <v>72</v>
      </c>
      <c r="U1008" s="13">
        <f t="shared" si="1"/>
        <v>2</v>
      </c>
      <c r="V1008" s="13" t="str">
        <f t="shared" si="2"/>
        <v>C00066|Karan Das|34|West|Ahmedabad|Standard|Facebook|8/26/2024|29|Quarterly|Debit Card|1,312|2|1|9.90|3.4|7/6/2026||Active|Collaboration</v>
      </c>
      <c r="W1008" s="13">
        <f t="shared" si="3"/>
        <v>1</v>
      </c>
      <c r="X1008" s="13">
        <f>IFERROR(__xludf.DUMMYFUNCTION("COUNTUNIQUE(FILTER($B$2:$B$1826,$A$2:$A$1826=A1008))"),2.0)</f>
        <v>2</v>
      </c>
    </row>
    <row r="1009">
      <c r="A1009" s="13" t="s">
        <v>1313</v>
      </c>
      <c r="B1009" s="13" t="s">
        <v>106</v>
      </c>
      <c r="C1009" s="14">
        <v>65.0</v>
      </c>
      <c r="D1009" s="13" t="s">
        <v>69</v>
      </c>
      <c r="E1009" s="13" t="s">
        <v>119</v>
      </c>
      <c r="F1009" s="13" t="s">
        <v>62</v>
      </c>
      <c r="G1009" s="13" t="s">
        <v>39</v>
      </c>
      <c r="H1009" s="16">
        <v>44637.0</v>
      </c>
      <c r="I1009" s="14">
        <v>6.0</v>
      </c>
      <c r="J1009" s="13" t="s">
        <v>40</v>
      </c>
      <c r="K1009" s="13" t="s">
        <v>65</v>
      </c>
      <c r="L1009" s="14">
        <v>559.0</v>
      </c>
      <c r="M1009" s="18" t="s">
        <v>43</v>
      </c>
      <c r="N1009" s="18" t="s">
        <v>43</v>
      </c>
      <c r="O1009" s="18">
        <v>27.5</v>
      </c>
      <c r="P1009" s="18" t="s">
        <v>173</v>
      </c>
      <c r="Q1009" s="16">
        <v>44761.0</v>
      </c>
      <c r="R1009" s="16" t="s">
        <v>38</v>
      </c>
      <c r="S1009" s="13" t="s">
        <v>55</v>
      </c>
      <c r="T1009" s="13" t="s">
        <v>72</v>
      </c>
      <c r="U1009" s="13">
        <f t="shared" si="1"/>
        <v>2</v>
      </c>
      <c r="V1009" s="13" t="str">
        <f t="shared" si="2"/>
        <v>C00432|Rahul Patel|65|South|Kochi|Basic|Instagram|3/17/2022|6|Monthly|Credit Card|559|2|2|27.50|5|7/19/2022||Active|Collaboration</v>
      </c>
      <c r="W1009" s="13">
        <f t="shared" si="3"/>
        <v>1</v>
      </c>
      <c r="X1009" s="13">
        <f>IFERROR(__xludf.DUMMYFUNCTION("COUNTUNIQUE(FILTER($B$2:$B$1826,$A$2:$A$1826=A1009))"),2.0)</f>
        <v>2</v>
      </c>
    </row>
    <row r="1010">
      <c r="A1010" s="13" t="s">
        <v>1365</v>
      </c>
      <c r="B1010" s="13" t="s">
        <v>250</v>
      </c>
      <c r="C1010" s="14">
        <v>49.0</v>
      </c>
      <c r="D1010" s="13" t="s">
        <v>60</v>
      </c>
      <c r="E1010" s="13" t="s">
        <v>97</v>
      </c>
      <c r="F1010" s="13" t="s">
        <v>37</v>
      </c>
      <c r="G1010" s="13" t="s">
        <v>120</v>
      </c>
      <c r="H1010" s="16">
        <v>45401.0</v>
      </c>
      <c r="I1010" s="14">
        <v>8.0</v>
      </c>
      <c r="J1010" s="13" t="s">
        <v>64</v>
      </c>
      <c r="K1010" s="13" t="s">
        <v>41</v>
      </c>
      <c r="L1010" s="14">
        <v>1686.0</v>
      </c>
      <c r="M1010" s="18" t="s">
        <v>46</v>
      </c>
      <c r="N1010" s="18" t="s">
        <v>43</v>
      </c>
      <c r="O1010" s="18">
        <v>44.7</v>
      </c>
      <c r="P1010" s="18" t="s">
        <v>203</v>
      </c>
      <c r="Q1010" s="16">
        <v>45597.0</v>
      </c>
      <c r="R1010" s="16" t="s">
        <v>1613</v>
      </c>
      <c r="S1010" s="13" t="s">
        <v>230</v>
      </c>
      <c r="T1010" s="13" t="s">
        <v>72</v>
      </c>
      <c r="U1010" s="13">
        <f t="shared" si="1"/>
        <v>2</v>
      </c>
      <c r="V1010" s="13" t="str">
        <f t="shared" si="2"/>
        <v>C01409|Vikram Singh|49|East|Bhubaneswar|Standard|Email|4/19/2024|8|Annual|Upi|1,686|0|2|44.70|3.7|11/1/2024|16/10/2024|Yes|Collaboration</v>
      </c>
      <c r="W1010" s="13">
        <f t="shared" si="3"/>
        <v>1</v>
      </c>
      <c r="X1010" s="13">
        <f>IFERROR(__xludf.DUMMYFUNCTION("COUNTUNIQUE(FILTER($B$2:$B$1826,$A$2:$A$1826=A1010))"),2.0)</f>
        <v>2</v>
      </c>
    </row>
    <row r="1011">
      <c r="A1011" s="13" t="s">
        <v>1614</v>
      </c>
      <c r="B1011" s="13" t="s">
        <v>229</v>
      </c>
      <c r="C1011" s="14">
        <v>27.0</v>
      </c>
      <c r="D1011" s="13" t="s">
        <v>85</v>
      </c>
      <c r="E1011" s="13" t="s">
        <v>111</v>
      </c>
      <c r="F1011" s="13" t="s">
        <v>62</v>
      </c>
      <c r="G1011" s="13" t="s">
        <v>63</v>
      </c>
      <c r="H1011" s="16">
        <v>44626.0</v>
      </c>
      <c r="I1011" s="14">
        <v>17.0</v>
      </c>
      <c r="J1011" s="13" t="s">
        <v>53</v>
      </c>
      <c r="K1011" s="13" t="s">
        <v>81</v>
      </c>
      <c r="L1011" s="14">
        <v>753.0</v>
      </c>
      <c r="M1011" s="18" t="s">
        <v>164</v>
      </c>
      <c r="N1011" s="18" t="s">
        <v>164</v>
      </c>
      <c r="O1011" s="18">
        <v>16.5</v>
      </c>
      <c r="P1011" s="18" t="s">
        <v>449</v>
      </c>
      <c r="Q1011" s="16">
        <v>45043.0</v>
      </c>
      <c r="R1011" s="16" t="s">
        <v>38</v>
      </c>
      <c r="S1011" s="13" t="s">
        <v>55</v>
      </c>
      <c r="T1011" s="13" t="s">
        <v>75</v>
      </c>
      <c r="U1011" s="13">
        <f t="shared" si="1"/>
        <v>1</v>
      </c>
      <c r="V1011" s="13" t="str">
        <f t="shared" si="2"/>
        <v>C00321|Anita Nair|27|West|Pune|Basic|Google Ads|3/6/2022|17|Quarterly|Debit Card|753|3|3|16.50|2.7|4/27/2023||Active|Security</v>
      </c>
      <c r="W1011" s="13">
        <f t="shared" si="3"/>
        <v>1</v>
      </c>
      <c r="X1011" s="13">
        <f>IFERROR(__xludf.DUMMYFUNCTION("COUNTUNIQUE(FILTER($B$2:$B$1826,$A$2:$A$1826=A1011))"),1.0)</f>
        <v>1</v>
      </c>
    </row>
    <row r="1012">
      <c r="A1012" s="13" t="s">
        <v>1615</v>
      </c>
      <c r="B1012" s="13" t="s">
        <v>160</v>
      </c>
      <c r="C1012" s="14">
        <v>51.0</v>
      </c>
      <c r="D1012" s="13" t="s">
        <v>60</v>
      </c>
      <c r="E1012" s="13" t="s">
        <v>97</v>
      </c>
      <c r="F1012" s="13" t="s">
        <v>62</v>
      </c>
      <c r="G1012" s="13" t="s">
        <v>128</v>
      </c>
      <c r="H1012" s="16">
        <v>44898.0</v>
      </c>
      <c r="I1012" s="14">
        <v>17.0</v>
      </c>
      <c r="J1012" s="13" t="s">
        <v>64</v>
      </c>
      <c r="K1012" s="13" t="s">
        <v>65</v>
      </c>
      <c r="L1012" s="14">
        <v>748.0</v>
      </c>
      <c r="M1012" s="18" t="s">
        <v>43</v>
      </c>
      <c r="N1012" s="18" t="s">
        <v>46</v>
      </c>
      <c r="O1012" s="18">
        <v>4.8</v>
      </c>
      <c r="P1012" s="18" t="s">
        <v>701</v>
      </c>
      <c r="Q1012" s="16">
        <v>44951.0</v>
      </c>
      <c r="R1012" s="16" t="s">
        <v>38</v>
      </c>
      <c r="S1012" s="13" t="s">
        <v>55</v>
      </c>
      <c r="T1012" s="13" t="s">
        <v>72</v>
      </c>
      <c r="U1012" s="13">
        <f t="shared" si="1"/>
        <v>1</v>
      </c>
      <c r="V1012" s="13" t="str">
        <f t="shared" si="2"/>
        <v>C01349|Rahul Singh|51|East|Bhubaneswar|Basic|Youtube|12/3/2022|17|Annual|Credit Card|748|2|0|4.80|2.8|1/25/2023||Active|Collaboration</v>
      </c>
      <c r="W1012" s="13">
        <f t="shared" si="3"/>
        <v>1</v>
      </c>
      <c r="X1012" s="13">
        <f>IFERROR(__xludf.DUMMYFUNCTION("COUNTUNIQUE(FILTER($B$2:$B$1826,$A$2:$A$1826=A1012))"),1.0)</f>
        <v>1</v>
      </c>
    </row>
    <row r="1013">
      <c r="A1013" s="13" t="s">
        <v>1617</v>
      </c>
      <c r="B1013" s="13" t="s">
        <v>639</v>
      </c>
      <c r="C1013" s="14">
        <v>68.0</v>
      </c>
      <c r="D1013" s="13" t="s">
        <v>69</v>
      </c>
      <c r="E1013" s="13" t="s">
        <v>119</v>
      </c>
      <c r="F1013" s="13" t="s">
        <v>62</v>
      </c>
      <c r="G1013" s="13" t="s">
        <v>63</v>
      </c>
      <c r="H1013" s="16">
        <v>45855.0</v>
      </c>
      <c r="I1013" s="14">
        <v>24.0</v>
      </c>
      <c r="J1013" s="13" t="s">
        <v>64</v>
      </c>
      <c r="K1013" s="13" t="s">
        <v>41</v>
      </c>
      <c r="L1013" s="14">
        <v>813.0</v>
      </c>
      <c r="M1013" s="18" t="s">
        <v>164</v>
      </c>
      <c r="N1013" s="18" t="s">
        <v>46</v>
      </c>
      <c r="O1013" s="18">
        <v>14.8</v>
      </c>
      <c r="P1013" s="18" t="s">
        <v>123</v>
      </c>
      <c r="Q1013" s="16">
        <v>45867.0</v>
      </c>
      <c r="R1013" s="16" t="s">
        <v>38</v>
      </c>
      <c r="S1013" s="13" t="s">
        <v>55</v>
      </c>
      <c r="T1013" s="13" t="s">
        <v>47</v>
      </c>
      <c r="U1013" s="13">
        <f t="shared" si="1"/>
        <v>2</v>
      </c>
      <c r="V1013" s="13" t="str">
        <f t="shared" si="2"/>
        <v>C00415|Priya Nair|68|South|Kochi|Basic|Google Ads|7/17/2025|24|Annual|Upi|813|3|0|14.80|4.1|7/29/2025||Active|Cloud Storage</v>
      </c>
      <c r="W1013" s="13">
        <f t="shared" si="3"/>
        <v>1</v>
      </c>
      <c r="X1013" s="13">
        <f>IFERROR(__xludf.DUMMYFUNCTION("COUNTUNIQUE(FILTER($B$2:$B$1826,$A$2:$A$1826=A1013))"),2.0)</f>
        <v>2</v>
      </c>
    </row>
    <row r="1014">
      <c r="A1014" s="13" t="s">
        <v>1292</v>
      </c>
      <c r="B1014" s="13" t="s">
        <v>232</v>
      </c>
      <c r="C1014" s="14">
        <v>12.0</v>
      </c>
      <c r="D1014" s="13" t="s">
        <v>60</v>
      </c>
      <c r="E1014" s="13" t="s">
        <v>107</v>
      </c>
      <c r="F1014" s="13" t="s">
        <v>37</v>
      </c>
      <c r="G1014" s="13" t="s">
        <v>80</v>
      </c>
      <c r="H1014" s="16">
        <v>45771.0</v>
      </c>
      <c r="I1014" s="14">
        <v>40.0</v>
      </c>
      <c r="J1014" s="13" t="s">
        <v>53</v>
      </c>
      <c r="K1014" s="13" t="s">
        <v>41</v>
      </c>
      <c r="L1014" s="14">
        <v>1444.0</v>
      </c>
      <c r="M1014" s="18" t="s">
        <v>43</v>
      </c>
      <c r="N1014" s="18" t="s">
        <v>164</v>
      </c>
      <c r="O1014" s="18">
        <v>33.2</v>
      </c>
      <c r="P1014" s="18" t="s">
        <v>225</v>
      </c>
      <c r="Q1014" s="16">
        <v>45861.0</v>
      </c>
      <c r="R1014" s="16">
        <v>46703.0</v>
      </c>
      <c r="S1014" s="13" t="s">
        <v>45</v>
      </c>
      <c r="T1014" s="13" t="s">
        <v>72</v>
      </c>
      <c r="U1014" s="13">
        <f t="shared" si="1"/>
        <v>2</v>
      </c>
      <c r="V1014" s="13" t="str">
        <f t="shared" si="2"/>
        <v>C00303|Meera Iyer|12|East|Patna|Standard|Organic Search|4/24/2025|40|Quarterly|Upi|1,444|2|3|33.20|3.8|7/23/2025|11/12/2027|Churned|Collaboration</v>
      </c>
      <c r="W1014" s="13">
        <f t="shared" si="3"/>
        <v>1</v>
      </c>
      <c r="X1014" s="13">
        <f>IFERROR(__xludf.DUMMYFUNCTION("COUNTUNIQUE(FILTER($B$2:$B$1826,$A$2:$A$1826=A1014))"),2.0)</f>
        <v>2</v>
      </c>
    </row>
    <row r="1015">
      <c r="A1015" s="13" t="s">
        <v>1120</v>
      </c>
      <c r="B1015" s="13" t="s">
        <v>172</v>
      </c>
      <c r="C1015" s="14">
        <v>39.0</v>
      </c>
      <c r="D1015" s="13" t="s">
        <v>35</v>
      </c>
      <c r="E1015" s="13" t="s">
        <v>140</v>
      </c>
      <c r="F1015" s="13" t="s">
        <v>37</v>
      </c>
      <c r="G1015" s="13" t="s">
        <v>128</v>
      </c>
      <c r="H1015" s="16">
        <v>44690.0</v>
      </c>
      <c r="I1015" s="14">
        <v>31.0</v>
      </c>
      <c r="J1015" s="13" t="s">
        <v>64</v>
      </c>
      <c r="K1015" s="13" t="s">
        <v>41</v>
      </c>
      <c r="L1015" s="14">
        <v>1473.0</v>
      </c>
      <c r="M1015" s="18" t="s">
        <v>43</v>
      </c>
      <c r="N1015" s="18" t="s">
        <v>98</v>
      </c>
      <c r="O1015" s="18">
        <v>30.0</v>
      </c>
      <c r="P1015" s="18" t="s">
        <v>263</v>
      </c>
      <c r="Q1015" s="16">
        <v>45605.0</v>
      </c>
      <c r="R1015" s="16" t="s">
        <v>304</v>
      </c>
      <c r="S1015" s="13" t="s">
        <v>45</v>
      </c>
      <c r="T1015" s="13" t="s">
        <v>75</v>
      </c>
      <c r="U1015" s="13">
        <f t="shared" si="1"/>
        <v>5</v>
      </c>
      <c r="V1015" s="13" t="str">
        <f t="shared" si="2"/>
        <v>C00682|Meera Singh|39|North|Lucknow|Standard|Youtube|5/9/2022|31|Annual|Upi|1,473|2|1|30.00|2.9|11/9/2024|21/02/2024|Churned|Security</v>
      </c>
      <c r="W1015" s="13">
        <f t="shared" si="3"/>
        <v>1</v>
      </c>
      <c r="X1015" s="13">
        <f>IFERROR(__xludf.DUMMYFUNCTION("COUNTUNIQUE(FILTER($B$2:$B$1826,$A$2:$A$1826=A1015))"),5.0)</f>
        <v>5</v>
      </c>
    </row>
    <row r="1016">
      <c r="A1016" s="13" t="s">
        <v>109</v>
      </c>
      <c r="B1016" s="13" t="s">
        <v>316</v>
      </c>
      <c r="C1016" s="14">
        <v>34.0</v>
      </c>
      <c r="D1016" s="13" t="s">
        <v>60</v>
      </c>
      <c r="E1016" s="13" t="s">
        <v>61</v>
      </c>
      <c r="F1016" s="13" t="s">
        <v>37</v>
      </c>
      <c r="G1016" s="13" t="s">
        <v>52</v>
      </c>
      <c r="H1016" s="16">
        <v>45748.0</v>
      </c>
      <c r="I1016" s="14">
        <v>17.0</v>
      </c>
      <c r="J1016" s="13" t="s">
        <v>53</v>
      </c>
      <c r="K1016" s="13" t="s">
        <v>41</v>
      </c>
      <c r="L1016" s="14">
        <v>1542.0</v>
      </c>
      <c r="M1016" s="18" t="s">
        <v>164</v>
      </c>
      <c r="N1016" s="18" t="s">
        <v>98</v>
      </c>
      <c r="O1016" s="18">
        <v>28.8</v>
      </c>
      <c r="P1016" s="18" t="s">
        <v>2039</v>
      </c>
      <c r="Q1016" s="16">
        <v>45799.0</v>
      </c>
      <c r="R1016" s="16" t="s">
        <v>38</v>
      </c>
      <c r="S1016" s="13" t="s">
        <v>55</v>
      </c>
      <c r="T1016" s="13" t="s">
        <v>75</v>
      </c>
      <c r="U1016" s="13">
        <f t="shared" si="1"/>
        <v>5</v>
      </c>
      <c r="V1016" s="13" t="str">
        <f t="shared" si="2"/>
        <v>C00543|Neha Nair|34|East|Kolkata|Standard|Facebook|4/1/2025|17|Quarterly|Upi|1,542|3|1|28.80|1.6|5/22/2025||Active|Security</v>
      </c>
      <c r="W1016" s="13">
        <f t="shared" si="3"/>
        <v>1</v>
      </c>
      <c r="X1016" s="13">
        <f>IFERROR(__xludf.DUMMYFUNCTION("COUNTUNIQUE(FILTER($B$2:$B$1826,$A$2:$A$1826=A1016))"),5.0)</f>
        <v>5</v>
      </c>
    </row>
    <row r="1017">
      <c r="A1017" s="13" t="s">
        <v>1619</v>
      </c>
      <c r="B1017" s="13" t="s">
        <v>239</v>
      </c>
      <c r="C1017" s="14">
        <v>50.0</v>
      </c>
      <c r="D1017" s="13" t="s">
        <v>69</v>
      </c>
      <c r="E1017" s="13" t="s">
        <v>161</v>
      </c>
      <c r="F1017" s="13" t="s">
        <v>37</v>
      </c>
      <c r="G1017" s="13" t="s">
        <v>80</v>
      </c>
      <c r="H1017" s="16">
        <v>45356.0</v>
      </c>
      <c r="I1017" s="14">
        <v>2.0</v>
      </c>
      <c r="J1017" s="13" t="s">
        <v>64</v>
      </c>
      <c r="K1017" s="13" t="s">
        <v>41</v>
      </c>
      <c r="L1017" s="14">
        <v>1784.0</v>
      </c>
      <c r="M1017" s="18" t="s">
        <v>46</v>
      </c>
      <c r="N1017" s="18" t="s">
        <v>46</v>
      </c>
      <c r="O1017" s="18">
        <v>17.4</v>
      </c>
      <c r="P1017" s="18" t="s">
        <v>76</v>
      </c>
      <c r="Q1017" s="16">
        <v>45464.0</v>
      </c>
      <c r="R1017" s="16" t="s">
        <v>38</v>
      </c>
      <c r="S1017" s="13" t="s">
        <v>55</v>
      </c>
      <c r="T1017" s="13" t="s">
        <v>66</v>
      </c>
      <c r="U1017" s="13">
        <f t="shared" si="1"/>
        <v>2</v>
      </c>
      <c r="V1017" s="13" t="str">
        <f t="shared" si="2"/>
        <v>C00098|Meera Kumar|50|South|Chandigarh|Standard|Organic Search|3/5/2024|2|Annual|Upi|1,784|0|0|17.40|4.4|6/21/2024||Active|Automation</v>
      </c>
      <c r="W1017" s="13">
        <f t="shared" si="3"/>
        <v>1</v>
      </c>
      <c r="X1017" s="13">
        <f>IFERROR(__xludf.DUMMYFUNCTION("COUNTUNIQUE(FILTER($B$2:$B$1826,$A$2:$A$1826=A1017))"),2.0)</f>
        <v>2</v>
      </c>
    </row>
    <row r="1018">
      <c r="A1018" s="13" t="s">
        <v>1620</v>
      </c>
      <c r="B1018" s="13" t="s">
        <v>135</v>
      </c>
      <c r="C1018" s="14">
        <v>40.0</v>
      </c>
      <c r="D1018" s="13" t="s">
        <v>60</v>
      </c>
      <c r="E1018" s="13" t="s">
        <v>61</v>
      </c>
      <c r="F1018" s="13" t="s">
        <v>79</v>
      </c>
      <c r="G1018" s="13" t="s">
        <v>120</v>
      </c>
      <c r="H1018" s="16">
        <v>45710.0</v>
      </c>
      <c r="I1018" s="14">
        <v>47.0</v>
      </c>
      <c r="J1018" s="13" t="s">
        <v>64</v>
      </c>
      <c r="K1018" s="13" t="s">
        <v>41</v>
      </c>
      <c r="L1018" s="14">
        <v>2409.0</v>
      </c>
      <c r="M1018" s="18" t="s">
        <v>99</v>
      </c>
      <c r="N1018" s="18" t="s">
        <v>98</v>
      </c>
      <c r="O1018" s="18">
        <v>38.0</v>
      </c>
      <c r="P1018" s="18" t="s">
        <v>285</v>
      </c>
      <c r="Q1018" s="16">
        <v>45749.0</v>
      </c>
      <c r="R1018" s="16" t="s">
        <v>38</v>
      </c>
      <c r="S1018" s="13" t="s">
        <v>55</v>
      </c>
      <c r="T1018" s="13" t="s">
        <v>75</v>
      </c>
      <c r="U1018" s="13">
        <f t="shared" si="1"/>
        <v>1</v>
      </c>
      <c r="V1018" s="13" t="str">
        <f t="shared" si="2"/>
        <v>C01355|Karan Sharma|40|East|Kolkata|Premium|Email|2/22/2025|47|Annual|Upi|2,409|4|1|38.00|2.3|4/2/2025||Active|Security</v>
      </c>
      <c r="W1018" s="13">
        <f t="shared" si="3"/>
        <v>1</v>
      </c>
      <c r="X1018" s="13">
        <f>IFERROR(__xludf.DUMMYFUNCTION("COUNTUNIQUE(FILTER($B$2:$B$1826,$A$2:$A$1826=A1018))"),1.0)</f>
        <v>1</v>
      </c>
    </row>
    <row r="1019">
      <c r="A1019" s="13" t="s">
        <v>1570</v>
      </c>
      <c r="B1019" s="13" t="s">
        <v>801</v>
      </c>
      <c r="C1019" s="14">
        <v>65.0</v>
      </c>
      <c r="D1019" s="13" t="s">
        <v>35</v>
      </c>
      <c r="E1019" s="13" t="s">
        <v>51</v>
      </c>
      <c r="F1019" s="13" t="s">
        <v>79</v>
      </c>
      <c r="G1019" s="13" t="s">
        <v>52</v>
      </c>
      <c r="H1019" s="16">
        <v>45090.0</v>
      </c>
      <c r="I1019" s="14">
        <v>11.0</v>
      </c>
      <c r="J1019" s="13" t="s">
        <v>40</v>
      </c>
      <c r="K1019" s="13" t="s">
        <v>65</v>
      </c>
      <c r="L1019" s="14">
        <v>2850.0</v>
      </c>
      <c r="M1019" s="18" t="s">
        <v>43</v>
      </c>
      <c r="N1019" s="18" t="s">
        <v>98</v>
      </c>
      <c r="O1019" s="18">
        <v>39.1</v>
      </c>
      <c r="P1019" s="18" t="s">
        <v>310</v>
      </c>
      <c r="Q1019" s="16">
        <v>45182.0</v>
      </c>
      <c r="R1019" s="16" t="s">
        <v>38</v>
      </c>
      <c r="S1019" s="13" t="s">
        <v>55</v>
      </c>
      <c r="T1019" s="13" t="s">
        <v>104</v>
      </c>
      <c r="U1019" s="13">
        <f t="shared" si="1"/>
        <v>3</v>
      </c>
      <c r="V1019" s="13" t="str">
        <f t="shared" si="2"/>
        <v>C00043|Karan Singh|65|North|Jaipur|Premium|Facebook|6/13/2023|11|Monthly|Credit Card|2,850|2|1|39.10|3.1|9/13/2023||Active|Analytics</v>
      </c>
      <c r="W1019" s="13">
        <f t="shared" si="3"/>
        <v>1</v>
      </c>
      <c r="X1019" s="13">
        <f>IFERROR(__xludf.DUMMYFUNCTION("COUNTUNIQUE(FILTER($B$2:$B$1826,$A$2:$A$1826=A1019))"),3.0)</f>
        <v>3</v>
      </c>
    </row>
    <row r="1020">
      <c r="A1020" s="13" t="s">
        <v>1621</v>
      </c>
      <c r="B1020" s="13" t="s">
        <v>215</v>
      </c>
      <c r="C1020" s="14">
        <v>68.0</v>
      </c>
      <c r="D1020" s="13" t="s">
        <v>60</v>
      </c>
      <c r="E1020" s="13" t="s">
        <v>107</v>
      </c>
      <c r="F1020" s="13" t="s">
        <v>79</v>
      </c>
      <c r="G1020" s="13" t="s">
        <v>52</v>
      </c>
      <c r="H1020" s="16">
        <v>45685.0</v>
      </c>
      <c r="I1020" s="14">
        <v>41.0</v>
      </c>
      <c r="J1020" s="13" t="s">
        <v>53</v>
      </c>
      <c r="K1020" s="13" t="s">
        <v>41</v>
      </c>
      <c r="L1020" s="14">
        <v>3746.0</v>
      </c>
      <c r="M1020" s="18" t="s">
        <v>164</v>
      </c>
      <c r="N1020" s="18" t="s">
        <v>98</v>
      </c>
      <c r="O1020" s="18">
        <v>42.2</v>
      </c>
      <c r="P1020" s="18" t="s">
        <v>150</v>
      </c>
      <c r="Q1020" s="16">
        <v>45701.0</v>
      </c>
      <c r="R1020" s="16" t="s">
        <v>38</v>
      </c>
      <c r="S1020" s="13" t="s">
        <v>55</v>
      </c>
      <c r="T1020" s="13" t="s">
        <v>104</v>
      </c>
      <c r="U1020" s="13">
        <f t="shared" si="1"/>
        <v>2</v>
      </c>
      <c r="V1020" s="13" t="str">
        <f t="shared" si="2"/>
        <v>C01567|Neha Sharma|68|East|Patna|Premium|Facebook|1/28/2025|41|Quarterly|Upi|3,746|3|1|42.20|4.5|2/13/2025||Active|Analytics</v>
      </c>
      <c r="W1020" s="13">
        <f t="shared" si="3"/>
        <v>1</v>
      </c>
      <c r="X1020" s="13">
        <f>IFERROR(__xludf.DUMMYFUNCTION("COUNTUNIQUE(FILTER($B$2:$B$1826,$A$2:$A$1826=A1020))"),2.0)</f>
        <v>2</v>
      </c>
    </row>
    <row r="1021">
      <c r="A1021" s="13" t="s">
        <v>1621</v>
      </c>
      <c r="B1021" s="13" t="s">
        <v>342</v>
      </c>
      <c r="C1021" s="14">
        <v>24.0</v>
      </c>
      <c r="D1021" s="13" t="s">
        <v>85</v>
      </c>
      <c r="E1021" s="13" t="s">
        <v>92</v>
      </c>
      <c r="F1021" s="13" t="s">
        <v>62</v>
      </c>
      <c r="G1021" s="13" t="s">
        <v>128</v>
      </c>
      <c r="H1021" s="16">
        <v>45656.0</v>
      </c>
      <c r="I1021" s="14">
        <v>30.0</v>
      </c>
      <c r="J1021" s="13" t="s">
        <v>53</v>
      </c>
      <c r="K1021" s="13" t="s">
        <v>41</v>
      </c>
      <c r="L1021" s="14">
        <v>745.0</v>
      </c>
      <c r="M1021" s="18" t="s">
        <v>99</v>
      </c>
      <c r="N1021" s="18" t="s">
        <v>98</v>
      </c>
      <c r="O1021" s="18">
        <v>18.3</v>
      </c>
      <c r="P1021" s="18" t="s">
        <v>456</v>
      </c>
      <c r="Q1021" s="16">
        <v>45950.0</v>
      </c>
      <c r="R1021" s="16" t="s">
        <v>38</v>
      </c>
      <c r="S1021" s="13" t="s">
        <v>55</v>
      </c>
      <c r="T1021" s="13" t="s">
        <v>75</v>
      </c>
      <c r="U1021" s="13">
        <f t="shared" si="1"/>
        <v>2</v>
      </c>
      <c r="V1021" s="13" t="str">
        <f t="shared" si="2"/>
        <v>C01567|Priya Reddy|24|West|Ahmedabad|Basic|Youtube|12/30/2024|30|Quarterly|Upi|745|4|1|18.30|2.5|10/20/2025||Active|Security</v>
      </c>
      <c r="W1021" s="13">
        <f t="shared" si="3"/>
        <v>1</v>
      </c>
      <c r="X1021" s="13">
        <f>IFERROR(__xludf.DUMMYFUNCTION("COUNTUNIQUE(FILTER($B$2:$B$1826,$A$2:$A$1826=A1021))"),2.0)</f>
        <v>2</v>
      </c>
    </row>
    <row r="1022">
      <c r="A1022" s="13" t="s">
        <v>1622</v>
      </c>
      <c r="B1022" s="13" t="s">
        <v>316</v>
      </c>
      <c r="C1022" s="14">
        <v>67.0</v>
      </c>
      <c r="D1022" s="13" t="s">
        <v>60</v>
      </c>
      <c r="E1022" s="13" t="s">
        <v>61</v>
      </c>
      <c r="F1022" s="13" t="s">
        <v>79</v>
      </c>
      <c r="G1022" s="13" t="s">
        <v>80</v>
      </c>
      <c r="H1022" s="16">
        <v>44738.0</v>
      </c>
      <c r="I1022" s="14">
        <v>5.0</v>
      </c>
      <c r="J1022" s="13" t="s">
        <v>64</v>
      </c>
      <c r="K1022" s="13" t="s">
        <v>65</v>
      </c>
      <c r="L1022" s="14">
        <v>3068.0</v>
      </c>
      <c r="M1022" s="18" t="s">
        <v>98</v>
      </c>
      <c r="N1022" s="18" t="s">
        <v>98</v>
      </c>
      <c r="O1022" s="18">
        <v>37.1</v>
      </c>
      <c r="P1022" s="18" t="s">
        <v>116</v>
      </c>
      <c r="Q1022" s="16">
        <v>44884.0</v>
      </c>
      <c r="R1022" s="16" t="s">
        <v>38</v>
      </c>
      <c r="S1022" s="13" t="s">
        <v>55</v>
      </c>
      <c r="T1022" s="13" t="s">
        <v>104</v>
      </c>
      <c r="U1022" s="13">
        <f t="shared" si="1"/>
        <v>1</v>
      </c>
      <c r="V1022" s="13" t="str">
        <f t="shared" si="2"/>
        <v>C00388|Neha Nair|67|East|Kolkata|Premium|Organic Search|6/26/2022|5|Annual|Credit Card|3,068|1|1|37.10|3.4|11/19/2022||Active|Analytics</v>
      </c>
      <c r="W1022" s="13">
        <f t="shared" si="3"/>
        <v>1</v>
      </c>
      <c r="X1022" s="13">
        <f>IFERROR(__xludf.DUMMYFUNCTION("COUNTUNIQUE(FILTER($B$2:$B$1826,$A$2:$A$1826=A1022))"),1.0)</f>
        <v>1</v>
      </c>
    </row>
    <row r="1023">
      <c r="A1023" s="13" t="s">
        <v>1623</v>
      </c>
      <c r="B1023" s="13" t="s">
        <v>340</v>
      </c>
      <c r="C1023" s="14">
        <v>66.0</v>
      </c>
      <c r="D1023" s="13" t="s">
        <v>85</v>
      </c>
      <c r="E1023" s="13" t="s">
        <v>87</v>
      </c>
      <c r="F1023" s="13" t="s">
        <v>62</v>
      </c>
      <c r="G1023" s="13" t="s">
        <v>80</v>
      </c>
      <c r="H1023" s="16">
        <v>45386.0</v>
      </c>
      <c r="I1023" s="14">
        <v>14.0</v>
      </c>
      <c r="J1023" s="13" t="s">
        <v>40</v>
      </c>
      <c r="K1023" s="13" t="s">
        <v>81</v>
      </c>
      <c r="L1023" s="14">
        <v>816.0</v>
      </c>
      <c r="M1023" s="18" t="s">
        <v>99</v>
      </c>
      <c r="N1023" s="18" t="s">
        <v>46</v>
      </c>
      <c r="O1023" s="18">
        <v>20.3</v>
      </c>
      <c r="P1023" s="18" t="s">
        <v>248</v>
      </c>
      <c r="Q1023" s="16">
        <v>45792.0</v>
      </c>
      <c r="R1023" s="16" t="s">
        <v>38</v>
      </c>
      <c r="S1023" s="13" t="s">
        <v>529</v>
      </c>
      <c r="T1023" s="13" t="s">
        <v>75</v>
      </c>
      <c r="U1023" s="13">
        <f t="shared" si="1"/>
        <v>2</v>
      </c>
      <c r="V1023" s="13" t="str">
        <f t="shared" si="2"/>
        <v>C00697|Meera Sharma|66|West|Surat|Basic|Organic Search|4/4/2024|14|Monthly|Debit Card|816|4|0|20.30|2.6|5/15/2025||No|Security</v>
      </c>
      <c r="W1023" s="13">
        <f t="shared" si="3"/>
        <v>1</v>
      </c>
      <c r="X1023" s="13">
        <f>IFERROR(__xludf.DUMMYFUNCTION("COUNTUNIQUE(FILTER($B$2:$B$1826,$A$2:$A$1826=A1023))"),1.0)</f>
        <v>1</v>
      </c>
    </row>
    <row r="1024">
      <c r="A1024" s="13" t="s">
        <v>1624</v>
      </c>
      <c r="B1024" s="13" t="s">
        <v>295</v>
      </c>
      <c r="C1024" s="14">
        <v>60.0</v>
      </c>
      <c r="D1024" s="13" t="s">
        <v>85</v>
      </c>
      <c r="E1024" s="13" t="s">
        <v>87</v>
      </c>
      <c r="F1024" s="13" t="s">
        <v>62</v>
      </c>
      <c r="G1024" s="13" t="s">
        <v>210</v>
      </c>
      <c r="H1024" s="16">
        <v>44969.0</v>
      </c>
      <c r="I1024" s="14">
        <v>3.0</v>
      </c>
      <c r="J1024" s="13" t="s">
        <v>53</v>
      </c>
      <c r="K1024" s="13" t="s">
        <v>65</v>
      </c>
      <c r="L1024" s="14">
        <v>595.0</v>
      </c>
      <c r="M1024" s="18" t="s">
        <v>164</v>
      </c>
      <c r="N1024" s="18" t="s">
        <v>46</v>
      </c>
      <c r="O1024" s="18">
        <v>18.8</v>
      </c>
      <c r="P1024" s="18" t="s">
        <v>701</v>
      </c>
      <c r="Q1024" s="16">
        <v>45024.0</v>
      </c>
      <c r="R1024" s="16" t="s">
        <v>38</v>
      </c>
      <c r="S1024" s="13" t="s">
        <v>55</v>
      </c>
      <c r="T1024" s="13" t="s">
        <v>104</v>
      </c>
      <c r="U1024" s="13">
        <f t="shared" si="1"/>
        <v>2</v>
      </c>
      <c r="V1024" s="13" t="str">
        <f t="shared" si="2"/>
        <v>C01142|Arun Reddy|60|West|Surat|Basic|Referral|2/12/2023|3|Quarterly|Credit Card|595|3|0|18.80|2.8|4/8/2023||Active|Analytics</v>
      </c>
      <c r="W1024" s="13">
        <f t="shared" si="3"/>
        <v>1</v>
      </c>
      <c r="X1024" s="13">
        <f>IFERROR(__xludf.DUMMYFUNCTION("COUNTUNIQUE(FILTER($B$2:$B$1826,$A$2:$A$1826=A1024))"),2.0)</f>
        <v>2</v>
      </c>
    </row>
    <row r="1025">
      <c r="A1025" s="13" t="s">
        <v>1625</v>
      </c>
      <c r="B1025" s="13" t="s">
        <v>257</v>
      </c>
      <c r="C1025" s="14">
        <v>26.0</v>
      </c>
      <c r="D1025" s="13" t="s">
        <v>85</v>
      </c>
      <c r="E1025" s="13" t="s">
        <v>292</v>
      </c>
      <c r="F1025" s="13" t="s">
        <v>62</v>
      </c>
      <c r="G1025" s="13" t="s">
        <v>63</v>
      </c>
      <c r="H1025" s="16">
        <v>45779.0</v>
      </c>
      <c r="I1025" s="14">
        <v>34.0</v>
      </c>
      <c r="J1025" s="13" t="s">
        <v>64</v>
      </c>
      <c r="K1025" s="13" t="s">
        <v>41</v>
      </c>
      <c r="L1025" s="14">
        <v>558.0</v>
      </c>
      <c r="M1025" s="18" t="s">
        <v>43</v>
      </c>
      <c r="N1025" s="18" t="s">
        <v>98</v>
      </c>
      <c r="O1025" s="18">
        <v>21.5</v>
      </c>
      <c r="P1025" s="18" t="s">
        <v>89</v>
      </c>
      <c r="Q1025" s="16">
        <v>46758.0</v>
      </c>
      <c r="R1025" s="16" t="s">
        <v>38</v>
      </c>
      <c r="S1025" s="13" t="s">
        <v>55</v>
      </c>
      <c r="T1025" s="13" t="s">
        <v>72</v>
      </c>
      <c r="U1025" s="13">
        <f t="shared" si="1"/>
        <v>2</v>
      </c>
      <c r="V1025" s="13" t="str">
        <f t="shared" si="2"/>
        <v>C00646|Sneha Reddy|26|West|Mumbai|Basic|Google Ads|5/2/2025|34|Annual|Upi|558|2|1|21.50|3.3|1/6/2028||Active|Collaboration</v>
      </c>
      <c r="W1025" s="13">
        <f t="shared" si="3"/>
        <v>1</v>
      </c>
      <c r="X1025" s="13">
        <f>IFERROR(__xludf.DUMMYFUNCTION("COUNTUNIQUE(FILTER($B$2:$B$1826,$A$2:$A$1826=A1025))"),2.0)</f>
        <v>2</v>
      </c>
    </row>
    <row r="1026">
      <c r="A1026" s="13" t="s">
        <v>1072</v>
      </c>
      <c r="B1026" s="13" t="s">
        <v>206</v>
      </c>
      <c r="C1026" s="14">
        <v>36.0</v>
      </c>
      <c r="D1026" s="13" t="s">
        <v>60</v>
      </c>
      <c r="E1026" s="13" t="s">
        <v>133</v>
      </c>
      <c r="F1026" s="13" t="s">
        <v>62</v>
      </c>
      <c r="G1026" s="13" t="s">
        <v>128</v>
      </c>
      <c r="H1026" s="16">
        <v>44780.0</v>
      </c>
      <c r="I1026" s="14">
        <v>4.0</v>
      </c>
      <c r="J1026" s="13" t="s">
        <v>53</v>
      </c>
      <c r="K1026" s="13" t="s">
        <v>65</v>
      </c>
      <c r="L1026" s="14">
        <v>839.0</v>
      </c>
      <c r="M1026" s="18" t="s">
        <v>98</v>
      </c>
      <c r="N1026" s="18" t="s">
        <v>98</v>
      </c>
      <c r="O1026" s="18">
        <v>25.5</v>
      </c>
      <c r="P1026" s="18" t="s">
        <v>248</v>
      </c>
      <c r="Q1026" s="16">
        <v>44856.0</v>
      </c>
      <c r="R1026" s="16" t="s">
        <v>1626</v>
      </c>
      <c r="S1026" s="13" t="s">
        <v>45</v>
      </c>
      <c r="T1026" s="13" t="s">
        <v>104</v>
      </c>
      <c r="U1026" s="13">
        <f t="shared" si="1"/>
        <v>3</v>
      </c>
      <c r="V1026" s="13" t="str">
        <f t="shared" si="2"/>
        <v>C00504|Karan Patel|36|East|Guwahati|Basic|Youtube|8/7/2022|4|Quarterly|Credit Card|839|1|1|25.50|2.6|10/22/2022|19/12/2022|Churned|Analytics</v>
      </c>
      <c r="W1026" s="13">
        <f t="shared" si="3"/>
        <v>1</v>
      </c>
      <c r="X1026" s="13">
        <f>IFERROR(__xludf.DUMMYFUNCTION("COUNTUNIQUE(FILTER($B$2:$B$1826,$A$2:$A$1826=A1026))"),3.0)</f>
        <v>3</v>
      </c>
    </row>
    <row r="1027">
      <c r="A1027" s="13" t="s">
        <v>1627</v>
      </c>
      <c r="B1027" s="13" t="s">
        <v>336</v>
      </c>
      <c r="C1027" s="14">
        <v>52.0</v>
      </c>
      <c r="D1027" s="13" t="s">
        <v>60</v>
      </c>
      <c r="E1027" s="13" t="s">
        <v>61</v>
      </c>
      <c r="F1027" s="13" t="s">
        <v>37</v>
      </c>
      <c r="G1027" s="13" t="s">
        <v>52</v>
      </c>
      <c r="H1027" s="16">
        <v>45176.0</v>
      </c>
      <c r="I1027" s="14">
        <v>27.0</v>
      </c>
      <c r="J1027" s="13" t="s">
        <v>64</v>
      </c>
      <c r="K1027" s="13" t="s">
        <v>81</v>
      </c>
      <c r="L1027" s="14">
        <v>1334.0</v>
      </c>
      <c r="M1027" s="18" t="s">
        <v>43</v>
      </c>
      <c r="N1027" s="18" t="s">
        <v>46</v>
      </c>
      <c r="O1027" s="18">
        <v>19.8</v>
      </c>
      <c r="P1027" s="18" t="s">
        <v>408</v>
      </c>
      <c r="Q1027" s="16">
        <v>45914.0</v>
      </c>
      <c r="R1027" s="16" t="s">
        <v>38</v>
      </c>
      <c r="S1027" s="13" t="s">
        <v>55</v>
      </c>
      <c r="T1027" s="13" t="s">
        <v>104</v>
      </c>
      <c r="U1027" s="13">
        <f t="shared" si="1"/>
        <v>1</v>
      </c>
      <c r="V1027" s="13" t="str">
        <f t="shared" si="2"/>
        <v>C01088|Priya Patel|52|East|Kolkata|Standard|Facebook|9/7/2023|27|Annual|Debit Card|1,334|2|0|19.80|4.2|9/14/2025||Active|Analytics</v>
      </c>
      <c r="W1027" s="13">
        <f t="shared" si="3"/>
        <v>1</v>
      </c>
      <c r="X1027" s="13">
        <f>IFERROR(__xludf.DUMMYFUNCTION("COUNTUNIQUE(FILTER($B$2:$B$1826,$A$2:$A$1826=A1027))"),1.0)</f>
        <v>1</v>
      </c>
    </row>
    <row r="1028">
      <c r="A1028" s="13" t="s">
        <v>1230</v>
      </c>
      <c r="B1028" s="13" t="s">
        <v>424</v>
      </c>
      <c r="C1028" s="14">
        <v>36.0</v>
      </c>
      <c r="D1028" s="13" t="s">
        <v>35</v>
      </c>
      <c r="E1028" s="13" t="s">
        <v>36</v>
      </c>
      <c r="F1028" s="13" t="s">
        <v>79</v>
      </c>
      <c r="G1028" s="13" t="s">
        <v>128</v>
      </c>
      <c r="H1028" s="16">
        <v>45245.0</v>
      </c>
      <c r="I1028" s="14">
        <v>21.0</v>
      </c>
      <c r="J1028" s="13" t="s">
        <v>53</v>
      </c>
      <c r="K1028" s="13" t="s">
        <v>81</v>
      </c>
      <c r="L1028" s="14">
        <v>2433.0</v>
      </c>
      <c r="M1028" s="18" t="s">
        <v>43</v>
      </c>
      <c r="N1028" s="18" t="s">
        <v>43</v>
      </c>
      <c r="O1028" s="18">
        <v>26.5</v>
      </c>
      <c r="P1028" s="18" t="s">
        <v>185</v>
      </c>
      <c r="Q1028" s="16">
        <v>45851.0</v>
      </c>
      <c r="R1028" s="16">
        <v>45385.0</v>
      </c>
      <c r="S1028" s="13" t="s">
        <v>45</v>
      </c>
      <c r="T1028" s="13" t="s">
        <v>66</v>
      </c>
      <c r="U1028" s="13">
        <f t="shared" si="1"/>
        <v>4</v>
      </c>
      <c r="V1028" s="13" t="str">
        <f t="shared" si="2"/>
        <v>C00743|Neha Kumar|36|North|Delhi|Premium|Youtube|11/15/2023|21|Quarterly|Debit Card|2,433|2|2|26.50|3.2|7/13/2025|4/3/2024|Churned|Automation</v>
      </c>
      <c r="W1028" s="13">
        <f t="shared" si="3"/>
        <v>1</v>
      </c>
      <c r="X1028" s="13">
        <f>IFERROR(__xludf.DUMMYFUNCTION("COUNTUNIQUE(FILTER($B$2:$B$1826,$A$2:$A$1826=A1028))"),3.0)</f>
        <v>3</v>
      </c>
    </row>
    <row r="1029">
      <c r="A1029" s="13" t="s">
        <v>1629</v>
      </c>
      <c r="B1029" s="13" t="s">
        <v>126</v>
      </c>
      <c r="C1029" s="14">
        <v>23.0</v>
      </c>
      <c r="D1029" s="13" t="s">
        <v>60</v>
      </c>
      <c r="E1029" s="13" t="s">
        <v>107</v>
      </c>
      <c r="F1029" s="13" t="s">
        <v>37</v>
      </c>
      <c r="G1029" s="13" t="s">
        <v>120</v>
      </c>
      <c r="H1029" s="16">
        <v>44645.0</v>
      </c>
      <c r="I1029" s="14">
        <v>20.0</v>
      </c>
      <c r="J1029" s="13" t="s">
        <v>40</v>
      </c>
      <c r="K1029" s="13" t="s">
        <v>81</v>
      </c>
      <c r="L1029" s="14">
        <v>714.0</v>
      </c>
      <c r="M1029" s="18" t="s">
        <v>99</v>
      </c>
      <c r="N1029" s="18" t="s">
        <v>43</v>
      </c>
      <c r="O1029" s="18">
        <v>8.6</v>
      </c>
      <c r="P1029" s="18" t="s">
        <v>130</v>
      </c>
      <c r="Q1029" s="16">
        <v>44996.0</v>
      </c>
      <c r="R1029" s="16" t="s">
        <v>1630</v>
      </c>
      <c r="S1029" s="13" t="s">
        <v>45</v>
      </c>
      <c r="T1029" s="13" t="s">
        <v>104</v>
      </c>
      <c r="U1029" s="13">
        <f t="shared" si="1"/>
        <v>3</v>
      </c>
      <c r="V1029" s="13" t="str">
        <f t="shared" si="2"/>
        <v>C00164|Arun Patel|23|East|Patna|Standard|Email|3/25/2022|20|Monthly|Debit Card|714|4|2|8.60|3.9|3/11/2023|24/01/2023|Churned|Analytics</v>
      </c>
      <c r="W1029" s="13">
        <f t="shared" si="3"/>
        <v>1</v>
      </c>
      <c r="X1029" s="13">
        <f>IFERROR(__xludf.DUMMYFUNCTION("COUNTUNIQUE(FILTER($B$2:$B$1826,$A$2:$A$1826=A1029))"),2.0)</f>
        <v>2</v>
      </c>
    </row>
    <row r="1030">
      <c r="A1030" s="13" t="s">
        <v>1631</v>
      </c>
      <c r="B1030" s="13" t="s">
        <v>342</v>
      </c>
      <c r="C1030" s="14">
        <v>29.0</v>
      </c>
      <c r="D1030" s="13" t="s">
        <v>85</v>
      </c>
      <c r="E1030" s="13" t="s">
        <v>292</v>
      </c>
      <c r="F1030" s="13" t="s">
        <v>37</v>
      </c>
      <c r="G1030" s="13" t="s">
        <v>210</v>
      </c>
      <c r="H1030" s="16">
        <v>45393.0</v>
      </c>
      <c r="I1030" s="14">
        <v>35.0</v>
      </c>
      <c r="J1030" s="13" t="s">
        <v>40</v>
      </c>
      <c r="K1030" s="13" t="s">
        <v>81</v>
      </c>
      <c r="L1030" s="14">
        <v>1604.0</v>
      </c>
      <c r="M1030" s="18" t="s">
        <v>43</v>
      </c>
      <c r="N1030" s="18" t="s">
        <v>46</v>
      </c>
      <c r="O1030" s="18">
        <v>14.9</v>
      </c>
      <c r="P1030" s="18" t="s">
        <v>296</v>
      </c>
      <c r="Q1030" s="16">
        <v>45910.0</v>
      </c>
      <c r="R1030" s="16" t="s">
        <v>38</v>
      </c>
      <c r="S1030" s="13" t="s">
        <v>55</v>
      </c>
      <c r="T1030" s="13" t="s">
        <v>66</v>
      </c>
      <c r="U1030" s="13">
        <f t="shared" si="1"/>
        <v>1</v>
      </c>
      <c r="V1030" s="13" t="str">
        <f t="shared" si="2"/>
        <v>C00219|Priya Reddy|29|West|Mumbai|Standard|Referral|4/11/2024|35|Monthly|Debit Card|1,604|2|0|14.90|4.6|9/10/2025||Active|Automation</v>
      </c>
      <c r="W1030" s="13">
        <f t="shared" si="3"/>
        <v>1</v>
      </c>
      <c r="X1030" s="13">
        <f>IFERROR(__xludf.DUMMYFUNCTION("COUNTUNIQUE(FILTER($B$2:$B$1826,$A$2:$A$1826=A1030))"),1.0)</f>
        <v>1</v>
      </c>
    </row>
    <row r="1031">
      <c r="A1031" s="13" t="s">
        <v>313</v>
      </c>
      <c r="B1031" s="13" t="s">
        <v>331</v>
      </c>
      <c r="C1031" s="14">
        <v>55.0</v>
      </c>
      <c r="D1031" s="13" t="s">
        <v>35</v>
      </c>
      <c r="E1031" s="13" t="s">
        <v>36</v>
      </c>
      <c r="F1031" s="13" t="s">
        <v>37</v>
      </c>
      <c r="G1031" s="13" t="s">
        <v>52</v>
      </c>
      <c r="H1031" s="16">
        <v>46012.0</v>
      </c>
      <c r="I1031" s="14">
        <v>9.0</v>
      </c>
      <c r="J1031" s="13" t="s">
        <v>64</v>
      </c>
      <c r="K1031" s="13" t="s">
        <v>41</v>
      </c>
      <c r="L1031" s="14">
        <v>1520.0</v>
      </c>
      <c r="M1031" s="18" t="s">
        <v>46</v>
      </c>
      <c r="N1031" s="18" t="s">
        <v>98</v>
      </c>
      <c r="O1031" s="18">
        <v>23.6</v>
      </c>
      <c r="P1031" s="18" t="s">
        <v>225</v>
      </c>
      <c r="Q1031" s="16">
        <v>46230.0</v>
      </c>
      <c r="R1031" s="16" t="s">
        <v>38</v>
      </c>
      <c r="S1031" s="13" t="s">
        <v>55</v>
      </c>
      <c r="T1031" s="13" t="s">
        <v>75</v>
      </c>
      <c r="U1031" s="13">
        <f t="shared" si="1"/>
        <v>2</v>
      </c>
      <c r="V1031" s="13" t="str">
        <f t="shared" si="2"/>
        <v>C01436|Arun Iyer|55|North|Delhi|Standard|Facebook|12/21/2025|9|Annual|Upi|1,520|0|1|23.60|3.8|7/27/2026||Active|Security</v>
      </c>
      <c r="W1031" s="13">
        <f t="shared" si="3"/>
        <v>1</v>
      </c>
      <c r="X1031" s="13">
        <f>IFERROR(__xludf.DUMMYFUNCTION("COUNTUNIQUE(FILTER($B$2:$B$1826,$A$2:$A$1826=A1031))"),2.0)</f>
        <v>2</v>
      </c>
    </row>
    <row r="1032">
      <c r="A1032" s="13" t="s">
        <v>1633</v>
      </c>
      <c r="B1032" s="13" t="s">
        <v>393</v>
      </c>
      <c r="C1032" s="14">
        <v>56.0</v>
      </c>
      <c r="D1032" s="13" t="s">
        <v>69</v>
      </c>
      <c r="E1032" s="13" t="s">
        <v>70</v>
      </c>
      <c r="F1032" s="13" t="s">
        <v>62</v>
      </c>
      <c r="G1032" s="13" t="s">
        <v>80</v>
      </c>
      <c r="H1032" s="16">
        <v>45927.0</v>
      </c>
      <c r="I1032" s="14">
        <v>25.0</v>
      </c>
      <c r="J1032" s="13" t="s">
        <v>53</v>
      </c>
      <c r="K1032" s="13" t="s">
        <v>65</v>
      </c>
      <c r="L1032" s="14">
        <v>769.0</v>
      </c>
      <c r="M1032" s="18" t="s">
        <v>98</v>
      </c>
      <c r="N1032" s="18" t="s">
        <v>98</v>
      </c>
      <c r="O1032" s="18">
        <v>4.9</v>
      </c>
      <c r="P1032" s="18" t="s">
        <v>89</v>
      </c>
      <c r="Q1032" s="16">
        <v>46076.0</v>
      </c>
      <c r="R1032" s="16" t="s">
        <v>38</v>
      </c>
      <c r="S1032" s="13" t="s">
        <v>55</v>
      </c>
      <c r="T1032" s="13" t="s">
        <v>47</v>
      </c>
      <c r="U1032" s="13">
        <f t="shared" si="1"/>
        <v>1</v>
      </c>
      <c r="V1032" s="13" t="str">
        <f t="shared" si="2"/>
        <v>C01122|Karan Das|56|South|Bengaluru|Basic|Organic Search|9/27/2025|25|Quarterly|Credit Card|769|1|1|4.90|3.3|2/23/2026||Active|Cloud Storage</v>
      </c>
      <c r="W1032" s="13">
        <f t="shared" si="3"/>
        <v>1</v>
      </c>
      <c r="X1032" s="13">
        <f>IFERROR(__xludf.DUMMYFUNCTION("COUNTUNIQUE(FILTER($B$2:$B$1826,$A$2:$A$1826=A1032))"),1.0)</f>
        <v>1</v>
      </c>
    </row>
    <row r="1033">
      <c r="A1033" s="13" t="s">
        <v>1634</v>
      </c>
      <c r="B1033" s="13" t="s">
        <v>106</v>
      </c>
      <c r="C1033" s="14">
        <v>60.0</v>
      </c>
      <c r="D1033" s="13" t="s">
        <v>35</v>
      </c>
      <c r="E1033" s="13" t="s">
        <v>140</v>
      </c>
      <c r="F1033" s="13" t="s">
        <v>62</v>
      </c>
      <c r="G1033" s="13" t="s">
        <v>80</v>
      </c>
      <c r="H1033" s="16">
        <v>45581.0</v>
      </c>
      <c r="I1033" s="14">
        <v>1.0</v>
      </c>
      <c r="J1033" s="13" t="s">
        <v>64</v>
      </c>
      <c r="K1033" s="13" t="s">
        <v>41</v>
      </c>
      <c r="L1033" s="14">
        <v>706.0</v>
      </c>
      <c r="M1033" s="18" t="s">
        <v>46</v>
      </c>
      <c r="N1033" s="18" t="s">
        <v>46</v>
      </c>
      <c r="O1033" s="18">
        <v>24.9</v>
      </c>
      <c r="P1033" s="18" t="s">
        <v>568</v>
      </c>
      <c r="Q1033" s="16">
        <v>45607.0</v>
      </c>
      <c r="R1033" s="16">
        <v>45485.0</v>
      </c>
      <c r="S1033" s="13" t="s">
        <v>55</v>
      </c>
      <c r="T1033" s="13" t="s">
        <v>47</v>
      </c>
      <c r="U1033" s="13">
        <f t="shared" si="1"/>
        <v>1</v>
      </c>
      <c r="V1033" s="13" t="str">
        <f t="shared" si="2"/>
        <v>C01263|Rahul Patel|60|North|Lucknow|Basic|Organic Search|10/16/2024|1|Annual|Upi|706|0|0|24.90|2.2|11/11/2024|7/12/2024|Active|Cloud Storage</v>
      </c>
      <c r="W1033" s="13">
        <f t="shared" si="3"/>
        <v>1</v>
      </c>
      <c r="X1033" s="13">
        <f>IFERROR(__xludf.DUMMYFUNCTION("COUNTUNIQUE(FILTER($B$2:$B$1826,$A$2:$A$1826=A1033))"),1.0)</f>
        <v>1</v>
      </c>
    </row>
    <row r="1034">
      <c r="A1034" s="13" t="s">
        <v>1636</v>
      </c>
      <c r="B1034" s="13" t="s">
        <v>398</v>
      </c>
      <c r="C1034" s="14">
        <v>55.0</v>
      </c>
      <c r="D1034" s="13" t="s">
        <v>35</v>
      </c>
      <c r="E1034" s="13" t="s">
        <v>51</v>
      </c>
      <c r="F1034" s="13" t="s">
        <v>79</v>
      </c>
      <c r="G1034" s="13" t="s">
        <v>52</v>
      </c>
      <c r="H1034" s="16">
        <v>44657.0</v>
      </c>
      <c r="I1034" s="14">
        <v>47.0</v>
      </c>
      <c r="J1034" s="13" t="s">
        <v>40</v>
      </c>
      <c r="K1034" s="13" t="s">
        <v>81</v>
      </c>
      <c r="L1034" s="14">
        <v>3975.0</v>
      </c>
      <c r="M1034" s="18" t="s">
        <v>99</v>
      </c>
      <c r="N1034" s="18" t="s">
        <v>43</v>
      </c>
      <c r="O1034" s="18">
        <v>44.6</v>
      </c>
      <c r="P1034" s="18" t="s">
        <v>76</v>
      </c>
      <c r="Q1034" s="16">
        <v>45113.0</v>
      </c>
      <c r="R1034" s="16" t="s">
        <v>38</v>
      </c>
      <c r="S1034" s="13" t="s">
        <v>55</v>
      </c>
      <c r="T1034" s="13" t="s">
        <v>47</v>
      </c>
      <c r="U1034" s="13">
        <f t="shared" si="1"/>
        <v>1</v>
      </c>
      <c r="V1034" s="13" t="str">
        <f t="shared" si="2"/>
        <v>C00272|Vikram Sharma|55|North|Jaipur|Premium|Facebook|4/6/2022|47|Monthly|Debit Card|3,975|4|2|44.60|4.4|7/6/2023||Active|Cloud Storage</v>
      </c>
      <c r="W1034" s="13">
        <f t="shared" si="3"/>
        <v>1</v>
      </c>
      <c r="X1034" s="13">
        <f>IFERROR(__xludf.DUMMYFUNCTION("COUNTUNIQUE(FILTER($B$2:$B$1826,$A$2:$A$1826=A1034))"),1.0)</f>
        <v>1</v>
      </c>
    </row>
    <row r="1035">
      <c r="A1035" s="13" t="s">
        <v>1917</v>
      </c>
      <c r="B1035" s="13" t="s">
        <v>281</v>
      </c>
      <c r="C1035" s="14">
        <v>45.0</v>
      </c>
      <c r="D1035" s="13" t="s">
        <v>35</v>
      </c>
      <c r="E1035" s="13" t="s">
        <v>36</v>
      </c>
      <c r="F1035" s="13" t="s">
        <v>62</v>
      </c>
      <c r="G1035" s="13" t="s">
        <v>210</v>
      </c>
      <c r="H1035" s="16">
        <v>44984.0</v>
      </c>
      <c r="I1035" s="14">
        <v>29.0</v>
      </c>
      <c r="J1035" s="13" t="s">
        <v>53</v>
      </c>
      <c r="K1035" s="13" t="s">
        <v>81</v>
      </c>
      <c r="L1035" s="14">
        <v>869.0</v>
      </c>
      <c r="M1035" s="18" t="s">
        <v>164</v>
      </c>
      <c r="N1035" s="18" t="s">
        <v>164</v>
      </c>
      <c r="O1035" s="18">
        <v>7.2</v>
      </c>
      <c r="P1035" s="18" t="s">
        <v>263</v>
      </c>
      <c r="Q1035" s="16">
        <v>45120.0</v>
      </c>
      <c r="R1035" s="16" t="s">
        <v>38</v>
      </c>
      <c r="S1035" s="13" t="s">
        <v>55</v>
      </c>
      <c r="T1035" s="13" t="s">
        <v>66</v>
      </c>
      <c r="U1035" s="13">
        <f t="shared" si="1"/>
        <v>1</v>
      </c>
      <c r="V1035" s="13" t="str">
        <f t="shared" si="2"/>
        <v>C01469|Anita Reddy|45|North|Delhi|Basic|Referral|2/27/2023|29|Quarterly|Debit Card|869|3|3|7.20|2.9|7/13/2023||Active|Automation</v>
      </c>
      <c r="W1035" s="13">
        <f t="shared" si="3"/>
        <v>1</v>
      </c>
      <c r="X1035" s="13">
        <f>IFERROR(__xludf.DUMMYFUNCTION("COUNTUNIQUE(FILTER($B$2:$B$1826,$A$2:$A$1826=A1035))"),1.0)</f>
        <v>1</v>
      </c>
    </row>
    <row r="1036">
      <c r="A1036" s="13" t="s">
        <v>1638</v>
      </c>
      <c r="B1036" s="13" t="s">
        <v>110</v>
      </c>
      <c r="C1036" s="14">
        <v>36.0</v>
      </c>
      <c r="D1036" s="13" t="s">
        <v>60</v>
      </c>
      <c r="E1036" s="13" t="s">
        <v>133</v>
      </c>
      <c r="F1036" s="13" t="s">
        <v>37</v>
      </c>
      <c r="G1036" s="13" t="s">
        <v>128</v>
      </c>
      <c r="H1036" s="16">
        <v>45862.0</v>
      </c>
      <c r="I1036" s="14">
        <v>10.0</v>
      </c>
      <c r="J1036" s="13" t="s">
        <v>53</v>
      </c>
      <c r="K1036" s="13" t="s">
        <v>41</v>
      </c>
      <c r="L1036" s="14">
        <v>1191.0</v>
      </c>
      <c r="M1036" s="18" t="s">
        <v>43</v>
      </c>
      <c r="N1036" s="18" t="s">
        <v>46</v>
      </c>
      <c r="O1036" s="18">
        <v>49.1</v>
      </c>
      <c r="P1036" s="18" t="s">
        <v>408</v>
      </c>
      <c r="Q1036" s="16">
        <v>45996.0</v>
      </c>
      <c r="R1036" s="16" t="s">
        <v>38</v>
      </c>
      <c r="S1036" s="13" t="s">
        <v>55</v>
      </c>
      <c r="T1036" s="13" t="s">
        <v>72</v>
      </c>
      <c r="U1036" s="13">
        <f t="shared" si="1"/>
        <v>2</v>
      </c>
      <c r="V1036" s="13" t="str">
        <f t="shared" si="2"/>
        <v>C01394|Sneha Nair|36|East|Guwahati|Standard|Youtube|7/24/2025|10|Quarterly|Upi|1,191|2|0|49.10|4.2|12/5/2025||Active|Collaboration</v>
      </c>
      <c r="W1036" s="13">
        <f t="shared" si="3"/>
        <v>1</v>
      </c>
      <c r="X1036" s="13">
        <f>IFERROR(__xludf.DUMMYFUNCTION("COUNTUNIQUE(FILTER($B$2:$B$1826,$A$2:$A$1826=A1036))"),2.0)</f>
        <v>2</v>
      </c>
    </row>
    <row r="1037">
      <c r="A1037" s="13" t="s">
        <v>95</v>
      </c>
      <c r="B1037" s="13" t="s">
        <v>78</v>
      </c>
      <c r="C1037" s="14">
        <v>37.0</v>
      </c>
      <c r="D1037" s="13" t="s">
        <v>85</v>
      </c>
      <c r="E1037" s="13" t="s">
        <v>87</v>
      </c>
      <c r="F1037" s="13" t="s">
        <v>62</v>
      </c>
      <c r="G1037" s="13" t="s">
        <v>128</v>
      </c>
      <c r="H1037" s="16">
        <v>44684.0</v>
      </c>
      <c r="I1037" s="14">
        <v>48.0</v>
      </c>
      <c r="J1037" s="13" t="s">
        <v>53</v>
      </c>
      <c r="K1037" s="13" t="s">
        <v>41</v>
      </c>
      <c r="L1037" s="14">
        <v>647.0</v>
      </c>
      <c r="M1037" s="18" t="s">
        <v>43</v>
      </c>
      <c r="N1037" s="18" t="s">
        <v>43</v>
      </c>
      <c r="O1037" s="18">
        <v>18.4</v>
      </c>
      <c r="P1037" s="18" t="s">
        <v>76</v>
      </c>
      <c r="Q1037" s="16">
        <v>44920.0</v>
      </c>
      <c r="R1037" s="16" t="s">
        <v>38</v>
      </c>
      <c r="S1037" s="13" t="s">
        <v>55</v>
      </c>
      <c r="T1037" s="13" t="s">
        <v>75</v>
      </c>
      <c r="U1037" s="13">
        <f t="shared" si="1"/>
        <v>4</v>
      </c>
      <c r="V1037" s="13" t="str">
        <f t="shared" si="2"/>
        <v>C00007|Vikram Patel|37|West|Surat|Basic|Youtube|5/3/2022|48|Quarterly|Upi|647|2|2|18.40|4.4|12/25/2022||Active|Security</v>
      </c>
      <c r="W1037" s="13">
        <f t="shared" si="3"/>
        <v>1</v>
      </c>
      <c r="X1037" s="13">
        <f>IFERROR(__xludf.DUMMYFUNCTION("COUNTUNIQUE(FILTER($B$2:$B$1826,$A$2:$A$1826=A1037))"),4.0)</f>
        <v>4</v>
      </c>
    </row>
    <row r="1038">
      <c r="A1038" s="13" t="s">
        <v>1639</v>
      </c>
      <c r="B1038" s="13" t="s">
        <v>380</v>
      </c>
      <c r="C1038" s="14">
        <v>49.0</v>
      </c>
      <c r="D1038" s="13" t="s">
        <v>35</v>
      </c>
      <c r="E1038" s="13" t="s">
        <v>140</v>
      </c>
      <c r="F1038" s="13" t="s">
        <v>37</v>
      </c>
      <c r="G1038" s="13" t="s">
        <v>80</v>
      </c>
      <c r="H1038" s="16">
        <v>44695.0</v>
      </c>
      <c r="I1038" s="14">
        <v>38.0</v>
      </c>
      <c r="J1038" s="13" t="s">
        <v>53</v>
      </c>
      <c r="K1038" s="13" t="s">
        <v>65</v>
      </c>
      <c r="L1038" s="14">
        <v>1658.0</v>
      </c>
      <c r="M1038" s="18" t="s">
        <v>46</v>
      </c>
      <c r="N1038" s="18" t="s">
        <v>98</v>
      </c>
      <c r="O1038" s="18">
        <v>34.9</v>
      </c>
      <c r="P1038" s="18" t="s">
        <v>89</v>
      </c>
      <c r="Q1038" s="16">
        <v>45625.0</v>
      </c>
      <c r="R1038" s="16" t="s">
        <v>38</v>
      </c>
      <c r="S1038" s="13" t="s">
        <v>45</v>
      </c>
      <c r="T1038" s="13" t="s">
        <v>47</v>
      </c>
      <c r="U1038" s="13">
        <f t="shared" si="1"/>
        <v>1</v>
      </c>
      <c r="V1038" s="13" t="str">
        <f t="shared" si="2"/>
        <v>C01576|Neha Iyer|49|North|Lucknow|Standard|Organic Search|5/14/2022|38|Quarterly|Credit Card|1,658|0|1|34.90|3.3|11/29/2024||Churned|Cloud Storage</v>
      </c>
      <c r="W1038" s="13">
        <f t="shared" si="3"/>
        <v>1</v>
      </c>
      <c r="X1038" s="13">
        <f>IFERROR(__xludf.DUMMYFUNCTION("COUNTUNIQUE(FILTER($B$2:$B$1826,$A$2:$A$1826=A1038))"),1.0)</f>
        <v>1</v>
      </c>
    </row>
    <row r="1039">
      <c r="A1039" s="13" t="s">
        <v>660</v>
      </c>
      <c r="B1039" s="13" t="s">
        <v>736</v>
      </c>
      <c r="C1039" s="14">
        <v>65.0</v>
      </c>
      <c r="D1039" s="13" t="s">
        <v>69</v>
      </c>
      <c r="E1039" s="13" t="s">
        <v>119</v>
      </c>
      <c r="F1039" s="13" t="s">
        <v>79</v>
      </c>
      <c r="G1039" s="13" t="s">
        <v>63</v>
      </c>
      <c r="H1039" s="16">
        <v>45042.0</v>
      </c>
      <c r="I1039" s="14">
        <v>42.0</v>
      </c>
      <c r="J1039" s="13" t="s">
        <v>53</v>
      </c>
      <c r="K1039" s="13" t="s">
        <v>81</v>
      </c>
      <c r="L1039" s="14">
        <v>3042.0</v>
      </c>
      <c r="M1039" s="18" t="s">
        <v>164</v>
      </c>
      <c r="N1039" s="18" t="s">
        <v>46</v>
      </c>
      <c r="O1039" s="18">
        <v>43.3</v>
      </c>
      <c r="P1039" s="18" t="s">
        <v>225</v>
      </c>
      <c r="Q1039" s="16">
        <v>45348.0</v>
      </c>
      <c r="R1039" s="16" t="s">
        <v>38</v>
      </c>
      <c r="S1039" s="13" t="s">
        <v>55</v>
      </c>
      <c r="T1039" s="13" t="s">
        <v>72</v>
      </c>
      <c r="U1039" s="13">
        <f t="shared" si="1"/>
        <v>6</v>
      </c>
      <c r="V1039" s="13" t="str">
        <f t="shared" si="2"/>
        <v>C00984|Priya Iyer|65|South|Kochi|Premium|Google Ads|4/26/2023|42|Quarterly|Debit Card|3,042|3|0|43.30|3.8|2/26/2024||Active|Collaboration</v>
      </c>
      <c r="W1039" s="13">
        <f t="shared" si="3"/>
        <v>1</v>
      </c>
      <c r="X1039" s="13">
        <f>IFERROR(__xludf.DUMMYFUNCTION("COUNTUNIQUE(FILTER($B$2:$B$1826,$A$2:$A$1826=A1039))"),6.0)</f>
        <v>6</v>
      </c>
    </row>
    <row r="1040">
      <c r="A1040" s="13" t="s">
        <v>1432</v>
      </c>
      <c r="B1040" s="13" t="s">
        <v>380</v>
      </c>
      <c r="C1040" s="14">
        <v>35.0</v>
      </c>
      <c r="D1040" s="13" t="s">
        <v>35</v>
      </c>
      <c r="E1040" s="13" t="s">
        <v>161</v>
      </c>
      <c r="F1040" s="13" t="s">
        <v>79</v>
      </c>
      <c r="G1040" s="13" t="s">
        <v>80</v>
      </c>
      <c r="H1040" s="16">
        <v>45197.0</v>
      </c>
      <c r="I1040" s="14">
        <v>48.0</v>
      </c>
      <c r="J1040" s="13" t="s">
        <v>40</v>
      </c>
      <c r="K1040" s="13" t="s">
        <v>81</v>
      </c>
      <c r="L1040" s="14">
        <v>3959.0</v>
      </c>
      <c r="M1040" s="18" t="s">
        <v>46</v>
      </c>
      <c r="N1040" s="18" t="s">
        <v>46</v>
      </c>
      <c r="O1040" s="18">
        <v>27.3</v>
      </c>
      <c r="P1040" s="18" t="s">
        <v>368</v>
      </c>
      <c r="Q1040" s="16">
        <v>45426.0</v>
      </c>
      <c r="R1040" s="16" t="s">
        <v>38</v>
      </c>
      <c r="S1040" s="13" t="s">
        <v>55</v>
      </c>
      <c r="T1040" s="13" t="s">
        <v>66</v>
      </c>
      <c r="U1040" s="13">
        <f t="shared" si="1"/>
        <v>2</v>
      </c>
      <c r="V1040" s="13" t="str">
        <f t="shared" si="2"/>
        <v>C01413|Neha Iyer|35|North|Chandigarh|Premium|Organic Search|9/28/2023|48|Monthly|Debit Card|3,959|0|0|27.30|4.9|5/14/2024||Active|Automation</v>
      </c>
      <c r="W1040" s="13">
        <f t="shared" si="3"/>
        <v>1</v>
      </c>
      <c r="X1040" s="13">
        <f>IFERROR(__xludf.DUMMYFUNCTION("COUNTUNIQUE(FILTER($B$2:$B$1826,$A$2:$A$1826=A1040))"),2.0)</f>
        <v>2</v>
      </c>
    </row>
    <row r="1041">
      <c r="A1041" s="13" t="s">
        <v>1640</v>
      </c>
      <c r="B1041" s="13" t="s">
        <v>448</v>
      </c>
      <c r="C1041" s="14">
        <v>19.0</v>
      </c>
      <c r="D1041" s="13" t="s">
        <v>69</v>
      </c>
      <c r="E1041" s="13" t="s">
        <v>119</v>
      </c>
      <c r="F1041" s="13" t="s">
        <v>79</v>
      </c>
      <c r="G1041" s="13" t="s">
        <v>63</v>
      </c>
      <c r="H1041" s="16">
        <v>44867.0</v>
      </c>
      <c r="I1041" s="14">
        <v>2.0</v>
      </c>
      <c r="J1041" s="13" t="s">
        <v>53</v>
      </c>
      <c r="K1041" s="13" t="s">
        <v>41</v>
      </c>
      <c r="L1041" s="14">
        <v>3133.0</v>
      </c>
      <c r="M1041" s="18" t="s">
        <v>43</v>
      </c>
      <c r="N1041" s="18" t="s">
        <v>46</v>
      </c>
      <c r="O1041" s="18">
        <v>50.4</v>
      </c>
      <c r="P1041" s="18" t="s">
        <v>99</v>
      </c>
      <c r="Q1041" s="16">
        <v>44930.0</v>
      </c>
      <c r="R1041" s="16" t="s">
        <v>38</v>
      </c>
      <c r="S1041" s="13" t="s">
        <v>55</v>
      </c>
      <c r="T1041" s="13" t="s">
        <v>47</v>
      </c>
      <c r="U1041" s="13">
        <f t="shared" si="1"/>
        <v>1</v>
      </c>
      <c r="V1041" s="13" t="str">
        <f t="shared" si="2"/>
        <v>C01257|Meera Reddy|19|South|Kochi|Premium|Google Ads|11/2/2022|2|Quarterly|Upi|3,133|2|0|50.40|4|1/4/2023||Active|Cloud Storage</v>
      </c>
      <c r="W1041" s="13">
        <f t="shared" si="3"/>
        <v>1</v>
      </c>
      <c r="X1041" s="13">
        <f>IFERROR(__xludf.DUMMYFUNCTION("COUNTUNIQUE(FILTER($B$2:$B$1826,$A$2:$A$1826=A1041))"),1.0)</f>
        <v>1</v>
      </c>
    </row>
    <row r="1042">
      <c r="A1042" s="13" t="s">
        <v>1196</v>
      </c>
      <c r="B1042" s="13" t="s">
        <v>59</v>
      </c>
      <c r="C1042" s="14">
        <v>49.0</v>
      </c>
      <c r="D1042" s="13" t="s">
        <v>60</v>
      </c>
      <c r="E1042" s="13" t="s">
        <v>133</v>
      </c>
      <c r="F1042" s="13" t="s">
        <v>62</v>
      </c>
      <c r="G1042" s="13" t="s">
        <v>128</v>
      </c>
      <c r="H1042" s="16">
        <v>45118.0</v>
      </c>
      <c r="I1042" s="14">
        <v>38.0</v>
      </c>
      <c r="J1042" s="13" t="s">
        <v>64</v>
      </c>
      <c r="K1042" s="13" t="s">
        <v>41</v>
      </c>
      <c r="L1042" s="14">
        <v>704.0</v>
      </c>
      <c r="M1042" s="18" t="s">
        <v>46</v>
      </c>
      <c r="N1042" s="18" t="s">
        <v>98</v>
      </c>
      <c r="O1042" s="18">
        <v>15.5</v>
      </c>
      <c r="P1042" s="18" t="s">
        <v>285</v>
      </c>
      <c r="Q1042" s="16">
        <v>45858.0</v>
      </c>
      <c r="R1042" s="16" t="s">
        <v>38</v>
      </c>
      <c r="S1042" s="13" t="s">
        <v>230</v>
      </c>
      <c r="T1042" s="13" t="s">
        <v>47</v>
      </c>
      <c r="U1042" s="13">
        <f t="shared" si="1"/>
        <v>2</v>
      </c>
      <c r="V1042" s="13" t="str">
        <f t="shared" si="2"/>
        <v>C00223|Priya Das|49|East|Guwahati|Basic|Youtube|7/11/2023|38|Annual|Upi|704|0|1|15.50|2.3|7/20/2025||Yes|Cloud Storage</v>
      </c>
      <c r="W1042" s="13">
        <f t="shared" si="3"/>
        <v>1</v>
      </c>
      <c r="X1042" s="13">
        <f>IFERROR(__xludf.DUMMYFUNCTION("COUNTUNIQUE(FILTER($B$2:$B$1826,$A$2:$A$1826=A1042))"),2.0)</f>
        <v>2</v>
      </c>
    </row>
    <row r="1043">
      <c r="A1043" s="13" t="s">
        <v>1642</v>
      </c>
      <c r="B1043" s="13" t="s">
        <v>325</v>
      </c>
      <c r="C1043" s="14">
        <v>55.0</v>
      </c>
      <c r="D1043" s="13" t="s">
        <v>35</v>
      </c>
      <c r="E1043" s="13" t="s">
        <v>161</v>
      </c>
      <c r="F1043" s="13" t="s">
        <v>62</v>
      </c>
      <c r="G1043" s="13" t="s">
        <v>128</v>
      </c>
      <c r="H1043" s="16">
        <v>45055.0</v>
      </c>
      <c r="I1043" s="14">
        <v>35.0</v>
      </c>
      <c r="J1043" s="13" t="s">
        <v>40</v>
      </c>
      <c r="K1043" s="13" t="s">
        <v>41</v>
      </c>
      <c r="L1043" s="14">
        <v>615.0</v>
      </c>
      <c r="M1043" s="18" t="s">
        <v>164</v>
      </c>
      <c r="N1043" s="18" t="s">
        <v>43</v>
      </c>
      <c r="O1043" s="18">
        <v>16.9</v>
      </c>
      <c r="P1043" s="18" t="s">
        <v>76</v>
      </c>
      <c r="Q1043" s="16">
        <v>45098.0</v>
      </c>
      <c r="R1043" s="16" t="s">
        <v>38</v>
      </c>
      <c r="S1043" s="13" t="s">
        <v>55</v>
      </c>
      <c r="T1043" s="13" t="s">
        <v>75</v>
      </c>
      <c r="U1043" s="13">
        <f t="shared" si="1"/>
        <v>1</v>
      </c>
      <c r="V1043" s="13" t="str">
        <f t="shared" si="2"/>
        <v>C00666|Priya Sharma|55|North|Chandigarh|Basic|Youtube|5/9/2023|35|Monthly|Upi|615|3|2|16.90|4.4|6/21/2023||Active|Security</v>
      </c>
      <c r="W1043" s="13">
        <f t="shared" si="3"/>
        <v>1</v>
      </c>
      <c r="X1043" s="13">
        <f>IFERROR(__xludf.DUMMYFUNCTION("COUNTUNIQUE(FILTER($B$2:$B$1826,$A$2:$A$1826=A1043))"),1.0)</f>
        <v>1</v>
      </c>
    </row>
    <row r="1044">
      <c r="A1044" s="13" t="s">
        <v>1507</v>
      </c>
      <c r="B1044" s="13" t="s">
        <v>362</v>
      </c>
      <c r="C1044" s="14">
        <v>32.0</v>
      </c>
      <c r="D1044" s="13" t="s">
        <v>69</v>
      </c>
      <c r="E1044" s="13" t="s">
        <v>119</v>
      </c>
      <c r="F1044" s="13" t="s">
        <v>62</v>
      </c>
      <c r="G1044" s="13" t="s">
        <v>52</v>
      </c>
      <c r="H1044" s="16">
        <v>44710.0</v>
      </c>
      <c r="I1044" s="14">
        <v>7.0</v>
      </c>
      <c r="J1044" s="13" t="s">
        <v>53</v>
      </c>
      <c r="K1044" s="13" t="s">
        <v>41</v>
      </c>
      <c r="L1044" s="14">
        <v>779.0</v>
      </c>
      <c r="M1044" s="18" t="s">
        <v>164</v>
      </c>
      <c r="N1044" s="18" t="s">
        <v>46</v>
      </c>
      <c r="O1044" s="18">
        <v>16.7</v>
      </c>
      <c r="P1044" s="18" t="s">
        <v>263</v>
      </c>
      <c r="Q1044" s="16">
        <v>44754.0</v>
      </c>
      <c r="R1044" s="16" t="s">
        <v>38</v>
      </c>
      <c r="S1044" s="13" t="s">
        <v>55</v>
      </c>
      <c r="T1044" s="13" t="s">
        <v>104</v>
      </c>
      <c r="U1044" s="13">
        <f t="shared" si="1"/>
        <v>3</v>
      </c>
      <c r="V1044" s="13" t="str">
        <f t="shared" si="2"/>
        <v>C00090|Neha Singh|32|South|Kochi|Basic|Facebook|5/29/2022|7|Quarterly|Upi|779|3|0|16.70|2.9|7/12/2022||Active|Analytics</v>
      </c>
      <c r="W1044" s="13">
        <f t="shared" si="3"/>
        <v>1</v>
      </c>
      <c r="X1044" s="13">
        <f>IFERROR(__xludf.DUMMYFUNCTION("COUNTUNIQUE(FILTER($B$2:$B$1826,$A$2:$A$1826=A1044))"),2.0)</f>
        <v>2</v>
      </c>
    </row>
    <row r="1045">
      <c r="A1045" s="13" t="s">
        <v>1643</v>
      </c>
      <c r="B1045" s="13" t="s">
        <v>736</v>
      </c>
      <c r="C1045" s="14">
        <v>57.0</v>
      </c>
      <c r="D1045" s="13" t="s">
        <v>35</v>
      </c>
      <c r="E1045" s="13" t="s">
        <v>140</v>
      </c>
      <c r="F1045" s="13" t="s">
        <v>62</v>
      </c>
      <c r="G1045" s="13" t="s">
        <v>210</v>
      </c>
      <c r="H1045" s="16">
        <v>45878.0</v>
      </c>
      <c r="I1045" s="14">
        <v>38.0</v>
      </c>
      <c r="J1045" s="13" t="s">
        <v>64</v>
      </c>
      <c r="K1045" s="13" t="s">
        <v>81</v>
      </c>
      <c r="L1045" s="14">
        <v>606.0</v>
      </c>
      <c r="M1045" s="18" t="s">
        <v>43</v>
      </c>
      <c r="N1045" s="18" t="s">
        <v>98</v>
      </c>
      <c r="O1045" s="18">
        <v>23.6</v>
      </c>
      <c r="P1045" s="18" t="s">
        <v>130</v>
      </c>
      <c r="Q1045" s="16">
        <v>46372.0</v>
      </c>
      <c r="R1045" s="16">
        <v>46270.0</v>
      </c>
      <c r="S1045" s="13" t="s">
        <v>45</v>
      </c>
      <c r="T1045" s="13" t="s">
        <v>47</v>
      </c>
      <c r="U1045" s="13">
        <f t="shared" si="1"/>
        <v>1</v>
      </c>
      <c r="V1045" s="13" t="str">
        <f t="shared" si="2"/>
        <v>C00526|Priya Iyer|57|North|Lucknow|Basic|Referral|8/9/2025|38|Annual|Debit Card|606|2|1|23.60|3.9|12/16/2026|9/5/2026|Churned|Cloud Storage</v>
      </c>
      <c r="W1045" s="13">
        <f t="shared" si="3"/>
        <v>1</v>
      </c>
      <c r="X1045" s="13">
        <f>IFERROR(__xludf.DUMMYFUNCTION("COUNTUNIQUE(FILTER($B$2:$B$1826,$A$2:$A$1826=A1045))"),1.0)</f>
        <v>1</v>
      </c>
    </row>
    <row r="1046">
      <c r="A1046" s="13" t="s">
        <v>1645</v>
      </c>
      <c r="B1046" s="13" t="s">
        <v>91</v>
      </c>
      <c r="C1046" s="14">
        <v>24.0</v>
      </c>
      <c r="D1046" s="13" t="s">
        <v>85</v>
      </c>
      <c r="E1046" s="13" t="s">
        <v>92</v>
      </c>
      <c r="F1046" s="13" t="s">
        <v>37</v>
      </c>
      <c r="G1046" s="13" t="s">
        <v>52</v>
      </c>
      <c r="H1046" s="16">
        <v>45987.0</v>
      </c>
      <c r="I1046" s="14">
        <v>47.0</v>
      </c>
      <c r="J1046" s="13" t="s">
        <v>64</v>
      </c>
      <c r="K1046" s="13" t="s">
        <v>81</v>
      </c>
      <c r="L1046" s="14">
        <v>1220.0</v>
      </c>
      <c r="M1046" s="18" t="s">
        <v>43</v>
      </c>
      <c r="N1046" s="18" t="s">
        <v>98</v>
      </c>
      <c r="O1046" s="18">
        <v>20.8</v>
      </c>
      <c r="P1046" s="18" t="s">
        <v>158</v>
      </c>
      <c r="Q1046" s="16">
        <v>46840.0</v>
      </c>
      <c r="R1046" s="16" t="s">
        <v>38</v>
      </c>
      <c r="S1046" s="13" t="s">
        <v>55</v>
      </c>
      <c r="T1046" s="13" t="s">
        <v>47</v>
      </c>
      <c r="U1046" s="13">
        <f t="shared" si="1"/>
        <v>1</v>
      </c>
      <c r="V1046" s="13" t="str">
        <f t="shared" si="2"/>
        <v>C00091|Anita Sharma|24|West|Ahmedabad|Standard|Facebook|11/26/2025|47|Annual|Debit Card|1,220|2|1|20.80|4.7|3/28/2028||Active|Cloud Storage</v>
      </c>
      <c r="W1046" s="13">
        <f t="shared" si="3"/>
        <v>1</v>
      </c>
      <c r="X1046" s="13">
        <f>IFERROR(__xludf.DUMMYFUNCTION("COUNTUNIQUE(FILTER($B$2:$B$1826,$A$2:$A$1826=A1046))"),1.0)</f>
        <v>1</v>
      </c>
    </row>
    <row r="1047">
      <c r="A1047" s="13" t="s">
        <v>1530</v>
      </c>
      <c r="B1047" s="13" t="s">
        <v>239</v>
      </c>
      <c r="C1047" s="14">
        <v>61.0</v>
      </c>
      <c r="D1047" s="13" t="s">
        <v>60</v>
      </c>
      <c r="E1047" s="13" t="s">
        <v>61</v>
      </c>
      <c r="F1047" s="13" t="s">
        <v>62</v>
      </c>
      <c r="G1047" s="13" t="s">
        <v>210</v>
      </c>
      <c r="H1047" s="16">
        <v>45292.0</v>
      </c>
      <c r="I1047" s="14">
        <v>29.0</v>
      </c>
      <c r="J1047" s="13" t="s">
        <v>53</v>
      </c>
      <c r="K1047" s="13" t="s">
        <v>41</v>
      </c>
      <c r="L1047" s="14">
        <v>583.0</v>
      </c>
      <c r="M1047" s="18" t="s">
        <v>98</v>
      </c>
      <c r="N1047" s="18" t="s">
        <v>98</v>
      </c>
      <c r="O1047" s="18">
        <v>10.4</v>
      </c>
      <c r="P1047" s="18" t="s">
        <v>123</v>
      </c>
      <c r="Q1047" s="16">
        <v>45401.0</v>
      </c>
      <c r="R1047" s="16" t="s">
        <v>38</v>
      </c>
      <c r="S1047" s="13" t="s">
        <v>55</v>
      </c>
      <c r="T1047" s="13" t="s">
        <v>47</v>
      </c>
      <c r="U1047" s="13">
        <f t="shared" si="1"/>
        <v>3</v>
      </c>
      <c r="V1047" s="13" t="str">
        <f t="shared" si="2"/>
        <v>C01179|Meera Kumar|61|East|Kolkata|Basic|Referral|1/1/2024|29|Quarterly|Upi|583|1|1|10.40|4.1|4/19/2024||Active|Cloud Storage</v>
      </c>
      <c r="W1047" s="13">
        <f t="shared" si="3"/>
        <v>1</v>
      </c>
      <c r="X1047" s="13">
        <f>IFERROR(__xludf.DUMMYFUNCTION("COUNTUNIQUE(FILTER($B$2:$B$1826,$A$2:$A$1826=A1047))"),3.0)</f>
        <v>3</v>
      </c>
    </row>
    <row r="1048">
      <c r="A1048" s="13" t="s">
        <v>1418</v>
      </c>
      <c r="B1048" s="13" t="s">
        <v>459</v>
      </c>
      <c r="C1048" s="14" t="s">
        <v>38</v>
      </c>
      <c r="D1048" s="13" t="s">
        <v>69</v>
      </c>
      <c r="E1048" s="13" t="s">
        <v>70</v>
      </c>
      <c r="F1048" s="13" t="s">
        <v>37</v>
      </c>
      <c r="G1048" s="13" t="s">
        <v>39</v>
      </c>
      <c r="H1048" s="16">
        <v>44990.0</v>
      </c>
      <c r="I1048" s="14">
        <v>13.0</v>
      </c>
      <c r="J1048" s="13" t="s">
        <v>40</v>
      </c>
      <c r="K1048" s="13" t="s">
        <v>65</v>
      </c>
      <c r="L1048" s="14">
        <v>1061.0</v>
      </c>
      <c r="M1048" s="18" t="s">
        <v>164</v>
      </c>
      <c r="N1048" s="18" t="s">
        <v>46</v>
      </c>
      <c r="O1048" s="18">
        <v>21.2</v>
      </c>
      <c r="P1048" s="18" t="s">
        <v>150</v>
      </c>
      <c r="Q1048" s="16">
        <v>45230.0</v>
      </c>
      <c r="R1048" s="16" t="s">
        <v>38</v>
      </c>
      <c r="S1048" s="13" t="s">
        <v>55</v>
      </c>
      <c r="T1048" s="13" t="s">
        <v>47</v>
      </c>
      <c r="U1048" s="13">
        <f t="shared" si="1"/>
        <v>3</v>
      </c>
      <c r="V1048" s="13" t="str">
        <f t="shared" si="2"/>
        <v>C00322|Neha Patel||South|Bengaluru|Standard|Instagram|3/5/2023|13|Monthly|Credit Card|1,061|3|0|21.20|4.5|10/31/2023||Active|Cloud Storage</v>
      </c>
      <c r="W1048" s="13">
        <f t="shared" si="3"/>
        <v>1</v>
      </c>
      <c r="X1048" s="13">
        <f>IFERROR(__xludf.DUMMYFUNCTION("COUNTUNIQUE(FILTER($B$2:$B$1826,$A$2:$A$1826=A1048))"),3.0)</f>
        <v>3</v>
      </c>
    </row>
    <row r="1049">
      <c r="A1049" s="13" t="s">
        <v>1646</v>
      </c>
      <c r="B1049" s="13" t="s">
        <v>50</v>
      </c>
      <c r="C1049" s="14">
        <v>25.0</v>
      </c>
      <c r="D1049" s="13" t="s">
        <v>60</v>
      </c>
      <c r="E1049" s="13" t="s">
        <v>133</v>
      </c>
      <c r="F1049" s="13" t="s">
        <v>62</v>
      </c>
      <c r="G1049" s="13" t="s">
        <v>63</v>
      </c>
      <c r="H1049" s="16">
        <v>44887.0</v>
      </c>
      <c r="I1049" s="14">
        <v>31.0</v>
      </c>
      <c r="J1049" s="13" t="s">
        <v>40</v>
      </c>
      <c r="K1049" s="13" t="s">
        <v>41</v>
      </c>
      <c r="L1049" s="14">
        <v>586.0</v>
      </c>
      <c r="M1049" s="18" t="s">
        <v>43</v>
      </c>
      <c r="N1049" s="18" t="s">
        <v>98</v>
      </c>
      <c r="O1049" s="18">
        <v>30.2</v>
      </c>
      <c r="P1049" s="18" t="s">
        <v>164</v>
      </c>
      <c r="Q1049" s="16">
        <v>45442.0</v>
      </c>
      <c r="R1049" s="16" t="s">
        <v>38</v>
      </c>
      <c r="S1049" s="13" t="s">
        <v>55</v>
      </c>
      <c r="T1049" s="13" t="s">
        <v>47</v>
      </c>
      <c r="U1049" s="13">
        <f t="shared" si="1"/>
        <v>2</v>
      </c>
      <c r="V1049" s="13" t="str">
        <f t="shared" si="2"/>
        <v>C00751|Rahul Das|25|East|Guwahati|Basic|Google Ads|11/22/2022|31|Monthly|Upi|586|2|1|30.20|3|5/30/2024||Active|Cloud Storage</v>
      </c>
      <c r="W1049" s="13">
        <f t="shared" si="3"/>
        <v>1</v>
      </c>
      <c r="X1049" s="13">
        <f>IFERROR(__xludf.DUMMYFUNCTION("COUNTUNIQUE(FILTER($B$2:$B$1826,$A$2:$A$1826=A1049))"),2.0)</f>
        <v>2</v>
      </c>
    </row>
    <row r="1050">
      <c r="A1050" s="13" t="s">
        <v>1499</v>
      </c>
      <c r="B1050" s="13" t="s">
        <v>448</v>
      </c>
      <c r="C1050" s="14">
        <v>47.0</v>
      </c>
      <c r="D1050" s="13" t="s">
        <v>69</v>
      </c>
      <c r="E1050" s="13" t="s">
        <v>119</v>
      </c>
      <c r="F1050" s="13" t="s">
        <v>62</v>
      </c>
      <c r="G1050" s="13" t="s">
        <v>63</v>
      </c>
      <c r="H1050" s="16">
        <v>45994.0</v>
      </c>
      <c r="I1050" s="14">
        <v>11.0</v>
      </c>
      <c r="J1050" s="13" t="s">
        <v>40</v>
      </c>
      <c r="K1050" s="13" t="s">
        <v>81</v>
      </c>
      <c r="L1050" s="14">
        <v>765.0</v>
      </c>
      <c r="M1050" s="18" t="s">
        <v>43</v>
      </c>
      <c r="N1050" s="18" t="s">
        <v>46</v>
      </c>
      <c r="O1050" s="18">
        <v>18.3</v>
      </c>
      <c r="P1050" s="18" t="s">
        <v>173</v>
      </c>
      <c r="Q1050" s="16">
        <v>46275.0</v>
      </c>
      <c r="R1050" s="16" t="s">
        <v>38</v>
      </c>
      <c r="S1050" s="13" t="s">
        <v>55</v>
      </c>
      <c r="T1050" s="13" t="s">
        <v>66</v>
      </c>
      <c r="U1050" s="13">
        <f t="shared" si="1"/>
        <v>2</v>
      </c>
      <c r="V1050" s="13" t="str">
        <f t="shared" si="2"/>
        <v>C00150|Meera Reddy|47|South|Kochi|Basic|Google Ads|12/3/2025|11|Monthly|Debit Card|765|2|0|18.30|5|9/10/2026||Active|Automation</v>
      </c>
      <c r="W1050" s="13">
        <f t="shared" si="3"/>
        <v>1</v>
      </c>
      <c r="X1050" s="13">
        <f>IFERROR(__xludf.DUMMYFUNCTION("COUNTUNIQUE(FILTER($B$2:$B$1826,$A$2:$A$1826=A1050))"),2.0)</f>
        <v>2</v>
      </c>
    </row>
    <row r="1051">
      <c r="A1051" s="13" t="s">
        <v>1647</v>
      </c>
      <c r="B1051" s="13" t="s">
        <v>333</v>
      </c>
      <c r="C1051" s="14">
        <v>37.0</v>
      </c>
      <c r="D1051" s="13" t="s">
        <v>69</v>
      </c>
      <c r="E1051" s="13" t="s">
        <v>119</v>
      </c>
      <c r="F1051" s="13" t="s">
        <v>62</v>
      </c>
      <c r="G1051" s="13" t="s">
        <v>80</v>
      </c>
      <c r="H1051" s="16">
        <v>45473.0</v>
      </c>
      <c r="I1051" s="14">
        <v>18.0</v>
      </c>
      <c r="J1051" s="13" t="s">
        <v>53</v>
      </c>
      <c r="K1051" s="13" t="s">
        <v>81</v>
      </c>
      <c r="L1051" s="14">
        <v>809.0</v>
      </c>
      <c r="M1051" s="18" t="s">
        <v>43</v>
      </c>
      <c r="N1051" s="18" t="s">
        <v>98</v>
      </c>
      <c r="O1051" s="18">
        <v>18.2</v>
      </c>
      <c r="P1051" s="18" t="s">
        <v>203</v>
      </c>
      <c r="Q1051" s="16">
        <v>45503.0</v>
      </c>
      <c r="R1051" s="16" t="s">
        <v>38</v>
      </c>
      <c r="S1051" s="13" t="s">
        <v>55</v>
      </c>
      <c r="T1051" s="13" t="s">
        <v>75</v>
      </c>
      <c r="U1051" s="13">
        <f t="shared" si="1"/>
        <v>1</v>
      </c>
      <c r="V1051" s="13" t="str">
        <f t="shared" si="2"/>
        <v>C01353|Neha Das|37|South|Kochi|Basic|Organic Search|6/30/2024|18|Quarterly|Debit Card|809|2|1|18.20|3.7|7/30/2024||Active|Security</v>
      </c>
      <c r="W1051" s="13">
        <f t="shared" si="3"/>
        <v>1</v>
      </c>
      <c r="X1051" s="13">
        <f>IFERROR(__xludf.DUMMYFUNCTION("COUNTUNIQUE(FILTER($B$2:$B$1826,$A$2:$A$1826=A1051))"),1.0)</f>
        <v>1</v>
      </c>
    </row>
    <row r="1052">
      <c r="A1052" s="13" t="s">
        <v>1648</v>
      </c>
      <c r="B1052" s="13" t="s">
        <v>126</v>
      </c>
      <c r="C1052" s="14">
        <v>53.0</v>
      </c>
      <c r="D1052" s="13" t="s">
        <v>35</v>
      </c>
      <c r="E1052" s="13" t="s">
        <v>51</v>
      </c>
      <c r="F1052" s="13" t="s">
        <v>79</v>
      </c>
      <c r="G1052" s="13" t="s">
        <v>39</v>
      </c>
      <c r="H1052" s="16">
        <v>45996.0</v>
      </c>
      <c r="I1052" s="14">
        <v>35.0</v>
      </c>
      <c r="J1052" s="13" t="s">
        <v>40</v>
      </c>
      <c r="K1052" s="13" t="s">
        <v>41</v>
      </c>
      <c r="L1052" s="14">
        <v>2980.0</v>
      </c>
      <c r="M1052" s="18" t="s">
        <v>43</v>
      </c>
      <c r="N1052" s="18" t="s">
        <v>98</v>
      </c>
      <c r="O1052" s="18">
        <v>37.9</v>
      </c>
      <c r="P1052" s="18" t="s">
        <v>275</v>
      </c>
      <c r="Q1052" s="16">
        <v>46814.0</v>
      </c>
      <c r="R1052" s="16">
        <v>46213.0</v>
      </c>
      <c r="S1052" s="13" t="s">
        <v>45</v>
      </c>
      <c r="T1052" s="13" t="s">
        <v>47</v>
      </c>
      <c r="U1052" s="13">
        <f t="shared" si="1"/>
        <v>2</v>
      </c>
      <c r="V1052" s="13" t="str">
        <f t="shared" si="2"/>
        <v>C00187|Arun Patel|53|North|Jaipur|Premium|Instagram|12/5/2025|35|Monthly|Upi|2,980|2|1|37.90|4.3|3/2/2028|7/10/2026|Churned|Cloud Storage</v>
      </c>
      <c r="W1052" s="13">
        <f t="shared" si="3"/>
        <v>1</v>
      </c>
      <c r="X1052" s="13">
        <f>IFERROR(__xludf.DUMMYFUNCTION("COUNTUNIQUE(FILTER($B$2:$B$1826,$A$2:$A$1826=A1052))"),2.0)</f>
        <v>2</v>
      </c>
    </row>
    <row r="1053">
      <c r="A1053" s="13" t="s">
        <v>1650</v>
      </c>
      <c r="B1053" s="13" t="s">
        <v>96</v>
      </c>
      <c r="C1053" s="14">
        <v>46.0</v>
      </c>
      <c r="D1053" s="13" t="s">
        <v>35</v>
      </c>
      <c r="E1053" s="13" t="s">
        <v>51</v>
      </c>
      <c r="F1053" s="13" t="s">
        <v>37</v>
      </c>
      <c r="G1053" s="13" t="s">
        <v>63</v>
      </c>
      <c r="H1053" s="16">
        <v>45256.0</v>
      </c>
      <c r="I1053" s="14">
        <v>34.0</v>
      </c>
      <c r="J1053" s="13" t="s">
        <v>53</v>
      </c>
      <c r="K1053" s="13" t="s">
        <v>41</v>
      </c>
      <c r="L1053" s="14">
        <v>1266.0</v>
      </c>
      <c r="M1053" s="18" t="s">
        <v>43</v>
      </c>
      <c r="N1053" s="18" t="s">
        <v>98</v>
      </c>
      <c r="O1053" s="18">
        <v>25.1</v>
      </c>
      <c r="P1053" s="18" t="s">
        <v>108</v>
      </c>
      <c r="Q1053" s="16">
        <v>45544.0</v>
      </c>
      <c r="R1053" s="16" t="s">
        <v>38</v>
      </c>
      <c r="S1053" s="13" t="s">
        <v>55</v>
      </c>
      <c r="T1053" s="13" t="s">
        <v>47</v>
      </c>
      <c r="U1053" s="13">
        <f t="shared" si="1"/>
        <v>1</v>
      </c>
      <c r="V1053" s="13" t="str">
        <f t="shared" si="2"/>
        <v>C00104|Rahul Kumar|46|North|Jaipur|Standard|Google Ads|11/26/2023|34|Quarterly|Upi|1,266|2|1|25.10|2.4|9/9/2024||Active|Cloud Storage</v>
      </c>
      <c r="W1053" s="13">
        <f t="shared" si="3"/>
        <v>1</v>
      </c>
      <c r="X1053" s="13">
        <f>IFERROR(__xludf.DUMMYFUNCTION("COUNTUNIQUE(FILTER($B$2:$B$1826,$A$2:$A$1826=A1053))"),1.0)</f>
        <v>1</v>
      </c>
    </row>
    <row r="1054">
      <c r="A1054" s="13" t="s">
        <v>1136</v>
      </c>
      <c r="B1054" s="13" t="s">
        <v>190</v>
      </c>
      <c r="C1054" s="14">
        <v>62.0</v>
      </c>
      <c r="D1054" s="13" t="s">
        <v>35</v>
      </c>
      <c r="E1054" s="13" t="s">
        <v>51</v>
      </c>
      <c r="F1054" s="13" t="s">
        <v>37</v>
      </c>
      <c r="G1054" s="13" t="s">
        <v>63</v>
      </c>
      <c r="H1054" s="16">
        <v>45426.0</v>
      </c>
      <c r="I1054" s="14">
        <v>47.0</v>
      </c>
      <c r="J1054" s="13" t="s">
        <v>53</v>
      </c>
      <c r="K1054" s="13" t="s">
        <v>65</v>
      </c>
      <c r="L1054" s="14">
        <v>1754.0</v>
      </c>
      <c r="M1054" s="18" t="s">
        <v>46</v>
      </c>
      <c r="N1054" s="18" t="s">
        <v>46</v>
      </c>
      <c r="O1054" s="18">
        <v>21.8</v>
      </c>
      <c r="P1054" s="18" t="s">
        <v>263</v>
      </c>
      <c r="Q1054" s="16">
        <v>46095.0</v>
      </c>
      <c r="R1054" s="16" t="s">
        <v>38</v>
      </c>
      <c r="S1054" s="13" t="s">
        <v>55</v>
      </c>
      <c r="T1054" s="13" t="s">
        <v>104</v>
      </c>
      <c r="U1054" s="13">
        <f t="shared" si="1"/>
        <v>3</v>
      </c>
      <c r="V1054" s="13" t="str">
        <f t="shared" si="2"/>
        <v>C00452|Sneha Patel|62|North|Jaipur|Standard|Google Ads|5/14/2024|47|Quarterly|Credit Card|1,754|0|0|21.80|2.9|3/14/2026||Active|Analytics</v>
      </c>
      <c r="W1054" s="13">
        <f t="shared" si="3"/>
        <v>1</v>
      </c>
      <c r="X1054" s="13">
        <f>IFERROR(__xludf.DUMMYFUNCTION("COUNTUNIQUE(FILTER($B$2:$B$1826,$A$2:$A$1826=A1054))"),3.0)</f>
        <v>3</v>
      </c>
    </row>
    <row r="1055">
      <c r="A1055" s="13" t="s">
        <v>1651</v>
      </c>
      <c r="B1055" s="13" t="s">
        <v>340</v>
      </c>
      <c r="C1055" s="14">
        <v>24.0</v>
      </c>
      <c r="D1055" s="13" t="s">
        <v>35</v>
      </c>
      <c r="E1055" s="13" t="s">
        <v>36</v>
      </c>
      <c r="F1055" s="13" t="s">
        <v>37</v>
      </c>
      <c r="G1055" s="13" t="s">
        <v>52</v>
      </c>
      <c r="H1055" s="16">
        <v>44611.0</v>
      </c>
      <c r="I1055" s="14">
        <v>47.0</v>
      </c>
      <c r="J1055" s="13" t="s">
        <v>64</v>
      </c>
      <c r="K1055" s="13" t="s">
        <v>41</v>
      </c>
      <c r="L1055" s="14">
        <v>1167.0</v>
      </c>
      <c r="M1055" s="18" t="s">
        <v>98</v>
      </c>
      <c r="N1055" s="18" t="s">
        <v>46</v>
      </c>
      <c r="O1055" s="18">
        <v>33.8</v>
      </c>
      <c r="P1055" s="18" t="s">
        <v>123</v>
      </c>
      <c r="Q1055" s="16">
        <v>45925.0</v>
      </c>
      <c r="R1055" s="16" t="s">
        <v>38</v>
      </c>
      <c r="S1055" s="13" t="s">
        <v>55</v>
      </c>
      <c r="T1055" s="13" t="s">
        <v>75</v>
      </c>
      <c r="U1055" s="13">
        <f t="shared" si="1"/>
        <v>1</v>
      </c>
      <c r="V1055" s="13" t="str">
        <f t="shared" si="2"/>
        <v>C00068|Meera Sharma|24|North|Delhi|Standard|Facebook|2/19/2022|47|Annual|Upi|1,167|1|0|33.80|4.1|9/25/2025||Active|Security</v>
      </c>
      <c r="W1055" s="13">
        <f t="shared" si="3"/>
        <v>1</v>
      </c>
      <c r="X1055" s="13">
        <f>IFERROR(__xludf.DUMMYFUNCTION("COUNTUNIQUE(FILTER($B$2:$B$1826,$A$2:$A$1826=A1055))"),1.0)</f>
        <v>1</v>
      </c>
    </row>
    <row r="1056">
      <c r="A1056" s="13" t="s">
        <v>1652</v>
      </c>
      <c r="B1056" s="13" t="s">
        <v>176</v>
      </c>
      <c r="C1056" s="14">
        <v>67.0</v>
      </c>
      <c r="D1056" s="13" t="s">
        <v>85</v>
      </c>
      <c r="E1056" s="13" t="s">
        <v>92</v>
      </c>
      <c r="F1056" s="13" t="s">
        <v>62</v>
      </c>
      <c r="G1056" s="13" t="s">
        <v>52</v>
      </c>
      <c r="H1056" s="16">
        <v>45800.0</v>
      </c>
      <c r="I1056" s="14">
        <v>2.0</v>
      </c>
      <c r="J1056" s="13" t="s">
        <v>53</v>
      </c>
      <c r="K1056" s="13" t="s">
        <v>65</v>
      </c>
      <c r="L1056" s="14">
        <v>679.0</v>
      </c>
      <c r="M1056" s="18" t="s">
        <v>38</v>
      </c>
      <c r="N1056" s="18" t="s">
        <v>164</v>
      </c>
      <c r="O1056" s="18">
        <v>6.1</v>
      </c>
      <c r="P1056" s="18" t="s">
        <v>116</v>
      </c>
      <c r="Q1056" s="16">
        <v>45824.0</v>
      </c>
      <c r="R1056" s="16" t="s">
        <v>38</v>
      </c>
      <c r="S1056" s="13" t="s">
        <v>55</v>
      </c>
      <c r="T1056" s="13" t="s">
        <v>47</v>
      </c>
      <c r="U1056" s="13">
        <f t="shared" si="1"/>
        <v>1</v>
      </c>
      <c r="V1056" s="13" t="str">
        <f t="shared" si="2"/>
        <v>C00202|Ravi Iyer|67|West|Ahmedabad|Basic|Facebook|5/23/2025|2|Quarterly|Credit Card|679||3|6.10|3.4|6/16/2025||Active|Cloud Storage</v>
      </c>
      <c r="W1056" s="13">
        <f t="shared" si="3"/>
        <v>1</v>
      </c>
      <c r="X1056" s="13">
        <f>IFERROR(__xludf.DUMMYFUNCTION("COUNTUNIQUE(FILTER($B$2:$B$1826,$A$2:$A$1826=A1056))"),1.0)</f>
        <v>1</v>
      </c>
    </row>
    <row r="1057">
      <c r="A1057" s="13" t="s">
        <v>240</v>
      </c>
      <c r="B1057" s="13" t="s">
        <v>633</v>
      </c>
      <c r="C1057" s="14">
        <v>49.0</v>
      </c>
      <c r="D1057" s="13" t="s">
        <v>69</v>
      </c>
      <c r="E1057" s="13" t="s">
        <v>119</v>
      </c>
      <c r="F1057" s="13" t="s">
        <v>62</v>
      </c>
      <c r="G1057" s="13" t="s">
        <v>80</v>
      </c>
      <c r="H1057" s="16">
        <v>44718.0</v>
      </c>
      <c r="I1057" s="14">
        <v>10.0</v>
      </c>
      <c r="J1057" s="13" t="s">
        <v>40</v>
      </c>
      <c r="K1057" s="13" t="s">
        <v>81</v>
      </c>
      <c r="L1057" s="14">
        <v>889.0</v>
      </c>
      <c r="M1057" s="18" t="s">
        <v>99</v>
      </c>
      <c r="N1057" s="18" t="s">
        <v>98</v>
      </c>
      <c r="O1057" s="18">
        <v>7.5</v>
      </c>
      <c r="P1057" s="18" t="s">
        <v>143</v>
      </c>
      <c r="Q1057" s="16">
        <v>44749.0</v>
      </c>
      <c r="R1057" s="16" t="s">
        <v>38</v>
      </c>
      <c r="S1057" s="13" t="s">
        <v>55</v>
      </c>
      <c r="T1057" s="13" t="s">
        <v>75</v>
      </c>
      <c r="U1057" s="13">
        <f t="shared" si="1"/>
        <v>3</v>
      </c>
      <c r="V1057" s="13" t="str">
        <f t="shared" si="2"/>
        <v>C00175|Anita Das|49|South|Kochi|Basic|Organic Search|6/6/2022|10|Monthly|Debit Card|889|4|1|7.50|2.1|7/7/2022||Active|Security</v>
      </c>
      <c r="W1057" s="13">
        <f t="shared" si="3"/>
        <v>1</v>
      </c>
      <c r="X1057" s="13">
        <f>IFERROR(__xludf.DUMMYFUNCTION("COUNTUNIQUE(FILTER($B$2:$B$1826,$A$2:$A$1826=A1057))"),3.0)</f>
        <v>3</v>
      </c>
    </row>
    <row r="1058">
      <c r="A1058" s="13" t="s">
        <v>533</v>
      </c>
      <c r="B1058" s="13" t="s">
        <v>224</v>
      </c>
      <c r="C1058" s="14">
        <v>52.0</v>
      </c>
      <c r="D1058" s="13" t="s">
        <v>35</v>
      </c>
      <c r="E1058" s="13" t="s">
        <v>36</v>
      </c>
      <c r="F1058" s="13" t="s">
        <v>37</v>
      </c>
      <c r="G1058" s="13" t="s">
        <v>63</v>
      </c>
      <c r="H1058" s="16">
        <v>45917.0</v>
      </c>
      <c r="I1058" s="14">
        <v>17.0</v>
      </c>
      <c r="J1058" s="13" t="s">
        <v>40</v>
      </c>
      <c r="K1058" s="13" t="s">
        <v>65</v>
      </c>
      <c r="L1058" s="14">
        <v>1352.0</v>
      </c>
      <c r="M1058" s="18" t="s">
        <v>43</v>
      </c>
      <c r="N1058" s="18" t="s">
        <v>98</v>
      </c>
      <c r="O1058" s="18">
        <v>24.9</v>
      </c>
      <c r="P1058" s="18" t="s">
        <v>456</v>
      </c>
      <c r="Q1058" s="16">
        <v>46276.0</v>
      </c>
      <c r="R1058" s="16">
        <v>45669.0</v>
      </c>
      <c r="S1058" s="13" t="s">
        <v>45</v>
      </c>
      <c r="T1058" s="13" t="s">
        <v>75</v>
      </c>
      <c r="U1058" s="13">
        <f t="shared" si="1"/>
        <v>2</v>
      </c>
      <c r="V1058" s="13" t="str">
        <f t="shared" si="2"/>
        <v>C00958|Anita Iyer|52|North|Delhi|Standard|Google Ads|9/17/2025|17|Monthly|Credit Card|1,352|2|1|24.90|2.5|9/11/2026|1/12/2025|Churned|Security</v>
      </c>
      <c r="W1058" s="13">
        <f t="shared" si="3"/>
        <v>2</v>
      </c>
      <c r="X1058" s="13">
        <f>IFERROR(__xludf.DUMMYFUNCTION("COUNTUNIQUE(FILTER($B$2:$B$1826,$A$2:$A$1826=A1058))"),1.0)</f>
        <v>1</v>
      </c>
    </row>
    <row r="1059">
      <c r="A1059" s="13" t="s">
        <v>1070</v>
      </c>
      <c r="B1059" s="13" t="s">
        <v>224</v>
      </c>
      <c r="C1059" s="14">
        <v>29.0</v>
      </c>
      <c r="D1059" s="13" t="s">
        <v>35</v>
      </c>
      <c r="E1059" s="13" t="s">
        <v>51</v>
      </c>
      <c r="F1059" s="13" t="s">
        <v>62</v>
      </c>
      <c r="G1059" s="13" t="s">
        <v>80</v>
      </c>
      <c r="H1059" s="16">
        <v>45113.0</v>
      </c>
      <c r="I1059" s="14">
        <v>33.0</v>
      </c>
      <c r="J1059" s="13" t="s">
        <v>64</v>
      </c>
      <c r="K1059" s="13" t="s">
        <v>65</v>
      </c>
      <c r="L1059" s="14">
        <v>663.0</v>
      </c>
      <c r="M1059" s="18" t="s">
        <v>164</v>
      </c>
      <c r="N1059" s="18" t="s">
        <v>43</v>
      </c>
      <c r="O1059" s="18">
        <v>10.6</v>
      </c>
      <c r="P1059" s="18" t="s">
        <v>173</v>
      </c>
      <c r="Q1059" s="16">
        <v>45173.0</v>
      </c>
      <c r="R1059" s="16" t="s">
        <v>38</v>
      </c>
      <c r="S1059" s="13" t="s">
        <v>55</v>
      </c>
      <c r="T1059" s="13" t="s">
        <v>104</v>
      </c>
      <c r="U1059" s="13">
        <f t="shared" si="1"/>
        <v>2</v>
      </c>
      <c r="V1059" s="13" t="str">
        <f t="shared" si="2"/>
        <v>C01154|Anita Iyer|29|North|Jaipur|Basic|Organic Search|7/6/2023|33|Annual|Credit Card|663|3|2|10.60|5|9/4/2023||Active|Analytics</v>
      </c>
      <c r="W1059" s="13">
        <f t="shared" si="3"/>
        <v>1</v>
      </c>
      <c r="X1059" s="13">
        <f>IFERROR(__xludf.DUMMYFUNCTION("COUNTUNIQUE(FILTER($B$2:$B$1826,$A$2:$A$1826=A1059))"),1.0)</f>
        <v>1</v>
      </c>
    </row>
    <row r="1060">
      <c r="A1060" s="13" t="s">
        <v>1945</v>
      </c>
      <c r="B1060" s="13" t="s">
        <v>74</v>
      </c>
      <c r="C1060" s="14">
        <v>68.0</v>
      </c>
      <c r="D1060" s="13" t="s">
        <v>35</v>
      </c>
      <c r="E1060" s="13" t="s">
        <v>140</v>
      </c>
      <c r="F1060" s="13" t="s">
        <v>62</v>
      </c>
      <c r="G1060" s="13" t="s">
        <v>39</v>
      </c>
      <c r="H1060" s="16">
        <v>45054.0</v>
      </c>
      <c r="I1060" s="14">
        <v>27.0</v>
      </c>
      <c r="J1060" s="13" t="s">
        <v>64</v>
      </c>
      <c r="K1060" s="13" t="s">
        <v>81</v>
      </c>
      <c r="L1060" s="14">
        <v>813.0</v>
      </c>
      <c r="M1060" s="18" t="s">
        <v>46</v>
      </c>
      <c r="N1060" s="18" t="s">
        <v>46</v>
      </c>
      <c r="O1060" s="18">
        <v>17.8</v>
      </c>
      <c r="P1060" s="18" t="s">
        <v>368</v>
      </c>
      <c r="Q1060" s="16">
        <v>45696.0</v>
      </c>
      <c r="R1060" s="16" t="s">
        <v>38</v>
      </c>
      <c r="S1060" s="13" t="s">
        <v>55</v>
      </c>
      <c r="T1060" s="13" t="s">
        <v>66</v>
      </c>
      <c r="U1060" s="13">
        <f t="shared" si="1"/>
        <v>1</v>
      </c>
      <c r="V1060" s="13" t="str">
        <f t="shared" si="2"/>
        <v>C01132|Anita Kumar|68|North|Lucknow|Basic|Instagram|5/8/2023|27|Annual|Debit Card|813|0|0|17.80|4.9|2/8/2025||Active|Automation</v>
      </c>
      <c r="W1060" s="13">
        <f t="shared" si="3"/>
        <v>1</v>
      </c>
      <c r="X1060" s="13">
        <f>IFERROR(__xludf.DUMMYFUNCTION("COUNTUNIQUE(FILTER($B$2:$B$1826,$A$2:$A$1826=A1060))"),1.0)</f>
        <v>1</v>
      </c>
    </row>
    <row r="1061">
      <c r="A1061" s="13" t="s">
        <v>434</v>
      </c>
      <c r="B1061" s="13" t="s">
        <v>179</v>
      </c>
      <c r="C1061" s="14">
        <v>35.0</v>
      </c>
      <c r="D1061" s="13" t="s">
        <v>69</v>
      </c>
      <c r="E1061" s="13" t="s">
        <v>70</v>
      </c>
      <c r="F1061" s="13" t="s">
        <v>62</v>
      </c>
      <c r="G1061" s="13" t="s">
        <v>128</v>
      </c>
      <c r="H1061" s="16">
        <v>44658.0</v>
      </c>
      <c r="I1061" s="14">
        <v>8.0</v>
      </c>
      <c r="J1061" s="13" t="s">
        <v>64</v>
      </c>
      <c r="K1061" s="13" t="s">
        <v>81</v>
      </c>
      <c r="L1061" s="14">
        <v>628.0</v>
      </c>
      <c r="M1061" s="18" t="s">
        <v>43</v>
      </c>
      <c r="N1061" s="18" t="s">
        <v>98</v>
      </c>
      <c r="O1061" s="18">
        <v>26.7</v>
      </c>
      <c r="P1061" s="18" t="s">
        <v>449</v>
      </c>
      <c r="Q1061" s="16">
        <v>44895.0</v>
      </c>
      <c r="R1061" s="16" t="s">
        <v>1526</v>
      </c>
      <c r="S1061" s="13" t="s">
        <v>45</v>
      </c>
      <c r="T1061" s="13" t="s">
        <v>72</v>
      </c>
      <c r="U1061" s="13">
        <f t="shared" si="1"/>
        <v>4</v>
      </c>
      <c r="V1061" s="13" t="str">
        <f t="shared" si="2"/>
        <v>C00379|Ravi Kumar|35|South|Bengaluru|Basic|Youtube|4/7/2022|8|Annual|Debit Card|628|2|1|26.70|2.7|11/30/2022|26/09/2022|Churned|Collaboration</v>
      </c>
      <c r="W1061" s="13">
        <f t="shared" si="3"/>
        <v>1</v>
      </c>
      <c r="X1061" s="13">
        <f>IFERROR(__xludf.DUMMYFUNCTION("COUNTUNIQUE(FILTER($B$2:$B$1826,$A$2:$A$1826=A1061))"),4.0)</f>
        <v>4</v>
      </c>
    </row>
    <row r="1062">
      <c r="A1062" s="13" t="s">
        <v>1162</v>
      </c>
      <c r="B1062" s="13" t="s">
        <v>59</v>
      </c>
      <c r="C1062" s="14">
        <v>36.0</v>
      </c>
      <c r="D1062" s="13" t="s">
        <v>69</v>
      </c>
      <c r="E1062" s="13" t="s">
        <v>119</v>
      </c>
      <c r="F1062" s="13" t="s">
        <v>62</v>
      </c>
      <c r="G1062" s="13" t="s">
        <v>39</v>
      </c>
      <c r="H1062" s="16">
        <v>45618.0</v>
      </c>
      <c r="I1062" s="14">
        <v>13.0</v>
      </c>
      <c r="J1062" s="13" t="s">
        <v>40</v>
      </c>
      <c r="K1062" s="13" t="s">
        <v>41</v>
      </c>
      <c r="L1062" s="14">
        <v>1191.0</v>
      </c>
      <c r="M1062" s="18" t="s">
        <v>98</v>
      </c>
      <c r="N1062" s="18" t="s">
        <v>46</v>
      </c>
      <c r="O1062" s="18">
        <v>23.9</v>
      </c>
      <c r="P1062" s="18" t="s">
        <v>116</v>
      </c>
      <c r="Q1062" s="16">
        <v>45959.0</v>
      </c>
      <c r="R1062" s="16" t="s">
        <v>38</v>
      </c>
      <c r="S1062" s="13" t="s">
        <v>55</v>
      </c>
      <c r="T1062" s="13" t="s">
        <v>104</v>
      </c>
      <c r="U1062" s="13">
        <f t="shared" si="1"/>
        <v>3</v>
      </c>
      <c r="V1062" s="13" t="str">
        <f t="shared" si="2"/>
        <v>C01319|Priya Das|36|South|Kochi|Basic|Instagram|11/22/2024|13|Monthly|Upi|1,191|1|0|23.90|3.4|10/29/2025||Active|Analytics</v>
      </c>
      <c r="W1062" s="13">
        <f t="shared" si="3"/>
        <v>1</v>
      </c>
      <c r="X1062" s="13">
        <f>IFERROR(__xludf.DUMMYFUNCTION("COUNTUNIQUE(FILTER($B$2:$B$1826,$A$2:$A$1826=A1062))"),3.0)</f>
        <v>3</v>
      </c>
    </row>
    <row r="1063">
      <c r="A1063" s="13" t="s">
        <v>1655</v>
      </c>
      <c r="B1063" s="13" t="s">
        <v>96</v>
      </c>
      <c r="C1063" s="14">
        <v>34.0</v>
      </c>
      <c r="D1063" s="13" t="s">
        <v>85</v>
      </c>
      <c r="E1063" s="13" t="s">
        <v>92</v>
      </c>
      <c r="F1063" s="13" t="s">
        <v>37</v>
      </c>
      <c r="G1063" s="13" t="s">
        <v>63</v>
      </c>
      <c r="H1063" s="16">
        <v>45732.0</v>
      </c>
      <c r="I1063" s="14">
        <v>42.0</v>
      </c>
      <c r="J1063" s="13" t="s">
        <v>53</v>
      </c>
      <c r="K1063" s="13" t="s">
        <v>81</v>
      </c>
      <c r="L1063" s="14">
        <v>1313.0</v>
      </c>
      <c r="M1063" s="18" t="s">
        <v>98</v>
      </c>
      <c r="N1063" s="18" t="s">
        <v>98</v>
      </c>
      <c r="O1063" s="18">
        <v>23.6</v>
      </c>
      <c r="P1063" s="18" t="s">
        <v>449</v>
      </c>
      <c r="Q1063" s="16">
        <v>46351.0</v>
      </c>
      <c r="R1063" s="16" t="s">
        <v>38</v>
      </c>
      <c r="S1063" s="13" t="s">
        <v>55</v>
      </c>
      <c r="T1063" s="13" t="s">
        <v>47</v>
      </c>
      <c r="U1063" s="13">
        <f t="shared" si="1"/>
        <v>1</v>
      </c>
      <c r="V1063" s="13" t="str">
        <f t="shared" si="2"/>
        <v>C00290|Rahul Kumar|34|West|Ahmedabad|Standard|Google Ads|3/16/2025|42|Quarterly|Debit Card|1,313|1|1|23.60|2.7|11/25/2026||Active|Cloud Storage</v>
      </c>
      <c r="W1063" s="13">
        <f t="shared" si="3"/>
        <v>1</v>
      </c>
      <c r="X1063" s="13">
        <f>IFERROR(__xludf.DUMMYFUNCTION("COUNTUNIQUE(FILTER($B$2:$B$1826,$A$2:$A$1826=A1063))"),1.0)</f>
        <v>1</v>
      </c>
    </row>
    <row r="1064">
      <c r="A1064" s="13" t="s">
        <v>311</v>
      </c>
      <c r="B1064" s="13" t="s">
        <v>206</v>
      </c>
      <c r="C1064" s="14">
        <v>41.0</v>
      </c>
      <c r="D1064" s="13" t="s">
        <v>85</v>
      </c>
      <c r="E1064" s="13" t="s">
        <v>111</v>
      </c>
      <c r="F1064" s="13" t="s">
        <v>62</v>
      </c>
      <c r="G1064" s="13" t="s">
        <v>128</v>
      </c>
      <c r="H1064" s="16">
        <v>45077.0</v>
      </c>
      <c r="I1064" s="14">
        <v>6.0</v>
      </c>
      <c r="J1064" s="13" t="s">
        <v>53</v>
      </c>
      <c r="K1064" s="13" t="s">
        <v>65</v>
      </c>
      <c r="L1064" s="14">
        <v>519.0</v>
      </c>
      <c r="M1064" s="18" t="s">
        <v>164</v>
      </c>
      <c r="N1064" s="18" t="s">
        <v>46</v>
      </c>
      <c r="O1064" s="18">
        <v>36.3</v>
      </c>
      <c r="P1064" s="18" t="s">
        <v>173</v>
      </c>
      <c r="Q1064" s="16">
        <v>45248.0</v>
      </c>
      <c r="R1064" s="16" t="s">
        <v>38</v>
      </c>
      <c r="S1064" s="13" t="s">
        <v>55</v>
      </c>
      <c r="T1064" s="13" t="s">
        <v>104</v>
      </c>
      <c r="U1064" s="13">
        <f t="shared" si="1"/>
        <v>3</v>
      </c>
      <c r="V1064" s="13" t="str">
        <f t="shared" si="2"/>
        <v>C00755|Karan Patel|41|West|Pune|Basic|Youtube|5/31/2023|6|Quarterly|Credit Card|519|3|0|36.30|5|11/18/2023||Active|Analytics</v>
      </c>
      <c r="W1064" s="13">
        <f t="shared" si="3"/>
        <v>1</v>
      </c>
      <c r="X1064" s="13">
        <f>IFERROR(__xludf.DUMMYFUNCTION("COUNTUNIQUE(FILTER($B$2:$B$1826,$A$2:$A$1826=A1064))"),3.0)</f>
        <v>3</v>
      </c>
    </row>
    <row r="1065">
      <c r="A1065" s="13" t="s">
        <v>1254</v>
      </c>
      <c r="B1065" s="13" t="s">
        <v>639</v>
      </c>
      <c r="C1065" s="14">
        <v>43.0</v>
      </c>
      <c r="D1065" s="13" t="s">
        <v>85</v>
      </c>
      <c r="E1065" s="13" t="s">
        <v>111</v>
      </c>
      <c r="F1065" s="13" t="s">
        <v>37</v>
      </c>
      <c r="G1065" s="13" t="s">
        <v>210</v>
      </c>
      <c r="H1065" s="16">
        <v>45258.0</v>
      </c>
      <c r="I1065" s="14">
        <v>35.0</v>
      </c>
      <c r="J1065" s="13" t="s">
        <v>53</v>
      </c>
      <c r="K1065" s="13" t="s">
        <v>65</v>
      </c>
      <c r="L1065" s="14">
        <v>1195.0</v>
      </c>
      <c r="M1065" s="18" t="s">
        <v>98</v>
      </c>
      <c r="N1065" s="18" t="s">
        <v>98</v>
      </c>
      <c r="O1065" s="18">
        <v>45.3</v>
      </c>
      <c r="P1065" s="18" t="s">
        <v>43</v>
      </c>
      <c r="Q1065" s="16">
        <v>45315.0</v>
      </c>
      <c r="R1065" s="16" t="s">
        <v>38</v>
      </c>
      <c r="S1065" s="13" t="s">
        <v>55</v>
      </c>
      <c r="T1065" s="13" t="s">
        <v>72</v>
      </c>
      <c r="U1065" s="13">
        <f t="shared" si="1"/>
        <v>4</v>
      </c>
      <c r="V1065" s="13" t="str">
        <f t="shared" si="2"/>
        <v>C00383|Priya Nair|43|West|Pune|Standard|Referral|11/28/2023|35|Quarterly|Credit Card|1,195|1|1|45.30|2|1/24/2024||Active|Collaboration</v>
      </c>
      <c r="W1065" s="13">
        <f t="shared" si="3"/>
        <v>1</v>
      </c>
      <c r="X1065" s="13">
        <f>IFERROR(__xludf.DUMMYFUNCTION("COUNTUNIQUE(FILTER($B$2:$B$1826,$A$2:$A$1826=A1065))"),4.0)</f>
        <v>4</v>
      </c>
    </row>
    <row r="1066">
      <c r="A1066" s="13" t="s">
        <v>1656</v>
      </c>
      <c r="B1066" s="13" t="s">
        <v>68</v>
      </c>
      <c r="C1066" s="14">
        <v>48.0</v>
      </c>
      <c r="D1066" s="13" t="s">
        <v>60</v>
      </c>
      <c r="E1066" s="13" t="s">
        <v>51</v>
      </c>
      <c r="F1066" s="13" t="s">
        <v>37</v>
      </c>
      <c r="G1066" s="13" t="s">
        <v>210</v>
      </c>
      <c r="H1066" s="16">
        <v>45056.0</v>
      </c>
      <c r="I1066" s="14">
        <v>36.0</v>
      </c>
      <c r="J1066" s="13" t="s">
        <v>64</v>
      </c>
      <c r="K1066" s="13" t="s">
        <v>81</v>
      </c>
      <c r="L1066" s="14">
        <v>1181.0</v>
      </c>
      <c r="M1066" s="18" t="s">
        <v>98</v>
      </c>
      <c r="N1066" s="18" t="s">
        <v>43</v>
      </c>
      <c r="O1066" s="18">
        <v>15.2</v>
      </c>
      <c r="P1066" s="18" t="s">
        <v>263</v>
      </c>
      <c r="Q1066" s="16">
        <v>45630.0</v>
      </c>
      <c r="R1066" s="16" t="s">
        <v>38</v>
      </c>
      <c r="S1066" s="13" t="s">
        <v>55</v>
      </c>
      <c r="T1066" s="13" t="s">
        <v>104</v>
      </c>
      <c r="U1066" s="13">
        <f t="shared" si="1"/>
        <v>1</v>
      </c>
      <c r="V1066" s="13" t="str">
        <f t="shared" si="2"/>
        <v>C00596|Anita Patel|48|East|Jaipur|Standard|Referral|5/10/2023|36|Annual|Debit Card|1,181|1|2|15.20|2.9|12/4/2024||Active|Analytics</v>
      </c>
      <c r="W1066" s="13">
        <f t="shared" si="3"/>
        <v>1</v>
      </c>
      <c r="X1066" s="13">
        <f>IFERROR(__xludf.DUMMYFUNCTION("COUNTUNIQUE(FILTER($B$2:$B$1826,$A$2:$A$1826=A1066))"),1.0)</f>
        <v>1</v>
      </c>
    </row>
    <row r="1067">
      <c r="A1067" s="13" t="s">
        <v>1657</v>
      </c>
      <c r="B1067" s="13" t="s">
        <v>380</v>
      </c>
      <c r="C1067" s="14">
        <v>56.0</v>
      </c>
      <c r="D1067" s="13" t="s">
        <v>60</v>
      </c>
      <c r="E1067" s="13" t="s">
        <v>61</v>
      </c>
      <c r="F1067" s="13" t="s">
        <v>62</v>
      </c>
      <c r="G1067" s="13" t="s">
        <v>52</v>
      </c>
      <c r="H1067" s="16">
        <v>44679.0</v>
      </c>
      <c r="I1067" s="14">
        <v>19.0</v>
      </c>
      <c r="J1067" s="13" t="s">
        <v>53</v>
      </c>
      <c r="K1067" s="13" t="s">
        <v>81</v>
      </c>
      <c r="L1067" s="14">
        <v>609.0</v>
      </c>
      <c r="M1067" s="18" t="s">
        <v>43</v>
      </c>
      <c r="N1067" s="18" t="s">
        <v>43</v>
      </c>
      <c r="O1067" s="18">
        <v>27.6</v>
      </c>
      <c r="P1067" s="18" t="s">
        <v>203</v>
      </c>
      <c r="Q1067" s="16">
        <v>45052.0</v>
      </c>
      <c r="R1067" s="16" t="s">
        <v>38</v>
      </c>
      <c r="S1067" s="13" t="s">
        <v>55</v>
      </c>
      <c r="T1067" s="13" t="s">
        <v>104</v>
      </c>
      <c r="U1067" s="13">
        <f t="shared" si="1"/>
        <v>1</v>
      </c>
      <c r="V1067" s="13" t="str">
        <f t="shared" si="2"/>
        <v>C01380|Neha Iyer|56|East|Kolkata|Basic|Facebook|4/28/2022|19|Quarterly|Debit Card|609|2|2|27.60|3.7|5/6/2023||Active|Analytics</v>
      </c>
      <c r="W1067" s="13">
        <f t="shared" si="3"/>
        <v>1</v>
      </c>
      <c r="X1067" s="13">
        <f>IFERROR(__xludf.DUMMYFUNCTION("COUNTUNIQUE(FILTER($B$2:$B$1826,$A$2:$A$1826=A1067))"),1.0)</f>
        <v>1</v>
      </c>
    </row>
    <row r="1068">
      <c r="A1068" s="13" t="s">
        <v>1658</v>
      </c>
      <c r="B1068" s="13" t="s">
        <v>179</v>
      </c>
      <c r="C1068" s="14">
        <v>57.0</v>
      </c>
      <c r="D1068" s="13" t="s">
        <v>69</v>
      </c>
      <c r="E1068" s="13" t="s">
        <v>187</v>
      </c>
      <c r="F1068" s="13" t="s">
        <v>37</v>
      </c>
      <c r="G1068" s="13" t="s">
        <v>63</v>
      </c>
      <c r="H1068" s="16">
        <v>44755.0</v>
      </c>
      <c r="I1068" s="14">
        <v>46.0</v>
      </c>
      <c r="J1068" s="13" t="s">
        <v>40</v>
      </c>
      <c r="K1068" s="13" t="s">
        <v>41</v>
      </c>
      <c r="L1068" s="14">
        <v>1476.0</v>
      </c>
      <c r="M1068" s="18" t="s">
        <v>46</v>
      </c>
      <c r="N1068" s="18" t="s">
        <v>98</v>
      </c>
      <c r="O1068" s="18">
        <v>34.6</v>
      </c>
      <c r="P1068" s="18" t="s">
        <v>310</v>
      </c>
      <c r="Q1068" s="16">
        <v>45018.0</v>
      </c>
      <c r="R1068" s="16" t="s">
        <v>38</v>
      </c>
      <c r="S1068" s="13" t="s">
        <v>55</v>
      </c>
      <c r="T1068" s="13" t="s">
        <v>66</v>
      </c>
      <c r="U1068" s="13">
        <f t="shared" si="1"/>
        <v>1</v>
      </c>
      <c r="V1068" s="13" t="str">
        <f t="shared" si="2"/>
        <v>C00809|Ravi Kumar|57|South|Chennai|Standard|Google Ads|7/13/2022|46|Monthly|Upi|1,476|0|1|34.60|3.1|4/2/2023||Active|Automation</v>
      </c>
      <c r="W1068" s="13">
        <f t="shared" si="3"/>
        <v>1</v>
      </c>
      <c r="X1068" s="13">
        <f>IFERROR(__xludf.DUMMYFUNCTION("COUNTUNIQUE(FILTER($B$2:$B$1826,$A$2:$A$1826=A1068))"),1.0)</f>
        <v>1</v>
      </c>
    </row>
    <row r="1069">
      <c r="A1069" s="13" t="s">
        <v>1659</v>
      </c>
      <c r="B1069" s="13" t="s">
        <v>639</v>
      </c>
      <c r="C1069" s="14">
        <v>67.0</v>
      </c>
      <c r="D1069" s="13" t="s">
        <v>69</v>
      </c>
      <c r="E1069" s="13" t="s">
        <v>119</v>
      </c>
      <c r="F1069" s="13" t="s">
        <v>62</v>
      </c>
      <c r="G1069" s="13" t="s">
        <v>120</v>
      </c>
      <c r="H1069" s="16">
        <v>45880.0</v>
      </c>
      <c r="I1069" s="14">
        <v>21.0</v>
      </c>
      <c r="J1069" s="13" t="s">
        <v>53</v>
      </c>
      <c r="K1069" s="13" t="s">
        <v>65</v>
      </c>
      <c r="L1069" s="14">
        <v>519.0</v>
      </c>
      <c r="M1069" s="18" t="s">
        <v>164</v>
      </c>
      <c r="N1069" s="18" t="s">
        <v>46</v>
      </c>
      <c r="O1069" s="18">
        <v>14.3</v>
      </c>
      <c r="P1069" s="18" t="s">
        <v>368</v>
      </c>
      <c r="Q1069" s="16">
        <v>45925.0</v>
      </c>
      <c r="R1069" s="16" t="s">
        <v>1529</v>
      </c>
      <c r="S1069" s="13" t="s">
        <v>45</v>
      </c>
      <c r="T1069" s="13" t="s">
        <v>104</v>
      </c>
      <c r="U1069" s="13">
        <f t="shared" si="1"/>
        <v>1</v>
      </c>
      <c r="V1069" s="13" t="str">
        <f t="shared" si="2"/>
        <v>C00188|Priya Nair|67|South|Kochi|Basic|Email|8/11/2025|21|Quarterly|Credit Card|519|3|0|14.30|4.9|9/25/2025|27/11/2025|Churned|Analytics</v>
      </c>
      <c r="W1069" s="13">
        <f t="shared" si="3"/>
        <v>1</v>
      </c>
      <c r="X1069" s="13">
        <f>IFERROR(__xludf.DUMMYFUNCTION("COUNTUNIQUE(FILTER($B$2:$B$1826,$A$2:$A$1826=A1069))"),1.0)</f>
        <v>1</v>
      </c>
    </row>
    <row r="1070">
      <c r="A1070" s="13" t="s">
        <v>1532</v>
      </c>
      <c r="B1070" s="13" t="s">
        <v>135</v>
      </c>
      <c r="C1070" s="14">
        <v>54.0</v>
      </c>
      <c r="D1070" s="13" t="s">
        <v>85</v>
      </c>
      <c r="E1070" s="13" t="s">
        <v>292</v>
      </c>
      <c r="F1070" s="13" t="s">
        <v>62</v>
      </c>
      <c r="G1070" s="13" t="s">
        <v>39</v>
      </c>
      <c r="H1070" s="16">
        <v>44989.0</v>
      </c>
      <c r="I1070" s="14">
        <v>2.0</v>
      </c>
      <c r="J1070" s="13" t="s">
        <v>40</v>
      </c>
      <c r="K1070" s="13" t="s">
        <v>81</v>
      </c>
      <c r="L1070" s="14">
        <v>514.0</v>
      </c>
      <c r="M1070" s="18" t="s">
        <v>46</v>
      </c>
      <c r="N1070" s="18" t="s">
        <v>98</v>
      </c>
      <c r="O1070" s="18">
        <v>12.0</v>
      </c>
      <c r="P1070" s="18" t="s">
        <v>99</v>
      </c>
      <c r="Q1070" s="16">
        <v>45041.0</v>
      </c>
      <c r="R1070" s="16" t="s">
        <v>1660</v>
      </c>
      <c r="S1070" s="13" t="s">
        <v>45</v>
      </c>
      <c r="T1070" s="13" t="s">
        <v>66</v>
      </c>
      <c r="U1070" s="13">
        <f t="shared" si="1"/>
        <v>2</v>
      </c>
      <c r="V1070" s="13" t="str">
        <f t="shared" si="2"/>
        <v>C00946|Karan Sharma|54|West|Mumbai|Basic|Instagram|3/4/2023|2|Monthly|Debit Card|514|0|1|12.00|4|4/25/2023|22/05/2023|Churned|Automation</v>
      </c>
      <c r="W1070" s="13">
        <f t="shared" si="3"/>
        <v>1</v>
      </c>
      <c r="X1070" s="13">
        <f>IFERROR(__xludf.DUMMYFUNCTION("COUNTUNIQUE(FILTER($B$2:$B$1826,$A$2:$A$1826=A1070))"),2.0)</f>
        <v>2</v>
      </c>
    </row>
    <row r="1071">
      <c r="A1071" s="13" t="s">
        <v>819</v>
      </c>
      <c r="B1071" s="13" t="s">
        <v>308</v>
      </c>
      <c r="C1071" s="14">
        <v>58.0</v>
      </c>
      <c r="D1071" s="13" t="s">
        <v>69</v>
      </c>
      <c r="E1071" s="13" t="s">
        <v>119</v>
      </c>
      <c r="F1071" s="13" t="s">
        <v>62</v>
      </c>
      <c r="G1071" s="13" t="s">
        <v>52</v>
      </c>
      <c r="H1071" s="16">
        <v>46001.0</v>
      </c>
      <c r="I1071" s="14">
        <v>32.0</v>
      </c>
      <c r="J1071" s="13" t="s">
        <v>64</v>
      </c>
      <c r="K1071" s="13" t="s">
        <v>41</v>
      </c>
      <c r="L1071" s="14">
        <v>644.0</v>
      </c>
      <c r="M1071" s="18" t="s">
        <v>46</v>
      </c>
      <c r="N1071" s="18" t="s">
        <v>98</v>
      </c>
      <c r="O1071" s="18">
        <v>11.2</v>
      </c>
      <c r="P1071" s="18" t="s">
        <v>408</v>
      </c>
      <c r="Q1071" s="16">
        <v>46753.0</v>
      </c>
      <c r="R1071" s="16" t="s">
        <v>38</v>
      </c>
      <c r="S1071" s="13" t="s">
        <v>55</v>
      </c>
      <c r="T1071" s="13" t="s">
        <v>75</v>
      </c>
      <c r="U1071" s="13">
        <f t="shared" si="1"/>
        <v>4</v>
      </c>
      <c r="V1071" s="13" t="str">
        <f t="shared" si="2"/>
        <v>C00027|Karan Kumar|58|South|Kochi|Basic|Facebook|12/10/2025|32|Annual|Upi|644|0|1|11.20|4.2|1/1/2028||Active|Security</v>
      </c>
      <c r="W1071" s="13">
        <f t="shared" si="3"/>
        <v>1</v>
      </c>
      <c r="X1071" s="13">
        <f>IFERROR(__xludf.DUMMYFUNCTION("COUNTUNIQUE(FILTER($B$2:$B$1826,$A$2:$A$1826=A1071))"),4.0)</f>
        <v>4</v>
      </c>
    </row>
    <row r="1072">
      <c r="A1072" s="13" t="s">
        <v>1661</v>
      </c>
      <c r="B1072" s="13" t="s">
        <v>398</v>
      </c>
      <c r="C1072" s="14">
        <v>53.0</v>
      </c>
      <c r="D1072" s="13" t="s">
        <v>60</v>
      </c>
      <c r="E1072" s="13" t="s">
        <v>97</v>
      </c>
      <c r="F1072" s="13" t="s">
        <v>79</v>
      </c>
      <c r="G1072" s="13" t="s">
        <v>63</v>
      </c>
      <c r="H1072" s="16">
        <v>45199.0</v>
      </c>
      <c r="I1072" s="14">
        <v>39.0</v>
      </c>
      <c r="J1072" s="13" t="s">
        <v>53</v>
      </c>
      <c r="K1072" s="13" t="s">
        <v>41</v>
      </c>
      <c r="L1072" s="14">
        <v>3308.0</v>
      </c>
      <c r="M1072" s="18" t="s">
        <v>164</v>
      </c>
      <c r="N1072" s="18" t="s">
        <v>46</v>
      </c>
      <c r="O1072" s="18">
        <v>33.2</v>
      </c>
      <c r="P1072" s="18" t="s">
        <v>123</v>
      </c>
      <c r="Q1072" s="16">
        <v>46386.0</v>
      </c>
      <c r="R1072" s="16" t="s">
        <v>38</v>
      </c>
      <c r="S1072" s="13" t="s">
        <v>55</v>
      </c>
      <c r="T1072" s="13" t="s">
        <v>47</v>
      </c>
      <c r="U1072" s="13">
        <f t="shared" si="1"/>
        <v>3</v>
      </c>
      <c r="V1072" s="13" t="str">
        <f t="shared" si="2"/>
        <v>C00754|Vikram Sharma|53|East|Bhubaneswar|Premium|Google Ads|9/30/2023|39|Quarterly|Upi|3,308|3|0|33.20|4.1|12/30/2026||Active|Cloud Storage</v>
      </c>
      <c r="W1072" s="13">
        <f t="shared" si="3"/>
        <v>1</v>
      </c>
      <c r="X1072" s="13">
        <f>IFERROR(__xludf.DUMMYFUNCTION("COUNTUNIQUE(FILTER($B$2:$B$1826,$A$2:$A$1826=A1072))"),3.0)</f>
        <v>3</v>
      </c>
    </row>
    <row r="1073">
      <c r="A1073" s="13" t="s">
        <v>1662</v>
      </c>
      <c r="B1073" s="13" t="s">
        <v>605</v>
      </c>
      <c r="C1073" s="14">
        <v>23.0</v>
      </c>
      <c r="D1073" s="13" t="s">
        <v>85</v>
      </c>
      <c r="E1073" s="13" t="s">
        <v>92</v>
      </c>
      <c r="F1073" s="13" t="s">
        <v>37</v>
      </c>
      <c r="G1073" s="13" t="s">
        <v>80</v>
      </c>
      <c r="H1073" s="16">
        <v>44847.0</v>
      </c>
      <c r="I1073" s="14">
        <v>27.0</v>
      </c>
      <c r="J1073" s="13" t="s">
        <v>40</v>
      </c>
      <c r="K1073" s="13" t="s">
        <v>65</v>
      </c>
      <c r="L1073" s="14">
        <v>1160.0</v>
      </c>
      <c r="M1073" s="18" t="s">
        <v>43</v>
      </c>
      <c r="N1073" s="18" t="s">
        <v>46</v>
      </c>
      <c r="O1073" s="18">
        <v>28.2</v>
      </c>
      <c r="P1073" s="18" t="s">
        <v>449</v>
      </c>
      <c r="Q1073" s="16">
        <v>45077.0</v>
      </c>
      <c r="R1073" s="16" t="s">
        <v>38</v>
      </c>
      <c r="S1073" s="13" t="s">
        <v>55</v>
      </c>
      <c r="T1073" s="13" t="s">
        <v>72</v>
      </c>
      <c r="U1073" s="13">
        <f t="shared" si="1"/>
        <v>3</v>
      </c>
      <c r="V1073" s="13" t="str">
        <f t="shared" si="2"/>
        <v>C00814|Meera Patel|23|West|Ahmedabad|Standard|Organic Search|10/13/2022|27|Monthly|Credit Card|1,160|2|0|28.20|2.7|5/31/2023||Active|Collaboration</v>
      </c>
      <c r="W1073" s="13">
        <f t="shared" si="3"/>
        <v>1</v>
      </c>
      <c r="X1073" s="13">
        <f>IFERROR(__xludf.DUMMYFUNCTION("COUNTUNIQUE(FILTER($B$2:$B$1826,$A$2:$A$1826=A1073))"),3.0)</f>
        <v>3</v>
      </c>
    </row>
    <row r="1074">
      <c r="A1074" s="13" t="s">
        <v>431</v>
      </c>
      <c r="B1074" s="13" t="s">
        <v>308</v>
      </c>
      <c r="C1074" s="14">
        <v>42.0</v>
      </c>
      <c r="D1074" s="13" t="s">
        <v>60</v>
      </c>
      <c r="E1074" s="13" t="s">
        <v>133</v>
      </c>
      <c r="F1074" s="13" t="s">
        <v>62</v>
      </c>
      <c r="G1074" s="13" t="s">
        <v>210</v>
      </c>
      <c r="H1074" s="16">
        <v>44636.0</v>
      </c>
      <c r="I1074" s="14">
        <v>45.0</v>
      </c>
      <c r="J1074" s="13" t="s">
        <v>64</v>
      </c>
      <c r="K1074" s="13" t="s">
        <v>41</v>
      </c>
      <c r="L1074" s="14">
        <v>873.0</v>
      </c>
      <c r="M1074" s="18" t="s">
        <v>98</v>
      </c>
      <c r="N1074" s="18" t="s">
        <v>46</v>
      </c>
      <c r="O1074" s="18">
        <v>24.1</v>
      </c>
      <c r="P1074" s="18" t="s">
        <v>130</v>
      </c>
      <c r="Q1074" s="16">
        <v>45710.0</v>
      </c>
      <c r="R1074" s="16" t="s">
        <v>1663</v>
      </c>
      <c r="S1074" s="13" t="s">
        <v>45</v>
      </c>
      <c r="T1074" s="13" t="s">
        <v>72</v>
      </c>
      <c r="U1074" s="13">
        <f t="shared" si="1"/>
        <v>4</v>
      </c>
      <c r="V1074" s="13" t="str">
        <f t="shared" si="2"/>
        <v>C00687|Karan Kumar|42|East|Guwahati|Basic|Referral|3/16/2022|45|Annual|Upi|873|1|0|24.10|3.9|2/22/2025|16/04/2025|Churned|Collaboration</v>
      </c>
      <c r="W1074" s="13">
        <f t="shared" si="3"/>
        <v>1</v>
      </c>
      <c r="X1074" s="13">
        <f>IFERROR(__xludf.DUMMYFUNCTION("COUNTUNIQUE(FILTER($B$2:$B$1826,$A$2:$A$1826=A1074))"),4.0)</f>
        <v>4</v>
      </c>
    </row>
    <row r="1075">
      <c r="A1075" s="13" t="s">
        <v>869</v>
      </c>
      <c r="B1075" s="13" t="s">
        <v>132</v>
      </c>
      <c r="C1075" s="14">
        <v>31.0</v>
      </c>
      <c r="D1075" s="13" t="s">
        <v>85</v>
      </c>
      <c r="E1075" s="13" t="s">
        <v>87</v>
      </c>
      <c r="F1075" s="13" t="s">
        <v>62</v>
      </c>
      <c r="G1075" s="13" t="s">
        <v>128</v>
      </c>
      <c r="H1075" s="16">
        <v>44656.0</v>
      </c>
      <c r="I1075" s="14">
        <v>34.0</v>
      </c>
      <c r="J1075" s="13" t="s">
        <v>40</v>
      </c>
      <c r="K1075" s="13" t="s">
        <v>81</v>
      </c>
      <c r="L1075" s="14">
        <v>558.0</v>
      </c>
      <c r="M1075" s="18" t="s">
        <v>164</v>
      </c>
      <c r="N1075" s="18" t="s">
        <v>98</v>
      </c>
      <c r="O1075" s="18">
        <v>29.3</v>
      </c>
      <c r="P1075" s="18" t="s">
        <v>76</v>
      </c>
      <c r="Q1075" s="16">
        <v>45539.0</v>
      </c>
      <c r="R1075" s="16" t="s">
        <v>38</v>
      </c>
      <c r="S1075" s="13" t="s">
        <v>55</v>
      </c>
      <c r="T1075" s="13" t="s">
        <v>47</v>
      </c>
      <c r="U1075" s="13">
        <f t="shared" si="1"/>
        <v>2</v>
      </c>
      <c r="V1075" s="13" t="str">
        <f t="shared" si="2"/>
        <v>C00487|Arun Kumar|31|West|Surat|Basic|Youtube|4/5/2022|34|Monthly|Debit Card|558|3|1|29.30|4.4|9/4/2024||Active|Cloud Storage</v>
      </c>
      <c r="W1075" s="13">
        <f t="shared" si="3"/>
        <v>1</v>
      </c>
      <c r="X1075" s="13">
        <f>IFERROR(__xludf.DUMMYFUNCTION("COUNTUNIQUE(FILTER($B$2:$B$1826,$A$2:$A$1826=A1075))"),2.0)</f>
        <v>2</v>
      </c>
    </row>
    <row r="1076">
      <c r="A1076" s="13" t="s">
        <v>234</v>
      </c>
      <c r="B1076" s="13" t="s">
        <v>336</v>
      </c>
      <c r="C1076" s="14">
        <v>68.0</v>
      </c>
      <c r="D1076" s="13" t="s">
        <v>85</v>
      </c>
      <c r="E1076" s="13" t="s">
        <v>87</v>
      </c>
      <c r="F1076" s="13" t="s">
        <v>79</v>
      </c>
      <c r="G1076" s="13" t="s">
        <v>63</v>
      </c>
      <c r="H1076" s="16">
        <v>44617.0</v>
      </c>
      <c r="I1076" s="14">
        <v>25.0</v>
      </c>
      <c r="J1076" s="13" t="s">
        <v>40</v>
      </c>
      <c r="K1076" s="13" t="s">
        <v>65</v>
      </c>
      <c r="L1076" s="14">
        <v>2655.0</v>
      </c>
      <c r="M1076" s="18" t="s">
        <v>43</v>
      </c>
      <c r="N1076" s="18" t="s">
        <v>46</v>
      </c>
      <c r="O1076" s="18">
        <v>38.6</v>
      </c>
      <c r="P1076" s="18" t="s">
        <v>296</v>
      </c>
      <c r="Q1076" s="16">
        <v>44844.0</v>
      </c>
      <c r="R1076" s="16" t="s">
        <v>38</v>
      </c>
      <c r="S1076" s="13" t="s">
        <v>55</v>
      </c>
      <c r="T1076" s="13" t="s">
        <v>72</v>
      </c>
      <c r="U1076" s="13">
        <f t="shared" si="1"/>
        <v>3</v>
      </c>
      <c r="V1076" s="13" t="str">
        <f t="shared" si="2"/>
        <v>C00740|Priya Patel|68|West|Surat|Premium|Google Ads|2/25/2022|25|Monthly|Credit Card|2,655|2|0|38.60|4.6|10/10/2022||Active|Collaboration</v>
      </c>
      <c r="W1076" s="13">
        <f t="shared" si="3"/>
        <v>1</v>
      </c>
      <c r="X1076" s="13">
        <f>IFERROR(__xludf.DUMMYFUNCTION("COUNTUNIQUE(FILTER($B$2:$B$1826,$A$2:$A$1826=A1076))"),3.0)</f>
        <v>3</v>
      </c>
    </row>
    <row r="1077">
      <c r="A1077" s="13" t="s">
        <v>638</v>
      </c>
      <c r="B1077" s="13" t="s">
        <v>172</v>
      </c>
      <c r="C1077" s="14">
        <v>52.0</v>
      </c>
      <c r="D1077" s="13" t="s">
        <v>35</v>
      </c>
      <c r="E1077" s="13" t="s">
        <v>140</v>
      </c>
      <c r="F1077" s="13" t="s">
        <v>37</v>
      </c>
      <c r="G1077" s="13" t="s">
        <v>39</v>
      </c>
      <c r="H1077" s="16">
        <v>45455.0</v>
      </c>
      <c r="I1077" s="14">
        <v>37.0</v>
      </c>
      <c r="J1077" s="13" t="s">
        <v>53</v>
      </c>
      <c r="K1077" s="13" t="s">
        <v>65</v>
      </c>
      <c r="L1077" s="14">
        <v>1495.0</v>
      </c>
      <c r="M1077" s="18" t="s">
        <v>46</v>
      </c>
      <c r="N1077" s="18" t="s">
        <v>98</v>
      </c>
      <c r="O1077" s="18">
        <v>25.1</v>
      </c>
      <c r="P1077" s="18" t="s">
        <v>76</v>
      </c>
      <c r="Q1077" s="16">
        <v>45757.0</v>
      </c>
      <c r="R1077" s="16" t="s">
        <v>38</v>
      </c>
      <c r="S1077" s="13" t="s">
        <v>55</v>
      </c>
      <c r="T1077" s="13" t="s">
        <v>104</v>
      </c>
      <c r="U1077" s="13">
        <f t="shared" si="1"/>
        <v>3</v>
      </c>
      <c r="V1077" s="13" t="str">
        <f t="shared" si="2"/>
        <v>C00729|Meera Singh|52|North|Lucknow|Standard|Instagram|6/12/2024|37|Quarterly|Credit Card|1,495|0|1|25.10|4.4|4/10/2025||Active|Analytics</v>
      </c>
      <c r="W1077" s="13">
        <f t="shared" si="3"/>
        <v>1</v>
      </c>
      <c r="X1077" s="13">
        <f>IFERROR(__xludf.DUMMYFUNCTION("COUNTUNIQUE(FILTER($B$2:$B$1826,$A$2:$A$1826=A1077))"),3.0)</f>
        <v>3</v>
      </c>
    </row>
    <row r="1078">
      <c r="A1078" s="13" t="s">
        <v>1664</v>
      </c>
      <c r="B1078" s="13" t="s">
        <v>145</v>
      </c>
      <c r="C1078" s="14">
        <v>45.0</v>
      </c>
      <c r="D1078" s="13" t="s">
        <v>69</v>
      </c>
      <c r="E1078" s="13" t="s">
        <v>38</v>
      </c>
      <c r="F1078" s="13" t="s">
        <v>79</v>
      </c>
      <c r="G1078" s="13" t="s">
        <v>63</v>
      </c>
      <c r="H1078" s="16">
        <v>45642.0</v>
      </c>
      <c r="I1078" s="14">
        <v>29.0</v>
      </c>
      <c r="J1078" s="13" t="s">
        <v>40</v>
      </c>
      <c r="K1078" s="13" t="s">
        <v>41</v>
      </c>
      <c r="L1078" s="14">
        <v>2485.0</v>
      </c>
      <c r="M1078" s="18" t="s">
        <v>164</v>
      </c>
      <c r="N1078" s="18" t="s">
        <v>43</v>
      </c>
      <c r="O1078" s="18">
        <v>37.4</v>
      </c>
      <c r="P1078" s="18" t="s">
        <v>89</v>
      </c>
      <c r="Q1078" s="16">
        <v>46140.0</v>
      </c>
      <c r="R1078" s="16" t="s">
        <v>1383</v>
      </c>
      <c r="S1078" s="13" t="s">
        <v>45</v>
      </c>
      <c r="T1078" s="13" t="s">
        <v>47</v>
      </c>
      <c r="U1078" s="13">
        <f t="shared" si="1"/>
        <v>1</v>
      </c>
      <c r="V1078" s="13" t="str">
        <f t="shared" si="2"/>
        <v>C00238|Ravi Patel|45|South||Premium|Google Ads|12/16/2024|29|Monthly|Upi|2,485|3|2|37.40|3.3|4/28/2026|29/11/2026|Churned|Cloud Storage</v>
      </c>
      <c r="W1078" s="13">
        <f t="shared" si="3"/>
        <v>1</v>
      </c>
      <c r="X1078" s="13">
        <f>IFERROR(__xludf.DUMMYFUNCTION("COUNTUNIQUE(FILTER($B$2:$B$1826,$A$2:$A$1826=A1078))"),1.0)</f>
        <v>1</v>
      </c>
    </row>
    <row r="1079">
      <c r="A1079" s="13" t="s">
        <v>1665</v>
      </c>
      <c r="B1079" s="13" t="s">
        <v>167</v>
      </c>
      <c r="C1079" s="14">
        <v>55.0</v>
      </c>
      <c r="D1079" s="13" t="s">
        <v>60</v>
      </c>
      <c r="E1079" s="13" t="s">
        <v>61</v>
      </c>
      <c r="F1079" s="13" t="s">
        <v>62</v>
      </c>
      <c r="G1079" s="13" t="s">
        <v>52</v>
      </c>
      <c r="H1079" s="16">
        <v>45320.0</v>
      </c>
      <c r="I1079" s="14">
        <v>29.0</v>
      </c>
      <c r="J1079" s="13" t="s">
        <v>64</v>
      </c>
      <c r="K1079" s="13" t="s">
        <v>81</v>
      </c>
      <c r="L1079" s="14">
        <v>508.0</v>
      </c>
      <c r="M1079" s="18" t="s">
        <v>43</v>
      </c>
      <c r="N1079" s="18" t="s">
        <v>46</v>
      </c>
      <c r="O1079" s="18">
        <v>18.9</v>
      </c>
      <c r="P1079" s="18" t="s">
        <v>130</v>
      </c>
      <c r="Q1079" s="16">
        <v>45378.0</v>
      </c>
      <c r="R1079" s="16" t="s">
        <v>38</v>
      </c>
      <c r="S1079" s="13" t="s">
        <v>55</v>
      </c>
      <c r="T1079" s="13" t="s">
        <v>104</v>
      </c>
      <c r="U1079" s="13">
        <f t="shared" si="1"/>
        <v>2</v>
      </c>
      <c r="V1079" s="13" t="str">
        <f t="shared" si="2"/>
        <v>C01322|Ravi Reddy|55|East|Kolkata|Basic|Facebook|1/29/2024|29|Annual|Debit Card|508|2|0|18.90|3.9|3/27/2024||Active|Analytics</v>
      </c>
      <c r="W1079" s="13">
        <f t="shared" si="3"/>
        <v>1</v>
      </c>
      <c r="X1079" s="13">
        <f>IFERROR(__xludf.DUMMYFUNCTION("COUNTUNIQUE(FILTER($B$2:$B$1826,$A$2:$A$1826=A1079))"),2.0)</f>
        <v>2</v>
      </c>
    </row>
    <row r="1080">
      <c r="A1080" s="13" t="s">
        <v>1666</v>
      </c>
      <c r="B1080" s="13" t="s">
        <v>34</v>
      </c>
      <c r="C1080" s="14">
        <v>68.0</v>
      </c>
      <c r="D1080" s="13" t="s">
        <v>60</v>
      </c>
      <c r="E1080" s="13" t="s">
        <v>97</v>
      </c>
      <c r="F1080" s="13" t="s">
        <v>79</v>
      </c>
      <c r="G1080" s="13" t="s">
        <v>52</v>
      </c>
      <c r="H1080" s="16">
        <v>45489.0</v>
      </c>
      <c r="I1080" s="14">
        <v>17.0</v>
      </c>
      <c r="J1080" s="13" t="s">
        <v>64</v>
      </c>
      <c r="K1080" s="13" t="s">
        <v>65</v>
      </c>
      <c r="L1080" s="14">
        <v>3547.0</v>
      </c>
      <c r="M1080" s="18" t="s">
        <v>164</v>
      </c>
      <c r="N1080" s="18" t="s">
        <v>164</v>
      </c>
      <c r="O1080" s="18">
        <v>29.7</v>
      </c>
      <c r="P1080" s="18" t="s">
        <v>275</v>
      </c>
      <c r="Q1080" s="16">
        <v>45929.0</v>
      </c>
      <c r="R1080" s="16" t="s">
        <v>38</v>
      </c>
      <c r="S1080" s="13" t="s">
        <v>55</v>
      </c>
      <c r="T1080" s="13" t="s">
        <v>66</v>
      </c>
      <c r="U1080" s="13">
        <f t="shared" si="1"/>
        <v>2</v>
      </c>
      <c r="V1080" s="13" t="str">
        <f t="shared" si="2"/>
        <v>C00593|Meera Das|68|East|Bhubaneswar|Premium|Facebook|7/16/2024|17|Annual|Credit Card|3,547|3|3|29.70|4.3|9/29/2025||Active|Automation</v>
      </c>
      <c r="W1080" s="13">
        <f t="shared" si="3"/>
        <v>1</v>
      </c>
      <c r="X1080" s="13">
        <f>IFERROR(__xludf.DUMMYFUNCTION("COUNTUNIQUE(FILTER($B$2:$B$1826,$A$2:$A$1826=A1080))"),2.0)</f>
        <v>2</v>
      </c>
    </row>
    <row r="1081">
      <c r="A1081" s="13" t="s">
        <v>1667</v>
      </c>
      <c r="B1081" s="13" t="s">
        <v>91</v>
      </c>
      <c r="C1081" s="14">
        <v>37.0</v>
      </c>
      <c r="D1081" s="13" t="s">
        <v>85</v>
      </c>
      <c r="E1081" s="13" t="s">
        <v>292</v>
      </c>
      <c r="F1081" s="13" t="s">
        <v>79</v>
      </c>
      <c r="G1081" s="13" t="s">
        <v>210</v>
      </c>
      <c r="H1081" s="16">
        <v>44859.0</v>
      </c>
      <c r="I1081" s="14">
        <v>35.0</v>
      </c>
      <c r="J1081" s="13" t="s">
        <v>40</v>
      </c>
      <c r="K1081" s="13" t="s">
        <v>81</v>
      </c>
      <c r="L1081" s="14">
        <v>3303.0</v>
      </c>
      <c r="M1081" s="18" t="s">
        <v>46</v>
      </c>
      <c r="N1081" s="18" t="s">
        <v>46</v>
      </c>
      <c r="O1081" s="18">
        <v>30.6</v>
      </c>
      <c r="P1081" s="18" t="s">
        <v>449</v>
      </c>
      <c r="Q1081" s="16">
        <v>45377.0</v>
      </c>
      <c r="R1081" s="16" t="s">
        <v>1668</v>
      </c>
      <c r="S1081" s="13" t="s">
        <v>45</v>
      </c>
      <c r="T1081" s="13" t="s">
        <v>72</v>
      </c>
      <c r="U1081" s="13">
        <f t="shared" si="1"/>
        <v>1</v>
      </c>
      <c r="V1081" s="13" t="str">
        <f t="shared" si="2"/>
        <v>C01315|Anita Sharma|37|West|Mumbai|Premium|Referral|10/25/2022|35|Monthly|Debit Card|3,303|0|0|30.60|2.7|3/26/2024|20/09/2023|Churned|Collaboration</v>
      </c>
      <c r="W1081" s="13">
        <f t="shared" si="3"/>
        <v>1</v>
      </c>
      <c r="X1081" s="13">
        <f>IFERROR(__xludf.DUMMYFUNCTION("COUNTUNIQUE(FILTER($B$2:$B$1826,$A$2:$A$1826=A1081))"),1.0)</f>
        <v>1</v>
      </c>
    </row>
    <row r="1082">
      <c r="A1082" s="13" t="s">
        <v>1669</v>
      </c>
      <c r="B1082" s="13" t="s">
        <v>308</v>
      </c>
      <c r="C1082" s="14">
        <v>45.0</v>
      </c>
      <c r="D1082" s="13" t="s">
        <v>69</v>
      </c>
      <c r="E1082" s="13" t="s">
        <v>187</v>
      </c>
      <c r="F1082" s="13" t="s">
        <v>79</v>
      </c>
      <c r="G1082" s="13" t="s">
        <v>63</v>
      </c>
      <c r="H1082" s="16">
        <v>44940.0</v>
      </c>
      <c r="I1082" s="14">
        <v>15.0</v>
      </c>
      <c r="J1082" s="13" t="s">
        <v>64</v>
      </c>
      <c r="K1082" s="13" t="s">
        <v>81</v>
      </c>
      <c r="L1082" s="14">
        <v>3983.0</v>
      </c>
      <c r="M1082" s="18" t="s">
        <v>98</v>
      </c>
      <c r="N1082" s="18" t="s">
        <v>43</v>
      </c>
      <c r="O1082" s="18">
        <v>36.2</v>
      </c>
      <c r="P1082" s="18" t="s">
        <v>108</v>
      </c>
      <c r="Q1082" s="16">
        <v>45170.0</v>
      </c>
      <c r="R1082" s="16" t="s">
        <v>38</v>
      </c>
      <c r="S1082" s="13" t="s">
        <v>55</v>
      </c>
      <c r="T1082" s="13" t="s">
        <v>104</v>
      </c>
      <c r="U1082" s="13">
        <f t="shared" si="1"/>
        <v>1</v>
      </c>
      <c r="V1082" s="13" t="str">
        <f t="shared" si="2"/>
        <v>C01167|Karan Kumar|45|South|Chennai|Premium|Google Ads|1/14/2023|15|Annual|Debit Card|3,983|1|2|36.20|2.4|9/1/2023||Active|Analytics</v>
      </c>
      <c r="W1082" s="13">
        <f t="shared" si="3"/>
        <v>1</v>
      </c>
      <c r="X1082" s="13">
        <f>IFERROR(__xludf.DUMMYFUNCTION("COUNTUNIQUE(FILTER($B$2:$B$1826,$A$2:$A$1826=A1082))"),1.0)</f>
        <v>1</v>
      </c>
    </row>
    <row r="1083">
      <c r="A1083" s="13" t="s">
        <v>1670</v>
      </c>
      <c r="B1083" s="13" t="s">
        <v>380</v>
      </c>
      <c r="C1083" s="14">
        <v>54.0</v>
      </c>
      <c r="D1083" s="13" t="s">
        <v>85</v>
      </c>
      <c r="E1083" s="13" t="s">
        <v>111</v>
      </c>
      <c r="F1083" s="13" t="s">
        <v>79</v>
      </c>
      <c r="G1083" s="13" t="s">
        <v>63</v>
      </c>
      <c r="H1083" s="16">
        <v>45498.0</v>
      </c>
      <c r="I1083" s="14">
        <v>27.0</v>
      </c>
      <c r="J1083" s="13" t="s">
        <v>64</v>
      </c>
      <c r="K1083" s="13" t="s">
        <v>41</v>
      </c>
      <c r="L1083" s="14">
        <v>514.0</v>
      </c>
      <c r="M1083" s="18" t="s">
        <v>43</v>
      </c>
      <c r="N1083" s="18" t="s">
        <v>98</v>
      </c>
      <c r="O1083" s="18">
        <v>19.0</v>
      </c>
      <c r="P1083" s="18" t="s">
        <v>76</v>
      </c>
      <c r="Q1083" s="16">
        <v>45686.0</v>
      </c>
      <c r="R1083" s="16" t="s">
        <v>1671</v>
      </c>
      <c r="S1083" s="13" t="s">
        <v>45</v>
      </c>
      <c r="T1083" s="13" t="s">
        <v>66</v>
      </c>
      <c r="U1083" s="13">
        <f t="shared" si="1"/>
        <v>1</v>
      </c>
      <c r="V1083" s="13" t="str">
        <f t="shared" si="2"/>
        <v>C01143|Neha Iyer|54|West|Pune|Premium|Google Ads|7/25/2024|27|Annual|Upi|514|2|1|19.00|4.4|1/29/2025|30/09/2026|Churned|Automation</v>
      </c>
      <c r="W1083" s="13">
        <f t="shared" si="3"/>
        <v>1</v>
      </c>
      <c r="X1083" s="13">
        <f>IFERROR(__xludf.DUMMYFUNCTION("COUNTUNIQUE(FILTER($B$2:$B$1826,$A$2:$A$1826=A1083))"),1.0)</f>
        <v>1</v>
      </c>
    </row>
    <row r="1084">
      <c r="A1084" s="13" t="s">
        <v>1672</v>
      </c>
      <c r="B1084" s="13" t="s">
        <v>331</v>
      </c>
      <c r="C1084" s="14">
        <v>19.0</v>
      </c>
      <c r="D1084" s="13" t="s">
        <v>69</v>
      </c>
      <c r="E1084" s="13" t="s">
        <v>177</v>
      </c>
      <c r="F1084" s="13" t="s">
        <v>37</v>
      </c>
      <c r="G1084" s="13" t="s">
        <v>80</v>
      </c>
      <c r="H1084" s="16">
        <v>45302.0</v>
      </c>
      <c r="I1084" s="14">
        <v>42.0</v>
      </c>
      <c r="J1084" s="13" t="s">
        <v>53</v>
      </c>
      <c r="K1084" s="13" t="s">
        <v>65</v>
      </c>
      <c r="L1084" s="14">
        <v>1140.0</v>
      </c>
      <c r="M1084" s="18" t="s">
        <v>43</v>
      </c>
      <c r="N1084" s="18" t="s">
        <v>98</v>
      </c>
      <c r="O1084" s="18">
        <v>26.5</v>
      </c>
      <c r="P1084" s="18" t="s">
        <v>400</v>
      </c>
      <c r="Q1084" s="16">
        <v>46461.0</v>
      </c>
      <c r="R1084" s="16" t="s">
        <v>38</v>
      </c>
      <c r="S1084" s="13" t="s">
        <v>55</v>
      </c>
      <c r="T1084" s="13" t="s">
        <v>104</v>
      </c>
      <c r="U1084" s="13">
        <f t="shared" si="1"/>
        <v>2</v>
      </c>
      <c r="V1084" s="13" t="str">
        <f t="shared" si="2"/>
        <v>C01243|Arun Iyer|19|South|Hyderabad|Standard|Organic Search|1/11/2024|42|Quarterly|Credit Card|1,140|2|1|26.50|4.8|3/15/2027||Active|Analytics</v>
      </c>
      <c r="W1084" s="13">
        <f t="shared" si="3"/>
        <v>1</v>
      </c>
      <c r="X1084" s="13">
        <f>IFERROR(__xludf.DUMMYFUNCTION("COUNTUNIQUE(FILTER($B$2:$B$1826,$A$2:$A$1826=A1084))"),2.0)</f>
        <v>2</v>
      </c>
    </row>
    <row r="1085">
      <c r="A1085" s="13" t="s">
        <v>549</v>
      </c>
      <c r="B1085" s="13" t="s">
        <v>222</v>
      </c>
      <c r="C1085" s="14">
        <v>24.0</v>
      </c>
      <c r="D1085" s="13" t="s">
        <v>85</v>
      </c>
      <c r="E1085" s="13" t="s">
        <v>92</v>
      </c>
      <c r="F1085" s="13" t="s">
        <v>37</v>
      </c>
      <c r="G1085" s="13" t="s">
        <v>128</v>
      </c>
      <c r="H1085" s="16">
        <v>44863.0</v>
      </c>
      <c r="I1085" s="14">
        <v>26.0</v>
      </c>
      <c r="J1085" s="13" t="s">
        <v>64</v>
      </c>
      <c r="K1085" s="13" t="s">
        <v>65</v>
      </c>
      <c r="L1085" s="14">
        <v>682.0</v>
      </c>
      <c r="M1085" s="18" t="s">
        <v>99</v>
      </c>
      <c r="N1085" s="18" t="s">
        <v>46</v>
      </c>
      <c r="O1085" s="18">
        <v>11.5</v>
      </c>
      <c r="P1085" s="18" t="s">
        <v>173</v>
      </c>
      <c r="Q1085" s="16">
        <v>45023.0</v>
      </c>
      <c r="R1085" s="16" t="s">
        <v>38</v>
      </c>
      <c r="S1085" s="13" t="s">
        <v>55</v>
      </c>
      <c r="T1085" s="13" t="s">
        <v>66</v>
      </c>
      <c r="U1085" s="13">
        <f t="shared" si="1"/>
        <v>3</v>
      </c>
      <c r="V1085" s="13" t="str">
        <f t="shared" si="2"/>
        <v>C00292|Karan Iyer|24|West|Ahmedabad|Standard|Youtube|10/29/2022|26|Annual|Credit Card|682|4|0|11.50|5|4/7/2023||Active|Automation</v>
      </c>
      <c r="W1085" s="13">
        <f t="shared" si="3"/>
        <v>1</v>
      </c>
      <c r="X1085" s="13">
        <f>IFERROR(__xludf.DUMMYFUNCTION("COUNTUNIQUE(FILTER($B$2:$B$1826,$A$2:$A$1826=A1085))"),3.0)</f>
        <v>3</v>
      </c>
    </row>
    <row r="1086">
      <c r="A1086" s="13" t="s">
        <v>1673</v>
      </c>
      <c r="B1086" s="13" t="s">
        <v>636</v>
      </c>
      <c r="C1086" s="14">
        <v>55.0</v>
      </c>
      <c r="D1086" s="13" t="s">
        <v>60</v>
      </c>
      <c r="E1086" s="13" t="s">
        <v>133</v>
      </c>
      <c r="F1086" s="13" t="s">
        <v>37</v>
      </c>
      <c r="G1086" s="13" t="s">
        <v>128</v>
      </c>
      <c r="H1086" s="16">
        <v>45005.0</v>
      </c>
      <c r="I1086" s="14">
        <v>1.0</v>
      </c>
      <c r="J1086" s="13" t="s">
        <v>53</v>
      </c>
      <c r="K1086" s="13" t="s">
        <v>41</v>
      </c>
      <c r="L1086" s="14">
        <v>1099.0</v>
      </c>
      <c r="M1086" s="18" t="s">
        <v>98</v>
      </c>
      <c r="N1086" s="18" t="s">
        <v>98</v>
      </c>
      <c r="O1086" s="18">
        <v>37.6</v>
      </c>
      <c r="P1086" s="18" t="s">
        <v>116</v>
      </c>
      <c r="Q1086" s="16">
        <v>45024.0</v>
      </c>
      <c r="R1086" s="16" t="s">
        <v>38</v>
      </c>
      <c r="S1086" s="13" t="s">
        <v>55</v>
      </c>
      <c r="T1086" s="13" t="s">
        <v>72</v>
      </c>
      <c r="U1086" s="13">
        <f t="shared" si="1"/>
        <v>1</v>
      </c>
      <c r="V1086" s="13" t="str">
        <f t="shared" si="2"/>
        <v>C00775|Neha Reddy|55|East|Guwahati|Standard|Youtube|3/20/2023|1|Quarterly|Upi|1,099|1|1|37.60|3.4|4/8/2023||Active|Collaboration</v>
      </c>
      <c r="W1086" s="13">
        <f t="shared" si="3"/>
        <v>1</v>
      </c>
      <c r="X1086" s="13">
        <f>IFERROR(__xludf.DUMMYFUNCTION("COUNTUNIQUE(FILTER($B$2:$B$1826,$A$2:$A$1826=A1086))"),1.0)</f>
        <v>1</v>
      </c>
    </row>
    <row r="1087">
      <c r="A1087" s="13" t="s">
        <v>1199</v>
      </c>
      <c r="B1087" s="13" t="s">
        <v>383</v>
      </c>
      <c r="C1087" s="14">
        <v>67.0</v>
      </c>
      <c r="D1087" s="13" t="s">
        <v>60</v>
      </c>
      <c r="E1087" s="13" t="s">
        <v>133</v>
      </c>
      <c r="F1087" s="13" t="s">
        <v>37</v>
      </c>
      <c r="G1087" s="13" t="s">
        <v>39</v>
      </c>
      <c r="H1087" s="16">
        <v>45765.0</v>
      </c>
      <c r="I1087" s="14">
        <v>20.0</v>
      </c>
      <c r="J1087" s="13" t="s">
        <v>40</v>
      </c>
      <c r="K1087" s="13" t="s">
        <v>41</v>
      </c>
      <c r="L1087" s="14">
        <v>1640.0</v>
      </c>
      <c r="M1087" s="18" t="s">
        <v>46</v>
      </c>
      <c r="N1087" s="18" t="s">
        <v>98</v>
      </c>
      <c r="O1087" s="18">
        <v>17.7</v>
      </c>
      <c r="P1087" s="18" t="s">
        <v>275</v>
      </c>
      <c r="Q1087" s="16">
        <v>45816.0</v>
      </c>
      <c r="R1087" s="16" t="s">
        <v>1674</v>
      </c>
      <c r="S1087" s="13" t="s">
        <v>45</v>
      </c>
      <c r="T1087" s="13" t="s">
        <v>104</v>
      </c>
      <c r="U1087" s="13">
        <f t="shared" si="1"/>
        <v>3</v>
      </c>
      <c r="V1087" s="13" t="str">
        <f t="shared" si="2"/>
        <v>C00394|Rahul Nair|67|East|Guwahati|Standard|Instagram|4/18/2025|20|Monthly|Upi|1,640|0|1|17.70|4.3|6/8/2025|17/06/2025|Churned|Analytics</v>
      </c>
      <c r="W1087" s="13">
        <f t="shared" si="3"/>
        <v>1</v>
      </c>
      <c r="X1087" s="13">
        <f>IFERROR(__xludf.DUMMYFUNCTION("COUNTUNIQUE(FILTER($B$2:$B$1826,$A$2:$A$1826=A1087))"),3.0)</f>
        <v>3</v>
      </c>
    </row>
    <row r="1088">
      <c r="A1088" s="13" t="s">
        <v>1310</v>
      </c>
      <c r="B1088" s="13" t="s">
        <v>325</v>
      </c>
      <c r="C1088" s="14">
        <v>61.0</v>
      </c>
      <c r="D1088" s="13" t="s">
        <v>85</v>
      </c>
      <c r="E1088" s="13" t="s">
        <v>87</v>
      </c>
      <c r="F1088" s="13" t="s">
        <v>79</v>
      </c>
      <c r="G1088" s="13" t="s">
        <v>120</v>
      </c>
      <c r="H1088" s="16">
        <v>44690.0</v>
      </c>
      <c r="I1088" s="14">
        <v>4.0</v>
      </c>
      <c r="J1088" s="13" t="s">
        <v>40</v>
      </c>
      <c r="K1088" s="13" t="s">
        <v>81</v>
      </c>
      <c r="L1088" s="14">
        <v>3030.0</v>
      </c>
      <c r="M1088" s="18" t="s">
        <v>164</v>
      </c>
      <c r="N1088" s="18" t="s">
        <v>46</v>
      </c>
      <c r="O1088" s="18">
        <v>43.5</v>
      </c>
      <c r="P1088" s="18" t="s">
        <v>89</v>
      </c>
      <c r="Q1088" s="16">
        <v>44751.0</v>
      </c>
      <c r="R1088" s="16" t="s">
        <v>38</v>
      </c>
      <c r="S1088" s="13" t="s">
        <v>55</v>
      </c>
      <c r="T1088" s="13" t="s">
        <v>72</v>
      </c>
      <c r="U1088" s="13">
        <f t="shared" si="1"/>
        <v>2</v>
      </c>
      <c r="V1088" s="13" t="str">
        <f t="shared" si="2"/>
        <v>C01368|Priya Sharma|61|West|Surat|Premium|Email|5/9/2022|4|Monthly|Debit Card|3,030|3|0|43.50|3.3|7/9/2022||Active|Collaboration</v>
      </c>
      <c r="W1088" s="13">
        <f t="shared" si="3"/>
        <v>1</v>
      </c>
      <c r="X1088" s="13">
        <f>IFERROR(__xludf.DUMMYFUNCTION("COUNTUNIQUE(FILTER($B$2:$B$1826,$A$2:$A$1826=A1088))"),2.0)</f>
        <v>2</v>
      </c>
    </row>
    <row r="1089">
      <c r="A1089" s="13" t="s">
        <v>1155</v>
      </c>
      <c r="B1089" s="13" t="s">
        <v>74</v>
      </c>
      <c r="C1089" s="14">
        <v>48.0</v>
      </c>
      <c r="D1089" s="13" t="s">
        <v>35</v>
      </c>
      <c r="E1089" s="13" t="s">
        <v>36</v>
      </c>
      <c r="F1089" s="13" t="s">
        <v>62</v>
      </c>
      <c r="G1089" s="13" t="s">
        <v>63</v>
      </c>
      <c r="H1089" s="16">
        <v>45815.0</v>
      </c>
      <c r="I1089" s="14">
        <v>42.0</v>
      </c>
      <c r="J1089" s="13" t="s">
        <v>53</v>
      </c>
      <c r="K1089" s="13" t="s">
        <v>41</v>
      </c>
      <c r="L1089" s="14">
        <v>649.0</v>
      </c>
      <c r="M1089" s="18" t="s">
        <v>46</v>
      </c>
      <c r="N1089" s="18" t="s">
        <v>98</v>
      </c>
      <c r="O1089" s="18">
        <v>14.5</v>
      </c>
      <c r="P1089" s="18" t="s">
        <v>173</v>
      </c>
      <c r="Q1089" s="16">
        <v>45974.0</v>
      </c>
      <c r="R1089" s="16" t="s">
        <v>38</v>
      </c>
      <c r="S1089" s="13" t="s">
        <v>55</v>
      </c>
      <c r="T1089" s="13" t="s">
        <v>66</v>
      </c>
      <c r="U1089" s="13">
        <f t="shared" si="1"/>
        <v>3</v>
      </c>
      <c r="V1089" s="13" t="str">
        <f t="shared" si="2"/>
        <v>C00053|Anita Kumar|48|North|Delhi|Basic|Google Ads|6/7/2025|42|Quarterly|Upi|649|0|1|14.50|5|11/13/2025||Active|Automation</v>
      </c>
      <c r="W1089" s="13">
        <f t="shared" si="3"/>
        <v>1</v>
      </c>
      <c r="X1089" s="13">
        <f>IFERROR(__xludf.DUMMYFUNCTION("COUNTUNIQUE(FILTER($B$2:$B$1826,$A$2:$A$1826=A1089))"),3.0)</f>
        <v>3</v>
      </c>
    </row>
    <row r="1090">
      <c r="A1090" s="13" t="s">
        <v>1676</v>
      </c>
      <c r="B1090" s="13" t="s">
        <v>110</v>
      </c>
      <c r="C1090" s="14">
        <v>57.0</v>
      </c>
      <c r="D1090" s="13" t="s">
        <v>85</v>
      </c>
      <c r="E1090" s="13" t="s">
        <v>87</v>
      </c>
      <c r="F1090" s="13" t="s">
        <v>37</v>
      </c>
      <c r="G1090" s="13" t="s">
        <v>63</v>
      </c>
      <c r="H1090" s="16">
        <v>45316.0</v>
      </c>
      <c r="I1090" s="14">
        <v>15.0</v>
      </c>
      <c r="J1090" s="13" t="s">
        <v>53</v>
      </c>
      <c r="K1090" s="13" t="s">
        <v>65</v>
      </c>
      <c r="L1090" s="14">
        <v>1016.0</v>
      </c>
      <c r="M1090" s="18" t="s">
        <v>99</v>
      </c>
      <c r="N1090" s="18" t="s">
        <v>46</v>
      </c>
      <c r="O1090" s="18">
        <v>26.9</v>
      </c>
      <c r="P1090" s="18" t="s">
        <v>48</v>
      </c>
      <c r="Q1090" s="16">
        <v>45579.0</v>
      </c>
      <c r="R1090" s="16" t="s">
        <v>38</v>
      </c>
      <c r="S1090" s="13" t="s">
        <v>55</v>
      </c>
      <c r="T1090" s="13" t="s">
        <v>47</v>
      </c>
      <c r="U1090" s="13">
        <f t="shared" si="1"/>
        <v>1</v>
      </c>
      <c r="V1090" s="13" t="str">
        <f t="shared" si="2"/>
        <v>C00402|Sneha Nair|57|West|Surat|Standard|Google Ads|1/25/2024|15|Quarterly|Credit Card|1,016|4|0|26.90|3.6|10/14/2024||Active|Cloud Storage</v>
      </c>
      <c r="W1090" s="13">
        <f t="shared" si="3"/>
        <v>1</v>
      </c>
      <c r="X1090" s="13">
        <f>IFERROR(__xludf.DUMMYFUNCTION("COUNTUNIQUE(FILTER($B$2:$B$1826,$A$2:$A$1826=A1090))"),1.0)</f>
        <v>1</v>
      </c>
    </row>
    <row r="1091">
      <c r="A1091" s="13" t="s">
        <v>1509</v>
      </c>
      <c r="B1091" s="13" t="s">
        <v>639</v>
      </c>
      <c r="C1091" s="14">
        <v>65.0</v>
      </c>
      <c r="D1091" s="13" t="s">
        <v>85</v>
      </c>
      <c r="E1091" s="13" t="s">
        <v>111</v>
      </c>
      <c r="F1091" s="13" t="s">
        <v>37</v>
      </c>
      <c r="G1091" s="13" t="s">
        <v>128</v>
      </c>
      <c r="H1091" s="16">
        <v>45405.0</v>
      </c>
      <c r="I1091" s="14">
        <v>43.0</v>
      </c>
      <c r="J1091" s="13" t="s">
        <v>64</v>
      </c>
      <c r="K1091" s="13" t="s">
        <v>81</v>
      </c>
      <c r="L1091" s="14">
        <v>1351.0</v>
      </c>
      <c r="M1091" s="18" t="s">
        <v>164</v>
      </c>
      <c r="N1091" s="18" t="s">
        <v>98</v>
      </c>
      <c r="O1091" s="18">
        <v>50.2</v>
      </c>
      <c r="P1091" s="18" t="s">
        <v>701</v>
      </c>
      <c r="Q1091" s="16">
        <v>46552.0</v>
      </c>
      <c r="R1091" s="16" t="s">
        <v>38</v>
      </c>
      <c r="S1091" s="13" t="s">
        <v>55</v>
      </c>
      <c r="T1091" s="13" t="s">
        <v>75</v>
      </c>
      <c r="U1091" s="13">
        <f t="shared" si="1"/>
        <v>2</v>
      </c>
      <c r="V1091" s="13" t="str">
        <f t="shared" si="2"/>
        <v>C00120|Priya Nair|65|West|Pune|Standard|Youtube|4/23/2024|43|Annual|Debit Card|1,351|3|1|50.20|2.8|6/14/2027||Active|Security</v>
      </c>
      <c r="W1091" s="13">
        <f t="shared" si="3"/>
        <v>1</v>
      </c>
      <c r="X1091" s="13">
        <f>IFERROR(__xludf.DUMMYFUNCTION("COUNTUNIQUE(FILTER($B$2:$B$1826,$A$2:$A$1826=A1091))"),2.0)</f>
        <v>2</v>
      </c>
    </row>
    <row r="1092">
      <c r="A1092" s="13" t="s">
        <v>1619</v>
      </c>
      <c r="B1092" s="13" t="s">
        <v>362</v>
      </c>
      <c r="C1092" s="14">
        <v>48.0</v>
      </c>
      <c r="D1092" s="13" t="s">
        <v>69</v>
      </c>
      <c r="E1092" s="13" t="s">
        <v>70</v>
      </c>
      <c r="F1092" s="13" t="s">
        <v>37</v>
      </c>
      <c r="G1092" s="13" t="s">
        <v>210</v>
      </c>
      <c r="H1092" s="16">
        <v>44608.0</v>
      </c>
      <c r="I1092" s="14">
        <v>26.0</v>
      </c>
      <c r="J1092" s="13" t="s">
        <v>40</v>
      </c>
      <c r="K1092" s="13" t="s">
        <v>41</v>
      </c>
      <c r="L1092" s="14">
        <v>1545.0</v>
      </c>
      <c r="M1092" s="18" t="s">
        <v>43</v>
      </c>
      <c r="N1092" s="18" t="s">
        <v>98</v>
      </c>
      <c r="O1092" s="18">
        <v>11.4</v>
      </c>
      <c r="P1092" s="18" t="s">
        <v>233</v>
      </c>
      <c r="Q1092" s="16">
        <v>44686.0</v>
      </c>
      <c r="R1092" s="16">
        <v>44630.0</v>
      </c>
      <c r="S1092" s="13" t="s">
        <v>45</v>
      </c>
      <c r="T1092" s="13" t="s">
        <v>47</v>
      </c>
      <c r="U1092" s="13">
        <f t="shared" si="1"/>
        <v>2</v>
      </c>
      <c r="V1092" s="13" t="str">
        <f t="shared" si="2"/>
        <v>C00098|Neha Singh|48|South|Bengaluru|Standard|Referral|2/16/2022|26|Monthly|Upi|1,545|2|1|11.40|3.5|5/5/2022|3/10/2022|Churned|Cloud Storage</v>
      </c>
      <c r="W1092" s="13">
        <f t="shared" si="3"/>
        <v>1</v>
      </c>
      <c r="X1092" s="13">
        <f>IFERROR(__xludf.DUMMYFUNCTION("COUNTUNIQUE(FILTER($B$2:$B$1826,$A$2:$A$1826=A1092))"),2.0)</f>
        <v>2</v>
      </c>
    </row>
    <row r="1093">
      <c r="A1093" s="13" t="s">
        <v>1678</v>
      </c>
      <c r="B1093" s="13" t="s">
        <v>288</v>
      </c>
      <c r="C1093" s="14">
        <v>99.0</v>
      </c>
      <c r="D1093" s="13" t="s">
        <v>60</v>
      </c>
      <c r="E1093" s="13" t="s">
        <v>97</v>
      </c>
      <c r="F1093" s="13" t="s">
        <v>62</v>
      </c>
      <c r="G1093" s="13" t="s">
        <v>120</v>
      </c>
      <c r="H1093" s="16">
        <v>44784.0</v>
      </c>
      <c r="I1093" s="14">
        <v>30.0</v>
      </c>
      <c r="J1093" s="13" t="s">
        <v>64</v>
      </c>
      <c r="K1093" s="13" t="s">
        <v>41</v>
      </c>
      <c r="L1093" s="14">
        <v>539.0</v>
      </c>
      <c r="M1093" s="18" t="s">
        <v>43</v>
      </c>
      <c r="N1093" s="18" t="s">
        <v>98</v>
      </c>
      <c r="O1093" s="18">
        <v>25.3</v>
      </c>
      <c r="P1093" s="18" t="s">
        <v>408</v>
      </c>
      <c r="Q1093" s="16">
        <v>45003.0</v>
      </c>
      <c r="R1093" s="16" t="s">
        <v>38</v>
      </c>
      <c r="S1093" s="13" t="s">
        <v>55</v>
      </c>
      <c r="T1093" s="13" t="s">
        <v>104</v>
      </c>
      <c r="U1093" s="13">
        <f t="shared" si="1"/>
        <v>1</v>
      </c>
      <c r="V1093" s="13" t="str">
        <f t="shared" si="2"/>
        <v>C00644|Rahul Sharma|99|East|Bhubaneswar|Basic|Email|8/11/2022|30|Annual|Upi|539|2|1|25.30|4.2|3/18/2023||Active|Analytics</v>
      </c>
      <c r="W1093" s="13">
        <f t="shared" si="3"/>
        <v>1</v>
      </c>
      <c r="X1093" s="13">
        <f>IFERROR(__xludf.DUMMYFUNCTION("COUNTUNIQUE(FILTER($B$2:$B$1826,$A$2:$A$1826=A1093))"),1.0)</f>
        <v>1</v>
      </c>
    </row>
    <row r="1094">
      <c r="A1094" s="13" t="s">
        <v>422</v>
      </c>
      <c r="B1094" s="13" t="s">
        <v>633</v>
      </c>
      <c r="C1094" s="14">
        <v>26.0</v>
      </c>
      <c r="D1094" s="13" t="s">
        <v>35</v>
      </c>
      <c r="E1094" s="13" t="s">
        <v>51</v>
      </c>
      <c r="F1094" s="13" t="s">
        <v>37</v>
      </c>
      <c r="G1094" s="13" t="s">
        <v>39</v>
      </c>
      <c r="H1094" s="16">
        <v>45613.0</v>
      </c>
      <c r="I1094" s="14">
        <v>43.0</v>
      </c>
      <c r="J1094" s="13" t="s">
        <v>40</v>
      </c>
      <c r="K1094" s="13" t="s">
        <v>41</v>
      </c>
      <c r="L1094" s="14">
        <v>1506.0</v>
      </c>
      <c r="M1094" s="18" t="s">
        <v>98</v>
      </c>
      <c r="N1094" s="18" t="s">
        <v>164</v>
      </c>
      <c r="O1094" s="18">
        <v>21.4</v>
      </c>
      <c r="P1094" s="18" t="s">
        <v>89</v>
      </c>
      <c r="Q1094" s="16">
        <v>46797.0</v>
      </c>
      <c r="R1094" s="16" t="s">
        <v>38</v>
      </c>
      <c r="S1094" s="13" t="s">
        <v>55</v>
      </c>
      <c r="T1094" s="13" t="s">
        <v>75</v>
      </c>
      <c r="U1094" s="13">
        <f t="shared" si="1"/>
        <v>2</v>
      </c>
      <c r="V1094" s="13" t="str">
        <f t="shared" si="2"/>
        <v>C00778|Anita Das|26|North|Jaipur|Standard|Instagram|11/17/2024|43|Monthly|Upi|1,506|1|3|21.40|3.3|2/14/2028||Active|Security</v>
      </c>
      <c r="W1094" s="13">
        <f t="shared" si="3"/>
        <v>1</v>
      </c>
      <c r="X1094" s="13">
        <f>IFERROR(__xludf.DUMMYFUNCTION("COUNTUNIQUE(FILTER($B$2:$B$1826,$A$2:$A$1826=A1094))"),2.0)</f>
        <v>2</v>
      </c>
    </row>
    <row r="1095">
      <c r="A1095" s="13" t="s">
        <v>1080</v>
      </c>
      <c r="B1095" s="13" t="s">
        <v>651</v>
      </c>
      <c r="C1095" s="14">
        <v>46.0</v>
      </c>
      <c r="D1095" s="13" t="s">
        <v>60</v>
      </c>
      <c r="E1095" s="13" t="s">
        <v>107</v>
      </c>
      <c r="F1095" s="13" t="s">
        <v>62</v>
      </c>
      <c r="G1095" s="13" t="s">
        <v>63</v>
      </c>
      <c r="H1095" s="16">
        <v>44907.0</v>
      </c>
      <c r="I1095" s="14">
        <v>38.0</v>
      </c>
      <c r="J1095" s="13" t="s">
        <v>53</v>
      </c>
      <c r="K1095" s="13" t="s">
        <v>65</v>
      </c>
      <c r="L1095" s="14">
        <v>571.0</v>
      </c>
      <c r="M1095" s="18" t="s">
        <v>99</v>
      </c>
      <c r="N1095" s="18" t="s">
        <v>46</v>
      </c>
      <c r="O1095" s="18">
        <v>16.6</v>
      </c>
      <c r="P1095" s="18" t="s">
        <v>158</v>
      </c>
      <c r="Q1095" s="16">
        <v>45962.0</v>
      </c>
      <c r="R1095" s="16" t="s">
        <v>38</v>
      </c>
      <c r="S1095" s="13" t="s">
        <v>55</v>
      </c>
      <c r="T1095" s="13" t="s">
        <v>104</v>
      </c>
      <c r="U1095" s="13">
        <f t="shared" si="1"/>
        <v>2</v>
      </c>
      <c r="V1095" s="13" t="str">
        <f t="shared" si="2"/>
        <v>C00153|Arun Sharma|46|East|Patna|Basic|Google Ads|12/12/2022|38|Quarterly|Credit Card|571|4|0|16.60|4.7|11/1/2025||Active|Analytics</v>
      </c>
      <c r="W1095" s="13">
        <f t="shared" si="3"/>
        <v>1</v>
      </c>
      <c r="X1095" s="13">
        <f>IFERROR(__xludf.DUMMYFUNCTION("COUNTUNIQUE(FILTER($B$2:$B$1826,$A$2:$A$1826=A1095))"),2.0)</f>
        <v>2</v>
      </c>
    </row>
    <row r="1096">
      <c r="A1096" s="13" t="s">
        <v>1680</v>
      </c>
      <c r="B1096" s="13" t="s">
        <v>190</v>
      </c>
      <c r="C1096" s="14">
        <v>30.0</v>
      </c>
      <c r="D1096" s="13" t="s">
        <v>85</v>
      </c>
      <c r="E1096" s="13" t="s">
        <v>111</v>
      </c>
      <c r="F1096" s="13" t="s">
        <v>37</v>
      </c>
      <c r="G1096" s="13" t="s">
        <v>128</v>
      </c>
      <c r="H1096" s="16">
        <v>44770.0</v>
      </c>
      <c r="I1096" s="14">
        <v>26.0</v>
      </c>
      <c r="J1096" s="13" t="s">
        <v>40</v>
      </c>
      <c r="K1096" s="13" t="s">
        <v>41</v>
      </c>
      <c r="L1096" s="14">
        <v>1144.0</v>
      </c>
      <c r="M1096" s="18" t="s">
        <v>164</v>
      </c>
      <c r="N1096" s="18" t="s">
        <v>43</v>
      </c>
      <c r="O1096" s="18">
        <v>44.5</v>
      </c>
      <c r="P1096" s="18" t="s">
        <v>108</v>
      </c>
      <c r="Q1096" s="16">
        <v>45254.0</v>
      </c>
      <c r="R1096" s="16" t="s">
        <v>38</v>
      </c>
      <c r="S1096" s="13" t="s">
        <v>55</v>
      </c>
      <c r="T1096" s="13" t="s">
        <v>47</v>
      </c>
      <c r="U1096" s="13">
        <f t="shared" si="1"/>
        <v>1</v>
      </c>
      <c r="V1096" s="13" t="str">
        <f t="shared" si="2"/>
        <v>C00485|Sneha Patel|30|West|Pune|Standard|Youtube|7/28/2022|26|Monthly|Upi|1,144|3|2|44.50|2.4|11/24/2023||Active|Cloud Storage</v>
      </c>
      <c r="W1096" s="13">
        <f t="shared" si="3"/>
        <v>1</v>
      </c>
      <c r="X1096" s="13">
        <f>IFERROR(__xludf.DUMMYFUNCTION("COUNTUNIQUE(FILTER($B$2:$B$1826,$A$2:$A$1826=A1096))"),1.0)</f>
        <v>1</v>
      </c>
    </row>
    <row r="1097">
      <c r="A1097" s="13" t="s">
        <v>1293</v>
      </c>
      <c r="B1097" s="13" t="s">
        <v>405</v>
      </c>
      <c r="C1097" s="14">
        <v>66.0</v>
      </c>
      <c r="D1097" s="13" t="s">
        <v>35</v>
      </c>
      <c r="E1097" s="13" t="s">
        <v>140</v>
      </c>
      <c r="F1097" s="13" t="s">
        <v>79</v>
      </c>
      <c r="G1097" s="13" t="s">
        <v>80</v>
      </c>
      <c r="H1097" s="16">
        <v>45660.0</v>
      </c>
      <c r="I1097" s="14">
        <v>12.0</v>
      </c>
      <c r="J1097" s="13" t="s">
        <v>53</v>
      </c>
      <c r="K1097" s="13" t="s">
        <v>81</v>
      </c>
      <c r="L1097" s="14">
        <v>3062.0</v>
      </c>
      <c r="M1097" s="18" t="s">
        <v>43</v>
      </c>
      <c r="N1097" s="18" t="s">
        <v>43</v>
      </c>
      <c r="O1097" s="18">
        <v>51.6</v>
      </c>
      <c r="P1097" s="18" t="s">
        <v>203</v>
      </c>
      <c r="Q1097" s="16">
        <v>45884.0</v>
      </c>
      <c r="R1097" s="16" t="s">
        <v>38</v>
      </c>
      <c r="S1097" s="13" t="s">
        <v>55</v>
      </c>
      <c r="T1097" s="13" t="s">
        <v>66</v>
      </c>
      <c r="U1097" s="13">
        <f t="shared" si="1"/>
        <v>4</v>
      </c>
      <c r="V1097" s="13" t="str">
        <f t="shared" si="2"/>
        <v>C01309|Rahul Reddy|66|North|Lucknow|Premium|Organic Search|1/3/2025|12|Quarterly|Debit Card|3,062|2|2|51.60|3.7|8/15/2025||Active|Automation</v>
      </c>
      <c r="W1097" s="13">
        <f t="shared" si="3"/>
        <v>1</v>
      </c>
      <c r="X1097" s="13">
        <f>IFERROR(__xludf.DUMMYFUNCTION("COUNTUNIQUE(FILTER($B$2:$B$1826,$A$2:$A$1826=A1097))"),4.0)</f>
        <v>4</v>
      </c>
    </row>
    <row r="1098">
      <c r="A1098" s="13" t="s">
        <v>1681</v>
      </c>
      <c r="B1098" s="13" t="s">
        <v>308</v>
      </c>
      <c r="C1098" s="14">
        <v>40.0</v>
      </c>
      <c r="D1098" s="13" t="s">
        <v>69</v>
      </c>
      <c r="E1098" s="13" t="s">
        <v>119</v>
      </c>
      <c r="F1098" s="13" t="s">
        <v>79</v>
      </c>
      <c r="G1098" s="13" t="s">
        <v>39</v>
      </c>
      <c r="H1098" s="16">
        <v>45666.0</v>
      </c>
      <c r="I1098" s="14">
        <v>16.0</v>
      </c>
      <c r="J1098" s="13" t="s">
        <v>40</v>
      </c>
      <c r="K1098" s="13" t="s">
        <v>81</v>
      </c>
      <c r="L1098" s="14">
        <v>3112.0</v>
      </c>
      <c r="M1098" s="18" t="s">
        <v>98</v>
      </c>
      <c r="N1098" s="18" t="s">
        <v>98</v>
      </c>
      <c r="O1098" s="18">
        <v>45.8</v>
      </c>
      <c r="P1098" s="18" t="s">
        <v>263</v>
      </c>
      <c r="Q1098" s="16">
        <v>46024.0</v>
      </c>
      <c r="R1098" s="16" t="s">
        <v>1682</v>
      </c>
      <c r="S1098" s="13" t="s">
        <v>45</v>
      </c>
      <c r="T1098" s="13" t="s">
        <v>75</v>
      </c>
      <c r="U1098" s="13">
        <f t="shared" si="1"/>
        <v>2</v>
      </c>
      <c r="V1098" s="13" t="str">
        <f t="shared" si="2"/>
        <v>C00897|Karan Kumar|40|South|Kochi|Premium|Instagram|1/9/2025|16|Monthly|Debit Card|3,112|1|1|45.80|2.9|1/2/2026|21/07/2025|Churned|Security</v>
      </c>
      <c r="W1098" s="13">
        <f t="shared" si="3"/>
        <v>1</v>
      </c>
      <c r="X1098" s="13">
        <f>IFERROR(__xludf.DUMMYFUNCTION("COUNTUNIQUE(FILTER($B$2:$B$1826,$A$2:$A$1826=A1098))"),2.0)</f>
        <v>2</v>
      </c>
    </row>
    <row r="1099">
      <c r="A1099" s="13" t="s">
        <v>1683</v>
      </c>
      <c r="B1099" s="13" t="s">
        <v>110</v>
      </c>
      <c r="C1099" s="14">
        <v>63.0</v>
      </c>
      <c r="D1099" s="13" t="s">
        <v>35</v>
      </c>
      <c r="E1099" s="13" t="s">
        <v>140</v>
      </c>
      <c r="F1099" s="13" t="s">
        <v>37</v>
      </c>
      <c r="G1099" s="13" t="s">
        <v>80</v>
      </c>
      <c r="H1099" s="16">
        <v>45677.0</v>
      </c>
      <c r="I1099" s="14">
        <v>47.0</v>
      </c>
      <c r="J1099" s="13" t="s">
        <v>40</v>
      </c>
      <c r="K1099" s="13" t="s">
        <v>65</v>
      </c>
      <c r="L1099" s="14">
        <v>1696.0</v>
      </c>
      <c r="M1099" s="18" t="s">
        <v>43</v>
      </c>
      <c r="N1099" s="18" t="s">
        <v>46</v>
      </c>
      <c r="O1099" s="18">
        <v>21.0</v>
      </c>
      <c r="P1099" s="18" t="s">
        <v>99</v>
      </c>
      <c r="Q1099" s="16">
        <v>45930.0</v>
      </c>
      <c r="R1099" s="16" t="s">
        <v>38</v>
      </c>
      <c r="S1099" s="13" t="s">
        <v>55</v>
      </c>
      <c r="T1099" s="13" t="s">
        <v>75</v>
      </c>
      <c r="U1099" s="13">
        <f t="shared" si="1"/>
        <v>1</v>
      </c>
      <c r="V1099" s="13" t="str">
        <f t="shared" si="2"/>
        <v>C01514|Sneha Nair|63|North|Lucknow|Standard|Organic Search|1/20/2025|47|Monthly|Credit Card|1,696|2|0|21.00|4|9/30/2025||Active|Security</v>
      </c>
      <c r="W1099" s="13">
        <f t="shared" si="3"/>
        <v>1</v>
      </c>
      <c r="X1099" s="13">
        <f>IFERROR(__xludf.DUMMYFUNCTION("COUNTUNIQUE(FILTER($B$2:$B$1826,$A$2:$A$1826=A1099))"),1.0)</f>
        <v>1</v>
      </c>
    </row>
    <row r="1100">
      <c r="A1100" s="13" t="s">
        <v>350</v>
      </c>
      <c r="B1100" s="13" t="s">
        <v>160</v>
      </c>
      <c r="C1100" s="14">
        <v>59.0</v>
      </c>
      <c r="D1100" s="13" t="s">
        <v>85</v>
      </c>
      <c r="E1100" s="13" t="s">
        <v>111</v>
      </c>
      <c r="F1100" s="13" t="s">
        <v>79</v>
      </c>
      <c r="G1100" s="13" t="s">
        <v>63</v>
      </c>
      <c r="H1100" s="16">
        <v>45309.0</v>
      </c>
      <c r="I1100" s="14">
        <v>1.0</v>
      </c>
      <c r="J1100" s="13" t="s">
        <v>53</v>
      </c>
      <c r="K1100" s="13" t="s">
        <v>65</v>
      </c>
      <c r="L1100" s="14">
        <v>3348.0</v>
      </c>
      <c r="M1100" s="18" t="s">
        <v>99</v>
      </c>
      <c r="N1100" s="18" t="s">
        <v>43</v>
      </c>
      <c r="O1100" s="18">
        <v>43.9</v>
      </c>
      <c r="P1100" s="18" t="s">
        <v>310</v>
      </c>
      <c r="Q1100" s="16">
        <v>45329.0</v>
      </c>
      <c r="R1100" s="16" t="s">
        <v>38</v>
      </c>
      <c r="S1100" s="13" t="s">
        <v>55</v>
      </c>
      <c r="T1100" s="13" t="s">
        <v>47</v>
      </c>
      <c r="U1100" s="13">
        <f t="shared" si="1"/>
        <v>4</v>
      </c>
      <c r="V1100" s="13" t="str">
        <f t="shared" si="2"/>
        <v>C00484|Rahul Singh|59|West|Pune|Premium|Google Ads|1/18/2024|1|Quarterly|Credit Card|3,348|4|2|43.90|3.1|2/7/2024||Active|Cloud Storage</v>
      </c>
      <c r="W1100" s="13">
        <f t="shared" si="3"/>
        <v>1</v>
      </c>
      <c r="X1100" s="13">
        <f>IFERROR(__xludf.DUMMYFUNCTION("COUNTUNIQUE(FILTER($B$2:$B$1826,$A$2:$A$1826=A1100))"),4.0)</f>
        <v>4</v>
      </c>
    </row>
    <row r="1101">
      <c r="A1101" s="13" t="s">
        <v>1684</v>
      </c>
      <c r="B1101" s="13" t="s">
        <v>336</v>
      </c>
      <c r="C1101" s="14">
        <v>23.0</v>
      </c>
      <c r="D1101" s="13" t="s">
        <v>85</v>
      </c>
      <c r="E1101" s="13" t="s">
        <v>92</v>
      </c>
      <c r="F1101" s="13" t="s">
        <v>62</v>
      </c>
      <c r="G1101" s="13" t="s">
        <v>210</v>
      </c>
      <c r="H1101" s="16">
        <v>45666.0</v>
      </c>
      <c r="I1101" s="14">
        <v>29.0</v>
      </c>
      <c r="J1101" s="13" t="s">
        <v>64</v>
      </c>
      <c r="K1101" s="13" t="s">
        <v>41</v>
      </c>
      <c r="L1101" s="14">
        <v>850.0</v>
      </c>
      <c r="M1101" s="18" t="s">
        <v>99</v>
      </c>
      <c r="N1101" s="18" t="s">
        <v>46</v>
      </c>
      <c r="O1101" s="18">
        <v>12.8</v>
      </c>
      <c r="P1101" s="18" t="s">
        <v>116</v>
      </c>
      <c r="Q1101" s="16">
        <v>46259.0</v>
      </c>
      <c r="R1101" s="16">
        <v>45968.0</v>
      </c>
      <c r="S1101" s="13" t="s">
        <v>45</v>
      </c>
      <c r="T1101" s="13" t="s">
        <v>72</v>
      </c>
      <c r="U1101" s="13">
        <f t="shared" si="1"/>
        <v>2</v>
      </c>
      <c r="V1101" s="13" t="str">
        <f t="shared" si="2"/>
        <v>C00177|Priya Patel|23|West|Ahmedabad|Basic|Referral|1/9/2025|29|Annual|Upi|850|4|0|12.80|3.4|8/25/2026|11/7/2025|Churned|Collaboration</v>
      </c>
      <c r="W1101" s="13">
        <f t="shared" si="3"/>
        <v>1</v>
      </c>
      <c r="X1101" s="13">
        <f>IFERROR(__xludf.DUMMYFUNCTION("COUNTUNIQUE(FILTER($B$2:$B$1826,$A$2:$A$1826=A1101))"),2.0)</f>
        <v>2</v>
      </c>
    </row>
    <row r="1102">
      <c r="A1102" s="13" t="s">
        <v>1685</v>
      </c>
      <c r="B1102" s="13" t="s">
        <v>232</v>
      </c>
      <c r="C1102" s="14">
        <v>53.0</v>
      </c>
      <c r="D1102" s="13" t="s">
        <v>85</v>
      </c>
      <c r="E1102" s="13" t="s">
        <v>87</v>
      </c>
      <c r="F1102" s="13" t="s">
        <v>37</v>
      </c>
      <c r="G1102" s="13" t="s">
        <v>63</v>
      </c>
      <c r="H1102" s="16">
        <v>45703.0</v>
      </c>
      <c r="I1102" s="14">
        <v>120.0</v>
      </c>
      <c r="J1102" s="13" t="s">
        <v>40</v>
      </c>
      <c r="K1102" s="13" t="s">
        <v>41</v>
      </c>
      <c r="L1102" s="14">
        <v>1273.0</v>
      </c>
      <c r="M1102" s="18" t="s">
        <v>98</v>
      </c>
      <c r="N1102" s="18" t="s">
        <v>98</v>
      </c>
      <c r="O1102" s="18">
        <v>26.1</v>
      </c>
      <c r="P1102" s="18" t="s">
        <v>408</v>
      </c>
      <c r="Q1102" s="16">
        <v>46593.0</v>
      </c>
      <c r="R1102" s="16" t="s">
        <v>38</v>
      </c>
      <c r="S1102" s="13" t="s">
        <v>55</v>
      </c>
      <c r="T1102" s="13" t="s">
        <v>47</v>
      </c>
      <c r="U1102" s="13">
        <f t="shared" si="1"/>
        <v>1</v>
      </c>
      <c r="V1102" s="13" t="str">
        <f t="shared" si="2"/>
        <v>C01163|Meera Iyer|53|West|Surat|Standard|Google Ads|2/15/2025|120|Monthly|Upi|1,273|1|1|26.10|4.2|7/25/2027||Active|Cloud Storage</v>
      </c>
      <c r="W1102" s="13">
        <f t="shared" si="3"/>
        <v>1</v>
      </c>
      <c r="X1102" s="13">
        <f>IFERROR(__xludf.DUMMYFUNCTION("COUNTUNIQUE(FILTER($B$2:$B$1826,$A$2:$A$1826=A1102))"),1.0)</f>
        <v>1</v>
      </c>
    </row>
    <row r="1103">
      <c r="A1103" s="13" t="s">
        <v>733</v>
      </c>
      <c r="B1103" s="13" t="s">
        <v>78</v>
      </c>
      <c r="C1103" s="14">
        <v>38.0</v>
      </c>
      <c r="D1103" s="13" t="s">
        <v>60</v>
      </c>
      <c r="E1103" s="13" t="s">
        <v>61</v>
      </c>
      <c r="F1103" s="13" t="s">
        <v>79</v>
      </c>
      <c r="G1103" s="13" t="s">
        <v>52</v>
      </c>
      <c r="H1103" s="16">
        <v>45032.0</v>
      </c>
      <c r="I1103" s="14">
        <v>43.0</v>
      </c>
      <c r="J1103" s="13" t="s">
        <v>64</v>
      </c>
      <c r="K1103" s="13" t="s">
        <v>65</v>
      </c>
      <c r="L1103" s="14">
        <v>3224.0</v>
      </c>
      <c r="M1103" s="18" t="s">
        <v>43</v>
      </c>
      <c r="N1103" s="18" t="s">
        <v>98</v>
      </c>
      <c r="O1103" s="18">
        <v>42.6</v>
      </c>
      <c r="P1103" s="18" t="s">
        <v>263</v>
      </c>
      <c r="Q1103" s="16">
        <v>45555.0</v>
      </c>
      <c r="R1103" s="16" t="s">
        <v>1686</v>
      </c>
      <c r="S1103" s="13" t="s">
        <v>45</v>
      </c>
      <c r="T1103" s="13" t="s">
        <v>38</v>
      </c>
      <c r="U1103" s="13">
        <f t="shared" si="1"/>
        <v>4</v>
      </c>
      <c r="V1103" s="13" t="str">
        <f t="shared" si="2"/>
        <v>C00078|Vikram Patel|38|East|Kolkata|Premium|Facebook|4/16/2023|43|Annual|Credit Card|3,224|2|1|42.60|2.9|9/20/2024|20/03/2026|Churned|</v>
      </c>
      <c r="W1103" s="13">
        <f t="shared" si="3"/>
        <v>1</v>
      </c>
      <c r="X1103" s="13">
        <f>IFERROR(__xludf.DUMMYFUNCTION("COUNTUNIQUE(FILTER($B$2:$B$1826,$A$2:$A$1826=A1103))"),4.0)</f>
        <v>4</v>
      </c>
    </row>
    <row r="1104">
      <c r="A1104" s="13" t="s">
        <v>1687</v>
      </c>
      <c r="B1104" s="13" t="s">
        <v>342</v>
      </c>
      <c r="C1104" s="14">
        <v>30.0</v>
      </c>
      <c r="D1104" s="13" t="s">
        <v>35</v>
      </c>
      <c r="E1104" s="13" t="s">
        <v>36</v>
      </c>
      <c r="F1104" s="13" t="s">
        <v>79</v>
      </c>
      <c r="G1104" s="13" t="s">
        <v>120</v>
      </c>
      <c r="H1104" s="16">
        <v>45844.0</v>
      </c>
      <c r="I1104" s="14">
        <v>35.0</v>
      </c>
      <c r="J1104" s="13" t="s">
        <v>40</v>
      </c>
      <c r="K1104" s="13" t="s">
        <v>81</v>
      </c>
      <c r="L1104" s="14">
        <v>883.0</v>
      </c>
      <c r="M1104" s="18" t="s">
        <v>43</v>
      </c>
      <c r="N1104" s="18" t="s">
        <v>98</v>
      </c>
      <c r="O1104" s="18">
        <v>13.0</v>
      </c>
      <c r="P1104" s="18" t="s">
        <v>1166</v>
      </c>
      <c r="Q1104" s="16">
        <v>46757.0</v>
      </c>
      <c r="R1104" s="16" t="s">
        <v>38</v>
      </c>
      <c r="S1104" s="13" t="s">
        <v>55</v>
      </c>
      <c r="T1104" s="13" t="s">
        <v>75</v>
      </c>
      <c r="U1104" s="13">
        <f t="shared" si="1"/>
        <v>1</v>
      </c>
      <c r="V1104" s="13" t="str">
        <f t="shared" si="2"/>
        <v>C01049|Priya Reddy|30|North|Delhi|Premium|Email|7/6/2025|35|Monthly|Debit Card|883|2|1|13.00|1.3|1/5/2028||Active|Security</v>
      </c>
      <c r="W1104" s="13">
        <f t="shared" si="3"/>
        <v>1</v>
      </c>
      <c r="X1104" s="13">
        <f>IFERROR(__xludf.DUMMYFUNCTION("COUNTUNIQUE(FILTER($B$2:$B$1826,$A$2:$A$1826=A1104))"),1.0)</f>
        <v>1</v>
      </c>
    </row>
    <row r="1105">
      <c r="A1105" s="13" t="s">
        <v>1688</v>
      </c>
      <c r="B1105" s="13" t="s">
        <v>325</v>
      </c>
      <c r="C1105" s="14">
        <v>65.0</v>
      </c>
      <c r="D1105" s="13" t="s">
        <v>85</v>
      </c>
      <c r="E1105" s="13" t="s">
        <v>87</v>
      </c>
      <c r="F1105" s="13" t="s">
        <v>37</v>
      </c>
      <c r="G1105" s="13" t="s">
        <v>128</v>
      </c>
      <c r="H1105" s="16">
        <v>45906.0</v>
      </c>
      <c r="I1105" s="14">
        <v>12.0</v>
      </c>
      <c r="J1105" s="13" t="s">
        <v>64</v>
      </c>
      <c r="K1105" s="13" t="s">
        <v>81</v>
      </c>
      <c r="L1105" s="14">
        <v>814.0</v>
      </c>
      <c r="M1105" s="18" t="s">
        <v>43</v>
      </c>
      <c r="N1105" s="18" t="s">
        <v>98</v>
      </c>
      <c r="O1105" s="18">
        <v>22.1</v>
      </c>
      <c r="P1105" s="18" t="s">
        <v>89</v>
      </c>
      <c r="Q1105" s="16">
        <v>46110.0</v>
      </c>
      <c r="R1105" s="16" t="s">
        <v>38</v>
      </c>
      <c r="S1105" s="13" t="s">
        <v>55</v>
      </c>
      <c r="T1105" s="13" t="s">
        <v>75</v>
      </c>
      <c r="U1105" s="13">
        <f t="shared" si="1"/>
        <v>1</v>
      </c>
      <c r="V1105" s="13" t="str">
        <f t="shared" si="2"/>
        <v>C00917|Priya Sharma|65|West|Surat|Standard|Youtube|9/6/2025|12|Annual|Debit Card|814|2|1|22.10|3.3|3/29/2026||Active|Security</v>
      </c>
      <c r="W1105" s="13">
        <f t="shared" si="3"/>
        <v>1</v>
      </c>
      <c r="X1105" s="13">
        <f>IFERROR(__xludf.DUMMYFUNCTION("COUNTUNIQUE(FILTER($B$2:$B$1826,$A$2:$A$1826=A1105))"),1.0)</f>
        <v>1</v>
      </c>
    </row>
    <row r="1106">
      <c r="A1106" s="13" t="s">
        <v>990</v>
      </c>
      <c r="B1106" s="13" t="s">
        <v>312</v>
      </c>
      <c r="C1106" s="14">
        <v>50.0</v>
      </c>
      <c r="D1106" s="13" t="s">
        <v>85</v>
      </c>
      <c r="E1106" s="13" t="s">
        <v>87</v>
      </c>
      <c r="F1106" s="13" t="s">
        <v>37</v>
      </c>
      <c r="G1106" s="13" t="s">
        <v>128</v>
      </c>
      <c r="H1106" s="16">
        <v>45839.0</v>
      </c>
      <c r="I1106" s="14">
        <v>37.0</v>
      </c>
      <c r="J1106" s="13" t="s">
        <v>64</v>
      </c>
      <c r="K1106" s="13" t="s">
        <v>41</v>
      </c>
      <c r="L1106" s="14">
        <v>1508.0</v>
      </c>
      <c r="M1106" s="18" t="s">
        <v>46</v>
      </c>
      <c r="N1106" s="18" t="s">
        <v>46</v>
      </c>
      <c r="O1106" s="18">
        <v>34.3</v>
      </c>
      <c r="P1106" s="18" t="s">
        <v>263</v>
      </c>
      <c r="Q1106" s="16">
        <v>46164.0</v>
      </c>
      <c r="R1106" s="16" t="s">
        <v>1689</v>
      </c>
      <c r="S1106" s="13" t="s">
        <v>45</v>
      </c>
      <c r="T1106" s="13" t="s">
        <v>66</v>
      </c>
      <c r="U1106" s="13">
        <f t="shared" si="1"/>
        <v>3</v>
      </c>
      <c r="V1106" s="13" t="str">
        <f t="shared" si="2"/>
        <v>C01014|Anita Singh|50|West|Surat|Standard|Youtube|7/1/2025|37|Annual|Upi|1,508|0|0|34.30|2.9|5/22/2026|22/04/2026|Churned|Automation</v>
      </c>
      <c r="W1106" s="13">
        <f t="shared" si="3"/>
        <v>1</v>
      </c>
      <c r="X1106" s="13">
        <f>IFERROR(__xludf.DUMMYFUNCTION("COUNTUNIQUE(FILTER($B$2:$B$1826,$A$2:$A$1826=A1106))"),3.0)</f>
        <v>3</v>
      </c>
    </row>
    <row r="1107">
      <c r="A1107" s="13" t="s">
        <v>1690</v>
      </c>
      <c r="B1107" s="13" t="s">
        <v>633</v>
      </c>
      <c r="C1107" s="14">
        <v>43.0</v>
      </c>
      <c r="D1107" s="13" t="s">
        <v>35</v>
      </c>
      <c r="E1107" s="13" t="s">
        <v>140</v>
      </c>
      <c r="F1107" s="13" t="s">
        <v>37</v>
      </c>
      <c r="G1107" s="13" t="s">
        <v>52</v>
      </c>
      <c r="H1107" s="16">
        <v>45842.0</v>
      </c>
      <c r="I1107" s="14">
        <v>16.0</v>
      </c>
      <c r="J1107" s="13" t="s">
        <v>53</v>
      </c>
      <c r="K1107" s="13" t="s">
        <v>81</v>
      </c>
      <c r="L1107" s="14">
        <v>1274.0</v>
      </c>
      <c r="M1107" s="18" t="s">
        <v>43</v>
      </c>
      <c r="N1107" s="18" t="s">
        <v>46</v>
      </c>
      <c r="O1107" s="18">
        <v>21.9</v>
      </c>
      <c r="P1107" s="18" t="s">
        <v>89</v>
      </c>
      <c r="Q1107" s="16">
        <v>45867.0</v>
      </c>
      <c r="R1107" s="16" t="s">
        <v>38</v>
      </c>
      <c r="S1107" s="13" t="s">
        <v>55</v>
      </c>
      <c r="T1107" s="13" t="s">
        <v>72</v>
      </c>
      <c r="U1107" s="13">
        <f t="shared" si="1"/>
        <v>2</v>
      </c>
      <c r="V1107" s="13" t="str">
        <f t="shared" si="2"/>
        <v>C00652|Anita Das|43|North|Lucknow|Standard|Facebook|7/4/2025|16|Quarterly|Debit Card|1,274|2|0|21.90|3.3|7/29/2025||Active|Collaboration</v>
      </c>
      <c r="W1107" s="13">
        <f t="shared" si="3"/>
        <v>1</v>
      </c>
      <c r="X1107" s="13">
        <f>IFERROR(__xludf.DUMMYFUNCTION("COUNTUNIQUE(FILTER($B$2:$B$1826,$A$2:$A$1826=A1107))"),2.0)</f>
        <v>2</v>
      </c>
    </row>
    <row r="1108">
      <c r="A1108" s="13" t="s">
        <v>317</v>
      </c>
      <c r="B1108" s="13" t="s">
        <v>420</v>
      </c>
      <c r="C1108" s="14">
        <v>30.0</v>
      </c>
      <c r="D1108" s="13" t="s">
        <v>85</v>
      </c>
      <c r="E1108" s="13" t="s">
        <v>292</v>
      </c>
      <c r="F1108" s="13" t="s">
        <v>62</v>
      </c>
      <c r="G1108" s="13" t="s">
        <v>63</v>
      </c>
      <c r="H1108" s="16">
        <v>44905.0</v>
      </c>
      <c r="I1108" s="14">
        <v>18.0</v>
      </c>
      <c r="J1108" s="13" t="s">
        <v>64</v>
      </c>
      <c r="K1108" s="13" t="s">
        <v>65</v>
      </c>
      <c r="L1108" s="14">
        <v>589.0</v>
      </c>
      <c r="M1108" s="18" t="s">
        <v>98</v>
      </c>
      <c r="N1108" s="18" t="s">
        <v>98</v>
      </c>
      <c r="O1108" s="18">
        <v>15.8</v>
      </c>
      <c r="P1108" s="18" t="s">
        <v>296</v>
      </c>
      <c r="Q1108" s="16">
        <v>45265.0</v>
      </c>
      <c r="R1108" s="16" t="s">
        <v>1691</v>
      </c>
      <c r="S1108" s="13" t="s">
        <v>45</v>
      </c>
      <c r="T1108" s="13" t="s">
        <v>75</v>
      </c>
      <c r="U1108" s="13">
        <f t="shared" si="1"/>
        <v>2</v>
      </c>
      <c r="V1108" s="13" t="str">
        <f t="shared" si="2"/>
        <v>C01405|Vikram Iyer|30|West|Mumbai|Basic|Google Ads|12/10/2022|18|Annual|Credit Card|589|1|1|15.80|4.6|12/5/2023|27/01/2024|Churned|Security</v>
      </c>
      <c r="W1108" s="13">
        <f t="shared" si="3"/>
        <v>1</v>
      </c>
      <c r="X1108" s="13">
        <f>IFERROR(__xludf.DUMMYFUNCTION("COUNTUNIQUE(FILTER($B$2:$B$1826,$A$2:$A$1826=A1108))"),2.0)</f>
        <v>2</v>
      </c>
    </row>
    <row r="1109">
      <c r="A1109" s="13" t="s">
        <v>1609</v>
      </c>
      <c r="B1109" s="13" t="s">
        <v>176</v>
      </c>
      <c r="C1109" s="14">
        <v>44.0</v>
      </c>
      <c r="D1109" s="13" t="s">
        <v>85</v>
      </c>
      <c r="E1109" s="13" t="s">
        <v>111</v>
      </c>
      <c r="F1109" s="13" t="s">
        <v>37</v>
      </c>
      <c r="G1109" s="13" t="s">
        <v>128</v>
      </c>
      <c r="H1109" s="16">
        <v>45814.0</v>
      </c>
      <c r="I1109" s="14">
        <v>19.0</v>
      </c>
      <c r="J1109" s="13" t="s">
        <v>40</v>
      </c>
      <c r="K1109" s="13" t="s">
        <v>41</v>
      </c>
      <c r="L1109" s="14">
        <v>625.0</v>
      </c>
      <c r="M1109" s="18" t="s">
        <v>98</v>
      </c>
      <c r="N1109" s="18" t="s">
        <v>46</v>
      </c>
      <c r="O1109" s="18">
        <v>8.5</v>
      </c>
      <c r="P1109" s="18" t="s">
        <v>296</v>
      </c>
      <c r="Q1109" s="16">
        <v>45960.0</v>
      </c>
      <c r="R1109" s="16" t="s">
        <v>38</v>
      </c>
      <c r="S1109" s="13" t="s">
        <v>55</v>
      </c>
      <c r="T1109" s="13" t="s">
        <v>66</v>
      </c>
      <c r="U1109" s="13">
        <f t="shared" si="1"/>
        <v>3</v>
      </c>
      <c r="V1109" s="13" t="str">
        <f t="shared" si="2"/>
        <v>C01216|Ravi Iyer|44|West|Pune|Standard|Youtube|6/6/2025|19|Monthly|Upi|625|1|0|8.50|4.6|10/30/2025||Active|Automation</v>
      </c>
      <c r="W1109" s="13">
        <f t="shared" si="3"/>
        <v>1</v>
      </c>
      <c r="X1109" s="13">
        <f>IFERROR(__xludf.DUMMYFUNCTION("COUNTUNIQUE(FILTER($B$2:$B$1826,$A$2:$A$1826=A1109))"),3.0)</f>
        <v>3</v>
      </c>
    </row>
    <row r="1110">
      <c r="A1110" s="13" t="s">
        <v>546</v>
      </c>
      <c r="B1110" s="13" t="s">
        <v>190</v>
      </c>
      <c r="C1110" s="14">
        <v>40.0</v>
      </c>
      <c r="D1110" s="13" t="s">
        <v>35</v>
      </c>
      <c r="E1110" s="13" t="s">
        <v>161</v>
      </c>
      <c r="F1110" s="13" t="s">
        <v>62</v>
      </c>
      <c r="G1110" s="13" t="s">
        <v>210</v>
      </c>
      <c r="H1110" s="16">
        <v>44725.0</v>
      </c>
      <c r="I1110" s="14">
        <v>44.0</v>
      </c>
      <c r="J1110" s="13" t="s">
        <v>53</v>
      </c>
      <c r="K1110" s="13" t="s">
        <v>41</v>
      </c>
      <c r="L1110" s="14">
        <v>666.0</v>
      </c>
      <c r="M1110" s="18" t="s">
        <v>43</v>
      </c>
      <c r="N1110" s="18" t="s">
        <v>46</v>
      </c>
      <c r="O1110" s="18">
        <v>23.3</v>
      </c>
      <c r="P1110" s="18" t="s">
        <v>48</v>
      </c>
      <c r="Q1110" s="16">
        <v>45426.0</v>
      </c>
      <c r="R1110" s="16" t="s">
        <v>38</v>
      </c>
      <c r="S1110" s="13" t="s">
        <v>55</v>
      </c>
      <c r="T1110" s="13" t="s">
        <v>66</v>
      </c>
      <c r="U1110" s="13">
        <f t="shared" si="1"/>
        <v>5</v>
      </c>
      <c r="V1110" s="13" t="str">
        <f t="shared" si="2"/>
        <v>C01173|Sneha Patel|40|North|Chandigarh|Basic|Referral|6/13/2022|44|Quarterly|Upi|666|2|0|23.30|3.6|5/14/2024||Active|Automation</v>
      </c>
      <c r="W1110" s="13">
        <f t="shared" si="3"/>
        <v>1</v>
      </c>
      <c r="X1110" s="13">
        <f>IFERROR(__xludf.DUMMYFUNCTION("COUNTUNIQUE(FILTER($B$2:$B$1826,$A$2:$A$1826=A1110))"),5.0)</f>
        <v>5</v>
      </c>
    </row>
    <row r="1111">
      <c r="A1111" s="13" t="s">
        <v>1692</v>
      </c>
      <c r="B1111" s="13" t="s">
        <v>247</v>
      </c>
      <c r="C1111" s="14">
        <v>54.0</v>
      </c>
      <c r="D1111" s="13" t="s">
        <v>85</v>
      </c>
      <c r="E1111" s="13" t="s">
        <v>111</v>
      </c>
      <c r="F1111" s="13" t="s">
        <v>79</v>
      </c>
      <c r="G1111" s="13" t="s">
        <v>39</v>
      </c>
      <c r="H1111" s="16">
        <v>45265.0</v>
      </c>
      <c r="I1111" s="14">
        <v>34.0</v>
      </c>
      <c r="J1111" s="13" t="s">
        <v>64</v>
      </c>
      <c r="K1111" s="13" t="s">
        <v>65</v>
      </c>
      <c r="L1111" s="14">
        <v>2208.0</v>
      </c>
      <c r="M1111" s="18" t="s">
        <v>98</v>
      </c>
      <c r="N1111" s="18" t="s">
        <v>98</v>
      </c>
      <c r="O1111" s="18">
        <v>36.8</v>
      </c>
      <c r="P1111" s="18" t="s">
        <v>116</v>
      </c>
      <c r="Q1111" s="16">
        <v>45732.0</v>
      </c>
      <c r="R1111" s="16" t="s">
        <v>38</v>
      </c>
      <c r="S1111" s="13" t="s">
        <v>55</v>
      </c>
      <c r="T1111" s="13" t="s">
        <v>72</v>
      </c>
      <c r="U1111" s="13">
        <f t="shared" si="1"/>
        <v>1</v>
      </c>
      <c r="V1111" s="13" t="str">
        <f t="shared" si="2"/>
        <v>C00352|Ravi Sharma|54|West|Pune|Premium|Instagram|12/5/2023|34|Annual|Credit Card|2,208|1|1|36.80|3.4|3/16/2025||Active|Collaboration</v>
      </c>
      <c r="W1111" s="13">
        <f t="shared" si="3"/>
        <v>1</v>
      </c>
      <c r="X1111" s="13">
        <f>IFERROR(__xludf.DUMMYFUNCTION("COUNTUNIQUE(FILTER($B$2:$B$1826,$A$2:$A$1826=A1111))"),1.0)</f>
        <v>1</v>
      </c>
    </row>
    <row r="1112">
      <c r="A1112" s="13" t="s">
        <v>1693</v>
      </c>
      <c r="B1112" s="13" t="s">
        <v>250</v>
      </c>
      <c r="C1112" s="14">
        <v>19.0</v>
      </c>
      <c r="D1112" s="13" t="s">
        <v>35</v>
      </c>
      <c r="E1112" s="13" t="s">
        <v>140</v>
      </c>
      <c r="F1112" s="13" t="s">
        <v>37</v>
      </c>
      <c r="G1112" s="13" t="s">
        <v>63</v>
      </c>
      <c r="H1112" s="16">
        <v>45706.0</v>
      </c>
      <c r="I1112" s="14">
        <v>21.0</v>
      </c>
      <c r="J1112" s="13" t="s">
        <v>40</v>
      </c>
      <c r="K1112" s="13" t="s">
        <v>65</v>
      </c>
      <c r="L1112" s="14">
        <v>1773.0</v>
      </c>
      <c r="M1112" s="18" t="s">
        <v>43</v>
      </c>
      <c r="N1112" s="18" t="s">
        <v>46</v>
      </c>
      <c r="O1112" s="18">
        <v>11.4</v>
      </c>
      <c r="P1112" s="18" t="s">
        <v>296</v>
      </c>
      <c r="Q1112" s="16">
        <v>46010.0</v>
      </c>
      <c r="R1112" s="16" t="s">
        <v>38</v>
      </c>
      <c r="S1112" s="13" t="s">
        <v>55</v>
      </c>
      <c r="T1112" s="13" t="s">
        <v>66</v>
      </c>
      <c r="U1112" s="13">
        <f t="shared" si="1"/>
        <v>1</v>
      </c>
      <c r="V1112" s="13" t="str">
        <f t="shared" si="2"/>
        <v>C00750|Vikram Singh|19|North|Lucknow|Standard|Google Ads|2/18/2025|21|Monthly|Credit Card|1,773|2|0|11.40|4.6|12/19/2025||Active|Automation</v>
      </c>
      <c r="W1112" s="13">
        <f t="shared" si="3"/>
        <v>1</v>
      </c>
      <c r="X1112" s="13">
        <f>IFERROR(__xludf.DUMMYFUNCTION("COUNTUNIQUE(FILTER($B$2:$B$1826,$A$2:$A$1826=A1112))"),1.0)</f>
        <v>1</v>
      </c>
    </row>
    <row r="1113">
      <c r="A1113" s="13" t="s">
        <v>1695</v>
      </c>
      <c r="B1113" s="13" t="s">
        <v>380</v>
      </c>
      <c r="C1113" s="14">
        <v>21.0</v>
      </c>
      <c r="D1113" s="13" t="s">
        <v>35</v>
      </c>
      <c r="E1113" s="13" t="s">
        <v>36</v>
      </c>
      <c r="F1113" s="13" t="s">
        <v>79</v>
      </c>
      <c r="G1113" s="13" t="s">
        <v>80</v>
      </c>
      <c r="H1113" s="16">
        <v>45553.0</v>
      </c>
      <c r="I1113" s="14">
        <v>11.0</v>
      </c>
      <c r="J1113" s="13" t="s">
        <v>40</v>
      </c>
      <c r="K1113" s="13" t="s">
        <v>65</v>
      </c>
      <c r="L1113" s="14">
        <v>2682.0</v>
      </c>
      <c r="M1113" s="18" t="s">
        <v>98</v>
      </c>
      <c r="N1113" s="18" t="s">
        <v>98</v>
      </c>
      <c r="O1113" s="18">
        <v>42.9</v>
      </c>
      <c r="P1113" s="18" t="s">
        <v>99</v>
      </c>
      <c r="Q1113" s="16">
        <v>45860.0</v>
      </c>
      <c r="R1113" s="16" t="s">
        <v>38</v>
      </c>
      <c r="S1113" s="13" t="s">
        <v>55</v>
      </c>
      <c r="T1113" s="13" t="s">
        <v>47</v>
      </c>
      <c r="U1113" s="13">
        <f t="shared" si="1"/>
        <v>1</v>
      </c>
      <c r="V1113" s="13" t="str">
        <f t="shared" si="2"/>
        <v>C00246|Neha Iyer|21|North|Delhi|Premium|Organic Search|9/18/2024|11|Monthly|Credit Card|2,682|1|1|42.90|4|7/22/2025||Active|Cloud Storage</v>
      </c>
      <c r="W1113" s="13">
        <f t="shared" si="3"/>
        <v>1</v>
      </c>
      <c r="X1113" s="13">
        <f>IFERROR(__xludf.DUMMYFUNCTION("COUNTUNIQUE(FILTER($B$2:$B$1826,$A$2:$A$1826=A1113))"),1.0)</f>
        <v>1</v>
      </c>
    </row>
    <row r="1114">
      <c r="A1114" s="13" t="s">
        <v>1696</v>
      </c>
      <c r="B1114" s="13" t="s">
        <v>172</v>
      </c>
      <c r="C1114" s="14">
        <v>45.0</v>
      </c>
      <c r="D1114" s="13" t="s">
        <v>60</v>
      </c>
      <c r="E1114" s="13" t="s">
        <v>61</v>
      </c>
      <c r="F1114" s="13" t="s">
        <v>62</v>
      </c>
      <c r="G1114" s="13" t="s">
        <v>120</v>
      </c>
      <c r="H1114" s="16">
        <v>44782.0</v>
      </c>
      <c r="I1114" s="14">
        <v>21.0</v>
      </c>
      <c r="J1114" s="13" t="s">
        <v>53</v>
      </c>
      <c r="K1114" s="13" t="s">
        <v>81</v>
      </c>
      <c r="L1114" s="14">
        <v>602.0</v>
      </c>
      <c r="M1114" s="18" t="s">
        <v>46</v>
      </c>
      <c r="N1114" s="18" t="s">
        <v>98</v>
      </c>
      <c r="O1114" s="18">
        <v>1.5</v>
      </c>
      <c r="P1114" s="18" t="s">
        <v>76</v>
      </c>
      <c r="Q1114" s="16">
        <v>44969.0</v>
      </c>
      <c r="R1114" s="16" t="s">
        <v>1697</v>
      </c>
      <c r="S1114" s="13" t="s">
        <v>55</v>
      </c>
      <c r="T1114" s="13" t="s">
        <v>66</v>
      </c>
      <c r="U1114" s="13">
        <f t="shared" si="1"/>
        <v>1</v>
      </c>
      <c r="V1114" s="13" t="str">
        <f t="shared" si="2"/>
        <v>C00808|Meera Singh|45|East|Kolkata|Basic|Email|8/9/2022|21|Quarterly|Debit Card|602|0|1|1.50|4.4|2/12/2023|17/09/2023|Active|Automation</v>
      </c>
      <c r="W1114" s="13">
        <f t="shared" si="3"/>
        <v>1</v>
      </c>
      <c r="X1114" s="13">
        <f>IFERROR(__xludf.DUMMYFUNCTION("COUNTUNIQUE(FILTER($B$2:$B$1826,$A$2:$A$1826=A1114))"),1.0)</f>
        <v>1</v>
      </c>
    </row>
    <row r="1115">
      <c r="A1115" s="13" t="s">
        <v>991</v>
      </c>
      <c r="B1115" s="13" t="s">
        <v>303</v>
      </c>
      <c r="C1115" s="14">
        <v>68.0</v>
      </c>
      <c r="D1115" s="13" t="s">
        <v>69</v>
      </c>
      <c r="E1115" s="13" t="s">
        <v>119</v>
      </c>
      <c r="F1115" s="13" t="s">
        <v>62</v>
      </c>
      <c r="G1115" s="13" t="s">
        <v>210</v>
      </c>
      <c r="H1115" s="16">
        <v>44655.0</v>
      </c>
      <c r="I1115" s="14">
        <v>2.0</v>
      </c>
      <c r="J1115" s="13" t="s">
        <v>53</v>
      </c>
      <c r="K1115" s="13" t="s">
        <v>41</v>
      </c>
      <c r="L1115" s="14">
        <v>635.0</v>
      </c>
      <c r="M1115" s="18" t="s">
        <v>38</v>
      </c>
      <c r="N1115" s="18" t="s">
        <v>43</v>
      </c>
      <c r="O1115" s="18">
        <v>16.2</v>
      </c>
      <c r="P1115" s="18" t="s">
        <v>108</v>
      </c>
      <c r="Q1115" s="16">
        <v>44678.0</v>
      </c>
      <c r="R1115" s="16" t="s">
        <v>1698</v>
      </c>
      <c r="S1115" s="13" t="s">
        <v>45</v>
      </c>
      <c r="T1115" s="13" t="s">
        <v>75</v>
      </c>
      <c r="U1115" s="13">
        <f t="shared" si="1"/>
        <v>4</v>
      </c>
      <c r="V1115" s="13" t="str">
        <f t="shared" si="2"/>
        <v>C00200|Priya Kumar|68|South|Kochi|Basic|Referral|4/4/2022|2|Quarterly|Upi|635||2|16.20|2.4|4/27/2022|22/05/2022|Churned|Security</v>
      </c>
      <c r="W1115" s="13">
        <f t="shared" si="3"/>
        <v>1</v>
      </c>
      <c r="X1115" s="13">
        <f>IFERROR(__xludf.DUMMYFUNCTION("COUNTUNIQUE(FILTER($B$2:$B$1826,$A$2:$A$1826=A1115))"),4.0)</f>
        <v>4</v>
      </c>
    </row>
    <row r="1116">
      <c r="A1116" s="13" t="s">
        <v>1699</v>
      </c>
      <c r="B1116" s="13" t="s">
        <v>167</v>
      </c>
      <c r="C1116" s="14">
        <v>44.0</v>
      </c>
      <c r="D1116" s="13" t="s">
        <v>35</v>
      </c>
      <c r="E1116" s="13" t="s">
        <v>140</v>
      </c>
      <c r="F1116" s="13" t="s">
        <v>37</v>
      </c>
      <c r="G1116" s="13" t="s">
        <v>80</v>
      </c>
      <c r="H1116" s="16">
        <v>44831.0</v>
      </c>
      <c r="I1116" s="14">
        <v>31.0</v>
      </c>
      <c r="J1116" s="13" t="s">
        <v>40</v>
      </c>
      <c r="K1116" s="13" t="s">
        <v>41</v>
      </c>
      <c r="L1116" s="14">
        <v>1131.0</v>
      </c>
      <c r="M1116" s="18" t="s">
        <v>43</v>
      </c>
      <c r="N1116" s="18" t="s">
        <v>98</v>
      </c>
      <c r="O1116" s="18">
        <v>19.8</v>
      </c>
      <c r="P1116" s="18" t="s">
        <v>99</v>
      </c>
      <c r="Q1116" s="16">
        <v>45705.0</v>
      </c>
      <c r="R1116" s="16" t="s">
        <v>38</v>
      </c>
      <c r="S1116" s="13" t="s">
        <v>55</v>
      </c>
      <c r="T1116" s="13" t="s">
        <v>72</v>
      </c>
      <c r="U1116" s="13">
        <f t="shared" si="1"/>
        <v>1</v>
      </c>
      <c r="V1116" s="13" t="str">
        <f t="shared" si="2"/>
        <v>C00785|Ravi Reddy|44|North|Lucknow|Standard|Organic Search|9/27/2022|31|Monthly|Upi|1,131|2|1|19.80|4|2/17/2025||Active|Collaboration</v>
      </c>
      <c r="W1116" s="13">
        <f t="shared" si="3"/>
        <v>1</v>
      </c>
      <c r="X1116" s="13">
        <f>IFERROR(__xludf.DUMMYFUNCTION("COUNTUNIQUE(FILTER($B$2:$B$1826,$A$2:$A$1826=A1116))"),1.0)</f>
        <v>1</v>
      </c>
    </row>
    <row r="1117">
      <c r="A1117" s="13" t="s">
        <v>1624</v>
      </c>
      <c r="B1117" s="13" t="s">
        <v>420</v>
      </c>
      <c r="C1117" s="14">
        <v>29.0</v>
      </c>
      <c r="D1117" s="13" t="s">
        <v>85</v>
      </c>
      <c r="E1117" s="13" t="s">
        <v>87</v>
      </c>
      <c r="F1117" s="13" t="s">
        <v>62</v>
      </c>
      <c r="G1117" s="13" t="s">
        <v>210</v>
      </c>
      <c r="H1117" s="16">
        <v>45757.0</v>
      </c>
      <c r="I1117" s="14">
        <v>33.0</v>
      </c>
      <c r="J1117" s="13" t="s">
        <v>40</v>
      </c>
      <c r="K1117" s="13" t="s">
        <v>65</v>
      </c>
      <c r="L1117" s="14">
        <v>885.0</v>
      </c>
      <c r="M1117" s="18" t="s">
        <v>173</v>
      </c>
      <c r="N1117" s="18" t="s">
        <v>98</v>
      </c>
      <c r="O1117" s="18">
        <v>9.2</v>
      </c>
      <c r="P1117" s="18" t="s">
        <v>275</v>
      </c>
      <c r="Q1117" s="16">
        <v>46219.0</v>
      </c>
      <c r="R1117" s="16" t="s">
        <v>38</v>
      </c>
      <c r="S1117" s="13" t="s">
        <v>55</v>
      </c>
      <c r="T1117" s="13" t="s">
        <v>72</v>
      </c>
      <c r="U1117" s="13">
        <f t="shared" si="1"/>
        <v>2</v>
      </c>
      <c r="V1117" s="13" t="str">
        <f t="shared" si="2"/>
        <v>C01142|Vikram Iyer|29|West|Surat|Basic|Referral|4/10/2025|33|Monthly|Credit Card|885|5|1|9.20|4.3|7/16/2026||Active|Collaboration</v>
      </c>
      <c r="W1117" s="13">
        <f t="shared" si="3"/>
        <v>1</v>
      </c>
      <c r="X1117" s="13">
        <f>IFERROR(__xludf.DUMMYFUNCTION("COUNTUNIQUE(FILTER($B$2:$B$1826,$A$2:$A$1826=A1117))"),2.0)</f>
        <v>2</v>
      </c>
    </row>
    <row r="1118">
      <c r="A1118" s="13" t="s">
        <v>1700</v>
      </c>
      <c r="B1118" s="13" t="s">
        <v>106</v>
      </c>
      <c r="C1118" s="14">
        <v>38.0</v>
      </c>
      <c r="D1118" s="13" t="s">
        <v>60</v>
      </c>
      <c r="E1118" s="13" t="s">
        <v>107</v>
      </c>
      <c r="F1118" s="13" t="s">
        <v>37</v>
      </c>
      <c r="G1118" s="13" t="s">
        <v>210</v>
      </c>
      <c r="H1118" s="16">
        <v>45766.0</v>
      </c>
      <c r="I1118" s="14">
        <v>28.0</v>
      </c>
      <c r="J1118" s="13" t="s">
        <v>64</v>
      </c>
      <c r="K1118" s="13" t="s">
        <v>41</v>
      </c>
      <c r="L1118" s="14">
        <v>1728.0</v>
      </c>
      <c r="M1118" s="18" t="s">
        <v>164</v>
      </c>
      <c r="N1118" s="18" t="s">
        <v>46</v>
      </c>
      <c r="O1118" s="18">
        <v>24.7</v>
      </c>
      <c r="P1118" s="18" t="s">
        <v>408</v>
      </c>
      <c r="Q1118" s="16">
        <v>46404.0</v>
      </c>
      <c r="R1118" s="16">
        <v>46268.0</v>
      </c>
      <c r="S1118" s="13" t="s">
        <v>45</v>
      </c>
      <c r="T1118" s="13" t="s">
        <v>104</v>
      </c>
      <c r="U1118" s="13">
        <f t="shared" si="1"/>
        <v>1</v>
      </c>
      <c r="V1118" s="13" t="str">
        <f t="shared" si="2"/>
        <v>C01045|Rahul Patel|38|East|Patna|Standard|Referral|4/19/2025|28|Annual|Upi|1,728|3|0|24.70|4.2|1/17/2027|9/3/2026|Churned|Analytics</v>
      </c>
      <c r="W1118" s="13">
        <f t="shared" si="3"/>
        <v>1</v>
      </c>
      <c r="X1118" s="13">
        <f>IFERROR(__xludf.DUMMYFUNCTION("COUNTUNIQUE(FILTER($B$2:$B$1826,$A$2:$A$1826=A1118))"),1.0)</f>
        <v>1</v>
      </c>
    </row>
    <row r="1119">
      <c r="A1119" s="13" t="s">
        <v>1702</v>
      </c>
      <c r="B1119" s="13" t="s">
        <v>172</v>
      </c>
      <c r="C1119" s="14">
        <v>23.0</v>
      </c>
      <c r="D1119" s="13" t="s">
        <v>85</v>
      </c>
      <c r="E1119" s="13" t="s">
        <v>92</v>
      </c>
      <c r="F1119" s="13" t="s">
        <v>62</v>
      </c>
      <c r="G1119" s="13" t="s">
        <v>128</v>
      </c>
      <c r="H1119" s="16">
        <v>44574.0</v>
      </c>
      <c r="I1119" s="14">
        <v>3.0</v>
      </c>
      <c r="J1119" s="13" t="s">
        <v>40</v>
      </c>
      <c r="K1119" s="13" t="s">
        <v>41</v>
      </c>
      <c r="L1119" s="14">
        <v>656.0</v>
      </c>
      <c r="M1119" s="18" t="s">
        <v>164</v>
      </c>
      <c r="N1119" s="18" t="s">
        <v>46</v>
      </c>
      <c r="O1119" s="18">
        <v>8.2</v>
      </c>
      <c r="P1119" s="18" t="s">
        <v>173</v>
      </c>
      <c r="Q1119" s="16">
        <v>44613.0</v>
      </c>
      <c r="R1119" s="16" t="s">
        <v>38</v>
      </c>
      <c r="S1119" s="13" t="s">
        <v>55</v>
      </c>
      <c r="T1119" s="13" t="s">
        <v>104</v>
      </c>
      <c r="U1119" s="13">
        <f t="shared" si="1"/>
        <v>1</v>
      </c>
      <c r="V1119" s="13" t="str">
        <f t="shared" si="2"/>
        <v>C01420|Meera Singh|23|West|Ahmedabad|Basic|Youtube|1/13/2022|3|Monthly|Upi|656|3|0|8.20|5|2/21/2022||Active|Analytics</v>
      </c>
      <c r="W1119" s="13">
        <f t="shared" si="3"/>
        <v>1</v>
      </c>
      <c r="X1119" s="13">
        <f>IFERROR(__xludf.DUMMYFUNCTION("COUNTUNIQUE(FILTER($B$2:$B$1826,$A$2:$A$1826=A1119))"),1.0)</f>
        <v>1</v>
      </c>
    </row>
    <row r="1120">
      <c r="A1120" s="13" t="s">
        <v>919</v>
      </c>
      <c r="B1120" s="13" t="s">
        <v>145</v>
      </c>
      <c r="C1120" s="14">
        <v>62.0</v>
      </c>
      <c r="D1120" s="13" t="s">
        <v>60</v>
      </c>
      <c r="E1120" s="13" t="s">
        <v>61</v>
      </c>
      <c r="F1120" s="13" t="s">
        <v>62</v>
      </c>
      <c r="G1120" s="13" t="s">
        <v>210</v>
      </c>
      <c r="H1120" s="16">
        <v>45258.0</v>
      </c>
      <c r="I1120" s="14">
        <v>31.0</v>
      </c>
      <c r="J1120" s="13" t="s">
        <v>40</v>
      </c>
      <c r="K1120" s="13" t="s">
        <v>65</v>
      </c>
      <c r="L1120" s="14">
        <v>603.0</v>
      </c>
      <c r="M1120" s="18" t="s">
        <v>164</v>
      </c>
      <c r="N1120" s="18" t="s">
        <v>46</v>
      </c>
      <c r="O1120" s="18">
        <v>22.7</v>
      </c>
      <c r="P1120" s="18" t="s">
        <v>173</v>
      </c>
      <c r="Q1120" s="16">
        <v>45703.0</v>
      </c>
      <c r="R1120" s="16" t="s">
        <v>38</v>
      </c>
      <c r="S1120" s="13" t="s">
        <v>55</v>
      </c>
      <c r="T1120" s="13" t="s">
        <v>72</v>
      </c>
      <c r="U1120" s="13">
        <f t="shared" si="1"/>
        <v>2</v>
      </c>
      <c r="V1120" s="13" t="str">
        <f t="shared" si="2"/>
        <v>C00668|Ravi Patel|62|East|Kolkata|Basic|Referral|11/28/2023|31|Monthly|Credit Card|603|3|0|22.70|5|2/15/2025||Active|Collaboration</v>
      </c>
      <c r="W1120" s="13">
        <f t="shared" si="3"/>
        <v>1</v>
      </c>
      <c r="X1120" s="13">
        <f>IFERROR(__xludf.DUMMYFUNCTION("COUNTUNIQUE(FILTER($B$2:$B$1826,$A$2:$A$1826=A1120))"),2.0)</f>
        <v>2</v>
      </c>
    </row>
    <row r="1121">
      <c r="A1121" s="13" t="s">
        <v>1703</v>
      </c>
      <c r="B1121" s="13" t="s">
        <v>241</v>
      </c>
      <c r="C1121" s="14">
        <v>60.0</v>
      </c>
      <c r="D1121" s="13" t="s">
        <v>85</v>
      </c>
      <c r="E1121" s="13" t="s">
        <v>87</v>
      </c>
      <c r="F1121" s="13" t="s">
        <v>37</v>
      </c>
      <c r="G1121" s="13" t="s">
        <v>52</v>
      </c>
      <c r="H1121" s="16">
        <v>45566.0</v>
      </c>
      <c r="I1121" s="14">
        <v>10.0</v>
      </c>
      <c r="J1121" s="13" t="s">
        <v>53</v>
      </c>
      <c r="K1121" s="13" t="s">
        <v>41</v>
      </c>
      <c r="L1121" s="14">
        <v>1226.0</v>
      </c>
      <c r="M1121" s="18" t="s">
        <v>164</v>
      </c>
      <c r="N1121" s="18" t="s">
        <v>46</v>
      </c>
      <c r="O1121" s="18">
        <v>25.1</v>
      </c>
      <c r="P1121" s="18" t="s">
        <v>76</v>
      </c>
      <c r="Q1121" s="16">
        <v>45805.0</v>
      </c>
      <c r="R1121" s="16" t="s">
        <v>38</v>
      </c>
      <c r="S1121" s="13" t="s">
        <v>55</v>
      </c>
      <c r="T1121" s="13" t="s">
        <v>104</v>
      </c>
      <c r="U1121" s="13">
        <f t="shared" si="1"/>
        <v>1</v>
      </c>
      <c r="V1121" s="13" t="str">
        <f t="shared" si="2"/>
        <v>C00583|Sneha Iyer|60|West|Surat|Standard|Facebook|10/1/2024|10|Quarterly|Upi|1,226|3|0|25.10|4.4|5/28/2025||Active|Analytics</v>
      </c>
      <c r="W1121" s="13">
        <f t="shared" si="3"/>
        <v>1</v>
      </c>
      <c r="X1121" s="13">
        <f>IFERROR(__xludf.DUMMYFUNCTION("COUNTUNIQUE(FILTER($B$2:$B$1826,$A$2:$A$1826=A1121))"),1.0)</f>
        <v>1</v>
      </c>
    </row>
    <row r="1122">
      <c r="A1122" s="13" t="s">
        <v>1232</v>
      </c>
      <c r="B1122" s="13" t="s">
        <v>160</v>
      </c>
      <c r="C1122" s="14">
        <v>23.0</v>
      </c>
      <c r="D1122" s="13" t="s">
        <v>60</v>
      </c>
      <c r="E1122" s="13" t="s">
        <v>97</v>
      </c>
      <c r="F1122" s="13" t="s">
        <v>79</v>
      </c>
      <c r="G1122" s="13" t="s">
        <v>210</v>
      </c>
      <c r="H1122" s="16">
        <v>44990.0</v>
      </c>
      <c r="I1122" s="14">
        <v>5.0</v>
      </c>
      <c r="J1122" s="13" t="s">
        <v>40</v>
      </c>
      <c r="K1122" s="13" t="s">
        <v>41</v>
      </c>
      <c r="L1122" s="14">
        <v>3111.0</v>
      </c>
      <c r="M1122" s="18" t="s">
        <v>98</v>
      </c>
      <c r="N1122" s="18" t="s">
        <v>46</v>
      </c>
      <c r="O1122" s="18">
        <v>42.0</v>
      </c>
      <c r="P1122" s="18" t="s">
        <v>203</v>
      </c>
      <c r="Q1122" s="16">
        <v>45027.0</v>
      </c>
      <c r="R1122" s="16" t="s">
        <v>38</v>
      </c>
      <c r="S1122" s="13" t="s">
        <v>55</v>
      </c>
      <c r="T1122" s="13" t="s">
        <v>66</v>
      </c>
      <c r="U1122" s="13">
        <f t="shared" si="1"/>
        <v>3</v>
      </c>
      <c r="V1122" s="13" t="str">
        <f t="shared" si="2"/>
        <v>C00266|Rahul Singh|23|East|Bhubaneswar|Premium|Referral|3/5/2023|5|Monthly|Upi|3,111|1|0|42.00|3.7|4/11/2023||Active|Automation</v>
      </c>
      <c r="W1122" s="13">
        <f t="shared" si="3"/>
        <v>1</v>
      </c>
      <c r="X1122" s="13">
        <f>IFERROR(__xludf.DUMMYFUNCTION("COUNTUNIQUE(FILTER($B$2:$B$1826,$A$2:$A$1826=A1122))"),3.0)</f>
        <v>3</v>
      </c>
    </row>
    <row r="1123">
      <c r="A1123" s="13" t="s">
        <v>1704</v>
      </c>
      <c r="B1123" s="13" t="s">
        <v>169</v>
      </c>
      <c r="C1123" s="14">
        <v>29.0</v>
      </c>
      <c r="D1123" s="13" t="s">
        <v>85</v>
      </c>
      <c r="E1123" s="13" t="s">
        <v>161</v>
      </c>
      <c r="F1123" s="13" t="s">
        <v>37</v>
      </c>
      <c r="G1123" s="13" t="s">
        <v>63</v>
      </c>
      <c r="H1123" s="16">
        <v>45334.0</v>
      </c>
      <c r="I1123" s="14">
        <v>48.0</v>
      </c>
      <c r="J1123" s="13" t="s">
        <v>40</v>
      </c>
      <c r="K1123" s="13" t="s">
        <v>81</v>
      </c>
      <c r="L1123" s="14">
        <v>1531.0</v>
      </c>
      <c r="M1123" s="18" t="s">
        <v>43</v>
      </c>
      <c r="N1123" s="18" t="s">
        <v>43</v>
      </c>
      <c r="O1123" s="18">
        <v>32.6</v>
      </c>
      <c r="P1123" s="18" t="s">
        <v>123</v>
      </c>
      <c r="Q1123" s="16">
        <v>46194.0</v>
      </c>
      <c r="R1123" s="16" t="s">
        <v>38</v>
      </c>
      <c r="S1123" s="13" t="s">
        <v>55</v>
      </c>
      <c r="T1123" s="13" t="s">
        <v>66</v>
      </c>
      <c r="U1123" s="13">
        <f t="shared" si="1"/>
        <v>1</v>
      </c>
      <c r="V1123" s="13" t="str">
        <f t="shared" si="2"/>
        <v>C00294|Vikram Nair|29|West|Chandigarh|Standard|Google Ads|2/12/2024|48|Monthly|Debit Card|1,531|2|2|32.60|4.1|6/21/2026||Active|Automation</v>
      </c>
      <c r="W1123" s="13">
        <f t="shared" si="3"/>
        <v>1</v>
      </c>
      <c r="X1123" s="13">
        <f>IFERROR(__xludf.DUMMYFUNCTION("COUNTUNIQUE(FILTER($B$2:$B$1826,$A$2:$A$1826=A1123))"),1.0)</f>
        <v>1</v>
      </c>
    </row>
    <row r="1124">
      <c r="A1124" s="13" t="s">
        <v>1705</v>
      </c>
      <c r="B1124" s="13" t="s">
        <v>405</v>
      </c>
      <c r="C1124" s="14">
        <v>49.0</v>
      </c>
      <c r="D1124" s="13" t="s">
        <v>60</v>
      </c>
      <c r="E1124" s="13" t="s">
        <v>61</v>
      </c>
      <c r="F1124" s="13" t="s">
        <v>37</v>
      </c>
      <c r="G1124" s="13" t="s">
        <v>128</v>
      </c>
      <c r="H1124" s="16">
        <v>45527.0</v>
      </c>
      <c r="I1124" s="14">
        <v>26.0</v>
      </c>
      <c r="J1124" s="13" t="s">
        <v>53</v>
      </c>
      <c r="K1124" s="13" t="s">
        <v>65</v>
      </c>
      <c r="L1124" s="14">
        <v>1680.0</v>
      </c>
      <c r="M1124" s="18" t="s">
        <v>46</v>
      </c>
      <c r="N1124" s="18" t="s">
        <v>46</v>
      </c>
      <c r="O1124" s="18">
        <v>20.4</v>
      </c>
      <c r="P1124" s="18" t="s">
        <v>275</v>
      </c>
      <c r="Q1124" s="16">
        <v>45718.0</v>
      </c>
      <c r="R1124" s="16" t="s">
        <v>38</v>
      </c>
      <c r="S1124" s="13" t="s">
        <v>55</v>
      </c>
      <c r="T1124" s="13" t="s">
        <v>72</v>
      </c>
      <c r="U1124" s="13">
        <f t="shared" si="1"/>
        <v>2</v>
      </c>
      <c r="V1124" s="13" t="str">
        <f t="shared" si="2"/>
        <v>C00949|Rahul Reddy|49|East|Kolkata|Standard|Youtube|8/23/2024|26|Quarterly|Credit Card|1,680|0|0|20.40|4.3|3/2/2025||Active|Collaboration</v>
      </c>
      <c r="W1124" s="13">
        <f t="shared" si="3"/>
        <v>1</v>
      </c>
      <c r="X1124" s="13">
        <f>IFERROR(__xludf.DUMMYFUNCTION("COUNTUNIQUE(FILTER($B$2:$B$1826,$A$2:$A$1826=A1124))"),2.0)</f>
        <v>2</v>
      </c>
    </row>
    <row r="1125">
      <c r="A1125" s="13" t="s">
        <v>455</v>
      </c>
      <c r="B1125" s="13" t="s">
        <v>734</v>
      </c>
      <c r="C1125" s="14">
        <v>61.0</v>
      </c>
      <c r="D1125" s="13" t="s">
        <v>60</v>
      </c>
      <c r="E1125" s="13" t="s">
        <v>107</v>
      </c>
      <c r="F1125" s="13" t="s">
        <v>37</v>
      </c>
      <c r="G1125" s="13" t="s">
        <v>120</v>
      </c>
      <c r="H1125" s="16">
        <v>44878.0</v>
      </c>
      <c r="I1125" s="14">
        <v>37.0</v>
      </c>
      <c r="J1125" s="13" t="s">
        <v>64</v>
      </c>
      <c r="K1125" s="13" t="s">
        <v>41</v>
      </c>
      <c r="L1125" s="14">
        <v>1144.0</v>
      </c>
      <c r="M1125" s="18" t="s">
        <v>43</v>
      </c>
      <c r="N1125" s="18" t="s">
        <v>46</v>
      </c>
      <c r="O1125" s="18">
        <v>23.9</v>
      </c>
      <c r="P1125" s="18" t="s">
        <v>701</v>
      </c>
      <c r="Q1125" s="16">
        <v>45072.0</v>
      </c>
      <c r="R1125" s="16" t="s">
        <v>1706</v>
      </c>
      <c r="S1125" s="13" t="s">
        <v>45</v>
      </c>
      <c r="T1125" s="13" t="s">
        <v>104</v>
      </c>
      <c r="U1125" s="13">
        <f t="shared" si="1"/>
        <v>5</v>
      </c>
      <c r="V1125" s="13" t="str">
        <f t="shared" si="2"/>
        <v>C01530|Sneha Das|61|East|Patna|Standard|Email|11/13/2022|37|Annual|Upi|1,144|2|0|23.90|2.8|5/26/2023|24/10/2025|Churned|Analytics</v>
      </c>
      <c r="W1125" s="13">
        <f t="shared" si="3"/>
        <v>1</v>
      </c>
      <c r="X1125" s="13">
        <f>IFERROR(__xludf.DUMMYFUNCTION("COUNTUNIQUE(FILTER($B$2:$B$1826,$A$2:$A$1826=A1125))"),4.0)</f>
        <v>4</v>
      </c>
    </row>
    <row r="1126">
      <c r="A1126" s="13" t="s">
        <v>1707</v>
      </c>
      <c r="B1126" s="13" t="s">
        <v>163</v>
      </c>
      <c r="C1126" s="14">
        <v>55.0</v>
      </c>
      <c r="D1126" s="13" t="s">
        <v>35</v>
      </c>
      <c r="E1126" s="13" t="s">
        <v>51</v>
      </c>
      <c r="F1126" s="13" t="s">
        <v>79</v>
      </c>
      <c r="G1126" s="13" t="s">
        <v>63</v>
      </c>
      <c r="H1126" s="16">
        <v>45883.0</v>
      </c>
      <c r="I1126" s="14">
        <v>31.0</v>
      </c>
      <c r="J1126" s="13" t="s">
        <v>64</v>
      </c>
      <c r="K1126" s="13" t="s">
        <v>81</v>
      </c>
      <c r="L1126" s="14">
        <v>1702.0</v>
      </c>
      <c r="M1126" s="18" t="s">
        <v>98</v>
      </c>
      <c r="N1126" s="18" t="s">
        <v>164</v>
      </c>
      <c r="O1126" s="18">
        <v>28.7</v>
      </c>
      <c r="P1126" s="18" t="s">
        <v>116</v>
      </c>
      <c r="Q1126" s="16">
        <v>46096.0</v>
      </c>
      <c r="R1126" s="16" t="s">
        <v>38</v>
      </c>
      <c r="S1126" s="13" t="s">
        <v>55</v>
      </c>
      <c r="T1126" s="13" t="s">
        <v>47</v>
      </c>
      <c r="U1126" s="13">
        <f t="shared" si="1"/>
        <v>4</v>
      </c>
      <c r="V1126" s="13" t="str">
        <f t="shared" si="2"/>
        <v>C00804|Sneha Singh|55|North|Jaipur|Premium|Google Ads|8/14/2025|31|Annual|Debit Card|1,702|1|3|28.70|3.4|3/15/2026||Active|Cloud Storage</v>
      </c>
      <c r="W1126" s="13">
        <f t="shared" si="3"/>
        <v>1</v>
      </c>
      <c r="X1126" s="13">
        <f>IFERROR(__xludf.DUMMYFUNCTION("COUNTUNIQUE(FILTER($B$2:$B$1826,$A$2:$A$1826=A1126))"),4.0)</f>
        <v>4</v>
      </c>
    </row>
    <row r="1127">
      <c r="A1127" s="13" t="s">
        <v>1708</v>
      </c>
      <c r="B1127" s="13" t="s">
        <v>411</v>
      </c>
      <c r="C1127" s="14">
        <v>61.0</v>
      </c>
      <c r="D1127" s="13" t="s">
        <v>60</v>
      </c>
      <c r="E1127" s="13" t="s">
        <v>97</v>
      </c>
      <c r="F1127" s="13" t="s">
        <v>62</v>
      </c>
      <c r="G1127" s="13" t="s">
        <v>80</v>
      </c>
      <c r="H1127" s="16">
        <v>45722.0</v>
      </c>
      <c r="I1127" s="14">
        <v>40.0</v>
      </c>
      <c r="J1127" s="13" t="s">
        <v>64</v>
      </c>
      <c r="K1127" s="13" t="s">
        <v>41</v>
      </c>
      <c r="L1127" s="14">
        <v>709.0</v>
      </c>
      <c r="M1127" s="18" t="s">
        <v>98</v>
      </c>
      <c r="N1127" s="18" t="s">
        <v>46</v>
      </c>
      <c r="O1127" s="18">
        <v>21.2</v>
      </c>
      <c r="P1127" s="18" t="s">
        <v>164</v>
      </c>
      <c r="Q1127" s="16">
        <v>45938.0</v>
      </c>
      <c r="R1127" s="16" t="s">
        <v>38</v>
      </c>
      <c r="S1127" s="13" t="s">
        <v>55</v>
      </c>
      <c r="T1127" s="13" t="s">
        <v>72</v>
      </c>
      <c r="U1127" s="13">
        <f t="shared" si="1"/>
        <v>3</v>
      </c>
      <c r="V1127" s="13" t="str">
        <f t="shared" si="2"/>
        <v>C00060|Karan Reddy|61|East|Bhubaneswar|Basic|Organic Search|3/6/2025|40|Annual|Upi|709|1|0|21.20|3|10/8/2025||Active|Collaboration</v>
      </c>
      <c r="W1127" s="13">
        <f t="shared" si="3"/>
        <v>1</v>
      </c>
      <c r="X1127" s="13">
        <f>IFERROR(__xludf.DUMMYFUNCTION("COUNTUNIQUE(FILTER($B$2:$B$1826,$A$2:$A$1826=A1127))"),3.0)</f>
        <v>3</v>
      </c>
    </row>
    <row r="1128">
      <c r="A1128" s="13" t="s">
        <v>350</v>
      </c>
      <c r="B1128" s="13" t="s">
        <v>636</v>
      </c>
      <c r="C1128" s="14">
        <v>54.0</v>
      </c>
      <c r="D1128" s="13" t="s">
        <v>69</v>
      </c>
      <c r="E1128" s="13" t="s">
        <v>187</v>
      </c>
      <c r="F1128" s="13" t="s">
        <v>79</v>
      </c>
      <c r="G1128" s="13" t="s">
        <v>210</v>
      </c>
      <c r="H1128" s="16">
        <v>45899.0</v>
      </c>
      <c r="I1128" s="14">
        <v>24.0</v>
      </c>
      <c r="J1128" s="13" t="s">
        <v>53</v>
      </c>
      <c r="K1128" s="13" t="s">
        <v>65</v>
      </c>
      <c r="L1128" s="14">
        <v>3751.0</v>
      </c>
      <c r="M1128" s="18" t="s">
        <v>173</v>
      </c>
      <c r="N1128" s="18" t="s">
        <v>98</v>
      </c>
      <c r="O1128" s="18">
        <v>36.9</v>
      </c>
      <c r="P1128" s="18" t="s">
        <v>225</v>
      </c>
      <c r="Q1128" s="16">
        <v>46462.0</v>
      </c>
      <c r="R1128" s="16" t="s">
        <v>38</v>
      </c>
      <c r="S1128" s="13" t="s">
        <v>55</v>
      </c>
      <c r="T1128" s="13" t="s">
        <v>75</v>
      </c>
      <c r="U1128" s="13">
        <f t="shared" si="1"/>
        <v>4</v>
      </c>
      <c r="V1128" s="13" t="str">
        <f t="shared" si="2"/>
        <v>C00484|Neha Reddy|54|South|Chennai|Premium|Referral|8/30/2025|24|Quarterly|Credit Card|3,751|5|1|36.90|3.8|3/16/2027||Active|Security</v>
      </c>
      <c r="W1128" s="13">
        <f t="shared" si="3"/>
        <v>1</v>
      </c>
      <c r="X1128" s="13">
        <f>IFERROR(__xludf.DUMMYFUNCTION("COUNTUNIQUE(FILTER($B$2:$B$1826,$A$2:$A$1826=A1128))"),4.0)</f>
        <v>4</v>
      </c>
    </row>
    <row r="1129">
      <c r="A1129" s="13" t="s">
        <v>1709</v>
      </c>
      <c r="B1129" s="13" t="s">
        <v>224</v>
      </c>
      <c r="C1129" s="14">
        <v>35.0</v>
      </c>
      <c r="D1129" s="13" t="s">
        <v>85</v>
      </c>
      <c r="E1129" s="13" t="s">
        <v>87</v>
      </c>
      <c r="F1129" s="13" t="s">
        <v>37</v>
      </c>
      <c r="G1129" s="13" t="s">
        <v>120</v>
      </c>
      <c r="H1129" s="16">
        <v>45010.0</v>
      </c>
      <c r="I1129" s="14">
        <v>11.0</v>
      </c>
      <c r="J1129" s="13" t="s">
        <v>64</v>
      </c>
      <c r="K1129" s="13" t="s">
        <v>65</v>
      </c>
      <c r="L1129" s="14">
        <v>1252.0</v>
      </c>
      <c r="M1129" s="18" t="s">
        <v>99</v>
      </c>
      <c r="N1129" s="18" t="s">
        <v>46</v>
      </c>
      <c r="O1129" s="18">
        <v>33.6</v>
      </c>
      <c r="P1129" s="18" t="s">
        <v>48</v>
      </c>
      <c r="Q1129" s="16">
        <v>45030.0</v>
      </c>
      <c r="R1129" s="16">
        <v>45567.0</v>
      </c>
      <c r="S1129" s="13" t="s">
        <v>45</v>
      </c>
      <c r="T1129" s="13" t="s">
        <v>66</v>
      </c>
      <c r="U1129" s="13">
        <f t="shared" si="1"/>
        <v>2</v>
      </c>
      <c r="V1129" s="13" t="str">
        <f t="shared" si="2"/>
        <v>C00251|Anita Iyer|35|West|Surat|Standard|Email|3/25/2023|11|Annual|Credit Card|1,252|4|0|33.60|3.6|4/14/2023|10/2/2024|Churned|Automation</v>
      </c>
      <c r="W1129" s="13">
        <f t="shared" si="3"/>
        <v>1</v>
      </c>
      <c r="X1129" s="13">
        <f>IFERROR(__xludf.DUMMYFUNCTION("COUNTUNIQUE(FILTER($B$2:$B$1826,$A$2:$A$1826=A1129))"),2.0)</f>
        <v>2</v>
      </c>
    </row>
    <row r="1130">
      <c r="A1130" s="13" t="s">
        <v>989</v>
      </c>
      <c r="B1130" s="13" t="s">
        <v>96</v>
      </c>
      <c r="C1130" s="14">
        <v>40.0</v>
      </c>
      <c r="D1130" s="13" t="s">
        <v>35</v>
      </c>
      <c r="E1130" s="13" t="s">
        <v>51</v>
      </c>
      <c r="F1130" s="13" t="s">
        <v>79</v>
      </c>
      <c r="G1130" s="13" t="s">
        <v>80</v>
      </c>
      <c r="H1130" s="16">
        <v>45754.0</v>
      </c>
      <c r="I1130" s="14">
        <v>29.0</v>
      </c>
      <c r="J1130" s="13" t="s">
        <v>40</v>
      </c>
      <c r="K1130" s="13" t="s">
        <v>81</v>
      </c>
      <c r="L1130" s="14">
        <v>2900.0</v>
      </c>
      <c r="M1130" s="18" t="s">
        <v>43</v>
      </c>
      <c r="N1130" s="18" t="s">
        <v>98</v>
      </c>
      <c r="O1130" s="18">
        <v>42.0</v>
      </c>
      <c r="P1130" s="18" t="s">
        <v>203</v>
      </c>
      <c r="Q1130" s="16">
        <v>45835.0</v>
      </c>
      <c r="R1130" s="16" t="s">
        <v>38</v>
      </c>
      <c r="S1130" s="13" t="s">
        <v>55</v>
      </c>
      <c r="T1130" s="13" t="s">
        <v>66</v>
      </c>
      <c r="U1130" s="13">
        <f t="shared" si="1"/>
        <v>3</v>
      </c>
      <c r="V1130" s="13" t="str">
        <f t="shared" si="2"/>
        <v>C01466|Rahul Kumar|40|North|Jaipur|Premium|Organic Search|4/7/2025|29|Monthly|Debit Card|2,900|2|1|42.00|3.7|6/27/2025||Active|Automation</v>
      </c>
      <c r="W1130" s="13">
        <f t="shared" si="3"/>
        <v>1</v>
      </c>
      <c r="X1130" s="13">
        <f>IFERROR(__xludf.DUMMYFUNCTION("COUNTUNIQUE(FILTER($B$2:$B$1826,$A$2:$A$1826=A1130))"),3.0)</f>
        <v>3</v>
      </c>
    </row>
    <row r="1131">
      <c r="A1131" s="13" t="s">
        <v>1711</v>
      </c>
      <c r="B1131" s="13" t="s">
        <v>96</v>
      </c>
      <c r="C1131" s="14">
        <v>62.0</v>
      </c>
      <c r="D1131" s="13" t="s">
        <v>85</v>
      </c>
      <c r="E1131" s="13" t="s">
        <v>292</v>
      </c>
      <c r="F1131" s="13" t="s">
        <v>62</v>
      </c>
      <c r="G1131" s="13" t="s">
        <v>52</v>
      </c>
      <c r="H1131" s="16">
        <v>45231.0</v>
      </c>
      <c r="I1131" s="14">
        <v>9.0</v>
      </c>
      <c r="J1131" s="13" t="s">
        <v>40</v>
      </c>
      <c r="K1131" s="13" t="s">
        <v>41</v>
      </c>
      <c r="L1131" s="14">
        <v>784.0</v>
      </c>
      <c r="M1131" s="18" t="s">
        <v>98</v>
      </c>
      <c r="N1131" s="18" t="s">
        <v>46</v>
      </c>
      <c r="O1131" s="18">
        <v>19.3</v>
      </c>
      <c r="P1131" s="18" t="s">
        <v>158</v>
      </c>
      <c r="Q1131" s="16">
        <v>45307.0</v>
      </c>
      <c r="R1131" s="16" t="s">
        <v>38</v>
      </c>
      <c r="S1131" s="13" t="s">
        <v>55</v>
      </c>
      <c r="T1131" s="13" t="s">
        <v>72</v>
      </c>
      <c r="U1131" s="13">
        <f t="shared" si="1"/>
        <v>3</v>
      </c>
      <c r="V1131" s="13" t="str">
        <f t="shared" si="2"/>
        <v>C00960|Rahul Kumar|62|West|Mumbai|Basic|Facebook|11/1/2023|9|Monthly|Upi|784|1|0|19.30|4.7|1/16/2024||Active|Collaboration</v>
      </c>
      <c r="W1131" s="13">
        <f t="shared" si="3"/>
        <v>1</v>
      </c>
      <c r="X1131" s="13">
        <f>IFERROR(__xludf.DUMMYFUNCTION("COUNTUNIQUE(FILTER($B$2:$B$1826,$A$2:$A$1826=A1131))"),3.0)</f>
        <v>3</v>
      </c>
    </row>
    <row r="1132">
      <c r="A1132" s="13" t="s">
        <v>1662</v>
      </c>
      <c r="B1132" s="13" t="s">
        <v>645</v>
      </c>
      <c r="C1132" s="14">
        <v>41.0</v>
      </c>
      <c r="D1132" s="13" t="s">
        <v>35</v>
      </c>
      <c r="E1132" s="13" t="s">
        <v>51</v>
      </c>
      <c r="F1132" s="13" t="s">
        <v>62</v>
      </c>
      <c r="G1132" s="13" t="s">
        <v>63</v>
      </c>
      <c r="H1132" s="16">
        <v>45105.0</v>
      </c>
      <c r="I1132" s="14">
        <v>36.0</v>
      </c>
      <c r="J1132" s="13" t="s">
        <v>64</v>
      </c>
      <c r="K1132" s="13" t="s">
        <v>41</v>
      </c>
      <c r="L1132" s="14">
        <v>850.0</v>
      </c>
      <c r="M1132" s="18" t="s">
        <v>98</v>
      </c>
      <c r="N1132" s="18" t="s">
        <v>46</v>
      </c>
      <c r="O1132" s="18">
        <v>12.8</v>
      </c>
      <c r="P1132" s="18" t="s">
        <v>203</v>
      </c>
      <c r="Q1132" s="16">
        <v>46146.0</v>
      </c>
      <c r="R1132" s="16" t="s">
        <v>38</v>
      </c>
      <c r="S1132" s="13" t="s">
        <v>55</v>
      </c>
      <c r="T1132" s="13" t="s">
        <v>72</v>
      </c>
      <c r="U1132" s="13">
        <f t="shared" si="1"/>
        <v>3</v>
      </c>
      <c r="V1132" s="13" t="str">
        <f t="shared" si="2"/>
        <v>C00814|Ravi Nair|41|North|Jaipur|Basic|Google Ads|6/28/2023|36|Annual|Upi|850|1|0|12.80|3.7|5/4/2026||Active|Collaboration</v>
      </c>
      <c r="W1132" s="13">
        <f t="shared" si="3"/>
        <v>1</v>
      </c>
      <c r="X1132" s="13">
        <f>IFERROR(__xludf.DUMMYFUNCTION("COUNTUNIQUE(FILTER($B$2:$B$1826,$A$2:$A$1826=A1132))"),3.0)</f>
        <v>3</v>
      </c>
    </row>
    <row r="1133">
      <c r="A1133" s="13" t="s">
        <v>1712</v>
      </c>
      <c r="B1133" s="13" t="s">
        <v>420</v>
      </c>
      <c r="C1133" s="14">
        <v>34.0</v>
      </c>
      <c r="D1133" s="13" t="s">
        <v>60</v>
      </c>
      <c r="E1133" s="13" t="s">
        <v>97</v>
      </c>
      <c r="F1133" s="13" t="s">
        <v>62</v>
      </c>
      <c r="G1133" s="13" t="s">
        <v>80</v>
      </c>
      <c r="H1133" s="16">
        <v>45369.0</v>
      </c>
      <c r="I1133" s="14">
        <v>4.0</v>
      </c>
      <c r="J1133" s="13" t="s">
        <v>53</v>
      </c>
      <c r="K1133" s="13" t="s">
        <v>81</v>
      </c>
      <c r="L1133" s="14">
        <v>883.0</v>
      </c>
      <c r="M1133" s="18" t="s">
        <v>99</v>
      </c>
      <c r="N1133" s="18" t="s">
        <v>46</v>
      </c>
      <c r="O1133" s="18">
        <v>15.8</v>
      </c>
      <c r="P1133" s="18" t="s">
        <v>285</v>
      </c>
      <c r="Q1133" s="16">
        <v>45430.0</v>
      </c>
      <c r="R1133" s="16" t="s">
        <v>972</v>
      </c>
      <c r="S1133" s="13" t="s">
        <v>45</v>
      </c>
      <c r="T1133" s="13" t="s">
        <v>104</v>
      </c>
      <c r="U1133" s="13">
        <f t="shared" si="1"/>
        <v>2</v>
      </c>
      <c r="V1133" s="13" t="str">
        <f t="shared" si="2"/>
        <v>C01367|Vikram Iyer|34|East|Bhubaneswar|Basic|Organic Search|3/18/2024|4|Quarterly|Debit Card|883|4|0|15.80|2.3|5/18/2024|19/04/2024|Churned|Analytics</v>
      </c>
      <c r="W1133" s="13">
        <f t="shared" si="3"/>
        <v>1</v>
      </c>
      <c r="X1133" s="13">
        <f>IFERROR(__xludf.DUMMYFUNCTION("COUNTUNIQUE(FILTER($B$2:$B$1826,$A$2:$A$1826=A1133))"),2.0)</f>
        <v>2</v>
      </c>
    </row>
    <row r="1134">
      <c r="A1134" s="13" t="s">
        <v>546</v>
      </c>
      <c r="B1134" s="13" t="s">
        <v>605</v>
      </c>
      <c r="C1134" s="14">
        <v>68.0</v>
      </c>
      <c r="D1134" s="13" t="s">
        <v>60</v>
      </c>
      <c r="E1134" s="13" t="s">
        <v>61</v>
      </c>
      <c r="F1134" s="13" t="s">
        <v>37</v>
      </c>
      <c r="G1134" s="13" t="s">
        <v>210</v>
      </c>
      <c r="H1134" s="16">
        <v>44895.0</v>
      </c>
      <c r="I1134" s="14">
        <v>14.0</v>
      </c>
      <c r="J1134" s="13" t="s">
        <v>64</v>
      </c>
      <c r="K1134" s="13" t="s">
        <v>81</v>
      </c>
      <c r="L1134" s="14">
        <v>1094.0</v>
      </c>
      <c r="M1134" s="18" t="s">
        <v>164</v>
      </c>
      <c r="N1134" s="18" t="s">
        <v>46</v>
      </c>
      <c r="O1134" s="18">
        <v>26.3</v>
      </c>
      <c r="P1134" s="18" t="s">
        <v>248</v>
      </c>
      <c r="Q1134" s="16">
        <v>45303.0</v>
      </c>
      <c r="R1134" s="16" t="s">
        <v>1714</v>
      </c>
      <c r="S1134" s="13" t="s">
        <v>45</v>
      </c>
      <c r="T1134" s="13" t="s">
        <v>72</v>
      </c>
      <c r="U1134" s="13">
        <f t="shared" si="1"/>
        <v>5</v>
      </c>
      <c r="V1134" s="13" t="str">
        <f t="shared" si="2"/>
        <v>C01173|Meera Patel|68|East|Kolkata|Standard|Referral|11/30/2022|14|Annual|Debit Card|1,094|3|0|26.30|2.6|1/12/2024|16/03/2023|Churned|Collaboration</v>
      </c>
      <c r="W1134" s="13">
        <f t="shared" si="3"/>
        <v>1</v>
      </c>
      <c r="X1134" s="13">
        <f>IFERROR(__xludf.DUMMYFUNCTION("COUNTUNIQUE(FILTER($B$2:$B$1826,$A$2:$A$1826=A1134))"),5.0)</f>
        <v>5</v>
      </c>
    </row>
    <row r="1135">
      <c r="A1135" s="13" t="s">
        <v>1715</v>
      </c>
      <c r="B1135" s="13" t="s">
        <v>202</v>
      </c>
      <c r="C1135" s="14">
        <v>49.0</v>
      </c>
      <c r="D1135" s="13" t="s">
        <v>35</v>
      </c>
      <c r="E1135" s="13" t="s">
        <v>36</v>
      </c>
      <c r="F1135" s="13" t="s">
        <v>62</v>
      </c>
      <c r="G1135" s="13" t="s">
        <v>120</v>
      </c>
      <c r="H1135" s="16">
        <v>45129.0</v>
      </c>
      <c r="I1135" s="14">
        <v>42.0</v>
      </c>
      <c r="J1135" s="13" t="s">
        <v>40</v>
      </c>
      <c r="K1135" s="13" t="s">
        <v>41</v>
      </c>
      <c r="L1135" s="14">
        <v>760.0</v>
      </c>
      <c r="M1135" s="18" t="s">
        <v>43</v>
      </c>
      <c r="N1135" s="18" t="s">
        <v>43</v>
      </c>
      <c r="O1135" s="18">
        <v>21.2</v>
      </c>
      <c r="P1135" s="18" t="s">
        <v>108</v>
      </c>
      <c r="Q1135" s="16">
        <v>46392.0</v>
      </c>
      <c r="R1135" s="16" t="s">
        <v>1716</v>
      </c>
      <c r="S1135" s="13" t="s">
        <v>45</v>
      </c>
      <c r="T1135" s="13" t="s">
        <v>66</v>
      </c>
      <c r="U1135" s="13">
        <f t="shared" si="1"/>
        <v>1</v>
      </c>
      <c r="V1135" s="13" t="str">
        <f t="shared" si="2"/>
        <v>C01360|Arun Das|49|North|Delhi|Basic|Email|7/22/2023|42|Monthly|Upi|760|2|2|21.20|2.4|1/5/2027|26/09/2024|Churned|Automation</v>
      </c>
      <c r="W1135" s="13">
        <f t="shared" si="3"/>
        <v>1</v>
      </c>
      <c r="X1135" s="13">
        <f>IFERROR(__xludf.DUMMYFUNCTION("COUNTUNIQUE(FILTER($B$2:$B$1826,$A$2:$A$1826=A1135))"),1.0)</f>
        <v>1</v>
      </c>
    </row>
    <row r="1136">
      <c r="A1136" s="13" t="s">
        <v>1167</v>
      </c>
      <c r="B1136" s="13" t="s">
        <v>118</v>
      </c>
      <c r="C1136" s="14">
        <v>67.0</v>
      </c>
      <c r="D1136" s="13" t="s">
        <v>35</v>
      </c>
      <c r="E1136" s="13" t="s">
        <v>36</v>
      </c>
      <c r="F1136" s="13" t="s">
        <v>62</v>
      </c>
      <c r="G1136" s="13" t="s">
        <v>80</v>
      </c>
      <c r="H1136" s="16">
        <v>45858.0</v>
      </c>
      <c r="I1136" s="14">
        <v>10.0</v>
      </c>
      <c r="J1136" s="13" t="s">
        <v>64</v>
      </c>
      <c r="K1136" s="13" t="s">
        <v>41</v>
      </c>
      <c r="L1136" s="14">
        <v>558.0</v>
      </c>
      <c r="M1136" s="18" t="s">
        <v>43</v>
      </c>
      <c r="N1136" s="18" t="s">
        <v>98</v>
      </c>
      <c r="O1136" s="18">
        <v>21.6</v>
      </c>
      <c r="P1136" s="18" t="s">
        <v>203</v>
      </c>
      <c r="Q1136" s="16" t="s">
        <v>38</v>
      </c>
      <c r="R1136" s="16">
        <v>46330.0</v>
      </c>
      <c r="S1136" s="13" t="s">
        <v>45</v>
      </c>
      <c r="T1136" s="13" t="s">
        <v>104</v>
      </c>
      <c r="U1136" s="13">
        <f t="shared" si="1"/>
        <v>2</v>
      </c>
      <c r="V1136" s="13" t="str">
        <f t="shared" si="2"/>
        <v>C01024|Karan Nair|67|North|Delhi|Basic|Organic Search|7/20/2025|10|Annual|Upi|558|2|1|21.60|3.7||11/4/2026|Churned|Analytics</v>
      </c>
      <c r="W1136" s="13">
        <f t="shared" si="3"/>
        <v>1</v>
      </c>
      <c r="X1136" s="13">
        <f>IFERROR(__xludf.DUMMYFUNCTION("COUNTUNIQUE(FILTER($B$2:$B$1826,$A$2:$A$1826=A1136))"),2.0)</f>
        <v>2</v>
      </c>
    </row>
    <row r="1137">
      <c r="A1137" s="13" t="s">
        <v>307</v>
      </c>
      <c r="B1137" s="13" t="s">
        <v>405</v>
      </c>
      <c r="C1137" s="14">
        <v>61.0</v>
      </c>
      <c r="D1137" s="13" t="s">
        <v>35</v>
      </c>
      <c r="E1137" s="13" t="s">
        <v>36</v>
      </c>
      <c r="F1137" s="13" t="s">
        <v>62</v>
      </c>
      <c r="G1137" s="13" t="s">
        <v>120</v>
      </c>
      <c r="H1137" s="16">
        <v>44776.0</v>
      </c>
      <c r="I1137" s="14">
        <v>9.0</v>
      </c>
      <c r="J1137" s="13" t="s">
        <v>64</v>
      </c>
      <c r="K1137" s="13" t="s">
        <v>81</v>
      </c>
      <c r="L1137" s="14">
        <v>520.0</v>
      </c>
      <c r="M1137" s="18" t="s">
        <v>99</v>
      </c>
      <c r="N1137" s="18" t="s">
        <v>43</v>
      </c>
      <c r="O1137" s="18">
        <v>23.5</v>
      </c>
      <c r="P1137" s="18" t="s">
        <v>296</v>
      </c>
      <c r="Q1137" s="16">
        <v>44802.0</v>
      </c>
      <c r="R1137" s="16" t="s">
        <v>1718</v>
      </c>
      <c r="S1137" s="13" t="s">
        <v>45</v>
      </c>
      <c r="T1137" s="13" t="s">
        <v>75</v>
      </c>
      <c r="U1137" s="13">
        <f t="shared" si="1"/>
        <v>3</v>
      </c>
      <c r="V1137" s="13" t="str">
        <f t="shared" si="2"/>
        <v>C00236|Rahul Reddy|61|North|Delhi|Basic|Email|8/3/2022|9|Annual|Debit Card|520|4|2|23.50|4.6|8/29/2022|18/04/2023|Churned|Security</v>
      </c>
      <c r="W1137" s="13">
        <f t="shared" si="3"/>
        <v>1</v>
      </c>
      <c r="X1137" s="13">
        <f>IFERROR(__xludf.DUMMYFUNCTION("COUNTUNIQUE(FILTER($B$2:$B$1826,$A$2:$A$1826=A1137))"),3.0)</f>
        <v>3</v>
      </c>
    </row>
    <row r="1138">
      <c r="A1138" s="13" t="s">
        <v>1719</v>
      </c>
      <c r="B1138" s="13" t="s">
        <v>383</v>
      </c>
      <c r="C1138" s="14">
        <v>60.0</v>
      </c>
      <c r="D1138" s="13" t="s">
        <v>69</v>
      </c>
      <c r="E1138" s="13" t="s">
        <v>187</v>
      </c>
      <c r="F1138" s="13" t="s">
        <v>62</v>
      </c>
      <c r="G1138" s="13" t="s">
        <v>80</v>
      </c>
      <c r="H1138" s="16">
        <v>44956.0</v>
      </c>
      <c r="I1138" s="14">
        <v>28.0</v>
      </c>
      <c r="J1138" s="13" t="s">
        <v>64</v>
      </c>
      <c r="K1138" s="13" t="s">
        <v>41</v>
      </c>
      <c r="L1138" s="14">
        <v>605.0</v>
      </c>
      <c r="M1138" s="18" t="s">
        <v>46</v>
      </c>
      <c r="N1138" s="18" t="s">
        <v>46</v>
      </c>
      <c r="O1138" s="18">
        <v>6.5</v>
      </c>
      <c r="P1138" s="18" t="s">
        <v>233</v>
      </c>
      <c r="Q1138" s="16">
        <v>45642.0</v>
      </c>
      <c r="R1138" s="16" t="s">
        <v>38</v>
      </c>
      <c r="S1138" s="13" t="s">
        <v>55</v>
      </c>
      <c r="T1138" s="13" t="s">
        <v>66</v>
      </c>
      <c r="U1138" s="13">
        <f t="shared" si="1"/>
        <v>3</v>
      </c>
      <c r="V1138" s="13" t="str">
        <f t="shared" si="2"/>
        <v>C00510|Rahul Nair|60|South|Chennai|Basic|Organic Search|1/30/2023|28|Annual|Upi|605|0|0|6.50|3.5|12/16/2024||Active|Automation</v>
      </c>
      <c r="W1138" s="13">
        <f t="shared" si="3"/>
        <v>1</v>
      </c>
      <c r="X1138" s="13">
        <f>IFERROR(__xludf.DUMMYFUNCTION("COUNTUNIQUE(FILTER($B$2:$B$1826,$A$2:$A$1826=A1138))"),2.0)</f>
        <v>2</v>
      </c>
    </row>
    <row r="1139">
      <c r="A1139" s="13" t="s">
        <v>631</v>
      </c>
      <c r="B1139" s="13" t="s">
        <v>74</v>
      </c>
      <c r="C1139" s="14">
        <v>55.0</v>
      </c>
      <c r="D1139" s="13" t="s">
        <v>69</v>
      </c>
      <c r="E1139" s="13" t="s">
        <v>177</v>
      </c>
      <c r="F1139" s="13" t="s">
        <v>62</v>
      </c>
      <c r="G1139" s="13" t="s">
        <v>63</v>
      </c>
      <c r="H1139" s="16">
        <v>45144.0</v>
      </c>
      <c r="I1139" s="14">
        <v>2.0</v>
      </c>
      <c r="J1139" s="13" t="s">
        <v>64</v>
      </c>
      <c r="K1139" s="13" t="s">
        <v>65</v>
      </c>
      <c r="L1139" s="14">
        <v>848.0</v>
      </c>
      <c r="M1139" s="18" t="s">
        <v>164</v>
      </c>
      <c r="N1139" s="18" t="s">
        <v>46</v>
      </c>
      <c r="O1139" s="18">
        <v>1.0</v>
      </c>
      <c r="P1139" s="18" t="s">
        <v>130</v>
      </c>
      <c r="Q1139" s="16">
        <v>45221.0</v>
      </c>
      <c r="R1139" s="16" t="s">
        <v>1721</v>
      </c>
      <c r="S1139" s="13" t="s">
        <v>45</v>
      </c>
      <c r="T1139" s="13" t="s">
        <v>47</v>
      </c>
      <c r="U1139" s="13">
        <f t="shared" si="1"/>
        <v>4</v>
      </c>
      <c r="V1139" s="13" t="str">
        <f t="shared" si="2"/>
        <v>C00213|Anita Kumar|55|South|Hyderabad|Basic|Google Ads|8/6/2023|2|Annual|Credit Card|848|3|0|1.00|3.9|10/22/2023|13/09/2023|Churned|Cloud Storage</v>
      </c>
      <c r="W1139" s="13">
        <f t="shared" si="3"/>
        <v>1</v>
      </c>
      <c r="X1139" s="13">
        <f>IFERROR(__xludf.DUMMYFUNCTION("COUNTUNIQUE(FILTER($B$2:$B$1826,$A$2:$A$1826=A1139))"),4.0)</f>
        <v>4</v>
      </c>
    </row>
    <row r="1140">
      <c r="A1140" s="13" t="s">
        <v>1334</v>
      </c>
      <c r="B1140" s="13" t="s">
        <v>303</v>
      </c>
      <c r="C1140" s="14">
        <v>32.0</v>
      </c>
      <c r="D1140" s="13" t="s">
        <v>60</v>
      </c>
      <c r="E1140" s="13" t="s">
        <v>133</v>
      </c>
      <c r="F1140" s="13" t="s">
        <v>62</v>
      </c>
      <c r="G1140" s="13" t="s">
        <v>128</v>
      </c>
      <c r="H1140" s="16">
        <v>45773.0</v>
      </c>
      <c r="I1140" s="14">
        <v>13.0</v>
      </c>
      <c r="J1140" s="13" t="s">
        <v>64</v>
      </c>
      <c r="K1140" s="13" t="s">
        <v>81</v>
      </c>
      <c r="L1140" s="14">
        <v>686.0</v>
      </c>
      <c r="M1140" s="18" t="s">
        <v>98</v>
      </c>
      <c r="N1140" s="18" t="s">
        <v>46</v>
      </c>
      <c r="O1140" s="18">
        <v>30.1</v>
      </c>
      <c r="P1140" s="18" t="s">
        <v>123</v>
      </c>
      <c r="Q1140" s="16">
        <v>45977.0</v>
      </c>
      <c r="R1140" s="16" t="s">
        <v>38</v>
      </c>
      <c r="S1140" s="13" t="s">
        <v>55</v>
      </c>
      <c r="T1140" s="13" t="s">
        <v>66</v>
      </c>
      <c r="U1140" s="13">
        <f t="shared" si="1"/>
        <v>2</v>
      </c>
      <c r="V1140" s="13" t="str">
        <f t="shared" si="2"/>
        <v>C00308|Priya Kumar|32|East|Guwahati|Basic|Youtube|4/26/2025|13|Annual|Debit Card|686|1|0|30.10|4.1|11/16/2025||Active|Automation</v>
      </c>
      <c r="W1140" s="13">
        <f t="shared" si="3"/>
        <v>1</v>
      </c>
      <c r="X1140" s="13">
        <f>IFERROR(__xludf.DUMMYFUNCTION("COUNTUNIQUE(FILTER($B$2:$B$1826,$A$2:$A$1826=A1140))"),2.0)</f>
        <v>2</v>
      </c>
    </row>
    <row r="1141">
      <c r="A1141" s="13" t="s">
        <v>1723</v>
      </c>
      <c r="B1141" s="13" t="s">
        <v>333</v>
      </c>
      <c r="C1141" s="14">
        <v>41.0</v>
      </c>
      <c r="D1141" s="13" t="s">
        <v>60</v>
      </c>
      <c r="E1141" s="13" t="s">
        <v>97</v>
      </c>
      <c r="F1141" s="13" t="s">
        <v>79</v>
      </c>
      <c r="G1141" s="13" t="s">
        <v>80</v>
      </c>
      <c r="H1141" s="16">
        <v>45578.0</v>
      </c>
      <c r="I1141" s="14">
        <v>2.0</v>
      </c>
      <c r="J1141" s="13" t="s">
        <v>64</v>
      </c>
      <c r="K1141" s="13" t="s">
        <v>65</v>
      </c>
      <c r="L1141" s="14">
        <v>1463.0</v>
      </c>
      <c r="M1141" s="18" t="s">
        <v>46</v>
      </c>
      <c r="N1141" s="18" t="s">
        <v>98</v>
      </c>
      <c r="O1141" s="18">
        <v>24.9</v>
      </c>
      <c r="P1141" s="18" t="s">
        <v>164</v>
      </c>
      <c r="Q1141" s="16">
        <v>45606.0</v>
      </c>
      <c r="R1141" s="16" t="s">
        <v>1725</v>
      </c>
      <c r="S1141" s="13" t="s">
        <v>45</v>
      </c>
      <c r="T1141" s="13" t="s">
        <v>66</v>
      </c>
      <c r="U1141" s="13">
        <f t="shared" si="1"/>
        <v>2</v>
      </c>
      <c r="V1141" s="13" t="str">
        <f t="shared" si="2"/>
        <v>C01222|Neha Das|41|East|Bhubaneswar|Premium|Organic Search|10/13/2024|2|Annual|Credit Card|1,463|0|1|24.90|3|11/10/2024|29/11/2024|Churned|Automation</v>
      </c>
      <c r="W1141" s="13">
        <f t="shared" si="3"/>
        <v>1</v>
      </c>
      <c r="X1141" s="13">
        <f>IFERROR(__xludf.DUMMYFUNCTION("COUNTUNIQUE(FILTER($B$2:$B$1826,$A$2:$A$1826=A1141))"),2.0)</f>
        <v>2</v>
      </c>
    </row>
    <row r="1142">
      <c r="A1142" s="13" t="s">
        <v>1646</v>
      </c>
      <c r="B1142" s="13" t="s">
        <v>126</v>
      </c>
      <c r="C1142" s="14">
        <v>49.0</v>
      </c>
      <c r="D1142" s="13" t="s">
        <v>85</v>
      </c>
      <c r="E1142" s="13" t="s">
        <v>92</v>
      </c>
      <c r="F1142" s="13" t="s">
        <v>37</v>
      </c>
      <c r="G1142" s="13" t="s">
        <v>80</v>
      </c>
      <c r="H1142" s="16">
        <v>44996.0</v>
      </c>
      <c r="I1142" s="14">
        <v>2.0</v>
      </c>
      <c r="J1142" s="13" t="s">
        <v>40</v>
      </c>
      <c r="K1142" s="13" t="s">
        <v>65</v>
      </c>
      <c r="L1142" s="14">
        <v>1759.0</v>
      </c>
      <c r="M1142" s="18" t="s">
        <v>98</v>
      </c>
      <c r="N1142" s="18" t="s">
        <v>43</v>
      </c>
      <c r="O1142" s="18">
        <v>25.8</v>
      </c>
      <c r="P1142" s="18" t="s">
        <v>116</v>
      </c>
      <c r="Q1142" s="16">
        <v>45025.0</v>
      </c>
      <c r="R1142" s="16" t="s">
        <v>38</v>
      </c>
      <c r="S1142" s="13" t="s">
        <v>55</v>
      </c>
      <c r="T1142" s="13" t="s">
        <v>104</v>
      </c>
      <c r="U1142" s="13">
        <f t="shared" si="1"/>
        <v>2</v>
      </c>
      <c r="V1142" s="13" t="str">
        <f t="shared" si="2"/>
        <v>C00751|Arun Patel|49|West|Ahmedabad|Standard|Organic Search|3/11/2023|2|Monthly|Credit Card|1,759|1|2|25.80|3.4|4/9/2023||Active|Analytics</v>
      </c>
      <c r="W1142" s="13">
        <f t="shared" si="3"/>
        <v>1</v>
      </c>
      <c r="X1142" s="13">
        <f>IFERROR(__xludf.DUMMYFUNCTION("COUNTUNIQUE(FILTER($B$2:$B$1826,$A$2:$A$1826=A1142))"),2.0)</f>
        <v>2</v>
      </c>
    </row>
    <row r="1143">
      <c r="A1143" s="13" t="s">
        <v>220</v>
      </c>
      <c r="B1143" s="13" t="s">
        <v>393</v>
      </c>
      <c r="C1143" s="14">
        <v>56.0</v>
      </c>
      <c r="D1143" s="13" t="s">
        <v>69</v>
      </c>
      <c r="E1143" s="13" t="s">
        <v>119</v>
      </c>
      <c r="F1143" s="13" t="s">
        <v>62</v>
      </c>
      <c r="G1143" s="13" t="s">
        <v>63</v>
      </c>
      <c r="H1143" s="16">
        <v>45131.0</v>
      </c>
      <c r="I1143" s="14">
        <v>4.0</v>
      </c>
      <c r="J1143" s="13" t="s">
        <v>40</v>
      </c>
      <c r="K1143" s="13" t="s">
        <v>65</v>
      </c>
      <c r="L1143" s="14">
        <v>816.0</v>
      </c>
      <c r="M1143" s="18" t="s">
        <v>43</v>
      </c>
      <c r="N1143" s="18" t="s">
        <v>46</v>
      </c>
      <c r="O1143" s="18">
        <v>14.8</v>
      </c>
      <c r="P1143" s="18" t="s">
        <v>203</v>
      </c>
      <c r="Q1143" s="16">
        <v>45162.0</v>
      </c>
      <c r="R1143" s="16" t="s">
        <v>38</v>
      </c>
      <c r="S1143" s="13" t="s">
        <v>55</v>
      </c>
      <c r="T1143" s="13" t="s">
        <v>47</v>
      </c>
      <c r="U1143" s="13">
        <f t="shared" si="1"/>
        <v>2</v>
      </c>
      <c r="V1143" s="13" t="str">
        <f t="shared" si="2"/>
        <v>C00742|Karan Das|56|South|Kochi|Basic|Google Ads|7/24/2023|4|Monthly|Credit Card|816|2|0|14.80|3.7|8/24/2023||Active|Cloud Storage</v>
      </c>
      <c r="W1143" s="13">
        <f t="shared" si="3"/>
        <v>1</v>
      </c>
      <c r="X1143" s="13">
        <f>IFERROR(__xludf.DUMMYFUNCTION("COUNTUNIQUE(FILTER($B$2:$B$1826,$A$2:$A$1826=A1143))"),2.0)</f>
        <v>2</v>
      </c>
    </row>
    <row r="1144">
      <c r="A1144" s="13" t="s">
        <v>1726</v>
      </c>
      <c r="B1144" s="13" t="s">
        <v>380</v>
      </c>
      <c r="C1144" s="14">
        <v>21.0</v>
      </c>
      <c r="D1144" s="13" t="s">
        <v>69</v>
      </c>
      <c r="E1144" s="13" t="s">
        <v>177</v>
      </c>
      <c r="F1144" s="13" t="s">
        <v>37</v>
      </c>
      <c r="G1144" s="13" t="s">
        <v>63</v>
      </c>
      <c r="H1144" s="16">
        <v>45263.0</v>
      </c>
      <c r="I1144" s="14">
        <v>21.0</v>
      </c>
      <c r="J1144" s="13" t="s">
        <v>40</v>
      </c>
      <c r="K1144" s="13" t="s">
        <v>41</v>
      </c>
      <c r="L1144" s="14">
        <v>1699.0</v>
      </c>
      <c r="M1144" s="18" t="s">
        <v>98</v>
      </c>
      <c r="N1144" s="18" t="s">
        <v>43</v>
      </c>
      <c r="O1144" s="18">
        <v>20.2</v>
      </c>
      <c r="P1144" s="18" t="s">
        <v>38</v>
      </c>
      <c r="Q1144" s="16">
        <v>45280.0</v>
      </c>
      <c r="R1144" s="16" t="s">
        <v>38</v>
      </c>
      <c r="S1144" s="13" t="s">
        <v>55</v>
      </c>
      <c r="T1144" s="13" t="s">
        <v>104</v>
      </c>
      <c r="U1144" s="13">
        <f t="shared" si="1"/>
        <v>1</v>
      </c>
      <c r="V1144" s="13" t="str">
        <f t="shared" si="2"/>
        <v>C00267|Neha Iyer|21|South|Hyderabad|Standard|Google Ads|12/3/2023|21|Monthly|Upi|1,699|1|2|20.20||12/20/2023||Active|Analytics</v>
      </c>
      <c r="W1144" s="13">
        <f t="shared" si="3"/>
        <v>1</v>
      </c>
      <c r="X1144" s="13">
        <f>IFERROR(__xludf.DUMMYFUNCTION("COUNTUNIQUE(FILTER($B$2:$B$1826,$A$2:$A$1826=A1144))"),1.0)</f>
        <v>1</v>
      </c>
    </row>
    <row r="1145">
      <c r="A1145" s="13" t="s">
        <v>1157</v>
      </c>
      <c r="B1145" s="13" t="s">
        <v>257</v>
      </c>
      <c r="C1145" s="14">
        <v>42.0</v>
      </c>
      <c r="D1145" s="13" t="s">
        <v>60</v>
      </c>
      <c r="E1145" s="13" t="s">
        <v>133</v>
      </c>
      <c r="F1145" s="13" t="s">
        <v>79</v>
      </c>
      <c r="G1145" s="13" t="s">
        <v>80</v>
      </c>
      <c r="H1145" s="16">
        <v>45872.0</v>
      </c>
      <c r="I1145" s="14">
        <v>29.0</v>
      </c>
      <c r="J1145" s="13" t="s">
        <v>53</v>
      </c>
      <c r="K1145" s="13" t="s">
        <v>65</v>
      </c>
      <c r="L1145" s="14">
        <v>2131.0</v>
      </c>
      <c r="M1145" s="18" t="s">
        <v>46</v>
      </c>
      <c r="N1145" s="18" t="s">
        <v>98</v>
      </c>
      <c r="O1145" s="18">
        <v>43.3</v>
      </c>
      <c r="P1145" s="18" t="s">
        <v>158</v>
      </c>
      <c r="Q1145" s="16">
        <v>46261.0</v>
      </c>
      <c r="R1145" s="16" t="s">
        <v>38</v>
      </c>
      <c r="S1145" s="13" t="s">
        <v>55</v>
      </c>
      <c r="T1145" s="13" t="s">
        <v>47</v>
      </c>
      <c r="U1145" s="13">
        <f t="shared" si="1"/>
        <v>3</v>
      </c>
      <c r="V1145" s="13" t="str">
        <f t="shared" si="2"/>
        <v>C00035|Sneha Reddy|42|East|Guwahati|Premium|Organic Search|8/3/2025|29|Quarterly|Credit Card|2,131|0|1|43.30|4.7|8/27/2026||Active|Cloud Storage</v>
      </c>
      <c r="W1145" s="13">
        <f t="shared" si="3"/>
        <v>1</v>
      </c>
      <c r="X1145" s="13">
        <f>IFERROR(__xludf.DUMMYFUNCTION("COUNTUNIQUE(FILTER($B$2:$B$1826,$A$2:$A$1826=A1145))"),3.0)</f>
        <v>3</v>
      </c>
    </row>
    <row r="1146">
      <c r="A1146" s="13" t="s">
        <v>1729</v>
      </c>
      <c r="B1146" s="13" t="s">
        <v>325</v>
      </c>
      <c r="C1146" s="14">
        <v>21.0</v>
      </c>
      <c r="D1146" s="13" t="s">
        <v>60</v>
      </c>
      <c r="E1146" s="13" t="s">
        <v>133</v>
      </c>
      <c r="F1146" s="13" t="s">
        <v>37</v>
      </c>
      <c r="G1146" s="13" t="s">
        <v>39</v>
      </c>
      <c r="H1146" s="16">
        <v>45076.0</v>
      </c>
      <c r="I1146" s="14">
        <v>30.0</v>
      </c>
      <c r="J1146" s="13" t="s">
        <v>40</v>
      </c>
      <c r="K1146" s="13" t="s">
        <v>41</v>
      </c>
      <c r="L1146" s="14">
        <v>1044.0</v>
      </c>
      <c r="M1146" s="18" t="s">
        <v>99</v>
      </c>
      <c r="N1146" s="18" t="s">
        <v>43</v>
      </c>
      <c r="O1146" s="18">
        <v>17.8</v>
      </c>
      <c r="P1146" s="18" t="s">
        <v>173</v>
      </c>
      <c r="Q1146" s="16">
        <v>45146.0</v>
      </c>
      <c r="R1146" s="16" t="s">
        <v>38</v>
      </c>
      <c r="S1146" s="13" t="s">
        <v>55</v>
      </c>
      <c r="T1146" s="13" t="s">
        <v>75</v>
      </c>
      <c r="U1146" s="13">
        <f t="shared" si="1"/>
        <v>1</v>
      </c>
      <c r="V1146" s="13" t="str">
        <f t="shared" si="2"/>
        <v>C00505|Priya Sharma|21|East|Guwahati|Standard|Instagram|5/30/2023|30|Monthly|Upi|1,044|4|2|17.80|5|8/8/2023||Active|Security</v>
      </c>
      <c r="W1146" s="13">
        <f t="shared" si="3"/>
        <v>1</v>
      </c>
      <c r="X1146" s="13">
        <f>IFERROR(__xludf.DUMMYFUNCTION("COUNTUNIQUE(FILTER($B$2:$B$1826,$A$2:$A$1826=A1146))"),1.0)</f>
        <v>1</v>
      </c>
    </row>
    <row r="1147">
      <c r="A1147" s="13" t="s">
        <v>1730</v>
      </c>
      <c r="B1147" s="13" t="s">
        <v>247</v>
      </c>
      <c r="C1147" s="14">
        <v>65.0</v>
      </c>
      <c r="D1147" s="13" t="s">
        <v>85</v>
      </c>
      <c r="E1147" s="13" t="s">
        <v>70</v>
      </c>
      <c r="F1147" s="13" t="s">
        <v>62</v>
      </c>
      <c r="G1147" s="13" t="s">
        <v>210</v>
      </c>
      <c r="H1147" s="16">
        <v>44746.0</v>
      </c>
      <c r="I1147" s="14">
        <v>32.0</v>
      </c>
      <c r="J1147" s="13" t="s">
        <v>64</v>
      </c>
      <c r="K1147" s="13" t="s">
        <v>65</v>
      </c>
      <c r="L1147" s="14">
        <v>763.0</v>
      </c>
      <c r="M1147" s="18" t="s">
        <v>98</v>
      </c>
      <c r="N1147" s="18" t="s">
        <v>46</v>
      </c>
      <c r="O1147" s="18">
        <v>24.9</v>
      </c>
      <c r="P1147" s="18" t="s">
        <v>1166</v>
      </c>
      <c r="Q1147" s="16">
        <v>44769.0</v>
      </c>
      <c r="R1147" s="16" t="s">
        <v>38</v>
      </c>
      <c r="S1147" s="13" t="s">
        <v>55</v>
      </c>
      <c r="T1147" s="13" t="s">
        <v>75</v>
      </c>
      <c r="U1147" s="13">
        <f t="shared" si="1"/>
        <v>2</v>
      </c>
      <c r="V1147" s="13" t="str">
        <f t="shared" si="2"/>
        <v>C01135|Ravi Sharma|65|West|Bengaluru|Basic|Referral|7/4/2022|32|Annual|Credit Card|763|1|0|24.90|1.3|7/27/2022||Active|Security</v>
      </c>
      <c r="W1147" s="13">
        <f t="shared" si="3"/>
        <v>1</v>
      </c>
      <c r="X1147" s="13">
        <f>IFERROR(__xludf.DUMMYFUNCTION("COUNTUNIQUE(FILTER($B$2:$B$1826,$A$2:$A$1826=A1147))"),2.0)</f>
        <v>2</v>
      </c>
    </row>
    <row r="1148">
      <c r="A1148" s="13" t="s">
        <v>811</v>
      </c>
      <c r="B1148" s="13" t="s">
        <v>118</v>
      </c>
      <c r="C1148" s="14">
        <v>25.0</v>
      </c>
      <c r="D1148" s="13" t="s">
        <v>35</v>
      </c>
      <c r="E1148" s="13" t="s">
        <v>70</v>
      </c>
      <c r="F1148" s="13" t="s">
        <v>79</v>
      </c>
      <c r="G1148" s="13" t="s">
        <v>63</v>
      </c>
      <c r="H1148" s="16">
        <v>45263.0</v>
      </c>
      <c r="I1148" s="14">
        <v>46.0</v>
      </c>
      <c r="J1148" s="13" t="s">
        <v>40</v>
      </c>
      <c r="K1148" s="13" t="s">
        <v>41</v>
      </c>
      <c r="L1148" s="14">
        <v>3040.0</v>
      </c>
      <c r="M1148" s="18" t="s">
        <v>43</v>
      </c>
      <c r="N1148" s="18" t="s">
        <v>46</v>
      </c>
      <c r="O1148" s="18">
        <v>34.4</v>
      </c>
      <c r="P1148" s="18" t="s">
        <v>143</v>
      </c>
      <c r="Q1148" s="16">
        <v>45359.0</v>
      </c>
      <c r="R1148" s="16" t="s">
        <v>38</v>
      </c>
      <c r="S1148" s="13" t="s">
        <v>55</v>
      </c>
      <c r="T1148" s="13" t="s">
        <v>75</v>
      </c>
      <c r="U1148" s="13">
        <f t="shared" si="1"/>
        <v>2</v>
      </c>
      <c r="V1148" s="13" t="str">
        <f t="shared" si="2"/>
        <v>C00220|Karan Nair|25|North|Bengaluru|Premium|Google Ads|12/3/2023|46|Monthly|Upi|3,040|2|0|34.40|2.1|3/8/2024||Active|Security</v>
      </c>
      <c r="W1148" s="13">
        <f t="shared" si="3"/>
        <v>1</v>
      </c>
      <c r="X1148" s="13">
        <f>IFERROR(__xludf.DUMMYFUNCTION("COUNTUNIQUE(FILTER($B$2:$B$1826,$A$2:$A$1826=A1148))"),2.0)</f>
        <v>2</v>
      </c>
    </row>
    <row r="1149">
      <c r="A1149" s="13" t="s">
        <v>1731</v>
      </c>
      <c r="B1149" s="13" t="s">
        <v>288</v>
      </c>
      <c r="C1149" s="14">
        <v>64.0</v>
      </c>
      <c r="D1149" s="13" t="s">
        <v>69</v>
      </c>
      <c r="E1149" s="13" t="s">
        <v>177</v>
      </c>
      <c r="F1149" s="13" t="s">
        <v>62</v>
      </c>
      <c r="G1149" s="13" t="s">
        <v>63</v>
      </c>
      <c r="H1149" s="16">
        <v>45151.0</v>
      </c>
      <c r="I1149" s="14">
        <v>24.0</v>
      </c>
      <c r="J1149" s="13" t="s">
        <v>40</v>
      </c>
      <c r="K1149" s="13" t="s">
        <v>41</v>
      </c>
      <c r="L1149" s="14">
        <v>640.0</v>
      </c>
      <c r="M1149" s="18" t="s">
        <v>98</v>
      </c>
      <c r="N1149" s="18" t="s">
        <v>46</v>
      </c>
      <c r="O1149" s="18">
        <v>28.5</v>
      </c>
      <c r="P1149" s="18" t="s">
        <v>368</v>
      </c>
      <c r="Q1149" s="16">
        <v>45365.0</v>
      </c>
      <c r="R1149" s="16" t="s">
        <v>1732</v>
      </c>
      <c r="S1149" s="13" t="s">
        <v>45</v>
      </c>
      <c r="T1149" s="13" t="s">
        <v>104</v>
      </c>
      <c r="U1149" s="13">
        <f t="shared" si="1"/>
        <v>2</v>
      </c>
      <c r="V1149" s="13" t="str">
        <f t="shared" si="2"/>
        <v>C01460|Rahul Sharma|64|South|Hyderabad|Basic|Google Ads|8/13/2023|24|Monthly|Upi|640|1|0|28.50|4.9|3/14/2024|26/10/2024|Churned|Analytics</v>
      </c>
      <c r="W1149" s="13">
        <f t="shared" si="3"/>
        <v>1</v>
      </c>
      <c r="X1149" s="13">
        <f>IFERROR(__xludf.DUMMYFUNCTION("COUNTUNIQUE(FILTER($B$2:$B$1826,$A$2:$A$1826=A1149))"),2.0)</f>
        <v>2</v>
      </c>
    </row>
    <row r="1150">
      <c r="A1150" s="13" t="s">
        <v>1733</v>
      </c>
      <c r="B1150" s="13" t="s">
        <v>169</v>
      </c>
      <c r="C1150" s="14">
        <v>20.0</v>
      </c>
      <c r="D1150" s="13" t="s">
        <v>85</v>
      </c>
      <c r="E1150" s="13" t="s">
        <v>111</v>
      </c>
      <c r="F1150" s="13" t="s">
        <v>62</v>
      </c>
      <c r="G1150" s="13" t="s">
        <v>128</v>
      </c>
      <c r="H1150" s="16">
        <v>45643.0</v>
      </c>
      <c r="I1150" s="14">
        <v>44.0</v>
      </c>
      <c r="J1150" s="13" t="s">
        <v>40</v>
      </c>
      <c r="K1150" s="13" t="s">
        <v>41</v>
      </c>
      <c r="L1150" s="14">
        <v>717.0</v>
      </c>
      <c r="M1150" s="18" t="s">
        <v>46</v>
      </c>
      <c r="N1150" s="18" t="s">
        <v>98</v>
      </c>
      <c r="O1150" s="18">
        <v>25.5</v>
      </c>
      <c r="P1150" s="18" t="s">
        <v>76</v>
      </c>
      <c r="Q1150" s="16">
        <v>46873.0</v>
      </c>
      <c r="R1150" s="16" t="s">
        <v>38</v>
      </c>
      <c r="S1150" s="13" t="s">
        <v>55</v>
      </c>
      <c r="T1150" s="13" t="s">
        <v>66</v>
      </c>
      <c r="U1150" s="13">
        <f t="shared" si="1"/>
        <v>2</v>
      </c>
      <c r="V1150" s="13" t="str">
        <f t="shared" si="2"/>
        <v>C01158|Vikram Nair|20|West|Pune|Basic|Youtube|12/17/2024|44|Monthly|Upi|717|0|1|25.50|4.4|4/30/2028||Active|Automation</v>
      </c>
      <c r="W1150" s="13">
        <f t="shared" si="3"/>
        <v>1</v>
      </c>
      <c r="X1150" s="13">
        <f>IFERROR(__xludf.DUMMYFUNCTION("COUNTUNIQUE(FILTER($B$2:$B$1826,$A$2:$A$1826=A1150))"),2.0)</f>
        <v>2</v>
      </c>
    </row>
    <row r="1151">
      <c r="A1151" s="13" t="s">
        <v>1442</v>
      </c>
      <c r="B1151" s="13" t="s">
        <v>393</v>
      </c>
      <c r="C1151" s="14">
        <v>28.0</v>
      </c>
      <c r="D1151" s="13" t="s">
        <v>60</v>
      </c>
      <c r="E1151" s="13" t="s">
        <v>97</v>
      </c>
      <c r="F1151" s="13" t="s">
        <v>79</v>
      </c>
      <c r="G1151" s="13" t="s">
        <v>128</v>
      </c>
      <c r="H1151" s="16">
        <v>44972.0</v>
      </c>
      <c r="I1151" s="14">
        <v>39.0</v>
      </c>
      <c r="J1151" s="13" t="s">
        <v>40</v>
      </c>
      <c r="K1151" s="13" t="s">
        <v>65</v>
      </c>
      <c r="L1151" s="14">
        <v>3715.0</v>
      </c>
      <c r="M1151" s="18" t="s">
        <v>46</v>
      </c>
      <c r="N1151" s="18" t="s">
        <v>43</v>
      </c>
      <c r="O1151" s="18">
        <v>41.8</v>
      </c>
      <c r="P1151" s="18" t="s">
        <v>89</v>
      </c>
      <c r="Q1151" s="16">
        <v>45877.0</v>
      </c>
      <c r="R1151" s="16" t="s">
        <v>38</v>
      </c>
      <c r="S1151" s="13" t="s">
        <v>55</v>
      </c>
      <c r="T1151" s="13" t="s">
        <v>66</v>
      </c>
      <c r="U1151" s="13">
        <f t="shared" si="1"/>
        <v>2</v>
      </c>
      <c r="V1151" s="13" t="str">
        <f t="shared" si="2"/>
        <v>C00012|Karan Das|28|East|Bhubaneswar|Premium|Youtube|2/15/2023|39|Monthly|Credit Card|3,715|0|2|41.80|3.3|8/8/2025||Active|Automation</v>
      </c>
      <c r="W1151" s="13">
        <f t="shared" si="3"/>
        <v>1</v>
      </c>
      <c r="X1151" s="13">
        <f>IFERROR(__xludf.DUMMYFUNCTION("COUNTUNIQUE(FILTER($B$2:$B$1826,$A$2:$A$1826=A1151))"),2.0)</f>
        <v>2</v>
      </c>
    </row>
    <row r="1152">
      <c r="A1152" s="13" t="s">
        <v>197</v>
      </c>
      <c r="B1152" s="13" t="s">
        <v>736</v>
      </c>
      <c r="C1152" s="14">
        <v>40.0</v>
      </c>
      <c r="D1152" s="13" t="s">
        <v>69</v>
      </c>
      <c r="E1152" s="13" t="s">
        <v>187</v>
      </c>
      <c r="F1152" s="13" t="s">
        <v>37</v>
      </c>
      <c r="G1152" s="13" t="s">
        <v>120</v>
      </c>
      <c r="H1152" s="16">
        <v>44600.0</v>
      </c>
      <c r="I1152" s="14">
        <v>3.0</v>
      </c>
      <c r="J1152" s="13" t="s">
        <v>40</v>
      </c>
      <c r="K1152" s="13" t="s">
        <v>81</v>
      </c>
      <c r="L1152" s="14">
        <v>1411.0</v>
      </c>
      <c r="M1152" s="18" t="s">
        <v>98</v>
      </c>
      <c r="N1152" s="18" t="s">
        <v>38</v>
      </c>
      <c r="O1152" s="18">
        <v>18.0</v>
      </c>
      <c r="P1152" s="18" t="s">
        <v>130</v>
      </c>
      <c r="Q1152" s="16">
        <v>44664.0</v>
      </c>
      <c r="R1152" s="16" t="s">
        <v>38</v>
      </c>
      <c r="S1152" s="13" t="s">
        <v>55</v>
      </c>
      <c r="T1152" s="13" t="s">
        <v>104</v>
      </c>
      <c r="U1152" s="13">
        <f t="shared" si="1"/>
        <v>2</v>
      </c>
      <c r="V1152" s="13" t="str">
        <f t="shared" si="2"/>
        <v>C00132|Priya Iyer|40|South|Chennai|Standard|Email|2/8/2022|3|Monthly|Debit Card|1,411|1||18.00|3.9|4/13/2022||Active|Analytics</v>
      </c>
      <c r="W1152" s="13">
        <f t="shared" si="3"/>
        <v>1</v>
      </c>
      <c r="X1152" s="13">
        <f>IFERROR(__xludf.DUMMYFUNCTION("COUNTUNIQUE(FILTER($B$2:$B$1826,$A$2:$A$1826=A1152))"),2.0)</f>
        <v>2</v>
      </c>
    </row>
    <row r="1153">
      <c r="A1153" s="13" t="s">
        <v>1734</v>
      </c>
      <c r="B1153" s="13" t="s">
        <v>172</v>
      </c>
      <c r="C1153" s="14">
        <v>53.0</v>
      </c>
      <c r="D1153" s="13" t="s">
        <v>35</v>
      </c>
      <c r="E1153" s="13" t="s">
        <v>36</v>
      </c>
      <c r="F1153" s="13" t="s">
        <v>62</v>
      </c>
      <c r="G1153" s="13" t="s">
        <v>80</v>
      </c>
      <c r="H1153" s="16">
        <v>45556.0</v>
      </c>
      <c r="I1153" s="14">
        <v>43.0</v>
      </c>
      <c r="J1153" s="13" t="s">
        <v>64</v>
      </c>
      <c r="K1153" s="13" t="s">
        <v>41</v>
      </c>
      <c r="L1153" s="14">
        <v>628.0</v>
      </c>
      <c r="M1153" s="18" t="s">
        <v>46</v>
      </c>
      <c r="N1153" s="18" t="s">
        <v>43</v>
      </c>
      <c r="O1153" s="18">
        <v>21.8</v>
      </c>
      <c r="P1153" s="18" t="s">
        <v>310</v>
      </c>
      <c r="Q1153" s="16">
        <v>46103.0</v>
      </c>
      <c r="R1153" s="16" t="s">
        <v>38</v>
      </c>
      <c r="S1153" s="13" t="s">
        <v>55</v>
      </c>
      <c r="T1153" s="13" t="s">
        <v>66</v>
      </c>
      <c r="U1153" s="13">
        <f t="shared" si="1"/>
        <v>2</v>
      </c>
      <c r="V1153" s="13" t="str">
        <f t="shared" si="2"/>
        <v>C01547|Meera Singh|53|North|Delhi|Basic|Organic Search|9/21/2024|43|Annual|Upi|628|0|2|21.80|3.1|3/22/2026||Active|Automation</v>
      </c>
      <c r="W1153" s="13">
        <f t="shared" si="3"/>
        <v>1</v>
      </c>
      <c r="X1153" s="13">
        <f>IFERROR(__xludf.DUMMYFUNCTION("COUNTUNIQUE(FILTER($B$2:$B$1826,$A$2:$A$1826=A1153))"),2.0)</f>
        <v>2</v>
      </c>
    </row>
    <row r="1154">
      <c r="A1154" s="13" t="s">
        <v>1735</v>
      </c>
      <c r="B1154" s="13" t="s">
        <v>239</v>
      </c>
      <c r="C1154" s="14">
        <v>56.0</v>
      </c>
      <c r="D1154" s="13" t="s">
        <v>60</v>
      </c>
      <c r="E1154" s="13" t="s">
        <v>61</v>
      </c>
      <c r="F1154" s="13" t="s">
        <v>62</v>
      </c>
      <c r="G1154" s="13" t="s">
        <v>63</v>
      </c>
      <c r="H1154" s="16">
        <v>46011.0</v>
      </c>
      <c r="I1154" s="14">
        <v>5.0</v>
      </c>
      <c r="J1154" s="13" t="s">
        <v>53</v>
      </c>
      <c r="K1154" s="13" t="s">
        <v>81</v>
      </c>
      <c r="L1154" s="14">
        <v>587.0</v>
      </c>
      <c r="M1154" s="18" t="s">
        <v>164</v>
      </c>
      <c r="N1154" s="18" t="s">
        <v>164</v>
      </c>
      <c r="O1154" s="18">
        <v>22.2</v>
      </c>
      <c r="P1154" s="18" t="s">
        <v>449</v>
      </c>
      <c r="Q1154" s="16">
        <v>46177.0</v>
      </c>
      <c r="R1154" s="16" t="s">
        <v>38</v>
      </c>
      <c r="S1154" s="13" t="s">
        <v>45</v>
      </c>
      <c r="T1154" s="13" t="s">
        <v>66</v>
      </c>
      <c r="U1154" s="13">
        <f t="shared" si="1"/>
        <v>1</v>
      </c>
      <c r="V1154" s="13" t="str">
        <f t="shared" si="2"/>
        <v>C01551|Meera Kumar|56|East|Kolkata|Basic|Google Ads|12/20/2025|5|Quarterly|Debit Card|587|3|3|22.20|2.7|6/4/2026||Churned|Automation</v>
      </c>
      <c r="W1154" s="13">
        <f t="shared" si="3"/>
        <v>1</v>
      </c>
      <c r="X1154" s="13">
        <f>IFERROR(__xludf.DUMMYFUNCTION("COUNTUNIQUE(FILTER($B$2:$B$1826,$A$2:$A$1826=A1154))"),1.0)</f>
        <v>1</v>
      </c>
    </row>
    <row r="1155">
      <c r="A1155" s="13" t="s">
        <v>1736</v>
      </c>
      <c r="B1155" s="13" t="s">
        <v>222</v>
      </c>
      <c r="C1155" s="14">
        <v>25.0</v>
      </c>
      <c r="D1155" s="13" t="s">
        <v>85</v>
      </c>
      <c r="E1155" s="13" t="s">
        <v>87</v>
      </c>
      <c r="F1155" s="13" t="s">
        <v>37</v>
      </c>
      <c r="G1155" s="13" t="s">
        <v>52</v>
      </c>
      <c r="H1155" s="16">
        <v>44695.0</v>
      </c>
      <c r="I1155" s="14">
        <v>13.0</v>
      </c>
      <c r="J1155" s="13" t="s">
        <v>53</v>
      </c>
      <c r="K1155" s="13" t="s">
        <v>65</v>
      </c>
      <c r="L1155" s="14">
        <v>1700.0</v>
      </c>
      <c r="M1155" s="18" t="s">
        <v>98</v>
      </c>
      <c r="N1155" s="18" t="s">
        <v>98</v>
      </c>
      <c r="O1155" s="18">
        <v>10.2</v>
      </c>
      <c r="P1155" s="18" t="s">
        <v>108</v>
      </c>
      <c r="Q1155" s="16">
        <v>44917.0</v>
      </c>
      <c r="R1155" s="16" t="s">
        <v>38</v>
      </c>
      <c r="S1155" s="13" t="s">
        <v>55</v>
      </c>
      <c r="T1155" s="13" t="s">
        <v>104</v>
      </c>
      <c r="U1155" s="13">
        <f t="shared" si="1"/>
        <v>1</v>
      </c>
      <c r="V1155" s="13" t="str">
        <f t="shared" si="2"/>
        <v>C01018|Karan Iyer|25|West|Surat|Standard|Facebook|5/14/2022|13|Quarterly|Credit Card|1,700|1|1|10.20|2.4|12/22/2022||Active|Analytics</v>
      </c>
      <c r="W1155" s="13">
        <f t="shared" si="3"/>
        <v>1</v>
      </c>
      <c r="X1155" s="13">
        <f>IFERROR(__xludf.DUMMYFUNCTION("COUNTUNIQUE(FILTER($B$2:$B$1826,$A$2:$A$1826=A1155))"),1.0)</f>
        <v>1</v>
      </c>
    </row>
    <row r="1156">
      <c r="A1156" s="13" t="s">
        <v>1737</v>
      </c>
      <c r="B1156" s="13" t="s">
        <v>633</v>
      </c>
      <c r="C1156" s="14">
        <v>30.0</v>
      </c>
      <c r="D1156" s="13" t="s">
        <v>69</v>
      </c>
      <c r="E1156" s="13" t="s">
        <v>119</v>
      </c>
      <c r="F1156" s="13" t="s">
        <v>62</v>
      </c>
      <c r="G1156" s="13" t="s">
        <v>63</v>
      </c>
      <c r="H1156" s="16">
        <v>45555.0</v>
      </c>
      <c r="I1156" s="14">
        <v>31.0</v>
      </c>
      <c r="J1156" s="13" t="s">
        <v>40</v>
      </c>
      <c r="K1156" s="13" t="s">
        <v>65</v>
      </c>
      <c r="L1156" s="14">
        <v>626.0</v>
      </c>
      <c r="M1156" s="18" t="s">
        <v>164</v>
      </c>
      <c r="N1156" s="18" t="s">
        <v>43</v>
      </c>
      <c r="O1156" s="18">
        <v>29.7</v>
      </c>
      <c r="P1156" s="18" t="s">
        <v>116</v>
      </c>
      <c r="Q1156" s="16">
        <v>45743.0</v>
      </c>
      <c r="R1156" s="16" t="s">
        <v>38</v>
      </c>
      <c r="S1156" s="13" t="s">
        <v>55</v>
      </c>
      <c r="T1156" s="13" t="s">
        <v>66</v>
      </c>
      <c r="U1156" s="13">
        <f t="shared" si="1"/>
        <v>1</v>
      </c>
      <c r="V1156" s="13" t="str">
        <f t="shared" si="2"/>
        <v>C00305|Anita Das|30|South|Kochi|Basic|Google Ads|9/20/2024|31|Monthly|Credit Card|626|3|2|29.70|3.4|3/27/2025||Active|Automation</v>
      </c>
      <c r="W1156" s="13">
        <f t="shared" si="3"/>
        <v>1</v>
      </c>
      <c r="X1156" s="13">
        <f>IFERROR(__xludf.DUMMYFUNCTION("COUNTUNIQUE(FILTER($B$2:$B$1826,$A$2:$A$1826=A1156))"),1.0)</f>
        <v>1</v>
      </c>
    </row>
    <row r="1157">
      <c r="A1157" s="13" t="s">
        <v>1738</v>
      </c>
      <c r="B1157" s="13" t="s">
        <v>96</v>
      </c>
      <c r="C1157" s="14">
        <v>32.0</v>
      </c>
      <c r="D1157" s="13" t="s">
        <v>60</v>
      </c>
      <c r="E1157" s="13" t="s">
        <v>61</v>
      </c>
      <c r="F1157" s="13" t="s">
        <v>79</v>
      </c>
      <c r="G1157" s="13" t="s">
        <v>120</v>
      </c>
      <c r="H1157" s="16">
        <v>44592.0</v>
      </c>
      <c r="I1157" s="14">
        <v>5.0</v>
      </c>
      <c r="J1157" s="13" t="s">
        <v>53</v>
      </c>
      <c r="K1157" s="13" t="s">
        <v>41</v>
      </c>
      <c r="L1157" s="14">
        <v>3808.0</v>
      </c>
      <c r="M1157" s="18" t="s">
        <v>173</v>
      </c>
      <c r="N1157" s="18" t="s">
        <v>98</v>
      </c>
      <c r="O1157" s="18">
        <v>31.4</v>
      </c>
      <c r="P1157" s="18" t="s">
        <v>89</v>
      </c>
      <c r="Q1157" s="16">
        <v>44712.0</v>
      </c>
      <c r="R1157" s="16" t="s">
        <v>38</v>
      </c>
      <c r="S1157" s="13" t="s">
        <v>55</v>
      </c>
      <c r="T1157" s="13" t="s">
        <v>66</v>
      </c>
      <c r="U1157" s="13">
        <f t="shared" si="1"/>
        <v>1</v>
      </c>
      <c r="V1157" s="13" t="str">
        <f t="shared" si="2"/>
        <v>C01372|Rahul Kumar|32|East|Kolkata|Premium|Email|1/31/2022|5|Quarterly|Upi|3,808|5|1|31.40|3.3|5/31/2022||Active|Automation</v>
      </c>
      <c r="W1157" s="13">
        <f t="shared" si="3"/>
        <v>1</v>
      </c>
      <c r="X1157" s="13">
        <f>IFERROR(__xludf.DUMMYFUNCTION("COUNTUNIQUE(FILTER($B$2:$B$1826,$A$2:$A$1826=A1157))"),1.0)</f>
        <v>1</v>
      </c>
    </row>
    <row r="1158">
      <c r="A1158" s="13" t="s">
        <v>462</v>
      </c>
      <c r="B1158" s="13" t="s">
        <v>398</v>
      </c>
      <c r="C1158" s="14">
        <v>53.0</v>
      </c>
      <c r="D1158" s="13" t="s">
        <v>69</v>
      </c>
      <c r="E1158" s="13" t="s">
        <v>70</v>
      </c>
      <c r="F1158" s="13" t="s">
        <v>62</v>
      </c>
      <c r="G1158" s="13" t="s">
        <v>63</v>
      </c>
      <c r="H1158" s="16">
        <v>44886.0</v>
      </c>
      <c r="I1158" s="14">
        <v>43.0</v>
      </c>
      <c r="J1158" s="13" t="s">
        <v>40</v>
      </c>
      <c r="K1158" s="13" t="s">
        <v>41</v>
      </c>
      <c r="L1158" s="14">
        <v>513.0</v>
      </c>
      <c r="M1158" s="18" t="s">
        <v>43</v>
      </c>
      <c r="N1158" s="18" t="s">
        <v>98</v>
      </c>
      <c r="O1158" s="18">
        <v>29.3</v>
      </c>
      <c r="P1158" s="18" t="s">
        <v>225</v>
      </c>
      <c r="Q1158" s="16">
        <v>46181.0</v>
      </c>
      <c r="R1158" s="16" t="s">
        <v>38</v>
      </c>
      <c r="S1158" s="13" t="s">
        <v>55</v>
      </c>
      <c r="T1158" s="13" t="s">
        <v>72</v>
      </c>
      <c r="U1158" s="13">
        <f t="shared" si="1"/>
        <v>5</v>
      </c>
      <c r="V1158" s="13" t="str">
        <f t="shared" si="2"/>
        <v>C00944|Vikram Sharma|53|South|Bengaluru|Basic|Google Ads|11/21/2022|43|Monthly|Upi|513|2|1|29.30|3.8|6/8/2026||Active|Collaboration</v>
      </c>
      <c r="W1158" s="13">
        <f t="shared" si="3"/>
        <v>1</v>
      </c>
      <c r="X1158" s="13">
        <f>IFERROR(__xludf.DUMMYFUNCTION("COUNTUNIQUE(FILTER($B$2:$B$1826,$A$2:$A$1826=A1158))"),5.0)</f>
        <v>5</v>
      </c>
    </row>
    <row r="1159">
      <c r="A1159" s="13" t="s">
        <v>1740</v>
      </c>
      <c r="B1159" s="13" t="s">
        <v>179</v>
      </c>
      <c r="C1159" s="14">
        <v>23.0</v>
      </c>
      <c r="D1159" s="13" t="s">
        <v>85</v>
      </c>
      <c r="E1159" s="13" t="s">
        <v>111</v>
      </c>
      <c r="F1159" s="13" t="s">
        <v>79</v>
      </c>
      <c r="G1159" s="13" t="s">
        <v>39</v>
      </c>
      <c r="H1159" s="16">
        <v>45472.0</v>
      </c>
      <c r="I1159" s="14">
        <v>2.0</v>
      </c>
      <c r="J1159" s="13" t="s">
        <v>64</v>
      </c>
      <c r="K1159" s="13" t="s">
        <v>65</v>
      </c>
      <c r="L1159" s="14">
        <v>3280.0</v>
      </c>
      <c r="M1159" s="18" t="s">
        <v>43</v>
      </c>
      <c r="N1159" s="18" t="s">
        <v>164</v>
      </c>
      <c r="O1159" s="18">
        <v>29.6</v>
      </c>
      <c r="P1159" s="18" t="s">
        <v>173</v>
      </c>
      <c r="Q1159" s="16">
        <v>45519.0</v>
      </c>
      <c r="R1159" s="16" t="s">
        <v>1716</v>
      </c>
      <c r="S1159" s="13" t="s">
        <v>45</v>
      </c>
      <c r="T1159" s="13" t="s">
        <v>72</v>
      </c>
      <c r="U1159" s="13">
        <f t="shared" si="1"/>
        <v>2</v>
      </c>
      <c r="V1159" s="13" t="str">
        <f t="shared" si="2"/>
        <v>C01402|Ravi Kumar|23|West|Pune|Premium|Instagram|6/29/2024|2|Annual|Credit Card|3,280|2|3|29.60|5|8/15/2024|26/09/2024|Churned|Collaboration</v>
      </c>
      <c r="W1159" s="13">
        <f t="shared" si="3"/>
        <v>1</v>
      </c>
      <c r="X1159" s="13">
        <f>IFERROR(__xludf.DUMMYFUNCTION("COUNTUNIQUE(FILTER($B$2:$B$1826,$A$2:$A$1826=A1159))"),2.0)</f>
        <v>2</v>
      </c>
    </row>
    <row r="1160">
      <c r="A1160" s="13" t="s">
        <v>1741</v>
      </c>
      <c r="B1160" s="13" t="s">
        <v>364</v>
      </c>
      <c r="C1160" s="14">
        <v>53.0</v>
      </c>
      <c r="D1160" s="13" t="s">
        <v>69</v>
      </c>
      <c r="E1160" s="13" t="s">
        <v>187</v>
      </c>
      <c r="F1160" s="13" t="s">
        <v>37</v>
      </c>
      <c r="G1160" s="13" t="s">
        <v>120</v>
      </c>
      <c r="H1160" s="16">
        <v>45291.0</v>
      </c>
      <c r="I1160" s="14">
        <v>34.0</v>
      </c>
      <c r="J1160" s="13" t="s">
        <v>40</v>
      </c>
      <c r="K1160" s="13" t="s">
        <v>41</v>
      </c>
      <c r="L1160" s="14">
        <v>1583.0</v>
      </c>
      <c r="M1160" s="18" t="s">
        <v>173</v>
      </c>
      <c r="N1160" s="18" t="s">
        <v>46</v>
      </c>
      <c r="O1160" s="18">
        <v>30.3</v>
      </c>
      <c r="P1160" s="18" t="s">
        <v>76</v>
      </c>
      <c r="Q1160" s="16">
        <v>46066.0</v>
      </c>
      <c r="R1160" s="16" t="s">
        <v>38</v>
      </c>
      <c r="S1160" s="13" t="s">
        <v>45</v>
      </c>
      <c r="T1160" s="13" t="s">
        <v>104</v>
      </c>
      <c r="U1160" s="13">
        <f t="shared" si="1"/>
        <v>1</v>
      </c>
      <c r="V1160" s="13" t="str">
        <f t="shared" si="2"/>
        <v>C00623|Sneha Kumar|53|South|Chennai|Standard|Email|12/31/2023|34|Monthly|Upi|1,583|5|0|30.30|4.4|2/13/2026||Churned|Analytics</v>
      </c>
      <c r="W1160" s="13">
        <f t="shared" si="3"/>
        <v>1</v>
      </c>
      <c r="X1160" s="13">
        <f>IFERROR(__xludf.DUMMYFUNCTION("COUNTUNIQUE(FILTER($B$2:$B$1826,$A$2:$A$1826=A1160))"),1.0)</f>
        <v>1</v>
      </c>
    </row>
    <row r="1161">
      <c r="A1161" s="13" t="s">
        <v>534</v>
      </c>
      <c r="B1161" s="13" t="s">
        <v>139</v>
      </c>
      <c r="C1161" s="14">
        <v>24.0</v>
      </c>
      <c r="D1161" s="13" t="s">
        <v>35</v>
      </c>
      <c r="E1161" s="13" t="s">
        <v>140</v>
      </c>
      <c r="F1161" s="13" t="s">
        <v>37</v>
      </c>
      <c r="G1161" s="13" t="s">
        <v>120</v>
      </c>
      <c r="H1161" s="16">
        <v>45927.0</v>
      </c>
      <c r="I1161" s="14">
        <v>6.0</v>
      </c>
      <c r="J1161" s="13" t="s">
        <v>64</v>
      </c>
      <c r="K1161" s="13" t="s">
        <v>81</v>
      </c>
      <c r="L1161" s="14">
        <v>1192.0</v>
      </c>
      <c r="M1161" s="18" t="s">
        <v>98</v>
      </c>
      <c r="N1161" s="18" t="s">
        <v>98</v>
      </c>
      <c r="O1161" s="18">
        <v>15.5</v>
      </c>
      <c r="P1161" s="18" t="s">
        <v>108</v>
      </c>
      <c r="Q1161" s="16">
        <v>46081.0</v>
      </c>
      <c r="R1161" s="16" t="s">
        <v>1742</v>
      </c>
      <c r="S1161" s="13" t="s">
        <v>45</v>
      </c>
      <c r="T1161" s="13" t="s">
        <v>104</v>
      </c>
      <c r="U1161" s="13">
        <f t="shared" si="1"/>
        <v>3</v>
      </c>
      <c r="V1161" s="13" t="str">
        <f t="shared" si="2"/>
        <v>C00532|Vikram Das|24|North|Lucknow|Standard|Email|9/27/2025|6|Annual|Debit Card|1,192|1|1|15.50|2.4|2/28/2026|17/11/2025|Churned|Analytics</v>
      </c>
      <c r="W1161" s="13">
        <f t="shared" si="3"/>
        <v>2</v>
      </c>
      <c r="X1161" s="13">
        <f>IFERROR(__xludf.DUMMYFUNCTION("COUNTUNIQUE(FILTER($B$2:$B$1826,$A$2:$A$1826=A1161))"),2.0)</f>
        <v>2</v>
      </c>
    </row>
    <row r="1162">
      <c r="A1162" s="13" t="s">
        <v>1743</v>
      </c>
      <c r="B1162" s="13" t="s">
        <v>118</v>
      </c>
      <c r="C1162" s="14">
        <v>61.0</v>
      </c>
      <c r="D1162" s="13" t="s">
        <v>85</v>
      </c>
      <c r="E1162" s="13" t="s">
        <v>92</v>
      </c>
      <c r="F1162" s="13" t="s">
        <v>37</v>
      </c>
      <c r="G1162" s="13" t="s">
        <v>80</v>
      </c>
      <c r="H1162" s="16">
        <v>45935.0</v>
      </c>
      <c r="I1162" s="14">
        <v>28.0</v>
      </c>
      <c r="J1162" s="13" t="s">
        <v>64</v>
      </c>
      <c r="K1162" s="13" t="s">
        <v>41</v>
      </c>
      <c r="L1162" s="14">
        <v>1153.0</v>
      </c>
      <c r="M1162" s="18" t="s">
        <v>98</v>
      </c>
      <c r="N1162" s="18" t="s">
        <v>46</v>
      </c>
      <c r="O1162" s="18">
        <v>20.4</v>
      </c>
      <c r="P1162" s="18" t="s">
        <v>408</v>
      </c>
      <c r="Q1162" s="16">
        <v>46688.0</v>
      </c>
      <c r="R1162" s="16" t="s">
        <v>38</v>
      </c>
      <c r="S1162" s="13" t="s">
        <v>55</v>
      </c>
      <c r="T1162" s="13" t="s">
        <v>72</v>
      </c>
      <c r="U1162" s="13">
        <f t="shared" si="1"/>
        <v>1</v>
      </c>
      <c r="V1162" s="13" t="str">
        <f t="shared" si="2"/>
        <v>C00324|Karan Nair|61|West|Ahmedabad|Standard|Organic Search|10/5/2025|28|Annual|Upi|1,153|1|0|20.40|4.2|10/28/2027||Active|Collaboration</v>
      </c>
      <c r="W1162" s="13">
        <f t="shared" si="3"/>
        <v>1</v>
      </c>
      <c r="X1162" s="13">
        <f>IFERROR(__xludf.DUMMYFUNCTION("COUNTUNIQUE(FILTER($B$2:$B$1826,$A$2:$A$1826=A1162))"),1.0)</f>
        <v>1</v>
      </c>
    </row>
    <row r="1163">
      <c r="A1163" s="13" t="s">
        <v>1744</v>
      </c>
      <c r="B1163" s="13" t="s">
        <v>395</v>
      </c>
      <c r="C1163" s="14">
        <v>30.0</v>
      </c>
      <c r="D1163" s="13" t="s">
        <v>60</v>
      </c>
      <c r="E1163" s="13" t="s">
        <v>97</v>
      </c>
      <c r="F1163" s="13" t="s">
        <v>37</v>
      </c>
      <c r="G1163" s="13" t="s">
        <v>210</v>
      </c>
      <c r="H1163" s="16">
        <v>44743.0</v>
      </c>
      <c r="I1163" s="14">
        <v>38.0</v>
      </c>
      <c r="J1163" s="13" t="s">
        <v>53</v>
      </c>
      <c r="K1163" s="13" t="s">
        <v>65</v>
      </c>
      <c r="L1163" s="14">
        <v>1436.0</v>
      </c>
      <c r="M1163" s="18" t="s">
        <v>98</v>
      </c>
      <c r="N1163" s="18" t="s">
        <v>43</v>
      </c>
      <c r="O1163" s="18">
        <v>31.3</v>
      </c>
      <c r="P1163" s="18" t="s">
        <v>99</v>
      </c>
      <c r="Q1163" s="16">
        <v>45765.0</v>
      </c>
      <c r="R1163" s="16" t="s">
        <v>38</v>
      </c>
      <c r="S1163" s="13" t="s">
        <v>55</v>
      </c>
      <c r="T1163" s="13" t="s">
        <v>66</v>
      </c>
      <c r="U1163" s="13">
        <f t="shared" si="1"/>
        <v>1</v>
      </c>
      <c r="V1163" s="13" t="str">
        <f t="shared" si="2"/>
        <v>C00089|Ravi Singh|30|East|Bhubaneswar|Standard|Referral|7/1/2022|38|Quarterly|Credit Card|1,436|1|2|31.30|4|4/18/2025||Active|Automation</v>
      </c>
      <c r="W1163" s="13">
        <f t="shared" si="3"/>
        <v>1</v>
      </c>
      <c r="X1163" s="13">
        <f>IFERROR(__xludf.DUMMYFUNCTION("COUNTUNIQUE(FILTER($B$2:$B$1826,$A$2:$A$1826=A1163))"),1.0)</f>
        <v>1</v>
      </c>
    </row>
    <row r="1164">
      <c r="A1164" s="13" t="s">
        <v>925</v>
      </c>
      <c r="B1164" s="13" t="s">
        <v>322</v>
      </c>
      <c r="C1164" s="14">
        <v>59.0</v>
      </c>
      <c r="D1164" s="13" t="s">
        <v>69</v>
      </c>
      <c r="E1164" s="13" t="s">
        <v>177</v>
      </c>
      <c r="F1164" s="13" t="s">
        <v>37</v>
      </c>
      <c r="G1164" s="13" t="s">
        <v>210</v>
      </c>
      <c r="H1164" s="16">
        <v>44781.0</v>
      </c>
      <c r="I1164" s="14">
        <v>30.0</v>
      </c>
      <c r="J1164" s="13" t="s">
        <v>40</v>
      </c>
      <c r="K1164" s="13" t="s">
        <v>81</v>
      </c>
      <c r="L1164" s="14">
        <v>1685.0</v>
      </c>
      <c r="M1164" s="18" t="s">
        <v>98</v>
      </c>
      <c r="N1164" s="18" t="s">
        <v>98</v>
      </c>
      <c r="O1164" s="18">
        <v>44.5</v>
      </c>
      <c r="P1164" s="18" t="s">
        <v>225</v>
      </c>
      <c r="Q1164" s="16">
        <v>45198.0</v>
      </c>
      <c r="R1164" s="16" t="s">
        <v>38</v>
      </c>
      <c r="S1164" s="13" t="s">
        <v>55</v>
      </c>
      <c r="T1164" s="13" t="s">
        <v>75</v>
      </c>
      <c r="U1164" s="13">
        <f t="shared" si="1"/>
        <v>3</v>
      </c>
      <c r="V1164" s="13" t="str">
        <f t="shared" si="2"/>
        <v>C01144|Rahul Iyer|59|South|Hyderabad|Standard|Referral|8/8/2022|30|Monthly|Debit Card|1,685|1|1|44.50|3.8|9/29/2023||Active|Security</v>
      </c>
      <c r="W1164" s="13">
        <f t="shared" si="3"/>
        <v>1</v>
      </c>
      <c r="X1164" s="13">
        <f>IFERROR(__xludf.DUMMYFUNCTION("COUNTUNIQUE(FILTER($B$2:$B$1826,$A$2:$A$1826=A1164))"),3.0)</f>
        <v>3</v>
      </c>
    </row>
    <row r="1165">
      <c r="A1165" s="13" t="s">
        <v>73</v>
      </c>
      <c r="B1165" s="13" t="s">
        <v>288</v>
      </c>
      <c r="C1165" s="14">
        <v>47.0</v>
      </c>
      <c r="D1165" s="13" t="s">
        <v>60</v>
      </c>
      <c r="E1165" s="13" t="s">
        <v>133</v>
      </c>
      <c r="F1165" s="13" t="s">
        <v>62</v>
      </c>
      <c r="G1165" s="13" t="s">
        <v>39</v>
      </c>
      <c r="H1165" s="16">
        <v>45104.0</v>
      </c>
      <c r="I1165" s="14">
        <v>40.0</v>
      </c>
      <c r="J1165" s="13" t="s">
        <v>40</v>
      </c>
      <c r="K1165" s="13" t="s">
        <v>41</v>
      </c>
      <c r="L1165" s="14">
        <v>635.0</v>
      </c>
      <c r="M1165" s="18" t="s">
        <v>43</v>
      </c>
      <c r="N1165" s="18" t="s">
        <v>98</v>
      </c>
      <c r="O1165" s="18">
        <v>20.4</v>
      </c>
      <c r="P1165" s="18" t="s">
        <v>173</v>
      </c>
      <c r="Q1165" s="16">
        <v>45753.0</v>
      </c>
      <c r="R1165" s="16" t="s">
        <v>38</v>
      </c>
      <c r="S1165" s="13" t="s">
        <v>55</v>
      </c>
      <c r="T1165" s="13" t="s">
        <v>66</v>
      </c>
      <c r="U1165" s="13">
        <f t="shared" si="1"/>
        <v>3</v>
      </c>
      <c r="V1165" s="13" t="str">
        <f t="shared" si="2"/>
        <v>C01438|Rahul Sharma|47|East|Guwahati|Basic|Instagram|6/27/2023|40|Monthly|Upi|635|2|1|20.40|5|4/6/2025||Active|Automation</v>
      </c>
      <c r="W1165" s="13">
        <f t="shared" si="3"/>
        <v>1</v>
      </c>
      <c r="X1165" s="13">
        <f>IFERROR(__xludf.DUMMYFUNCTION("COUNTUNIQUE(FILTER($B$2:$B$1826,$A$2:$A$1826=A1165))"),3.0)</f>
        <v>3</v>
      </c>
    </row>
    <row r="1166">
      <c r="A1166" s="13" t="s">
        <v>113</v>
      </c>
      <c r="B1166" s="13" t="s">
        <v>470</v>
      </c>
      <c r="C1166" s="14">
        <v>36.0</v>
      </c>
      <c r="D1166" s="13" t="s">
        <v>35</v>
      </c>
      <c r="E1166" s="13" t="s">
        <v>140</v>
      </c>
      <c r="F1166" s="13" t="s">
        <v>79</v>
      </c>
      <c r="G1166" s="13" t="s">
        <v>210</v>
      </c>
      <c r="H1166" s="16">
        <v>45749.0</v>
      </c>
      <c r="I1166" s="14">
        <v>16.0</v>
      </c>
      <c r="J1166" s="13" t="s">
        <v>64</v>
      </c>
      <c r="K1166" s="13" t="s">
        <v>65</v>
      </c>
      <c r="L1166" s="14">
        <v>707.0</v>
      </c>
      <c r="M1166" s="18" t="s">
        <v>98</v>
      </c>
      <c r="N1166" s="18" t="s">
        <v>98</v>
      </c>
      <c r="O1166" s="18">
        <v>23.7</v>
      </c>
      <c r="P1166" s="18" t="s">
        <v>123</v>
      </c>
      <c r="Q1166" s="16">
        <v>46038.0</v>
      </c>
      <c r="R1166" s="16">
        <v>45784.0</v>
      </c>
      <c r="S1166" s="13" t="s">
        <v>45</v>
      </c>
      <c r="T1166" s="13" t="s">
        <v>66</v>
      </c>
      <c r="U1166" s="13">
        <f t="shared" si="1"/>
        <v>3</v>
      </c>
      <c r="V1166" s="13" t="str">
        <f t="shared" si="2"/>
        <v>C00693|Arun Singh|36|North|Lucknow|Premium|Referral|4/2/2025|16|Annual|Credit Card|707|1|1|23.70|4.1|1/16/2026|5/7/2025|Churned|Automation</v>
      </c>
      <c r="W1166" s="13">
        <f t="shared" si="3"/>
        <v>1</v>
      </c>
      <c r="X1166" s="13">
        <f>IFERROR(__xludf.DUMMYFUNCTION("COUNTUNIQUE(FILTER($B$2:$B$1826,$A$2:$A$1826=A1166))"),3.0)</f>
        <v>3</v>
      </c>
    </row>
    <row r="1167">
      <c r="A1167" s="13" t="s">
        <v>1748</v>
      </c>
      <c r="B1167" s="13" t="s">
        <v>340</v>
      </c>
      <c r="C1167" s="14">
        <v>46.0</v>
      </c>
      <c r="D1167" s="13" t="s">
        <v>69</v>
      </c>
      <c r="E1167" s="13" t="s">
        <v>70</v>
      </c>
      <c r="F1167" s="13" t="s">
        <v>79</v>
      </c>
      <c r="G1167" s="13" t="s">
        <v>39</v>
      </c>
      <c r="H1167" s="16">
        <v>45091.0</v>
      </c>
      <c r="I1167" s="14">
        <v>26.0</v>
      </c>
      <c r="J1167" s="13" t="s">
        <v>40</v>
      </c>
      <c r="K1167" s="13" t="s">
        <v>81</v>
      </c>
      <c r="L1167" s="14">
        <v>2910.0</v>
      </c>
      <c r="M1167" s="18" t="s">
        <v>99</v>
      </c>
      <c r="N1167" s="18" t="s">
        <v>46</v>
      </c>
      <c r="O1167" s="18">
        <v>43.8</v>
      </c>
      <c r="P1167" s="18" t="s">
        <v>456</v>
      </c>
      <c r="Q1167" s="16">
        <v>45717.0</v>
      </c>
      <c r="R1167" s="16" t="s">
        <v>38</v>
      </c>
      <c r="S1167" s="13" t="s">
        <v>55</v>
      </c>
      <c r="T1167" s="13" t="s">
        <v>104</v>
      </c>
      <c r="U1167" s="13">
        <f t="shared" si="1"/>
        <v>1</v>
      </c>
      <c r="V1167" s="13" t="str">
        <f t="shared" si="2"/>
        <v>C01427|Meera Sharma|46|South|Bengaluru|Premium|Instagram|6/14/2023|26|Monthly|Debit Card|2,910|4|0|43.80|2.5|3/1/2025||Active|Analytics</v>
      </c>
      <c r="W1167" s="13">
        <f t="shared" si="3"/>
        <v>1</v>
      </c>
      <c r="X1167" s="13">
        <f>IFERROR(__xludf.DUMMYFUNCTION("COUNTUNIQUE(FILTER($B$2:$B$1826,$A$2:$A$1826=A1167))"),1.0)</f>
        <v>1</v>
      </c>
    </row>
    <row r="1168">
      <c r="A1168" s="13" t="s">
        <v>1163</v>
      </c>
      <c r="B1168" s="13" t="s">
        <v>135</v>
      </c>
      <c r="C1168" s="14">
        <v>33.0</v>
      </c>
      <c r="D1168" s="13" t="s">
        <v>60</v>
      </c>
      <c r="E1168" s="13" t="s">
        <v>61</v>
      </c>
      <c r="F1168" s="13" t="s">
        <v>62</v>
      </c>
      <c r="G1168" s="13" t="s">
        <v>128</v>
      </c>
      <c r="H1168" s="16">
        <v>44793.0</v>
      </c>
      <c r="I1168" s="14">
        <v>38.0</v>
      </c>
      <c r="J1168" s="13" t="s">
        <v>40</v>
      </c>
      <c r="K1168" s="13" t="s">
        <v>65</v>
      </c>
      <c r="L1168" s="14">
        <v>870.0</v>
      </c>
      <c r="M1168" s="18" t="s">
        <v>98</v>
      </c>
      <c r="N1168" s="18" t="s">
        <v>98</v>
      </c>
      <c r="O1168" s="18">
        <v>18.1</v>
      </c>
      <c r="P1168" s="18" t="s">
        <v>456</v>
      </c>
      <c r="Q1168" s="16">
        <v>45137.0</v>
      </c>
      <c r="R1168" s="16">
        <v>45241.0</v>
      </c>
      <c r="S1168" s="13" t="s">
        <v>45</v>
      </c>
      <c r="T1168" s="13" t="s">
        <v>75</v>
      </c>
      <c r="U1168" s="13">
        <f t="shared" si="1"/>
        <v>2</v>
      </c>
      <c r="V1168" s="13" t="str">
        <f t="shared" si="2"/>
        <v>C00183|Karan Sharma|33|East|Kolkata|Basic|Youtube|8/20/2022|38|Monthly|Credit Card|870|1|1|18.10|2.5|7/30/2023|11/11/2023|Churned|Security</v>
      </c>
      <c r="W1168" s="13">
        <f t="shared" si="3"/>
        <v>1</v>
      </c>
      <c r="X1168" s="13">
        <f>IFERROR(__xludf.DUMMYFUNCTION("COUNTUNIQUE(FILTER($B$2:$B$1826,$A$2:$A$1826=A1168))"),2.0)</f>
        <v>2</v>
      </c>
    </row>
    <row r="1169">
      <c r="A1169" s="13" t="s">
        <v>1751</v>
      </c>
      <c r="B1169" s="13" t="s">
        <v>405</v>
      </c>
      <c r="C1169" s="14">
        <v>36.0</v>
      </c>
      <c r="D1169" s="13" t="s">
        <v>60</v>
      </c>
      <c r="E1169" s="13" t="s">
        <v>97</v>
      </c>
      <c r="F1169" s="13" t="s">
        <v>79</v>
      </c>
      <c r="G1169" s="13" t="s">
        <v>63</v>
      </c>
      <c r="H1169" s="16">
        <v>45083.0</v>
      </c>
      <c r="I1169" s="14">
        <v>21.0</v>
      </c>
      <c r="J1169" s="13" t="s">
        <v>53</v>
      </c>
      <c r="K1169" s="13" t="s">
        <v>65</v>
      </c>
      <c r="L1169" s="14">
        <v>2679.0</v>
      </c>
      <c r="M1169" s="18" t="s">
        <v>43</v>
      </c>
      <c r="N1169" s="18" t="s">
        <v>46</v>
      </c>
      <c r="O1169" s="18">
        <v>34.6</v>
      </c>
      <c r="P1169" s="18" t="s">
        <v>275</v>
      </c>
      <c r="Q1169" s="16">
        <v>45115.0</v>
      </c>
      <c r="R1169" s="16" t="s">
        <v>38</v>
      </c>
      <c r="S1169" s="13" t="s">
        <v>55</v>
      </c>
      <c r="T1169" s="13" t="s">
        <v>47</v>
      </c>
      <c r="U1169" s="13">
        <f t="shared" si="1"/>
        <v>2</v>
      </c>
      <c r="V1169" s="13" t="str">
        <f t="shared" si="2"/>
        <v>C00001|Rahul Reddy|36|East|Bhubaneswar|Premium|Google Ads|6/6/2023|21|Quarterly|Credit Card|2,679|2|0|34.60|4.3|7/8/2023||Active|Cloud Storage</v>
      </c>
      <c r="W1169" s="13">
        <f t="shared" si="3"/>
        <v>1</v>
      </c>
      <c r="X1169" s="13">
        <f>IFERROR(__xludf.DUMMYFUNCTION("COUNTUNIQUE(FILTER($B$2:$B$1826,$A$2:$A$1826=A1169))"),2.0)</f>
        <v>2</v>
      </c>
    </row>
    <row r="1170">
      <c r="A1170" s="13" t="s">
        <v>1753</v>
      </c>
      <c r="B1170" s="13" t="s">
        <v>393</v>
      </c>
      <c r="C1170" s="14">
        <v>23.0</v>
      </c>
      <c r="D1170" s="13" t="s">
        <v>35</v>
      </c>
      <c r="E1170" s="13" t="s">
        <v>36</v>
      </c>
      <c r="F1170" s="13" t="s">
        <v>62</v>
      </c>
      <c r="G1170" s="13" t="s">
        <v>52</v>
      </c>
      <c r="H1170" s="16">
        <v>44626.0</v>
      </c>
      <c r="I1170" s="14">
        <v>0.0</v>
      </c>
      <c r="J1170" s="13" t="s">
        <v>53</v>
      </c>
      <c r="K1170" s="13" t="s">
        <v>81</v>
      </c>
      <c r="L1170" s="14">
        <v>639.0</v>
      </c>
      <c r="M1170" s="18" t="s">
        <v>99</v>
      </c>
      <c r="N1170" s="18" t="s">
        <v>98</v>
      </c>
      <c r="O1170" s="18">
        <v>5.0</v>
      </c>
      <c r="P1170" s="18" t="s">
        <v>310</v>
      </c>
      <c r="Q1170" s="16">
        <v>44926.0</v>
      </c>
      <c r="R1170" s="16" t="s">
        <v>38</v>
      </c>
      <c r="S1170" s="13" t="s">
        <v>55</v>
      </c>
      <c r="T1170" s="13" t="s">
        <v>75</v>
      </c>
      <c r="U1170" s="13">
        <f t="shared" si="1"/>
        <v>1</v>
      </c>
      <c r="V1170" s="13" t="str">
        <f t="shared" si="2"/>
        <v>C00537|Karan Das|23|North|Delhi|Basic|Facebook|3/6/2022|0|Quarterly|Debit Card|639|4|1|5.00|3.1|12/31/2022||Active|Security</v>
      </c>
      <c r="W1170" s="13">
        <f t="shared" si="3"/>
        <v>1</v>
      </c>
      <c r="X1170" s="13">
        <f>IFERROR(__xludf.DUMMYFUNCTION("COUNTUNIQUE(FILTER($B$2:$B$1826,$A$2:$A$1826=A1170))"),1.0)</f>
        <v>1</v>
      </c>
    </row>
    <row r="1171">
      <c r="A1171" s="13" t="s">
        <v>1754</v>
      </c>
      <c r="B1171" s="13" t="s">
        <v>118</v>
      </c>
      <c r="C1171" s="14">
        <v>54.0</v>
      </c>
      <c r="D1171" s="13" t="s">
        <v>35</v>
      </c>
      <c r="E1171" s="13" t="s">
        <v>51</v>
      </c>
      <c r="F1171" s="13" t="s">
        <v>37</v>
      </c>
      <c r="G1171" s="13" t="s">
        <v>80</v>
      </c>
      <c r="H1171" s="16">
        <v>45664.0</v>
      </c>
      <c r="I1171" s="14">
        <v>37.0</v>
      </c>
      <c r="J1171" s="13" t="s">
        <v>40</v>
      </c>
      <c r="K1171" s="13" t="s">
        <v>41</v>
      </c>
      <c r="L1171" s="14">
        <v>1041.0</v>
      </c>
      <c r="M1171" s="18" t="s">
        <v>43</v>
      </c>
      <c r="N1171" s="18" t="s">
        <v>46</v>
      </c>
      <c r="O1171" s="18">
        <v>20.4</v>
      </c>
      <c r="P1171" s="18" t="s">
        <v>263</v>
      </c>
      <c r="Q1171" s="16">
        <v>46782.0</v>
      </c>
      <c r="R1171" s="16">
        <v>45963.0</v>
      </c>
      <c r="S1171" s="13" t="s">
        <v>45</v>
      </c>
      <c r="T1171" s="13" t="s">
        <v>72</v>
      </c>
      <c r="U1171" s="13">
        <f t="shared" si="1"/>
        <v>2</v>
      </c>
      <c r="V1171" s="13" t="str">
        <f t="shared" si="2"/>
        <v>C01531|Karan Nair|54|North|Jaipur|Standard|Organic Search|1/7/2025|37|Monthly|Upi|1,041|2|0|20.40|2.9|1/30/2028|11/2/2025|Churned|Collaboration</v>
      </c>
      <c r="W1171" s="13">
        <f t="shared" si="3"/>
        <v>1</v>
      </c>
      <c r="X1171" s="13">
        <f>IFERROR(__xludf.DUMMYFUNCTION("COUNTUNIQUE(FILTER($B$2:$B$1826,$A$2:$A$1826=A1171))"),2.0)</f>
        <v>2</v>
      </c>
    </row>
    <row r="1172">
      <c r="A1172" s="13" t="s">
        <v>1629</v>
      </c>
      <c r="B1172" s="13" t="s">
        <v>222</v>
      </c>
      <c r="C1172" s="14">
        <v>53.0</v>
      </c>
      <c r="D1172" s="13" t="s">
        <v>85</v>
      </c>
      <c r="E1172" s="13" t="s">
        <v>92</v>
      </c>
      <c r="F1172" s="13" t="s">
        <v>62</v>
      </c>
      <c r="G1172" s="13" t="s">
        <v>128</v>
      </c>
      <c r="H1172" s="16">
        <v>44776.0</v>
      </c>
      <c r="I1172" s="14">
        <v>15.0</v>
      </c>
      <c r="J1172" s="13" t="s">
        <v>53</v>
      </c>
      <c r="K1172" s="13" t="s">
        <v>81</v>
      </c>
      <c r="L1172" s="14">
        <v>817.0</v>
      </c>
      <c r="M1172" s="18" t="s">
        <v>98</v>
      </c>
      <c r="N1172" s="18" t="s">
        <v>46</v>
      </c>
      <c r="O1172" s="18">
        <v>10.7</v>
      </c>
      <c r="P1172" s="18" t="s">
        <v>275</v>
      </c>
      <c r="Q1172" s="16">
        <v>44987.0</v>
      </c>
      <c r="R1172" s="16" t="s">
        <v>1757</v>
      </c>
      <c r="S1172" s="13" t="s">
        <v>45</v>
      </c>
      <c r="T1172" s="13" t="s">
        <v>66</v>
      </c>
      <c r="U1172" s="13">
        <f t="shared" si="1"/>
        <v>3</v>
      </c>
      <c r="V1172" s="13" t="str">
        <f t="shared" si="2"/>
        <v>C00164|Karan Iyer|53|West|Ahmedabad|Basic|Youtube|8/3/2022|15|Quarterly|Debit Card|817|1|0|10.70|4.3|3/2/2023|19/07/2023|Churned|Automation</v>
      </c>
      <c r="W1172" s="13">
        <f t="shared" si="3"/>
        <v>1</v>
      </c>
      <c r="X1172" s="13">
        <f>IFERROR(__xludf.DUMMYFUNCTION("COUNTUNIQUE(FILTER($B$2:$B$1826,$A$2:$A$1826=A1172))"),2.0)</f>
        <v>2</v>
      </c>
    </row>
    <row r="1173">
      <c r="A1173" s="13" t="s">
        <v>1082</v>
      </c>
      <c r="B1173" s="13" t="s">
        <v>224</v>
      </c>
      <c r="C1173" s="14">
        <v>39.0</v>
      </c>
      <c r="D1173" s="13" t="s">
        <v>69</v>
      </c>
      <c r="E1173" s="13" t="s">
        <v>119</v>
      </c>
      <c r="F1173" s="13" t="s">
        <v>37</v>
      </c>
      <c r="G1173" s="13" t="s">
        <v>80</v>
      </c>
      <c r="H1173" s="16">
        <v>45463.0</v>
      </c>
      <c r="I1173" s="14">
        <v>20.0</v>
      </c>
      <c r="J1173" s="13" t="s">
        <v>64</v>
      </c>
      <c r="K1173" s="13" t="s">
        <v>41</v>
      </c>
      <c r="L1173" s="14">
        <v>1579.0</v>
      </c>
      <c r="M1173" s="18" t="s">
        <v>43</v>
      </c>
      <c r="N1173" s="18" t="s">
        <v>46</v>
      </c>
      <c r="O1173" s="18">
        <v>13.4</v>
      </c>
      <c r="P1173" s="18" t="s">
        <v>400</v>
      </c>
      <c r="Q1173" s="16">
        <v>45565.0</v>
      </c>
      <c r="R1173" s="16" t="s">
        <v>1759</v>
      </c>
      <c r="S1173" s="13" t="s">
        <v>45</v>
      </c>
      <c r="T1173" s="13" t="s">
        <v>104</v>
      </c>
      <c r="U1173" s="13">
        <f t="shared" si="1"/>
        <v>4</v>
      </c>
      <c r="V1173" s="13" t="str">
        <f t="shared" si="2"/>
        <v>C01265|Anita Iyer|39|South|Kochi|Standard|Organic Search|6/20/2024|20|Annual|Upi|1,579|2|0|13.40|4.8|9/30/2024|20/06/2025|Churned|Analytics</v>
      </c>
      <c r="W1173" s="13">
        <f t="shared" si="3"/>
        <v>1</v>
      </c>
      <c r="X1173" s="13">
        <f>IFERROR(__xludf.DUMMYFUNCTION("COUNTUNIQUE(FILTER($B$2:$B$1826,$A$2:$A$1826=A1173))"),4.0)</f>
        <v>4</v>
      </c>
    </row>
    <row r="1174">
      <c r="A1174" s="13" t="s">
        <v>1760</v>
      </c>
      <c r="B1174" s="13" t="s">
        <v>325</v>
      </c>
      <c r="C1174" s="14">
        <v>49.0</v>
      </c>
      <c r="D1174" s="13" t="s">
        <v>69</v>
      </c>
      <c r="E1174" s="13" t="s">
        <v>187</v>
      </c>
      <c r="F1174" s="13" t="s">
        <v>62</v>
      </c>
      <c r="G1174" s="13" t="s">
        <v>52</v>
      </c>
      <c r="H1174" s="16">
        <v>45540.0</v>
      </c>
      <c r="I1174" s="14">
        <v>24.0</v>
      </c>
      <c r="J1174" s="13" t="s">
        <v>40</v>
      </c>
      <c r="K1174" s="13" t="s">
        <v>65</v>
      </c>
      <c r="L1174" s="14">
        <v>694.0</v>
      </c>
      <c r="M1174" s="18" t="s">
        <v>98</v>
      </c>
      <c r="N1174" s="18" t="s">
        <v>98</v>
      </c>
      <c r="O1174" s="18">
        <v>16.6</v>
      </c>
      <c r="P1174" s="18" t="s">
        <v>296</v>
      </c>
      <c r="Q1174" s="16">
        <v>45909.0</v>
      </c>
      <c r="R1174" s="16" t="s">
        <v>38</v>
      </c>
      <c r="S1174" s="13" t="s">
        <v>55</v>
      </c>
      <c r="T1174" s="13" t="s">
        <v>104</v>
      </c>
      <c r="U1174" s="13">
        <f t="shared" si="1"/>
        <v>1</v>
      </c>
      <c r="V1174" s="13" t="str">
        <f t="shared" si="2"/>
        <v>C00255|Priya Sharma|49|South|Chennai|Basic|Facebook|9/5/2024|24|Monthly|Credit Card|694|1|1|16.60|4.6|9/9/2025||Active|Analytics</v>
      </c>
      <c r="W1174" s="13">
        <f t="shared" si="3"/>
        <v>1</v>
      </c>
      <c r="X1174" s="13">
        <f>IFERROR(__xludf.DUMMYFUNCTION("COUNTUNIQUE(FILTER($B$2:$B$1826,$A$2:$A$1826=A1174))"),1.0)</f>
        <v>1</v>
      </c>
    </row>
    <row r="1175">
      <c r="A1175" s="13" t="s">
        <v>294</v>
      </c>
      <c r="B1175" s="13" t="s">
        <v>281</v>
      </c>
      <c r="C1175" s="14">
        <v>57.0</v>
      </c>
      <c r="D1175" s="13" t="s">
        <v>85</v>
      </c>
      <c r="E1175" s="13" t="s">
        <v>111</v>
      </c>
      <c r="F1175" s="13" t="s">
        <v>62</v>
      </c>
      <c r="G1175" s="13" t="s">
        <v>39</v>
      </c>
      <c r="H1175" s="16">
        <v>45403.0</v>
      </c>
      <c r="I1175" s="14">
        <v>46.0</v>
      </c>
      <c r="J1175" s="13" t="s">
        <v>40</v>
      </c>
      <c r="K1175" s="13" t="s">
        <v>65</v>
      </c>
      <c r="L1175" s="14">
        <v>550.0</v>
      </c>
      <c r="M1175" s="18" t="s">
        <v>98</v>
      </c>
      <c r="N1175" s="18" t="s">
        <v>43</v>
      </c>
      <c r="O1175" s="18">
        <v>32.1</v>
      </c>
      <c r="P1175" s="18" t="s">
        <v>408</v>
      </c>
      <c r="Q1175" s="16">
        <v>45945.0</v>
      </c>
      <c r="R1175" s="16" t="s">
        <v>38</v>
      </c>
      <c r="S1175" s="13" t="s">
        <v>55</v>
      </c>
      <c r="T1175" s="13" t="s">
        <v>75</v>
      </c>
      <c r="U1175" s="13">
        <f t="shared" si="1"/>
        <v>3</v>
      </c>
      <c r="V1175" s="13" t="str">
        <f t="shared" si="2"/>
        <v>C00466|Anita Reddy|57|West|Pune|Basic|Instagram|4/21/2024|46|Monthly|Credit Card|550|1|2|32.10|4.2|10/15/2025||Active|Security</v>
      </c>
      <c r="W1175" s="13">
        <f t="shared" si="3"/>
        <v>1</v>
      </c>
      <c r="X1175" s="13">
        <f>IFERROR(__xludf.DUMMYFUNCTION("COUNTUNIQUE(FILTER($B$2:$B$1826,$A$2:$A$1826=A1175))"),3.0)</f>
        <v>3</v>
      </c>
    </row>
    <row r="1176">
      <c r="A1176" s="13" t="s">
        <v>1762</v>
      </c>
      <c r="B1176" s="13" t="s">
        <v>96</v>
      </c>
      <c r="C1176" s="14">
        <v>37.0</v>
      </c>
      <c r="D1176" s="13" t="s">
        <v>35</v>
      </c>
      <c r="E1176" s="13" t="s">
        <v>36</v>
      </c>
      <c r="F1176" s="13" t="s">
        <v>37</v>
      </c>
      <c r="G1176" s="13" t="s">
        <v>52</v>
      </c>
      <c r="H1176" s="16">
        <v>45734.0</v>
      </c>
      <c r="I1176" s="14">
        <v>20.0</v>
      </c>
      <c r="J1176" s="13" t="s">
        <v>53</v>
      </c>
      <c r="K1176" s="13" t="s">
        <v>65</v>
      </c>
      <c r="L1176" s="14">
        <v>1542.0</v>
      </c>
      <c r="M1176" s="18" t="s">
        <v>46</v>
      </c>
      <c r="N1176" s="18" t="s">
        <v>46</v>
      </c>
      <c r="O1176" s="18">
        <v>16.0</v>
      </c>
      <c r="P1176" s="18" t="s">
        <v>203</v>
      </c>
      <c r="Q1176" s="16">
        <v>46367.0</v>
      </c>
      <c r="R1176" s="16" t="s">
        <v>1443</v>
      </c>
      <c r="S1176" s="13" t="s">
        <v>45</v>
      </c>
      <c r="T1176" s="13" t="s">
        <v>72</v>
      </c>
      <c r="U1176" s="13">
        <f t="shared" si="1"/>
        <v>1</v>
      </c>
      <c r="V1176" s="13" t="str">
        <f t="shared" si="2"/>
        <v>C00016|Rahul Kumar|37|North|Delhi|Standard|Facebook|3/18/2025|20|Quarterly|Credit Card|1,542|0|0|16.00|3.7|12/11/2026|29/12/2025|Churned|Collaboration</v>
      </c>
      <c r="W1176" s="13">
        <f t="shared" si="3"/>
        <v>1</v>
      </c>
      <c r="X1176" s="13">
        <f>IFERROR(__xludf.DUMMYFUNCTION("COUNTUNIQUE(FILTER($B$2:$B$1826,$A$2:$A$1826=A1176))"),1.0)</f>
        <v>1</v>
      </c>
    </row>
    <row r="1177">
      <c r="A1177" s="13" t="s">
        <v>521</v>
      </c>
      <c r="B1177" s="13" t="s">
        <v>229</v>
      </c>
      <c r="C1177" s="14">
        <v>67.0</v>
      </c>
      <c r="D1177" s="13" t="s">
        <v>85</v>
      </c>
      <c r="E1177" s="13" t="s">
        <v>87</v>
      </c>
      <c r="F1177" s="13" t="s">
        <v>37</v>
      </c>
      <c r="G1177" s="13" t="s">
        <v>63</v>
      </c>
      <c r="H1177" s="16">
        <v>45231.0</v>
      </c>
      <c r="I1177" s="14">
        <v>28.0</v>
      </c>
      <c r="J1177" s="13" t="s">
        <v>53</v>
      </c>
      <c r="K1177" s="13" t="s">
        <v>65</v>
      </c>
      <c r="L1177" s="14">
        <v>1317.0</v>
      </c>
      <c r="M1177" s="18" t="s">
        <v>98</v>
      </c>
      <c r="N1177" s="18" t="s">
        <v>46</v>
      </c>
      <c r="O1177" s="18">
        <v>31.5</v>
      </c>
      <c r="P1177" s="18" t="s">
        <v>164</v>
      </c>
      <c r="Q1177" s="16">
        <v>45674.0</v>
      </c>
      <c r="R1177" s="16" t="s">
        <v>38</v>
      </c>
      <c r="S1177" s="13" t="s">
        <v>55</v>
      </c>
      <c r="T1177" s="13" t="s">
        <v>66</v>
      </c>
      <c r="U1177" s="13">
        <f t="shared" si="1"/>
        <v>4</v>
      </c>
      <c r="V1177" s="13" t="str">
        <f t="shared" si="2"/>
        <v>C01517|Anita Nair|67|West|Surat|Standard|Google Ads|11/1/2023|28|Quarterly|Credit Card|1,317|1|0|31.50|3|1/17/2025||Active|Automation</v>
      </c>
      <c r="W1177" s="13">
        <f t="shared" si="3"/>
        <v>1</v>
      </c>
      <c r="X1177" s="13">
        <f>IFERROR(__xludf.DUMMYFUNCTION("COUNTUNIQUE(FILTER($B$2:$B$1826,$A$2:$A$1826=A1177))"),4.0)</f>
        <v>4</v>
      </c>
    </row>
    <row r="1178">
      <c r="A1178" s="13" t="s">
        <v>1708</v>
      </c>
      <c r="B1178" s="13" t="s">
        <v>224</v>
      </c>
      <c r="C1178" s="14">
        <v>44.0</v>
      </c>
      <c r="D1178" s="13" t="s">
        <v>85</v>
      </c>
      <c r="E1178" s="13" t="s">
        <v>92</v>
      </c>
      <c r="F1178" s="13" t="s">
        <v>37</v>
      </c>
      <c r="G1178" s="13" t="s">
        <v>39</v>
      </c>
      <c r="H1178" s="16">
        <v>44955.0</v>
      </c>
      <c r="I1178" s="14">
        <v>33.0</v>
      </c>
      <c r="J1178" s="13" t="s">
        <v>53</v>
      </c>
      <c r="K1178" s="13" t="s">
        <v>41</v>
      </c>
      <c r="L1178" s="14">
        <v>1434.0</v>
      </c>
      <c r="M1178" s="18" t="s">
        <v>43</v>
      </c>
      <c r="N1178" s="18" t="s">
        <v>46</v>
      </c>
      <c r="O1178" s="18">
        <v>24.1</v>
      </c>
      <c r="P1178" s="18" t="s">
        <v>123</v>
      </c>
      <c r="Q1178" s="16">
        <v>45213.0</v>
      </c>
      <c r="R1178" s="16" t="s">
        <v>432</v>
      </c>
      <c r="S1178" s="13" t="s">
        <v>45</v>
      </c>
      <c r="T1178" s="13" t="s">
        <v>47</v>
      </c>
      <c r="U1178" s="13">
        <f t="shared" si="1"/>
        <v>3</v>
      </c>
      <c r="V1178" s="13" t="str">
        <f t="shared" si="2"/>
        <v>C00060|Anita Iyer|44|West|Ahmedabad|Standard|Instagram|1/29/2023|33|Quarterly|Upi|1,434|2|0|24.10|4.1|10/14/2023|24/07/2025|Churned|Cloud Storage</v>
      </c>
      <c r="W1178" s="13">
        <f t="shared" si="3"/>
        <v>1</v>
      </c>
      <c r="X1178" s="13">
        <f>IFERROR(__xludf.DUMMYFUNCTION("COUNTUNIQUE(FILTER($B$2:$B$1826,$A$2:$A$1826=A1178))"),3.0)</f>
        <v>3</v>
      </c>
    </row>
    <row r="1179">
      <c r="A1179" s="13" t="s">
        <v>1203</v>
      </c>
      <c r="B1179" s="13" t="s">
        <v>132</v>
      </c>
      <c r="C1179" s="14" t="s">
        <v>38</v>
      </c>
      <c r="D1179" s="13" t="s">
        <v>85</v>
      </c>
      <c r="E1179" s="13" t="s">
        <v>92</v>
      </c>
      <c r="F1179" s="13" t="s">
        <v>37</v>
      </c>
      <c r="G1179" s="13" t="s">
        <v>63</v>
      </c>
      <c r="H1179" s="16">
        <v>44784.0</v>
      </c>
      <c r="I1179" s="14">
        <v>26.0</v>
      </c>
      <c r="J1179" s="13" t="s">
        <v>64</v>
      </c>
      <c r="K1179" s="13" t="s">
        <v>41</v>
      </c>
      <c r="L1179" s="14">
        <v>1621.0</v>
      </c>
      <c r="M1179" s="18" t="s">
        <v>98</v>
      </c>
      <c r="N1179" s="18" t="s">
        <v>98</v>
      </c>
      <c r="O1179" s="18">
        <v>27.4</v>
      </c>
      <c r="P1179" s="18" t="s">
        <v>48</v>
      </c>
      <c r="Q1179" s="16">
        <v>45028.0</v>
      </c>
      <c r="R1179" s="16" t="s">
        <v>38</v>
      </c>
      <c r="S1179" s="13" t="s">
        <v>55</v>
      </c>
      <c r="T1179" s="13" t="s">
        <v>47</v>
      </c>
      <c r="U1179" s="13">
        <f t="shared" si="1"/>
        <v>2</v>
      </c>
      <c r="V1179" s="13" t="str">
        <f t="shared" si="2"/>
        <v>C01578|Arun Kumar||West|Ahmedabad|Standard|Google Ads|8/11/2022|26|Annual|Upi|1,621|1|1|27.40|3.6|4/12/2023||Active|Cloud Storage</v>
      </c>
      <c r="W1179" s="13">
        <f t="shared" si="3"/>
        <v>1</v>
      </c>
      <c r="X1179" s="13">
        <f>IFERROR(__xludf.DUMMYFUNCTION("COUNTUNIQUE(FILTER($B$2:$B$1826,$A$2:$A$1826=A1179))"),2.0)</f>
        <v>2</v>
      </c>
    </row>
    <row r="1180">
      <c r="A1180" s="13" t="s">
        <v>1254</v>
      </c>
      <c r="B1180" s="13" t="s">
        <v>206</v>
      </c>
      <c r="C1180" s="14">
        <v>67.0</v>
      </c>
      <c r="D1180" s="13" t="s">
        <v>35</v>
      </c>
      <c r="E1180" s="13" t="s">
        <v>51</v>
      </c>
      <c r="F1180" s="13" t="s">
        <v>62</v>
      </c>
      <c r="G1180" s="13" t="s">
        <v>39</v>
      </c>
      <c r="H1180" s="16">
        <v>45487.0</v>
      </c>
      <c r="I1180" s="14">
        <v>28.0</v>
      </c>
      <c r="J1180" s="13" t="s">
        <v>40</v>
      </c>
      <c r="K1180" s="13" t="s">
        <v>81</v>
      </c>
      <c r="L1180" s="14">
        <v>743.0</v>
      </c>
      <c r="M1180" s="18" t="s">
        <v>99</v>
      </c>
      <c r="N1180" s="18" t="s">
        <v>43</v>
      </c>
      <c r="O1180" s="18">
        <v>18.1</v>
      </c>
      <c r="P1180" s="18" t="s">
        <v>116</v>
      </c>
      <c r="Q1180" s="16">
        <v>45982.0</v>
      </c>
      <c r="R1180" s="16" t="s">
        <v>1764</v>
      </c>
      <c r="S1180" s="13" t="s">
        <v>45</v>
      </c>
      <c r="T1180" s="13" t="s">
        <v>104</v>
      </c>
      <c r="U1180" s="13">
        <f t="shared" si="1"/>
        <v>4</v>
      </c>
      <c r="V1180" s="13" t="str">
        <f t="shared" si="2"/>
        <v>C00383|Karan Patel|67|North|Jaipur|Basic|Instagram|7/14/2024|28|Monthly|Debit Card|743|4|2|18.10|3.4|11/21/2025|27/06/2025|Churned|Analytics</v>
      </c>
      <c r="W1180" s="13">
        <f t="shared" si="3"/>
        <v>1</v>
      </c>
      <c r="X1180" s="13">
        <f>IFERROR(__xludf.DUMMYFUNCTION("COUNTUNIQUE(FILTER($B$2:$B$1826,$A$2:$A$1826=A1180))"),4.0)</f>
        <v>4</v>
      </c>
    </row>
    <row r="1181">
      <c r="A1181" s="13" t="s">
        <v>1765</v>
      </c>
      <c r="B1181" s="13" t="s">
        <v>308</v>
      </c>
      <c r="C1181" s="14">
        <v>19.0</v>
      </c>
      <c r="D1181" s="13" t="s">
        <v>35</v>
      </c>
      <c r="E1181" s="13" t="s">
        <v>36</v>
      </c>
      <c r="F1181" s="13" t="s">
        <v>62</v>
      </c>
      <c r="G1181" s="13" t="s">
        <v>210</v>
      </c>
      <c r="H1181" s="16">
        <v>44766.0</v>
      </c>
      <c r="I1181" s="14">
        <v>6.0</v>
      </c>
      <c r="J1181" s="13" t="s">
        <v>64</v>
      </c>
      <c r="K1181" s="13" t="s">
        <v>41</v>
      </c>
      <c r="L1181" s="14">
        <v>756.0</v>
      </c>
      <c r="M1181" s="18" t="s">
        <v>164</v>
      </c>
      <c r="N1181" s="18" t="s">
        <v>43</v>
      </c>
      <c r="O1181" s="18">
        <v>11.7</v>
      </c>
      <c r="P1181" s="18" t="s">
        <v>263</v>
      </c>
      <c r="Q1181" s="16">
        <v>44908.0</v>
      </c>
      <c r="R1181" s="16" t="s">
        <v>38</v>
      </c>
      <c r="S1181" s="13" t="s">
        <v>55</v>
      </c>
      <c r="T1181" s="13" t="s">
        <v>104</v>
      </c>
      <c r="U1181" s="13">
        <f t="shared" si="1"/>
        <v>1</v>
      </c>
      <c r="V1181" s="13" t="str">
        <f t="shared" si="2"/>
        <v>C00800|Karan Kumar|19|North|Delhi|Basic|Referral|7/24/2022|6|Annual|Upi|756|3|2|11.70|2.9|12/13/2022||Active|Analytics</v>
      </c>
      <c r="W1181" s="13">
        <f t="shared" si="3"/>
        <v>1</v>
      </c>
      <c r="X1181" s="13">
        <f>IFERROR(__xludf.DUMMYFUNCTION("COUNTUNIQUE(FILTER($B$2:$B$1826,$A$2:$A$1826=A1181))"),1.0)</f>
        <v>1</v>
      </c>
    </row>
    <row r="1182">
      <c r="A1182" s="13" t="s">
        <v>695</v>
      </c>
      <c r="B1182" s="13" t="s">
        <v>331</v>
      </c>
      <c r="C1182" s="14">
        <v>47.0</v>
      </c>
      <c r="D1182" s="13" t="s">
        <v>85</v>
      </c>
      <c r="E1182" s="13" t="s">
        <v>87</v>
      </c>
      <c r="F1182" s="13" t="s">
        <v>37</v>
      </c>
      <c r="G1182" s="13" t="s">
        <v>80</v>
      </c>
      <c r="H1182" s="16">
        <v>44823.0</v>
      </c>
      <c r="I1182" s="14">
        <v>13.0</v>
      </c>
      <c r="J1182" s="13" t="s">
        <v>40</v>
      </c>
      <c r="K1182" s="13" t="s">
        <v>81</v>
      </c>
      <c r="L1182" s="14">
        <v>1590.0</v>
      </c>
      <c r="M1182" s="18" t="s">
        <v>173</v>
      </c>
      <c r="N1182" s="18" t="s">
        <v>46</v>
      </c>
      <c r="O1182" s="18">
        <v>21.4</v>
      </c>
      <c r="P1182" s="18" t="s">
        <v>173</v>
      </c>
      <c r="Q1182" s="16">
        <v>45016.0</v>
      </c>
      <c r="R1182" s="16">
        <v>44991.0</v>
      </c>
      <c r="S1182" s="13" t="s">
        <v>45</v>
      </c>
      <c r="T1182" s="13" t="s">
        <v>75</v>
      </c>
      <c r="U1182" s="13">
        <f t="shared" si="1"/>
        <v>6</v>
      </c>
      <c r="V1182" s="13" t="str">
        <f t="shared" si="2"/>
        <v>C00972|Arun Iyer|47|West|Surat|Standard|Organic Search|9/19/2022|13|Monthly|Debit Card|1,590|5|0|21.40|5|3/31/2023|3/6/2023|Churned|Security</v>
      </c>
      <c r="W1182" s="13">
        <f t="shared" si="3"/>
        <v>1</v>
      </c>
      <c r="X1182" s="13">
        <f>IFERROR(__xludf.DUMMYFUNCTION("COUNTUNIQUE(FILTER($B$2:$B$1826,$A$2:$A$1826=A1182))"),6.0)</f>
        <v>6</v>
      </c>
    </row>
    <row r="1183">
      <c r="A1183" s="13" t="s">
        <v>82</v>
      </c>
      <c r="B1183" s="13" t="s">
        <v>312</v>
      </c>
      <c r="C1183" s="14">
        <v>46.0</v>
      </c>
      <c r="D1183" s="13" t="s">
        <v>69</v>
      </c>
      <c r="E1183" s="13" t="s">
        <v>119</v>
      </c>
      <c r="F1183" s="13" t="s">
        <v>62</v>
      </c>
      <c r="G1183" s="13" t="s">
        <v>52</v>
      </c>
      <c r="H1183" s="16">
        <v>44789.0</v>
      </c>
      <c r="I1183" s="14">
        <v>11.0</v>
      </c>
      <c r="J1183" s="13" t="s">
        <v>53</v>
      </c>
      <c r="K1183" s="13" t="s">
        <v>81</v>
      </c>
      <c r="L1183" s="14">
        <v>769.0</v>
      </c>
      <c r="M1183" s="18" t="s">
        <v>164</v>
      </c>
      <c r="N1183" s="18" t="s">
        <v>46</v>
      </c>
      <c r="O1183" s="18">
        <v>11.7</v>
      </c>
      <c r="P1183" s="18" t="s">
        <v>275</v>
      </c>
      <c r="Q1183" s="16">
        <v>45044.0</v>
      </c>
      <c r="R1183" s="16" t="s">
        <v>38</v>
      </c>
      <c r="S1183" s="13" t="s">
        <v>55</v>
      </c>
      <c r="T1183" s="13" t="s">
        <v>66</v>
      </c>
      <c r="U1183" s="13">
        <f t="shared" si="1"/>
        <v>2</v>
      </c>
      <c r="V1183" s="13" t="str">
        <f t="shared" si="2"/>
        <v>C00539|Anita Singh|46|South|Kochi|Basic|Facebook|8/16/2022|11|Quarterly|Debit Card|769|3|0|11.70|4.3|4/28/2023||Active|Automation</v>
      </c>
      <c r="W1183" s="13">
        <f t="shared" si="3"/>
        <v>1</v>
      </c>
      <c r="X1183" s="13">
        <f>IFERROR(__xludf.DUMMYFUNCTION("COUNTUNIQUE(FILTER($B$2:$B$1826,$A$2:$A$1826=A1183))"),2.0)</f>
        <v>2</v>
      </c>
    </row>
    <row r="1184">
      <c r="A1184" s="13" t="s">
        <v>1191</v>
      </c>
      <c r="B1184" s="13" t="s">
        <v>288</v>
      </c>
      <c r="C1184" s="14">
        <v>61.0</v>
      </c>
      <c r="D1184" s="13" t="s">
        <v>85</v>
      </c>
      <c r="E1184" s="13" t="s">
        <v>292</v>
      </c>
      <c r="F1184" s="13" t="s">
        <v>37</v>
      </c>
      <c r="G1184" s="13" t="s">
        <v>210</v>
      </c>
      <c r="H1184" s="16">
        <v>45863.0</v>
      </c>
      <c r="I1184" s="14">
        <v>11.0</v>
      </c>
      <c r="J1184" s="13" t="s">
        <v>64</v>
      </c>
      <c r="K1184" s="13" t="s">
        <v>81</v>
      </c>
      <c r="L1184" s="14">
        <v>1525.0</v>
      </c>
      <c r="M1184" s="18" t="s">
        <v>98</v>
      </c>
      <c r="N1184" s="18" t="s">
        <v>46</v>
      </c>
      <c r="O1184" s="18">
        <v>17.2</v>
      </c>
      <c r="P1184" s="18" t="s">
        <v>263</v>
      </c>
      <c r="Q1184" s="16">
        <v>46031.0</v>
      </c>
      <c r="R1184" s="16" t="s">
        <v>38</v>
      </c>
      <c r="S1184" s="13" t="s">
        <v>55</v>
      </c>
      <c r="T1184" s="13" t="s">
        <v>47</v>
      </c>
      <c r="U1184" s="13">
        <f t="shared" si="1"/>
        <v>3</v>
      </c>
      <c r="V1184" s="13" t="str">
        <f t="shared" si="2"/>
        <v>C01495|Rahul Sharma|61|West|Mumbai|Standard|Referral|7/25/2025|11|Annual|Debit Card|1,525|1|0|17.20|2.9|1/9/2026||Active|Cloud Storage</v>
      </c>
      <c r="W1184" s="13">
        <f t="shared" si="3"/>
        <v>1</v>
      </c>
      <c r="X1184" s="13">
        <f>IFERROR(__xludf.DUMMYFUNCTION("COUNTUNIQUE(FILTER($B$2:$B$1826,$A$2:$A$1826=A1184))"),3.0)</f>
        <v>3</v>
      </c>
    </row>
    <row r="1185">
      <c r="A1185" s="13" t="s">
        <v>1139</v>
      </c>
      <c r="B1185" s="13" t="s">
        <v>169</v>
      </c>
      <c r="C1185" s="14">
        <v>40.0</v>
      </c>
      <c r="D1185" s="13" t="s">
        <v>69</v>
      </c>
      <c r="E1185" s="13" t="s">
        <v>107</v>
      </c>
      <c r="F1185" s="13" t="s">
        <v>62</v>
      </c>
      <c r="G1185" s="13" t="s">
        <v>128</v>
      </c>
      <c r="H1185" s="16">
        <v>45111.0</v>
      </c>
      <c r="I1185" s="14">
        <v>4.0</v>
      </c>
      <c r="J1185" s="13" t="s">
        <v>64</v>
      </c>
      <c r="K1185" s="13" t="s">
        <v>41</v>
      </c>
      <c r="L1185" s="14">
        <v>718.0</v>
      </c>
      <c r="M1185" s="18" t="s">
        <v>43</v>
      </c>
      <c r="N1185" s="18" t="s">
        <v>46</v>
      </c>
      <c r="O1185" s="18">
        <v>1.0</v>
      </c>
      <c r="P1185" s="18" t="s">
        <v>263</v>
      </c>
      <c r="Q1185" s="16">
        <v>45215.0</v>
      </c>
      <c r="R1185" s="16" t="s">
        <v>38</v>
      </c>
      <c r="S1185" s="13" t="s">
        <v>55</v>
      </c>
      <c r="T1185" s="13" t="s">
        <v>47</v>
      </c>
      <c r="U1185" s="13">
        <f t="shared" si="1"/>
        <v>2</v>
      </c>
      <c r="V1185" s="13" t="str">
        <f t="shared" si="2"/>
        <v>C01032|Vikram Nair|40|South|Patna|Basic|Youtube|7/4/2023|4|Annual|Upi|718|2|0|1.00|2.9|10/16/2023||Active|Cloud Storage</v>
      </c>
      <c r="W1185" s="13">
        <f t="shared" si="3"/>
        <v>1</v>
      </c>
      <c r="X1185" s="13">
        <f>IFERROR(__xludf.DUMMYFUNCTION("COUNTUNIQUE(FILTER($B$2:$B$1826,$A$2:$A$1826=A1185))"),2.0)</f>
        <v>2</v>
      </c>
    </row>
    <row r="1186">
      <c r="A1186" s="13" t="s">
        <v>473</v>
      </c>
      <c r="B1186" s="13" t="s">
        <v>110</v>
      </c>
      <c r="C1186" s="14">
        <v>68.0</v>
      </c>
      <c r="D1186" s="13" t="s">
        <v>35</v>
      </c>
      <c r="E1186" s="13" t="s">
        <v>51</v>
      </c>
      <c r="F1186" s="13" t="s">
        <v>79</v>
      </c>
      <c r="G1186" s="13" t="s">
        <v>39</v>
      </c>
      <c r="H1186" s="16">
        <v>45478.0</v>
      </c>
      <c r="I1186" s="14">
        <v>19.0</v>
      </c>
      <c r="J1186" s="13" t="s">
        <v>53</v>
      </c>
      <c r="K1186" s="13" t="s">
        <v>41</v>
      </c>
      <c r="L1186" s="14">
        <v>3507.0</v>
      </c>
      <c r="M1186" s="18" t="s">
        <v>43</v>
      </c>
      <c r="N1186" s="18" t="s">
        <v>98</v>
      </c>
      <c r="O1186" s="18">
        <v>51.5</v>
      </c>
      <c r="P1186" s="18" t="s">
        <v>173</v>
      </c>
      <c r="Q1186" s="16">
        <v>45991.0</v>
      </c>
      <c r="R1186" s="16" t="s">
        <v>1768</v>
      </c>
      <c r="S1186" s="13" t="s">
        <v>45</v>
      </c>
      <c r="T1186" s="13" t="s">
        <v>47</v>
      </c>
      <c r="U1186" s="13">
        <f t="shared" si="1"/>
        <v>4</v>
      </c>
      <c r="V1186" s="13" t="str">
        <f t="shared" si="2"/>
        <v>C00158|Sneha Nair|68|North|Jaipur|Premium|Instagram|7/5/2024|19|Quarterly|Upi|3,507|2|1|51.50|5|11/30/2025|29/10/2024|Churned|Cloud Storage</v>
      </c>
      <c r="W1186" s="13">
        <f t="shared" si="3"/>
        <v>1</v>
      </c>
      <c r="X1186" s="13">
        <f>IFERROR(__xludf.DUMMYFUNCTION("COUNTUNIQUE(FILTER($B$2:$B$1826,$A$2:$A$1826=A1186))"),4.0)</f>
        <v>4</v>
      </c>
    </row>
    <row r="1187">
      <c r="A1187" s="13" t="s">
        <v>1769</v>
      </c>
      <c r="B1187" s="13" t="s">
        <v>257</v>
      </c>
      <c r="C1187" s="14">
        <v>64.0</v>
      </c>
      <c r="D1187" s="13" t="s">
        <v>60</v>
      </c>
      <c r="E1187" s="13" t="s">
        <v>97</v>
      </c>
      <c r="F1187" s="13" t="s">
        <v>37</v>
      </c>
      <c r="G1187" s="13" t="s">
        <v>63</v>
      </c>
      <c r="H1187" s="16">
        <v>44954.0</v>
      </c>
      <c r="I1187" s="14">
        <v>36.0</v>
      </c>
      <c r="J1187" s="13" t="s">
        <v>40</v>
      </c>
      <c r="K1187" s="13" t="s">
        <v>81</v>
      </c>
      <c r="L1187" s="14">
        <v>1172.0</v>
      </c>
      <c r="M1187" s="18" t="s">
        <v>98</v>
      </c>
      <c r="N1187" s="18" t="s">
        <v>43</v>
      </c>
      <c r="O1187" s="18">
        <v>18.0</v>
      </c>
      <c r="P1187" s="18" t="s">
        <v>123</v>
      </c>
      <c r="Q1187" s="16">
        <v>45113.0</v>
      </c>
      <c r="R1187" s="16" t="s">
        <v>38</v>
      </c>
      <c r="S1187" s="13" t="s">
        <v>55</v>
      </c>
      <c r="T1187" s="13" t="s">
        <v>66</v>
      </c>
      <c r="U1187" s="13">
        <f t="shared" si="1"/>
        <v>1</v>
      </c>
      <c r="V1187" s="13" t="str">
        <f t="shared" si="2"/>
        <v>C01361|Sneha Reddy|64|East|Bhubaneswar|Standard|Google Ads|1/28/2023|36|Monthly|Debit Card|1,172|1|2|18.00|4.1|7/6/2023||Active|Automation</v>
      </c>
      <c r="W1187" s="13">
        <f t="shared" si="3"/>
        <v>1</v>
      </c>
      <c r="X1187" s="13">
        <f>IFERROR(__xludf.DUMMYFUNCTION("COUNTUNIQUE(FILTER($B$2:$B$1826,$A$2:$A$1826=A1187))"),1.0)</f>
        <v>1</v>
      </c>
    </row>
    <row r="1188">
      <c r="A1188" s="13" t="s">
        <v>121</v>
      </c>
      <c r="B1188" s="13" t="s">
        <v>172</v>
      </c>
      <c r="C1188" s="14">
        <v>39.0</v>
      </c>
      <c r="D1188" s="13" t="s">
        <v>35</v>
      </c>
      <c r="E1188" s="13" t="s">
        <v>140</v>
      </c>
      <c r="F1188" s="13" t="s">
        <v>79</v>
      </c>
      <c r="G1188" s="13" t="s">
        <v>128</v>
      </c>
      <c r="H1188" s="16">
        <v>44647.0</v>
      </c>
      <c r="I1188" s="14">
        <v>17.0</v>
      </c>
      <c r="J1188" s="13" t="s">
        <v>64</v>
      </c>
      <c r="K1188" s="13" t="s">
        <v>81</v>
      </c>
      <c r="L1188" s="14">
        <v>2066.0</v>
      </c>
      <c r="M1188" s="18" t="s">
        <v>98</v>
      </c>
      <c r="N1188" s="18" t="s">
        <v>98</v>
      </c>
      <c r="O1188" s="18">
        <v>29.4</v>
      </c>
      <c r="P1188" s="18" t="s">
        <v>310</v>
      </c>
      <c r="Q1188" s="16">
        <v>45052.0</v>
      </c>
      <c r="R1188" s="16" t="s">
        <v>38</v>
      </c>
      <c r="S1188" s="13" t="s">
        <v>55</v>
      </c>
      <c r="T1188" s="13" t="s">
        <v>66</v>
      </c>
      <c r="U1188" s="13">
        <f t="shared" si="1"/>
        <v>2</v>
      </c>
      <c r="V1188" s="13" t="str">
        <f t="shared" si="2"/>
        <v>C00125|Meera Singh|39|North|Lucknow|Premium|Youtube|3/27/2022|17|Annual|Debit Card|2,066|1|1|29.40|3.1|5/6/2023||Active|Automation</v>
      </c>
      <c r="W1188" s="13">
        <f t="shared" si="3"/>
        <v>1</v>
      </c>
      <c r="X1188" s="13">
        <f>IFERROR(__xludf.DUMMYFUNCTION("COUNTUNIQUE(FILTER($B$2:$B$1826,$A$2:$A$1826=A1188))"),2.0)</f>
        <v>2</v>
      </c>
    </row>
    <row r="1189">
      <c r="A1189" s="13" t="s">
        <v>1003</v>
      </c>
      <c r="B1189" s="13" t="s">
        <v>247</v>
      </c>
      <c r="C1189" s="14">
        <v>64.0</v>
      </c>
      <c r="D1189" s="13" t="s">
        <v>60</v>
      </c>
      <c r="E1189" s="13" t="s">
        <v>97</v>
      </c>
      <c r="F1189" s="13" t="s">
        <v>62</v>
      </c>
      <c r="G1189" s="13" t="s">
        <v>39</v>
      </c>
      <c r="H1189" s="16">
        <v>45187.0</v>
      </c>
      <c r="I1189" s="14">
        <v>1.0</v>
      </c>
      <c r="J1189" s="13" t="s">
        <v>53</v>
      </c>
      <c r="K1189" s="13" t="s">
        <v>65</v>
      </c>
      <c r="L1189" s="14">
        <v>857.0</v>
      </c>
      <c r="M1189" s="18" t="s">
        <v>46</v>
      </c>
      <c r="N1189" s="18" t="s">
        <v>98</v>
      </c>
      <c r="O1189" s="18">
        <v>22.6</v>
      </c>
      <c r="P1189" s="18" t="s">
        <v>408</v>
      </c>
      <c r="Q1189" s="16">
        <v>45203.0</v>
      </c>
      <c r="R1189" s="16" t="s">
        <v>38</v>
      </c>
      <c r="S1189" s="13" t="s">
        <v>55</v>
      </c>
      <c r="T1189" s="13" t="s">
        <v>75</v>
      </c>
      <c r="U1189" s="13">
        <f t="shared" si="1"/>
        <v>3</v>
      </c>
      <c r="V1189" s="13" t="str">
        <f t="shared" si="2"/>
        <v>C00297|Ravi Sharma|64|East|Bhubaneswar|Basic|Instagram|9/18/2023|1|Quarterly|Credit Card|857|0|1|22.60|4.2|10/4/2023||Active|Security</v>
      </c>
      <c r="W1189" s="13">
        <f t="shared" si="3"/>
        <v>1</v>
      </c>
      <c r="X1189" s="13">
        <f>IFERROR(__xludf.DUMMYFUNCTION("COUNTUNIQUE(FILTER($B$2:$B$1826,$A$2:$A$1826=A1189))"),3.0)</f>
        <v>3</v>
      </c>
    </row>
    <row r="1190">
      <c r="A1190" s="13" t="s">
        <v>1770</v>
      </c>
      <c r="B1190" s="13" t="s">
        <v>308</v>
      </c>
      <c r="C1190" s="14">
        <v>53.0</v>
      </c>
      <c r="D1190" s="13" t="s">
        <v>60</v>
      </c>
      <c r="E1190" s="13" t="s">
        <v>61</v>
      </c>
      <c r="F1190" s="13" t="s">
        <v>37</v>
      </c>
      <c r="G1190" s="13" t="s">
        <v>210</v>
      </c>
      <c r="H1190" s="16">
        <v>44914.0</v>
      </c>
      <c r="I1190" s="14">
        <v>18.0</v>
      </c>
      <c r="J1190" s="13" t="s">
        <v>40</v>
      </c>
      <c r="K1190" s="13" t="s">
        <v>81</v>
      </c>
      <c r="L1190" s="14">
        <v>1367.0</v>
      </c>
      <c r="M1190" s="18" t="s">
        <v>164</v>
      </c>
      <c r="N1190" s="18" t="s">
        <v>98</v>
      </c>
      <c r="O1190" s="18">
        <v>21.1</v>
      </c>
      <c r="P1190" s="18" t="s">
        <v>263</v>
      </c>
      <c r="Q1190" s="16">
        <v>45192.0</v>
      </c>
      <c r="R1190" s="16" t="s">
        <v>38</v>
      </c>
      <c r="S1190" s="13" t="s">
        <v>55</v>
      </c>
      <c r="T1190" s="13" t="s">
        <v>72</v>
      </c>
      <c r="U1190" s="13">
        <f t="shared" si="1"/>
        <v>1</v>
      </c>
      <c r="V1190" s="13" t="str">
        <f t="shared" si="2"/>
        <v>C01035|Karan Kumar|53|East|Kolkata|Standard|Referral|12/19/2022|18|Monthly|Debit Card|1,367|3|1|21.10|2.9|9/23/2023||Active|Collaboration</v>
      </c>
      <c r="W1190" s="13">
        <f t="shared" si="3"/>
        <v>1</v>
      </c>
      <c r="X1190" s="13">
        <f>IFERROR(__xludf.DUMMYFUNCTION("COUNTUNIQUE(FILTER($B$2:$B$1826,$A$2:$A$1826=A1190))"),1.0)</f>
        <v>1</v>
      </c>
    </row>
    <row r="1191">
      <c r="A1191" s="13" t="s">
        <v>1519</v>
      </c>
      <c r="B1191" s="13" t="s">
        <v>312</v>
      </c>
      <c r="C1191" s="14">
        <v>60.0</v>
      </c>
      <c r="D1191" s="13" t="s">
        <v>35</v>
      </c>
      <c r="E1191" s="13" t="s">
        <v>140</v>
      </c>
      <c r="F1191" s="13" t="s">
        <v>37</v>
      </c>
      <c r="G1191" s="13" t="s">
        <v>39</v>
      </c>
      <c r="H1191" s="16">
        <v>45484.0</v>
      </c>
      <c r="I1191" s="14">
        <v>46.0</v>
      </c>
      <c r="J1191" s="13" t="s">
        <v>64</v>
      </c>
      <c r="K1191" s="13" t="s">
        <v>41</v>
      </c>
      <c r="L1191" s="14">
        <v>1014.0</v>
      </c>
      <c r="M1191" s="18" t="s">
        <v>98</v>
      </c>
      <c r="N1191" s="18" t="s">
        <v>46</v>
      </c>
      <c r="O1191" s="18">
        <v>22.5</v>
      </c>
      <c r="P1191" s="18" t="s">
        <v>851</v>
      </c>
      <c r="Q1191" s="16">
        <v>46827.0</v>
      </c>
      <c r="R1191" s="16">
        <v>47092.0</v>
      </c>
      <c r="S1191" s="13" t="s">
        <v>45</v>
      </c>
      <c r="T1191" s="13" t="s">
        <v>47</v>
      </c>
      <c r="U1191" s="13">
        <f t="shared" si="1"/>
        <v>3</v>
      </c>
      <c r="V1191" s="13" t="str">
        <f t="shared" si="2"/>
        <v>C01410|Anita Singh|60|North|Lucknow|Standard|Instagram|7/11/2024|46|Annual|Upi|1,014|1|0|22.50|9|3/15/2028|12/5/2028|Churned|Cloud Storage</v>
      </c>
      <c r="W1191" s="13">
        <f t="shared" si="3"/>
        <v>1</v>
      </c>
      <c r="X1191" s="13">
        <f>IFERROR(__xludf.DUMMYFUNCTION("COUNTUNIQUE(FILTER($B$2:$B$1826,$A$2:$A$1826=A1191))"),3.0)</f>
        <v>3</v>
      </c>
    </row>
    <row r="1192">
      <c r="A1192" s="13" t="s">
        <v>1773</v>
      </c>
      <c r="B1192" s="13" t="s">
        <v>96</v>
      </c>
      <c r="C1192" s="14">
        <v>38.0</v>
      </c>
      <c r="D1192" s="13" t="s">
        <v>35</v>
      </c>
      <c r="E1192" s="13" t="s">
        <v>92</v>
      </c>
      <c r="F1192" s="13" t="s">
        <v>79</v>
      </c>
      <c r="G1192" s="13" t="s">
        <v>52</v>
      </c>
      <c r="H1192" s="16">
        <v>45352.0</v>
      </c>
      <c r="I1192" s="14">
        <v>40.0</v>
      </c>
      <c r="J1192" s="13" t="s">
        <v>53</v>
      </c>
      <c r="K1192" s="13" t="s">
        <v>65</v>
      </c>
      <c r="L1192" s="14">
        <v>3079.0</v>
      </c>
      <c r="M1192" s="18" t="s">
        <v>164</v>
      </c>
      <c r="N1192" s="18" t="s">
        <v>43</v>
      </c>
      <c r="O1192" s="18">
        <v>44.4</v>
      </c>
      <c r="P1192" s="18" t="s">
        <v>173</v>
      </c>
      <c r="Q1192" s="16">
        <v>46415.0</v>
      </c>
      <c r="R1192" s="16" t="s">
        <v>38</v>
      </c>
      <c r="S1192" s="13" t="s">
        <v>55</v>
      </c>
      <c r="T1192" s="13" t="s">
        <v>66</v>
      </c>
      <c r="U1192" s="13">
        <f t="shared" si="1"/>
        <v>1</v>
      </c>
      <c r="V1192" s="13" t="str">
        <f t="shared" si="2"/>
        <v>C01100|Rahul Kumar|38|North|Ahmedabad|Premium|Facebook|3/1/2024|40|Quarterly|Credit Card|3,079|3|2|44.40|5|1/28/2027||Active|Automation</v>
      </c>
      <c r="W1192" s="13">
        <f t="shared" si="3"/>
        <v>1</v>
      </c>
      <c r="X1192" s="13">
        <f>IFERROR(__xludf.DUMMYFUNCTION("COUNTUNIQUE(FILTER($B$2:$B$1826,$A$2:$A$1826=A1192))"),1.0)</f>
        <v>1</v>
      </c>
    </row>
    <row r="1193">
      <c r="A1193" s="13" t="s">
        <v>1775</v>
      </c>
      <c r="B1193" s="13" t="s">
        <v>34</v>
      </c>
      <c r="C1193" s="14">
        <v>64.0</v>
      </c>
      <c r="D1193" s="13" t="s">
        <v>69</v>
      </c>
      <c r="E1193" s="13" t="s">
        <v>119</v>
      </c>
      <c r="F1193" s="13" t="s">
        <v>62</v>
      </c>
      <c r="G1193" s="13" t="s">
        <v>128</v>
      </c>
      <c r="H1193" s="16">
        <v>45482.0</v>
      </c>
      <c r="I1193" s="14">
        <v>44.0</v>
      </c>
      <c r="J1193" s="13" t="s">
        <v>53</v>
      </c>
      <c r="K1193" s="13" t="s">
        <v>41</v>
      </c>
      <c r="L1193" s="14">
        <v>691.0</v>
      </c>
      <c r="M1193" s="18" t="s">
        <v>43</v>
      </c>
      <c r="N1193" s="18" t="s">
        <v>98</v>
      </c>
      <c r="O1193" s="18">
        <v>21.5</v>
      </c>
      <c r="P1193" s="18" t="s">
        <v>310</v>
      </c>
      <c r="Q1193" s="16">
        <v>45675.0</v>
      </c>
      <c r="R1193" s="16" t="s">
        <v>38</v>
      </c>
      <c r="S1193" s="13" t="s">
        <v>55</v>
      </c>
      <c r="T1193" s="13" t="s">
        <v>72</v>
      </c>
      <c r="U1193" s="13">
        <f t="shared" si="1"/>
        <v>1</v>
      </c>
      <c r="V1193" s="13" t="str">
        <f t="shared" si="2"/>
        <v>C01440|Meera Das|64|South|Kochi|Basic|Youtube|7/9/2024|44|Quarterly|Upi|691|2|1|21.50|3.1|1/18/2025||Active|Collaboration</v>
      </c>
      <c r="W1193" s="13">
        <f t="shared" si="3"/>
        <v>1</v>
      </c>
      <c r="X1193" s="13">
        <f>IFERROR(__xludf.DUMMYFUNCTION("COUNTUNIQUE(FILTER($B$2:$B$1826,$A$2:$A$1826=A1193))"),1.0)</f>
        <v>1</v>
      </c>
    </row>
    <row r="1194">
      <c r="A1194" s="13" t="s">
        <v>677</v>
      </c>
      <c r="B1194" s="13" t="s">
        <v>645</v>
      </c>
      <c r="C1194" s="14">
        <v>20.0</v>
      </c>
      <c r="D1194" s="13" t="s">
        <v>69</v>
      </c>
      <c r="E1194" s="13" t="s">
        <v>187</v>
      </c>
      <c r="F1194" s="13" t="s">
        <v>37</v>
      </c>
      <c r="G1194" s="13" t="s">
        <v>39</v>
      </c>
      <c r="H1194" s="16">
        <v>45629.0</v>
      </c>
      <c r="I1194" s="14">
        <v>16.0</v>
      </c>
      <c r="J1194" s="13" t="s">
        <v>53</v>
      </c>
      <c r="K1194" s="13" t="s">
        <v>41</v>
      </c>
      <c r="L1194" s="14">
        <v>1153.0</v>
      </c>
      <c r="M1194" s="18" t="s">
        <v>98</v>
      </c>
      <c r="N1194" s="18" t="s">
        <v>164</v>
      </c>
      <c r="O1194" s="18">
        <v>40.7</v>
      </c>
      <c r="P1194" s="18" t="s">
        <v>48</v>
      </c>
      <c r="Q1194" s="16">
        <v>45696.0</v>
      </c>
      <c r="R1194" s="16" t="s">
        <v>38</v>
      </c>
      <c r="S1194" s="13" t="s">
        <v>55</v>
      </c>
      <c r="T1194" s="13" t="s">
        <v>66</v>
      </c>
      <c r="U1194" s="13">
        <f t="shared" si="1"/>
        <v>5</v>
      </c>
      <c r="V1194" s="13" t="str">
        <f t="shared" si="2"/>
        <v>C00271|Ravi Nair|20|South|Chennai|Standard|Instagram|12/3/2024|16|Quarterly|Upi|1,153|1|3|40.70|3.6|2/8/2025||Active|Automation</v>
      </c>
      <c r="W1194" s="13">
        <f t="shared" si="3"/>
        <v>1</v>
      </c>
      <c r="X1194" s="13">
        <f>IFERROR(__xludf.DUMMYFUNCTION("COUNTUNIQUE(FILTER($B$2:$B$1826,$A$2:$A$1826=A1194))"),5.0)</f>
        <v>5</v>
      </c>
    </row>
    <row r="1195">
      <c r="A1195" s="13" t="s">
        <v>1090</v>
      </c>
      <c r="B1195" s="13" t="s">
        <v>459</v>
      </c>
      <c r="C1195" s="14">
        <v>19.0</v>
      </c>
      <c r="D1195" s="13" t="s">
        <v>69</v>
      </c>
      <c r="E1195" s="13" t="s">
        <v>70</v>
      </c>
      <c r="F1195" s="13" t="s">
        <v>37</v>
      </c>
      <c r="G1195" s="13" t="s">
        <v>80</v>
      </c>
      <c r="H1195" s="16">
        <v>44996.0</v>
      </c>
      <c r="I1195" s="14">
        <v>11.0</v>
      </c>
      <c r="J1195" s="13" t="s">
        <v>40</v>
      </c>
      <c r="K1195" s="13" t="s">
        <v>41</v>
      </c>
      <c r="L1195" s="14">
        <v>1118.0</v>
      </c>
      <c r="M1195" s="18" t="s">
        <v>43</v>
      </c>
      <c r="N1195" s="18" t="s">
        <v>43</v>
      </c>
      <c r="O1195" s="18">
        <v>26.0</v>
      </c>
      <c r="P1195" s="18" t="s">
        <v>116</v>
      </c>
      <c r="Q1195" s="16">
        <v>45100.0</v>
      </c>
      <c r="R1195" s="16" t="s">
        <v>38</v>
      </c>
      <c r="S1195" s="13" t="s">
        <v>45</v>
      </c>
      <c r="T1195" s="13" t="s">
        <v>66</v>
      </c>
      <c r="U1195" s="13">
        <f t="shared" si="1"/>
        <v>2</v>
      </c>
      <c r="V1195" s="13" t="str">
        <f t="shared" si="2"/>
        <v>C00431|Neha Patel|19|South|Bengaluru|Standard|Organic Search|3/11/2023|11|Monthly|Upi|1,118|2|2|26.00|3.4|6/23/2023||Churned|Automation</v>
      </c>
      <c r="W1195" s="13">
        <f t="shared" si="3"/>
        <v>1</v>
      </c>
      <c r="X1195" s="13">
        <f>IFERROR(__xludf.DUMMYFUNCTION("COUNTUNIQUE(FILTER($B$2:$B$1826,$A$2:$A$1826=A1195))"),2.0)</f>
        <v>2</v>
      </c>
    </row>
    <row r="1196">
      <c r="A1196" s="13" t="s">
        <v>940</v>
      </c>
      <c r="B1196" s="13" t="s">
        <v>734</v>
      </c>
      <c r="C1196" s="14">
        <v>26.0</v>
      </c>
      <c r="D1196" s="13" t="s">
        <v>85</v>
      </c>
      <c r="E1196" s="13" t="s">
        <v>87</v>
      </c>
      <c r="F1196" s="13" t="s">
        <v>62</v>
      </c>
      <c r="G1196" s="13" t="s">
        <v>63</v>
      </c>
      <c r="H1196" s="16">
        <v>44623.0</v>
      </c>
      <c r="I1196" s="14">
        <v>33.0</v>
      </c>
      <c r="J1196" s="13" t="s">
        <v>40</v>
      </c>
      <c r="K1196" s="13" t="s">
        <v>81</v>
      </c>
      <c r="L1196" s="14">
        <v>804.0</v>
      </c>
      <c r="M1196" s="18" t="s">
        <v>98</v>
      </c>
      <c r="N1196" s="18" t="s">
        <v>98</v>
      </c>
      <c r="O1196" s="18">
        <v>26.1</v>
      </c>
      <c r="P1196" s="18" t="s">
        <v>43</v>
      </c>
      <c r="Q1196" s="16">
        <v>45204.0</v>
      </c>
      <c r="R1196" s="16" t="s">
        <v>1768</v>
      </c>
      <c r="S1196" s="13" t="s">
        <v>45</v>
      </c>
      <c r="T1196" s="13" t="s">
        <v>104</v>
      </c>
      <c r="U1196" s="13">
        <f t="shared" si="1"/>
        <v>3</v>
      </c>
      <c r="V1196" s="13" t="str">
        <f t="shared" si="2"/>
        <v>C00791|Sneha Das|26|West|Surat|Basic|Google Ads|3/3/2022|33|Monthly|Debit Card|804|1|1|26.10|2|10/5/2023|29/10/2024|Churned|Analytics</v>
      </c>
      <c r="W1196" s="13">
        <f t="shared" si="3"/>
        <v>1</v>
      </c>
      <c r="X1196" s="13">
        <f>IFERROR(__xludf.DUMMYFUNCTION("COUNTUNIQUE(FILTER($B$2:$B$1826,$A$2:$A$1826=A1196))"),3.0)</f>
        <v>3</v>
      </c>
    </row>
    <row r="1197">
      <c r="A1197" s="13" t="s">
        <v>814</v>
      </c>
      <c r="B1197" s="13" t="s">
        <v>215</v>
      </c>
      <c r="C1197" s="14">
        <v>56.0</v>
      </c>
      <c r="D1197" s="13" t="s">
        <v>69</v>
      </c>
      <c r="E1197" s="13" t="s">
        <v>177</v>
      </c>
      <c r="F1197" s="13" t="s">
        <v>62</v>
      </c>
      <c r="G1197" s="13" t="s">
        <v>39</v>
      </c>
      <c r="H1197" s="16">
        <v>45153.0</v>
      </c>
      <c r="I1197" s="14">
        <v>4.0</v>
      </c>
      <c r="J1197" s="13" t="s">
        <v>64</v>
      </c>
      <c r="K1197" s="13" t="s">
        <v>41</v>
      </c>
      <c r="L1197" s="14">
        <v>619.0</v>
      </c>
      <c r="M1197" s="18" t="s">
        <v>98</v>
      </c>
      <c r="N1197" s="18" t="s">
        <v>46</v>
      </c>
      <c r="O1197" s="18">
        <v>26.1</v>
      </c>
      <c r="P1197" s="18" t="s">
        <v>456</v>
      </c>
      <c r="Q1197" s="16">
        <v>45244.0</v>
      </c>
      <c r="R1197" s="16">
        <v>45089.0</v>
      </c>
      <c r="S1197" s="13" t="s">
        <v>45</v>
      </c>
      <c r="T1197" s="13" t="s">
        <v>75</v>
      </c>
      <c r="U1197" s="13">
        <f t="shared" si="1"/>
        <v>2</v>
      </c>
      <c r="V1197" s="13" t="str">
        <f t="shared" si="2"/>
        <v>C00606|Neha Sharma|56|South|Hyderabad|Basic|Instagram|8/15/2023|4|Annual|Upi|619|1|0|26.10|2.5|11/14/2023|6/12/2023|Churned|Security</v>
      </c>
      <c r="W1197" s="13">
        <f t="shared" si="3"/>
        <v>1</v>
      </c>
      <c r="X1197" s="13">
        <f>IFERROR(__xludf.DUMMYFUNCTION("COUNTUNIQUE(FILTER($B$2:$B$1826,$A$2:$A$1826=A1197))"),2.0)</f>
        <v>2</v>
      </c>
    </row>
    <row r="1198">
      <c r="A1198" s="13" t="s">
        <v>1778</v>
      </c>
      <c r="B1198" s="13" t="s">
        <v>424</v>
      </c>
      <c r="C1198" s="14">
        <v>48.0</v>
      </c>
      <c r="D1198" s="13" t="s">
        <v>85</v>
      </c>
      <c r="E1198" s="13" t="s">
        <v>111</v>
      </c>
      <c r="F1198" s="13" t="s">
        <v>62</v>
      </c>
      <c r="G1198" s="13" t="s">
        <v>210</v>
      </c>
      <c r="H1198" s="16">
        <v>45398.0</v>
      </c>
      <c r="I1198" s="14">
        <v>38.0</v>
      </c>
      <c r="J1198" s="13" t="s">
        <v>53</v>
      </c>
      <c r="K1198" s="13" t="s">
        <v>41</v>
      </c>
      <c r="L1198" s="14">
        <v>845.0</v>
      </c>
      <c r="M1198" s="18" t="s">
        <v>164</v>
      </c>
      <c r="N1198" s="18" t="s">
        <v>98</v>
      </c>
      <c r="O1198" s="18">
        <v>10.0</v>
      </c>
      <c r="P1198" s="18" t="s">
        <v>143</v>
      </c>
      <c r="Q1198" s="16">
        <v>45415.0</v>
      </c>
      <c r="R1198" s="16" t="s">
        <v>38</v>
      </c>
      <c r="S1198" s="13" t="s">
        <v>55</v>
      </c>
      <c r="T1198" s="13" t="s">
        <v>104</v>
      </c>
      <c r="U1198" s="13">
        <f t="shared" si="1"/>
        <v>1</v>
      </c>
      <c r="V1198" s="13" t="str">
        <f t="shared" si="2"/>
        <v>C00566|Neha Kumar|48|West|Pune|Basic|Referral|4/16/2024|38|Quarterly|Upi|845|3|1|10.00|2.1|5/3/2024||Active|Analytics</v>
      </c>
      <c r="W1198" s="13">
        <f t="shared" si="3"/>
        <v>1</v>
      </c>
      <c r="X1198" s="13">
        <f>IFERROR(__xludf.DUMMYFUNCTION("COUNTUNIQUE(FILTER($B$2:$B$1826,$A$2:$A$1826=A1198))"),1.0)</f>
        <v>1</v>
      </c>
    </row>
    <row r="1199">
      <c r="A1199" s="13" t="s">
        <v>1344</v>
      </c>
      <c r="B1199" s="13" t="s">
        <v>393</v>
      </c>
      <c r="C1199" s="14">
        <v>61.0</v>
      </c>
      <c r="D1199" s="13" t="s">
        <v>60</v>
      </c>
      <c r="E1199" s="13" t="s">
        <v>107</v>
      </c>
      <c r="F1199" s="13" t="s">
        <v>79</v>
      </c>
      <c r="G1199" s="13" t="s">
        <v>80</v>
      </c>
      <c r="H1199" s="16">
        <v>45338.0</v>
      </c>
      <c r="I1199" s="14">
        <v>29.0</v>
      </c>
      <c r="J1199" s="13" t="s">
        <v>53</v>
      </c>
      <c r="K1199" s="13" t="s">
        <v>65</v>
      </c>
      <c r="L1199" s="14">
        <v>3848.0</v>
      </c>
      <c r="M1199" s="18" t="s">
        <v>43</v>
      </c>
      <c r="N1199" s="18" t="s">
        <v>164</v>
      </c>
      <c r="O1199" s="18">
        <v>46.9</v>
      </c>
      <c r="P1199" s="18" t="s">
        <v>130</v>
      </c>
      <c r="Q1199" s="16">
        <v>46053.0</v>
      </c>
      <c r="R1199" s="16">
        <v>45356.0</v>
      </c>
      <c r="S1199" s="13" t="s">
        <v>45</v>
      </c>
      <c r="T1199" s="13" t="s">
        <v>72</v>
      </c>
      <c r="U1199" s="13">
        <f t="shared" si="1"/>
        <v>3</v>
      </c>
      <c r="V1199" s="13" t="str">
        <f t="shared" si="2"/>
        <v>C00758|Karan Das|61|East|Patna|Premium|Organic Search|2/16/2024|29|Quarterly|Credit Card|3,848|2|3|46.90|3.9|1/31/2026|3/5/2024|Churned|Collaboration</v>
      </c>
      <c r="W1199" s="13">
        <f t="shared" si="3"/>
        <v>1</v>
      </c>
      <c r="X1199" s="13">
        <f>IFERROR(__xludf.DUMMYFUNCTION("COUNTUNIQUE(FILTER($B$2:$B$1826,$A$2:$A$1826=A1199))"),3.0)</f>
        <v>3</v>
      </c>
    </row>
    <row r="1200">
      <c r="A1200" s="13" t="s">
        <v>902</v>
      </c>
      <c r="B1200" s="13" t="s">
        <v>345</v>
      </c>
      <c r="C1200" s="14">
        <v>53.0</v>
      </c>
      <c r="D1200" s="13" t="s">
        <v>35</v>
      </c>
      <c r="E1200" s="13" t="s">
        <v>36</v>
      </c>
      <c r="F1200" s="13" t="s">
        <v>79</v>
      </c>
      <c r="G1200" s="13" t="s">
        <v>120</v>
      </c>
      <c r="H1200" s="16">
        <v>45321.0</v>
      </c>
      <c r="I1200" s="14">
        <v>20.0</v>
      </c>
      <c r="J1200" s="13" t="s">
        <v>53</v>
      </c>
      <c r="K1200" s="13" t="s">
        <v>41</v>
      </c>
      <c r="L1200" s="14">
        <v>3440.0</v>
      </c>
      <c r="M1200" s="18" t="s">
        <v>43</v>
      </c>
      <c r="N1200" s="18" t="s">
        <v>46</v>
      </c>
      <c r="O1200" s="18">
        <v>34.2</v>
      </c>
      <c r="P1200" s="18" t="s">
        <v>203</v>
      </c>
      <c r="Q1200" s="16">
        <v>45561.0</v>
      </c>
      <c r="R1200" s="16" t="s">
        <v>1781</v>
      </c>
      <c r="S1200" s="13" t="s">
        <v>45</v>
      </c>
      <c r="T1200" s="13" t="s">
        <v>75</v>
      </c>
      <c r="U1200" s="13">
        <f t="shared" si="1"/>
        <v>2</v>
      </c>
      <c r="V1200" s="13" t="str">
        <f t="shared" si="2"/>
        <v>C00189|Arun Nair|53|North|Delhi|Premium|Email|1/30/2024|20|Quarterly|Upi|3,440|2|0|34.20|3.7|9/26/2024|13/12/2024|Churned|Security</v>
      </c>
      <c r="W1200" s="13">
        <f t="shared" si="3"/>
        <v>1</v>
      </c>
      <c r="X1200" s="13">
        <f>IFERROR(__xludf.DUMMYFUNCTION("COUNTUNIQUE(FILTER($B$2:$B$1826,$A$2:$A$1826=A1200))"),2.0)</f>
        <v>2</v>
      </c>
    </row>
    <row r="1201">
      <c r="A1201" s="13" t="s">
        <v>907</v>
      </c>
      <c r="B1201" s="13" t="s">
        <v>380</v>
      </c>
      <c r="C1201" s="14">
        <v>54.0</v>
      </c>
      <c r="D1201" s="13" t="s">
        <v>60</v>
      </c>
      <c r="E1201" s="13" t="s">
        <v>133</v>
      </c>
      <c r="F1201" s="13" t="s">
        <v>62</v>
      </c>
      <c r="G1201" s="13" t="s">
        <v>80</v>
      </c>
      <c r="H1201" s="16">
        <v>44592.0</v>
      </c>
      <c r="I1201" s="14">
        <v>24.0</v>
      </c>
      <c r="J1201" s="13" t="s">
        <v>40</v>
      </c>
      <c r="K1201" s="13" t="s">
        <v>65</v>
      </c>
      <c r="L1201" s="14">
        <v>888.0</v>
      </c>
      <c r="M1201" s="18" t="s">
        <v>173</v>
      </c>
      <c r="N1201" s="18" t="s">
        <v>38</v>
      </c>
      <c r="O1201" s="18">
        <v>18.9</v>
      </c>
      <c r="P1201" s="18" t="s">
        <v>310</v>
      </c>
      <c r="Q1201" s="16">
        <v>45031.0</v>
      </c>
      <c r="R1201" s="16" t="s">
        <v>1784</v>
      </c>
      <c r="S1201" s="13" t="s">
        <v>45</v>
      </c>
      <c r="T1201" s="13" t="s">
        <v>66</v>
      </c>
      <c r="U1201" s="13">
        <f t="shared" si="1"/>
        <v>2</v>
      </c>
      <c r="V1201" s="13" t="str">
        <f t="shared" si="2"/>
        <v>C01258|Neha Iyer|54|East|Guwahati|Basic|Organic Search|1/31/2022|24|Monthly|Credit Card|888|5||18.90|3.1|4/15/2023|14/09/2023|Churned|Automation</v>
      </c>
      <c r="W1201" s="13">
        <f t="shared" si="3"/>
        <v>1</v>
      </c>
      <c r="X1201" s="13">
        <f>IFERROR(__xludf.DUMMYFUNCTION("COUNTUNIQUE(FILTER($B$2:$B$1826,$A$2:$A$1826=A1201))"),2.0)</f>
        <v>2</v>
      </c>
    </row>
    <row r="1202">
      <c r="A1202" s="13" t="s">
        <v>1475</v>
      </c>
      <c r="B1202" s="13" t="s">
        <v>110</v>
      </c>
      <c r="C1202" s="14">
        <v>58.0</v>
      </c>
      <c r="D1202" s="13" t="s">
        <v>85</v>
      </c>
      <c r="E1202" s="13" t="s">
        <v>111</v>
      </c>
      <c r="F1202" s="13" t="s">
        <v>62</v>
      </c>
      <c r="G1202" s="13" t="s">
        <v>120</v>
      </c>
      <c r="H1202" s="16">
        <v>44593.0</v>
      </c>
      <c r="I1202" s="14">
        <v>34.0</v>
      </c>
      <c r="J1202" s="13" t="s">
        <v>40</v>
      </c>
      <c r="K1202" s="13" t="s">
        <v>65</v>
      </c>
      <c r="L1202" s="14">
        <v>720.0</v>
      </c>
      <c r="M1202" s="18" t="s">
        <v>43</v>
      </c>
      <c r="N1202" s="18" t="s">
        <v>98</v>
      </c>
      <c r="O1202" s="18">
        <v>33.5</v>
      </c>
      <c r="P1202" s="18" t="s">
        <v>150</v>
      </c>
      <c r="Q1202" s="16">
        <v>44845.0</v>
      </c>
      <c r="R1202" s="16" t="s">
        <v>38</v>
      </c>
      <c r="S1202" s="13" t="s">
        <v>55</v>
      </c>
      <c r="T1202" s="13" t="s">
        <v>104</v>
      </c>
      <c r="U1202" s="13">
        <f t="shared" si="1"/>
        <v>2</v>
      </c>
      <c r="V1202" s="13" t="str">
        <f t="shared" si="2"/>
        <v>C01487|Sneha Nair|58|West|Pune|Basic|Email|2/1/2022|34|Monthly|Credit Card|720|2|1|33.50|4.5|10/11/2022||Active|Analytics</v>
      </c>
      <c r="W1202" s="13">
        <f t="shared" si="3"/>
        <v>1</v>
      </c>
      <c r="X1202" s="13">
        <f>IFERROR(__xludf.DUMMYFUNCTION("COUNTUNIQUE(FILTER($B$2:$B$1826,$A$2:$A$1826=A1202))"),2.0)</f>
        <v>2</v>
      </c>
    </row>
    <row r="1203">
      <c r="A1203" s="13" t="s">
        <v>1785</v>
      </c>
      <c r="B1203" s="13" t="s">
        <v>96</v>
      </c>
      <c r="C1203" s="14">
        <v>24.0</v>
      </c>
      <c r="D1203" s="13" t="s">
        <v>85</v>
      </c>
      <c r="E1203" s="13" t="s">
        <v>111</v>
      </c>
      <c r="F1203" s="13" t="s">
        <v>62</v>
      </c>
      <c r="G1203" s="13" t="s">
        <v>128</v>
      </c>
      <c r="H1203" s="16">
        <v>44720.0</v>
      </c>
      <c r="I1203" s="14">
        <v>37.0</v>
      </c>
      <c r="J1203" s="13" t="s">
        <v>53</v>
      </c>
      <c r="K1203" s="13" t="s">
        <v>65</v>
      </c>
      <c r="L1203" s="14">
        <v>692.0</v>
      </c>
      <c r="M1203" s="18" t="s">
        <v>98</v>
      </c>
      <c r="N1203" s="18" t="s">
        <v>98</v>
      </c>
      <c r="O1203" s="18">
        <v>15.8</v>
      </c>
      <c r="P1203" s="18" t="s">
        <v>310</v>
      </c>
      <c r="Q1203" s="16">
        <v>45214.0</v>
      </c>
      <c r="R1203" s="16" t="s">
        <v>38</v>
      </c>
      <c r="S1203" s="13" t="s">
        <v>55</v>
      </c>
      <c r="T1203" s="13" t="s">
        <v>72</v>
      </c>
      <c r="U1203" s="13">
        <f t="shared" si="1"/>
        <v>2</v>
      </c>
      <c r="V1203" s="13" t="str">
        <f t="shared" si="2"/>
        <v>C00760|Rahul Kumar|24|West|Pune|Basic|Youtube|6/8/2022|37|Quarterly|Credit Card|692|1|1|15.80|3.1|10/15/2023||Active|Collaboration</v>
      </c>
      <c r="W1203" s="13">
        <f t="shared" si="3"/>
        <v>1</v>
      </c>
      <c r="X1203" s="13">
        <f>IFERROR(__xludf.DUMMYFUNCTION("COUNTUNIQUE(FILTER($B$2:$B$1826,$A$2:$A$1826=A1203))"),2.0)</f>
        <v>2</v>
      </c>
    </row>
    <row r="1204">
      <c r="A1204" s="13" t="s">
        <v>528</v>
      </c>
      <c r="B1204" s="13" t="s">
        <v>639</v>
      </c>
      <c r="C1204" s="14">
        <v>42.0</v>
      </c>
      <c r="D1204" s="13" t="s">
        <v>69</v>
      </c>
      <c r="E1204" s="13" t="s">
        <v>119</v>
      </c>
      <c r="F1204" s="13" t="s">
        <v>62</v>
      </c>
      <c r="G1204" s="13" t="s">
        <v>63</v>
      </c>
      <c r="H1204" s="16">
        <v>45695.0</v>
      </c>
      <c r="I1204" s="14">
        <v>1.0</v>
      </c>
      <c r="J1204" s="13" t="s">
        <v>53</v>
      </c>
      <c r="K1204" s="13" t="s">
        <v>81</v>
      </c>
      <c r="L1204" s="14">
        <v>791.0</v>
      </c>
      <c r="M1204" s="18" t="s">
        <v>99</v>
      </c>
      <c r="N1204" s="18" t="s">
        <v>46</v>
      </c>
      <c r="O1204" s="18">
        <v>17.8</v>
      </c>
      <c r="P1204" s="18" t="s">
        <v>48</v>
      </c>
      <c r="Q1204" s="16">
        <v>45713.0</v>
      </c>
      <c r="R1204" s="16">
        <v>45873.0</v>
      </c>
      <c r="S1204" s="13" t="s">
        <v>45</v>
      </c>
      <c r="T1204" s="13" t="s">
        <v>72</v>
      </c>
      <c r="U1204" s="13">
        <f t="shared" si="1"/>
        <v>6</v>
      </c>
      <c r="V1204" s="13" t="str">
        <f t="shared" si="2"/>
        <v>C00931|Priya Nair|42|South|Kochi|Basic|Google Ads|2/7/2025|1|Quarterly|Debit Card|791|4|0|17.80|3.6|2/25/2025|8/4/2025|Churned|Collaboration</v>
      </c>
      <c r="W1204" s="13">
        <f t="shared" si="3"/>
        <v>1</v>
      </c>
      <c r="X1204" s="13">
        <f>IFERROR(__xludf.DUMMYFUNCTION("COUNTUNIQUE(FILTER($B$2:$B$1826,$A$2:$A$1826=A1204))"),5.0)</f>
        <v>5</v>
      </c>
    </row>
    <row r="1205">
      <c r="A1205" s="13" t="s">
        <v>696</v>
      </c>
      <c r="B1205" s="13" t="s">
        <v>325</v>
      </c>
      <c r="C1205" s="14">
        <v>53.0</v>
      </c>
      <c r="D1205" s="13" t="s">
        <v>85</v>
      </c>
      <c r="E1205" s="13" t="s">
        <v>87</v>
      </c>
      <c r="F1205" s="13" t="s">
        <v>37</v>
      </c>
      <c r="G1205" s="13" t="s">
        <v>52</v>
      </c>
      <c r="H1205" s="16">
        <v>44746.0</v>
      </c>
      <c r="I1205" s="14">
        <v>43.0</v>
      </c>
      <c r="J1205" s="13" t="s">
        <v>64</v>
      </c>
      <c r="K1205" s="13" t="s">
        <v>81</v>
      </c>
      <c r="L1205" s="14">
        <v>1302.0</v>
      </c>
      <c r="M1205" s="18" t="s">
        <v>43</v>
      </c>
      <c r="N1205" s="18" t="s">
        <v>46</v>
      </c>
      <c r="O1205" s="18">
        <v>34.2</v>
      </c>
      <c r="P1205" s="18" t="s">
        <v>185</v>
      </c>
      <c r="Q1205" s="16">
        <v>45989.0</v>
      </c>
      <c r="R1205" s="16" t="s">
        <v>1787</v>
      </c>
      <c r="S1205" s="13" t="s">
        <v>45</v>
      </c>
      <c r="T1205" s="13" t="s">
        <v>66</v>
      </c>
      <c r="U1205" s="13">
        <f t="shared" si="1"/>
        <v>2</v>
      </c>
      <c r="V1205" s="13" t="str">
        <f t="shared" si="2"/>
        <v>C00242|Priya Sharma|53|West|Surat|Standard|Facebook|7/4/2022|43|Annual|Debit Card|1,302|2|0|34.20|3.2|11/28/2025|16/08/2023|Churned|Automation</v>
      </c>
      <c r="W1205" s="13">
        <f t="shared" si="3"/>
        <v>1</v>
      </c>
      <c r="X1205" s="13">
        <f>IFERROR(__xludf.DUMMYFUNCTION("COUNTUNIQUE(FILTER($B$2:$B$1826,$A$2:$A$1826=A1205))"),2.0)</f>
        <v>2</v>
      </c>
    </row>
    <row r="1206">
      <c r="A1206" s="13" t="s">
        <v>1003</v>
      </c>
      <c r="B1206" s="13" t="s">
        <v>91</v>
      </c>
      <c r="C1206" s="14">
        <v>47.0</v>
      </c>
      <c r="D1206" s="13" t="s">
        <v>60</v>
      </c>
      <c r="E1206" s="13" t="s">
        <v>61</v>
      </c>
      <c r="F1206" s="13" t="s">
        <v>37</v>
      </c>
      <c r="G1206" s="13" t="s">
        <v>80</v>
      </c>
      <c r="H1206" s="16">
        <v>45386.0</v>
      </c>
      <c r="I1206" s="14">
        <v>9.0</v>
      </c>
      <c r="J1206" s="13" t="s">
        <v>40</v>
      </c>
      <c r="K1206" s="13" t="s">
        <v>81</v>
      </c>
      <c r="L1206" s="14">
        <v>1165.0</v>
      </c>
      <c r="M1206" s="18" t="s">
        <v>46</v>
      </c>
      <c r="N1206" s="18" t="s">
        <v>98</v>
      </c>
      <c r="O1206" s="18">
        <v>34.3</v>
      </c>
      <c r="P1206" s="18" t="s">
        <v>143</v>
      </c>
      <c r="Q1206" s="16">
        <v>45640.0</v>
      </c>
      <c r="R1206" s="16" t="s">
        <v>38</v>
      </c>
      <c r="S1206" s="13" t="s">
        <v>55</v>
      </c>
      <c r="T1206" s="13" t="s">
        <v>72</v>
      </c>
      <c r="U1206" s="13">
        <f t="shared" si="1"/>
        <v>3</v>
      </c>
      <c r="V1206" s="13" t="str">
        <f t="shared" si="2"/>
        <v>C00297|Anita Sharma|47|East|Kolkata|Standard|Organic Search|4/4/2024|9|Monthly|Debit Card|1,165|0|1|34.30|2.1|12/14/2024||Active|Collaboration</v>
      </c>
      <c r="W1206" s="13">
        <f t="shared" si="3"/>
        <v>1</v>
      </c>
      <c r="X1206" s="13">
        <f>IFERROR(__xludf.DUMMYFUNCTION("COUNTUNIQUE(FILTER($B$2:$B$1826,$A$2:$A$1826=A1206))"),3.0)</f>
        <v>3</v>
      </c>
    </row>
    <row r="1207">
      <c r="A1207" s="13" t="s">
        <v>1788</v>
      </c>
      <c r="B1207" s="13" t="s">
        <v>633</v>
      </c>
      <c r="C1207" s="14">
        <v>68.0</v>
      </c>
      <c r="D1207" s="13" t="s">
        <v>60</v>
      </c>
      <c r="E1207" s="13" t="s">
        <v>107</v>
      </c>
      <c r="F1207" s="13" t="s">
        <v>79</v>
      </c>
      <c r="G1207" s="13" t="s">
        <v>63</v>
      </c>
      <c r="H1207" s="16">
        <v>45695.0</v>
      </c>
      <c r="I1207" s="14">
        <v>23.0</v>
      </c>
      <c r="J1207" s="13" t="s">
        <v>64</v>
      </c>
      <c r="K1207" s="13" t="s">
        <v>41</v>
      </c>
      <c r="L1207" s="14">
        <v>3705.0</v>
      </c>
      <c r="M1207" s="18" t="s">
        <v>99</v>
      </c>
      <c r="N1207" s="18" t="s">
        <v>164</v>
      </c>
      <c r="O1207" s="18">
        <v>38.4</v>
      </c>
      <c r="P1207" s="18" t="s">
        <v>225</v>
      </c>
      <c r="Q1207" s="16">
        <v>45751.0</v>
      </c>
      <c r="R1207" s="16" t="s">
        <v>38</v>
      </c>
      <c r="S1207" s="13" t="s">
        <v>55</v>
      </c>
      <c r="T1207" s="13" t="s">
        <v>104</v>
      </c>
      <c r="U1207" s="13">
        <f t="shared" si="1"/>
        <v>2</v>
      </c>
      <c r="V1207" s="13" t="str">
        <f t="shared" si="2"/>
        <v>C01477|Anita Das|68|East|Patna|Premium|Google Ads|2/7/2025|23|Annual|Upi|3,705|4|3|38.40|3.8|4/4/2025||Active|Analytics</v>
      </c>
      <c r="W1207" s="13">
        <f t="shared" si="3"/>
        <v>1</v>
      </c>
      <c r="X1207" s="13">
        <f>IFERROR(__xludf.DUMMYFUNCTION("COUNTUNIQUE(FILTER($B$2:$B$1826,$A$2:$A$1826=A1207))"),2.0)</f>
        <v>2</v>
      </c>
    </row>
    <row r="1208">
      <c r="A1208" s="13" t="s">
        <v>332</v>
      </c>
      <c r="B1208" s="13" t="s">
        <v>801</v>
      </c>
      <c r="C1208" s="14">
        <v>64.0</v>
      </c>
      <c r="D1208" s="13" t="s">
        <v>69</v>
      </c>
      <c r="E1208" s="13" t="s">
        <v>187</v>
      </c>
      <c r="F1208" s="13" t="s">
        <v>37</v>
      </c>
      <c r="G1208" s="13" t="s">
        <v>210</v>
      </c>
      <c r="H1208" s="16">
        <v>45579.0</v>
      </c>
      <c r="I1208" s="14">
        <v>1.0</v>
      </c>
      <c r="J1208" s="13" t="s">
        <v>53</v>
      </c>
      <c r="K1208" s="13" t="s">
        <v>65</v>
      </c>
      <c r="L1208" s="14">
        <v>1750.0</v>
      </c>
      <c r="M1208" s="18" t="s">
        <v>46</v>
      </c>
      <c r="N1208" s="18" t="s">
        <v>98</v>
      </c>
      <c r="O1208" s="18">
        <v>25.5</v>
      </c>
      <c r="P1208" s="18" t="s">
        <v>123</v>
      </c>
      <c r="Q1208" s="16">
        <v>45593.0</v>
      </c>
      <c r="R1208" s="16" t="s">
        <v>38</v>
      </c>
      <c r="S1208" s="13" t="s">
        <v>55</v>
      </c>
      <c r="T1208" s="13" t="s">
        <v>72</v>
      </c>
      <c r="U1208" s="13">
        <f t="shared" si="1"/>
        <v>4</v>
      </c>
      <c r="V1208" s="13" t="str">
        <f t="shared" si="2"/>
        <v>C01184|Karan Singh|64|South|Chennai|Standard|Referral|10/14/2024|1|Quarterly|Credit Card|1,750|0|1|25.50|4.1|10/28/2024||Active|Collaboration</v>
      </c>
      <c r="W1208" s="13">
        <f t="shared" si="3"/>
        <v>1</v>
      </c>
      <c r="X1208" s="13">
        <f>IFERROR(__xludf.DUMMYFUNCTION("COUNTUNIQUE(FILTER($B$2:$B$1826,$A$2:$A$1826=A1208))"),4.0)</f>
        <v>4</v>
      </c>
    </row>
    <row r="1209">
      <c r="A1209" s="13" t="s">
        <v>1790</v>
      </c>
      <c r="B1209" s="13" t="s">
        <v>224</v>
      </c>
      <c r="C1209" s="14">
        <v>19.0</v>
      </c>
      <c r="D1209" s="13" t="s">
        <v>85</v>
      </c>
      <c r="E1209" s="13" t="s">
        <v>111</v>
      </c>
      <c r="F1209" s="13" t="s">
        <v>62</v>
      </c>
      <c r="G1209" s="13" t="s">
        <v>39</v>
      </c>
      <c r="H1209" s="16">
        <v>45132.0</v>
      </c>
      <c r="I1209" s="14">
        <v>31.0</v>
      </c>
      <c r="J1209" s="13" t="s">
        <v>40</v>
      </c>
      <c r="K1209" s="13" t="s">
        <v>41</v>
      </c>
      <c r="L1209" s="14">
        <v>756.0</v>
      </c>
      <c r="M1209" s="18" t="s">
        <v>43</v>
      </c>
      <c r="N1209" s="18" t="s">
        <v>43</v>
      </c>
      <c r="O1209" s="18">
        <v>16.3</v>
      </c>
      <c r="P1209" s="18" t="s">
        <v>400</v>
      </c>
      <c r="Q1209" s="16">
        <v>45715.0</v>
      </c>
      <c r="R1209" s="16">
        <v>45935.0</v>
      </c>
      <c r="S1209" s="13" t="s">
        <v>45</v>
      </c>
      <c r="T1209" s="13" t="s">
        <v>75</v>
      </c>
      <c r="U1209" s="13">
        <f t="shared" si="1"/>
        <v>1</v>
      </c>
      <c r="V1209" s="13" t="str">
        <f t="shared" si="2"/>
        <v>C00109|Anita Iyer|19|West|Pune|Basic|Instagram|7/25/2023|31|Monthly|Upi|756|2|2|16.30|4.8|2/27/2025|10/5/2025|Churned|Security</v>
      </c>
      <c r="W1209" s="13">
        <f t="shared" si="3"/>
        <v>1</v>
      </c>
      <c r="X1209" s="13">
        <f>IFERROR(__xludf.DUMMYFUNCTION("COUNTUNIQUE(FILTER($B$2:$B$1826,$A$2:$A$1826=A1209))"),1.0)</f>
        <v>1</v>
      </c>
    </row>
    <row r="1210">
      <c r="A1210" s="13" t="s">
        <v>535</v>
      </c>
      <c r="B1210" s="13" t="s">
        <v>167</v>
      </c>
      <c r="C1210" s="14">
        <v>19.0</v>
      </c>
      <c r="D1210" s="13" t="s">
        <v>69</v>
      </c>
      <c r="E1210" s="13" t="s">
        <v>187</v>
      </c>
      <c r="F1210" s="13" t="s">
        <v>37</v>
      </c>
      <c r="G1210" s="13" t="s">
        <v>52</v>
      </c>
      <c r="H1210" s="16">
        <v>45488.0</v>
      </c>
      <c r="I1210" s="14">
        <v>16.0</v>
      </c>
      <c r="J1210" s="13" t="s">
        <v>53</v>
      </c>
      <c r="K1210" s="13" t="s">
        <v>41</v>
      </c>
      <c r="L1210" s="14">
        <v>1073.0</v>
      </c>
      <c r="M1210" s="18" t="s">
        <v>98</v>
      </c>
      <c r="N1210" s="18" t="s">
        <v>43</v>
      </c>
      <c r="O1210" s="18">
        <v>41.0</v>
      </c>
      <c r="P1210" s="18" t="s">
        <v>173</v>
      </c>
      <c r="Q1210" s="16">
        <v>45980.0</v>
      </c>
      <c r="R1210" s="16" t="s">
        <v>38</v>
      </c>
      <c r="S1210" s="13" t="s">
        <v>55</v>
      </c>
      <c r="T1210" s="13" t="s">
        <v>104</v>
      </c>
      <c r="U1210" s="13">
        <f t="shared" si="1"/>
        <v>3</v>
      </c>
      <c r="V1210" s="13" t="str">
        <f t="shared" si="2"/>
        <v>C01066|Ravi Reddy|19|South|Chennai|Standard|Facebook|7/15/2024|16|Quarterly|Upi|1,073|1|2|41.00|5|11/19/2025||Active|Analytics</v>
      </c>
      <c r="W1210" s="13">
        <f t="shared" si="3"/>
        <v>2</v>
      </c>
      <c r="X1210" s="13">
        <f>IFERROR(__xludf.DUMMYFUNCTION("COUNTUNIQUE(FILTER($B$2:$B$1826,$A$2:$A$1826=A1210))"),2.0)</f>
        <v>2</v>
      </c>
    </row>
    <row r="1211">
      <c r="A1211" s="13" t="s">
        <v>1792</v>
      </c>
      <c r="B1211" s="13" t="s">
        <v>68</v>
      </c>
      <c r="C1211" s="14">
        <v>46.0</v>
      </c>
      <c r="D1211" s="13" t="s">
        <v>35</v>
      </c>
      <c r="E1211" s="13" t="s">
        <v>36</v>
      </c>
      <c r="F1211" s="13" t="s">
        <v>62</v>
      </c>
      <c r="G1211" s="13" t="s">
        <v>210</v>
      </c>
      <c r="H1211" s="16">
        <v>44564.0</v>
      </c>
      <c r="I1211" s="14">
        <v>40.0</v>
      </c>
      <c r="J1211" s="13" t="s">
        <v>40</v>
      </c>
      <c r="K1211" s="13" t="s">
        <v>81</v>
      </c>
      <c r="L1211" s="14">
        <v>736.0</v>
      </c>
      <c r="M1211" s="18" t="s">
        <v>43</v>
      </c>
      <c r="N1211" s="18" t="s">
        <v>98</v>
      </c>
      <c r="O1211" s="18">
        <v>22.0</v>
      </c>
      <c r="P1211" s="18" t="s">
        <v>701</v>
      </c>
      <c r="Q1211" s="16">
        <v>44750.0</v>
      </c>
      <c r="R1211" s="16" t="s">
        <v>38</v>
      </c>
      <c r="S1211" s="13" t="s">
        <v>55</v>
      </c>
      <c r="T1211" s="13" t="s">
        <v>104</v>
      </c>
      <c r="U1211" s="13">
        <f t="shared" si="1"/>
        <v>1</v>
      </c>
      <c r="V1211" s="13" t="str">
        <f t="shared" si="2"/>
        <v>C00720|Anita Patel|46|North|Delhi|Basic|Referral|1/3/2022|40|Monthly|Debit Card|736|2|1|22.00|2.8|7/8/2022||Active|Analytics</v>
      </c>
      <c r="W1211" s="13">
        <f t="shared" si="3"/>
        <v>1</v>
      </c>
      <c r="X1211" s="13">
        <f>IFERROR(__xludf.DUMMYFUNCTION("COUNTUNIQUE(FILTER($B$2:$B$1826,$A$2:$A$1826=A1211))"),1.0)</f>
        <v>1</v>
      </c>
    </row>
    <row r="1212">
      <c r="A1212" s="13" t="s">
        <v>1793</v>
      </c>
      <c r="B1212" s="13" t="s">
        <v>59</v>
      </c>
      <c r="C1212" s="14">
        <v>56.0</v>
      </c>
      <c r="D1212" s="13" t="s">
        <v>60</v>
      </c>
      <c r="E1212" s="13" t="s">
        <v>97</v>
      </c>
      <c r="F1212" s="13" t="s">
        <v>79</v>
      </c>
      <c r="G1212" s="13" t="s">
        <v>128</v>
      </c>
      <c r="H1212" s="16">
        <v>45464.0</v>
      </c>
      <c r="I1212" s="14">
        <v>4.0</v>
      </c>
      <c r="J1212" s="13" t="s">
        <v>53</v>
      </c>
      <c r="K1212" s="13" t="s">
        <v>81</v>
      </c>
      <c r="L1212" s="14">
        <v>2088.0</v>
      </c>
      <c r="M1212" s="18" t="s">
        <v>164</v>
      </c>
      <c r="N1212" s="18" t="s">
        <v>164</v>
      </c>
      <c r="O1212" s="18">
        <v>34.9</v>
      </c>
      <c r="P1212" s="18" t="s">
        <v>43</v>
      </c>
      <c r="Q1212" s="16">
        <v>45482.0</v>
      </c>
      <c r="R1212" s="16" t="s">
        <v>1795</v>
      </c>
      <c r="S1212" s="13" t="s">
        <v>45</v>
      </c>
      <c r="T1212" s="13" t="s">
        <v>104</v>
      </c>
      <c r="U1212" s="13">
        <f t="shared" si="1"/>
        <v>1</v>
      </c>
      <c r="V1212" s="13" t="str">
        <f t="shared" si="2"/>
        <v>C01524|Priya Das|56|East|Bhubaneswar|Premium|Youtube|6/21/2024|4|Quarterly|Debit Card|2,088|3|3|34.90|2|7/9/2024|18/09/2024|Churned|Analytics</v>
      </c>
      <c r="W1212" s="13">
        <f t="shared" si="3"/>
        <v>1</v>
      </c>
      <c r="X1212" s="13">
        <f>IFERROR(__xludf.DUMMYFUNCTION("COUNTUNIQUE(FILTER($B$2:$B$1826,$A$2:$A$1826=A1212))"),1.0)</f>
        <v>1</v>
      </c>
    </row>
    <row r="1213">
      <c r="A1213" s="13" t="s">
        <v>1796</v>
      </c>
      <c r="B1213" s="13" t="s">
        <v>250</v>
      </c>
      <c r="C1213" s="14">
        <v>60.0</v>
      </c>
      <c r="D1213" s="13" t="s">
        <v>85</v>
      </c>
      <c r="E1213" s="13" t="s">
        <v>92</v>
      </c>
      <c r="F1213" s="13" t="s">
        <v>79</v>
      </c>
      <c r="G1213" s="13" t="s">
        <v>128</v>
      </c>
      <c r="H1213" s="16">
        <v>45900.0</v>
      </c>
      <c r="I1213" s="14">
        <v>-3.0</v>
      </c>
      <c r="J1213" s="13" t="s">
        <v>53</v>
      </c>
      <c r="K1213" s="13" t="s">
        <v>81</v>
      </c>
      <c r="L1213" s="14">
        <v>3149.0</v>
      </c>
      <c r="M1213" s="18" t="s">
        <v>98</v>
      </c>
      <c r="N1213" s="18" t="s">
        <v>98</v>
      </c>
      <c r="O1213" s="18">
        <v>25.0</v>
      </c>
      <c r="P1213" s="18" t="s">
        <v>408</v>
      </c>
      <c r="Q1213" s="16">
        <v>46092.0</v>
      </c>
      <c r="R1213" s="16" t="s">
        <v>426</v>
      </c>
      <c r="S1213" s="13" t="s">
        <v>230</v>
      </c>
      <c r="T1213" s="13" t="s">
        <v>66</v>
      </c>
      <c r="U1213" s="13">
        <f t="shared" si="1"/>
        <v>3</v>
      </c>
      <c r="V1213" s="13" t="str">
        <f t="shared" si="2"/>
        <v>C00010|Vikram Singh|60|West|Ahmedabad|Premium|Youtube|8/31/2025|-3|Quarterly|Debit Card|3,149|1|1|25.00|4.2|3/11/2026|22/12/2025|Yes|Automation</v>
      </c>
      <c r="W1213" s="13">
        <f t="shared" si="3"/>
        <v>1</v>
      </c>
      <c r="X1213" s="13">
        <f>IFERROR(__xludf.DUMMYFUNCTION("COUNTUNIQUE(FILTER($B$2:$B$1826,$A$2:$A$1826=A1213))"),3.0)</f>
        <v>3</v>
      </c>
    </row>
    <row r="1214">
      <c r="A1214" s="13" t="s">
        <v>1711</v>
      </c>
      <c r="B1214" s="13" t="s">
        <v>135</v>
      </c>
      <c r="C1214" s="14">
        <v>58.0</v>
      </c>
      <c r="D1214" s="13" t="s">
        <v>85</v>
      </c>
      <c r="E1214" s="13" t="s">
        <v>111</v>
      </c>
      <c r="F1214" s="13" t="s">
        <v>79</v>
      </c>
      <c r="G1214" s="13" t="s">
        <v>120</v>
      </c>
      <c r="H1214" s="16">
        <v>45267.0</v>
      </c>
      <c r="I1214" s="14">
        <v>9.0</v>
      </c>
      <c r="J1214" s="13" t="s">
        <v>64</v>
      </c>
      <c r="K1214" s="13" t="s">
        <v>81</v>
      </c>
      <c r="L1214" s="14">
        <v>3567.0</v>
      </c>
      <c r="M1214" s="18" t="s">
        <v>164</v>
      </c>
      <c r="N1214" s="18" t="s">
        <v>98</v>
      </c>
      <c r="O1214" s="18">
        <v>46.9</v>
      </c>
      <c r="P1214" s="18" t="s">
        <v>456</v>
      </c>
      <c r="Q1214" s="16">
        <v>45336.0</v>
      </c>
      <c r="R1214" s="16" t="s">
        <v>38</v>
      </c>
      <c r="S1214" s="13" t="s">
        <v>55</v>
      </c>
      <c r="T1214" s="13" t="s">
        <v>47</v>
      </c>
      <c r="U1214" s="13">
        <f t="shared" si="1"/>
        <v>3</v>
      </c>
      <c r="V1214" s="13" t="str">
        <f t="shared" si="2"/>
        <v>C00960|Karan Sharma|58|West|Pune|Premium|Email|12/7/2023|9|Annual|Debit Card|3,567|3|1|46.90|2.5|2/14/2024||Active|Cloud Storage</v>
      </c>
      <c r="W1214" s="13">
        <f t="shared" si="3"/>
        <v>1</v>
      </c>
      <c r="X1214" s="13">
        <f>IFERROR(__xludf.DUMMYFUNCTION("COUNTUNIQUE(FILTER($B$2:$B$1826,$A$2:$A$1826=A1214))"),3.0)</f>
        <v>3</v>
      </c>
    </row>
    <row r="1215">
      <c r="A1215" s="13" t="s">
        <v>695</v>
      </c>
      <c r="B1215" s="13" t="s">
        <v>633</v>
      </c>
      <c r="C1215" s="14">
        <v>33.0</v>
      </c>
      <c r="D1215" s="13" t="s">
        <v>69</v>
      </c>
      <c r="E1215" s="13" t="s">
        <v>177</v>
      </c>
      <c r="F1215" s="13" t="s">
        <v>37</v>
      </c>
      <c r="G1215" s="13" t="s">
        <v>63</v>
      </c>
      <c r="H1215" s="16">
        <v>44998.0</v>
      </c>
      <c r="I1215" s="14">
        <v>47.0</v>
      </c>
      <c r="J1215" s="13" t="s">
        <v>64</v>
      </c>
      <c r="K1215" s="13" t="s">
        <v>41</v>
      </c>
      <c r="L1215" s="14">
        <v>1263.0</v>
      </c>
      <c r="M1215" s="18" t="s">
        <v>99</v>
      </c>
      <c r="N1215" s="18" t="s">
        <v>46</v>
      </c>
      <c r="O1215" s="18">
        <v>28.2</v>
      </c>
      <c r="P1215" s="18" t="s">
        <v>233</v>
      </c>
      <c r="Q1215" s="16">
        <v>45100.0</v>
      </c>
      <c r="R1215" s="16" t="s">
        <v>1797</v>
      </c>
      <c r="S1215" s="13" t="s">
        <v>230</v>
      </c>
      <c r="T1215" s="13" t="s">
        <v>104</v>
      </c>
      <c r="U1215" s="13">
        <f t="shared" si="1"/>
        <v>6</v>
      </c>
      <c r="V1215" s="13" t="str">
        <f t="shared" si="2"/>
        <v>C00972|Anita Das|33|South|Hyderabad|Standard|Google Ads|3/13/2023|47|Annual|Upi|1,263|4|0|28.20|3.5|6/23/2023|20/02/2024|Yes|Analytics</v>
      </c>
      <c r="W1215" s="13">
        <f t="shared" si="3"/>
        <v>1</v>
      </c>
      <c r="X1215" s="13">
        <f>IFERROR(__xludf.DUMMYFUNCTION("COUNTUNIQUE(FILTER($B$2:$B$1826,$A$2:$A$1826=A1215))"),6.0)</f>
        <v>6</v>
      </c>
    </row>
    <row r="1216">
      <c r="A1216" s="13" t="s">
        <v>1711</v>
      </c>
      <c r="B1216" s="13" t="s">
        <v>308</v>
      </c>
      <c r="C1216" s="14">
        <v>44.0</v>
      </c>
      <c r="D1216" s="13" t="s">
        <v>60</v>
      </c>
      <c r="E1216" s="13" t="s">
        <v>97</v>
      </c>
      <c r="F1216" s="13" t="s">
        <v>79</v>
      </c>
      <c r="G1216" s="13" t="s">
        <v>128</v>
      </c>
      <c r="H1216" s="16">
        <v>45299.0</v>
      </c>
      <c r="I1216" s="14">
        <v>29.0</v>
      </c>
      <c r="J1216" s="13" t="s">
        <v>53</v>
      </c>
      <c r="K1216" s="13" t="s">
        <v>81</v>
      </c>
      <c r="L1216" s="14">
        <v>2689.0</v>
      </c>
      <c r="M1216" s="18" t="s">
        <v>46</v>
      </c>
      <c r="N1216" s="18" t="s">
        <v>98</v>
      </c>
      <c r="O1216" s="18">
        <v>25.6</v>
      </c>
      <c r="P1216" s="18" t="s">
        <v>275</v>
      </c>
      <c r="Q1216" s="16">
        <v>45464.0</v>
      </c>
      <c r="R1216" s="16" t="s">
        <v>38</v>
      </c>
      <c r="S1216" s="13" t="s">
        <v>55</v>
      </c>
      <c r="T1216" s="13" t="s">
        <v>75</v>
      </c>
      <c r="U1216" s="13">
        <f t="shared" si="1"/>
        <v>3</v>
      </c>
      <c r="V1216" s="13" t="str">
        <f t="shared" si="2"/>
        <v>C00960|Karan Kumar|44|East|Bhubaneswar|Premium|Youtube|1/8/2024|29|Quarterly|Debit Card|2,689|0|1|25.60|4.3|6/21/2024||Active|Security</v>
      </c>
      <c r="W1216" s="13">
        <f t="shared" si="3"/>
        <v>1</v>
      </c>
      <c r="X1216" s="13">
        <f>IFERROR(__xludf.DUMMYFUNCTION("COUNTUNIQUE(FILTER($B$2:$B$1826,$A$2:$A$1826=A1216))"),3.0)</f>
        <v>3</v>
      </c>
    </row>
    <row r="1217">
      <c r="A1217" s="13" t="s">
        <v>1799</v>
      </c>
      <c r="B1217" s="13" t="s">
        <v>78</v>
      </c>
      <c r="C1217" s="14">
        <v>39.0</v>
      </c>
      <c r="D1217" s="13" t="s">
        <v>85</v>
      </c>
      <c r="E1217" s="13" t="s">
        <v>87</v>
      </c>
      <c r="F1217" s="13" t="s">
        <v>62</v>
      </c>
      <c r="G1217" s="13" t="s">
        <v>80</v>
      </c>
      <c r="H1217" s="16">
        <v>45010.0</v>
      </c>
      <c r="I1217" s="14">
        <v>46.0</v>
      </c>
      <c r="J1217" s="13" t="s">
        <v>40</v>
      </c>
      <c r="K1217" s="13" t="s">
        <v>65</v>
      </c>
      <c r="L1217" s="14">
        <v>652.0</v>
      </c>
      <c r="M1217" s="18" t="s">
        <v>164</v>
      </c>
      <c r="N1217" s="18" t="s">
        <v>98</v>
      </c>
      <c r="O1217" s="18">
        <v>27.6</v>
      </c>
      <c r="P1217" s="18" t="s">
        <v>263</v>
      </c>
      <c r="Q1217" s="16">
        <v>45419.0</v>
      </c>
      <c r="R1217" s="16" t="s">
        <v>1800</v>
      </c>
      <c r="S1217" s="13" t="s">
        <v>45</v>
      </c>
      <c r="T1217" s="13" t="s">
        <v>72</v>
      </c>
      <c r="U1217" s="13">
        <f t="shared" si="1"/>
        <v>1</v>
      </c>
      <c r="V1217" s="13" t="str">
        <f t="shared" si="2"/>
        <v>C00080|Vikram Patel|39|West|Surat|Basic|Organic Search|3/25/2023|46|Monthly|Credit Card|652|3|1|27.60|2.9|5/7/2024|18/05/2026|Churned|Collaboration</v>
      </c>
      <c r="W1217" s="13">
        <f t="shared" si="3"/>
        <v>1</v>
      </c>
      <c r="X1217" s="13">
        <f>IFERROR(__xludf.DUMMYFUNCTION("COUNTUNIQUE(FILTER($B$2:$B$1826,$A$2:$A$1826=A1217))"),1.0)</f>
        <v>1</v>
      </c>
    </row>
    <row r="1218">
      <c r="A1218" s="13" t="s">
        <v>1511</v>
      </c>
      <c r="B1218" s="13" t="s">
        <v>448</v>
      </c>
      <c r="C1218" s="14">
        <v>41.0</v>
      </c>
      <c r="D1218" s="13" t="s">
        <v>69</v>
      </c>
      <c r="E1218" s="13" t="s">
        <v>70</v>
      </c>
      <c r="F1218" s="13" t="s">
        <v>62</v>
      </c>
      <c r="G1218" s="13" t="s">
        <v>63</v>
      </c>
      <c r="H1218" s="16">
        <v>45474.0</v>
      </c>
      <c r="I1218" s="14">
        <v>29.0</v>
      </c>
      <c r="J1218" s="13" t="s">
        <v>40</v>
      </c>
      <c r="K1218" s="13" t="s">
        <v>65</v>
      </c>
      <c r="L1218" s="14">
        <v>859.0</v>
      </c>
      <c r="M1218" s="18" t="s">
        <v>43</v>
      </c>
      <c r="N1218" s="18" t="s">
        <v>46</v>
      </c>
      <c r="O1218" s="18">
        <v>22.5</v>
      </c>
      <c r="P1218" s="18" t="s">
        <v>48</v>
      </c>
      <c r="Q1218" s="16">
        <v>45852.0</v>
      </c>
      <c r="R1218" s="16">
        <v>45699.0</v>
      </c>
      <c r="S1218" s="13" t="s">
        <v>45</v>
      </c>
      <c r="T1218" s="13" t="s">
        <v>75</v>
      </c>
      <c r="U1218" s="13">
        <f t="shared" si="1"/>
        <v>3</v>
      </c>
      <c r="V1218" s="13" t="str">
        <f t="shared" si="2"/>
        <v>C00832|Meera Reddy|41|South|Bengaluru|Basic|Google Ads|7/1/2024|29|Monthly|Credit Card|859|2|0|22.50|3.6|7/14/2025|2/11/2025|Churned|Security</v>
      </c>
      <c r="W1218" s="13">
        <f t="shared" si="3"/>
        <v>1</v>
      </c>
      <c r="X1218" s="13">
        <f>IFERROR(__xludf.DUMMYFUNCTION("COUNTUNIQUE(FILTER($B$2:$B$1826,$A$2:$A$1826=A1218))"),3.0)</f>
        <v>3</v>
      </c>
    </row>
    <row r="1219">
      <c r="A1219" s="13" t="s">
        <v>1801</v>
      </c>
      <c r="B1219" s="13" t="s">
        <v>345</v>
      </c>
      <c r="C1219" s="14">
        <v>59.0</v>
      </c>
      <c r="D1219" s="13" t="s">
        <v>69</v>
      </c>
      <c r="E1219" s="13" t="s">
        <v>187</v>
      </c>
      <c r="F1219" s="13" t="s">
        <v>79</v>
      </c>
      <c r="G1219" s="13" t="s">
        <v>63</v>
      </c>
      <c r="H1219" s="16">
        <v>45778.0</v>
      </c>
      <c r="I1219" s="14">
        <v>3.0</v>
      </c>
      <c r="J1219" s="13" t="s">
        <v>64</v>
      </c>
      <c r="K1219" s="13" t="s">
        <v>65</v>
      </c>
      <c r="L1219" s="14">
        <v>1783.0</v>
      </c>
      <c r="M1219" s="18" t="s">
        <v>43</v>
      </c>
      <c r="N1219" s="18" t="s">
        <v>98</v>
      </c>
      <c r="O1219" s="18">
        <v>25.5</v>
      </c>
      <c r="P1219" s="18" t="s">
        <v>876</v>
      </c>
      <c r="Q1219" s="16">
        <v>45801.0</v>
      </c>
      <c r="R1219" s="16" t="s">
        <v>38</v>
      </c>
      <c r="S1219" s="13" t="s">
        <v>55</v>
      </c>
      <c r="T1219" s="13" t="s">
        <v>104</v>
      </c>
      <c r="U1219" s="13">
        <f t="shared" si="1"/>
        <v>1</v>
      </c>
      <c r="V1219" s="13" t="str">
        <f t="shared" si="2"/>
        <v>C00327|Arun Nair|59|South|Chennai|Premium|Google Ads|5/1/2025|3|Annual|Credit Card|1,783|2|1|25.50|1.8|5/24/2025||Active|Analytics</v>
      </c>
      <c r="W1219" s="13">
        <f t="shared" si="3"/>
        <v>1</v>
      </c>
      <c r="X1219" s="13">
        <f>IFERROR(__xludf.DUMMYFUNCTION("COUNTUNIQUE(FILTER($B$2:$B$1826,$A$2:$A$1826=A1219))"),1.0)</f>
        <v>1</v>
      </c>
    </row>
    <row r="1220">
      <c r="A1220" s="13" t="s">
        <v>1802</v>
      </c>
      <c r="B1220" s="13" t="s">
        <v>405</v>
      </c>
      <c r="C1220" s="14">
        <v>37.0</v>
      </c>
      <c r="D1220" s="13" t="s">
        <v>35</v>
      </c>
      <c r="E1220" s="13" t="s">
        <v>51</v>
      </c>
      <c r="F1220" s="13" t="s">
        <v>62</v>
      </c>
      <c r="G1220" s="13" t="s">
        <v>63</v>
      </c>
      <c r="H1220" s="16">
        <v>44767.0</v>
      </c>
      <c r="I1220" s="14">
        <v>30.0</v>
      </c>
      <c r="J1220" s="13" t="s">
        <v>64</v>
      </c>
      <c r="K1220" s="13" t="s">
        <v>65</v>
      </c>
      <c r="L1220" s="14">
        <v>697.0</v>
      </c>
      <c r="M1220" s="18" t="s">
        <v>43</v>
      </c>
      <c r="N1220" s="18" t="s">
        <v>46</v>
      </c>
      <c r="O1220" s="18">
        <v>32.2</v>
      </c>
      <c r="P1220" s="18" t="s">
        <v>130</v>
      </c>
      <c r="Q1220" s="16">
        <v>45480.0</v>
      </c>
      <c r="R1220" s="16">
        <v>44904.0</v>
      </c>
      <c r="S1220" s="13" t="s">
        <v>45</v>
      </c>
      <c r="T1220" s="13" t="s">
        <v>75</v>
      </c>
      <c r="U1220" s="13">
        <f t="shared" si="1"/>
        <v>1</v>
      </c>
      <c r="V1220" s="13" t="str">
        <f t="shared" si="2"/>
        <v>C01365|Rahul Reddy|37|North|Jaipur|Basic|Google Ads|7/25/2022|30|Annual|Credit Card|697|2|0|32.20|3.9|7/7/2024|12/9/2022|Churned|Security</v>
      </c>
      <c r="W1220" s="13">
        <f t="shared" si="3"/>
        <v>1</v>
      </c>
      <c r="X1220" s="13">
        <f>IFERROR(__xludf.DUMMYFUNCTION("COUNTUNIQUE(FILTER($B$2:$B$1826,$A$2:$A$1826=A1220))"),1.0)</f>
        <v>1</v>
      </c>
    </row>
    <row r="1221">
      <c r="A1221" s="13" t="s">
        <v>1169</v>
      </c>
      <c r="B1221" s="13" t="s">
        <v>96</v>
      </c>
      <c r="C1221" s="14">
        <v>24.0</v>
      </c>
      <c r="D1221" s="13" t="s">
        <v>85</v>
      </c>
      <c r="E1221" s="13" t="s">
        <v>187</v>
      </c>
      <c r="F1221" s="13" t="s">
        <v>37</v>
      </c>
      <c r="G1221" s="13" t="s">
        <v>63</v>
      </c>
      <c r="H1221" s="16">
        <v>45833.0</v>
      </c>
      <c r="I1221" s="14">
        <v>24.0</v>
      </c>
      <c r="J1221" s="13" t="s">
        <v>64</v>
      </c>
      <c r="K1221" s="13" t="s">
        <v>41</v>
      </c>
      <c r="L1221" s="14">
        <v>1273.0</v>
      </c>
      <c r="M1221" s="18" t="s">
        <v>43</v>
      </c>
      <c r="N1221" s="18" t="s">
        <v>46</v>
      </c>
      <c r="O1221" s="18">
        <v>27.5</v>
      </c>
      <c r="P1221" s="18" t="s">
        <v>173</v>
      </c>
      <c r="Q1221" s="16">
        <v>45928.0</v>
      </c>
      <c r="R1221" s="16" t="s">
        <v>1804</v>
      </c>
      <c r="S1221" s="13" t="s">
        <v>45</v>
      </c>
      <c r="T1221" s="13" t="s">
        <v>47</v>
      </c>
      <c r="U1221" s="13">
        <f t="shared" si="1"/>
        <v>2</v>
      </c>
      <c r="V1221" s="13" t="str">
        <f t="shared" si="2"/>
        <v>C00111|Rahul Kumar|24|West|Chennai|Standard|Google Ads|6/25/2025|24|Annual|Upi|1,273|2|0|27.50|5|9/28/2025|23/06/2027|Churned|Cloud Storage</v>
      </c>
      <c r="W1221" s="13">
        <f t="shared" si="3"/>
        <v>1</v>
      </c>
      <c r="X1221" s="13">
        <f>IFERROR(__xludf.DUMMYFUNCTION("COUNTUNIQUE(FILTER($B$2:$B$1826,$A$2:$A$1826=A1221))"),2.0)</f>
        <v>2</v>
      </c>
    </row>
    <row r="1222">
      <c r="A1222" s="13" t="s">
        <v>1681</v>
      </c>
      <c r="B1222" s="13" t="s">
        <v>91</v>
      </c>
      <c r="C1222" s="14">
        <v>40.0</v>
      </c>
      <c r="D1222" s="13" t="s">
        <v>60</v>
      </c>
      <c r="E1222" s="13" t="s">
        <v>107</v>
      </c>
      <c r="F1222" s="13" t="s">
        <v>79</v>
      </c>
      <c r="G1222" s="13" t="s">
        <v>63</v>
      </c>
      <c r="H1222" s="16">
        <v>44583.0</v>
      </c>
      <c r="I1222" s="14">
        <v>11.0</v>
      </c>
      <c r="J1222" s="13" t="s">
        <v>40</v>
      </c>
      <c r="K1222" s="13" t="s">
        <v>81</v>
      </c>
      <c r="L1222" s="14">
        <v>3881.0</v>
      </c>
      <c r="M1222" s="18" t="s">
        <v>43</v>
      </c>
      <c r="N1222" s="18" t="s">
        <v>98</v>
      </c>
      <c r="O1222" s="18">
        <v>27.9</v>
      </c>
      <c r="P1222" s="18" t="s">
        <v>150</v>
      </c>
      <c r="Q1222" s="16">
        <v>44618.0</v>
      </c>
      <c r="R1222" s="16">
        <v>44596.0</v>
      </c>
      <c r="S1222" s="13" t="s">
        <v>45</v>
      </c>
      <c r="T1222" s="13" t="s">
        <v>47</v>
      </c>
      <c r="U1222" s="13">
        <f t="shared" si="1"/>
        <v>2</v>
      </c>
      <c r="V1222" s="13" t="str">
        <f t="shared" si="2"/>
        <v>C00897|Anita Sharma|40|East|Patna|Premium|Google Ads|1/22/2022|11|Monthly|Debit Card|3,881|2|1|27.90|4.5|2/26/2022|2/4/2022|Churned|Cloud Storage</v>
      </c>
      <c r="W1222" s="13">
        <f t="shared" si="3"/>
        <v>1</v>
      </c>
      <c r="X1222" s="13">
        <f>IFERROR(__xludf.DUMMYFUNCTION("COUNTUNIQUE(FILTER($B$2:$B$1826,$A$2:$A$1826=A1222))"),2.0)</f>
        <v>2</v>
      </c>
    </row>
    <row r="1223">
      <c r="A1223" s="13" t="s">
        <v>1806</v>
      </c>
      <c r="B1223" s="13" t="s">
        <v>163</v>
      </c>
      <c r="C1223" s="14">
        <v>27.0</v>
      </c>
      <c r="D1223" s="13" t="s">
        <v>60</v>
      </c>
      <c r="E1223" s="13" t="s">
        <v>133</v>
      </c>
      <c r="F1223" s="13" t="s">
        <v>37</v>
      </c>
      <c r="G1223" s="13" t="s">
        <v>80</v>
      </c>
      <c r="H1223" s="16">
        <v>45257.0</v>
      </c>
      <c r="I1223" s="14">
        <v>3.0</v>
      </c>
      <c r="J1223" s="13" t="s">
        <v>53</v>
      </c>
      <c r="K1223" s="13" t="s">
        <v>81</v>
      </c>
      <c r="L1223" s="14">
        <v>1503.0</v>
      </c>
      <c r="M1223" s="18" t="s">
        <v>164</v>
      </c>
      <c r="N1223" s="18" t="s">
        <v>46</v>
      </c>
      <c r="O1223" s="18">
        <v>20.2</v>
      </c>
      <c r="P1223" s="18" t="s">
        <v>225</v>
      </c>
      <c r="Q1223" s="16">
        <v>45364.0</v>
      </c>
      <c r="R1223" s="16" t="s">
        <v>38</v>
      </c>
      <c r="S1223" s="13" t="s">
        <v>55</v>
      </c>
      <c r="T1223" s="13" t="s">
        <v>66</v>
      </c>
      <c r="U1223" s="13">
        <f t="shared" si="1"/>
        <v>3</v>
      </c>
      <c r="V1223" s="13" t="str">
        <f t="shared" si="2"/>
        <v>C00711|Sneha Singh|27|East|Guwahati|Standard|Organic Search|11/27/2023|3|Quarterly|Debit Card|1,503|3|0|20.20|3.8|3/13/2024||Active|Automation</v>
      </c>
      <c r="W1223" s="13">
        <f t="shared" si="3"/>
        <v>1</v>
      </c>
      <c r="X1223" s="13">
        <f>IFERROR(__xludf.DUMMYFUNCTION("COUNTUNIQUE(FILTER($B$2:$B$1826,$A$2:$A$1826=A1223))"),3.0)</f>
        <v>3</v>
      </c>
    </row>
    <row r="1224">
      <c r="A1224" s="13" t="s">
        <v>341</v>
      </c>
      <c r="B1224" s="13" t="s">
        <v>380</v>
      </c>
      <c r="C1224" s="14">
        <v>68.0</v>
      </c>
      <c r="D1224" s="13" t="s">
        <v>60</v>
      </c>
      <c r="E1224" s="13" t="s">
        <v>107</v>
      </c>
      <c r="F1224" s="13" t="s">
        <v>37</v>
      </c>
      <c r="G1224" s="13" t="s">
        <v>39</v>
      </c>
      <c r="H1224" s="16">
        <v>45926.0</v>
      </c>
      <c r="I1224" s="14">
        <v>5.0</v>
      </c>
      <c r="J1224" s="13" t="s">
        <v>64</v>
      </c>
      <c r="K1224" s="13" t="s">
        <v>41</v>
      </c>
      <c r="L1224" s="14">
        <v>1293.0</v>
      </c>
      <c r="M1224" s="18" t="s">
        <v>98</v>
      </c>
      <c r="N1224" s="18" t="s">
        <v>43</v>
      </c>
      <c r="O1224" s="18">
        <v>26.6</v>
      </c>
      <c r="P1224" s="18" t="s">
        <v>400</v>
      </c>
      <c r="Q1224" s="16">
        <v>46095.0</v>
      </c>
      <c r="R1224" s="16" t="s">
        <v>38</v>
      </c>
      <c r="S1224" s="13" t="s">
        <v>55</v>
      </c>
      <c r="T1224" s="13" t="s">
        <v>47</v>
      </c>
      <c r="U1224" s="13">
        <f t="shared" si="1"/>
        <v>2</v>
      </c>
      <c r="V1224" s="13" t="str">
        <f t="shared" si="2"/>
        <v>C00102|Neha Iyer|68|East|Patna|Standard|Instagram|9/26/2025|5|Annual|Upi|1,293|1|2|26.60|4.8|3/14/2026||Active|Cloud Storage</v>
      </c>
      <c r="W1224" s="13">
        <f t="shared" si="3"/>
        <v>1</v>
      </c>
      <c r="X1224" s="13">
        <f>IFERROR(__xludf.DUMMYFUNCTION("COUNTUNIQUE(FILTER($B$2:$B$1826,$A$2:$A$1826=A1224))"),2.0)</f>
        <v>2</v>
      </c>
    </row>
    <row r="1225">
      <c r="A1225" s="13" t="s">
        <v>1807</v>
      </c>
      <c r="B1225" s="13" t="s">
        <v>398</v>
      </c>
      <c r="C1225" s="14">
        <v>23.0</v>
      </c>
      <c r="D1225" s="13" t="s">
        <v>35</v>
      </c>
      <c r="E1225" s="13" t="s">
        <v>36</v>
      </c>
      <c r="F1225" s="13" t="s">
        <v>62</v>
      </c>
      <c r="G1225" s="13" t="s">
        <v>39</v>
      </c>
      <c r="H1225" s="16">
        <v>44626.0</v>
      </c>
      <c r="I1225" s="14">
        <v>14.0</v>
      </c>
      <c r="J1225" s="13" t="s">
        <v>64</v>
      </c>
      <c r="K1225" s="13" t="s">
        <v>65</v>
      </c>
      <c r="L1225" s="14">
        <v>758.0</v>
      </c>
      <c r="M1225" s="18" t="s">
        <v>43</v>
      </c>
      <c r="N1225" s="18" t="s">
        <v>46</v>
      </c>
      <c r="O1225" s="18">
        <v>14.5</v>
      </c>
      <c r="P1225" s="18" t="s">
        <v>263</v>
      </c>
      <c r="Q1225" s="16">
        <v>45025.0</v>
      </c>
      <c r="R1225" s="16" t="s">
        <v>38</v>
      </c>
      <c r="S1225" s="13" t="s">
        <v>55</v>
      </c>
      <c r="T1225" s="13" t="s">
        <v>66</v>
      </c>
      <c r="U1225" s="13">
        <f t="shared" si="1"/>
        <v>1</v>
      </c>
      <c r="V1225" s="13" t="str">
        <f t="shared" si="2"/>
        <v>C01414|Vikram Sharma|23|North|Delhi|Basic|Instagram|3/6/2022|14|Annual|Credit Card|758|2|0|14.50|2.9|4/9/2023||Active|Automation</v>
      </c>
      <c r="W1225" s="13">
        <f t="shared" si="3"/>
        <v>1</v>
      </c>
      <c r="X1225" s="13">
        <f>IFERROR(__xludf.DUMMYFUNCTION("COUNTUNIQUE(FILTER($B$2:$B$1826,$A$2:$A$1826=A1225))"),1.0)</f>
        <v>1</v>
      </c>
    </row>
    <row r="1226">
      <c r="A1226" s="13" t="s">
        <v>1808</v>
      </c>
      <c r="B1226" s="13" t="s">
        <v>448</v>
      </c>
      <c r="C1226" s="14">
        <v>28.0</v>
      </c>
      <c r="D1226" s="13" t="s">
        <v>69</v>
      </c>
      <c r="E1226" s="13" t="s">
        <v>177</v>
      </c>
      <c r="F1226" s="13" t="s">
        <v>79</v>
      </c>
      <c r="G1226" s="13" t="s">
        <v>80</v>
      </c>
      <c r="H1226" s="16">
        <v>44918.0</v>
      </c>
      <c r="I1226" s="14">
        <v>120.0</v>
      </c>
      <c r="J1226" s="13" t="s">
        <v>40</v>
      </c>
      <c r="K1226" s="13" t="s">
        <v>65</v>
      </c>
      <c r="L1226" s="14">
        <v>2497.0</v>
      </c>
      <c r="M1226" s="18" t="s">
        <v>99</v>
      </c>
      <c r="N1226" s="18" t="s">
        <v>46</v>
      </c>
      <c r="O1226" s="18">
        <v>48.7</v>
      </c>
      <c r="P1226" s="18" t="s">
        <v>43</v>
      </c>
      <c r="Q1226" s="16">
        <v>45693.0</v>
      </c>
      <c r="R1226" s="16" t="s">
        <v>38</v>
      </c>
      <c r="S1226" s="13" t="s">
        <v>55</v>
      </c>
      <c r="T1226" s="13" t="s">
        <v>75</v>
      </c>
      <c r="U1226" s="13">
        <f t="shared" si="1"/>
        <v>2</v>
      </c>
      <c r="V1226" s="13" t="str">
        <f t="shared" si="2"/>
        <v>C00193|Meera Reddy|28|South|Hyderabad|Premium|Organic Search|12/23/2022|120|Monthly|Credit Card|2,497|4|0|48.70|2|2/5/2025||Active|Security</v>
      </c>
      <c r="W1226" s="13">
        <f t="shared" si="3"/>
        <v>1</v>
      </c>
      <c r="X1226" s="13">
        <f>IFERROR(__xludf.DUMMYFUNCTION("COUNTUNIQUE(FILTER($B$2:$B$1826,$A$2:$A$1826=A1226))"),2.0)</f>
        <v>2</v>
      </c>
    </row>
    <row r="1227">
      <c r="A1227" s="13" t="s">
        <v>1776</v>
      </c>
      <c r="B1227" s="13" t="s">
        <v>179</v>
      </c>
      <c r="C1227" s="14">
        <v>23.0</v>
      </c>
      <c r="D1227" s="13" t="s">
        <v>35</v>
      </c>
      <c r="E1227" s="13" t="s">
        <v>36</v>
      </c>
      <c r="F1227" s="13" t="s">
        <v>62</v>
      </c>
      <c r="G1227" s="13" t="s">
        <v>120</v>
      </c>
      <c r="H1227" s="16">
        <v>45728.0</v>
      </c>
      <c r="I1227" s="14">
        <v>37.0</v>
      </c>
      <c r="J1227" s="13" t="s">
        <v>64</v>
      </c>
      <c r="K1227" s="13" t="s">
        <v>65</v>
      </c>
      <c r="L1227" s="14">
        <v>508.0</v>
      </c>
      <c r="M1227" s="18" t="s">
        <v>43</v>
      </c>
      <c r="N1227" s="18" t="s">
        <v>46</v>
      </c>
      <c r="O1227" s="18">
        <v>22.7</v>
      </c>
      <c r="P1227" s="18" t="s">
        <v>225</v>
      </c>
      <c r="Q1227" s="16">
        <v>46615.0</v>
      </c>
      <c r="R1227" s="16" t="s">
        <v>38</v>
      </c>
      <c r="S1227" s="13" t="s">
        <v>55</v>
      </c>
      <c r="T1227" s="13" t="s">
        <v>75</v>
      </c>
      <c r="U1227" s="13">
        <f t="shared" si="1"/>
        <v>3</v>
      </c>
      <c r="V1227" s="13" t="str">
        <f t="shared" si="2"/>
        <v>C00145|Ravi Kumar|23|North|Delhi|Basic|Email|3/12/2025|37|Annual|Credit Card|508|2|0|22.70|3.8|8/16/2027||Active|Security</v>
      </c>
      <c r="W1227" s="13">
        <f t="shared" si="3"/>
        <v>1</v>
      </c>
      <c r="X1227" s="13">
        <f>IFERROR(__xludf.DUMMYFUNCTION("COUNTUNIQUE(FILTER($B$2:$B$1826,$A$2:$A$1826=A1227))"),3.0)</f>
        <v>3</v>
      </c>
    </row>
    <row r="1228">
      <c r="A1228" s="13" t="s">
        <v>1810</v>
      </c>
      <c r="B1228" s="13" t="s">
        <v>362</v>
      </c>
      <c r="C1228" s="14">
        <v>55.0</v>
      </c>
      <c r="D1228" s="13" t="s">
        <v>60</v>
      </c>
      <c r="E1228" s="13" t="s">
        <v>61</v>
      </c>
      <c r="F1228" s="13" t="s">
        <v>37</v>
      </c>
      <c r="G1228" s="13" t="s">
        <v>39</v>
      </c>
      <c r="H1228" s="16">
        <v>45542.0</v>
      </c>
      <c r="I1228" s="14">
        <v>33.0</v>
      </c>
      <c r="J1228" s="13" t="s">
        <v>53</v>
      </c>
      <c r="K1228" s="13" t="s">
        <v>65</v>
      </c>
      <c r="L1228" s="14">
        <v>1127.0</v>
      </c>
      <c r="M1228" s="18" t="s">
        <v>43</v>
      </c>
      <c r="N1228" s="18" t="s">
        <v>98</v>
      </c>
      <c r="O1228" s="18">
        <v>23.8</v>
      </c>
      <c r="P1228" s="18" t="s">
        <v>368</v>
      </c>
      <c r="Q1228" s="16">
        <v>46463.0</v>
      </c>
      <c r="R1228" s="16" t="s">
        <v>38</v>
      </c>
      <c r="S1228" s="13" t="s">
        <v>55</v>
      </c>
      <c r="T1228" s="13" t="s">
        <v>66</v>
      </c>
      <c r="U1228" s="13">
        <f t="shared" si="1"/>
        <v>1</v>
      </c>
      <c r="V1228" s="13" t="str">
        <f t="shared" si="2"/>
        <v>C00978|Neha Singh|55|East|Kolkata|Standard|Instagram|9/7/2024|33|Quarterly|Credit Card|1,127|2|1|23.80|4.9|3/17/2027||Active|Automation</v>
      </c>
      <c r="W1228" s="13">
        <f t="shared" si="3"/>
        <v>1</v>
      </c>
      <c r="X1228" s="13">
        <f>IFERROR(__xludf.DUMMYFUNCTION("COUNTUNIQUE(FILTER($B$2:$B$1826,$A$2:$A$1826=A1228))"),1.0)</f>
        <v>1</v>
      </c>
    </row>
    <row r="1229">
      <c r="A1229" s="13" t="s">
        <v>1811</v>
      </c>
      <c r="B1229" s="13" t="s">
        <v>459</v>
      </c>
      <c r="C1229" s="14">
        <v>59.0</v>
      </c>
      <c r="D1229" s="13" t="s">
        <v>60</v>
      </c>
      <c r="E1229" s="13" t="s">
        <v>97</v>
      </c>
      <c r="F1229" s="13" t="s">
        <v>62</v>
      </c>
      <c r="G1229" s="13" t="s">
        <v>120</v>
      </c>
      <c r="H1229" s="16">
        <v>45567.0</v>
      </c>
      <c r="I1229" s="14">
        <v>30.0</v>
      </c>
      <c r="J1229" s="13" t="s">
        <v>53</v>
      </c>
      <c r="K1229" s="13" t="s">
        <v>41</v>
      </c>
      <c r="L1229" s="14">
        <v>579.0</v>
      </c>
      <c r="M1229" s="18" t="s">
        <v>164</v>
      </c>
      <c r="N1229" s="18" t="s">
        <v>43</v>
      </c>
      <c r="O1229" s="18">
        <v>14.2</v>
      </c>
      <c r="P1229" s="18" t="s">
        <v>173</v>
      </c>
      <c r="Q1229" s="16">
        <v>45585.0</v>
      </c>
      <c r="R1229" s="16" t="s">
        <v>38</v>
      </c>
      <c r="S1229" s="13" t="s">
        <v>55</v>
      </c>
      <c r="T1229" s="13" t="s">
        <v>104</v>
      </c>
      <c r="U1229" s="13">
        <f t="shared" si="1"/>
        <v>1</v>
      </c>
      <c r="V1229" s="13" t="str">
        <f t="shared" si="2"/>
        <v>C01432|Neha Patel|59|East|Bhubaneswar|Basic|Email|10/2/2024|30|Quarterly|Upi|579|3|2|14.20|5|10/20/2024||Active|Analytics</v>
      </c>
      <c r="W1229" s="13">
        <f t="shared" si="3"/>
        <v>1</v>
      </c>
      <c r="X1229" s="13">
        <f>IFERROR(__xludf.DUMMYFUNCTION("COUNTUNIQUE(FILTER($B$2:$B$1826,$A$2:$A$1826=A1229))"),1.0)</f>
        <v>1</v>
      </c>
    </row>
    <row r="1230">
      <c r="A1230" s="13" t="s">
        <v>806</v>
      </c>
      <c r="B1230" s="13" t="s">
        <v>239</v>
      </c>
      <c r="C1230" s="14">
        <v>59.0</v>
      </c>
      <c r="D1230" s="13" t="s">
        <v>69</v>
      </c>
      <c r="E1230" s="13" t="s">
        <v>119</v>
      </c>
      <c r="F1230" s="13" t="s">
        <v>62</v>
      </c>
      <c r="G1230" s="13" t="s">
        <v>39</v>
      </c>
      <c r="H1230" s="16">
        <v>45363.0</v>
      </c>
      <c r="I1230" s="14">
        <v>12.0</v>
      </c>
      <c r="J1230" s="13" t="s">
        <v>40</v>
      </c>
      <c r="K1230" s="13" t="s">
        <v>81</v>
      </c>
      <c r="L1230" s="14">
        <v>734.0</v>
      </c>
      <c r="M1230" s="18" t="s">
        <v>43</v>
      </c>
      <c r="N1230" s="18" t="s">
        <v>46</v>
      </c>
      <c r="O1230" s="18">
        <v>14.9</v>
      </c>
      <c r="P1230" s="18" t="s">
        <v>876</v>
      </c>
      <c r="Q1230" s="16">
        <v>45467.0</v>
      </c>
      <c r="R1230" s="16" t="s">
        <v>38</v>
      </c>
      <c r="S1230" s="13" t="s">
        <v>55</v>
      </c>
      <c r="T1230" s="13" t="s">
        <v>66</v>
      </c>
      <c r="U1230" s="13">
        <f t="shared" si="1"/>
        <v>3</v>
      </c>
      <c r="V1230" s="13" t="str">
        <f t="shared" si="2"/>
        <v>C01011|Meera Kumar|59|South|Kochi|Basic|Instagram|3/12/2024|12|Monthly|Debit Card|734|2|0|14.90|1.8|6/24/2024||Active|Automation</v>
      </c>
      <c r="W1230" s="13">
        <f t="shared" si="3"/>
        <v>1</v>
      </c>
      <c r="X1230" s="13">
        <f>IFERROR(__xludf.DUMMYFUNCTION("COUNTUNIQUE(FILTER($B$2:$B$1826,$A$2:$A$1826=A1230))"),3.0)</f>
        <v>3</v>
      </c>
    </row>
    <row r="1231">
      <c r="A1231" s="13" t="s">
        <v>1812</v>
      </c>
      <c r="B1231" s="13" t="s">
        <v>308</v>
      </c>
      <c r="C1231" s="14">
        <v>41.0</v>
      </c>
      <c r="D1231" s="13" t="s">
        <v>69</v>
      </c>
      <c r="E1231" s="13" t="s">
        <v>187</v>
      </c>
      <c r="F1231" s="13" t="s">
        <v>37</v>
      </c>
      <c r="G1231" s="13" t="s">
        <v>210</v>
      </c>
      <c r="H1231" s="16">
        <v>45239.0</v>
      </c>
      <c r="I1231" s="14">
        <v>7.0</v>
      </c>
      <c r="J1231" s="13" t="s">
        <v>40</v>
      </c>
      <c r="K1231" s="13" t="s">
        <v>41</v>
      </c>
      <c r="L1231" s="14">
        <v>1031.0</v>
      </c>
      <c r="M1231" s="18" t="s">
        <v>43</v>
      </c>
      <c r="N1231" s="18" t="s">
        <v>46</v>
      </c>
      <c r="O1231" s="18">
        <v>30.2</v>
      </c>
      <c r="P1231" s="18" t="s">
        <v>48</v>
      </c>
      <c r="Q1231" s="16">
        <v>45259.0</v>
      </c>
      <c r="R1231" s="16" t="s">
        <v>38</v>
      </c>
      <c r="S1231" s="13" t="s">
        <v>55</v>
      </c>
      <c r="T1231" s="13" t="s">
        <v>66</v>
      </c>
      <c r="U1231" s="13">
        <f t="shared" si="1"/>
        <v>3</v>
      </c>
      <c r="V1231" s="13" t="str">
        <f t="shared" si="2"/>
        <v>C01439|Karan Kumar|41|South|Chennai|Standard|Referral|11/9/2023|7|Monthly|Upi|1,031|2|0|30.20|3.6|11/29/2023||Active|Automation</v>
      </c>
      <c r="W1231" s="13">
        <f t="shared" si="3"/>
        <v>1</v>
      </c>
      <c r="X1231" s="13">
        <f>IFERROR(__xludf.DUMMYFUNCTION("COUNTUNIQUE(FILTER($B$2:$B$1826,$A$2:$A$1826=A1231))"),3.0)</f>
        <v>3</v>
      </c>
    </row>
    <row r="1232">
      <c r="A1232" s="13" t="s">
        <v>226</v>
      </c>
      <c r="B1232" s="13" t="s">
        <v>239</v>
      </c>
      <c r="C1232" s="14">
        <v>37.0</v>
      </c>
      <c r="D1232" s="13" t="s">
        <v>85</v>
      </c>
      <c r="E1232" s="13" t="s">
        <v>92</v>
      </c>
      <c r="F1232" s="13" t="s">
        <v>62</v>
      </c>
      <c r="G1232" s="13" t="s">
        <v>39</v>
      </c>
      <c r="H1232" s="16">
        <v>44800.0</v>
      </c>
      <c r="I1232" s="14">
        <v>6.0</v>
      </c>
      <c r="J1232" s="13" t="s">
        <v>64</v>
      </c>
      <c r="K1232" s="13" t="s">
        <v>65</v>
      </c>
      <c r="L1232" s="14">
        <v>726.0</v>
      </c>
      <c r="M1232" s="18" t="s">
        <v>43</v>
      </c>
      <c r="N1232" s="18" t="s">
        <v>46</v>
      </c>
      <c r="O1232" s="18">
        <v>33.2</v>
      </c>
      <c r="P1232" s="18" t="s">
        <v>48</v>
      </c>
      <c r="Q1232" s="16">
        <v>44844.0</v>
      </c>
      <c r="R1232" s="16" t="s">
        <v>38</v>
      </c>
      <c r="S1232" s="13" t="s">
        <v>55</v>
      </c>
      <c r="T1232" s="13" t="s">
        <v>75</v>
      </c>
      <c r="U1232" s="13">
        <f t="shared" si="1"/>
        <v>5</v>
      </c>
      <c r="V1232" s="13" t="str">
        <f t="shared" si="2"/>
        <v>C01139|Meera Kumar|37|West|Ahmedabad|Basic|Instagram|8/27/2022|6|Annual|Credit Card|726|2|0|33.20|3.6|10/10/2022||Active|Security</v>
      </c>
      <c r="W1232" s="13">
        <f t="shared" si="3"/>
        <v>1</v>
      </c>
      <c r="X1232" s="13">
        <f>IFERROR(__xludf.DUMMYFUNCTION("COUNTUNIQUE(FILTER($B$2:$B$1826,$A$2:$A$1826=A1232))"),5.0)</f>
        <v>5</v>
      </c>
    </row>
    <row r="1233">
      <c r="A1233" s="13" t="s">
        <v>918</v>
      </c>
      <c r="B1233" s="13" t="s">
        <v>78</v>
      </c>
      <c r="C1233" s="14">
        <v>44.0</v>
      </c>
      <c r="D1233" s="13" t="s">
        <v>85</v>
      </c>
      <c r="E1233" s="13" t="s">
        <v>92</v>
      </c>
      <c r="F1233" s="13" t="s">
        <v>79</v>
      </c>
      <c r="G1233" s="13" t="s">
        <v>128</v>
      </c>
      <c r="H1233" s="16">
        <v>44943.0</v>
      </c>
      <c r="I1233" s="14">
        <v>6.0</v>
      </c>
      <c r="J1233" s="13" t="s">
        <v>40</v>
      </c>
      <c r="K1233" s="13" t="s">
        <v>41</v>
      </c>
      <c r="L1233" s="14">
        <v>3578.0</v>
      </c>
      <c r="M1233" s="18" t="s">
        <v>164</v>
      </c>
      <c r="N1233" s="18" t="s">
        <v>46</v>
      </c>
      <c r="O1233" s="18">
        <v>36.7</v>
      </c>
      <c r="P1233" s="18" t="s">
        <v>408</v>
      </c>
      <c r="Q1233" s="16">
        <v>45061.0</v>
      </c>
      <c r="R1233" s="16" t="s">
        <v>38</v>
      </c>
      <c r="S1233" s="13" t="s">
        <v>55</v>
      </c>
      <c r="T1233" s="13" t="s">
        <v>47</v>
      </c>
      <c r="U1233" s="13">
        <f t="shared" si="1"/>
        <v>2</v>
      </c>
      <c r="V1233" s="13" t="str">
        <f t="shared" si="2"/>
        <v>C00685|Vikram Patel|44|West|Ahmedabad|Premium|Youtube|1/17/2023|6|Monthly|Upi|3,578|3|0|36.70|4.2|5/15/2023||Active|Cloud Storage</v>
      </c>
      <c r="W1233" s="13">
        <f t="shared" si="3"/>
        <v>1</v>
      </c>
      <c r="X1233" s="13">
        <f>IFERROR(__xludf.DUMMYFUNCTION("COUNTUNIQUE(FILTER($B$2:$B$1826,$A$2:$A$1826=A1233))"),2.0)</f>
        <v>2</v>
      </c>
    </row>
    <row r="1234">
      <c r="A1234" s="13" t="s">
        <v>315</v>
      </c>
      <c r="B1234" s="13" t="s">
        <v>364</v>
      </c>
      <c r="C1234" s="14">
        <v>63.0</v>
      </c>
      <c r="D1234" s="13" t="s">
        <v>69</v>
      </c>
      <c r="E1234" s="13" t="s">
        <v>70</v>
      </c>
      <c r="F1234" s="13" t="s">
        <v>79</v>
      </c>
      <c r="G1234" s="13" t="s">
        <v>39</v>
      </c>
      <c r="H1234" s="16">
        <v>45499.0</v>
      </c>
      <c r="I1234" s="14">
        <v>24.0</v>
      </c>
      <c r="J1234" s="13" t="s">
        <v>64</v>
      </c>
      <c r="K1234" s="13" t="s">
        <v>41</v>
      </c>
      <c r="L1234" s="14">
        <v>2522.0</v>
      </c>
      <c r="M1234" s="18" t="s">
        <v>43</v>
      </c>
      <c r="N1234" s="18" t="s">
        <v>43</v>
      </c>
      <c r="O1234" s="18">
        <v>31.9</v>
      </c>
      <c r="P1234" s="18" t="s">
        <v>89</v>
      </c>
      <c r="Q1234" s="16">
        <v>45982.0</v>
      </c>
      <c r="R1234" s="16" t="s">
        <v>38</v>
      </c>
      <c r="S1234" s="13" t="s">
        <v>55</v>
      </c>
      <c r="T1234" s="13" t="s">
        <v>104</v>
      </c>
      <c r="U1234" s="13">
        <f t="shared" si="1"/>
        <v>3</v>
      </c>
      <c r="V1234" s="13" t="str">
        <f t="shared" si="2"/>
        <v>C00859|Sneha Kumar|63|South|Bengaluru|Premium|Instagram|7/26/2024|24|Annual|Upi|2,522|2|2|31.90|3.3|11/21/2025||Active|Analytics</v>
      </c>
      <c r="W1234" s="13">
        <f t="shared" si="3"/>
        <v>1</v>
      </c>
      <c r="X1234" s="13">
        <f>IFERROR(__xludf.DUMMYFUNCTION("COUNTUNIQUE(FILTER($B$2:$B$1826,$A$2:$A$1826=A1234))"),3.0)</f>
        <v>3</v>
      </c>
    </row>
    <row r="1235">
      <c r="A1235" s="13" t="s">
        <v>1337</v>
      </c>
      <c r="B1235" s="13" t="s">
        <v>206</v>
      </c>
      <c r="C1235" s="14">
        <v>25.0</v>
      </c>
      <c r="D1235" s="13" t="s">
        <v>35</v>
      </c>
      <c r="E1235" s="13" t="s">
        <v>36</v>
      </c>
      <c r="F1235" s="13" t="s">
        <v>37</v>
      </c>
      <c r="G1235" s="13" t="s">
        <v>128</v>
      </c>
      <c r="H1235" s="16">
        <v>44893.0</v>
      </c>
      <c r="I1235" s="14">
        <v>15.0</v>
      </c>
      <c r="J1235" s="13" t="s">
        <v>64</v>
      </c>
      <c r="K1235" s="13" t="s">
        <v>81</v>
      </c>
      <c r="L1235" s="14">
        <v>1005.0</v>
      </c>
      <c r="M1235" s="18" t="s">
        <v>376</v>
      </c>
      <c r="N1235" s="18" t="s">
        <v>43</v>
      </c>
      <c r="O1235" s="18">
        <v>12.2</v>
      </c>
      <c r="P1235" s="18" t="s">
        <v>89</v>
      </c>
      <c r="Q1235" s="16">
        <v>44999.0</v>
      </c>
      <c r="R1235" s="16" t="s">
        <v>38</v>
      </c>
      <c r="S1235" s="13" t="s">
        <v>55</v>
      </c>
      <c r="T1235" s="13" t="s">
        <v>47</v>
      </c>
      <c r="U1235" s="13">
        <f t="shared" si="1"/>
        <v>3</v>
      </c>
      <c r="V1235" s="13" t="str">
        <f t="shared" si="2"/>
        <v>C00912|Karan Patel|25|North|Delhi|Standard|Youtube|11/28/2022|15|Annual|Debit Card|1,005|6|2|12.20|3.3|3/14/2023||Active|Cloud Storage</v>
      </c>
      <c r="W1235" s="13">
        <f t="shared" si="3"/>
        <v>1</v>
      </c>
      <c r="X1235" s="13">
        <f>IFERROR(__xludf.DUMMYFUNCTION("COUNTUNIQUE(FILTER($B$2:$B$1826,$A$2:$A$1826=A1235))"),3.0)</f>
        <v>3</v>
      </c>
    </row>
    <row r="1236">
      <c r="A1236" s="13" t="s">
        <v>844</v>
      </c>
      <c r="B1236" s="13" t="s">
        <v>476</v>
      </c>
      <c r="C1236" s="14">
        <v>32.0</v>
      </c>
      <c r="D1236" s="13" t="s">
        <v>60</v>
      </c>
      <c r="E1236" s="13" t="s">
        <v>61</v>
      </c>
      <c r="F1236" s="13" t="s">
        <v>62</v>
      </c>
      <c r="G1236" s="13" t="s">
        <v>120</v>
      </c>
      <c r="H1236" s="16">
        <v>44570.0</v>
      </c>
      <c r="I1236" s="14">
        <v>44.0</v>
      </c>
      <c r="J1236" s="13" t="s">
        <v>64</v>
      </c>
      <c r="K1236" s="13" t="s">
        <v>65</v>
      </c>
      <c r="L1236" s="14">
        <v>1443.0</v>
      </c>
      <c r="M1236" s="18" t="s">
        <v>164</v>
      </c>
      <c r="N1236" s="18" t="s">
        <v>43</v>
      </c>
      <c r="O1236" s="18">
        <v>27.3</v>
      </c>
      <c r="P1236" s="18" t="s">
        <v>123</v>
      </c>
      <c r="Q1236" s="16">
        <v>44809.0</v>
      </c>
      <c r="R1236" s="16" t="s">
        <v>38</v>
      </c>
      <c r="S1236" s="13" t="s">
        <v>55</v>
      </c>
      <c r="T1236" s="13" t="s">
        <v>72</v>
      </c>
      <c r="U1236" s="13">
        <f t="shared" si="1"/>
        <v>4</v>
      </c>
      <c r="V1236" s="13" t="str">
        <f t="shared" si="2"/>
        <v>C00139|Ravi Das|32|East|Kolkata|Basic|Email|1/9/2022|44|Annual|Credit Card|1,443|3|2|27.30|4.1|9/5/2022||Active|Collaboration</v>
      </c>
      <c r="W1236" s="13">
        <f t="shared" si="3"/>
        <v>1</v>
      </c>
      <c r="X1236" s="13">
        <f>IFERROR(__xludf.DUMMYFUNCTION("COUNTUNIQUE(FILTER($B$2:$B$1826,$A$2:$A$1826=A1236))"),4.0)</f>
        <v>4</v>
      </c>
    </row>
    <row r="1237">
      <c r="A1237" s="13" t="s">
        <v>1542</v>
      </c>
      <c r="B1237" s="13" t="s">
        <v>179</v>
      </c>
      <c r="C1237" s="14" t="s">
        <v>38</v>
      </c>
      <c r="D1237" s="13" t="s">
        <v>35</v>
      </c>
      <c r="E1237" s="13" t="s">
        <v>161</v>
      </c>
      <c r="F1237" s="13" t="s">
        <v>37</v>
      </c>
      <c r="G1237" s="13" t="s">
        <v>120</v>
      </c>
      <c r="H1237" s="16">
        <v>45975.0</v>
      </c>
      <c r="I1237" s="14">
        <v>31.0</v>
      </c>
      <c r="J1237" s="13" t="s">
        <v>40</v>
      </c>
      <c r="K1237" s="13" t="s">
        <v>65</v>
      </c>
      <c r="L1237" s="14">
        <v>1095.0</v>
      </c>
      <c r="M1237" s="18" t="s">
        <v>43</v>
      </c>
      <c r="N1237" s="18" t="s">
        <v>98</v>
      </c>
      <c r="O1237" s="18">
        <v>30.2</v>
      </c>
      <c r="P1237" s="18" t="s">
        <v>173</v>
      </c>
      <c r="Q1237" s="16">
        <v>46554.0</v>
      </c>
      <c r="R1237" s="16" t="s">
        <v>38</v>
      </c>
      <c r="S1237" s="13" t="s">
        <v>55</v>
      </c>
      <c r="T1237" s="13" t="s">
        <v>47</v>
      </c>
      <c r="U1237" s="13">
        <f t="shared" si="1"/>
        <v>2</v>
      </c>
      <c r="V1237" s="13" t="str">
        <f t="shared" si="2"/>
        <v>C01127|Ravi Kumar||North|Chandigarh|Standard|Email|11/14/2025|31|Monthly|Credit Card|1,095|2|1|30.20|5|6/16/2027||Active|Cloud Storage</v>
      </c>
      <c r="W1237" s="13">
        <f t="shared" si="3"/>
        <v>1</v>
      </c>
      <c r="X1237" s="13">
        <f>IFERROR(__xludf.DUMMYFUNCTION("COUNTUNIQUE(FILTER($B$2:$B$1826,$A$2:$A$1826=A1237))"),2.0)</f>
        <v>2</v>
      </c>
    </row>
    <row r="1238">
      <c r="A1238" s="13" t="s">
        <v>318</v>
      </c>
      <c r="B1238" s="13" t="s">
        <v>176</v>
      </c>
      <c r="C1238" s="14">
        <v>40.0</v>
      </c>
      <c r="D1238" s="13" t="s">
        <v>69</v>
      </c>
      <c r="E1238" s="13" t="s">
        <v>70</v>
      </c>
      <c r="F1238" s="13" t="s">
        <v>37</v>
      </c>
      <c r="G1238" s="13" t="s">
        <v>120</v>
      </c>
      <c r="H1238" s="16">
        <v>45808.0</v>
      </c>
      <c r="I1238" s="14">
        <v>10.0</v>
      </c>
      <c r="J1238" s="13" t="s">
        <v>53</v>
      </c>
      <c r="K1238" s="13" t="s">
        <v>41</v>
      </c>
      <c r="L1238" s="14">
        <v>1490.0</v>
      </c>
      <c r="M1238" s="18" t="s">
        <v>43</v>
      </c>
      <c r="N1238" s="18" t="s">
        <v>98</v>
      </c>
      <c r="O1238" s="18">
        <v>41.9</v>
      </c>
      <c r="P1238" s="18" t="s">
        <v>225</v>
      </c>
      <c r="Q1238" s="16">
        <v>45906.0</v>
      </c>
      <c r="R1238" s="16" t="s">
        <v>38</v>
      </c>
      <c r="S1238" s="13" t="s">
        <v>55</v>
      </c>
      <c r="T1238" s="13" t="s">
        <v>104</v>
      </c>
      <c r="U1238" s="13">
        <f t="shared" si="1"/>
        <v>4</v>
      </c>
      <c r="V1238" s="13" t="str">
        <f t="shared" si="2"/>
        <v>C00981|Ravi Iyer|40|South|Bengaluru|Standard|Email|5/31/2025|10|Quarterly|Upi|1,490|2|1|41.90|3.8|9/6/2025||Active|Analytics</v>
      </c>
      <c r="W1238" s="13">
        <f t="shared" si="3"/>
        <v>1</v>
      </c>
      <c r="X1238" s="13">
        <f>IFERROR(__xludf.DUMMYFUNCTION("COUNTUNIQUE(FILTER($B$2:$B$1826,$A$2:$A$1826=A1238))"),4.0)</f>
        <v>4</v>
      </c>
    </row>
    <row r="1239">
      <c r="A1239" s="13" t="s">
        <v>1813</v>
      </c>
      <c r="B1239" s="13" t="s">
        <v>145</v>
      </c>
      <c r="C1239" s="14">
        <v>59.0</v>
      </c>
      <c r="D1239" s="13" t="s">
        <v>69</v>
      </c>
      <c r="E1239" s="13" t="s">
        <v>187</v>
      </c>
      <c r="F1239" s="13" t="s">
        <v>37</v>
      </c>
      <c r="G1239" s="13" t="s">
        <v>120</v>
      </c>
      <c r="H1239" s="16">
        <v>44894.0</v>
      </c>
      <c r="I1239" s="14">
        <v>1.0</v>
      </c>
      <c r="J1239" s="13" t="s">
        <v>40</v>
      </c>
      <c r="K1239" s="13" t="s">
        <v>41</v>
      </c>
      <c r="L1239" s="14">
        <v>1217.0</v>
      </c>
      <c r="M1239" s="18" t="s">
        <v>46</v>
      </c>
      <c r="N1239" s="18" t="s">
        <v>98</v>
      </c>
      <c r="O1239" s="18">
        <v>26.4</v>
      </c>
      <c r="P1239" s="18" t="s">
        <v>173</v>
      </c>
      <c r="Q1239" s="16">
        <v>44922.0</v>
      </c>
      <c r="R1239" s="16" t="s">
        <v>38</v>
      </c>
      <c r="S1239" s="13" t="s">
        <v>55</v>
      </c>
      <c r="T1239" s="13" t="s">
        <v>47</v>
      </c>
      <c r="U1239" s="13">
        <f t="shared" si="1"/>
        <v>2</v>
      </c>
      <c r="V1239" s="13" t="str">
        <f t="shared" si="2"/>
        <v>C01053|Ravi Patel|59|South|Chennai|Standard|Email|11/29/2022|1|Monthly|Upi|1,217|0|1|26.40|5|12/27/2022||Active|Cloud Storage</v>
      </c>
      <c r="W1239" s="13">
        <f t="shared" si="3"/>
        <v>1</v>
      </c>
      <c r="X1239" s="13">
        <f>IFERROR(__xludf.DUMMYFUNCTION("COUNTUNIQUE(FILTER($B$2:$B$1826,$A$2:$A$1826=A1239))"),2.0)</f>
        <v>2</v>
      </c>
    </row>
    <row r="1240">
      <c r="A1240" s="13" t="s">
        <v>1814</v>
      </c>
      <c r="B1240" s="13" t="s">
        <v>325</v>
      </c>
      <c r="C1240" s="14">
        <v>45.0</v>
      </c>
      <c r="D1240" s="13" t="s">
        <v>60</v>
      </c>
      <c r="E1240" s="13" t="s">
        <v>61</v>
      </c>
      <c r="F1240" s="13" t="s">
        <v>62</v>
      </c>
      <c r="G1240" s="13" t="s">
        <v>120</v>
      </c>
      <c r="H1240" s="16">
        <v>45132.0</v>
      </c>
      <c r="I1240" s="14">
        <v>42.0</v>
      </c>
      <c r="J1240" s="13" t="s">
        <v>53</v>
      </c>
      <c r="K1240" s="13" t="s">
        <v>81</v>
      </c>
      <c r="L1240" s="14">
        <v>566.0</v>
      </c>
      <c r="M1240" s="18" t="s">
        <v>99</v>
      </c>
      <c r="N1240" s="18" t="s">
        <v>164</v>
      </c>
      <c r="O1240" s="18">
        <v>31.1</v>
      </c>
      <c r="P1240" s="18" t="s">
        <v>158</v>
      </c>
      <c r="Q1240" s="16">
        <v>46216.0</v>
      </c>
      <c r="R1240" s="16" t="s">
        <v>38</v>
      </c>
      <c r="S1240" s="13" t="s">
        <v>55</v>
      </c>
      <c r="T1240" s="13" t="s">
        <v>66</v>
      </c>
      <c r="U1240" s="13">
        <f t="shared" si="1"/>
        <v>4</v>
      </c>
      <c r="V1240" s="13" t="str">
        <f t="shared" si="2"/>
        <v>C00122|Priya Sharma|45|East|Kolkata|Basic|Email|7/25/2023|42|Quarterly|Debit Card|566|4|3|31.10|4.7|7/13/2026||Active|Automation</v>
      </c>
      <c r="W1240" s="13">
        <f t="shared" si="3"/>
        <v>1</v>
      </c>
      <c r="X1240" s="13">
        <f>IFERROR(__xludf.DUMMYFUNCTION("COUNTUNIQUE(FILTER($B$2:$B$1826,$A$2:$A$1826=A1240))"),4.0)</f>
        <v>4</v>
      </c>
    </row>
    <row r="1241">
      <c r="A1241" s="13" t="s">
        <v>544</v>
      </c>
      <c r="B1241" s="13" t="s">
        <v>78</v>
      </c>
      <c r="C1241" s="14">
        <v>33.0</v>
      </c>
      <c r="D1241" s="13" t="s">
        <v>69</v>
      </c>
      <c r="E1241" s="13" t="s">
        <v>70</v>
      </c>
      <c r="F1241" s="13" t="s">
        <v>37</v>
      </c>
      <c r="G1241" s="13" t="s">
        <v>52</v>
      </c>
      <c r="H1241" s="16">
        <v>45846.0</v>
      </c>
      <c r="I1241" s="14">
        <v>48.0</v>
      </c>
      <c r="J1241" s="13" t="s">
        <v>40</v>
      </c>
      <c r="K1241" s="13" t="s">
        <v>41</v>
      </c>
      <c r="L1241" s="14">
        <v>1648.0</v>
      </c>
      <c r="M1241" s="18" t="s">
        <v>43</v>
      </c>
      <c r="N1241" s="18" t="s">
        <v>46</v>
      </c>
      <c r="O1241" s="18">
        <v>20.5</v>
      </c>
      <c r="P1241" s="18" t="s">
        <v>701</v>
      </c>
      <c r="Q1241" s="16">
        <v>45959.0</v>
      </c>
      <c r="R1241" s="16" t="s">
        <v>38</v>
      </c>
      <c r="S1241" s="13" t="s">
        <v>55</v>
      </c>
      <c r="T1241" s="13" t="s">
        <v>75</v>
      </c>
      <c r="U1241" s="13">
        <f t="shared" si="1"/>
        <v>5</v>
      </c>
      <c r="V1241" s="13" t="str">
        <f t="shared" si="2"/>
        <v>C01456|Vikram Patel|33|South|Bengaluru|Standard|Facebook|7/8/2025|48|Monthly|Upi|1,648|2|0|20.50|2.8|10/29/2025||Active|Security</v>
      </c>
      <c r="W1241" s="13">
        <f t="shared" si="3"/>
        <v>1</v>
      </c>
      <c r="X1241" s="13">
        <f>IFERROR(__xludf.DUMMYFUNCTION("COUNTUNIQUE(FILTER($B$2:$B$1826,$A$2:$A$1826=A1241))"),5.0)</f>
        <v>5</v>
      </c>
    </row>
    <row r="1242">
      <c r="A1242" s="13" t="s">
        <v>1815</v>
      </c>
      <c r="B1242" s="13" t="s">
        <v>247</v>
      </c>
      <c r="C1242" s="14">
        <v>45.0</v>
      </c>
      <c r="D1242" s="13" t="s">
        <v>60</v>
      </c>
      <c r="E1242" s="13" t="s">
        <v>97</v>
      </c>
      <c r="F1242" s="13" t="s">
        <v>37</v>
      </c>
      <c r="G1242" s="13" t="s">
        <v>80</v>
      </c>
      <c r="H1242" s="16">
        <v>45061.0</v>
      </c>
      <c r="I1242" s="14">
        <v>24.0</v>
      </c>
      <c r="J1242" s="13" t="s">
        <v>53</v>
      </c>
      <c r="K1242" s="13" t="s">
        <v>41</v>
      </c>
      <c r="L1242" s="14">
        <v>1794.0</v>
      </c>
      <c r="M1242" s="18" t="s">
        <v>43</v>
      </c>
      <c r="N1242" s="18" t="s">
        <v>46</v>
      </c>
      <c r="O1242" s="18">
        <v>21.2</v>
      </c>
      <c r="P1242" s="18" t="s">
        <v>310</v>
      </c>
      <c r="Q1242" s="16">
        <v>45204.0</v>
      </c>
      <c r="R1242" s="16" t="s">
        <v>38</v>
      </c>
      <c r="S1242" s="13" t="s">
        <v>55</v>
      </c>
      <c r="T1242" s="13" t="s">
        <v>75</v>
      </c>
      <c r="U1242" s="13">
        <f t="shared" si="1"/>
        <v>3</v>
      </c>
      <c r="V1242" s="13" t="str">
        <f t="shared" si="2"/>
        <v>C01020|Ravi Sharma|45|East|Bhubaneswar|Standard|Organic Search|5/15/2023|24|Quarterly|Upi|1,794|2|0|21.20|3.1|10/5/2023||Active|Security</v>
      </c>
      <c r="W1242" s="13">
        <f t="shared" si="3"/>
        <v>1</v>
      </c>
      <c r="X1242" s="13">
        <f>IFERROR(__xludf.DUMMYFUNCTION("COUNTUNIQUE(FILTER($B$2:$B$1826,$A$2:$A$1826=A1242))"),3.0)</f>
        <v>3</v>
      </c>
    </row>
    <row r="1243">
      <c r="A1243" s="13" t="s">
        <v>1816</v>
      </c>
      <c r="B1243" s="13" t="s">
        <v>110</v>
      </c>
      <c r="C1243" s="14">
        <v>41.0</v>
      </c>
      <c r="D1243" s="13" t="s">
        <v>85</v>
      </c>
      <c r="E1243" s="13" t="s">
        <v>111</v>
      </c>
      <c r="F1243" s="13" t="s">
        <v>62</v>
      </c>
      <c r="G1243" s="13" t="s">
        <v>128</v>
      </c>
      <c r="H1243" s="16">
        <v>44679.0</v>
      </c>
      <c r="I1243" s="14">
        <v>23.0</v>
      </c>
      <c r="J1243" s="13" t="s">
        <v>53</v>
      </c>
      <c r="K1243" s="13" t="s">
        <v>81</v>
      </c>
      <c r="L1243" s="14">
        <v>803.0</v>
      </c>
      <c r="M1243" s="18" t="s">
        <v>46</v>
      </c>
      <c r="N1243" s="18" t="s">
        <v>43</v>
      </c>
      <c r="O1243" s="18">
        <v>2.7</v>
      </c>
      <c r="P1243" s="18" t="s">
        <v>108</v>
      </c>
      <c r="Q1243" s="16">
        <v>45139.0</v>
      </c>
      <c r="R1243" s="16" t="s">
        <v>38</v>
      </c>
      <c r="S1243" s="13" t="s">
        <v>55</v>
      </c>
      <c r="T1243" s="13" t="s">
        <v>104</v>
      </c>
      <c r="U1243" s="13">
        <f t="shared" si="1"/>
        <v>1</v>
      </c>
      <c r="V1243" s="13" t="str">
        <f t="shared" si="2"/>
        <v>C00520|Sneha Nair|41|West|Pune|Basic|Youtube|4/28/2022|23|Quarterly|Debit Card|803|0|2|2.70|2.4|8/1/2023||Active|Analytics</v>
      </c>
      <c r="W1243" s="13">
        <f t="shared" si="3"/>
        <v>1</v>
      </c>
      <c r="X1243" s="13">
        <f>IFERROR(__xludf.DUMMYFUNCTION("COUNTUNIQUE(FILTER($B$2:$B$1826,$A$2:$A$1826=A1243))"),1.0)</f>
        <v>1</v>
      </c>
    </row>
    <row r="1244">
      <c r="A1244" s="13" t="s">
        <v>1817</v>
      </c>
      <c r="B1244" s="13" t="s">
        <v>241</v>
      </c>
      <c r="C1244" s="14">
        <v>43.0</v>
      </c>
      <c r="D1244" s="13" t="s">
        <v>69</v>
      </c>
      <c r="E1244" s="13" t="s">
        <v>187</v>
      </c>
      <c r="F1244" s="13" t="s">
        <v>37</v>
      </c>
      <c r="G1244" s="13" t="s">
        <v>52</v>
      </c>
      <c r="H1244" s="16">
        <v>44608.0</v>
      </c>
      <c r="I1244" s="14">
        <v>42.0</v>
      </c>
      <c r="J1244" s="13" t="s">
        <v>64</v>
      </c>
      <c r="K1244" s="13" t="s">
        <v>81</v>
      </c>
      <c r="L1244" s="14">
        <v>1090.0</v>
      </c>
      <c r="M1244" s="18" t="s">
        <v>164</v>
      </c>
      <c r="N1244" s="18" t="s">
        <v>98</v>
      </c>
      <c r="O1244" s="18">
        <v>33.8</v>
      </c>
      <c r="P1244" s="18" t="s">
        <v>173</v>
      </c>
      <c r="Q1244" s="16">
        <v>44769.0</v>
      </c>
      <c r="R1244" s="16" t="s">
        <v>38</v>
      </c>
      <c r="S1244" s="13" t="s">
        <v>55</v>
      </c>
      <c r="T1244" s="13" t="s">
        <v>47</v>
      </c>
      <c r="U1244" s="13">
        <f t="shared" si="1"/>
        <v>1</v>
      </c>
      <c r="V1244" s="13" t="str">
        <f t="shared" si="2"/>
        <v>C01252|Sneha Iyer|43|South|Chennai|Standard|Facebook|2/16/2022|42|Annual|Debit Card|1,090|3|1|33.80|5|7/27/2022||Active|Cloud Storage</v>
      </c>
      <c r="W1244" s="13">
        <f t="shared" si="3"/>
        <v>1</v>
      </c>
      <c r="X1244" s="13">
        <f>IFERROR(__xludf.DUMMYFUNCTION("COUNTUNIQUE(FILTER($B$2:$B$1826,$A$2:$A$1826=A1244))"),1.0)</f>
        <v>1</v>
      </c>
    </row>
    <row r="1245">
      <c r="A1245" s="13" t="s">
        <v>1818</v>
      </c>
      <c r="B1245" s="13" t="s">
        <v>34</v>
      </c>
      <c r="C1245" s="14">
        <v>44.0</v>
      </c>
      <c r="D1245" s="13" t="s">
        <v>69</v>
      </c>
      <c r="E1245" s="13" t="s">
        <v>70</v>
      </c>
      <c r="F1245" s="13" t="s">
        <v>79</v>
      </c>
      <c r="G1245" s="13" t="s">
        <v>63</v>
      </c>
      <c r="H1245" s="16">
        <v>45101.0</v>
      </c>
      <c r="I1245" s="14">
        <v>16.0</v>
      </c>
      <c r="J1245" s="13" t="s">
        <v>40</v>
      </c>
      <c r="K1245" s="13" t="s">
        <v>41</v>
      </c>
      <c r="L1245" s="14">
        <v>3680.0</v>
      </c>
      <c r="M1245" s="18" t="s">
        <v>99</v>
      </c>
      <c r="N1245" s="18" t="s">
        <v>98</v>
      </c>
      <c r="O1245" s="18">
        <v>53.9</v>
      </c>
      <c r="P1245" s="18" t="s">
        <v>203</v>
      </c>
      <c r="Q1245" s="16">
        <v>45252.0</v>
      </c>
      <c r="R1245" s="16" t="s">
        <v>1819</v>
      </c>
      <c r="S1245" s="13" t="s">
        <v>45</v>
      </c>
      <c r="T1245" s="13" t="s">
        <v>66</v>
      </c>
      <c r="U1245" s="13">
        <f t="shared" si="1"/>
        <v>1</v>
      </c>
      <c r="V1245" s="13" t="str">
        <f t="shared" si="2"/>
        <v>C01193|Meera Das|44|South|Bengaluru|Premium|Google Ads|6/24/2023|16|Monthly|Upi|3,680|4|1|53.90|3.7|11/22/2023|27/08/2023|Churned|Automation</v>
      </c>
      <c r="W1245" s="13">
        <f t="shared" si="3"/>
        <v>1</v>
      </c>
      <c r="X1245" s="13">
        <f>IFERROR(__xludf.DUMMYFUNCTION("COUNTUNIQUE(FILTER($B$2:$B$1826,$A$2:$A$1826=A1245))"),1.0)</f>
        <v>1</v>
      </c>
    </row>
    <row r="1246">
      <c r="A1246" s="13" t="s">
        <v>1388</v>
      </c>
      <c r="B1246" s="13" t="s">
        <v>118</v>
      </c>
      <c r="C1246" s="14">
        <v>67.0</v>
      </c>
      <c r="D1246" s="13" t="s">
        <v>69</v>
      </c>
      <c r="E1246" s="13" t="s">
        <v>70</v>
      </c>
      <c r="F1246" s="13" t="s">
        <v>62</v>
      </c>
      <c r="G1246" s="13" t="s">
        <v>63</v>
      </c>
      <c r="H1246" s="16">
        <v>45588.0</v>
      </c>
      <c r="I1246" s="14">
        <v>4.0</v>
      </c>
      <c r="J1246" s="13" t="s">
        <v>40</v>
      </c>
      <c r="K1246" s="13" t="s">
        <v>65</v>
      </c>
      <c r="L1246" s="14">
        <v>784.0</v>
      </c>
      <c r="M1246" s="18" t="s">
        <v>43</v>
      </c>
      <c r="N1246" s="18" t="s">
        <v>46</v>
      </c>
      <c r="O1246" s="18">
        <v>21.5</v>
      </c>
      <c r="P1246" s="18" t="s">
        <v>916</v>
      </c>
      <c r="Q1246" s="16">
        <v>45704.0</v>
      </c>
      <c r="R1246" s="16" t="s">
        <v>38</v>
      </c>
      <c r="S1246" s="13" t="s">
        <v>55</v>
      </c>
      <c r="T1246" s="13" t="s">
        <v>47</v>
      </c>
      <c r="U1246" s="13">
        <f t="shared" si="1"/>
        <v>3</v>
      </c>
      <c r="V1246" s="13" t="str">
        <f t="shared" si="2"/>
        <v>C00167|Karan Nair|67|South|Bengaluru|Basic|Google Ads|10/23/2024|4|Monthly|Credit Card|784|2|0|21.50|1.9|2/16/2025||Active|Cloud Storage</v>
      </c>
      <c r="W1246" s="13">
        <f t="shared" si="3"/>
        <v>1</v>
      </c>
      <c r="X1246" s="13">
        <f>IFERROR(__xludf.DUMMYFUNCTION("COUNTUNIQUE(FILTER($B$2:$B$1826,$A$2:$A$1826=A1246))"),3.0)</f>
        <v>3</v>
      </c>
    </row>
    <row r="1247">
      <c r="A1247" s="13" t="s">
        <v>1820</v>
      </c>
      <c r="B1247" s="13" t="s">
        <v>152</v>
      </c>
      <c r="C1247" s="14">
        <v>47.0</v>
      </c>
      <c r="D1247" s="13" t="s">
        <v>85</v>
      </c>
      <c r="E1247" s="13" t="s">
        <v>111</v>
      </c>
      <c r="F1247" s="13" t="s">
        <v>62</v>
      </c>
      <c r="G1247" s="13" t="s">
        <v>80</v>
      </c>
      <c r="H1247" s="16">
        <v>45368.0</v>
      </c>
      <c r="I1247" s="14">
        <v>24.0</v>
      </c>
      <c r="J1247" s="13" t="s">
        <v>53</v>
      </c>
      <c r="K1247" s="13" t="s">
        <v>65</v>
      </c>
      <c r="L1247" s="14">
        <v>654.0</v>
      </c>
      <c r="M1247" s="18" t="s">
        <v>164</v>
      </c>
      <c r="N1247" s="18" t="s">
        <v>98</v>
      </c>
      <c r="O1247" s="18">
        <v>25.0</v>
      </c>
      <c r="P1247" s="18" t="s">
        <v>173</v>
      </c>
      <c r="Q1247" s="16">
        <v>45638.0</v>
      </c>
      <c r="R1247" s="16" t="s">
        <v>38</v>
      </c>
      <c r="S1247" s="13" t="s">
        <v>55</v>
      </c>
      <c r="T1247" s="13" t="s">
        <v>47</v>
      </c>
      <c r="U1247" s="13">
        <f t="shared" si="1"/>
        <v>1</v>
      </c>
      <c r="V1247" s="13" t="str">
        <f t="shared" si="2"/>
        <v>C01435|Vikram Kumar|47|West|Pune|Basic|Organic Search|3/17/2024|24|Quarterly|Credit Card|654|3|1|25.00|5|12/12/2024||Active|Cloud Storage</v>
      </c>
      <c r="W1247" s="13">
        <f t="shared" si="3"/>
        <v>1</v>
      </c>
      <c r="X1247" s="13">
        <f>IFERROR(__xludf.DUMMYFUNCTION("COUNTUNIQUE(FILTER($B$2:$B$1826,$A$2:$A$1826=A1247))"),1.0)</f>
        <v>1</v>
      </c>
    </row>
    <row r="1248">
      <c r="A1248" s="13" t="s">
        <v>1441</v>
      </c>
      <c r="B1248" s="13" t="s">
        <v>163</v>
      </c>
      <c r="C1248" s="14">
        <v>27.0</v>
      </c>
      <c r="D1248" s="13" t="s">
        <v>60</v>
      </c>
      <c r="E1248" s="13" t="s">
        <v>97</v>
      </c>
      <c r="F1248" s="13" t="s">
        <v>37</v>
      </c>
      <c r="G1248" s="13" t="s">
        <v>80</v>
      </c>
      <c r="H1248" s="16">
        <v>45415.0</v>
      </c>
      <c r="I1248" s="14">
        <v>23.0</v>
      </c>
      <c r="J1248" s="13" t="s">
        <v>40</v>
      </c>
      <c r="K1248" s="13" t="s">
        <v>65</v>
      </c>
      <c r="L1248" s="14">
        <v>1618.0</v>
      </c>
      <c r="M1248" s="18" t="s">
        <v>46</v>
      </c>
      <c r="N1248" s="18" t="s">
        <v>43</v>
      </c>
      <c r="O1248" s="18">
        <v>26.6</v>
      </c>
      <c r="P1248" s="18" t="s">
        <v>173</v>
      </c>
      <c r="Q1248" s="16">
        <v>45596.0</v>
      </c>
      <c r="R1248" s="16" t="s">
        <v>38</v>
      </c>
      <c r="S1248" s="13" t="s">
        <v>55</v>
      </c>
      <c r="T1248" s="13" t="s">
        <v>47</v>
      </c>
      <c r="U1248" s="13">
        <f t="shared" si="1"/>
        <v>2</v>
      </c>
      <c r="V1248" s="13" t="str">
        <f t="shared" si="2"/>
        <v>C01403|Sneha Singh|27|East|Bhubaneswar|Standard|Organic Search|5/3/2024|23|Monthly|Credit Card|1,618|0|2|26.60|5|10/31/2024||Active|Cloud Storage</v>
      </c>
      <c r="W1248" s="13">
        <f t="shared" si="3"/>
        <v>1</v>
      </c>
      <c r="X1248" s="13">
        <f>IFERROR(__xludf.DUMMYFUNCTION("COUNTUNIQUE(FILTER($B$2:$B$1826,$A$2:$A$1826=A1248))"),2.0)</f>
        <v>2</v>
      </c>
    </row>
    <row r="1249">
      <c r="A1249" s="13" t="s">
        <v>1175</v>
      </c>
      <c r="B1249" s="13" t="s">
        <v>281</v>
      </c>
      <c r="C1249" s="14">
        <v>36.0</v>
      </c>
      <c r="D1249" s="13" t="s">
        <v>35</v>
      </c>
      <c r="E1249" s="13" t="s">
        <v>36</v>
      </c>
      <c r="F1249" s="13" t="s">
        <v>62</v>
      </c>
      <c r="G1249" s="13" t="s">
        <v>39</v>
      </c>
      <c r="H1249" s="16">
        <v>45085.0</v>
      </c>
      <c r="I1249" s="14">
        <v>14.0</v>
      </c>
      <c r="J1249" s="13" t="s">
        <v>64</v>
      </c>
      <c r="K1249" s="13" t="s">
        <v>41</v>
      </c>
      <c r="L1249" s="14">
        <v>839.0</v>
      </c>
      <c r="M1249" s="18" t="s">
        <v>46</v>
      </c>
      <c r="N1249" s="18" t="s">
        <v>98</v>
      </c>
      <c r="O1249" s="18">
        <v>17.4</v>
      </c>
      <c r="P1249" s="18" t="s">
        <v>203</v>
      </c>
      <c r="Q1249" s="16">
        <v>45519.0</v>
      </c>
      <c r="R1249" s="16" t="s">
        <v>984</v>
      </c>
      <c r="S1249" s="13" t="s">
        <v>45</v>
      </c>
      <c r="T1249" s="13" t="s">
        <v>104</v>
      </c>
      <c r="U1249" s="13">
        <f t="shared" si="1"/>
        <v>3</v>
      </c>
      <c r="V1249" s="13" t="str">
        <f t="shared" si="2"/>
        <v>C00889|Anita Reddy|36|North|Delhi|Basic|Instagram|6/8/2023|14|Annual|Upi|839|0|1|17.40|3.7|8/15/2024|20/07/2024|Churned|Analytics</v>
      </c>
      <c r="W1249" s="13">
        <f t="shared" si="3"/>
        <v>1</v>
      </c>
      <c r="X1249" s="13">
        <f>IFERROR(__xludf.DUMMYFUNCTION("COUNTUNIQUE(FILTER($B$2:$B$1826,$A$2:$A$1826=A1249))"),3.0)</f>
        <v>3</v>
      </c>
    </row>
    <row r="1250">
      <c r="A1250" s="13" t="s">
        <v>1821</v>
      </c>
      <c r="B1250" s="13" t="s">
        <v>398</v>
      </c>
      <c r="C1250" s="14">
        <v>61.0</v>
      </c>
      <c r="D1250" s="13" t="s">
        <v>35</v>
      </c>
      <c r="E1250" s="13" t="s">
        <v>140</v>
      </c>
      <c r="F1250" s="13" t="s">
        <v>79</v>
      </c>
      <c r="G1250" s="13" t="s">
        <v>80</v>
      </c>
      <c r="H1250" s="16">
        <v>45969.0</v>
      </c>
      <c r="I1250" s="14">
        <v>40.0</v>
      </c>
      <c r="J1250" s="13" t="s">
        <v>64</v>
      </c>
      <c r="K1250" s="13" t="s">
        <v>81</v>
      </c>
      <c r="L1250" s="14">
        <v>2301.0</v>
      </c>
      <c r="M1250" s="18" t="s">
        <v>99</v>
      </c>
      <c r="N1250" s="18" t="s">
        <v>98</v>
      </c>
      <c r="O1250" s="18">
        <v>48.0</v>
      </c>
      <c r="P1250" s="18" t="s">
        <v>449</v>
      </c>
      <c r="Q1250" s="16">
        <v>46470.0</v>
      </c>
      <c r="R1250" s="16" t="s">
        <v>38</v>
      </c>
      <c r="S1250" s="13" t="s">
        <v>55</v>
      </c>
      <c r="T1250" s="13" t="s">
        <v>75</v>
      </c>
      <c r="U1250" s="13">
        <f t="shared" si="1"/>
        <v>1</v>
      </c>
      <c r="V1250" s="13" t="str">
        <f t="shared" si="2"/>
        <v>C01391|Vikram Sharma|61|North|Lucknow|Premium|Organic Search|11/8/2025|40|Annual|Debit Card|2,301|4|1|48.00|2.7|3/24/2027||Active|Security</v>
      </c>
      <c r="W1250" s="13">
        <f t="shared" si="3"/>
        <v>1</v>
      </c>
      <c r="X1250" s="13">
        <f>IFERROR(__xludf.DUMMYFUNCTION("COUNTUNIQUE(FILTER($B$2:$B$1826,$A$2:$A$1826=A1250))"),1.0)</f>
        <v>1</v>
      </c>
    </row>
    <row r="1251">
      <c r="A1251" s="13" t="s">
        <v>1822</v>
      </c>
      <c r="B1251" s="13" t="s">
        <v>295</v>
      </c>
      <c r="C1251" s="14">
        <v>53.0</v>
      </c>
      <c r="D1251" s="13" t="s">
        <v>69</v>
      </c>
      <c r="E1251" s="13" t="s">
        <v>187</v>
      </c>
      <c r="F1251" s="13" t="s">
        <v>37</v>
      </c>
      <c r="G1251" s="13" t="s">
        <v>128</v>
      </c>
      <c r="H1251" s="16">
        <v>45052.0</v>
      </c>
      <c r="I1251" s="14">
        <v>9.0</v>
      </c>
      <c r="J1251" s="13" t="s">
        <v>40</v>
      </c>
      <c r="K1251" s="13" t="s">
        <v>41</v>
      </c>
      <c r="L1251" s="14">
        <v>1470.0</v>
      </c>
      <c r="M1251" s="18" t="s">
        <v>43</v>
      </c>
      <c r="N1251" s="18" t="s">
        <v>98</v>
      </c>
      <c r="O1251" s="18">
        <v>26.8</v>
      </c>
      <c r="P1251" s="18" t="s">
        <v>48</v>
      </c>
      <c r="Q1251" s="16">
        <v>45157.0</v>
      </c>
      <c r="R1251" s="16">
        <v>45181.0</v>
      </c>
      <c r="S1251" s="13" t="s">
        <v>45</v>
      </c>
      <c r="T1251" s="13" t="s">
        <v>47</v>
      </c>
      <c r="U1251" s="13">
        <f t="shared" si="1"/>
        <v>1</v>
      </c>
      <c r="V1251" s="13" t="str">
        <f t="shared" si="2"/>
        <v>C00540|Arun Reddy|53|South|Chennai|Standard|Youtube|5/6/2023|9|Monthly|Upi|1,470|2|1|26.80|3.6|8/19/2023|9/12/2023|Churned|Cloud Storage</v>
      </c>
      <c r="W1251" s="13">
        <f t="shared" si="3"/>
        <v>1</v>
      </c>
      <c r="X1251" s="13">
        <f>IFERROR(__xludf.DUMMYFUNCTION("COUNTUNIQUE(FILTER($B$2:$B$1826,$A$2:$A$1826=A1251))"),1.0)</f>
        <v>1</v>
      </c>
    </row>
    <row r="1252">
      <c r="A1252" s="13" t="s">
        <v>1824</v>
      </c>
      <c r="B1252" s="13" t="s">
        <v>308</v>
      </c>
      <c r="C1252" s="14">
        <v>42.0</v>
      </c>
      <c r="D1252" s="13" t="s">
        <v>69</v>
      </c>
      <c r="E1252" s="13" t="s">
        <v>70</v>
      </c>
      <c r="F1252" s="13" t="s">
        <v>37</v>
      </c>
      <c r="G1252" s="13" t="s">
        <v>39</v>
      </c>
      <c r="H1252" s="16">
        <v>44720.0</v>
      </c>
      <c r="I1252" s="14">
        <v>6.0</v>
      </c>
      <c r="J1252" s="13" t="s">
        <v>64</v>
      </c>
      <c r="K1252" s="13" t="s">
        <v>65</v>
      </c>
      <c r="L1252" s="14">
        <v>1683.0</v>
      </c>
      <c r="M1252" s="18" t="s">
        <v>98</v>
      </c>
      <c r="N1252" s="18" t="s">
        <v>98</v>
      </c>
      <c r="O1252" s="18">
        <v>22.7</v>
      </c>
      <c r="P1252" s="18" t="s">
        <v>185</v>
      </c>
      <c r="Q1252" s="16">
        <v>44857.0</v>
      </c>
      <c r="R1252" s="16" t="s">
        <v>38</v>
      </c>
      <c r="S1252" s="13" t="s">
        <v>55</v>
      </c>
      <c r="T1252" s="13" t="s">
        <v>72</v>
      </c>
      <c r="U1252" s="13">
        <f t="shared" si="1"/>
        <v>1</v>
      </c>
      <c r="V1252" s="13" t="str">
        <f t="shared" si="2"/>
        <v>C00534|Karan Kumar|42|South|Bengaluru|Standard|Instagram|6/8/2022|6|Annual|Credit Card|1,683|1|1|22.70|3.2|10/23/2022||Active|Collaboration</v>
      </c>
      <c r="W1252" s="13">
        <f t="shared" si="3"/>
        <v>1</v>
      </c>
      <c r="X1252" s="13">
        <f>IFERROR(__xludf.DUMMYFUNCTION("COUNTUNIQUE(FILTER($B$2:$B$1826,$A$2:$A$1826=A1252))"),1.0)</f>
        <v>1</v>
      </c>
    </row>
    <row r="1253">
      <c r="A1253" s="13" t="s">
        <v>1394</v>
      </c>
      <c r="B1253" s="13" t="s">
        <v>312</v>
      </c>
      <c r="C1253" s="14">
        <v>42.0</v>
      </c>
      <c r="D1253" s="13" t="s">
        <v>85</v>
      </c>
      <c r="E1253" s="13" t="s">
        <v>92</v>
      </c>
      <c r="F1253" s="13" t="s">
        <v>37</v>
      </c>
      <c r="G1253" s="13" t="s">
        <v>63</v>
      </c>
      <c r="H1253" s="16">
        <v>45490.0</v>
      </c>
      <c r="I1253" s="14">
        <v>26.0</v>
      </c>
      <c r="J1253" s="13" t="s">
        <v>40</v>
      </c>
      <c r="K1253" s="13" t="s">
        <v>65</v>
      </c>
      <c r="L1253" s="14">
        <v>1273.0</v>
      </c>
      <c r="M1253" s="18" t="s">
        <v>98</v>
      </c>
      <c r="N1253" s="18" t="s">
        <v>46</v>
      </c>
      <c r="O1253" s="18">
        <v>36.2</v>
      </c>
      <c r="P1253" s="18" t="s">
        <v>173</v>
      </c>
      <c r="Q1253" s="16">
        <v>46290.0</v>
      </c>
      <c r="R1253" s="16" t="s">
        <v>38</v>
      </c>
      <c r="S1253" s="13" t="s">
        <v>230</v>
      </c>
      <c r="T1253" s="13" t="s">
        <v>72</v>
      </c>
      <c r="U1253" s="13">
        <f t="shared" si="1"/>
        <v>2</v>
      </c>
      <c r="V1253" s="13" t="str">
        <f t="shared" si="2"/>
        <v>C00957|Anita Singh|42|West|Ahmedabad|Standard|Google Ads|7/17/2024|26|Monthly|Credit Card|1,273|1|0|36.20|5|9/25/2026||Yes|Collaboration</v>
      </c>
      <c r="W1253" s="13">
        <f t="shared" si="3"/>
        <v>1</v>
      </c>
      <c r="X1253" s="13">
        <f>IFERROR(__xludf.DUMMYFUNCTION("COUNTUNIQUE(FILTER($B$2:$B$1826,$A$2:$A$1826=A1253))"),2.0)</f>
        <v>2</v>
      </c>
    </row>
    <row r="1254">
      <c r="A1254" s="13" t="s">
        <v>1825</v>
      </c>
      <c r="B1254" s="13" t="s">
        <v>78</v>
      </c>
      <c r="C1254" s="14">
        <v>24.0</v>
      </c>
      <c r="D1254" s="13" t="s">
        <v>85</v>
      </c>
      <c r="E1254" s="13" t="s">
        <v>92</v>
      </c>
      <c r="F1254" s="13" t="s">
        <v>62</v>
      </c>
      <c r="G1254" s="13" t="s">
        <v>52</v>
      </c>
      <c r="H1254" s="16">
        <v>45779.0</v>
      </c>
      <c r="I1254" s="14">
        <v>33.0</v>
      </c>
      <c r="J1254" s="13" t="s">
        <v>40</v>
      </c>
      <c r="K1254" s="13" t="s">
        <v>65</v>
      </c>
      <c r="L1254" s="14">
        <v>531.0</v>
      </c>
      <c r="M1254" s="18" t="s">
        <v>98</v>
      </c>
      <c r="N1254" s="18" t="s">
        <v>38</v>
      </c>
      <c r="O1254" s="18">
        <v>12.2</v>
      </c>
      <c r="P1254" s="18" t="s">
        <v>89</v>
      </c>
      <c r="Q1254" s="16">
        <v>46716.0</v>
      </c>
      <c r="R1254" s="16" t="s">
        <v>38</v>
      </c>
      <c r="S1254" s="13" t="s">
        <v>55</v>
      </c>
      <c r="T1254" s="13" t="s">
        <v>72</v>
      </c>
      <c r="U1254" s="13">
        <f t="shared" si="1"/>
        <v>1</v>
      </c>
      <c r="V1254" s="13" t="str">
        <f t="shared" si="2"/>
        <v>C01156|Vikram Patel|24|West|Ahmedabad|Basic|Facebook|5/2/2025|33|Monthly|Credit Card|531|1||12.20|3.3|11/25/2027||Active|Collaboration</v>
      </c>
      <c r="W1254" s="13">
        <f t="shared" si="3"/>
        <v>1</v>
      </c>
      <c r="X1254" s="13">
        <f>IFERROR(__xludf.DUMMYFUNCTION("COUNTUNIQUE(FILTER($B$2:$B$1826,$A$2:$A$1826=A1254))"),1.0)</f>
        <v>1</v>
      </c>
    </row>
    <row r="1255">
      <c r="A1255" s="13" t="s">
        <v>1344</v>
      </c>
      <c r="B1255" s="13" t="s">
        <v>605</v>
      </c>
      <c r="C1255" s="14">
        <v>39.0</v>
      </c>
      <c r="D1255" s="13" t="s">
        <v>35</v>
      </c>
      <c r="E1255" s="13" t="s">
        <v>36</v>
      </c>
      <c r="F1255" s="13" t="s">
        <v>37</v>
      </c>
      <c r="G1255" s="13" t="s">
        <v>128</v>
      </c>
      <c r="H1255" s="16">
        <v>45828.0</v>
      </c>
      <c r="I1255" s="14">
        <v>20.0</v>
      </c>
      <c r="J1255" s="13" t="s">
        <v>53</v>
      </c>
      <c r="K1255" s="13" t="s">
        <v>81</v>
      </c>
      <c r="L1255" s="14">
        <v>1188.0</v>
      </c>
      <c r="M1255" s="18" t="s">
        <v>98</v>
      </c>
      <c r="N1255" s="18" t="s">
        <v>98</v>
      </c>
      <c r="O1255" s="18">
        <v>39.7</v>
      </c>
      <c r="P1255" s="18" t="s">
        <v>164</v>
      </c>
      <c r="Q1255" s="16">
        <v>46246.0</v>
      </c>
      <c r="R1255" s="16" t="s">
        <v>38</v>
      </c>
      <c r="S1255" s="13" t="s">
        <v>55</v>
      </c>
      <c r="T1255" s="13" t="s">
        <v>75</v>
      </c>
      <c r="U1255" s="13">
        <f t="shared" si="1"/>
        <v>3</v>
      </c>
      <c r="V1255" s="13" t="str">
        <f t="shared" si="2"/>
        <v>C00758|Meera Patel|39|North|Delhi|Standard|Youtube|6/20/2025|20|Quarterly|Debit Card|1,188|1|1|39.70|3|8/12/2026||Active|Security</v>
      </c>
      <c r="W1255" s="13">
        <f t="shared" si="3"/>
        <v>1</v>
      </c>
      <c r="X1255" s="13">
        <f>IFERROR(__xludf.DUMMYFUNCTION("COUNTUNIQUE(FILTER($B$2:$B$1826,$A$2:$A$1826=A1255))"),3.0)</f>
        <v>3</v>
      </c>
    </row>
    <row r="1256">
      <c r="A1256" s="13" t="s">
        <v>1662</v>
      </c>
      <c r="B1256" s="13" t="s">
        <v>340</v>
      </c>
      <c r="C1256" s="14">
        <v>36.0</v>
      </c>
      <c r="D1256" s="13" t="s">
        <v>60</v>
      </c>
      <c r="E1256" s="13" t="s">
        <v>133</v>
      </c>
      <c r="F1256" s="13" t="s">
        <v>62</v>
      </c>
      <c r="G1256" s="13" t="s">
        <v>128</v>
      </c>
      <c r="H1256" s="16">
        <v>45052.0</v>
      </c>
      <c r="I1256" s="14">
        <v>1.0</v>
      </c>
      <c r="J1256" s="13" t="s">
        <v>40</v>
      </c>
      <c r="K1256" s="13" t="s">
        <v>65</v>
      </c>
      <c r="L1256" s="14">
        <v>640.0</v>
      </c>
      <c r="M1256" s="18" t="s">
        <v>43</v>
      </c>
      <c r="N1256" s="18" t="s">
        <v>164</v>
      </c>
      <c r="O1256" s="18">
        <v>16.8</v>
      </c>
      <c r="P1256" s="18" t="s">
        <v>164</v>
      </c>
      <c r="Q1256" s="16">
        <v>45085.0</v>
      </c>
      <c r="R1256" s="16" t="s">
        <v>38</v>
      </c>
      <c r="S1256" s="13" t="s">
        <v>55</v>
      </c>
      <c r="T1256" s="13" t="s">
        <v>104</v>
      </c>
      <c r="U1256" s="13">
        <f t="shared" si="1"/>
        <v>3</v>
      </c>
      <c r="V1256" s="13" t="str">
        <f t="shared" si="2"/>
        <v>C00814|Meera Sharma|36|East|Guwahati|Basic|Youtube|5/6/2023|1|Monthly|Credit Card|640|2|3|16.80|3|6/8/2023||Active|Analytics</v>
      </c>
      <c r="W1256" s="13">
        <f t="shared" si="3"/>
        <v>1</v>
      </c>
      <c r="X1256" s="13">
        <f>IFERROR(__xludf.DUMMYFUNCTION("COUNTUNIQUE(FILTER($B$2:$B$1826,$A$2:$A$1826=A1256))"),3.0)</f>
        <v>3</v>
      </c>
    </row>
    <row r="1257">
      <c r="A1257" s="13" t="s">
        <v>768</v>
      </c>
      <c r="B1257" s="13" t="s">
        <v>224</v>
      </c>
      <c r="C1257" s="14">
        <v>32.0</v>
      </c>
      <c r="D1257" s="13" t="s">
        <v>35</v>
      </c>
      <c r="E1257" s="13" t="s">
        <v>161</v>
      </c>
      <c r="F1257" s="13" t="s">
        <v>37</v>
      </c>
      <c r="G1257" s="13" t="s">
        <v>80</v>
      </c>
      <c r="H1257" s="16">
        <v>44962.0</v>
      </c>
      <c r="I1257" s="14">
        <v>16.0</v>
      </c>
      <c r="J1257" s="13" t="s">
        <v>64</v>
      </c>
      <c r="K1257" s="13" t="s">
        <v>41</v>
      </c>
      <c r="L1257" s="14">
        <v>1424.0</v>
      </c>
      <c r="M1257" s="18" t="s">
        <v>164</v>
      </c>
      <c r="N1257" s="18" t="s">
        <v>173</v>
      </c>
      <c r="O1257" s="18">
        <v>17.0</v>
      </c>
      <c r="P1257" s="18" t="s">
        <v>89</v>
      </c>
      <c r="Q1257" s="16">
        <v>45031.0</v>
      </c>
      <c r="R1257" s="16">
        <v>45146.0</v>
      </c>
      <c r="S1257" s="13" t="s">
        <v>45</v>
      </c>
      <c r="T1257" s="13" t="s">
        <v>75</v>
      </c>
      <c r="U1257" s="13">
        <f t="shared" si="1"/>
        <v>2</v>
      </c>
      <c r="V1257" s="13" t="str">
        <f t="shared" si="2"/>
        <v>C00586|Anita Iyer|32|North|Chandigarh|Standard|Organic Search|2/5/2023|16|Annual|Upi|1,424|3|5|17.00|3.3|4/15/2023|8/8/2023|Churned|Security</v>
      </c>
      <c r="W1257" s="13">
        <f t="shared" si="3"/>
        <v>1</v>
      </c>
      <c r="X1257" s="13">
        <f>IFERROR(__xludf.DUMMYFUNCTION("COUNTUNIQUE(FILTER($B$2:$B$1826,$A$2:$A$1826=A1257))"),2.0)</f>
        <v>2</v>
      </c>
    </row>
    <row r="1258">
      <c r="A1258" s="13" t="s">
        <v>1827</v>
      </c>
      <c r="B1258" s="13" t="s">
        <v>639</v>
      </c>
      <c r="C1258" s="14">
        <v>52.0</v>
      </c>
      <c r="D1258" s="13" t="s">
        <v>85</v>
      </c>
      <c r="E1258" s="13" t="s">
        <v>111</v>
      </c>
      <c r="F1258" s="13" t="s">
        <v>37</v>
      </c>
      <c r="G1258" s="13" t="s">
        <v>120</v>
      </c>
      <c r="H1258" s="16">
        <v>45024.0</v>
      </c>
      <c r="I1258" s="14">
        <v>7.0</v>
      </c>
      <c r="J1258" s="13" t="s">
        <v>53</v>
      </c>
      <c r="K1258" s="13" t="s">
        <v>41</v>
      </c>
      <c r="L1258" s="14">
        <v>1017.0</v>
      </c>
      <c r="M1258" s="18" t="s">
        <v>164</v>
      </c>
      <c r="N1258" s="18" t="s">
        <v>46</v>
      </c>
      <c r="O1258" s="18">
        <v>27.7</v>
      </c>
      <c r="P1258" s="18" t="s">
        <v>143</v>
      </c>
      <c r="Q1258" s="16">
        <v>45170.0</v>
      </c>
      <c r="R1258" s="16" t="s">
        <v>1828</v>
      </c>
      <c r="S1258" s="13" t="s">
        <v>45</v>
      </c>
      <c r="T1258" s="13" t="s">
        <v>47</v>
      </c>
      <c r="U1258" s="13">
        <f t="shared" si="1"/>
        <v>2</v>
      </c>
      <c r="V1258" s="13" t="str">
        <f t="shared" si="2"/>
        <v>C01161|Priya Nair|52|West|Pune|Standard|Email|4/8/2023|7|Quarterly|Upi|1,017|3|0|27.70|2.1|9/1/2023|20/10/2023|Churned|Cloud Storage</v>
      </c>
      <c r="W1258" s="13">
        <f t="shared" si="3"/>
        <v>1</v>
      </c>
      <c r="X1258" s="13">
        <f>IFERROR(__xludf.DUMMYFUNCTION("COUNTUNIQUE(FILTER($B$2:$B$1826,$A$2:$A$1826=A1258))"),2.0)</f>
        <v>2</v>
      </c>
    </row>
    <row r="1259">
      <c r="A1259" s="13" t="s">
        <v>1553</v>
      </c>
      <c r="B1259" s="13" t="s">
        <v>50</v>
      </c>
      <c r="C1259" s="14">
        <v>51.0</v>
      </c>
      <c r="D1259" s="13" t="s">
        <v>35</v>
      </c>
      <c r="E1259" s="13" t="s">
        <v>161</v>
      </c>
      <c r="F1259" s="13" t="s">
        <v>37</v>
      </c>
      <c r="G1259" s="13" t="s">
        <v>120</v>
      </c>
      <c r="H1259" s="16">
        <v>44751.0</v>
      </c>
      <c r="I1259" s="14">
        <v>36.0</v>
      </c>
      <c r="J1259" s="13" t="s">
        <v>53</v>
      </c>
      <c r="K1259" s="13" t="s">
        <v>65</v>
      </c>
      <c r="L1259" s="14">
        <v>1213.0</v>
      </c>
      <c r="M1259" s="18" t="s">
        <v>98</v>
      </c>
      <c r="N1259" s="18" t="s">
        <v>46</v>
      </c>
      <c r="O1259" s="18">
        <v>22.1</v>
      </c>
      <c r="P1259" s="18" t="s">
        <v>408</v>
      </c>
      <c r="Q1259" s="16">
        <v>45333.0</v>
      </c>
      <c r="R1259" s="16" t="s">
        <v>38</v>
      </c>
      <c r="S1259" s="13" t="s">
        <v>55</v>
      </c>
      <c r="T1259" s="13" t="s">
        <v>72</v>
      </c>
      <c r="U1259" s="13">
        <f t="shared" si="1"/>
        <v>2</v>
      </c>
      <c r="V1259" s="13" t="str">
        <f t="shared" si="2"/>
        <v>C00247|Rahul Das|51|North|Chandigarh|Standard|Email|7/9/2022|36|Quarterly|Credit Card|1,213|1|0|22.10|4.2|2/11/2024||Active|Collaboration</v>
      </c>
      <c r="W1259" s="13">
        <f t="shared" si="3"/>
        <v>1</v>
      </c>
      <c r="X1259" s="13">
        <f>IFERROR(__xludf.DUMMYFUNCTION("COUNTUNIQUE(FILTER($B$2:$B$1826,$A$2:$A$1826=A1259))"),2.0)</f>
        <v>2</v>
      </c>
    </row>
    <row r="1260">
      <c r="A1260" s="13" t="s">
        <v>1638</v>
      </c>
      <c r="B1260" s="13" t="s">
        <v>68</v>
      </c>
      <c r="C1260" s="14">
        <v>33.0</v>
      </c>
      <c r="D1260" s="13" t="s">
        <v>85</v>
      </c>
      <c r="E1260" s="13" t="s">
        <v>292</v>
      </c>
      <c r="F1260" s="13" t="s">
        <v>62</v>
      </c>
      <c r="G1260" s="13" t="s">
        <v>39</v>
      </c>
      <c r="H1260" s="16">
        <v>45878.0</v>
      </c>
      <c r="I1260" s="14">
        <v>11.0</v>
      </c>
      <c r="J1260" s="13" t="s">
        <v>53</v>
      </c>
      <c r="K1260" s="13" t="s">
        <v>65</v>
      </c>
      <c r="L1260" s="14">
        <v>845.0</v>
      </c>
      <c r="M1260" s="18" t="s">
        <v>98</v>
      </c>
      <c r="N1260" s="18" t="s">
        <v>98</v>
      </c>
      <c r="O1260" s="18">
        <v>10.8</v>
      </c>
      <c r="P1260" s="18" t="s">
        <v>173</v>
      </c>
      <c r="Q1260" s="16">
        <v>46158.0</v>
      </c>
      <c r="R1260" s="16">
        <v>46177.0</v>
      </c>
      <c r="S1260" s="13" t="s">
        <v>45</v>
      </c>
      <c r="T1260" s="13" t="s">
        <v>75</v>
      </c>
      <c r="U1260" s="13">
        <f t="shared" si="1"/>
        <v>2</v>
      </c>
      <c r="V1260" s="13" t="str">
        <f t="shared" si="2"/>
        <v>C01394|Anita Patel|33|West|Mumbai|Basic|Instagram|8/9/2025|11|Quarterly|Credit Card|845|1|1|10.80|5|5/16/2026|6/4/2026|Churned|Security</v>
      </c>
      <c r="W1260" s="13">
        <f t="shared" si="3"/>
        <v>1</v>
      </c>
      <c r="X1260" s="13">
        <f>IFERROR(__xludf.DUMMYFUNCTION("COUNTUNIQUE(FILTER($B$2:$B$1826,$A$2:$A$1826=A1260))"),2.0)</f>
        <v>2</v>
      </c>
    </row>
    <row r="1261">
      <c r="A1261" s="13" t="s">
        <v>677</v>
      </c>
      <c r="B1261" s="13" t="s">
        <v>295</v>
      </c>
      <c r="C1261" s="14">
        <v>28.0</v>
      </c>
      <c r="D1261" s="13" t="s">
        <v>85</v>
      </c>
      <c r="E1261" s="13" t="s">
        <v>87</v>
      </c>
      <c r="F1261" s="13" t="s">
        <v>37</v>
      </c>
      <c r="G1261" s="13" t="s">
        <v>120</v>
      </c>
      <c r="H1261" s="16">
        <v>44947.0</v>
      </c>
      <c r="I1261" s="14">
        <v>13.0</v>
      </c>
      <c r="J1261" s="13" t="s">
        <v>53</v>
      </c>
      <c r="K1261" s="13" t="s">
        <v>81</v>
      </c>
      <c r="L1261" s="14">
        <v>1284.0</v>
      </c>
      <c r="M1261" s="18" t="s">
        <v>38</v>
      </c>
      <c r="N1261" s="18" t="s">
        <v>98</v>
      </c>
      <c r="O1261" s="18">
        <v>38.5</v>
      </c>
      <c r="P1261" s="18" t="s">
        <v>150</v>
      </c>
      <c r="Q1261" s="16">
        <v>44988.0</v>
      </c>
      <c r="R1261" s="16" t="s">
        <v>38</v>
      </c>
      <c r="S1261" s="13" t="s">
        <v>55</v>
      </c>
      <c r="T1261" s="13" t="s">
        <v>104</v>
      </c>
      <c r="U1261" s="13">
        <f t="shared" si="1"/>
        <v>5</v>
      </c>
      <c r="V1261" s="13" t="str">
        <f t="shared" si="2"/>
        <v>C00271|Arun Reddy|28|West|Surat|Standard|Email|1/21/2023|13|Quarterly|Debit Card|1,284||1|38.50|4.5|3/3/2023||Active|Analytics</v>
      </c>
      <c r="W1261" s="13">
        <f t="shared" si="3"/>
        <v>1</v>
      </c>
      <c r="X1261" s="13">
        <f>IFERROR(__xludf.DUMMYFUNCTION("COUNTUNIQUE(FILTER($B$2:$B$1826,$A$2:$A$1826=A1261))"),5.0)</f>
        <v>5</v>
      </c>
    </row>
    <row r="1262">
      <c r="A1262" s="13" t="s">
        <v>1830</v>
      </c>
      <c r="B1262" s="13" t="s">
        <v>106</v>
      </c>
      <c r="C1262" s="14">
        <v>23.0</v>
      </c>
      <c r="D1262" s="13" t="s">
        <v>60</v>
      </c>
      <c r="E1262" s="13" t="s">
        <v>107</v>
      </c>
      <c r="F1262" s="13" t="s">
        <v>37</v>
      </c>
      <c r="G1262" s="13" t="s">
        <v>52</v>
      </c>
      <c r="H1262" s="16">
        <v>44655.0</v>
      </c>
      <c r="I1262" s="14">
        <v>3.0</v>
      </c>
      <c r="J1262" s="13" t="s">
        <v>53</v>
      </c>
      <c r="K1262" s="13" t="s">
        <v>81</v>
      </c>
      <c r="L1262" s="14">
        <v>1494.0</v>
      </c>
      <c r="M1262" s="18" t="s">
        <v>173</v>
      </c>
      <c r="N1262" s="18" t="s">
        <v>46</v>
      </c>
      <c r="O1262" s="18">
        <v>23.1</v>
      </c>
      <c r="P1262" s="18" t="s">
        <v>449</v>
      </c>
      <c r="Q1262" s="16">
        <v>44752.0</v>
      </c>
      <c r="R1262" s="16" t="s">
        <v>38</v>
      </c>
      <c r="S1262" s="13" t="s">
        <v>55</v>
      </c>
      <c r="T1262" s="13" t="s">
        <v>72</v>
      </c>
      <c r="U1262" s="13">
        <f t="shared" si="1"/>
        <v>2</v>
      </c>
      <c r="V1262" s="13" t="str">
        <f t="shared" si="2"/>
        <v>C00051|Rahul Patel|23|East|Patna|Standard|Facebook|4/4/2022|3|Quarterly|Debit Card|1,494|5|0|23.10|2.7|7/10/2022||Active|Collaboration</v>
      </c>
      <c r="W1262" s="13">
        <f t="shared" si="3"/>
        <v>1</v>
      </c>
      <c r="X1262" s="13">
        <f>IFERROR(__xludf.DUMMYFUNCTION("COUNTUNIQUE(FILTER($B$2:$B$1826,$A$2:$A$1826=A1262))"),2.0)</f>
        <v>2</v>
      </c>
    </row>
    <row r="1263">
      <c r="A1263" s="13" t="s">
        <v>1705</v>
      </c>
      <c r="B1263" s="13" t="s">
        <v>135</v>
      </c>
      <c r="C1263" s="14">
        <v>50.0</v>
      </c>
      <c r="D1263" s="13" t="s">
        <v>69</v>
      </c>
      <c r="E1263" s="13" t="s">
        <v>70</v>
      </c>
      <c r="F1263" s="13" t="s">
        <v>62</v>
      </c>
      <c r="G1263" s="13" t="s">
        <v>80</v>
      </c>
      <c r="H1263" s="16">
        <v>45178.0</v>
      </c>
      <c r="I1263" s="14">
        <v>15.0</v>
      </c>
      <c r="J1263" s="13" t="s">
        <v>40</v>
      </c>
      <c r="K1263" s="13" t="s">
        <v>41</v>
      </c>
      <c r="L1263" s="14">
        <v>853.0</v>
      </c>
      <c r="M1263" s="18" t="s">
        <v>43</v>
      </c>
      <c r="N1263" s="18" t="s">
        <v>43</v>
      </c>
      <c r="O1263" s="18">
        <v>19.7</v>
      </c>
      <c r="P1263" s="18" t="s">
        <v>225</v>
      </c>
      <c r="Q1263" s="16">
        <v>45299.0</v>
      </c>
      <c r="R1263" s="16">
        <v>45333.0</v>
      </c>
      <c r="S1263" s="13" t="s">
        <v>45</v>
      </c>
      <c r="T1263" s="13" t="s">
        <v>47</v>
      </c>
      <c r="U1263" s="13">
        <f t="shared" si="1"/>
        <v>2</v>
      </c>
      <c r="V1263" s="13" t="str">
        <f t="shared" si="2"/>
        <v>C00949|Karan Sharma|50|South|Bengaluru|Basic|Organic Search|9/9/2023|15|Monthly|Upi|853|2|2|19.70|3.8|1/8/2024|2/11/2024|Churned|Cloud Storage</v>
      </c>
      <c r="W1263" s="13">
        <f t="shared" si="3"/>
        <v>1</v>
      </c>
      <c r="X1263" s="13">
        <f>IFERROR(__xludf.DUMMYFUNCTION("COUNTUNIQUE(FILTER($B$2:$B$1826,$A$2:$A$1826=A1263))"),2.0)</f>
        <v>2</v>
      </c>
    </row>
    <row r="1264">
      <c r="A1264" s="13" t="s">
        <v>2119</v>
      </c>
      <c r="B1264" s="13" t="s">
        <v>163</v>
      </c>
      <c r="C1264" s="14">
        <v>41.0</v>
      </c>
      <c r="D1264" s="13" t="s">
        <v>69</v>
      </c>
      <c r="E1264" s="13" t="s">
        <v>119</v>
      </c>
      <c r="F1264" s="13" t="s">
        <v>37</v>
      </c>
      <c r="G1264" s="13" t="s">
        <v>210</v>
      </c>
      <c r="H1264" s="16">
        <v>44877.0</v>
      </c>
      <c r="I1264" s="14">
        <v>34.0</v>
      </c>
      <c r="J1264" s="13" t="s">
        <v>40</v>
      </c>
      <c r="K1264" s="13" t="s">
        <v>81</v>
      </c>
      <c r="L1264" s="14">
        <v>1737.0</v>
      </c>
      <c r="M1264" s="18" t="s">
        <v>43</v>
      </c>
      <c r="N1264" s="18" t="s">
        <v>46</v>
      </c>
      <c r="O1264" s="18">
        <v>32.6</v>
      </c>
      <c r="P1264" s="18" t="s">
        <v>123</v>
      </c>
      <c r="Q1264" s="16">
        <v>45268.0</v>
      </c>
      <c r="R1264" s="16" t="s">
        <v>1309</v>
      </c>
      <c r="S1264" s="13" t="s">
        <v>45</v>
      </c>
      <c r="T1264" s="13" t="s">
        <v>72</v>
      </c>
      <c r="U1264" s="13">
        <f t="shared" si="1"/>
        <v>1</v>
      </c>
      <c r="V1264" s="13" t="str">
        <f t="shared" si="2"/>
        <v>C00250|Sneha Singh|41|South|Kochi|Standard|Referral|11/12/2022|34|Monthly|Debit Card|1,737|2|0|32.60|4.1|12/8/2023|23/07/2024|Churned|Collaboration</v>
      </c>
      <c r="W1264" s="13">
        <f t="shared" si="3"/>
        <v>1</v>
      </c>
      <c r="X1264" s="13">
        <f>IFERROR(__xludf.DUMMYFUNCTION("COUNTUNIQUE(FILTER($B$2:$B$1826,$A$2:$A$1826=A1264))"),1.0)</f>
        <v>1</v>
      </c>
    </row>
    <row r="1265">
      <c r="A1265" s="13" t="s">
        <v>1833</v>
      </c>
      <c r="B1265" s="13" t="s">
        <v>145</v>
      </c>
      <c r="C1265" s="14">
        <v>19.0</v>
      </c>
      <c r="D1265" s="13" t="s">
        <v>60</v>
      </c>
      <c r="E1265" s="13" t="s">
        <v>97</v>
      </c>
      <c r="F1265" s="13" t="s">
        <v>79</v>
      </c>
      <c r="G1265" s="13" t="s">
        <v>39</v>
      </c>
      <c r="H1265" s="16">
        <v>44908.0</v>
      </c>
      <c r="I1265" s="14">
        <v>10.0</v>
      </c>
      <c r="J1265" s="13" t="s">
        <v>53</v>
      </c>
      <c r="K1265" s="13" t="s">
        <v>65</v>
      </c>
      <c r="L1265" s="14">
        <v>2463.0</v>
      </c>
      <c r="M1265" s="18" t="s">
        <v>46</v>
      </c>
      <c r="N1265" s="18" t="s">
        <v>43</v>
      </c>
      <c r="O1265" s="18">
        <v>36.0</v>
      </c>
      <c r="P1265" s="18" t="s">
        <v>99</v>
      </c>
      <c r="Q1265" s="16">
        <v>45015.0</v>
      </c>
      <c r="R1265" s="16" t="s">
        <v>38</v>
      </c>
      <c r="S1265" s="13" t="s">
        <v>55</v>
      </c>
      <c r="T1265" s="13" t="s">
        <v>75</v>
      </c>
      <c r="U1265" s="13">
        <f t="shared" si="1"/>
        <v>1</v>
      </c>
      <c r="V1265" s="13" t="str">
        <f t="shared" si="2"/>
        <v>C01261|Ravi Patel|19|East|Bhubaneswar|Premium|Instagram|12/13/2022|10|Quarterly|Credit Card|2,463|0|2|36.00|4|3/30/2023||Active|Security</v>
      </c>
      <c r="W1265" s="13">
        <f t="shared" si="3"/>
        <v>1</v>
      </c>
      <c r="X1265" s="13">
        <f>IFERROR(__xludf.DUMMYFUNCTION("COUNTUNIQUE(FILTER($B$2:$B$1826,$A$2:$A$1826=A1265))"),1.0)</f>
        <v>1</v>
      </c>
    </row>
    <row r="1266">
      <c r="A1266" s="13" t="s">
        <v>1834</v>
      </c>
      <c r="B1266" s="13" t="s">
        <v>303</v>
      </c>
      <c r="C1266" s="14">
        <v>54.0</v>
      </c>
      <c r="D1266" s="13" t="s">
        <v>69</v>
      </c>
      <c r="E1266" s="13" t="s">
        <v>177</v>
      </c>
      <c r="F1266" s="13" t="s">
        <v>62</v>
      </c>
      <c r="G1266" s="13" t="s">
        <v>39</v>
      </c>
      <c r="H1266" s="16">
        <v>45428.0</v>
      </c>
      <c r="I1266" s="14">
        <v>28.0</v>
      </c>
      <c r="J1266" s="13" t="s">
        <v>53</v>
      </c>
      <c r="K1266" s="13" t="s">
        <v>41</v>
      </c>
      <c r="L1266" s="14">
        <v>678.0</v>
      </c>
      <c r="M1266" s="18" t="s">
        <v>164</v>
      </c>
      <c r="N1266" s="18" t="s">
        <v>46</v>
      </c>
      <c r="O1266" s="18">
        <v>21.5</v>
      </c>
      <c r="P1266" s="18" t="s">
        <v>76</v>
      </c>
      <c r="Q1266" s="16">
        <v>45844.0</v>
      </c>
      <c r="R1266" s="16" t="s">
        <v>38</v>
      </c>
      <c r="S1266" s="13" t="s">
        <v>55</v>
      </c>
      <c r="T1266" s="13" t="s">
        <v>66</v>
      </c>
      <c r="U1266" s="13">
        <f t="shared" si="1"/>
        <v>3</v>
      </c>
      <c r="V1266" s="13" t="str">
        <f t="shared" si="2"/>
        <v>C01416|Priya Kumar|54|South|Hyderabad|Basic|Instagram|5/16/2024|28|Quarterly|Upi|678|3|0|21.50|4.4|7/6/2025||Active|Automation</v>
      </c>
      <c r="W1266" s="13">
        <f t="shared" si="3"/>
        <v>1</v>
      </c>
      <c r="X1266" s="13">
        <f>IFERROR(__xludf.DUMMYFUNCTION("COUNTUNIQUE(FILTER($B$2:$B$1826,$A$2:$A$1826=A1266))"),3.0)</f>
        <v>3</v>
      </c>
    </row>
    <row r="1267">
      <c r="A1267" s="13" t="s">
        <v>780</v>
      </c>
      <c r="B1267" s="13" t="s">
        <v>235</v>
      </c>
      <c r="C1267" s="14">
        <v>28.0</v>
      </c>
      <c r="D1267" s="13" t="s">
        <v>85</v>
      </c>
      <c r="E1267" s="13" t="s">
        <v>87</v>
      </c>
      <c r="F1267" s="13" t="s">
        <v>37</v>
      </c>
      <c r="G1267" s="13" t="s">
        <v>63</v>
      </c>
      <c r="H1267" s="16">
        <v>45597.0</v>
      </c>
      <c r="I1267" s="14">
        <v>11.0</v>
      </c>
      <c r="J1267" s="13" t="s">
        <v>53</v>
      </c>
      <c r="K1267" s="13" t="s">
        <v>41</v>
      </c>
      <c r="L1267" s="14">
        <v>1389.0</v>
      </c>
      <c r="M1267" s="18" t="s">
        <v>99</v>
      </c>
      <c r="N1267" s="18" t="s">
        <v>46</v>
      </c>
      <c r="O1267" s="18">
        <v>54.2</v>
      </c>
      <c r="P1267" s="18" t="s">
        <v>408</v>
      </c>
      <c r="Q1267" s="16">
        <v>45657.0</v>
      </c>
      <c r="R1267" s="16">
        <v>45516.0</v>
      </c>
      <c r="S1267" s="13" t="s">
        <v>45</v>
      </c>
      <c r="T1267" s="13" t="s">
        <v>72</v>
      </c>
      <c r="U1267" s="13">
        <f t="shared" si="1"/>
        <v>2</v>
      </c>
      <c r="V1267" s="13" t="str">
        <f t="shared" si="2"/>
        <v>C00384|Sneha Sharma|28|West|Surat|Standard|Google Ads|11/1/2024|11|Quarterly|Upi|1,389|4|0|54.20|4.2|12/31/2024|8/12/2024|Churned|Collaboration</v>
      </c>
      <c r="W1267" s="13">
        <f t="shared" si="3"/>
        <v>1</v>
      </c>
      <c r="X1267" s="13">
        <f>IFERROR(__xludf.DUMMYFUNCTION("COUNTUNIQUE(FILTER($B$2:$B$1826,$A$2:$A$1826=A1267))"),2.0)</f>
        <v>2</v>
      </c>
    </row>
    <row r="1268">
      <c r="A1268" s="13" t="s">
        <v>1836</v>
      </c>
      <c r="B1268" s="13" t="s">
        <v>139</v>
      </c>
      <c r="C1268" s="14">
        <v>49.0</v>
      </c>
      <c r="D1268" s="13" t="s">
        <v>69</v>
      </c>
      <c r="E1268" s="13" t="s">
        <v>187</v>
      </c>
      <c r="F1268" s="13" t="s">
        <v>37</v>
      </c>
      <c r="G1268" s="13" t="s">
        <v>128</v>
      </c>
      <c r="H1268" s="16">
        <v>45571.0</v>
      </c>
      <c r="I1268" s="14">
        <v>43.0</v>
      </c>
      <c r="J1268" s="13" t="s">
        <v>40</v>
      </c>
      <c r="K1268" s="13" t="s">
        <v>65</v>
      </c>
      <c r="L1268" s="14">
        <v>1444.0</v>
      </c>
      <c r="M1268" s="18" t="s">
        <v>43</v>
      </c>
      <c r="N1268" s="18" t="s">
        <v>46</v>
      </c>
      <c r="O1268" s="18">
        <v>34.5</v>
      </c>
      <c r="P1268" s="18" t="s">
        <v>449</v>
      </c>
      <c r="Q1268" s="16">
        <v>46117.0</v>
      </c>
      <c r="R1268" s="16">
        <v>46457.0</v>
      </c>
      <c r="S1268" s="13" t="s">
        <v>45</v>
      </c>
      <c r="T1268" s="13" t="s">
        <v>75</v>
      </c>
      <c r="U1268" s="13">
        <f t="shared" si="1"/>
        <v>1</v>
      </c>
      <c r="V1268" s="13" t="str">
        <f t="shared" si="2"/>
        <v>C01321|Vikram Das|49|South|Chennai|Standard|Youtube|10/6/2024|43|Monthly|Credit Card|1,444|2|0|34.50|2.7|4/5/2026|3/11/2027|Churned|Security</v>
      </c>
      <c r="W1268" s="13">
        <f t="shared" si="3"/>
        <v>1</v>
      </c>
      <c r="X1268" s="13">
        <f>IFERROR(__xludf.DUMMYFUNCTION("COUNTUNIQUE(FILTER($B$2:$B$1826,$A$2:$A$1826=A1268))"),1.0)</f>
        <v>1</v>
      </c>
    </row>
    <row r="1269">
      <c r="A1269" s="13" t="s">
        <v>201</v>
      </c>
      <c r="B1269" s="13" t="s">
        <v>736</v>
      </c>
      <c r="C1269" s="14">
        <v>35.0</v>
      </c>
      <c r="D1269" s="13" t="s">
        <v>60</v>
      </c>
      <c r="E1269" s="13" t="s">
        <v>97</v>
      </c>
      <c r="F1269" s="13" t="s">
        <v>62</v>
      </c>
      <c r="G1269" s="13" t="s">
        <v>39</v>
      </c>
      <c r="H1269" s="16">
        <v>45976.0</v>
      </c>
      <c r="I1269" s="14">
        <v>10.0</v>
      </c>
      <c r="J1269" s="13" t="s">
        <v>40</v>
      </c>
      <c r="K1269" s="13" t="s">
        <v>65</v>
      </c>
      <c r="L1269" s="14">
        <v>581.0</v>
      </c>
      <c r="M1269" s="18" t="s">
        <v>99</v>
      </c>
      <c r="N1269" s="18" t="s">
        <v>98</v>
      </c>
      <c r="O1269" s="18">
        <v>23.4</v>
      </c>
      <c r="P1269" s="18" t="s">
        <v>568</v>
      </c>
      <c r="Q1269" s="16">
        <v>45994.0</v>
      </c>
      <c r="R1269" s="16" t="s">
        <v>38</v>
      </c>
      <c r="S1269" s="13" t="s">
        <v>55</v>
      </c>
      <c r="T1269" s="13" t="s">
        <v>66</v>
      </c>
      <c r="U1269" s="13">
        <f t="shared" si="1"/>
        <v>2</v>
      </c>
      <c r="V1269" s="13" t="str">
        <f t="shared" si="2"/>
        <v>C01544|Priya Iyer|35|East|Bhubaneswar|Basic|Instagram|11/15/2025|10|Monthly|Credit Card|581|4|1|23.40|2.2|12/3/2025||Active|Automation</v>
      </c>
      <c r="W1269" s="13">
        <f t="shared" si="3"/>
        <v>1</v>
      </c>
      <c r="X1269" s="13">
        <f>IFERROR(__xludf.DUMMYFUNCTION("COUNTUNIQUE(FILTER($B$2:$B$1826,$A$2:$A$1826=A1269))"),2.0)</f>
        <v>2</v>
      </c>
    </row>
    <row r="1270">
      <c r="A1270" s="13" t="s">
        <v>1838</v>
      </c>
      <c r="B1270" s="13" t="s">
        <v>202</v>
      </c>
      <c r="C1270" s="14">
        <v>34.0</v>
      </c>
      <c r="D1270" s="13" t="s">
        <v>69</v>
      </c>
      <c r="E1270" s="13" t="s">
        <v>187</v>
      </c>
      <c r="F1270" s="13" t="s">
        <v>62</v>
      </c>
      <c r="G1270" s="13" t="s">
        <v>210</v>
      </c>
      <c r="H1270" s="16">
        <v>45391.0</v>
      </c>
      <c r="I1270" s="14">
        <v>4.0</v>
      </c>
      <c r="J1270" s="13" t="s">
        <v>64</v>
      </c>
      <c r="K1270" s="13" t="s">
        <v>81</v>
      </c>
      <c r="L1270" s="14">
        <v>815.0</v>
      </c>
      <c r="M1270" s="18" t="s">
        <v>98</v>
      </c>
      <c r="N1270" s="18" t="s">
        <v>46</v>
      </c>
      <c r="O1270" s="18">
        <v>24.3</v>
      </c>
      <c r="P1270" s="18" t="s">
        <v>263</v>
      </c>
      <c r="Q1270" s="16">
        <v>45496.0</v>
      </c>
      <c r="R1270" s="16" t="s">
        <v>38</v>
      </c>
      <c r="S1270" s="13" t="s">
        <v>55</v>
      </c>
      <c r="T1270" s="13" t="s">
        <v>75</v>
      </c>
      <c r="U1270" s="13">
        <f t="shared" si="1"/>
        <v>1</v>
      </c>
      <c r="V1270" s="13" t="str">
        <f t="shared" si="2"/>
        <v>C01373|Arun Das|34|South|Chennai|Basic|Referral|4/9/2024|4|Annual|Debit Card|815|1|0|24.30|2.9|7/23/2024||Active|Security</v>
      </c>
      <c r="W1270" s="13">
        <f t="shared" si="3"/>
        <v>1</v>
      </c>
      <c r="X1270" s="13">
        <f>IFERROR(__xludf.DUMMYFUNCTION("COUNTUNIQUE(FILTER($B$2:$B$1826,$A$2:$A$1826=A1270))"),1.0)</f>
        <v>1</v>
      </c>
    </row>
    <row r="1271">
      <c r="A1271" s="13" t="s">
        <v>1839</v>
      </c>
      <c r="B1271" s="13" t="s">
        <v>257</v>
      </c>
      <c r="C1271" s="14">
        <v>33.0</v>
      </c>
      <c r="D1271" s="13" t="s">
        <v>35</v>
      </c>
      <c r="E1271" s="13" t="s">
        <v>36</v>
      </c>
      <c r="F1271" s="13" t="s">
        <v>37</v>
      </c>
      <c r="G1271" s="13" t="s">
        <v>63</v>
      </c>
      <c r="H1271" s="16">
        <v>45374.0</v>
      </c>
      <c r="I1271" s="14">
        <v>44.0</v>
      </c>
      <c r="J1271" s="13" t="s">
        <v>64</v>
      </c>
      <c r="K1271" s="13" t="s">
        <v>65</v>
      </c>
      <c r="L1271" s="14">
        <v>1106.0</v>
      </c>
      <c r="M1271" s="18" t="s">
        <v>46</v>
      </c>
      <c r="N1271" s="18" t="s">
        <v>98</v>
      </c>
      <c r="O1271" s="18">
        <v>20.8</v>
      </c>
      <c r="P1271" s="18" t="s">
        <v>98</v>
      </c>
      <c r="Q1271" s="16">
        <v>45867.0</v>
      </c>
      <c r="R1271" s="16">
        <v>45387.0</v>
      </c>
      <c r="S1271" s="13" t="s">
        <v>45</v>
      </c>
      <c r="T1271" s="13" t="s">
        <v>104</v>
      </c>
      <c r="U1271" s="13">
        <f t="shared" si="1"/>
        <v>1</v>
      </c>
      <c r="V1271" s="13" t="str">
        <f t="shared" si="2"/>
        <v>C00502|Sneha Reddy|33|North|Delhi|Standard|Google Ads|3/23/2024|44|Annual|Credit Card|1,106|0|1|20.80|1|7/29/2025|4/5/2024|Churned|Analytics</v>
      </c>
      <c r="W1271" s="13">
        <f t="shared" si="3"/>
        <v>1</v>
      </c>
      <c r="X1271" s="13">
        <f>IFERROR(__xludf.DUMMYFUNCTION("COUNTUNIQUE(FILTER($B$2:$B$1826,$A$2:$A$1826=A1271))"),1.0)</f>
        <v>1</v>
      </c>
    </row>
    <row r="1272">
      <c r="A1272" s="13" t="s">
        <v>1330</v>
      </c>
      <c r="B1272" s="13" t="s">
        <v>139</v>
      </c>
      <c r="C1272" s="14">
        <v>33.0</v>
      </c>
      <c r="D1272" s="13" t="s">
        <v>60</v>
      </c>
      <c r="E1272" s="13" t="s">
        <v>97</v>
      </c>
      <c r="F1272" s="13" t="s">
        <v>62</v>
      </c>
      <c r="G1272" s="13" t="s">
        <v>52</v>
      </c>
      <c r="H1272" s="16">
        <v>44708.0</v>
      </c>
      <c r="I1272" s="14">
        <v>15.0</v>
      </c>
      <c r="J1272" s="13" t="s">
        <v>64</v>
      </c>
      <c r="K1272" s="13" t="s">
        <v>81</v>
      </c>
      <c r="L1272" s="14">
        <v>588.0</v>
      </c>
      <c r="M1272" s="18" t="s">
        <v>98</v>
      </c>
      <c r="N1272" s="18" t="s">
        <v>46</v>
      </c>
      <c r="O1272" s="18">
        <v>3.6</v>
      </c>
      <c r="P1272" s="18" t="s">
        <v>408</v>
      </c>
      <c r="Q1272" s="16">
        <v>44747.0</v>
      </c>
      <c r="R1272" s="16" t="s">
        <v>1841</v>
      </c>
      <c r="S1272" s="13" t="s">
        <v>45</v>
      </c>
      <c r="T1272" s="13" t="s">
        <v>75</v>
      </c>
      <c r="U1272" s="13">
        <f t="shared" si="1"/>
        <v>2</v>
      </c>
      <c r="V1272" s="13" t="str">
        <f t="shared" si="2"/>
        <v>C01338|Vikram Das|33|East|Bhubaneswar|Basic|Facebook|5/27/2022|15|Annual|Debit Card|588|1|0|3.60|4.2|7/5/2022|13/03/2023|Churned|Security</v>
      </c>
      <c r="W1272" s="13">
        <f t="shared" si="3"/>
        <v>1</v>
      </c>
      <c r="X1272" s="13">
        <f>IFERROR(__xludf.DUMMYFUNCTION("COUNTUNIQUE(FILTER($B$2:$B$1826,$A$2:$A$1826=A1272))"),2.0)</f>
        <v>2</v>
      </c>
    </row>
    <row r="1273">
      <c r="A1273" s="13" t="s">
        <v>1842</v>
      </c>
      <c r="B1273" s="13" t="s">
        <v>288</v>
      </c>
      <c r="C1273" s="14">
        <v>42.0</v>
      </c>
      <c r="D1273" s="13" t="s">
        <v>60</v>
      </c>
      <c r="E1273" s="13" t="s">
        <v>133</v>
      </c>
      <c r="F1273" s="13" t="s">
        <v>62</v>
      </c>
      <c r="G1273" s="13" t="s">
        <v>52</v>
      </c>
      <c r="H1273" s="16">
        <v>45128.0</v>
      </c>
      <c r="I1273" s="14">
        <v>31.0</v>
      </c>
      <c r="J1273" s="13" t="s">
        <v>40</v>
      </c>
      <c r="K1273" s="13" t="s">
        <v>65</v>
      </c>
      <c r="L1273" s="14">
        <v>662.0</v>
      </c>
      <c r="M1273" s="18" t="s">
        <v>98</v>
      </c>
      <c r="N1273" s="18" t="s">
        <v>43</v>
      </c>
      <c r="O1273" s="18">
        <v>6.8</v>
      </c>
      <c r="P1273" s="18" t="s">
        <v>225</v>
      </c>
      <c r="Q1273" s="16">
        <v>45212.0</v>
      </c>
      <c r="R1273" s="16" t="s">
        <v>38</v>
      </c>
      <c r="S1273" s="13" t="s">
        <v>55</v>
      </c>
      <c r="T1273" s="13" t="s">
        <v>72</v>
      </c>
      <c r="U1273" s="13">
        <f t="shared" si="1"/>
        <v>1</v>
      </c>
      <c r="V1273" s="13" t="str">
        <f t="shared" si="2"/>
        <v>C01346|Rahul Sharma|42|East|Guwahati|Basic|Facebook|7/21/2023|31|Monthly|Credit Card|662|1|2|6.80|3.8|10/13/2023||Active|Collaboration</v>
      </c>
      <c r="W1273" s="13">
        <f t="shared" si="3"/>
        <v>1</v>
      </c>
      <c r="X1273" s="13">
        <f>IFERROR(__xludf.DUMMYFUNCTION("COUNTUNIQUE(FILTER($B$2:$B$1826,$A$2:$A$1826=A1273))"),1.0)</f>
        <v>1</v>
      </c>
    </row>
    <row r="1274">
      <c r="A1274" s="13" t="s">
        <v>1843</v>
      </c>
      <c r="B1274" s="13" t="s">
        <v>448</v>
      </c>
      <c r="C1274" s="14">
        <v>47.0</v>
      </c>
      <c r="D1274" s="13" t="s">
        <v>35</v>
      </c>
      <c r="E1274" s="13" t="s">
        <v>161</v>
      </c>
      <c r="F1274" s="13" t="s">
        <v>62</v>
      </c>
      <c r="G1274" s="13" t="s">
        <v>210</v>
      </c>
      <c r="H1274" s="16">
        <v>44596.0</v>
      </c>
      <c r="I1274" s="14">
        <v>37.0</v>
      </c>
      <c r="J1274" s="13" t="s">
        <v>64</v>
      </c>
      <c r="K1274" s="13" t="s">
        <v>65</v>
      </c>
      <c r="L1274" s="14">
        <v>545.0</v>
      </c>
      <c r="M1274" s="18" t="s">
        <v>43</v>
      </c>
      <c r="N1274" s="18" t="s">
        <v>43</v>
      </c>
      <c r="O1274" s="18">
        <v>11.8</v>
      </c>
      <c r="P1274" s="18" t="s">
        <v>48</v>
      </c>
      <c r="Q1274" s="16">
        <v>45375.0</v>
      </c>
      <c r="R1274" s="16" t="s">
        <v>1845</v>
      </c>
      <c r="S1274" s="13" t="s">
        <v>45</v>
      </c>
      <c r="T1274" s="13" t="s">
        <v>72</v>
      </c>
      <c r="U1274" s="13">
        <f t="shared" si="1"/>
        <v>1</v>
      </c>
      <c r="V1274" s="13" t="str">
        <f t="shared" si="2"/>
        <v>C00148|Meera Reddy|47|North|Chandigarh|Basic|Referral|2/4/2022|37|Annual|Credit Card|545|2|2|11.80|3.6|3/24/2024|13/05/2023|Churned|Collaboration</v>
      </c>
      <c r="W1274" s="13">
        <f t="shared" si="3"/>
        <v>1</v>
      </c>
      <c r="X1274" s="13">
        <f>IFERROR(__xludf.DUMMYFUNCTION("COUNTUNIQUE(FILTER($B$2:$B$1826,$A$2:$A$1826=A1274))"),1.0)</f>
        <v>1</v>
      </c>
    </row>
    <row r="1275">
      <c r="A1275" s="13" t="s">
        <v>434</v>
      </c>
      <c r="B1275" s="13" t="s">
        <v>639</v>
      </c>
      <c r="C1275" s="14">
        <v>25.0</v>
      </c>
      <c r="D1275" s="13" t="s">
        <v>35</v>
      </c>
      <c r="E1275" s="13" t="s">
        <v>140</v>
      </c>
      <c r="F1275" s="13" t="s">
        <v>37</v>
      </c>
      <c r="G1275" s="13" t="s">
        <v>128</v>
      </c>
      <c r="H1275" s="16">
        <v>44842.0</v>
      </c>
      <c r="I1275" s="14">
        <v>2.0</v>
      </c>
      <c r="J1275" s="13" t="s">
        <v>40</v>
      </c>
      <c r="K1275" s="13" t="s">
        <v>81</v>
      </c>
      <c r="L1275" s="14">
        <v>1161.0</v>
      </c>
      <c r="M1275" s="18" t="s">
        <v>99</v>
      </c>
      <c r="N1275" s="18" t="s">
        <v>43</v>
      </c>
      <c r="O1275" s="18">
        <v>13.8</v>
      </c>
      <c r="P1275" s="18" t="s">
        <v>173</v>
      </c>
      <c r="Q1275" s="16">
        <v>44853.0</v>
      </c>
      <c r="R1275" s="16" t="s">
        <v>38</v>
      </c>
      <c r="S1275" s="13" t="s">
        <v>55</v>
      </c>
      <c r="T1275" s="13" t="s">
        <v>104</v>
      </c>
      <c r="U1275" s="13">
        <f t="shared" si="1"/>
        <v>4</v>
      </c>
      <c r="V1275" s="13" t="str">
        <f t="shared" si="2"/>
        <v>C00379|Priya Nair|25|North|Lucknow|Standard|Youtube|10/8/2022|2|Monthly|Debit Card|1,161|4|2|13.80|5|10/19/2022||Active|Analytics</v>
      </c>
      <c r="W1275" s="13">
        <f t="shared" si="3"/>
        <v>1</v>
      </c>
      <c r="X1275" s="13">
        <f>IFERROR(__xludf.DUMMYFUNCTION("COUNTUNIQUE(FILTER($B$2:$B$1826,$A$2:$A$1826=A1275))"),4.0)</f>
        <v>4</v>
      </c>
    </row>
    <row r="1276">
      <c r="A1276" s="13" t="s">
        <v>374</v>
      </c>
      <c r="B1276" s="13" t="s">
        <v>351</v>
      </c>
      <c r="C1276" s="14">
        <v>44.0</v>
      </c>
      <c r="D1276" s="13" t="s">
        <v>60</v>
      </c>
      <c r="E1276" s="13" t="s">
        <v>61</v>
      </c>
      <c r="F1276" s="13" t="s">
        <v>79</v>
      </c>
      <c r="G1276" s="13" t="s">
        <v>80</v>
      </c>
      <c r="H1276" s="16">
        <v>45060.0</v>
      </c>
      <c r="I1276" s="14">
        <v>46.0</v>
      </c>
      <c r="J1276" s="13" t="s">
        <v>40</v>
      </c>
      <c r="K1276" s="13" t="s">
        <v>81</v>
      </c>
      <c r="L1276" s="14">
        <v>2946.0</v>
      </c>
      <c r="M1276" s="18" t="s">
        <v>98</v>
      </c>
      <c r="N1276" s="18" t="s">
        <v>98</v>
      </c>
      <c r="O1276" s="18">
        <v>29.5</v>
      </c>
      <c r="P1276" s="18" t="s">
        <v>296</v>
      </c>
      <c r="Q1276" s="16">
        <v>46159.0</v>
      </c>
      <c r="R1276" s="16" t="s">
        <v>38</v>
      </c>
      <c r="S1276" s="13" t="s">
        <v>55</v>
      </c>
      <c r="T1276" s="13" t="s">
        <v>66</v>
      </c>
      <c r="U1276" s="13">
        <f t="shared" si="1"/>
        <v>3</v>
      </c>
      <c r="V1276" s="13" t="str">
        <f t="shared" si="2"/>
        <v>C00307|Meera Nair|44|East|Kolkata|Premium|Organic Search|5/14/2023|46|Monthly|Debit Card|2,946|1|1|29.50|4.6|5/17/2026||Active|Automation</v>
      </c>
      <c r="W1276" s="13">
        <f t="shared" si="3"/>
        <v>1</v>
      </c>
      <c r="X1276" s="13">
        <f>IFERROR(__xludf.DUMMYFUNCTION("COUNTUNIQUE(FILTER($B$2:$B$1826,$A$2:$A$1826=A1276))"),3.0)</f>
        <v>3</v>
      </c>
    </row>
    <row r="1277">
      <c r="A1277" s="13" t="s">
        <v>695</v>
      </c>
      <c r="B1277" s="13" t="s">
        <v>734</v>
      </c>
      <c r="C1277" s="14">
        <v>62.0</v>
      </c>
      <c r="D1277" s="13" t="s">
        <v>69</v>
      </c>
      <c r="E1277" s="13" t="s">
        <v>70</v>
      </c>
      <c r="F1277" s="13" t="s">
        <v>62</v>
      </c>
      <c r="G1277" s="13" t="s">
        <v>120</v>
      </c>
      <c r="H1277" s="16">
        <v>45552.0</v>
      </c>
      <c r="I1277" s="14">
        <v>15.0</v>
      </c>
      <c r="J1277" s="13" t="s">
        <v>40</v>
      </c>
      <c r="K1277" s="13" t="s">
        <v>65</v>
      </c>
      <c r="L1277" s="14">
        <v>807.0</v>
      </c>
      <c r="M1277" s="18" t="s">
        <v>98</v>
      </c>
      <c r="N1277" s="18" t="s">
        <v>43</v>
      </c>
      <c r="O1277" s="18">
        <v>13.1</v>
      </c>
      <c r="P1277" s="18" t="s">
        <v>456</v>
      </c>
      <c r="Q1277" s="16">
        <v>45629.0</v>
      </c>
      <c r="R1277" s="16" t="s">
        <v>38</v>
      </c>
      <c r="S1277" s="13" t="s">
        <v>55</v>
      </c>
      <c r="T1277" s="13" t="s">
        <v>72</v>
      </c>
      <c r="U1277" s="13">
        <f t="shared" si="1"/>
        <v>6</v>
      </c>
      <c r="V1277" s="13" t="str">
        <f t="shared" si="2"/>
        <v>C00972|Sneha Das|62|South|Bengaluru|Basic|Email|9/17/2024|15|Monthly|Credit Card|807|1|2|13.10|2.5|12/3/2024||Active|Collaboration</v>
      </c>
      <c r="W1277" s="13">
        <f t="shared" si="3"/>
        <v>1</v>
      </c>
      <c r="X1277" s="13">
        <f>IFERROR(__xludf.DUMMYFUNCTION("COUNTUNIQUE(FILTER($B$2:$B$1826,$A$2:$A$1826=A1277))"),6.0)</f>
        <v>6</v>
      </c>
    </row>
    <row r="1278">
      <c r="A1278" s="13" t="s">
        <v>1848</v>
      </c>
      <c r="B1278" s="13" t="s">
        <v>250</v>
      </c>
      <c r="C1278" s="14">
        <v>26.0</v>
      </c>
      <c r="D1278" s="13" t="s">
        <v>85</v>
      </c>
      <c r="E1278" s="13" t="s">
        <v>87</v>
      </c>
      <c r="F1278" s="13" t="s">
        <v>62</v>
      </c>
      <c r="G1278" s="13" t="s">
        <v>128</v>
      </c>
      <c r="H1278" s="16">
        <v>45867.0</v>
      </c>
      <c r="I1278" s="14">
        <v>14.0</v>
      </c>
      <c r="J1278" s="13" t="s">
        <v>64</v>
      </c>
      <c r="K1278" s="13" t="s">
        <v>41</v>
      </c>
      <c r="L1278" s="14">
        <v>849.0</v>
      </c>
      <c r="M1278" s="18" t="s">
        <v>98</v>
      </c>
      <c r="N1278" s="18" t="s">
        <v>46</v>
      </c>
      <c r="O1278" s="18">
        <v>13.7</v>
      </c>
      <c r="P1278" s="18" t="s">
        <v>43</v>
      </c>
      <c r="Q1278" s="16">
        <v>46234.0</v>
      </c>
      <c r="R1278" s="16" t="s">
        <v>1849</v>
      </c>
      <c r="S1278" s="13" t="s">
        <v>529</v>
      </c>
      <c r="T1278" s="13" t="s">
        <v>75</v>
      </c>
      <c r="U1278" s="13">
        <f t="shared" si="1"/>
        <v>1</v>
      </c>
      <c r="V1278" s="13" t="str">
        <f t="shared" si="2"/>
        <v>C01425|Vikram Singh|26|West|Surat|Basic|Youtube|7/29/2025|14|Annual|Upi|849|1|0|13.70|2|7/31/2026|17/08/2026|No|Security</v>
      </c>
      <c r="W1278" s="13">
        <f t="shared" si="3"/>
        <v>1</v>
      </c>
      <c r="X1278" s="13">
        <f>IFERROR(__xludf.DUMMYFUNCTION("COUNTUNIQUE(FILTER($B$2:$B$1826,$A$2:$A$1826=A1278))"),1.0)</f>
        <v>1</v>
      </c>
    </row>
    <row r="1279">
      <c r="A1279" s="13" t="s">
        <v>1850</v>
      </c>
      <c r="B1279" s="13" t="s">
        <v>96</v>
      </c>
      <c r="C1279" s="14">
        <v>29.0</v>
      </c>
      <c r="D1279" s="13" t="s">
        <v>69</v>
      </c>
      <c r="E1279" s="13" t="s">
        <v>97</v>
      </c>
      <c r="F1279" s="13" t="s">
        <v>62</v>
      </c>
      <c r="G1279" s="13" t="s">
        <v>80</v>
      </c>
      <c r="H1279" s="16">
        <v>45938.0</v>
      </c>
      <c r="I1279" s="14">
        <v>47.0</v>
      </c>
      <c r="J1279" s="13" t="s">
        <v>40</v>
      </c>
      <c r="K1279" s="13" t="s">
        <v>81</v>
      </c>
      <c r="L1279" s="14">
        <v>825.0</v>
      </c>
      <c r="M1279" s="18" t="s">
        <v>164</v>
      </c>
      <c r="N1279" s="18" t="s">
        <v>98</v>
      </c>
      <c r="O1279" s="18">
        <v>14.6</v>
      </c>
      <c r="P1279" s="18" t="s">
        <v>275</v>
      </c>
      <c r="Q1279" s="16">
        <v>46425.0</v>
      </c>
      <c r="R1279" s="16" t="s">
        <v>1393</v>
      </c>
      <c r="S1279" s="13" t="s">
        <v>45</v>
      </c>
      <c r="T1279" s="13" t="s">
        <v>104</v>
      </c>
      <c r="U1279" s="13">
        <f t="shared" si="1"/>
        <v>1</v>
      </c>
      <c r="V1279" s="13" t="str">
        <f t="shared" si="2"/>
        <v>C00674|Rahul Kumar|29|South|Bhubaneswar|Basic|Organic Search|10/8/2025|47|Monthly|Debit Card|825|3|1|14.60|4.3|2/7/2027|20/07/2026|Churned|Analytics</v>
      </c>
      <c r="W1279" s="13">
        <f t="shared" si="3"/>
        <v>1</v>
      </c>
      <c r="X1279" s="13">
        <f>IFERROR(__xludf.DUMMYFUNCTION("COUNTUNIQUE(FILTER($B$2:$B$1826,$A$2:$A$1826=A1279))"),1.0)</f>
        <v>1</v>
      </c>
    </row>
    <row r="1280">
      <c r="A1280" s="13" t="s">
        <v>1008</v>
      </c>
      <c r="B1280" s="13" t="s">
        <v>132</v>
      </c>
      <c r="C1280" s="14">
        <v>27.0</v>
      </c>
      <c r="D1280" s="13" t="s">
        <v>35</v>
      </c>
      <c r="E1280" s="13" t="s">
        <v>161</v>
      </c>
      <c r="F1280" s="13" t="s">
        <v>37</v>
      </c>
      <c r="G1280" s="13" t="s">
        <v>120</v>
      </c>
      <c r="H1280" s="16">
        <v>45119.0</v>
      </c>
      <c r="I1280" s="14">
        <v>19.0</v>
      </c>
      <c r="J1280" s="13" t="s">
        <v>53</v>
      </c>
      <c r="K1280" s="13" t="s">
        <v>81</v>
      </c>
      <c r="L1280" s="14">
        <v>1289.0</v>
      </c>
      <c r="M1280" s="18" t="s">
        <v>173</v>
      </c>
      <c r="N1280" s="18" t="s">
        <v>98</v>
      </c>
      <c r="O1280" s="18">
        <v>27.2</v>
      </c>
      <c r="P1280" s="18" t="s">
        <v>173</v>
      </c>
      <c r="Q1280" s="16">
        <v>45136.0</v>
      </c>
      <c r="R1280" s="16" t="s">
        <v>38</v>
      </c>
      <c r="S1280" s="13" t="s">
        <v>55</v>
      </c>
      <c r="T1280" s="13" t="s">
        <v>75</v>
      </c>
      <c r="U1280" s="13">
        <f t="shared" si="1"/>
        <v>3</v>
      </c>
      <c r="V1280" s="13" t="str">
        <f t="shared" si="2"/>
        <v>C00721|Arun Kumar|27|North|Chandigarh|Standard|Email|7/12/2023|19|Quarterly|Debit Card|1,289|5|1|27.20|5|7/29/2023||Active|Security</v>
      </c>
      <c r="W1280" s="13">
        <f t="shared" si="3"/>
        <v>1</v>
      </c>
      <c r="X1280" s="13">
        <f>IFERROR(__xludf.DUMMYFUNCTION("COUNTUNIQUE(FILTER($B$2:$B$1826,$A$2:$A$1826=A1280))"),3.0)</f>
        <v>3</v>
      </c>
    </row>
    <row r="1281">
      <c r="A1281" s="13" t="s">
        <v>1851</v>
      </c>
      <c r="B1281" s="13" t="s">
        <v>398</v>
      </c>
      <c r="C1281" s="14">
        <v>45.0</v>
      </c>
      <c r="D1281" s="13" t="s">
        <v>60</v>
      </c>
      <c r="E1281" s="13" t="s">
        <v>107</v>
      </c>
      <c r="F1281" s="13" t="s">
        <v>37</v>
      </c>
      <c r="G1281" s="13" t="s">
        <v>128</v>
      </c>
      <c r="H1281" s="16">
        <v>45453.0</v>
      </c>
      <c r="I1281" s="14">
        <v>32.0</v>
      </c>
      <c r="J1281" s="13" t="s">
        <v>40</v>
      </c>
      <c r="K1281" s="13" t="s">
        <v>65</v>
      </c>
      <c r="L1281" s="14">
        <v>1457.0</v>
      </c>
      <c r="M1281" s="18" t="s">
        <v>173</v>
      </c>
      <c r="N1281" s="18" t="s">
        <v>46</v>
      </c>
      <c r="O1281" s="18">
        <v>26.2</v>
      </c>
      <c r="P1281" s="18" t="s">
        <v>99</v>
      </c>
      <c r="Q1281" s="16">
        <v>45923.0</v>
      </c>
      <c r="R1281" s="16" t="s">
        <v>38</v>
      </c>
      <c r="S1281" s="13" t="s">
        <v>55</v>
      </c>
      <c r="T1281" s="13" t="s">
        <v>72</v>
      </c>
      <c r="U1281" s="13">
        <f t="shared" si="1"/>
        <v>1</v>
      </c>
      <c r="V1281" s="13" t="str">
        <f t="shared" si="2"/>
        <v>C00811|Vikram Sharma|45|East|Patna|Standard|Youtube|6/10/2024|32|Monthly|Credit Card|1,457|5|0|26.20|4|9/23/2025||Active|Collaboration</v>
      </c>
      <c r="W1281" s="13">
        <f t="shared" si="3"/>
        <v>1</v>
      </c>
      <c r="X1281" s="13">
        <f>IFERROR(__xludf.DUMMYFUNCTION("COUNTUNIQUE(FILTER($B$2:$B$1826,$A$2:$A$1826=A1281))"),1.0)</f>
        <v>1</v>
      </c>
    </row>
    <row r="1282">
      <c r="A1282" s="13" t="s">
        <v>1852</v>
      </c>
      <c r="B1282" s="13" t="s">
        <v>424</v>
      </c>
      <c r="C1282" s="14">
        <v>56.0</v>
      </c>
      <c r="D1282" s="13" t="s">
        <v>35</v>
      </c>
      <c r="E1282" s="13" t="s">
        <v>161</v>
      </c>
      <c r="F1282" s="13" t="s">
        <v>79</v>
      </c>
      <c r="G1282" s="13" t="s">
        <v>63</v>
      </c>
      <c r="H1282" s="16">
        <v>44609.0</v>
      </c>
      <c r="I1282" s="14">
        <v>27.0</v>
      </c>
      <c r="J1282" s="13" t="s">
        <v>64</v>
      </c>
      <c r="K1282" s="13" t="s">
        <v>65</v>
      </c>
      <c r="L1282" s="14">
        <v>2450.0</v>
      </c>
      <c r="M1282" s="18" t="s">
        <v>164</v>
      </c>
      <c r="N1282" s="18" t="s">
        <v>46</v>
      </c>
      <c r="O1282" s="18">
        <v>44.6</v>
      </c>
      <c r="P1282" s="18" t="s">
        <v>285</v>
      </c>
      <c r="Q1282" s="16">
        <v>45100.0</v>
      </c>
      <c r="R1282" s="16" t="s">
        <v>38</v>
      </c>
      <c r="S1282" s="13" t="s">
        <v>55</v>
      </c>
      <c r="T1282" s="13" t="s">
        <v>72</v>
      </c>
      <c r="U1282" s="13">
        <f t="shared" si="1"/>
        <v>1</v>
      </c>
      <c r="V1282" s="13" t="str">
        <f t="shared" si="2"/>
        <v>C00874|Neha Kumar|56|North|Chandigarh|Premium|Google Ads|2/17/2022|27|Annual|Credit Card|2,450|3|0|44.60|2.3|6/23/2023||Active|Collaboration</v>
      </c>
      <c r="W1282" s="13">
        <f t="shared" si="3"/>
        <v>1</v>
      </c>
      <c r="X1282" s="13">
        <f>IFERROR(__xludf.DUMMYFUNCTION("COUNTUNIQUE(FILTER($B$2:$B$1826,$A$2:$A$1826=A1282))"),1.0)</f>
        <v>1</v>
      </c>
    </row>
    <row r="1283">
      <c r="A1283" s="13" t="s">
        <v>1733</v>
      </c>
      <c r="B1283" s="13" t="s">
        <v>801</v>
      </c>
      <c r="C1283" s="14">
        <v>39.0</v>
      </c>
      <c r="D1283" s="13" t="s">
        <v>85</v>
      </c>
      <c r="E1283" s="13" t="s">
        <v>111</v>
      </c>
      <c r="F1283" s="13" t="s">
        <v>79</v>
      </c>
      <c r="G1283" s="13" t="s">
        <v>120</v>
      </c>
      <c r="H1283" s="16">
        <v>44723.0</v>
      </c>
      <c r="I1283" s="14">
        <v>8.0</v>
      </c>
      <c r="J1283" s="13" t="s">
        <v>40</v>
      </c>
      <c r="K1283" s="13" t="s">
        <v>41</v>
      </c>
      <c r="L1283" s="14">
        <v>2732.0</v>
      </c>
      <c r="M1283" s="18" t="s">
        <v>98</v>
      </c>
      <c r="N1283" s="18" t="s">
        <v>46</v>
      </c>
      <c r="O1283" s="18">
        <v>35.9</v>
      </c>
      <c r="P1283" s="18" t="s">
        <v>164</v>
      </c>
      <c r="Q1283" s="16">
        <v>44768.0</v>
      </c>
      <c r="R1283" s="16">
        <v>44632.0</v>
      </c>
      <c r="S1283" s="13" t="s">
        <v>45</v>
      </c>
      <c r="T1283" s="13" t="s">
        <v>72</v>
      </c>
      <c r="U1283" s="13">
        <f t="shared" si="1"/>
        <v>2</v>
      </c>
      <c r="V1283" s="13" t="str">
        <f t="shared" si="2"/>
        <v>C01158|Karan Singh|39|West|Pune|Premium|Email|6/11/2022|8|Monthly|Upi|2,732|1|0|35.90|3|7/26/2022|3/12/2022|Churned|Collaboration</v>
      </c>
      <c r="W1283" s="13">
        <f t="shared" si="3"/>
        <v>1</v>
      </c>
      <c r="X1283" s="13">
        <f>IFERROR(__xludf.DUMMYFUNCTION("COUNTUNIQUE(FILTER($B$2:$B$1826,$A$2:$A$1826=A1283))"),2.0)</f>
        <v>2</v>
      </c>
    </row>
    <row r="1284">
      <c r="A1284" s="13" t="s">
        <v>1609</v>
      </c>
      <c r="B1284" s="13" t="s">
        <v>222</v>
      </c>
      <c r="C1284" s="14">
        <v>34.0</v>
      </c>
      <c r="D1284" s="13" t="s">
        <v>85</v>
      </c>
      <c r="E1284" s="13" t="s">
        <v>292</v>
      </c>
      <c r="F1284" s="13" t="s">
        <v>62</v>
      </c>
      <c r="G1284" s="13" t="s">
        <v>210</v>
      </c>
      <c r="H1284" s="16">
        <v>44787.0</v>
      </c>
      <c r="I1284" s="14">
        <v>11.0</v>
      </c>
      <c r="J1284" s="13" t="s">
        <v>40</v>
      </c>
      <c r="K1284" s="13" t="s">
        <v>65</v>
      </c>
      <c r="L1284" s="14">
        <v>735.0</v>
      </c>
      <c r="M1284" s="18" t="s">
        <v>43</v>
      </c>
      <c r="N1284" s="18" t="s">
        <v>98</v>
      </c>
      <c r="O1284" s="18">
        <v>21.9</v>
      </c>
      <c r="P1284" s="18" t="s">
        <v>449</v>
      </c>
      <c r="Q1284" s="16">
        <v>44902.0</v>
      </c>
      <c r="R1284" s="16" t="s">
        <v>38</v>
      </c>
      <c r="S1284" s="13" t="s">
        <v>55</v>
      </c>
      <c r="T1284" s="13" t="s">
        <v>66</v>
      </c>
      <c r="U1284" s="13">
        <f t="shared" si="1"/>
        <v>3</v>
      </c>
      <c r="V1284" s="13" t="str">
        <f t="shared" si="2"/>
        <v>C01216|Karan Iyer|34|West|Mumbai|Basic|Referral|8/14/2022|11|Monthly|Credit Card|735|2|1|21.90|2.7|12/7/2022||Active|Automation</v>
      </c>
      <c r="W1284" s="13">
        <f t="shared" si="3"/>
        <v>1</v>
      </c>
      <c r="X1284" s="13">
        <f>IFERROR(__xludf.DUMMYFUNCTION("COUNTUNIQUE(FILTER($B$2:$B$1826,$A$2:$A$1826=A1284))"),3.0)</f>
        <v>3</v>
      </c>
    </row>
    <row r="1285">
      <c r="A1285" s="13" t="s">
        <v>1297</v>
      </c>
      <c r="B1285" s="13" t="s">
        <v>250</v>
      </c>
      <c r="C1285" s="14">
        <v>38.0</v>
      </c>
      <c r="D1285" s="13" t="s">
        <v>60</v>
      </c>
      <c r="E1285" s="13" t="s">
        <v>38</v>
      </c>
      <c r="F1285" s="13" t="s">
        <v>62</v>
      </c>
      <c r="G1285" s="13" t="s">
        <v>210</v>
      </c>
      <c r="H1285" s="16">
        <v>45409.0</v>
      </c>
      <c r="I1285" s="14">
        <v>43.0</v>
      </c>
      <c r="J1285" s="13" t="s">
        <v>64</v>
      </c>
      <c r="K1285" s="13" t="s">
        <v>65</v>
      </c>
      <c r="L1285" s="14">
        <v>651.0</v>
      </c>
      <c r="M1285" s="18" t="s">
        <v>164</v>
      </c>
      <c r="N1285" s="18" t="s">
        <v>46</v>
      </c>
      <c r="O1285" s="18">
        <v>31.8</v>
      </c>
      <c r="P1285" s="18" t="s">
        <v>225</v>
      </c>
      <c r="Q1285" s="16">
        <v>45955.0</v>
      </c>
      <c r="R1285" s="16" t="s">
        <v>38</v>
      </c>
      <c r="S1285" s="13" t="s">
        <v>55</v>
      </c>
      <c r="T1285" s="13" t="s">
        <v>104</v>
      </c>
      <c r="U1285" s="13">
        <f t="shared" si="1"/>
        <v>2</v>
      </c>
      <c r="V1285" s="13" t="str">
        <f t="shared" si="2"/>
        <v>C00594|Vikram Singh|38|East||Basic|Referral|4/27/2024|43|Annual|Credit Card|651|3|0|31.80|3.8|10/25/2025||Active|Analytics</v>
      </c>
      <c r="W1285" s="13">
        <f t="shared" si="3"/>
        <v>1</v>
      </c>
      <c r="X1285" s="13">
        <f>IFERROR(__xludf.DUMMYFUNCTION("COUNTUNIQUE(FILTER($B$2:$B$1826,$A$2:$A$1826=A1285))"),2.0)</f>
        <v>2</v>
      </c>
    </row>
    <row r="1286">
      <c r="A1286" s="13" t="s">
        <v>1854</v>
      </c>
      <c r="B1286" s="13" t="s">
        <v>169</v>
      </c>
      <c r="C1286" s="14">
        <v>37.0</v>
      </c>
      <c r="D1286" s="13" t="s">
        <v>35</v>
      </c>
      <c r="E1286" s="13" t="s">
        <v>140</v>
      </c>
      <c r="F1286" s="13" t="s">
        <v>37</v>
      </c>
      <c r="G1286" s="13" t="s">
        <v>80</v>
      </c>
      <c r="H1286" s="16">
        <v>45768.0</v>
      </c>
      <c r="I1286" s="14">
        <v>16.0</v>
      </c>
      <c r="J1286" s="13" t="s">
        <v>40</v>
      </c>
      <c r="K1286" s="13" t="s">
        <v>81</v>
      </c>
      <c r="L1286" s="14">
        <v>1721.0</v>
      </c>
      <c r="M1286" s="18" t="s">
        <v>98</v>
      </c>
      <c r="N1286" s="18" t="s">
        <v>98</v>
      </c>
      <c r="O1286" s="18">
        <v>15.7</v>
      </c>
      <c r="P1286" s="18" t="s">
        <v>76</v>
      </c>
      <c r="Q1286" s="16">
        <v>46217.0</v>
      </c>
      <c r="R1286" s="16" t="s">
        <v>1855</v>
      </c>
      <c r="S1286" s="13" t="s">
        <v>45</v>
      </c>
      <c r="T1286" s="13" t="s">
        <v>72</v>
      </c>
      <c r="U1286" s="13">
        <f t="shared" si="1"/>
        <v>1</v>
      </c>
      <c r="V1286" s="13" t="str">
        <f t="shared" si="2"/>
        <v>C00626|Vikram Nair|37|North|Lucknow|Standard|Organic Search|4/21/2025|16|Monthly|Debit Card|1,721|1|1|15.70|4.4|7/14/2026|30/09/2025|Churned|Collaboration</v>
      </c>
      <c r="W1286" s="13">
        <f t="shared" si="3"/>
        <v>1</v>
      </c>
      <c r="X1286" s="13">
        <f>IFERROR(__xludf.DUMMYFUNCTION("COUNTUNIQUE(FILTER($B$2:$B$1826,$A$2:$A$1826=A1286))"),1.0)</f>
        <v>1</v>
      </c>
    </row>
    <row r="1287">
      <c r="A1287" s="13" t="s">
        <v>1368</v>
      </c>
      <c r="B1287" s="13" t="s">
        <v>633</v>
      </c>
      <c r="C1287" s="14">
        <v>27.0</v>
      </c>
      <c r="D1287" s="13" t="s">
        <v>60</v>
      </c>
      <c r="E1287" s="13" t="s">
        <v>61</v>
      </c>
      <c r="F1287" s="13" t="s">
        <v>37</v>
      </c>
      <c r="G1287" s="13" t="s">
        <v>52</v>
      </c>
      <c r="H1287" s="16">
        <v>45908.0</v>
      </c>
      <c r="I1287" s="14">
        <v>45.0</v>
      </c>
      <c r="J1287" s="13" t="s">
        <v>64</v>
      </c>
      <c r="K1287" s="13" t="s">
        <v>81</v>
      </c>
      <c r="L1287" s="14">
        <v>1228.0</v>
      </c>
      <c r="M1287" s="18" t="s">
        <v>98</v>
      </c>
      <c r="N1287" s="18" t="s">
        <v>43</v>
      </c>
      <c r="O1287" s="18">
        <v>35.4</v>
      </c>
      <c r="P1287" s="18" t="s">
        <v>173</v>
      </c>
      <c r="Q1287" s="16">
        <v>47133.0</v>
      </c>
      <c r="R1287" s="16" t="s">
        <v>38</v>
      </c>
      <c r="S1287" s="13" t="s">
        <v>55</v>
      </c>
      <c r="T1287" s="13" t="s">
        <v>75</v>
      </c>
      <c r="U1287" s="13">
        <f t="shared" si="1"/>
        <v>3</v>
      </c>
      <c r="V1287" s="13" t="str">
        <f t="shared" si="2"/>
        <v>C00840|Anita Das|27|East|Kolkata|Standard|Facebook|9/8/2025|45|Annual|Debit Card|1,228|1|2|35.40|5|1/15/2029||Active|Security</v>
      </c>
      <c r="W1287" s="13">
        <f t="shared" si="3"/>
        <v>1</v>
      </c>
      <c r="X1287" s="13">
        <f>IFERROR(__xludf.DUMMYFUNCTION("COUNTUNIQUE(FILTER($B$2:$B$1826,$A$2:$A$1826=A1287))"),3.0)</f>
        <v>3</v>
      </c>
    </row>
    <row r="1288">
      <c r="A1288" s="13" t="s">
        <v>1856</v>
      </c>
      <c r="B1288" s="13" t="s">
        <v>288</v>
      </c>
      <c r="C1288" s="14">
        <v>49.0</v>
      </c>
      <c r="D1288" s="13" t="s">
        <v>69</v>
      </c>
      <c r="E1288" s="13" t="s">
        <v>177</v>
      </c>
      <c r="F1288" s="13" t="s">
        <v>62</v>
      </c>
      <c r="G1288" s="13" t="s">
        <v>39</v>
      </c>
      <c r="H1288" s="16">
        <v>44774.0</v>
      </c>
      <c r="I1288" s="14">
        <v>1.0</v>
      </c>
      <c r="J1288" s="13" t="s">
        <v>40</v>
      </c>
      <c r="K1288" s="13" t="s">
        <v>65</v>
      </c>
      <c r="L1288" s="14">
        <v>888.0</v>
      </c>
      <c r="M1288" s="18" t="s">
        <v>43</v>
      </c>
      <c r="N1288" s="18" t="s">
        <v>43</v>
      </c>
      <c r="O1288" s="18">
        <v>25.9</v>
      </c>
      <c r="P1288" s="18" t="s">
        <v>285</v>
      </c>
      <c r="Q1288" s="16">
        <v>44792.0</v>
      </c>
      <c r="R1288" s="16">
        <v>44570.0</v>
      </c>
      <c r="S1288" s="13" t="s">
        <v>45</v>
      </c>
      <c r="T1288" s="13" t="s">
        <v>72</v>
      </c>
      <c r="U1288" s="13">
        <f t="shared" si="1"/>
        <v>1</v>
      </c>
      <c r="V1288" s="13" t="str">
        <f t="shared" si="2"/>
        <v>C01482|Rahul Sharma|49|South|Hyderabad|Basic|Instagram|8/1/2022|1|Monthly|Credit Card|888|2|2|25.90|2.3|8/19/2022|1/9/2022|Churned|Collaboration</v>
      </c>
      <c r="W1288" s="13">
        <f t="shared" si="3"/>
        <v>1</v>
      </c>
      <c r="X1288" s="13">
        <f>IFERROR(__xludf.DUMMYFUNCTION("COUNTUNIQUE(FILTER($B$2:$B$1826,$A$2:$A$1826=A1288))"),1.0)</f>
        <v>1</v>
      </c>
    </row>
    <row r="1289">
      <c r="A1289" s="13" t="s">
        <v>1371</v>
      </c>
      <c r="B1289" s="13" t="s">
        <v>470</v>
      </c>
      <c r="C1289" s="14">
        <v>19.0</v>
      </c>
      <c r="D1289" s="13" t="s">
        <v>60</v>
      </c>
      <c r="E1289" s="13" t="s">
        <v>97</v>
      </c>
      <c r="F1289" s="13" t="s">
        <v>62</v>
      </c>
      <c r="G1289" s="13" t="s">
        <v>52</v>
      </c>
      <c r="H1289" s="16">
        <v>45407.0</v>
      </c>
      <c r="I1289" s="14">
        <v>24.0</v>
      </c>
      <c r="J1289" s="13" t="s">
        <v>40</v>
      </c>
      <c r="K1289" s="13" t="s">
        <v>65</v>
      </c>
      <c r="L1289" s="14">
        <v>798.0</v>
      </c>
      <c r="M1289" s="18" t="s">
        <v>43</v>
      </c>
      <c r="N1289" s="18" t="s">
        <v>98</v>
      </c>
      <c r="O1289" s="18">
        <v>26.1</v>
      </c>
      <c r="P1289" s="18" t="s">
        <v>89</v>
      </c>
      <c r="Q1289" s="16">
        <v>45545.0</v>
      </c>
      <c r="R1289" s="16" t="s">
        <v>38</v>
      </c>
      <c r="S1289" s="13" t="s">
        <v>55</v>
      </c>
      <c r="T1289" s="13" t="s">
        <v>72</v>
      </c>
      <c r="U1289" s="13">
        <f t="shared" si="1"/>
        <v>2</v>
      </c>
      <c r="V1289" s="13" t="str">
        <f t="shared" si="2"/>
        <v>C00618|Arun Singh|19|East|Bhubaneswar|Basic|Facebook|4/25/2024|24|Monthly|Credit Card|798|2|1|26.10|3.3|9/10/2024||Active|Collaboration</v>
      </c>
      <c r="W1289" s="13">
        <f t="shared" si="3"/>
        <v>1</v>
      </c>
      <c r="X1289" s="13">
        <f>IFERROR(__xludf.DUMMYFUNCTION("COUNTUNIQUE(FILTER($B$2:$B$1826,$A$2:$A$1826=A1289))"),2.0)</f>
        <v>2</v>
      </c>
    </row>
    <row r="1290">
      <c r="A1290" s="13" t="s">
        <v>1827</v>
      </c>
      <c r="B1290" s="13" t="s">
        <v>405</v>
      </c>
      <c r="C1290" s="14">
        <v>25.0</v>
      </c>
      <c r="D1290" s="13" t="s">
        <v>85</v>
      </c>
      <c r="E1290" s="13" t="s">
        <v>92</v>
      </c>
      <c r="F1290" s="13" t="s">
        <v>62</v>
      </c>
      <c r="G1290" s="13" t="s">
        <v>63</v>
      </c>
      <c r="H1290" s="16">
        <v>44865.0</v>
      </c>
      <c r="I1290" s="14">
        <v>47.0</v>
      </c>
      <c r="J1290" s="13" t="s">
        <v>40</v>
      </c>
      <c r="K1290" s="13" t="s">
        <v>41</v>
      </c>
      <c r="L1290" s="14">
        <v>789.0</v>
      </c>
      <c r="M1290" s="18" t="s">
        <v>98</v>
      </c>
      <c r="N1290" s="18" t="s">
        <v>98</v>
      </c>
      <c r="O1290" s="18">
        <v>8.0</v>
      </c>
      <c r="P1290" s="18" t="s">
        <v>99</v>
      </c>
      <c r="Q1290" s="16">
        <v>44931.0</v>
      </c>
      <c r="R1290" s="16" t="s">
        <v>38</v>
      </c>
      <c r="S1290" s="13" t="s">
        <v>55</v>
      </c>
      <c r="T1290" s="13" t="s">
        <v>47</v>
      </c>
      <c r="U1290" s="13">
        <f t="shared" si="1"/>
        <v>2</v>
      </c>
      <c r="V1290" s="13" t="str">
        <f t="shared" si="2"/>
        <v>C01161|Rahul Reddy|25|West|Ahmedabad|Basic|Google Ads|10/31/2022|47|Monthly|Upi|789|1|1|8.00|4|1/5/2023||Active|Cloud Storage</v>
      </c>
      <c r="W1290" s="13">
        <f t="shared" si="3"/>
        <v>1</v>
      </c>
      <c r="X1290" s="13">
        <f>IFERROR(__xludf.DUMMYFUNCTION("COUNTUNIQUE(FILTER($B$2:$B$1826,$A$2:$A$1826=A1290))"),2.0)</f>
        <v>2</v>
      </c>
    </row>
    <row r="1291">
      <c r="A1291" s="13" t="s">
        <v>1858</v>
      </c>
      <c r="B1291" s="13" t="s">
        <v>364</v>
      </c>
      <c r="C1291" s="14">
        <v>54.0</v>
      </c>
      <c r="D1291" s="13" t="s">
        <v>85</v>
      </c>
      <c r="E1291" s="13" t="s">
        <v>92</v>
      </c>
      <c r="F1291" s="13" t="s">
        <v>79</v>
      </c>
      <c r="G1291" s="13" t="s">
        <v>128</v>
      </c>
      <c r="H1291" s="16">
        <v>45291.0</v>
      </c>
      <c r="I1291" s="14">
        <v>34.0</v>
      </c>
      <c r="J1291" s="13" t="s">
        <v>53</v>
      </c>
      <c r="K1291" s="13" t="s">
        <v>41</v>
      </c>
      <c r="L1291" s="14">
        <v>2676.0</v>
      </c>
      <c r="M1291" s="18" t="s">
        <v>98</v>
      </c>
      <c r="N1291" s="18" t="s">
        <v>164</v>
      </c>
      <c r="O1291" s="18">
        <v>37.7</v>
      </c>
      <c r="P1291" s="18" t="s">
        <v>185</v>
      </c>
      <c r="Q1291" s="16">
        <v>45991.0</v>
      </c>
      <c r="R1291" s="16" t="s">
        <v>38</v>
      </c>
      <c r="S1291" s="13" t="s">
        <v>55</v>
      </c>
      <c r="T1291" s="13" t="s">
        <v>66</v>
      </c>
      <c r="U1291" s="13">
        <f t="shared" si="1"/>
        <v>1</v>
      </c>
      <c r="V1291" s="13" t="str">
        <f t="shared" si="2"/>
        <v>C01503|Sneha Kumar|54|West|Ahmedabad|Premium|Youtube|12/31/2023|34|Quarterly|Upi|2,676|1|3|37.70|3.2|11/30/2025||Active|Automation</v>
      </c>
      <c r="W1291" s="13">
        <f t="shared" si="3"/>
        <v>1</v>
      </c>
      <c r="X1291" s="13">
        <f>IFERROR(__xludf.DUMMYFUNCTION("COUNTUNIQUE(FILTER($B$2:$B$1826,$A$2:$A$1826=A1291))"),1.0)</f>
        <v>1</v>
      </c>
    </row>
    <row r="1292">
      <c r="A1292" s="13" t="s">
        <v>1859</v>
      </c>
      <c r="B1292" s="13" t="s">
        <v>215</v>
      </c>
      <c r="C1292" s="14">
        <v>23.0</v>
      </c>
      <c r="D1292" s="13" t="s">
        <v>69</v>
      </c>
      <c r="E1292" s="13" t="s">
        <v>70</v>
      </c>
      <c r="F1292" s="13" t="s">
        <v>62</v>
      </c>
      <c r="G1292" s="13" t="s">
        <v>210</v>
      </c>
      <c r="H1292" s="16">
        <v>45693.0</v>
      </c>
      <c r="I1292" s="14">
        <v>20.0</v>
      </c>
      <c r="J1292" s="13" t="s">
        <v>40</v>
      </c>
      <c r="K1292" s="13" t="s">
        <v>81</v>
      </c>
      <c r="L1292" s="14">
        <v>855.0</v>
      </c>
      <c r="M1292" s="18" t="s">
        <v>43</v>
      </c>
      <c r="N1292" s="18" t="s">
        <v>43</v>
      </c>
      <c r="O1292" s="18">
        <v>33.4</v>
      </c>
      <c r="P1292" s="18" t="s">
        <v>203</v>
      </c>
      <c r="Q1292" s="16">
        <v>46100.0</v>
      </c>
      <c r="R1292" s="16" t="s">
        <v>38</v>
      </c>
      <c r="S1292" s="13" t="s">
        <v>55</v>
      </c>
      <c r="T1292" s="13" t="s">
        <v>66</v>
      </c>
      <c r="U1292" s="13">
        <f t="shared" si="1"/>
        <v>1</v>
      </c>
      <c r="V1292" s="13" t="str">
        <f t="shared" si="2"/>
        <v>C01249|Neha Sharma|23|South|Bengaluru|Basic|Referral|2/5/2025|20|Monthly|Debit Card|855|2|2|33.40|3.7|3/19/2026||Active|Automation</v>
      </c>
      <c r="W1292" s="13">
        <f t="shared" si="3"/>
        <v>1</v>
      </c>
      <c r="X1292" s="13">
        <f>IFERROR(__xludf.DUMMYFUNCTION("COUNTUNIQUE(FILTER($B$2:$B$1826,$A$2:$A$1826=A1292))"),1.0)</f>
        <v>1</v>
      </c>
    </row>
    <row r="1293">
      <c r="A1293" s="13" t="s">
        <v>1785</v>
      </c>
      <c r="B1293" s="13" t="s">
        <v>362</v>
      </c>
      <c r="C1293" s="14">
        <v>38.0</v>
      </c>
      <c r="D1293" s="13" t="s">
        <v>35</v>
      </c>
      <c r="E1293" s="13" t="s">
        <v>38</v>
      </c>
      <c r="F1293" s="13" t="s">
        <v>62</v>
      </c>
      <c r="G1293" s="13" t="s">
        <v>39</v>
      </c>
      <c r="H1293" s="16">
        <v>44952.0</v>
      </c>
      <c r="I1293" s="14">
        <v>27.0</v>
      </c>
      <c r="J1293" s="13" t="s">
        <v>53</v>
      </c>
      <c r="K1293" s="13" t="s">
        <v>65</v>
      </c>
      <c r="L1293" s="14">
        <v>842.0</v>
      </c>
      <c r="M1293" s="18" t="s">
        <v>99</v>
      </c>
      <c r="N1293" s="18" t="s">
        <v>46</v>
      </c>
      <c r="O1293" s="18">
        <v>27.2</v>
      </c>
      <c r="P1293" s="18" t="s">
        <v>285</v>
      </c>
      <c r="Q1293" s="16">
        <v>44996.0</v>
      </c>
      <c r="R1293" s="16" t="s">
        <v>38</v>
      </c>
      <c r="S1293" s="13" t="s">
        <v>55</v>
      </c>
      <c r="T1293" s="13" t="s">
        <v>47</v>
      </c>
      <c r="U1293" s="13">
        <f t="shared" si="1"/>
        <v>2</v>
      </c>
      <c r="V1293" s="13" t="str">
        <f t="shared" si="2"/>
        <v>C00760|Neha Singh|38|North||Basic|Instagram|1/26/2023|27|Quarterly|Credit Card|842|4|0|27.20|2.3|3/11/2023||Active|Cloud Storage</v>
      </c>
      <c r="W1293" s="13">
        <f t="shared" si="3"/>
        <v>1</v>
      </c>
      <c r="X1293" s="13">
        <f>IFERROR(__xludf.DUMMYFUNCTION("COUNTUNIQUE(FILTER($B$2:$B$1826,$A$2:$A$1826=A1293))"),2.0)</f>
        <v>2</v>
      </c>
    </row>
    <row r="1294">
      <c r="A1294" s="13" t="s">
        <v>109</v>
      </c>
      <c r="B1294" s="13" t="s">
        <v>308</v>
      </c>
      <c r="C1294" s="14">
        <v>21.0</v>
      </c>
      <c r="D1294" s="13" t="s">
        <v>85</v>
      </c>
      <c r="E1294" s="13" t="s">
        <v>111</v>
      </c>
      <c r="F1294" s="13" t="s">
        <v>37</v>
      </c>
      <c r="G1294" s="13" t="s">
        <v>63</v>
      </c>
      <c r="H1294" s="16">
        <v>45178.0</v>
      </c>
      <c r="I1294" s="14">
        <v>15.0</v>
      </c>
      <c r="J1294" s="13" t="s">
        <v>64</v>
      </c>
      <c r="K1294" s="13" t="s">
        <v>81</v>
      </c>
      <c r="L1294" s="14">
        <v>1592.0</v>
      </c>
      <c r="M1294" s="18" t="s">
        <v>164</v>
      </c>
      <c r="N1294" s="18" t="s">
        <v>46</v>
      </c>
      <c r="O1294" s="18">
        <v>26.9</v>
      </c>
      <c r="P1294" s="18" t="s">
        <v>185</v>
      </c>
      <c r="Q1294" s="16">
        <v>45446.0</v>
      </c>
      <c r="R1294" s="16" t="s">
        <v>38</v>
      </c>
      <c r="S1294" s="13" t="s">
        <v>55</v>
      </c>
      <c r="T1294" s="13" t="s">
        <v>72</v>
      </c>
      <c r="U1294" s="13">
        <f t="shared" si="1"/>
        <v>5</v>
      </c>
      <c r="V1294" s="13" t="str">
        <f t="shared" si="2"/>
        <v>C00543|Karan Kumar|21|West|Pune|Standard|Google Ads|9/9/2023|15|Annual|Debit Card|1,592|3|0|26.90|3.2|6/3/2024||Active|Collaboration</v>
      </c>
      <c r="W1294" s="13">
        <f t="shared" si="3"/>
        <v>1</v>
      </c>
      <c r="X1294" s="13">
        <f>IFERROR(__xludf.DUMMYFUNCTION("COUNTUNIQUE(FILTER($B$2:$B$1826,$A$2:$A$1826=A1294))"),5.0)</f>
        <v>5</v>
      </c>
    </row>
    <row r="1295">
      <c r="A1295" s="13" t="s">
        <v>544</v>
      </c>
      <c r="B1295" s="13" t="s">
        <v>398</v>
      </c>
      <c r="C1295" s="14">
        <v>48.0</v>
      </c>
      <c r="D1295" s="13" t="s">
        <v>69</v>
      </c>
      <c r="E1295" s="13" t="s">
        <v>177</v>
      </c>
      <c r="F1295" s="13" t="s">
        <v>62</v>
      </c>
      <c r="G1295" s="13" t="s">
        <v>80</v>
      </c>
      <c r="H1295" s="16">
        <v>44664.0</v>
      </c>
      <c r="I1295" s="14">
        <v>10.0</v>
      </c>
      <c r="J1295" s="13" t="s">
        <v>53</v>
      </c>
      <c r="K1295" s="13" t="s">
        <v>41</v>
      </c>
      <c r="L1295" s="14">
        <v>833.0</v>
      </c>
      <c r="M1295" s="18" t="s">
        <v>98</v>
      </c>
      <c r="N1295" s="18" t="s">
        <v>43</v>
      </c>
      <c r="O1295" s="18">
        <v>20.9</v>
      </c>
      <c r="P1295" s="18" t="s">
        <v>568</v>
      </c>
      <c r="Q1295" s="16">
        <v>44923.0</v>
      </c>
      <c r="R1295" s="16" t="s">
        <v>1516</v>
      </c>
      <c r="S1295" s="13" t="s">
        <v>45</v>
      </c>
      <c r="T1295" s="13" t="s">
        <v>104</v>
      </c>
      <c r="U1295" s="13">
        <f t="shared" si="1"/>
        <v>5</v>
      </c>
      <c r="V1295" s="13" t="str">
        <f t="shared" si="2"/>
        <v>C01456|Vikram Sharma|48|South|Hyderabad|Basic|Organic Search|4/13/2022|10|Quarterly|Upi|833|1|2|20.90|2.2|12/28/2022|23/12/2022|Churned|Analytics</v>
      </c>
      <c r="W1295" s="13">
        <f t="shared" si="3"/>
        <v>1</v>
      </c>
      <c r="X1295" s="13">
        <f>IFERROR(__xludf.DUMMYFUNCTION("COUNTUNIQUE(FILTER($B$2:$B$1826,$A$2:$A$1826=A1295))"),5.0)</f>
        <v>5</v>
      </c>
    </row>
    <row r="1296">
      <c r="A1296" s="13" t="s">
        <v>1373</v>
      </c>
      <c r="B1296" s="13" t="s">
        <v>139</v>
      </c>
      <c r="C1296" s="14">
        <v>44.0</v>
      </c>
      <c r="D1296" s="13" t="s">
        <v>69</v>
      </c>
      <c r="E1296" s="13" t="s">
        <v>177</v>
      </c>
      <c r="F1296" s="13" t="s">
        <v>62</v>
      </c>
      <c r="G1296" s="13" t="s">
        <v>63</v>
      </c>
      <c r="H1296" s="16">
        <v>45660.0</v>
      </c>
      <c r="I1296" s="14">
        <v>24.0</v>
      </c>
      <c r="J1296" s="13" t="s">
        <v>53</v>
      </c>
      <c r="K1296" s="13" t="s">
        <v>41</v>
      </c>
      <c r="L1296" s="14">
        <v>582.0</v>
      </c>
      <c r="M1296" s="18" t="s">
        <v>43</v>
      </c>
      <c r="N1296" s="18" t="s">
        <v>98</v>
      </c>
      <c r="O1296" s="18">
        <v>4.1</v>
      </c>
      <c r="P1296" s="18" t="s">
        <v>449</v>
      </c>
      <c r="Q1296" s="16">
        <v>46242.0</v>
      </c>
      <c r="R1296" s="16" t="s">
        <v>1860</v>
      </c>
      <c r="S1296" s="13" t="s">
        <v>45</v>
      </c>
      <c r="T1296" s="13" t="s">
        <v>75</v>
      </c>
      <c r="U1296" s="13">
        <f t="shared" si="1"/>
        <v>2</v>
      </c>
      <c r="V1296" s="13" t="str">
        <f t="shared" si="2"/>
        <v>C00619|Vikram Das|44|South|Hyderabad|Basic|Google Ads|1/3/2025|24|Quarterly|Upi|582|2|1|4.10|2.7|8/8/2026|19/10/2026|Churned|Security</v>
      </c>
      <c r="W1296" s="13">
        <f t="shared" si="3"/>
        <v>1</v>
      </c>
      <c r="X1296" s="13">
        <f>IFERROR(__xludf.DUMMYFUNCTION("COUNTUNIQUE(FILTER($B$2:$B$1826,$A$2:$A$1826=A1296))"),2.0)</f>
        <v>2</v>
      </c>
    </row>
    <row r="1297">
      <c r="A1297" s="13" t="s">
        <v>1455</v>
      </c>
      <c r="B1297" s="13" t="s">
        <v>405</v>
      </c>
      <c r="C1297" s="14">
        <v>44.0</v>
      </c>
      <c r="D1297" s="13" t="s">
        <v>69</v>
      </c>
      <c r="E1297" s="13" t="s">
        <v>97</v>
      </c>
      <c r="F1297" s="13" t="s">
        <v>79</v>
      </c>
      <c r="G1297" s="13" t="s">
        <v>39</v>
      </c>
      <c r="H1297" s="16">
        <v>45627.0</v>
      </c>
      <c r="I1297" s="14">
        <v>10.0</v>
      </c>
      <c r="J1297" s="13" t="s">
        <v>64</v>
      </c>
      <c r="K1297" s="13" t="s">
        <v>41</v>
      </c>
      <c r="L1297" s="14">
        <v>618.0</v>
      </c>
      <c r="M1297" s="18" t="s">
        <v>43</v>
      </c>
      <c r="N1297" s="18" t="s">
        <v>98</v>
      </c>
      <c r="O1297" s="18">
        <v>12.1</v>
      </c>
      <c r="P1297" s="18" t="s">
        <v>108</v>
      </c>
      <c r="Q1297" s="16">
        <v>45645.0</v>
      </c>
      <c r="R1297" s="16" t="s">
        <v>38</v>
      </c>
      <c r="S1297" s="13" t="s">
        <v>55</v>
      </c>
      <c r="T1297" s="13" t="s">
        <v>47</v>
      </c>
      <c r="U1297" s="13">
        <f t="shared" si="1"/>
        <v>3</v>
      </c>
      <c r="V1297" s="13" t="str">
        <f t="shared" si="2"/>
        <v>C01540|Rahul Reddy|44|South|Bhubaneswar|Premium|Instagram|12/1/2024|10|Annual|Upi|618|2|1|12.10|2.4|12/19/2024||Active|Cloud Storage</v>
      </c>
      <c r="W1297" s="13">
        <f t="shared" si="3"/>
        <v>1</v>
      </c>
      <c r="X1297" s="13">
        <f>IFERROR(__xludf.DUMMYFUNCTION("COUNTUNIQUE(FILTER($B$2:$B$1826,$A$2:$A$1826=A1297))"),3.0)</f>
        <v>3</v>
      </c>
    </row>
    <row r="1298">
      <c r="A1298" s="13" t="s">
        <v>1861</v>
      </c>
      <c r="B1298" s="13" t="s">
        <v>118</v>
      </c>
      <c r="C1298" s="14">
        <v>42.0</v>
      </c>
      <c r="D1298" s="13" t="s">
        <v>35</v>
      </c>
      <c r="E1298" s="13" t="s">
        <v>51</v>
      </c>
      <c r="F1298" s="13" t="s">
        <v>62</v>
      </c>
      <c r="G1298" s="13" t="s">
        <v>39</v>
      </c>
      <c r="H1298" s="16">
        <v>45081.0</v>
      </c>
      <c r="I1298" s="14">
        <v>27.0</v>
      </c>
      <c r="J1298" s="13" t="s">
        <v>40</v>
      </c>
      <c r="K1298" s="13" t="s">
        <v>65</v>
      </c>
      <c r="L1298" s="14">
        <v>533.0</v>
      </c>
      <c r="M1298" s="18" t="s">
        <v>46</v>
      </c>
      <c r="N1298" s="18" t="s">
        <v>164</v>
      </c>
      <c r="O1298" s="18">
        <v>13.1</v>
      </c>
      <c r="P1298" s="18" t="s">
        <v>408</v>
      </c>
      <c r="Q1298" s="16">
        <v>45216.0</v>
      </c>
      <c r="R1298" s="16" t="s">
        <v>38</v>
      </c>
      <c r="S1298" s="13" t="s">
        <v>55</v>
      </c>
      <c r="T1298" s="13" t="s">
        <v>75</v>
      </c>
      <c r="U1298" s="13">
        <f t="shared" si="1"/>
        <v>1</v>
      </c>
      <c r="V1298" s="13" t="str">
        <f t="shared" si="2"/>
        <v>C00419|Karan Nair|42|North|Jaipur|Basic|Instagram|6/4/2023|27|Monthly|Credit Card|533|0|3|13.10|4.2|10/17/2023||Active|Security</v>
      </c>
      <c r="W1298" s="13">
        <f t="shared" si="3"/>
        <v>1</v>
      </c>
      <c r="X1298" s="13">
        <f>IFERROR(__xludf.DUMMYFUNCTION("COUNTUNIQUE(FILTER($B$2:$B$1826,$A$2:$A$1826=A1298))"),1.0)</f>
        <v>1</v>
      </c>
    </row>
    <row r="1299">
      <c r="A1299" s="13" t="s">
        <v>1862</v>
      </c>
      <c r="B1299" s="13" t="s">
        <v>651</v>
      </c>
      <c r="C1299" s="14">
        <v>30.0</v>
      </c>
      <c r="D1299" s="13" t="s">
        <v>85</v>
      </c>
      <c r="E1299" s="13" t="s">
        <v>92</v>
      </c>
      <c r="F1299" s="13" t="s">
        <v>37</v>
      </c>
      <c r="G1299" s="13" t="s">
        <v>210</v>
      </c>
      <c r="H1299" s="16">
        <v>45072.0</v>
      </c>
      <c r="I1299" s="14">
        <v>48.0</v>
      </c>
      <c r="J1299" s="13" t="s">
        <v>40</v>
      </c>
      <c r="K1299" s="13" t="s">
        <v>81</v>
      </c>
      <c r="L1299" s="14">
        <v>1656.0</v>
      </c>
      <c r="M1299" s="18" t="s">
        <v>164</v>
      </c>
      <c r="N1299" s="18" t="s">
        <v>173</v>
      </c>
      <c r="O1299" s="18">
        <v>33.3</v>
      </c>
      <c r="P1299" s="18" t="s">
        <v>164</v>
      </c>
      <c r="Q1299" s="16">
        <v>45513.0</v>
      </c>
      <c r="R1299" s="16" t="s">
        <v>38</v>
      </c>
      <c r="S1299" s="13" t="s">
        <v>55</v>
      </c>
      <c r="T1299" s="13" t="s">
        <v>66</v>
      </c>
      <c r="U1299" s="13">
        <f t="shared" si="1"/>
        <v>2</v>
      </c>
      <c r="V1299" s="13" t="str">
        <f t="shared" si="2"/>
        <v>C00291|Arun Sharma|30|West|Ahmedabad|Standard|Referral|5/26/2023|48|Monthly|Debit Card|1,656|3|5|33.30|3|8/9/2024||Active|Automation</v>
      </c>
      <c r="W1299" s="13">
        <f t="shared" si="3"/>
        <v>1</v>
      </c>
      <c r="X1299" s="13">
        <f>IFERROR(__xludf.DUMMYFUNCTION("COUNTUNIQUE(FILTER($B$2:$B$1826,$A$2:$A$1826=A1299))"),2.0)</f>
        <v>2</v>
      </c>
    </row>
    <row r="1300">
      <c r="A1300" s="13" t="s">
        <v>226</v>
      </c>
      <c r="B1300" s="13" t="s">
        <v>235</v>
      </c>
      <c r="C1300" s="14">
        <v>56.0</v>
      </c>
      <c r="D1300" s="13" t="s">
        <v>60</v>
      </c>
      <c r="E1300" s="13" t="s">
        <v>133</v>
      </c>
      <c r="F1300" s="13" t="s">
        <v>62</v>
      </c>
      <c r="G1300" s="13" t="s">
        <v>63</v>
      </c>
      <c r="H1300" s="16">
        <v>45005.0</v>
      </c>
      <c r="I1300" s="14">
        <v>18.0</v>
      </c>
      <c r="J1300" s="13" t="s">
        <v>64</v>
      </c>
      <c r="K1300" s="13" t="s">
        <v>41</v>
      </c>
      <c r="L1300" s="14">
        <v>566.0</v>
      </c>
      <c r="M1300" s="18" t="s">
        <v>43</v>
      </c>
      <c r="N1300" s="18" t="s">
        <v>46</v>
      </c>
      <c r="O1300" s="18">
        <v>12.0</v>
      </c>
      <c r="P1300" s="18" t="s">
        <v>48</v>
      </c>
      <c r="Q1300" s="16">
        <v>45318.0</v>
      </c>
      <c r="R1300" s="16" t="s">
        <v>38</v>
      </c>
      <c r="S1300" s="13" t="s">
        <v>55</v>
      </c>
      <c r="T1300" s="13" t="s">
        <v>104</v>
      </c>
      <c r="U1300" s="13">
        <f t="shared" si="1"/>
        <v>5</v>
      </c>
      <c r="V1300" s="13" t="str">
        <f t="shared" si="2"/>
        <v>C01139|Sneha Sharma|56|East|Guwahati|Basic|Google Ads|3/20/2023|18|Annual|Upi|566|2|0|12.00|3.6|1/27/2024||Active|Analytics</v>
      </c>
      <c r="W1300" s="13">
        <f t="shared" si="3"/>
        <v>1</v>
      </c>
      <c r="X1300" s="13">
        <f>IFERROR(__xludf.DUMMYFUNCTION("COUNTUNIQUE(FILTER($B$2:$B$1826,$A$2:$A$1826=A1300))"),5.0)</f>
        <v>5</v>
      </c>
    </row>
    <row r="1301">
      <c r="A1301" s="13" t="s">
        <v>528</v>
      </c>
      <c r="B1301" s="13" t="s">
        <v>169</v>
      </c>
      <c r="C1301" s="14">
        <v>65.0</v>
      </c>
      <c r="D1301" s="13" t="s">
        <v>69</v>
      </c>
      <c r="E1301" s="13" t="s">
        <v>187</v>
      </c>
      <c r="F1301" s="13" t="s">
        <v>37</v>
      </c>
      <c r="G1301" s="13" t="s">
        <v>39</v>
      </c>
      <c r="H1301" s="16">
        <v>45161.0</v>
      </c>
      <c r="I1301" s="14">
        <v>4.0</v>
      </c>
      <c r="J1301" s="13" t="s">
        <v>40</v>
      </c>
      <c r="K1301" s="13" t="s">
        <v>65</v>
      </c>
      <c r="L1301" s="14">
        <v>1448.0</v>
      </c>
      <c r="M1301" s="18" t="s">
        <v>46</v>
      </c>
      <c r="N1301" s="18" t="s">
        <v>98</v>
      </c>
      <c r="O1301" s="18">
        <v>36.0</v>
      </c>
      <c r="P1301" s="18" t="s">
        <v>130</v>
      </c>
      <c r="Q1301" s="16">
        <v>45276.0</v>
      </c>
      <c r="R1301" s="16" t="s">
        <v>1863</v>
      </c>
      <c r="S1301" s="13" t="s">
        <v>45</v>
      </c>
      <c r="T1301" s="13" t="s">
        <v>75</v>
      </c>
      <c r="U1301" s="13">
        <f t="shared" si="1"/>
        <v>6</v>
      </c>
      <c r="V1301" s="13" t="str">
        <f t="shared" si="2"/>
        <v>C00931|Vikram Nair|65|South|Chennai|Standard|Instagram|8/23/2023|4|Monthly|Credit Card|1,448|0|1|36.00|3.9|12/16/2023|17/01/2024|Churned|Security</v>
      </c>
      <c r="W1301" s="13">
        <f t="shared" si="3"/>
        <v>1</v>
      </c>
      <c r="X1301" s="13">
        <f>IFERROR(__xludf.DUMMYFUNCTION("COUNTUNIQUE(FILTER($B$2:$B$1826,$A$2:$A$1826=A1301))"),5.0)</f>
        <v>5</v>
      </c>
    </row>
    <row r="1302">
      <c r="A1302" s="13" t="s">
        <v>875</v>
      </c>
      <c r="B1302" s="13" t="s">
        <v>316</v>
      </c>
      <c r="C1302" s="14">
        <v>28.0</v>
      </c>
      <c r="D1302" s="13" t="s">
        <v>60</v>
      </c>
      <c r="E1302" s="13" t="s">
        <v>133</v>
      </c>
      <c r="F1302" s="13" t="s">
        <v>62</v>
      </c>
      <c r="G1302" s="13" t="s">
        <v>128</v>
      </c>
      <c r="H1302" s="16">
        <v>45792.0</v>
      </c>
      <c r="I1302" s="14">
        <v>12.0</v>
      </c>
      <c r="J1302" s="13" t="s">
        <v>64</v>
      </c>
      <c r="K1302" s="13" t="s">
        <v>65</v>
      </c>
      <c r="L1302" s="14">
        <v>524.0</v>
      </c>
      <c r="M1302" s="18" t="s">
        <v>43</v>
      </c>
      <c r="N1302" s="18" t="s">
        <v>98</v>
      </c>
      <c r="O1302" s="18">
        <v>12.9</v>
      </c>
      <c r="P1302" s="18" t="s">
        <v>99</v>
      </c>
      <c r="Q1302" s="16">
        <v>46129.0</v>
      </c>
      <c r="R1302" s="16" t="s">
        <v>1865</v>
      </c>
      <c r="S1302" s="13" t="s">
        <v>45</v>
      </c>
      <c r="T1302" s="13" t="s">
        <v>47</v>
      </c>
      <c r="U1302" s="13">
        <f t="shared" si="1"/>
        <v>3</v>
      </c>
      <c r="V1302" s="13" t="str">
        <f t="shared" si="2"/>
        <v>C00658|Neha Nair|28|East|Guwahati|Basic|Youtube|5/15/2025|12|Annual|Credit Card|524|2|1|12.90|4|4/17/2026|18/03/2026|Churned|Cloud Storage</v>
      </c>
      <c r="W1302" s="13">
        <f t="shared" si="3"/>
        <v>1</v>
      </c>
      <c r="X1302" s="13">
        <f>IFERROR(__xludf.DUMMYFUNCTION("COUNTUNIQUE(FILTER($B$2:$B$1826,$A$2:$A$1826=A1302))"),3.0)</f>
        <v>3</v>
      </c>
    </row>
    <row r="1303">
      <c r="A1303" s="13" t="s">
        <v>1866</v>
      </c>
      <c r="B1303" s="13" t="s">
        <v>78</v>
      </c>
      <c r="C1303" s="14">
        <v>34.0</v>
      </c>
      <c r="D1303" s="13" t="s">
        <v>35</v>
      </c>
      <c r="E1303" s="13" t="s">
        <v>51</v>
      </c>
      <c r="F1303" s="13" t="s">
        <v>62</v>
      </c>
      <c r="G1303" s="13" t="s">
        <v>80</v>
      </c>
      <c r="H1303" s="16">
        <v>44644.0</v>
      </c>
      <c r="I1303" s="14">
        <v>38.0</v>
      </c>
      <c r="J1303" s="13" t="s">
        <v>53</v>
      </c>
      <c r="K1303" s="13" t="s">
        <v>41</v>
      </c>
      <c r="L1303" s="14">
        <v>674.0</v>
      </c>
      <c r="M1303" s="18" t="s">
        <v>43</v>
      </c>
      <c r="N1303" s="18" t="s">
        <v>46</v>
      </c>
      <c r="O1303" s="18">
        <v>15.0</v>
      </c>
      <c r="P1303" s="18" t="s">
        <v>203</v>
      </c>
      <c r="Q1303" s="16">
        <v>45747.0</v>
      </c>
      <c r="R1303" s="16" t="s">
        <v>1867</v>
      </c>
      <c r="S1303" s="13" t="s">
        <v>45</v>
      </c>
      <c r="T1303" s="13" t="s">
        <v>47</v>
      </c>
      <c r="U1303" s="13">
        <f t="shared" si="1"/>
        <v>2</v>
      </c>
      <c r="V1303" s="13" t="str">
        <f t="shared" si="2"/>
        <v>C00696|Vikram Patel|34|North|Jaipur|Basic|Organic Search|3/24/2022|38|Quarterly|Upi|674|2|0|15.00|3.7|3/31/2025|21/11/2023|Churned|Cloud Storage</v>
      </c>
      <c r="W1303" s="13">
        <f t="shared" si="3"/>
        <v>1</v>
      </c>
      <c r="X1303" s="13">
        <f>IFERROR(__xludf.DUMMYFUNCTION("COUNTUNIQUE(FILTER($B$2:$B$1826,$A$2:$A$1826=A1303))"),2.0)</f>
        <v>2</v>
      </c>
    </row>
    <row r="1304">
      <c r="A1304" s="13" t="s">
        <v>1868</v>
      </c>
      <c r="B1304" s="13" t="s">
        <v>633</v>
      </c>
      <c r="C1304" s="14">
        <v>66.0</v>
      </c>
      <c r="D1304" s="13" t="s">
        <v>35</v>
      </c>
      <c r="E1304" s="13" t="s">
        <v>51</v>
      </c>
      <c r="F1304" s="13" t="s">
        <v>62</v>
      </c>
      <c r="G1304" s="13" t="s">
        <v>63</v>
      </c>
      <c r="H1304" s="16">
        <v>44738.0</v>
      </c>
      <c r="I1304" s="14">
        <v>4.0</v>
      </c>
      <c r="J1304" s="13" t="s">
        <v>64</v>
      </c>
      <c r="K1304" s="13" t="s">
        <v>41</v>
      </c>
      <c r="L1304" s="14">
        <v>733.0</v>
      </c>
      <c r="M1304" s="18" t="s">
        <v>164</v>
      </c>
      <c r="N1304" s="18" t="s">
        <v>46</v>
      </c>
      <c r="O1304" s="18">
        <v>30.0</v>
      </c>
      <c r="P1304" s="18" t="s">
        <v>449</v>
      </c>
      <c r="Q1304" s="16">
        <v>44808.0</v>
      </c>
      <c r="R1304" s="16" t="s">
        <v>38</v>
      </c>
      <c r="S1304" s="13" t="s">
        <v>55</v>
      </c>
      <c r="T1304" s="13" t="s">
        <v>104</v>
      </c>
      <c r="U1304" s="13">
        <f t="shared" si="1"/>
        <v>1</v>
      </c>
      <c r="V1304" s="13" t="str">
        <f t="shared" si="2"/>
        <v>C00925|Anita Das|66|North|Jaipur|Basic|Google Ads|6/26/2022|4|Annual|Upi|733|3|0|30.00|2.7|9/4/2022||Active|Analytics</v>
      </c>
      <c r="W1304" s="13">
        <f t="shared" si="3"/>
        <v>1</v>
      </c>
      <c r="X1304" s="13">
        <f>IFERROR(__xludf.DUMMYFUNCTION("COUNTUNIQUE(FILTER($B$2:$B$1826,$A$2:$A$1826=A1304))"),1.0)</f>
        <v>1</v>
      </c>
    </row>
    <row r="1305">
      <c r="A1305" s="13" t="s">
        <v>528</v>
      </c>
      <c r="B1305" s="13" t="s">
        <v>232</v>
      </c>
      <c r="C1305" s="14">
        <v>63.0</v>
      </c>
      <c r="D1305" s="13" t="s">
        <v>35</v>
      </c>
      <c r="E1305" s="13" t="s">
        <v>140</v>
      </c>
      <c r="F1305" s="13" t="s">
        <v>62</v>
      </c>
      <c r="G1305" s="13" t="s">
        <v>63</v>
      </c>
      <c r="H1305" s="16">
        <v>45850.0</v>
      </c>
      <c r="I1305" s="14">
        <v>15.0</v>
      </c>
      <c r="J1305" s="13" t="s">
        <v>53</v>
      </c>
      <c r="K1305" s="13" t="s">
        <v>41</v>
      </c>
      <c r="L1305" s="14">
        <v>679.0</v>
      </c>
      <c r="M1305" s="18" t="s">
        <v>98</v>
      </c>
      <c r="N1305" s="18" t="s">
        <v>43</v>
      </c>
      <c r="O1305" s="18">
        <v>14.0</v>
      </c>
      <c r="P1305" s="18" t="s">
        <v>38</v>
      </c>
      <c r="Q1305" s="16">
        <v>46177.0</v>
      </c>
      <c r="R1305" s="16" t="s">
        <v>38</v>
      </c>
      <c r="S1305" s="13" t="s">
        <v>55</v>
      </c>
      <c r="T1305" s="13" t="s">
        <v>66</v>
      </c>
      <c r="U1305" s="13">
        <f t="shared" si="1"/>
        <v>6</v>
      </c>
      <c r="V1305" s="13" t="str">
        <f t="shared" si="2"/>
        <v>C00931|Meera Iyer|63|North|Lucknow|Basic|Google Ads|7/12/2025|15|Quarterly|Upi|679|1|2|14.00||6/4/2026||Active|Automation</v>
      </c>
      <c r="W1305" s="13">
        <f t="shared" si="3"/>
        <v>1</v>
      </c>
      <c r="X1305" s="13">
        <f>IFERROR(__xludf.DUMMYFUNCTION("COUNTUNIQUE(FILTER($B$2:$B$1826,$A$2:$A$1826=A1305))"),5.0)</f>
        <v>5</v>
      </c>
    </row>
    <row r="1306">
      <c r="A1306" s="13" t="s">
        <v>1690</v>
      </c>
      <c r="B1306" s="13" t="s">
        <v>190</v>
      </c>
      <c r="C1306" s="14">
        <v>29.0</v>
      </c>
      <c r="D1306" s="13" t="s">
        <v>35</v>
      </c>
      <c r="E1306" s="13" t="s">
        <v>140</v>
      </c>
      <c r="F1306" s="13" t="s">
        <v>62</v>
      </c>
      <c r="G1306" s="13" t="s">
        <v>39</v>
      </c>
      <c r="H1306" s="16">
        <v>44853.0</v>
      </c>
      <c r="I1306" s="14">
        <v>32.0</v>
      </c>
      <c r="J1306" s="13" t="s">
        <v>40</v>
      </c>
      <c r="K1306" s="13" t="s">
        <v>65</v>
      </c>
      <c r="L1306" s="14">
        <v>882.0</v>
      </c>
      <c r="M1306" s="18" t="s">
        <v>43</v>
      </c>
      <c r="N1306" s="18" t="s">
        <v>46</v>
      </c>
      <c r="O1306" s="18">
        <v>26.8</v>
      </c>
      <c r="P1306" s="18" t="s">
        <v>123</v>
      </c>
      <c r="Q1306" s="16">
        <v>45088.0</v>
      </c>
      <c r="R1306" s="16">
        <v>45571.0</v>
      </c>
      <c r="S1306" s="13" t="s">
        <v>45</v>
      </c>
      <c r="T1306" s="13" t="s">
        <v>72</v>
      </c>
      <c r="U1306" s="13">
        <f t="shared" si="1"/>
        <v>2</v>
      </c>
      <c r="V1306" s="13" t="str">
        <f t="shared" si="2"/>
        <v>C00652|Sneha Patel|29|North|Lucknow|Basic|Instagram|10/19/2022|32|Monthly|Credit Card|882|2|0|26.80|4.1|6/11/2023|10/6/2024|Churned|Collaboration</v>
      </c>
      <c r="W1306" s="13">
        <f t="shared" si="3"/>
        <v>1</v>
      </c>
      <c r="X1306" s="13">
        <f>IFERROR(__xludf.DUMMYFUNCTION("COUNTUNIQUE(FILTER($B$2:$B$1826,$A$2:$A$1826=A1306))"),2.0)</f>
        <v>2</v>
      </c>
    </row>
    <row r="1307">
      <c r="A1307" s="13" t="s">
        <v>374</v>
      </c>
      <c r="B1307" s="13" t="s">
        <v>362</v>
      </c>
      <c r="C1307" s="14">
        <v>66.0</v>
      </c>
      <c r="D1307" s="13" t="s">
        <v>69</v>
      </c>
      <c r="E1307" s="13" t="s">
        <v>70</v>
      </c>
      <c r="F1307" s="13" t="s">
        <v>62</v>
      </c>
      <c r="G1307" s="13" t="s">
        <v>120</v>
      </c>
      <c r="H1307" s="16">
        <v>45952.0</v>
      </c>
      <c r="I1307" s="14">
        <v>21.0</v>
      </c>
      <c r="J1307" s="13" t="s">
        <v>64</v>
      </c>
      <c r="K1307" s="13" t="s">
        <v>41</v>
      </c>
      <c r="L1307" s="14">
        <v>632.0</v>
      </c>
      <c r="M1307" s="18" t="s">
        <v>46</v>
      </c>
      <c r="N1307" s="18" t="s">
        <v>46</v>
      </c>
      <c r="O1307" s="18">
        <v>26.6</v>
      </c>
      <c r="P1307" s="18" t="s">
        <v>263</v>
      </c>
      <c r="Q1307" s="16">
        <v>46353.0</v>
      </c>
      <c r="R1307" s="16" t="s">
        <v>38</v>
      </c>
      <c r="S1307" s="13" t="s">
        <v>55</v>
      </c>
      <c r="T1307" s="13" t="s">
        <v>66</v>
      </c>
      <c r="U1307" s="13">
        <f t="shared" si="1"/>
        <v>3</v>
      </c>
      <c r="V1307" s="13" t="str">
        <f t="shared" si="2"/>
        <v>C00307|Neha Singh|66|South|Bengaluru|Basic|Email|10/22/2025|21|Annual|Upi|632|0|0|26.60|2.9|11/27/2026||Active|Automation</v>
      </c>
      <c r="W1307" s="13">
        <f t="shared" si="3"/>
        <v>1</v>
      </c>
      <c r="X1307" s="13">
        <f>IFERROR(__xludf.DUMMYFUNCTION("COUNTUNIQUE(FILTER($B$2:$B$1826,$A$2:$A$1826=A1307))"),3.0)</f>
        <v>3</v>
      </c>
    </row>
    <row r="1308">
      <c r="A1308" s="13" t="s">
        <v>891</v>
      </c>
      <c r="B1308" s="13" t="s">
        <v>74</v>
      </c>
      <c r="C1308" s="14">
        <v>36.0</v>
      </c>
      <c r="D1308" s="13" t="s">
        <v>85</v>
      </c>
      <c r="E1308" s="13" t="s">
        <v>177</v>
      </c>
      <c r="F1308" s="13" t="s">
        <v>62</v>
      </c>
      <c r="G1308" s="13" t="s">
        <v>120</v>
      </c>
      <c r="H1308" s="16">
        <v>44599.0</v>
      </c>
      <c r="I1308" s="14">
        <v>20.0</v>
      </c>
      <c r="J1308" s="13" t="s">
        <v>53</v>
      </c>
      <c r="K1308" s="13" t="s">
        <v>41</v>
      </c>
      <c r="L1308" s="14">
        <v>764.0</v>
      </c>
      <c r="M1308" s="18" t="s">
        <v>43</v>
      </c>
      <c r="N1308" s="18" t="s">
        <v>46</v>
      </c>
      <c r="O1308" s="18">
        <v>25.7</v>
      </c>
      <c r="P1308" s="18" t="s">
        <v>275</v>
      </c>
      <c r="Q1308" s="16">
        <v>45203.0</v>
      </c>
      <c r="R1308" s="16" t="s">
        <v>38</v>
      </c>
      <c r="S1308" s="13" t="s">
        <v>55</v>
      </c>
      <c r="T1308" s="13" t="s">
        <v>47</v>
      </c>
      <c r="U1308" s="13">
        <f t="shared" si="1"/>
        <v>2</v>
      </c>
      <c r="V1308" s="13" t="str">
        <f t="shared" si="2"/>
        <v>C00401|Anita Kumar|36|West|Hyderabad|Basic|Email|2/7/2022|20|Quarterly|Upi|764|2|0|25.70|4.3|10/4/2023||Active|Cloud Storage</v>
      </c>
      <c r="W1308" s="13">
        <f t="shared" si="3"/>
        <v>1</v>
      </c>
      <c r="X1308" s="13">
        <f>IFERROR(__xludf.DUMMYFUNCTION("COUNTUNIQUE(FILTER($B$2:$B$1826,$A$2:$A$1826=A1308))"),2.0)</f>
        <v>2</v>
      </c>
    </row>
    <row r="1309">
      <c r="A1309" s="13" t="s">
        <v>797</v>
      </c>
      <c r="B1309" s="13" t="s">
        <v>241</v>
      </c>
      <c r="C1309" s="14">
        <v>58.0</v>
      </c>
      <c r="D1309" s="13" t="s">
        <v>60</v>
      </c>
      <c r="E1309" s="13" t="s">
        <v>133</v>
      </c>
      <c r="F1309" s="13" t="s">
        <v>37</v>
      </c>
      <c r="G1309" s="13" t="s">
        <v>52</v>
      </c>
      <c r="H1309" s="16">
        <v>45277.0</v>
      </c>
      <c r="I1309" s="14">
        <v>5.0</v>
      </c>
      <c r="J1309" s="13" t="s">
        <v>64</v>
      </c>
      <c r="K1309" s="13" t="s">
        <v>41</v>
      </c>
      <c r="L1309" s="14">
        <v>1193.0</v>
      </c>
      <c r="M1309" s="18" t="s">
        <v>98</v>
      </c>
      <c r="N1309" s="18" t="s">
        <v>98</v>
      </c>
      <c r="O1309" s="18">
        <v>39.5</v>
      </c>
      <c r="P1309" s="18" t="s">
        <v>143</v>
      </c>
      <c r="Q1309" s="16">
        <v>45401.0</v>
      </c>
      <c r="R1309" s="16" t="s">
        <v>38</v>
      </c>
      <c r="S1309" s="13" t="s">
        <v>55</v>
      </c>
      <c r="T1309" s="13" t="s">
        <v>75</v>
      </c>
      <c r="U1309" s="13">
        <f t="shared" si="1"/>
        <v>5</v>
      </c>
      <c r="V1309" s="13" t="str">
        <f t="shared" si="2"/>
        <v>C00022|Sneha Iyer|58|East|Guwahati|Standard|Facebook|12/17/2023|5|Annual|Upi|1,193|1|1|39.50|2.1|4/19/2024||Active|Security</v>
      </c>
      <c r="W1309" s="13">
        <f t="shared" si="3"/>
        <v>1</v>
      </c>
      <c r="X1309" s="13">
        <f>IFERROR(__xludf.DUMMYFUNCTION("COUNTUNIQUE(FILTER($B$2:$B$1826,$A$2:$A$1826=A1309))"),5.0)</f>
        <v>5</v>
      </c>
    </row>
    <row r="1310">
      <c r="A1310" s="13" t="s">
        <v>1200</v>
      </c>
      <c r="B1310" s="13" t="s">
        <v>257</v>
      </c>
      <c r="C1310" s="14">
        <v>29.0</v>
      </c>
      <c r="D1310" s="13" t="s">
        <v>69</v>
      </c>
      <c r="E1310" s="13" t="s">
        <v>187</v>
      </c>
      <c r="F1310" s="13" t="s">
        <v>79</v>
      </c>
      <c r="G1310" s="13" t="s">
        <v>63</v>
      </c>
      <c r="H1310" s="16">
        <v>45210.0</v>
      </c>
      <c r="I1310" s="14">
        <v>27.0</v>
      </c>
      <c r="J1310" s="13" t="s">
        <v>40</v>
      </c>
      <c r="K1310" s="13" t="s">
        <v>65</v>
      </c>
      <c r="L1310" s="14">
        <v>3885.0</v>
      </c>
      <c r="M1310" s="18" t="s">
        <v>164</v>
      </c>
      <c r="N1310" s="18" t="s">
        <v>46</v>
      </c>
      <c r="O1310" s="18">
        <v>34.5</v>
      </c>
      <c r="P1310" s="18" t="s">
        <v>203</v>
      </c>
      <c r="Q1310" s="16">
        <v>45729.0</v>
      </c>
      <c r="R1310" s="16" t="s">
        <v>38</v>
      </c>
      <c r="S1310" s="13" t="s">
        <v>55</v>
      </c>
      <c r="T1310" s="13" t="s">
        <v>66</v>
      </c>
      <c r="U1310" s="13">
        <f t="shared" si="1"/>
        <v>2</v>
      </c>
      <c r="V1310" s="13" t="str">
        <f t="shared" si="2"/>
        <v>C00875|Sneha Reddy|29|South|Chennai|Premium|Google Ads|10/11/2023|27|Monthly|Credit Card|3,885|3|0|34.50|3.7|3/13/2025||Active|Automation</v>
      </c>
      <c r="W1310" s="13">
        <f t="shared" si="3"/>
        <v>1</v>
      </c>
      <c r="X1310" s="13">
        <f>IFERROR(__xludf.DUMMYFUNCTION("COUNTUNIQUE(FILTER($B$2:$B$1826,$A$2:$A$1826=A1310))"),2.0)</f>
        <v>2</v>
      </c>
    </row>
    <row r="1311">
      <c r="A1311" s="13" t="s">
        <v>1870</v>
      </c>
      <c r="B1311" s="13" t="s">
        <v>605</v>
      </c>
      <c r="C1311" s="14">
        <v>28.0</v>
      </c>
      <c r="D1311" s="13" t="s">
        <v>35</v>
      </c>
      <c r="E1311" s="13" t="s">
        <v>140</v>
      </c>
      <c r="F1311" s="13" t="s">
        <v>62</v>
      </c>
      <c r="G1311" s="13" t="s">
        <v>120</v>
      </c>
      <c r="H1311" s="16">
        <v>45277.0</v>
      </c>
      <c r="I1311" s="14">
        <v>35.0</v>
      </c>
      <c r="J1311" s="13" t="s">
        <v>64</v>
      </c>
      <c r="K1311" s="13" t="s">
        <v>65</v>
      </c>
      <c r="L1311" s="14">
        <v>808.0</v>
      </c>
      <c r="M1311" s="18" t="s">
        <v>99</v>
      </c>
      <c r="N1311" s="18" t="s">
        <v>98</v>
      </c>
      <c r="O1311" s="18">
        <v>11.0</v>
      </c>
      <c r="P1311" s="18" t="s">
        <v>285</v>
      </c>
      <c r="Q1311" s="16">
        <v>46042.0</v>
      </c>
      <c r="R1311" s="16" t="s">
        <v>38</v>
      </c>
      <c r="S1311" s="13" t="s">
        <v>55</v>
      </c>
      <c r="T1311" s="13" t="s">
        <v>104</v>
      </c>
      <c r="U1311" s="13">
        <f t="shared" si="1"/>
        <v>1</v>
      </c>
      <c r="V1311" s="13" t="str">
        <f t="shared" si="2"/>
        <v>C00315|Meera Patel|28|North|Lucknow|Basic|Email|12/17/2023|35|Annual|Credit Card|808|4|1|11.00|2.3|1/20/2026||Active|Analytics</v>
      </c>
      <c r="W1311" s="13">
        <f t="shared" si="3"/>
        <v>1</v>
      </c>
      <c r="X1311" s="13">
        <f>IFERROR(__xludf.DUMMYFUNCTION("COUNTUNIQUE(FILTER($B$2:$B$1826,$A$2:$A$1826=A1311))"),1.0)</f>
        <v>1</v>
      </c>
    </row>
    <row r="1312">
      <c r="A1312" s="13" t="s">
        <v>1333</v>
      </c>
      <c r="B1312" s="13" t="s">
        <v>333</v>
      </c>
      <c r="C1312" s="14">
        <v>34.0</v>
      </c>
      <c r="D1312" s="13" t="s">
        <v>60</v>
      </c>
      <c r="E1312" s="13" t="s">
        <v>133</v>
      </c>
      <c r="F1312" s="13" t="s">
        <v>62</v>
      </c>
      <c r="G1312" s="13" t="s">
        <v>39</v>
      </c>
      <c r="H1312" s="16">
        <v>45773.0</v>
      </c>
      <c r="I1312" s="14">
        <v>21.0</v>
      </c>
      <c r="J1312" s="13" t="s">
        <v>53</v>
      </c>
      <c r="K1312" s="13" t="s">
        <v>81</v>
      </c>
      <c r="L1312" s="14">
        <v>839.0</v>
      </c>
      <c r="M1312" s="18" t="s">
        <v>164</v>
      </c>
      <c r="N1312" s="18" t="s">
        <v>43</v>
      </c>
      <c r="O1312" s="18">
        <v>24.1</v>
      </c>
      <c r="P1312" s="18" t="s">
        <v>263</v>
      </c>
      <c r="Q1312" s="16">
        <v>46194.0</v>
      </c>
      <c r="R1312" s="16" t="s">
        <v>38</v>
      </c>
      <c r="S1312" s="13" t="s">
        <v>55</v>
      </c>
      <c r="T1312" s="13" t="s">
        <v>47</v>
      </c>
      <c r="U1312" s="13">
        <f t="shared" si="1"/>
        <v>3</v>
      </c>
      <c r="V1312" s="13" t="str">
        <f t="shared" si="2"/>
        <v>C00147|Neha Das|34|East|Guwahati|Basic|Instagram|4/26/2025|21|Quarterly|Debit Card|839|3|2|24.10|2.9|6/21/2026||Active|Cloud Storage</v>
      </c>
      <c r="W1312" s="13">
        <f t="shared" si="3"/>
        <v>1</v>
      </c>
      <c r="X1312" s="13">
        <f>IFERROR(__xludf.DUMMYFUNCTION("COUNTUNIQUE(FILTER($B$2:$B$1826,$A$2:$A$1826=A1312))"),3.0)</f>
        <v>3</v>
      </c>
    </row>
    <row r="1313">
      <c r="A1313" s="13" t="s">
        <v>1552</v>
      </c>
      <c r="B1313" s="13" t="s">
        <v>224</v>
      </c>
      <c r="C1313" s="14">
        <v>58.0</v>
      </c>
      <c r="D1313" s="13" t="s">
        <v>85</v>
      </c>
      <c r="E1313" s="13" t="s">
        <v>111</v>
      </c>
      <c r="F1313" s="13" t="s">
        <v>37</v>
      </c>
      <c r="G1313" s="13" t="s">
        <v>52</v>
      </c>
      <c r="H1313" s="16">
        <v>45169.0</v>
      </c>
      <c r="I1313" s="14">
        <v>43.0</v>
      </c>
      <c r="J1313" s="13" t="s">
        <v>64</v>
      </c>
      <c r="K1313" s="13" t="s">
        <v>41</v>
      </c>
      <c r="L1313" s="14">
        <v>1042.0</v>
      </c>
      <c r="M1313" s="18" t="s">
        <v>98</v>
      </c>
      <c r="N1313" s="18" t="s">
        <v>98</v>
      </c>
      <c r="O1313" s="18">
        <v>11.6</v>
      </c>
      <c r="P1313" s="18" t="s">
        <v>310</v>
      </c>
      <c r="Q1313" s="16">
        <v>45951.0</v>
      </c>
      <c r="R1313" s="16">
        <v>45354.0</v>
      </c>
      <c r="S1313" s="13" t="s">
        <v>45</v>
      </c>
      <c r="T1313" s="13" t="s">
        <v>66</v>
      </c>
      <c r="U1313" s="13">
        <f t="shared" si="1"/>
        <v>3</v>
      </c>
      <c r="V1313" s="13" t="str">
        <f t="shared" si="2"/>
        <v>C01323|Anita Iyer|58|West|Pune|Standard|Facebook|8/31/2023|43|Annual|Upi|1,042|1|1|11.60|3.1|10/21/2025|3/3/2024|Churned|Automation</v>
      </c>
      <c r="W1313" s="13">
        <f t="shared" si="3"/>
        <v>1</v>
      </c>
      <c r="X1313" s="13">
        <f>IFERROR(__xludf.DUMMYFUNCTION("COUNTUNIQUE(FILTER($B$2:$B$1826,$A$2:$A$1826=A1313))"),3.0)</f>
        <v>3</v>
      </c>
    </row>
    <row r="1314">
      <c r="A1314" s="13" t="s">
        <v>1866</v>
      </c>
      <c r="B1314" s="13" t="s">
        <v>395</v>
      </c>
      <c r="C1314" s="14">
        <v>64.0</v>
      </c>
      <c r="D1314" s="13" t="s">
        <v>35</v>
      </c>
      <c r="E1314" s="13" t="s">
        <v>51</v>
      </c>
      <c r="F1314" s="13" t="s">
        <v>62</v>
      </c>
      <c r="G1314" s="13" t="s">
        <v>63</v>
      </c>
      <c r="H1314" s="16">
        <v>45018.0</v>
      </c>
      <c r="I1314" s="14">
        <v>42.0</v>
      </c>
      <c r="J1314" s="13" t="s">
        <v>40</v>
      </c>
      <c r="K1314" s="13" t="s">
        <v>41</v>
      </c>
      <c r="L1314" s="14">
        <v>519.0</v>
      </c>
      <c r="M1314" s="18" t="s">
        <v>98</v>
      </c>
      <c r="N1314" s="18" t="s">
        <v>46</v>
      </c>
      <c r="O1314" s="18">
        <v>17.1</v>
      </c>
      <c r="P1314" s="18" t="s">
        <v>285</v>
      </c>
      <c r="Q1314" s="16">
        <v>46203.0</v>
      </c>
      <c r="R1314" s="16" t="s">
        <v>38</v>
      </c>
      <c r="S1314" s="13" t="s">
        <v>55</v>
      </c>
      <c r="T1314" s="13" t="s">
        <v>104</v>
      </c>
      <c r="U1314" s="13">
        <f t="shared" si="1"/>
        <v>2</v>
      </c>
      <c r="V1314" s="13" t="str">
        <f t="shared" si="2"/>
        <v>C00696|Ravi Singh|64|North|Jaipur|Basic|Google Ads|4/2/2023|42|Monthly|Upi|519|1|0|17.10|2.3|6/30/2026||Active|Analytics</v>
      </c>
      <c r="W1314" s="13">
        <f t="shared" si="3"/>
        <v>1</v>
      </c>
      <c r="X1314" s="13">
        <f>IFERROR(__xludf.DUMMYFUNCTION("COUNTUNIQUE(FILTER($B$2:$B$1826,$A$2:$A$1826=A1314))"),2.0)</f>
        <v>2</v>
      </c>
    </row>
    <row r="1315">
      <c r="A1315" s="13" t="s">
        <v>1871</v>
      </c>
      <c r="B1315" s="13" t="s">
        <v>145</v>
      </c>
      <c r="C1315" s="14">
        <v>46.0</v>
      </c>
      <c r="D1315" s="13" t="s">
        <v>69</v>
      </c>
      <c r="E1315" s="13" t="s">
        <v>70</v>
      </c>
      <c r="F1315" s="13" t="s">
        <v>79</v>
      </c>
      <c r="G1315" s="13" t="s">
        <v>39</v>
      </c>
      <c r="H1315" s="16">
        <v>44718.0</v>
      </c>
      <c r="I1315" s="14">
        <v>24.0</v>
      </c>
      <c r="J1315" s="13" t="s">
        <v>64</v>
      </c>
      <c r="K1315" s="13" t="s">
        <v>65</v>
      </c>
      <c r="L1315" s="14">
        <v>3866.0</v>
      </c>
      <c r="M1315" s="18" t="s">
        <v>99</v>
      </c>
      <c r="N1315" s="18" t="s">
        <v>43</v>
      </c>
      <c r="O1315" s="18">
        <v>42.3</v>
      </c>
      <c r="P1315" s="18" t="s">
        <v>164</v>
      </c>
      <c r="Q1315" s="16">
        <v>44843.0</v>
      </c>
      <c r="R1315" s="16" t="s">
        <v>1873</v>
      </c>
      <c r="S1315" s="13" t="s">
        <v>45</v>
      </c>
      <c r="T1315" s="13" t="s">
        <v>66</v>
      </c>
      <c r="U1315" s="13">
        <f t="shared" si="1"/>
        <v>1</v>
      </c>
      <c r="V1315" s="13" t="str">
        <f t="shared" si="2"/>
        <v>C00363|Ravi Patel|46|South|Bengaluru|Premium|Instagram|6/6/2022|24|Annual|Credit Card|3,866|4|2|42.30|3|10/9/2022|22/07/2023|Churned|Automation</v>
      </c>
      <c r="W1315" s="13">
        <f t="shared" si="3"/>
        <v>1</v>
      </c>
      <c r="X1315" s="13">
        <f>IFERROR(__xludf.DUMMYFUNCTION("COUNTUNIQUE(FILTER($B$2:$B$1826,$A$2:$A$1826=A1315))"),1.0)</f>
        <v>1</v>
      </c>
    </row>
    <row r="1316">
      <c r="A1316" s="13" t="s">
        <v>1874</v>
      </c>
      <c r="B1316" s="13" t="s">
        <v>222</v>
      </c>
      <c r="C1316" s="14">
        <v>38.0</v>
      </c>
      <c r="D1316" s="13" t="s">
        <v>85</v>
      </c>
      <c r="E1316" s="13" t="s">
        <v>92</v>
      </c>
      <c r="F1316" s="13" t="s">
        <v>37</v>
      </c>
      <c r="G1316" s="13" t="s">
        <v>63</v>
      </c>
      <c r="H1316" s="16">
        <v>45755.0</v>
      </c>
      <c r="I1316" s="14">
        <v>8.0</v>
      </c>
      <c r="J1316" s="13" t="s">
        <v>40</v>
      </c>
      <c r="K1316" s="13" t="s">
        <v>81</v>
      </c>
      <c r="L1316" s="14">
        <v>3099.0</v>
      </c>
      <c r="M1316" s="18" t="s">
        <v>98</v>
      </c>
      <c r="N1316" s="18" t="s">
        <v>98</v>
      </c>
      <c r="O1316" s="18">
        <v>36.1</v>
      </c>
      <c r="P1316" s="18" t="s">
        <v>233</v>
      </c>
      <c r="Q1316" s="16">
        <v>45779.0</v>
      </c>
      <c r="R1316" s="16" t="s">
        <v>38</v>
      </c>
      <c r="S1316" s="13" t="s">
        <v>55</v>
      </c>
      <c r="T1316" s="13" t="s">
        <v>104</v>
      </c>
      <c r="U1316" s="13">
        <f t="shared" si="1"/>
        <v>1</v>
      </c>
      <c r="V1316" s="13" t="str">
        <f t="shared" si="2"/>
        <v>C01023|Karan Iyer|38|West|Ahmedabad|Standard|Google Ads|4/8/2025|8|Monthly|Debit Card|3,099|1|1|36.10|3.5|5/2/2025||Active|Analytics</v>
      </c>
      <c r="W1316" s="13">
        <f t="shared" si="3"/>
        <v>1</v>
      </c>
      <c r="X1316" s="13">
        <f>IFERROR(__xludf.DUMMYFUNCTION("COUNTUNIQUE(FILTER($B$2:$B$1826,$A$2:$A$1826=A1316))"),1.0)</f>
        <v>1</v>
      </c>
    </row>
    <row r="1317">
      <c r="A1317" s="13" t="s">
        <v>978</v>
      </c>
      <c r="B1317" s="13" t="s">
        <v>167</v>
      </c>
      <c r="C1317" s="14">
        <v>68.0</v>
      </c>
      <c r="D1317" s="13" t="s">
        <v>85</v>
      </c>
      <c r="E1317" s="13" t="s">
        <v>111</v>
      </c>
      <c r="F1317" s="13" t="s">
        <v>37</v>
      </c>
      <c r="G1317" s="13" t="s">
        <v>80</v>
      </c>
      <c r="H1317" s="16">
        <v>45581.0</v>
      </c>
      <c r="I1317" s="14">
        <v>29.0</v>
      </c>
      <c r="J1317" s="13" t="s">
        <v>64</v>
      </c>
      <c r="K1317" s="13" t="s">
        <v>65</v>
      </c>
      <c r="L1317" s="14">
        <v>1249.0</v>
      </c>
      <c r="M1317" s="18" t="s">
        <v>98</v>
      </c>
      <c r="N1317" s="18" t="s">
        <v>46</v>
      </c>
      <c r="O1317" s="18">
        <v>32.9</v>
      </c>
      <c r="P1317" s="18" t="s">
        <v>173</v>
      </c>
      <c r="Q1317" s="16">
        <v>45912.0</v>
      </c>
      <c r="R1317" s="16" t="s">
        <v>38</v>
      </c>
      <c r="S1317" s="13" t="s">
        <v>55</v>
      </c>
      <c r="T1317" s="13" t="s">
        <v>75</v>
      </c>
      <c r="U1317" s="13">
        <f t="shared" si="1"/>
        <v>2</v>
      </c>
      <c r="V1317" s="13" t="str">
        <f t="shared" si="2"/>
        <v>C00088|Ravi Reddy|68|West|Pune|Standard|Organic Search|10/16/2024|29|Annual|Credit Card|1,249|1|0|32.90|5|9/12/2025||Active|Security</v>
      </c>
      <c r="W1317" s="13">
        <f t="shared" si="3"/>
        <v>1</v>
      </c>
      <c r="X1317" s="13">
        <f>IFERROR(__xludf.DUMMYFUNCTION("COUNTUNIQUE(FILTER($B$2:$B$1826,$A$2:$A$1826=A1317))"),2.0)</f>
        <v>2</v>
      </c>
    </row>
    <row r="1318">
      <c r="A1318" s="13" t="s">
        <v>1186</v>
      </c>
      <c r="B1318" s="13" t="s">
        <v>605</v>
      </c>
      <c r="C1318" s="14">
        <v>64.0</v>
      </c>
      <c r="D1318" s="13" t="s">
        <v>85</v>
      </c>
      <c r="E1318" s="13" t="s">
        <v>92</v>
      </c>
      <c r="F1318" s="13" t="s">
        <v>37</v>
      </c>
      <c r="G1318" s="13" t="s">
        <v>63</v>
      </c>
      <c r="H1318" s="16">
        <v>45782.0</v>
      </c>
      <c r="I1318" s="14">
        <v>28.0</v>
      </c>
      <c r="J1318" s="13" t="s">
        <v>53</v>
      </c>
      <c r="K1318" s="13" t="s">
        <v>41</v>
      </c>
      <c r="L1318" s="14">
        <v>1302.0</v>
      </c>
      <c r="M1318" s="18" t="s">
        <v>164</v>
      </c>
      <c r="N1318" s="18" t="s">
        <v>98</v>
      </c>
      <c r="O1318" s="18">
        <v>18.9</v>
      </c>
      <c r="P1318" s="18" t="s">
        <v>150</v>
      </c>
      <c r="Q1318" s="16">
        <v>45976.0</v>
      </c>
      <c r="R1318" s="16" t="s">
        <v>1875</v>
      </c>
      <c r="S1318" s="13" t="s">
        <v>230</v>
      </c>
      <c r="T1318" s="13" t="s">
        <v>47</v>
      </c>
      <c r="U1318" s="13">
        <f t="shared" si="1"/>
        <v>2</v>
      </c>
      <c r="V1318" s="13" t="str">
        <f t="shared" si="2"/>
        <v>C00578|Meera Patel|64|West|Ahmedabad|Standard|Google Ads|5/5/2025|28|Quarterly|Upi|1,302|3|1|18.90|4.5|11/15/2025|26/09/2025|Yes|Cloud Storage</v>
      </c>
      <c r="W1318" s="13">
        <f t="shared" si="3"/>
        <v>1</v>
      </c>
      <c r="X1318" s="13">
        <f>IFERROR(__xludf.DUMMYFUNCTION("COUNTUNIQUE(FILTER($B$2:$B$1826,$A$2:$A$1826=A1318))"),2.0)</f>
        <v>2</v>
      </c>
    </row>
    <row r="1319">
      <c r="A1319" s="13" t="s">
        <v>1876</v>
      </c>
      <c r="B1319" s="13" t="s">
        <v>736</v>
      </c>
      <c r="C1319" s="14">
        <v>65.0</v>
      </c>
      <c r="D1319" s="13" t="s">
        <v>69</v>
      </c>
      <c r="E1319" s="13" t="s">
        <v>187</v>
      </c>
      <c r="F1319" s="13" t="s">
        <v>62</v>
      </c>
      <c r="G1319" s="13" t="s">
        <v>52</v>
      </c>
      <c r="H1319" s="16">
        <v>44692.0</v>
      </c>
      <c r="I1319" s="14">
        <v>3.0</v>
      </c>
      <c r="J1319" s="13" t="s">
        <v>53</v>
      </c>
      <c r="K1319" s="13" t="s">
        <v>81</v>
      </c>
      <c r="L1319" s="14">
        <v>812.0</v>
      </c>
      <c r="M1319" s="18" t="s">
        <v>43</v>
      </c>
      <c r="N1319" s="18" t="s">
        <v>46</v>
      </c>
      <c r="O1319" s="18">
        <v>17.8</v>
      </c>
      <c r="P1319" s="18" t="s">
        <v>701</v>
      </c>
      <c r="Q1319" s="16">
        <v>44729.0</v>
      </c>
      <c r="R1319" s="16" t="s">
        <v>38</v>
      </c>
      <c r="S1319" s="13" t="s">
        <v>55</v>
      </c>
      <c r="T1319" s="13" t="s">
        <v>66</v>
      </c>
      <c r="U1319" s="13">
        <f t="shared" si="1"/>
        <v>1</v>
      </c>
      <c r="V1319" s="13" t="str">
        <f t="shared" si="2"/>
        <v>C00154|Priya Iyer|65|South|Chennai|Basic|Facebook|5/11/2022|3|Quarterly|Debit Card|812|2|0|17.80|2.8|6/17/2022||Active|Automation</v>
      </c>
      <c r="W1319" s="13">
        <f t="shared" si="3"/>
        <v>1</v>
      </c>
      <c r="X1319" s="13">
        <f>IFERROR(__xludf.DUMMYFUNCTION("COUNTUNIQUE(FILTER($B$2:$B$1826,$A$2:$A$1826=A1319))"),1.0)</f>
        <v>1</v>
      </c>
    </row>
    <row r="1320">
      <c r="A1320" s="13" t="s">
        <v>629</v>
      </c>
      <c r="B1320" s="13" t="s">
        <v>340</v>
      </c>
      <c r="C1320" s="14">
        <v>60.0</v>
      </c>
      <c r="D1320" s="13" t="s">
        <v>35</v>
      </c>
      <c r="E1320" s="13" t="s">
        <v>36</v>
      </c>
      <c r="F1320" s="13" t="s">
        <v>37</v>
      </c>
      <c r="G1320" s="13" t="s">
        <v>80</v>
      </c>
      <c r="H1320" s="16">
        <v>45476.0</v>
      </c>
      <c r="I1320" s="14">
        <v>10.0</v>
      </c>
      <c r="J1320" s="13" t="s">
        <v>40</v>
      </c>
      <c r="K1320" s="13" t="s">
        <v>81</v>
      </c>
      <c r="L1320" s="14">
        <v>1601.0</v>
      </c>
      <c r="M1320" s="18" t="s">
        <v>43</v>
      </c>
      <c r="N1320" s="18" t="s">
        <v>98</v>
      </c>
      <c r="O1320" s="18">
        <v>34.0</v>
      </c>
      <c r="P1320" s="18" t="s">
        <v>225</v>
      </c>
      <c r="Q1320" s="16">
        <v>45790.0</v>
      </c>
      <c r="R1320" s="16" t="s">
        <v>1877</v>
      </c>
      <c r="S1320" s="13" t="s">
        <v>45</v>
      </c>
      <c r="T1320" s="13" t="s">
        <v>47</v>
      </c>
      <c r="U1320" s="13">
        <f t="shared" si="1"/>
        <v>2</v>
      </c>
      <c r="V1320" s="13" t="str">
        <f t="shared" si="2"/>
        <v>C01583|Meera Sharma|60|North|Delhi|Standard|Organic Search|7/3/2024|10|Monthly|Debit Card|1,601|2|1|34.00|3.8|5/13/2025|22/12/2024|Churned|Cloud Storage</v>
      </c>
      <c r="W1320" s="13">
        <f t="shared" si="3"/>
        <v>1</v>
      </c>
      <c r="X1320" s="13">
        <f>IFERROR(__xludf.DUMMYFUNCTION("COUNTUNIQUE(FILTER($B$2:$B$1826,$A$2:$A$1826=A1320))"),2.0)</f>
        <v>2</v>
      </c>
    </row>
    <row r="1321">
      <c r="A1321" s="13" t="s">
        <v>1878</v>
      </c>
      <c r="B1321" s="13" t="s">
        <v>132</v>
      </c>
      <c r="C1321" s="14">
        <v>19.0</v>
      </c>
      <c r="D1321" s="13" t="s">
        <v>35</v>
      </c>
      <c r="E1321" s="13" t="s">
        <v>36</v>
      </c>
      <c r="F1321" s="13" t="s">
        <v>62</v>
      </c>
      <c r="G1321" s="13" t="s">
        <v>120</v>
      </c>
      <c r="H1321" s="16">
        <v>45426.0</v>
      </c>
      <c r="I1321" s="14">
        <v>27.0</v>
      </c>
      <c r="J1321" s="13" t="s">
        <v>53</v>
      </c>
      <c r="K1321" s="13" t="s">
        <v>41</v>
      </c>
      <c r="L1321" s="14">
        <v>851.0</v>
      </c>
      <c r="M1321" s="18" t="s">
        <v>164</v>
      </c>
      <c r="N1321" s="18" t="s">
        <v>46</v>
      </c>
      <c r="O1321" s="18">
        <v>28.4</v>
      </c>
      <c r="P1321" s="18" t="s">
        <v>275</v>
      </c>
      <c r="Q1321" s="16">
        <v>46159.0</v>
      </c>
      <c r="R1321" s="16" t="s">
        <v>38</v>
      </c>
      <c r="S1321" s="13" t="s">
        <v>55</v>
      </c>
      <c r="T1321" s="13" t="s">
        <v>47</v>
      </c>
      <c r="U1321" s="13">
        <f t="shared" si="1"/>
        <v>3</v>
      </c>
      <c r="V1321" s="13" t="str">
        <f t="shared" si="2"/>
        <v>C00228|Arun Kumar|19|North|Delhi|Basic|Email|5/14/2024|27|Quarterly|Upi|851|3|0|28.40|4.3|5/17/2026||Active|Cloud Storage</v>
      </c>
      <c r="W1321" s="13">
        <f t="shared" si="3"/>
        <v>1</v>
      </c>
      <c r="X1321" s="13">
        <f>IFERROR(__xludf.DUMMYFUNCTION("COUNTUNIQUE(FILTER($B$2:$B$1826,$A$2:$A$1826=A1321))"),3.0)</f>
        <v>3</v>
      </c>
    </row>
    <row r="1322">
      <c r="A1322" s="13" t="s">
        <v>1879</v>
      </c>
      <c r="B1322" s="13" t="s">
        <v>250</v>
      </c>
      <c r="C1322" s="14">
        <v>52.0</v>
      </c>
      <c r="D1322" s="13" t="s">
        <v>60</v>
      </c>
      <c r="E1322" s="13" t="s">
        <v>97</v>
      </c>
      <c r="F1322" s="13" t="s">
        <v>37</v>
      </c>
      <c r="G1322" s="13" t="s">
        <v>39</v>
      </c>
      <c r="H1322" s="16">
        <v>44759.0</v>
      </c>
      <c r="I1322" s="14">
        <v>1.0</v>
      </c>
      <c r="J1322" s="13" t="s">
        <v>40</v>
      </c>
      <c r="K1322" s="13" t="s">
        <v>81</v>
      </c>
      <c r="L1322" s="14">
        <v>1333.0</v>
      </c>
      <c r="M1322" s="18" t="s">
        <v>164</v>
      </c>
      <c r="N1322" s="18" t="s">
        <v>98</v>
      </c>
      <c r="O1322" s="18">
        <v>38.9</v>
      </c>
      <c r="P1322" s="18" t="s">
        <v>116</v>
      </c>
      <c r="Q1322" s="16">
        <v>44780.0</v>
      </c>
      <c r="R1322" s="16" t="s">
        <v>38</v>
      </c>
      <c r="S1322" s="13" t="s">
        <v>55</v>
      </c>
      <c r="T1322" s="13" t="s">
        <v>104</v>
      </c>
      <c r="U1322" s="13">
        <f t="shared" si="1"/>
        <v>1</v>
      </c>
      <c r="V1322" s="13" t="str">
        <f t="shared" si="2"/>
        <v>C01105|Vikram Singh|52|East|Bhubaneswar|Standard|Instagram|7/17/2022|1|Monthly|Debit Card|1,333|3|1|38.90|3.4|8/7/2022||Active|Analytics</v>
      </c>
      <c r="W1322" s="13">
        <f t="shared" si="3"/>
        <v>1</v>
      </c>
      <c r="X1322" s="13">
        <f>IFERROR(__xludf.DUMMYFUNCTION("COUNTUNIQUE(FILTER($B$2:$B$1826,$A$2:$A$1826=A1322))"),1.0)</f>
        <v>1</v>
      </c>
    </row>
    <row r="1323">
      <c r="A1323" s="13" t="s">
        <v>1881</v>
      </c>
      <c r="B1323" s="13" t="s">
        <v>393</v>
      </c>
      <c r="C1323" s="14">
        <v>29.0</v>
      </c>
      <c r="D1323" s="13" t="s">
        <v>69</v>
      </c>
      <c r="E1323" s="13" t="s">
        <v>119</v>
      </c>
      <c r="F1323" s="13" t="s">
        <v>37</v>
      </c>
      <c r="G1323" s="13" t="s">
        <v>80</v>
      </c>
      <c r="H1323" s="16">
        <v>44912.0</v>
      </c>
      <c r="I1323" s="14">
        <v>43.0</v>
      </c>
      <c r="J1323" s="13" t="s">
        <v>53</v>
      </c>
      <c r="K1323" s="13" t="s">
        <v>65</v>
      </c>
      <c r="L1323" s="14">
        <v>1625.0</v>
      </c>
      <c r="M1323" s="18" t="s">
        <v>164</v>
      </c>
      <c r="N1323" s="18" t="s">
        <v>46</v>
      </c>
      <c r="O1323" s="18">
        <v>40.6</v>
      </c>
      <c r="P1323" s="18" t="s">
        <v>263</v>
      </c>
      <c r="Q1323" s="16">
        <v>45044.0</v>
      </c>
      <c r="R1323" s="16" t="s">
        <v>1882</v>
      </c>
      <c r="S1323" s="13" t="s">
        <v>45</v>
      </c>
      <c r="T1323" s="13" t="s">
        <v>47</v>
      </c>
      <c r="U1323" s="13">
        <f t="shared" si="1"/>
        <v>1</v>
      </c>
      <c r="V1323" s="13" t="str">
        <f t="shared" si="2"/>
        <v>C00728|Karan Das|29|South|Kochi|Standard|Organic Search|12/17/2022|43|Quarterly|Credit Card|1,625|3|0|40.60|2.9|4/28/2023|27/07/2025|Churned|Cloud Storage</v>
      </c>
      <c r="W1323" s="13">
        <f t="shared" si="3"/>
        <v>1</v>
      </c>
      <c r="X1323" s="13">
        <f>IFERROR(__xludf.DUMMYFUNCTION("COUNTUNIQUE(FILTER($B$2:$B$1826,$A$2:$A$1826=A1323))"),1.0)</f>
        <v>1</v>
      </c>
    </row>
    <row r="1324">
      <c r="A1324" s="13" t="s">
        <v>294</v>
      </c>
      <c r="B1324" s="13" t="s">
        <v>135</v>
      </c>
      <c r="C1324" s="14">
        <v>51.0</v>
      </c>
      <c r="D1324" s="13" t="s">
        <v>69</v>
      </c>
      <c r="E1324" s="13" t="s">
        <v>187</v>
      </c>
      <c r="F1324" s="13" t="s">
        <v>79</v>
      </c>
      <c r="G1324" s="13" t="s">
        <v>80</v>
      </c>
      <c r="H1324" s="16">
        <v>45810.0</v>
      </c>
      <c r="I1324" s="14">
        <v>25.0</v>
      </c>
      <c r="J1324" s="13" t="s">
        <v>53</v>
      </c>
      <c r="K1324" s="13" t="s">
        <v>81</v>
      </c>
      <c r="L1324" s="14">
        <v>3667.0</v>
      </c>
      <c r="M1324" s="18" t="s">
        <v>98</v>
      </c>
      <c r="N1324" s="18" t="s">
        <v>46</v>
      </c>
      <c r="O1324" s="18">
        <v>34.8</v>
      </c>
      <c r="P1324" s="18" t="s">
        <v>203</v>
      </c>
      <c r="Q1324" s="16">
        <v>46315.0</v>
      </c>
      <c r="R1324" s="16" t="s">
        <v>38</v>
      </c>
      <c r="S1324" s="13" t="s">
        <v>55</v>
      </c>
      <c r="T1324" s="13" t="s">
        <v>104</v>
      </c>
      <c r="U1324" s="13">
        <f t="shared" si="1"/>
        <v>3</v>
      </c>
      <c r="V1324" s="13" t="str">
        <f t="shared" si="2"/>
        <v>C00466|Karan Sharma|51|South|Chennai|Premium|Organic Search|6/2/2025|25|Quarterly|Debit Card|3,667|1|0|34.80|3.7|10/20/2026||Active|Analytics</v>
      </c>
      <c r="W1324" s="13">
        <f t="shared" si="3"/>
        <v>1</v>
      </c>
      <c r="X1324" s="13">
        <f>IFERROR(__xludf.DUMMYFUNCTION("COUNTUNIQUE(FILTER($B$2:$B$1826,$A$2:$A$1826=A1324))"),3.0)</f>
        <v>3</v>
      </c>
    </row>
    <row r="1325">
      <c r="A1325" s="13" t="s">
        <v>689</v>
      </c>
      <c r="B1325" s="13" t="s">
        <v>459</v>
      </c>
      <c r="C1325" s="14">
        <v>61.0</v>
      </c>
      <c r="D1325" s="13" t="s">
        <v>85</v>
      </c>
      <c r="E1325" s="13" t="s">
        <v>111</v>
      </c>
      <c r="F1325" s="13" t="s">
        <v>62</v>
      </c>
      <c r="G1325" s="13" t="s">
        <v>63</v>
      </c>
      <c r="H1325" s="16">
        <v>45069.0</v>
      </c>
      <c r="I1325" s="14">
        <v>28.0</v>
      </c>
      <c r="J1325" s="13" t="s">
        <v>64</v>
      </c>
      <c r="K1325" s="13" t="s">
        <v>41</v>
      </c>
      <c r="L1325" s="14">
        <v>896.0</v>
      </c>
      <c r="M1325" s="18" t="s">
        <v>99</v>
      </c>
      <c r="N1325" s="18" t="s">
        <v>98</v>
      </c>
      <c r="O1325" s="18">
        <v>18.8</v>
      </c>
      <c r="P1325" s="18" t="s">
        <v>143</v>
      </c>
      <c r="Q1325" s="16">
        <v>45155.0</v>
      </c>
      <c r="R1325" s="16" t="s">
        <v>38</v>
      </c>
      <c r="S1325" s="13" t="s">
        <v>55</v>
      </c>
      <c r="T1325" s="13" t="s">
        <v>47</v>
      </c>
      <c r="U1325" s="13">
        <f t="shared" si="1"/>
        <v>5</v>
      </c>
      <c r="V1325" s="13" t="str">
        <f t="shared" si="2"/>
        <v>C01293|Neha Patel|61|West|Pune|Basic|Google Ads|5/23/2023|28|Annual|Upi|896|4|1|18.80|2.1|8/17/2023||Active|Cloud Storage</v>
      </c>
      <c r="W1325" s="13">
        <f t="shared" si="3"/>
        <v>1</v>
      </c>
      <c r="X1325" s="13">
        <f>IFERROR(__xludf.DUMMYFUNCTION("COUNTUNIQUE(FILTER($B$2:$B$1826,$A$2:$A$1826=A1325))"),5.0)</f>
        <v>5</v>
      </c>
    </row>
    <row r="1326">
      <c r="A1326" s="13" t="s">
        <v>1390</v>
      </c>
      <c r="B1326" s="13" t="s">
        <v>645</v>
      </c>
      <c r="C1326" s="14">
        <v>39.0</v>
      </c>
      <c r="D1326" s="13" t="s">
        <v>69</v>
      </c>
      <c r="E1326" s="13" t="s">
        <v>70</v>
      </c>
      <c r="F1326" s="13" t="s">
        <v>37</v>
      </c>
      <c r="G1326" s="13" t="s">
        <v>128</v>
      </c>
      <c r="H1326" s="16">
        <v>45602.0</v>
      </c>
      <c r="I1326" s="14">
        <v>47.0</v>
      </c>
      <c r="J1326" s="13" t="s">
        <v>64</v>
      </c>
      <c r="K1326" s="13" t="s">
        <v>81</v>
      </c>
      <c r="L1326" s="14">
        <v>1190.0</v>
      </c>
      <c r="M1326" s="18" t="s">
        <v>173</v>
      </c>
      <c r="N1326" s="18" t="s">
        <v>46</v>
      </c>
      <c r="O1326" s="18">
        <v>31.1</v>
      </c>
      <c r="P1326" s="18" t="s">
        <v>164</v>
      </c>
      <c r="Q1326" s="16">
        <v>46840.0</v>
      </c>
      <c r="R1326" s="16" t="s">
        <v>1883</v>
      </c>
      <c r="S1326" s="13" t="s">
        <v>45</v>
      </c>
      <c r="T1326" s="13" t="s">
        <v>104</v>
      </c>
      <c r="U1326" s="13">
        <f t="shared" si="1"/>
        <v>3</v>
      </c>
      <c r="V1326" s="13" t="str">
        <f t="shared" si="2"/>
        <v>C00463|Ravi Nair|39|South|Bengaluru|Standard|Youtube|11/6/2024|47|Annual|Debit Card|1,190|5|0|31.10|3|3/28/2028|14/04/2025|Churned|Analytics</v>
      </c>
      <c r="W1326" s="13">
        <f t="shared" si="3"/>
        <v>1</v>
      </c>
      <c r="X1326" s="13">
        <f>IFERROR(__xludf.DUMMYFUNCTION("COUNTUNIQUE(FILTER($B$2:$B$1826,$A$2:$A$1826=A1326))"),3.0)</f>
        <v>3</v>
      </c>
    </row>
    <row r="1327">
      <c r="A1327" s="13" t="s">
        <v>1511</v>
      </c>
      <c r="B1327" s="13" t="s">
        <v>651</v>
      </c>
      <c r="C1327" s="14">
        <v>60.0</v>
      </c>
      <c r="D1327" s="13" t="s">
        <v>85</v>
      </c>
      <c r="E1327" s="13" t="s">
        <v>87</v>
      </c>
      <c r="F1327" s="13" t="s">
        <v>62</v>
      </c>
      <c r="G1327" s="13" t="s">
        <v>52</v>
      </c>
      <c r="H1327" s="16">
        <v>44650.0</v>
      </c>
      <c r="I1327" s="14">
        <v>-3.0</v>
      </c>
      <c r="J1327" s="13" t="s">
        <v>53</v>
      </c>
      <c r="K1327" s="13" t="s">
        <v>41</v>
      </c>
      <c r="L1327" s="14">
        <v>869.0</v>
      </c>
      <c r="M1327" s="18" t="s">
        <v>173</v>
      </c>
      <c r="N1327" s="18" t="s">
        <v>46</v>
      </c>
      <c r="O1327" s="18">
        <v>13.7</v>
      </c>
      <c r="P1327" s="18" t="s">
        <v>275</v>
      </c>
      <c r="Q1327" s="16">
        <v>45255.0</v>
      </c>
      <c r="R1327" s="16" t="s">
        <v>1884</v>
      </c>
      <c r="S1327" s="13" t="s">
        <v>45</v>
      </c>
      <c r="T1327" s="13" t="s">
        <v>104</v>
      </c>
      <c r="U1327" s="13">
        <f t="shared" si="1"/>
        <v>3</v>
      </c>
      <c r="V1327" s="13" t="str">
        <f t="shared" si="2"/>
        <v>C00832|Arun Sharma|60|West|Surat|Basic|Facebook|3/30/2022|-3|Quarterly|Upi|869|5|0|13.70|4.3|11/25/2023|17/10/2022|Churned|Analytics</v>
      </c>
      <c r="W1327" s="13">
        <f t="shared" si="3"/>
        <v>1</v>
      </c>
      <c r="X1327" s="13">
        <f>IFERROR(__xludf.DUMMYFUNCTION("COUNTUNIQUE(FILTER($B$2:$B$1826,$A$2:$A$1826=A1327))"),3.0)</f>
        <v>3</v>
      </c>
    </row>
    <row r="1328">
      <c r="A1328" s="13" t="s">
        <v>1885</v>
      </c>
      <c r="B1328" s="13" t="s">
        <v>172</v>
      </c>
      <c r="C1328" s="14">
        <v>53.0</v>
      </c>
      <c r="D1328" s="13" t="s">
        <v>69</v>
      </c>
      <c r="E1328" s="13" t="s">
        <v>119</v>
      </c>
      <c r="F1328" s="13" t="s">
        <v>37</v>
      </c>
      <c r="G1328" s="13" t="s">
        <v>120</v>
      </c>
      <c r="H1328" s="16">
        <v>44801.0</v>
      </c>
      <c r="I1328" s="14">
        <v>30.0</v>
      </c>
      <c r="J1328" s="13" t="s">
        <v>64</v>
      </c>
      <c r="K1328" s="13" t="s">
        <v>65</v>
      </c>
      <c r="L1328" s="14">
        <v>1112.0</v>
      </c>
      <c r="M1328" s="18" t="s">
        <v>98</v>
      </c>
      <c r="N1328" s="18" t="s">
        <v>43</v>
      </c>
      <c r="O1328" s="18">
        <v>38.5</v>
      </c>
      <c r="P1328" s="18" t="s">
        <v>275</v>
      </c>
      <c r="Q1328" s="16">
        <v>45448.0</v>
      </c>
      <c r="R1328" s="16" t="s">
        <v>1021</v>
      </c>
      <c r="S1328" s="13" t="s">
        <v>45</v>
      </c>
      <c r="T1328" s="13" t="s">
        <v>72</v>
      </c>
      <c r="U1328" s="13">
        <f t="shared" si="1"/>
        <v>1</v>
      </c>
      <c r="V1328" s="13" t="str">
        <f t="shared" si="2"/>
        <v>C01273|Meera Singh|53|South|Kochi|Standard|Email|8/28/2022|30|Annual|Credit Card|1,112|1|2|38.50|4.3|6/5/2024|30/11/2023|Churned|Collaboration</v>
      </c>
      <c r="W1328" s="13">
        <f t="shared" si="3"/>
        <v>1</v>
      </c>
      <c r="X1328" s="13">
        <f>IFERROR(__xludf.DUMMYFUNCTION("COUNTUNIQUE(FILTER($B$2:$B$1826,$A$2:$A$1826=A1328))"),1.0)</f>
        <v>1</v>
      </c>
    </row>
    <row r="1329">
      <c r="A1329" s="13" t="s">
        <v>478</v>
      </c>
      <c r="B1329" s="13" t="s">
        <v>476</v>
      </c>
      <c r="C1329" s="14">
        <v>67.0</v>
      </c>
      <c r="D1329" s="13" t="s">
        <v>85</v>
      </c>
      <c r="E1329" s="13" t="s">
        <v>111</v>
      </c>
      <c r="F1329" s="13" t="s">
        <v>37</v>
      </c>
      <c r="G1329" s="13" t="s">
        <v>63</v>
      </c>
      <c r="H1329" s="16">
        <v>44870.0</v>
      </c>
      <c r="I1329" s="14">
        <v>45.0</v>
      </c>
      <c r="J1329" s="13" t="s">
        <v>40</v>
      </c>
      <c r="K1329" s="13" t="s">
        <v>81</v>
      </c>
      <c r="L1329" s="14">
        <v>1711.0</v>
      </c>
      <c r="M1329" s="18" t="s">
        <v>164</v>
      </c>
      <c r="N1329" s="18" t="s">
        <v>98</v>
      </c>
      <c r="O1329" s="18">
        <v>40.3</v>
      </c>
      <c r="P1329" s="18" t="s">
        <v>130</v>
      </c>
      <c r="Q1329" s="16">
        <v>45697.0</v>
      </c>
      <c r="R1329" s="16" t="s">
        <v>38</v>
      </c>
      <c r="S1329" s="13" t="s">
        <v>55</v>
      </c>
      <c r="T1329" s="13" t="s">
        <v>72</v>
      </c>
      <c r="U1329" s="13">
        <f t="shared" si="1"/>
        <v>2</v>
      </c>
      <c r="V1329" s="13" t="str">
        <f t="shared" si="2"/>
        <v>C01354|Ravi Das|67|West|Pune|Standard|Google Ads|11/5/2022|45|Monthly|Debit Card|1,711|3|1|40.30|3.9|2/9/2025||Active|Collaboration</v>
      </c>
      <c r="W1329" s="13">
        <f t="shared" si="3"/>
        <v>1</v>
      </c>
      <c r="X1329" s="13">
        <f>IFERROR(__xludf.DUMMYFUNCTION("COUNTUNIQUE(FILTER($B$2:$B$1826,$A$2:$A$1826=A1329))"),2.0)</f>
        <v>2</v>
      </c>
    </row>
    <row r="1330">
      <c r="A1330" s="13" t="s">
        <v>1886</v>
      </c>
      <c r="B1330" s="13" t="s">
        <v>380</v>
      </c>
      <c r="C1330" s="14">
        <v>61.0</v>
      </c>
      <c r="D1330" s="13" t="s">
        <v>35</v>
      </c>
      <c r="E1330" s="13" t="s">
        <v>51</v>
      </c>
      <c r="F1330" s="13" t="s">
        <v>62</v>
      </c>
      <c r="G1330" s="13" t="s">
        <v>39</v>
      </c>
      <c r="H1330" s="16">
        <v>45192.0</v>
      </c>
      <c r="I1330" s="14">
        <v>40.0</v>
      </c>
      <c r="J1330" s="13" t="s">
        <v>53</v>
      </c>
      <c r="K1330" s="13" t="s">
        <v>81</v>
      </c>
      <c r="L1330" s="14">
        <v>788.0</v>
      </c>
      <c r="M1330" s="18" t="s">
        <v>173</v>
      </c>
      <c r="N1330" s="18" t="s">
        <v>98</v>
      </c>
      <c r="O1330" s="18">
        <v>24.6</v>
      </c>
      <c r="P1330" s="18" t="s">
        <v>263</v>
      </c>
      <c r="Q1330" s="16">
        <v>45869.0</v>
      </c>
      <c r="R1330" s="16" t="s">
        <v>38</v>
      </c>
      <c r="S1330" s="13" t="s">
        <v>55</v>
      </c>
      <c r="T1330" s="13" t="s">
        <v>104</v>
      </c>
      <c r="U1330" s="13">
        <f t="shared" si="1"/>
        <v>2</v>
      </c>
      <c r="V1330" s="13" t="str">
        <f t="shared" si="2"/>
        <v>C01178|Neha Iyer|61|North|Jaipur|Basic|Instagram|9/23/2023|40|Quarterly|Debit Card|788|5|1|24.60|2.9|7/31/2025||Active|Analytics</v>
      </c>
      <c r="W1330" s="13">
        <f t="shared" si="3"/>
        <v>1</v>
      </c>
      <c r="X1330" s="13">
        <f>IFERROR(__xludf.DUMMYFUNCTION("COUNTUNIQUE(FILTER($B$2:$B$1826,$A$2:$A$1826=A1330))"),1.0)</f>
        <v>1</v>
      </c>
    </row>
    <row r="1331">
      <c r="A1331" s="13" t="s">
        <v>1887</v>
      </c>
      <c r="B1331" s="13" t="s">
        <v>222</v>
      </c>
      <c r="C1331" s="14">
        <v>23.0</v>
      </c>
      <c r="D1331" s="13" t="s">
        <v>85</v>
      </c>
      <c r="E1331" s="13" t="s">
        <v>92</v>
      </c>
      <c r="F1331" s="13" t="s">
        <v>79</v>
      </c>
      <c r="G1331" s="13" t="s">
        <v>80</v>
      </c>
      <c r="H1331" s="16">
        <v>45806.0</v>
      </c>
      <c r="I1331" s="14">
        <v>2.0</v>
      </c>
      <c r="J1331" s="13" t="s">
        <v>53</v>
      </c>
      <c r="K1331" s="13" t="s">
        <v>81</v>
      </c>
      <c r="L1331" s="14">
        <v>2291.0</v>
      </c>
      <c r="M1331" s="18" t="s">
        <v>164</v>
      </c>
      <c r="N1331" s="18" t="s">
        <v>43</v>
      </c>
      <c r="O1331" s="18">
        <v>47.7</v>
      </c>
      <c r="P1331" s="18" t="s">
        <v>143</v>
      </c>
      <c r="Q1331" s="16">
        <v>45868.0</v>
      </c>
      <c r="R1331" s="16" t="s">
        <v>38</v>
      </c>
      <c r="S1331" s="13" t="s">
        <v>55</v>
      </c>
      <c r="T1331" s="13" t="s">
        <v>66</v>
      </c>
      <c r="U1331" s="13">
        <f t="shared" si="1"/>
        <v>1</v>
      </c>
      <c r="V1331" s="13" t="str">
        <f t="shared" si="2"/>
        <v>C01565|Karan Iyer|23|West|Ahmedabad|Premium|Organic Search|5/29/2025|2|Quarterly|Debit Card|2,291|3|2|47.70|2.1|7/30/2025||Active|Automation</v>
      </c>
      <c r="W1331" s="13">
        <f t="shared" si="3"/>
        <v>1</v>
      </c>
      <c r="X1331" s="13">
        <f>IFERROR(__xludf.DUMMYFUNCTION("COUNTUNIQUE(FILTER($B$2:$B$1826,$A$2:$A$1826=A1331))"),1.0)</f>
        <v>1</v>
      </c>
    </row>
    <row r="1332">
      <c r="A1332" s="13" t="s">
        <v>1888</v>
      </c>
      <c r="B1332" s="13" t="s">
        <v>224</v>
      </c>
      <c r="C1332" s="14">
        <v>44.0</v>
      </c>
      <c r="D1332" s="13" t="s">
        <v>85</v>
      </c>
      <c r="E1332" s="13" t="s">
        <v>292</v>
      </c>
      <c r="F1332" s="13" t="s">
        <v>37</v>
      </c>
      <c r="G1332" s="13" t="s">
        <v>80</v>
      </c>
      <c r="H1332" s="16">
        <v>45781.0</v>
      </c>
      <c r="I1332" s="14">
        <v>30.0</v>
      </c>
      <c r="J1332" s="13" t="s">
        <v>53</v>
      </c>
      <c r="K1332" s="13" t="s">
        <v>41</v>
      </c>
      <c r="L1332" s="14">
        <v>1508.0</v>
      </c>
      <c r="M1332" s="18" t="s">
        <v>98</v>
      </c>
      <c r="N1332" s="18" t="s">
        <v>164</v>
      </c>
      <c r="O1332" s="18">
        <v>28.9</v>
      </c>
      <c r="P1332" s="18" t="s">
        <v>164</v>
      </c>
      <c r="Q1332" s="16">
        <v>46363.0</v>
      </c>
      <c r="R1332" s="16" t="s">
        <v>38</v>
      </c>
      <c r="S1332" s="13" t="s">
        <v>55</v>
      </c>
      <c r="T1332" s="13" t="s">
        <v>66</v>
      </c>
      <c r="U1332" s="13">
        <f t="shared" si="1"/>
        <v>1</v>
      </c>
      <c r="V1332" s="13" t="str">
        <f t="shared" si="2"/>
        <v>C00812|Anita Iyer|44|West|Mumbai|Standard|Organic Search|5/4/2025|30|Quarterly|Upi|1,508|1|3|28.90|3|12/7/2026||Active|Automation</v>
      </c>
      <c r="W1332" s="13">
        <f t="shared" si="3"/>
        <v>1</v>
      </c>
      <c r="X1332" s="13">
        <f>IFERROR(__xludf.DUMMYFUNCTION("COUNTUNIQUE(FILTER($B$2:$B$1826,$A$2:$A$1826=A1332))"),1.0)</f>
        <v>1</v>
      </c>
    </row>
    <row r="1333">
      <c r="A1333" s="13" t="s">
        <v>1601</v>
      </c>
      <c r="B1333" s="13" t="s">
        <v>340</v>
      </c>
      <c r="C1333" s="14">
        <v>43.0</v>
      </c>
      <c r="D1333" s="13" t="s">
        <v>60</v>
      </c>
      <c r="E1333" s="13" t="s">
        <v>61</v>
      </c>
      <c r="F1333" s="13" t="s">
        <v>62</v>
      </c>
      <c r="G1333" s="13" t="s">
        <v>39</v>
      </c>
      <c r="H1333" s="16">
        <v>45153.0</v>
      </c>
      <c r="I1333" s="14">
        <v>30.0</v>
      </c>
      <c r="J1333" s="13" t="s">
        <v>53</v>
      </c>
      <c r="K1333" s="13" t="s">
        <v>81</v>
      </c>
      <c r="L1333" s="14">
        <v>821.0</v>
      </c>
      <c r="M1333" s="18" t="s">
        <v>43</v>
      </c>
      <c r="N1333" s="18" t="s">
        <v>98</v>
      </c>
      <c r="O1333" s="18">
        <v>7.3</v>
      </c>
      <c r="P1333" s="18" t="s">
        <v>116</v>
      </c>
      <c r="Q1333" s="16">
        <v>45571.0</v>
      </c>
      <c r="R1333" s="16" t="s">
        <v>38</v>
      </c>
      <c r="S1333" s="13" t="s">
        <v>55</v>
      </c>
      <c r="T1333" s="13" t="s">
        <v>66</v>
      </c>
      <c r="U1333" s="13">
        <f t="shared" si="1"/>
        <v>2</v>
      </c>
      <c r="V1333" s="13" t="str">
        <f t="shared" si="2"/>
        <v>C00397|Meera Sharma|43|East|Kolkata|Basic|Instagram|8/15/2023|30|Quarterly|Debit Card|821|2|1|7.30|3.4|10/6/2024||Active|Automation</v>
      </c>
      <c r="W1333" s="13">
        <f t="shared" si="3"/>
        <v>1</v>
      </c>
      <c r="X1333" s="13">
        <f>IFERROR(__xludf.DUMMYFUNCTION("COUNTUNIQUE(FILTER($B$2:$B$1826,$A$2:$A$1826=A1333))"),2.0)</f>
        <v>2</v>
      </c>
    </row>
    <row r="1334">
      <c r="A1334" s="13" t="s">
        <v>1889</v>
      </c>
      <c r="B1334" s="13" t="s">
        <v>68</v>
      </c>
      <c r="C1334" s="14">
        <v>26.0</v>
      </c>
      <c r="D1334" s="13" t="s">
        <v>60</v>
      </c>
      <c r="E1334" s="13" t="s">
        <v>107</v>
      </c>
      <c r="F1334" s="13" t="s">
        <v>62</v>
      </c>
      <c r="G1334" s="13" t="s">
        <v>128</v>
      </c>
      <c r="H1334" s="16">
        <v>45800.0</v>
      </c>
      <c r="I1334" s="14">
        <v>11.0</v>
      </c>
      <c r="J1334" s="13" t="s">
        <v>40</v>
      </c>
      <c r="K1334" s="13" t="s">
        <v>41</v>
      </c>
      <c r="L1334" s="14">
        <v>762.0</v>
      </c>
      <c r="M1334" s="18" t="s">
        <v>46</v>
      </c>
      <c r="N1334" s="18" t="s">
        <v>46</v>
      </c>
      <c r="O1334" s="18">
        <v>21.6</v>
      </c>
      <c r="P1334" s="18" t="s">
        <v>456</v>
      </c>
      <c r="Q1334" s="16">
        <v>45815.0</v>
      </c>
      <c r="R1334" s="16" t="s">
        <v>38</v>
      </c>
      <c r="S1334" s="13" t="s">
        <v>55</v>
      </c>
      <c r="T1334" s="13" t="s">
        <v>75</v>
      </c>
      <c r="U1334" s="13">
        <f t="shared" si="1"/>
        <v>1</v>
      </c>
      <c r="V1334" s="13" t="str">
        <f t="shared" si="2"/>
        <v>C00058|Anita Patel|26|East|Patna|Basic|Youtube|5/23/2025|11|Monthly|Upi|762|0|0|21.60|2.5|6/7/2025||Active|Security</v>
      </c>
      <c r="W1334" s="13">
        <f t="shared" si="3"/>
        <v>1</v>
      </c>
      <c r="X1334" s="13">
        <f>IFERROR(__xludf.DUMMYFUNCTION("COUNTUNIQUE(FILTER($B$2:$B$1826,$A$2:$A$1826=A1334))"),1.0)</f>
        <v>1</v>
      </c>
    </row>
    <row r="1335">
      <c r="A1335" s="13" t="s">
        <v>1583</v>
      </c>
      <c r="B1335" s="13" t="s">
        <v>184</v>
      </c>
      <c r="C1335" s="14">
        <v>52.0</v>
      </c>
      <c r="D1335" s="13" t="s">
        <v>85</v>
      </c>
      <c r="E1335" s="13" t="s">
        <v>292</v>
      </c>
      <c r="F1335" s="13" t="s">
        <v>62</v>
      </c>
      <c r="G1335" s="13" t="s">
        <v>80</v>
      </c>
      <c r="H1335" s="16">
        <v>45694.0</v>
      </c>
      <c r="I1335" s="14">
        <v>39.0</v>
      </c>
      <c r="J1335" s="13" t="s">
        <v>40</v>
      </c>
      <c r="K1335" s="13" t="s">
        <v>41</v>
      </c>
      <c r="L1335" s="14">
        <v>508.0</v>
      </c>
      <c r="M1335" s="18" t="s">
        <v>43</v>
      </c>
      <c r="N1335" s="18" t="s">
        <v>46</v>
      </c>
      <c r="O1335" s="18">
        <v>29.4</v>
      </c>
      <c r="P1335" s="18" t="s">
        <v>164</v>
      </c>
      <c r="Q1335" s="16">
        <v>46258.0</v>
      </c>
      <c r="R1335" s="16">
        <v>46907.0</v>
      </c>
      <c r="S1335" s="13" t="s">
        <v>45</v>
      </c>
      <c r="T1335" s="13" t="s">
        <v>104</v>
      </c>
      <c r="U1335" s="13">
        <f t="shared" si="1"/>
        <v>2</v>
      </c>
      <c r="V1335" s="13" t="str">
        <f t="shared" si="2"/>
        <v>C00286|Vikram Reddy|52|West|Mumbai|Basic|Organic Search|2/6/2025|39|Monthly|Upi|508|2|0|29.40|3|8/24/2026|6/3/2028|Churned|Analytics</v>
      </c>
      <c r="W1335" s="13">
        <f t="shared" si="3"/>
        <v>1</v>
      </c>
      <c r="X1335" s="13">
        <f>IFERROR(__xludf.DUMMYFUNCTION("COUNTUNIQUE(FILTER($B$2:$B$1826,$A$2:$A$1826=A1335))"),2.0)</f>
        <v>2</v>
      </c>
    </row>
    <row r="1336">
      <c r="A1336" s="13" t="s">
        <v>1890</v>
      </c>
      <c r="B1336" s="13" t="s">
        <v>398</v>
      </c>
      <c r="C1336" s="14">
        <v>54.0</v>
      </c>
      <c r="D1336" s="13" t="s">
        <v>69</v>
      </c>
      <c r="E1336" s="13" t="s">
        <v>70</v>
      </c>
      <c r="F1336" s="13" t="s">
        <v>62</v>
      </c>
      <c r="G1336" s="13" t="s">
        <v>210</v>
      </c>
      <c r="H1336" s="16">
        <v>45927.0</v>
      </c>
      <c r="I1336" s="14">
        <v>35.0</v>
      </c>
      <c r="J1336" s="13" t="s">
        <v>53</v>
      </c>
      <c r="K1336" s="13" t="s">
        <v>65</v>
      </c>
      <c r="L1336" s="14">
        <v>815.0</v>
      </c>
      <c r="M1336" s="18" t="s">
        <v>43</v>
      </c>
      <c r="N1336" s="18" t="s">
        <v>98</v>
      </c>
      <c r="O1336" s="18">
        <v>23.8</v>
      </c>
      <c r="P1336" s="18" t="s">
        <v>99</v>
      </c>
      <c r="Q1336" s="16">
        <v>46907.0</v>
      </c>
      <c r="R1336" s="16" t="s">
        <v>38</v>
      </c>
      <c r="S1336" s="13" t="s">
        <v>55</v>
      </c>
      <c r="T1336" s="13" t="s">
        <v>47</v>
      </c>
      <c r="U1336" s="13">
        <f t="shared" si="1"/>
        <v>1</v>
      </c>
      <c r="V1336" s="13" t="str">
        <f t="shared" si="2"/>
        <v>C01140|Vikram Sharma|54|South|Bengaluru|Basic|Referral|9/27/2025|35|Quarterly|Credit Card|815|2|1|23.80|4|6/3/2028||Active|Cloud Storage</v>
      </c>
      <c r="W1336" s="13">
        <f t="shared" si="3"/>
        <v>1</v>
      </c>
      <c r="X1336" s="13">
        <f>IFERROR(__xludf.DUMMYFUNCTION("COUNTUNIQUE(FILTER($B$2:$B$1826,$A$2:$A$1826=A1336))"),1.0)</f>
        <v>1</v>
      </c>
    </row>
    <row r="1337">
      <c r="A1337" s="13" t="s">
        <v>1891</v>
      </c>
      <c r="B1337" s="13" t="s">
        <v>135</v>
      </c>
      <c r="C1337" s="14">
        <v>56.0</v>
      </c>
      <c r="D1337" s="13" t="s">
        <v>69</v>
      </c>
      <c r="E1337" s="13" t="s">
        <v>119</v>
      </c>
      <c r="F1337" s="13" t="s">
        <v>37</v>
      </c>
      <c r="G1337" s="13" t="s">
        <v>63</v>
      </c>
      <c r="H1337" s="16">
        <v>44658.0</v>
      </c>
      <c r="I1337" s="14">
        <v>1.0</v>
      </c>
      <c r="J1337" s="13" t="s">
        <v>64</v>
      </c>
      <c r="K1337" s="13" t="s">
        <v>65</v>
      </c>
      <c r="L1337" s="14">
        <v>1352.0</v>
      </c>
      <c r="M1337" s="18" t="s">
        <v>98</v>
      </c>
      <c r="N1337" s="18" t="s">
        <v>164</v>
      </c>
      <c r="O1337" s="18">
        <v>32.8</v>
      </c>
      <c r="P1337" s="18" t="s">
        <v>150</v>
      </c>
      <c r="Q1337" s="16">
        <v>44692.0</v>
      </c>
      <c r="R1337" s="16" t="s">
        <v>38</v>
      </c>
      <c r="S1337" s="13" t="s">
        <v>55</v>
      </c>
      <c r="T1337" s="13" t="s">
        <v>47</v>
      </c>
      <c r="U1337" s="13">
        <f t="shared" si="1"/>
        <v>1</v>
      </c>
      <c r="V1337" s="13" t="str">
        <f t="shared" si="2"/>
        <v>C00030|Karan Sharma|56|South|Kochi|Standard|Google Ads|4/7/2022|1|Annual|Credit Card|1,352|1|3|32.80|4.5|5/11/2022||Active|Cloud Storage</v>
      </c>
      <c r="W1337" s="13">
        <f t="shared" si="3"/>
        <v>1</v>
      </c>
      <c r="X1337" s="13">
        <f>IFERROR(__xludf.DUMMYFUNCTION("COUNTUNIQUE(FILTER($B$2:$B$1826,$A$2:$A$1826=A1337))"),1.0)</f>
        <v>1</v>
      </c>
    </row>
    <row r="1338">
      <c r="A1338" s="13" t="s">
        <v>962</v>
      </c>
      <c r="B1338" s="13" t="s">
        <v>118</v>
      </c>
      <c r="C1338" s="14">
        <v>55.0</v>
      </c>
      <c r="D1338" s="13" t="s">
        <v>60</v>
      </c>
      <c r="E1338" s="13" t="s">
        <v>133</v>
      </c>
      <c r="F1338" s="13" t="s">
        <v>62</v>
      </c>
      <c r="G1338" s="13" t="s">
        <v>80</v>
      </c>
      <c r="H1338" s="16">
        <v>45096.0</v>
      </c>
      <c r="I1338" s="14">
        <v>37.0</v>
      </c>
      <c r="J1338" s="13" t="s">
        <v>40</v>
      </c>
      <c r="K1338" s="13" t="s">
        <v>81</v>
      </c>
      <c r="L1338" s="14">
        <v>723.0</v>
      </c>
      <c r="M1338" s="18" t="s">
        <v>98</v>
      </c>
      <c r="N1338" s="18" t="s">
        <v>98</v>
      </c>
      <c r="O1338" s="18">
        <v>17.5</v>
      </c>
      <c r="P1338" s="18" t="s">
        <v>233</v>
      </c>
      <c r="Q1338" s="16">
        <v>45708.0</v>
      </c>
      <c r="R1338" s="16" t="s">
        <v>38</v>
      </c>
      <c r="S1338" s="13" t="s">
        <v>55</v>
      </c>
      <c r="T1338" s="13" t="s">
        <v>75</v>
      </c>
      <c r="U1338" s="13">
        <f t="shared" si="1"/>
        <v>3</v>
      </c>
      <c r="V1338" s="13" t="str">
        <f t="shared" si="2"/>
        <v>C00036|Karan Nair|55|East|Guwahati|Basic|Organic Search|6/19/2023|37|Monthly|Debit Card|723|1|1|17.50|3.5|2/20/2025||Active|Security</v>
      </c>
      <c r="W1338" s="13">
        <f t="shared" si="3"/>
        <v>1</v>
      </c>
      <c r="X1338" s="13">
        <f>IFERROR(__xludf.DUMMYFUNCTION("COUNTUNIQUE(FILTER($B$2:$B$1826,$A$2:$A$1826=A1338))"),3.0)</f>
        <v>3</v>
      </c>
    </row>
    <row r="1339">
      <c r="A1339" s="13" t="s">
        <v>1788</v>
      </c>
      <c r="B1339" s="13" t="s">
        <v>91</v>
      </c>
      <c r="C1339" s="14">
        <v>22.0</v>
      </c>
      <c r="D1339" s="13" t="s">
        <v>35</v>
      </c>
      <c r="E1339" s="13" t="s">
        <v>36</v>
      </c>
      <c r="F1339" s="13" t="s">
        <v>37</v>
      </c>
      <c r="G1339" s="13" t="s">
        <v>39</v>
      </c>
      <c r="H1339" s="16">
        <v>45410.0</v>
      </c>
      <c r="I1339" s="14">
        <v>42.0</v>
      </c>
      <c r="J1339" s="13" t="s">
        <v>40</v>
      </c>
      <c r="K1339" s="13" t="s">
        <v>65</v>
      </c>
      <c r="L1339" s="14">
        <v>1114.0</v>
      </c>
      <c r="M1339" s="18" t="s">
        <v>46</v>
      </c>
      <c r="N1339" s="18" t="s">
        <v>98</v>
      </c>
      <c r="O1339" s="18">
        <v>33.1</v>
      </c>
      <c r="P1339" s="18" t="s">
        <v>233</v>
      </c>
      <c r="Q1339" s="16">
        <v>45837.0</v>
      </c>
      <c r="R1339" s="16" t="s">
        <v>472</v>
      </c>
      <c r="S1339" s="13" t="s">
        <v>45</v>
      </c>
      <c r="T1339" s="13" t="s">
        <v>72</v>
      </c>
      <c r="U1339" s="13">
        <f t="shared" si="1"/>
        <v>2</v>
      </c>
      <c r="V1339" s="13" t="str">
        <f t="shared" si="2"/>
        <v>C01477|Anita Sharma|22|North|Delhi|Standard|Instagram|4/28/2024|42|Monthly|Credit Card|1,114|0|1|33.10|3.5|6/29/2025|20/10/2026|Churned|Collaboration</v>
      </c>
      <c r="W1339" s="13">
        <f t="shared" si="3"/>
        <v>1</v>
      </c>
      <c r="X1339" s="13">
        <f>IFERROR(__xludf.DUMMYFUNCTION("COUNTUNIQUE(FILTER($B$2:$B$1826,$A$2:$A$1826=A1339))"),2.0)</f>
        <v>2</v>
      </c>
    </row>
    <row r="1340">
      <c r="A1340" s="13" t="s">
        <v>1893</v>
      </c>
      <c r="B1340" s="13" t="s">
        <v>411</v>
      </c>
      <c r="C1340" s="14">
        <v>29.0</v>
      </c>
      <c r="D1340" s="13" t="s">
        <v>60</v>
      </c>
      <c r="E1340" s="13" t="s">
        <v>97</v>
      </c>
      <c r="F1340" s="13" t="s">
        <v>37</v>
      </c>
      <c r="G1340" s="13" t="s">
        <v>63</v>
      </c>
      <c r="H1340" s="16">
        <v>45367.0</v>
      </c>
      <c r="I1340" s="14">
        <v>31.0</v>
      </c>
      <c r="J1340" s="13" t="s">
        <v>53</v>
      </c>
      <c r="K1340" s="13" t="s">
        <v>41</v>
      </c>
      <c r="L1340" s="14">
        <v>1431.0</v>
      </c>
      <c r="M1340" s="18" t="s">
        <v>99</v>
      </c>
      <c r="N1340" s="18" t="s">
        <v>164</v>
      </c>
      <c r="O1340" s="18">
        <v>14.6</v>
      </c>
      <c r="P1340" s="18" t="s">
        <v>89</v>
      </c>
      <c r="Q1340" s="16">
        <v>46301.0</v>
      </c>
      <c r="R1340" s="16" t="s">
        <v>38</v>
      </c>
      <c r="S1340" s="13" t="s">
        <v>55</v>
      </c>
      <c r="T1340" s="13" t="s">
        <v>75</v>
      </c>
      <c r="U1340" s="13">
        <f t="shared" si="1"/>
        <v>1</v>
      </c>
      <c r="V1340" s="13" t="str">
        <f t="shared" si="2"/>
        <v>C00621|Karan Reddy|29|East|Bhubaneswar|Standard|Google Ads|3/16/2024|31|Quarterly|Upi|1,431|4|3|14.60|3.3|10/6/2026||Active|Security</v>
      </c>
      <c r="W1340" s="13">
        <f t="shared" si="3"/>
        <v>1</v>
      </c>
      <c r="X1340" s="13">
        <f>IFERROR(__xludf.DUMMYFUNCTION("COUNTUNIQUE(FILTER($B$2:$B$1826,$A$2:$A$1826=A1340))"),1.0)</f>
        <v>1</v>
      </c>
    </row>
    <row r="1341">
      <c r="A1341" s="13" t="s">
        <v>1862</v>
      </c>
      <c r="B1341" s="13" t="s">
        <v>106</v>
      </c>
      <c r="C1341" s="14">
        <v>30.0</v>
      </c>
      <c r="D1341" s="13" t="s">
        <v>69</v>
      </c>
      <c r="E1341" s="13" t="s">
        <v>70</v>
      </c>
      <c r="F1341" s="13" t="s">
        <v>62</v>
      </c>
      <c r="G1341" s="13" t="s">
        <v>210</v>
      </c>
      <c r="H1341" s="16">
        <v>45813.0</v>
      </c>
      <c r="I1341" s="14">
        <v>39.0</v>
      </c>
      <c r="J1341" s="13" t="s">
        <v>40</v>
      </c>
      <c r="K1341" s="13" t="s">
        <v>81</v>
      </c>
      <c r="L1341" s="14">
        <v>743.0</v>
      </c>
      <c r="M1341" s="18" t="s">
        <v>173</v>
      </c>
      <c r="N1341" s="18" t="s">
        <v>46</v>
      </c>
      <c r="O1341" s="18">
        <v>12.8</v>
      </c>
      <c r="P1341" s="18" t="s">
        <v>116</v>
      </c>
      <c r="Q1341" s="16">
        <v>46694.0</v>
      </c>
      <c r="R1341" s="16" t="s">
        <v>38</v>
      </c>
      <c r="S1341" s="13" t="s">
        <v>55</v>
      </c>
      <c r="T1341" s="13" t="s">
        <v>104</v>
      </c>
      <c r="U1341" s="13">
        <f t="shared" si="1"/>
        <v>2</v>
      </c>
      <c r="V1341" s="13" t="str">
        <f t="shared" si="2"/>
        <v>C00291|Rahul Patel|30|South|Bengaluru|Basic|Referral|6/5/2025|39|Monthly|Debit Card|743|5|0|12.80|3.4|11/3/2027||Active|Analytics</v>
      </c>
      <c r="W1341" s="13">
        <f t="shared" si="3"/>
        <v>1</v>
      </c>
      <c r="X1341" s="13">
        <f>IFERROR(__xludf.DUMMYFUNCTION("COUNTUNIQUE(FILTER($B$2:$B$1826,$A$2:$A$1826=A1341))"),2.0)</f>
        <v>2</v>
      </c>
    </row>
    <row r="1342">
      <c r="A1342" s="13" t="s">
        <v>1490</v>
      </c>
      <c r="B1342" s="13" t="s">
        <v>734</v>
      </c>
      <c r="C1342" s="14">
        <v>38.0</v>
      </c>
      <c r="D1342" s="13" t="s">
        <v>69</v>
      </c>
      <c r="E1342" s="13" t="s">
        <v>187</v>
      </c>
      <c r="F1342" s="13" t="s">
        <v>79</v>
      </c>
      <c r="G1342" s="13" t="s">
        <v>52</v>
      </c>
      <c r="H1342" s="16">
        <v>45913.0</v>
      </c>
      <c r="I1342" s="14">
        <v>19.0</v>
      </c>
      <c r="J1342" s="13" t="s">
        <v>64</v>
      </c>
      <c r="K1342" s="13" t="s">
        <v>65</v>
      </c>
      <c r="L1342" s="14">
        <v>3020.0</v>
      </c>
      <c r="M1342" s="18" t="s">
        <v>98</v>
      </c>
      <c r="N1342" s="18" t="s">
        <v>46</v>
      </c>
      <c r="O1342" s="18">
        <v>27.9</v>
      </c>
      <c r="P1342" s="18" t="s">
        <v>296</v>
      </c>
      <c r="Q1342" s="16">
        <v>46237.0</v>
      </c>
      <c r="R1342" s="16" t="s">
        <v>38</v>
      </c>
      <c r="S1342" s="13" t="s">
        <v>55</v>
      </c>
      <c r="T1342" s="13" t="s">
        <v>72</v>
      </c>
      <c r="U1342" s="13">
        <f t="shared" si="1"/>
        <v>2</v>
      </c>
      <c r="V1342" s="13" t="str">
        <f t="shared" si="2"/>
        <v>C00680|Sneha Das|38|South|Chennai|Premium|Facebook|9/13/2025|19|Annual|Credit Card|3,020|1|0|27.90|4.6|8/3/2026||Active|Collaboration</v>
      </c>
      <c r="W1342" s="13">
        <f t="shared" si="3"/>
        <v>1</v>
      </c>
      <c r="X1342" s="13">
        <f>IFERROR(__xludf.DUMMYFUNCTION("COUNTUNIQUE(FILTER($B$2:$B$1826,$A$2:$A$1826=A1342))"),2.0)</f>
        <v>2</v>
      </c>
    </row>
    <row r="1343">
      <c r="A1343" s="13" t="s">
        <v>668</v>
      </c>
      <c r="B1343" s="13" t="s">
        <v>322</v>
      </c>
      <c r="C1343" s="14">
        <v>40.0</v>
      </c>
      <c r="D1343" s="13" t="s">
        <v>69</v>
      </c>
      <c r="E1343" s="13" t="s">
        <v>119</v>
      </c>
      <c r="F1343" s="13" t="s">
        <v>62</v>
      </c>
      <c r="G1343" s="13" t="s">
        <v>63</v>
      </c>
      <c r="H1343" s="16">
        <v>45036.0</v>
      </c>
      <c r="I1343" s="14">
        <v>35.0</v>
      </c>
      <c r="J1343" s="13" t="s">
        <v>64</v>
      </c>
      <c r="K1343" s="13" t="s">
        <v>65</v>
      </c>
      <c r="L1343" s="14">
        <v>502.0</v>
      </c>
      <c r="M1343" s="18" t="s">
        <v>43</v>
      </c>
      <c r="N1343" s="18" t="s">
        <v>46</v>
      </c>
      <c r="O1343" s="18">
        <v>1.0</v>
      </c>
      <c r="P1343" s="18" t="s">
        <v>408</v>
      </c>
      <c r="Q1343" s="16">
        <v>45213.0</v>
      </c>
      <c r="R1343" s="16" t="s">
        <v>38</v>
      </c>
      <c r="S1343" s="13" t="s">
        <v>55</v>
      </c>
      <c r="T1343" s="13" t="s">
        <v>47</v>
      </c>
      <c r="U1343" s="13">
        <f t="shared" si="1"/>
        <v>4</v>
      </c>
      <c r="V1343" s="13" t="str">
        <f t="shared" si="2"/>
        <v>C00763|Rahul Iyer|40|South|Kochi|Basic|Google Ads|4/20/2023|35|Annual|Credit Card|502|2|0|1.00|4.2|10/14/2023||Active|Cloud Storage</v>
      </c>
      <c r="W1343" s="13">
        <f t="shared" si="3"/>
        <v>1</v>
      </c>
      <c r="X1343" s="13">
        <f>IFERROR(__xludf.DUMMYFUNCTION("COUNTUNIQUE(FILTER($B$2:$B$1826,$A$2:$A$1826=A1343))"),4.0)</f>
        <v>4</v>
      </c>
    </row>
    <row r="1344">
      <c r="A1344" s="13" t="s">
        <v>218</v>
      </c>
      <c r="B1344" s="13" t="s">
        <v>459</v>
      </c>
      <c r="C1344" s="14">
        <v>59.0</v>
      </c>
      <c r="D1344" s="13" t="s">
        <v>69</v>
      </c>
      <c r="E1344" s="13" t="s">
        <v>70</v>
      </c>
      <c r="F1344" s="13" t="s">
        <v>62</v>
      </c>
      <c r="G1344" s="13" t="s">
        <v>39</v>
      </c>
      <c r="H1344" s="16">
        <v>45369.0</v>
      </c>
      <c r="I1344" s="14">
        <v>9.0</v>
      </c>
      <c r="J1344" s="13" t="s">
        <v>53</v>
      </c>
      <c r="K1344" s="13" t="s">
        <v>65</v>
      </c>
      <c r="L1344" s="14">
        <v>545.0</v>
      </c>
      <c r="M1344" s="18" t="s">
        <v>164</v>
      </c>
      <c r="N1344" s="18" t="s">
        <v>98</v>
      </c>
      <c r="O1344" s="18">
        <v>14.3</v>
      </c>
      <c r="P1344" s="18" t="s">
        <v>701</v>
      </c>
      <c r="Q1344" s="16">
        <v>45620.0</v>
      </c>
      <c r="R1344" s="16" t="s">
        <v>38</v>
      </c>
      <c r="S1344" s="13" t="s">
        <v>55</v>
      </c>
      <c r="T1344" s="13" t="s">
        <v>47</v>
      </c>
      <c r="U1344" s="13">
        <f t="shared" si="1"/>
        <v>2</v>
      </c>
      <c r="V1344" s="13" t="str">
        <f t="shared" si="2"/>
        <v>C00209|Neha Patel|59|South|Bengaluru|Basic|Instagram|3/18/2024|9|Quarterly|Credit Card|545|3|1|14.30|2.8|11/24/2024||Active|Cloud Storage</v>
      </c>
      <c r="W1344" s="13">
        <f t="shared" si="3"/>
        <v>1</v>
      </c>
      <c r="X1344" s="13">
        <f>IFERROR(__xludf.DUMMYFUNCTION("COUNTUNIQUE(FILTER($B$2:$B$1826,$A$2:$A$1826=A1344))"),2.0)</f>
        <v>2</v>
      </c>
    </row>
    <row r="1345">
      <c r="A1345" s="13" t="s">
        <v>1894</v>
      </c>
      <c r="B1345" s="13" t="s">
        <v>232</v>
      </c>
      <c r="C1345" s="14">
        <v>29.0</v>
      </c>
      <c r="D1345" s="13" t="s">
        <v>60</v>
      </c>
      <c r="E1345" s="13" t="s">
        <v>97</v>
      </c>
      <c r="F1345" s="13" t="s">
        <v>37</v>
      </c>
      <c r="G1345" s="13" t="s">
        <v>39</v>
      </c>
      <c r="H1345" s="16">
        <v>45219.0</v>
      </c>
      <c r="I1345" s="14">
        <v>46.0</v>
      </c>
      <c r="J1345" s="13" t="s">
        <v>64</v>
      </c>
      <c r="K1345" s="13" t="s">
        <v>65</v>
      </c>
      <c r="L1345" s="14">
        <v>1331.0</v>
      </c>
      <c r="M1345" s="18" t="s">
        <v>164</v>
      </c>
      <c r="N1345" s="18" t="s">
        <v>98</v>
      </c>
      <c r="O1345" s="18">
        <v>50.9</v>
      </c>
      <c r="P1345" s="18" t="s">
        <v>263</v>
      </c>
      <c r="Q1345" s="16">
        <v>45599.0</v>
      </c>
      <c r="R1345" s="16" t="s">
        <v>38</v>
      </c>
      <c r="S1345" s="13" t="s">
        <v>55</v>
      </c>
      <c r="T1345" s="13" t="s">
        <v>47</v>
      </c>
      <c r="U1345" s="13">
        <f t="shared" si="1"/>
        <v>2</v>
      </c>
      <c r="V1345" s="13" t="str">
        <f t="shared" si="2"/>
        <v>C00872|Meera Iyer|29|East|Bhubaneswar|Standard|Instagram|10/20/2023|46|Annual|Credit Card|1,331|3|1|50.90|2.9|11/3/2024||Active|Cloud Storage</v>
      </c>
      <c r="W1345" s="13">
        <f t="shared" si="3"/>
        <v>1</v>
      </c>
      <c r="X1345" s="13">
        <f>IFERROR(__xludf.DUMMYFUNCTION("COUNTUNIQUE(FILTER($B$2:$B$1826,$A$2:$A$1826=A1345))"),2.0)</f>
        <v>2</v>
      </c>
    </row>
    <row r="1346">
      <c r="A1346" s="13" t="s">
        <v>1731</v>
      </c>
      <c r="B1346" s="13" t="s">
        <v>74</v>
      </c>
      <c r="C1346" s="14">
        <v>52.0</v>
      </c>
      <c r="D1346" s="13" t="s">
        <v>60</v>
      </c>
      <c r="E1346" s="13" t="s">
        <v>61</v>
      </c>
      <c r="F1346" s="13" t="s">
        <v>62</v>
      </c>
      <c r="G1346" s="13" t="s">
        <v>80</v>
      </c>
      <c r="H1346" s="16">
        <v>45233.0</v>
      </c>
      <c r="I1346" s="14">
        <v>32.0</v>
      </c>
      <c r="J1346" s="13" t="s">
        <v>64</v>
      </c>
      <c r="K1346" s="13" t="s">
        <v>41</v>
      </c>
      <c r="L1346" s="14">
        <v>542.0</v>
      </c>
      <c r="M1346" s="18" t="s">
        <v>99</v>
      </c>
      <c r="N1346" s="18" t="s">
        <v>98</v>
      </c>
      <c r="O1346" s="18">
        <v>7.4</v>
      </c>
      <c r="P1346" s="18" t="s">
        <v>233</v>
      </c>
      <c r="Q1346" s="16">
        <v>45299.0</v>
      </c>
      <c r="R1346" s="16" t="s">
        <v>38</v>
      </c>
      <c r="S1346" s="13" t="s">
        <v>55</v>
      </c>
      <c r="T1346" s="13" t="s">
        <v>72</v>
      </c>
      <c r="U1346" s="13">
        <f t="shared" si="1"/>
        <v>2</v>
      </c>
      <c r="V1346" s="13" t="str">
        <f t="shared" si="2"/>
        <v>C01460|Anita Kumar|52|East|Kolkata|Basic|Organic Search|11/3/2023|32|Annual|Upi|542|4|1|7.40|3.5|1/8/2024||Active|Collaboration</v>
      </c>
      <c r="W1346" s="13">
        <f t="shared" si="3"/>
        <v>1</v>
      </c>
      <c r="X1346" s="13">
        <f>IFERROR(__xludf.DUMMYFUNCTION("COUNTUNIQUE(FILTER($B$2:$B$1826,$A$2:$A$1826=A1346))"),2.0)</f>
        <v>2</v>
      </c>
    </row>
    <row r="1347">
      <c r="A1347" s="13" t="s">
        <v>1896</v>
      </c>
      <c r="B1347" s="13" t="s">
        <v>322</v>
      </c>
      <c r="C1347" s="14">
        <v>47.0</v>
      </c>
      <c r="D1347" s="13" t="s">
        <v>35</v>
      </c>
      <c r="E1347" s="13" t="s">
        <v>161</v>
      </c>
      <c r="F1347" s="13" t="s">
        <v>62</v>
      </c>
      <c r="G1347" s="13" t="s">
        <v>210</v>
      </c>
      <c r="H1347" s="16">
        <v>45113.0</v>
      </c>
      <c r="I1347" s="14">
        <v>31.0</v>
      </c>
      <c r="J1347" s="13" t="s">
        <v>64</v>
      </c>
      <c r="K1347" s="13" t="s">
        <v>81</v>
      </c>
      <c r="L1347" s="14">
        <v>686.0</v>
      </c>
      <c r="M1347" s="18" t="s">
        <v>98</v>
      </c>
      <c r="N1347" s="18" t="s">
        <v>98</v>
      </c>
      <c r="O1347" s="18">
        <v>2.8</v>
      </c>
      <c r="P1347" s="18" t="s">
        <v>275</v>
      </c>
      <c r="Q1347" s="16">
        <v>45488.0</v>
      </c>
      <c r="R1347" s="16" t="s">
        <v>38</v>
      </c>
      <c r="S1347" s="13" t="s">
        <v>55</v>
      </c>
      <c r="T1347" s="13" t="s">
        <v>72</v>
      </c>
      <c r="U1347" s="13">
        <f t="shared" si="1"/>
        <v>1</v>
      </c>
      <c r="V1347" s="13" t="str">
        <f t="shared" si="2"/>
        <v>C00632|Rahul Iyer|47|North|Chandigarh|Basic|Referral|7/6/2023|31|Annual|Debit Card|686|1|1|2.80|4.3|7/15/2024||Active|Collaboration</v>
      </c>
      <c r="W1347" s="13">
        <f t="shared" si="3"/>
        <v>1</v>
      </c>
      <c r="X1347" s="13">
        <f>IFERROR(__xludf.DUMMYFUNCTION("COUNTUNIQUE(FILTER($B$2:$B$1826,$A$2:$A$1826=A1347))"),1.0)</f>
        <v>1</v>
      </c>
    </row>
    <row r="1348">
      <c r="A1348" s="13" t="s">
        <v>105</v>
      </c>
      <c r="B1348" s="13" t="s">
        <v>295</v>
      </c>
      <c r="C1348" s="14">
        <v>33.0</v>
      </c>
      <c r="D1348" s="13" t="s">
        <v>85</v>
      </c>
      <c r="E1348" s="13" t="s">
        <v>292</v>
      </c>
      <c r="F1348" s="13" t="s">
        <v>62</v>
      </c>
      <c r="G1348" s="13" t="s">
        <v>210</v>
      </c>
      <c r="H1348" s="16">
        <v>46000.0</v>
      </c>
      <c r="I1348" s="14">
        <v>37.0</v>
      </c>
      <c r="J1348" s="13" t="s">
        <v>53</v>
      </c>
      <c r="K1348" s="13" t="s">
        <v>81</v>
      </c>
      <c r="L1348" s="14">
        <v>632.0</v>
      </c>
      <c r="M1348" s="18" t="s">
        <v>98</v>
      </c>
      <c r="N1348" s="18" t="s">
        <v>164</v>
      </c>
      <c r="O1348" s="18">
        <v>15.3</v>
      </c>
      <c r="P1348" s="18" t="s">
        <v>916</v>
      </c>
      <c r="Q1348" s="16">
        <v>46426.0</v>
      </c>
      <c r="R1348" s="16" t="s">
        <v>38</v>
      </c>
      <c r="S1348" s="13" t="s">
        <v>55</v>
      </c>
      <c r="T1348" s="13" t="s">
        <v>66</v>
      </c>
      <c r="U1348" s="13">
        <f t="shared" si="1"/>
        <v>3</v>
      </c>
      <c r="V1348" s="13" t="str">
        <f t="shared" si="2"/>
        <v>C00230|Arun Reddy|33|West|Mumbai|Basic|Referral|12/9/2025|37|Quarterly|Debit Card|632|1|3|15.30|1.9|2/8/2027||Active|Automation</v>
      </c>
      <c r="W1348" s="13">
        <f t="shared" si="3"/>
        <v>1</v>
      </c>
      <c r="X1348" s="13">
        <f>IFERROR(__xludf.DUMMYFUNCTION("COUNTUNIQUE(FILTER($B$2:$B$1826,$A$2:$A$1826=A1348))"),3.0)</f>
        <v>3</v>
      </c>
    </row>
    <row r="1349">
      <c r="A1349" s="13" t="s">
        <v>1897</v>
      </c>
      <c r="B1349" s="13" t="s">
        <v>145</v>
      </c>
      <c r="C1349" s="14">
        <v>46.0</v>
      </c>
      <c r="D1349" s="13" t="s">
        <v>69</v>
      </c>
      <c r="E1349" s="13" t="s">
        <v>187</v>
      </c>
      <c r="F1349" s="13" t="s">
        <v>62</v>
      </c>
      <c r="G1349" s="13" t="s">
        <v>39</v>
      </c>
      <c r="H1349" s="16">
        <v>45424.0</v>
      </c>
      <c r="I1349" s="14">
        <v>6.0</v>
      </c>
      <c r="J1349" s="13" t="s">
        <v>40</v>
      </c>
      <c r="K1349" s="13" t="s">
        <v>81</v>
      </c>
      <c r="L1349" s="14">
        <v>534.0</v>
      </c>
      <c r="M1349" s="18" t="s">
        <v>98</v>
      </c>
      <c r="N1349" s="18" t="s">
        <v>98</v>
      </c>
      <c r="O1349" s="18">
        <v>13.5</v>
      </c>
      <c r="P1349" s="18" t="s">
        <v>248</v>
      </c>
      <c r="Q1349" s="16">
        <v>45495.0</v>
      </c>
      <c r="R1349" s="16" t="s">
        <v>1898</v>
      </c>
      <c r="S1349" s="13" t="s">
        <v>45</v>
      </c>
      <c r="T1349" s="13" t="s">
        <v>75</v>
      </c>
      <c r="U1349" s="13">
        <f t="shared" si="1"/>
        <v>1</v>
      </c>
      <c r="V1349" s="13" t="str">
        <f t="shared" si="2"/>
        <v>C00063|Ravi Patel|46|South|Chennai|Basic|Instagram|5/12/2024|6|Monthly|Debit Card|534|1|1|13.50|2.6|7/22/2024|22/11/2024|Churned|Security</v>
      </c>
      <c r="W1349" s="13">
        <f t="shared" si="3"/>
        <v>1</v>
      </c>
      <c r="X1349" s="13">
        <f>IFERROR(__xludf.DUMMYFUNCTION("COUNTUNIQUE(FILTER($B$2:$B$1826,$A$2:$A$1826=A1349))"),1.0)</f>
        <v>1</v>
      </c>
    </row>
    <row r="1350">
      <c r="A1350" s="13" t="s">
        <v>1899</v>
      </c>
      <c r="B1350" s="13" t="s">
        <v>405</v>
      </c>
      <c r="C1350" s="14">
        <v>62.0</v>
      </c>
      <c r="D1350" s="13" t="s">
        <v>69</v>
      </c>
      <c r="E1350" s="13" t="s">
        <v>70</v>
      </c>
      <c r="F1350" s="13" t="s">
        <v>62</v>
      </c>
      <c r="G1350" s="13" t="s">
        <v>39</v>
      </c>
      <c r="H1350" s="16">
        <v>45544.0</v>
      </c>
      <c r="I1350" s="14">
        <v>35.0</v>
      </c>
      <c r="J1350" s="13" t="s">
        <v>40</v>
      </c>
      <c r="K1350" s="13" t="s">
        <v>65</v>
      </c>
      <c r="L1350" s="14">
        <v>503.0</v>
      </c>
      <c r="M1350" s="18" t="s">
        <v>173</v>
      </c>
      <c r="N1350" s="18" t="s">
        <v>46</v>
      </c>
      <c r="O1350" s="18">
        <v>28.0</v>
      </c>
      <c r="P1350" s="18" t="s">
        <v>275</v>
      </c>
      <c r="Q1350" s="16">
        <v>46444.0</v>
      </c>
      <c r="R1350" s="16" t="s">
        <v>38</v>
      </c>
      <c r="S1350" s="13" t="s">
        <v>55</v>
      </c>
      <c r="T1350" s="13" t="s">
        <v>47</v>
      </c>
      <c r="U1350" s="13">
        <f t="shared" si="1"/>
        <v>1</v>
      </c>
      <c r="V1350" s="13" t="str">
        <f t="shared" si="2"/>
        <v>C01037|Rahul Reddy|62|South|Bengaluru|Basic|Instagram|9/9/2024|35|Monthly|Credit Card|503|5|0|28.00|4.3|2/26/2027||Active|Cloud Storage</v>
      </c>
      <c r="W1350" s="13">
        <f t="shared" si="3"/>
        <v>1</v>
      </c>
      <c r="X1350" s="13">
        <f>IFERROR(__xludf.DUMMYFUNCTION("COUNTUNIQUE(FILTER($B$2:$B$1826,$A$2:$A$1826=A1350))"),1.0)</f>
        <v>1</v>
      </c>
    </row>
    <row r="1351">
      <c r="A1351" s="13" t="s">
        <v>1709</v>
      </c>
      <c r="B1351" s="13" t="s">
        <v>179</v>
      </c>
      <c r="C1351" s="14">
        <v>25.0</v>
      </c>
      <c r="D1351" s="13" t="s">
        <v>85</v>
      </c>
      <c r="E1351" s="13" t="s">
        <v>92</v>
      </c>
      <c r="F1351" s="13" t="s">
        <v>62</v>
      </c>
      <c r="G1351" s="13" t="s">
        <v>128</v>
      </c>
      <c r="H1351" s="16">
        <v>45915.0</v>
      </c>
      <c r="I1351" s="14">
        <v>14.0</v>
      </c>
      <c r="J1351" s="13" t="s">
        <v>64</v>
      </c>
      <c r="K1351" s="13" t="s">
        <v>81</v>
      </c>
      <c r="L1351" s="14">
        <v>872.0</v>
      </c>
      <c r="M1351" s="18" t="s">
        <v>98</v>
      </c>
      <c r="N1351" s="18" t="s">
        <v>98</v>
      </c>
      <c r="O1351" s="18">
        <v>15.8</v>
      </c>
      <c r="P1351" s="18" t="s">
        <v>89</v>
      </c>
      <c r="Q1351" s="16">
        <v>46340.0</v>
      </c>
      <c r="R1351" s="16">
        <v>46034.0</v>
      </c>
      <c r="S1351" s="13" t="s">
        <v>45</v>
      </c>
      <c r="T1351" s="13" t="s">
        <v>104</v>
      </c>
      <c r="U1351" s="13">
        <f t="shared" si="1"/>
        <v>2</v>
      </c>
      <c r="V1351" s="13" t="str">
        <f t="shared" si="2"/>
        <v>C00251|Ravi Kumar|25|West|Ahmedabad|Basic|Youtube|9/15/2025|14|Annual|Debit Card|872|1|1|15.80|3.3|11/14/2026|1/12/2026|Churned|Analytics</v>
      </c>
      <c r="W1351" s="13">
        <f t="shared" si="3"/>
        <v>1</v>
      </c>
      <c r="X1351" s="13">
        <f>IFERROR(__xludf.DUMMYFUNCTION("COUNTUNIQUE(FILTER($B$2:$B$1826,$A$2:$A$1826=A1351))"),2.0)</f>
        <v>2</v>
      </c>
    </row>
    <row r="1352">
      <c r="A1352" s="13" t="s">
        <v>1901</v>
      </c>
      <c r="B1352" s="13" t="s">
        <v>50</v>
      </c>
      <c r="C1352" s="14">
        <v>56.0</v>
      </c>
      <c r="D1352" s="13" t="s">
        <v>85</v>
      </c>
      <c r="E1352" s="13" t="s">
        <v>87</v>
      </c>
      <c r="F1352" s="13" t="s">
        <v>62</v>
      </c>
      <c r="G1352" s="13" t="s">
        <v>210</v>
      </c>
      <c r="H1352" s="16">
        <v>45343.0</v>
      </c>
      <c r="I1352" s="14">
        <v>32.0</v>
      </c>
      <c r="J1352" s="13" t="s">
        <v>40</v>
      </c>
      <c r="K1352" s="13" t="s">
        <v>41</v>
      </c>
      <c r="L1352" s="14">
        <v>744.0</v>
      </c>
      <c r="M1352" s="18" t="s">
        <v>99</v>
      </c>
      <c r="N1352" s="18" t="s">
        <v>99</v>
      </c>
      <c r="O1352" s="18">
        <v>12.5</v>
      </c>
      <c r="P1352" s="18" t="s">
        <v>123</v>
      </c>
      <c r="Q1352" s="16">
        <v>45740.0</v>
      </c>
      <c r="R1352" s="16" t="s">
        <v>38</v>
      </c>
      <c r="S1352" s="13" t="s">
        <v>55</v>
      </c>
      <c r="T1352" s="13" t="s">
        <v>47</v>
      </c>
      <c r="U1352" s="13">
        <f t="shared" si="1"/>
        <v>1</v>
      </c>
      <c r="V1352" s="13" t="str">
        <f t="shared" si="2"/>
        <v>C00730|Rahul Das|56|West|Surat|Basic|Referral|2/21/2024|32|Monthly|Upi|744|4|4|12.50|4.1|3/24/2025||Active|Cloud Storage</v>
      </c>
      <c r="W1352" s="13">
        <f t="shared" si="3"/>
        <v>1</v>
      </c>
      <c r="X1352" s="13">
        <f>IFERROR(__xludf.DUMMYFUNCTION("COUNTUNIQUE(FILTER($B$2:$B$1826,$A$2:$A$1826=A1352))"),1.0)</f>
        <v>1</v>
      </c>
    </row>
    <row r="1353">
      <c r="A1353" s="13" t="s">
        <v>1902</v>
      </c>
      <c r="B1353" s="13" t="s">
        <v>132</v>
      </c>
      <c r="C1353" s="14">
        <v>63.0</v>
      </c>
      <c r="D1353" s="13" t="s">
        <v>85</v>
      </c>
      <c r="E1353" s="13" t="s">
        <v>111</v>
      </c>
      <c r="F1353" s="13" t="s">
        <v>37</v>
      </c>
      <c r="G1353" s="13" t="s">
        <v>80</v>
      </c>
      <c r="H1353" s="16">
        <v>45088.0</v>
      </c>
      <c r="I1353" s="14">
        <v>25.0</v>
      </c>
      <c r="J1353" s="13" t="s">
        <v>64</v>
      </c>
      <c r="K1353" s="13" t="s">
        <v>41</v>
      </c>
      <c r="L1353" s="14">
        <v>1267.0</v>
      </c>
      <c r="M1353" s="18" t="s">
        <v>98</v>
      </c>
      <c r="N1353" s="18" t="s">
        <v>98</v>
      </c>
      <c r="O1353" s="18">
        <v>25.5</v>
      </c>
      <c r="P1353" s="18" t="s">
        <v>408</v>
      </c>
      <c r="Q1353" s="16">
        <v>45447.0</v>
      </c>
      <c r="R1353" s="16" t="s">
        <v>38</v>
      </c>
      <c r="S1353" s="13" t="s">
        <v>55</v>
      </c>
      <c r="T1353" s="13" t="s">
        <v>104</v>
      </c>
      <c r="U1353" s="13">
        <f t="shared" si="1"/>
        <v>1</v>
      </c>
      <c r="V1353" s="13" t="str">
        <f t="shared" si="2"/>
        <v>C00430|Arun Kumar|63|West|Pune|Standard|Organic Search|6/11/2023|25|Annual|Upi|1,267|1|1|25.50|4.2|6/4/2024||Active|Analytics</v>
      </c>
      <c r="W1353" s="13">
        <f t="shared" si="3"/>
        <v>1</v>
      </c>
      <c r="X1353" s="13">
        <f>IFERROR(__xludf.DUMMYFUNCTION("COUNTUNIQUE(FILTER($B$2:$B$1826,$A$2:$A$1826=A1353))"),1.0)</f>
        <v>1</v>
      </c>
    </row>
    <row r="1354">
      <c r="A1354" s="13" t="s">
        <v>1096</v>
      </c>
      <c r="B1354" s="13" t="s">
        <v>59</v>
      </c>
      <c r="C1354" s="14">
        <v>61.0</v>
      </c>
      <c r="D1354" s="13" t="s">
        <v>60</v>
      </c>
      <c r="E1354" s="13" t="s">
        <v>133</v>
      </c>
      <c r="F1354" s="13" t="s">
        <v>62</v>
      </c>
      <c r="G1354" s="13" t="s">
        <v>63</v>
      </c>
      <c r="H1354" s="16">
        <v>45650.0</v>
      </c>
      <c r="I1354" s="14">
        <v>15.0</v>
      </c>
      <c r="J1354" s="13" t="s">
        <v>64</v>
      </c>
      <c r="K1354" s="13" t="s">
        <v>65</v>
      </c>
      <c r="L1354" s="14">
        <v>849.0</v>
      </c>
      <c r="M1354" s="18" t="s">
        <v>43</v>
      </c>
      <c r="N1354" s="18" t="s">
        <v>46</v>
      </c>
      <c r="O1354" s="18">
        <v>20.5</v>
      </c>
      <c r="P1354" s="18" t="s">
        <v>108</v>
      </c>
      <c r="Q1354" s="16">
        <v>45743.0</v>
      </c>
      <c r="R1354" s="16">
        <v>45994.0</v>
      </c>
      <c r="S1354" s="13" t="s">
        <v>45</v>
      </c>
      <c r="T1354" s="13" t="s">
        <v>72</v>
      </c>
      <c r="U1354" s="13">
        <f t="shared" si="1"/>
        <v>2</v>
      </c>
      <c r="V1354" s="13" t="str">
        <f t="shared" si="2"/>
        <v>C01091|Priya Das|61|East|Guwahati|Basic|Google Ads|12/24/2024|15|Annual|Credit Card|849|2|0|20.50|2.4|3/27/2025|12/3/2025|Churned|Collaboration</v>
      </c>
      <c r="W1354" s="13">
        <f t="shared" si="3"/>
        <v>1</v>
      </c>
      <c r="X1354" s="13">
        <f>IFERROR(__xludf.DUMMYFUNCTION("COUNTUNIQUE(FILTER($B$2:$B$1826,$A$2:$A$1826=A1354))"),2.0)</f>
        <v>2</v>
      </c>
    </row>
    <row r="1355">
      <c r="A1355" s="13" t="s">
        <v>1905</v>
      </c>
      <c r="B1355" s="13" t="s">
        <v>448</v>
      </c>
      <c r="C1355" s="14">
        <v>47.0</v>
      </c>
      <c r="D1355" s="13" t="s">
        <v>85</v>
      </c>
      <c r="E1355" s="13" t="s">
        <v>133</v>
      </c>
      <c r="F1355" s="13" t="s">
        <v>62</v>
      </c>
      <c r="G1355" s="13" t="s">
        <v>80</v>
      </c>
      <c r="H1355" s="16">
        <v>45620.0</v>
      </c>
      <c r="I1355" s="14">
        <v>20.0</v>
      </c>
      <c r="J1355" s="13" t="s">
        <v>40</v>
      </c>
      <c r="K1355" s="13" t="s">
        <v>81</v>
      </c>
      <c r="L1355" s="14">
        <v>842.0</v>
      </c>
      <c r="M1355" s="18" t="s">
        <v>164</v>
      </c>
      <c r="N1355" s="18" t="s">
        <v>98</v>
      </c>
      <c r="O1355" s="18">
        <v>16.6</v>
      </c>
      <c r="P1355" s="18" t="s">
        <v>368</v>
      </c>
      <c r="Q1355" s="16">
        <v>46098.0</v>
      </c>
      <c r="R1355" s="16" t="s">
        <v>38</v>
      </c>
      <c r="S1355" s="13" t="s">
        <v>55</v>
      </c>
      <c r="T1355" s="13" t="s">
        <v>72</v>
      </c>
      <c r="U1355" s="13">
        <f t="shared" si="1"/>
        <v>1</v>
      </c>
      <c r="V1355" s="13" t="str">
        <f t="shared" si="2"/>
        <v>C00349|Meera Reddy|47|West|Guwahati|Basic|Organic Search|11/24/2024|20|Monthly|Debit Card|842|3|1|16.60|4.9|3/17/2026||Active|Collaboration</v>
      </c>
      <c r="W1355" s="13">
        <f t="shared" si="3"/>
        <v>1</v>
      </c>
      <c r="X1355" s="13">
        <f>IFERROR(__xludf.DUMMYFUNCTION("COUNTUNIQUE(FILTER($B$2:$B$1826,$A$2:$A$1826=A1355))"),1.0)</f>
        <v>1</v>
      </c>
    </row>
    <row r="1356">
      <c r="A1356" s="13" t="s">
        <v>1447</v>
      </c>
      <c r="B1356" s="13" t="s">
        <v>106</v>
      </c>
      <c r="C1356" s="14">
        <v>23.0</v>
      </c>
      <c r="D1356" s="13" t="s">
        <v>85</v>
      </c>
      <c r="E1356" s="13" t="s">
        <v>92</v>
      </c>
      <c r="F1356" s="13" t="s">
        <v>37</v>
      </c>
      <c r="G1356" s="13" t="s">
        <v>80</v>
      </c>
      <c r="H1356" s="16">
        <v>45275.0</v>
      </c>
      <c r="I1356" s="14">
        <v>34.0</v>
      </c>
      <c r="J1356" s="13" t="s">
        <v>53</v>
      </c>
      <c r="K1356" s="13" t="s">
        <v>81</v>
      </c>
      <c r="L1356" s="14">
        <v>1758.0</v>
      </c>
      <c r="M1356" s="18" t="s">
        <v>98</v>
      </c>
      <c r="N1356" s="18" t="s">
        <v>98</v>
      </c>
      <c r="O1356" s="18">
        <v>12.2</v>
      </c>
      <c r="P1356" s="18" t="s">
        <v>99</v>
      </c>
      <c r="Q1356" s="16">
        <v>45390.0</v>
      </c>
      <c r="R1356" s="16" t="s">
        <v>38</v>
      </c>
      <c r="S1356" s="13" t="s">
        <v>55</v>
      </c>
      <c r="T1356" s="13" t="s">
        <v>66</v>
      </c>
      <c r="U1356" s="13">
        <f t="shared" si="1"/>
        <v>2</v>
      </c>
      <c r="V1356" s="13" t="str">
        <f t="shared" si="2"/>
        <v>C01588|Rahul Patel|23|West|Ahmedabad|Standard|Organic Search|12/15/2023|34|Quarterly|Debit Card|1,758|1|1|12.20|4|4/8/2024||Active|Automation</v>
      </c>
      <c r="W1356" s="13">
        <f t="shared" si="3"/>
        <v>1</v>
      </c>
      <c r="X1356" s="13">
        <f>IFERROR(__xludf.DUMMYFUNCTION("COUNTUNIQUE(FILTER($B$2:$B$1826,$A$2:$A$1826=A1356))"),2.0)</f>
        <v>2</v>
      </c>
    </row>
    <row r="1357">
      <c r="A1357" s="13" t="s">
        <v>867</v>
      </c>
      <c r="B1357" s="13" t="s">
        <v>224</v>
      </c>
      <c r="C1357" s="14">
        <v>35.0</v>
      </c>
      <c r="D1357" s="13" t="s">
        <v>35</v>
      </c>
      <c r="E1357" s="13" t="s">
        <v>51</v>
      </c>
      <c r="F1357" s="13" t="s">
        <v>62</v>
      </c>
      <c r="G1357" s="13" t="s">
        <v>80</v>
      </c>
      <c r="H1357" s="16">
        <v>44946.0</v>
      </c>
      <c r="I1357" s="14">
        <v>41.0</v>
      </c>
      <c r="J1357" s="13" t="s">
        <v>53</v>
      </c>
      <c r="K1357" s="13" t="s">
        <v>41</v>
      </c>
      <c r="L1357" s="14">
        <v>730.0</v>
      </c>
      <c r="M1357" s="18" t="s">
        <v>376</v>
      </c>
      <c r="N1357" s="18" t="s">
        <v>46</v>
      </c>
      <c r="O1357" s="18">
        <v>21.3</v>
      </c>
      <c r="P1357" s="18" t="s">
        <v>263</v>
      </c>
      <c r="Q1357" s="16">
        <v>44985.0</v>
      </c>
      <c r="R1357" s="16" t="s">
        <v>38</v>
      </c>
      <c r="S1357" s="13" t="s">
        <v>55</v>
      </c>
      <c r="T1357" s="13" t="s">
        <v>72</v>
      </c>
      <c r="U1357" s="13">
        <f t="shared" si="1"/>
        <v>2</v>
      </c>
      <c r="V1357" s="13" t="str">
        <f t="shared" si="2"/>
        <v>C00948|Anita Iyer|35|North|Jaipur|Basic|Organic Search|1/20/2023|41|Quarterly|Upi|730|6|0|21.30|2.9|2/28/2023||Active|Collaboration</v>
      </c>
      <c r="W1357" s="13">
        <f t="shared" si="3"/>
        <v>1</v>
      </c>
      <c r="X1357" s="13">
        <f>IFERROR(__xludf.DUMMYFUNCTION("COUNTUNIQUE(FILTER($B$2:$B$1826,$A$2:$A$1826=A1357))"),2.0)</f>
        <v>2</v>
      </c>
    </row>
    <row r="1358">
      <c r="A1358" s="13" t="s">
        <v>1906</v>
      </c>
      <c r="B1358" s="13" t="s">
        <v>470</v>
      </c>
      <c r="C1358" s="14">
        <v>52.0</v>
      </c>
      <c r="D1358" s="13" t="s">
        <v>85</v>
      </c>
      <c r="E1358" s="13" t="s">
        <v>87</v>
      </c>
      <c r="F1358" s="13" t="s">
        <v>37</v>
      </c>
      <c r="G1358" s="13" t="s">
        <v>39</v>
      </c>
      <c r="H1358" s="16">
        <v>45633.0</v>
      </c>
      <c r="I1358" s="14">
        <v>26.0</v>
      </c>
      <c r="J1358" s="13" t="s">
        <v>64</v>
      </c>
      <c r="K1358" s="13" t="s">
        <v>65</v>
      </c>
      <c r="L1358" s="14">
        <v>1083.0</v>
      </c>
      <c r="M1358" s="18" t="s">
        <v>46</v>
      </c>
      <c r="N1358" s="18" t="s">
        <v>43</v>
      </c>
      <c r="O1358" s="18">
        <v>25.8</v>
      </c>
      <c r="P1358" s="18" t="s">
        <v>108</v>
      </c>
      <c r="Q1358" s="16">
        <v>46386.0</v>
      </c>
      <c r="R1358" s="16" t="s">
        <v>1907</v>
      </c>
      <c r="S1358" s="13" t="s">
        <v>45</v>
      </c>
      <c r="T1358" s="13" t="s">
        <v>75</v>
      </c>
      <c r="U1358" s="13">
        <f t="shared" si="1"/>
        <v>1</v>
      </c>
      <c r="V1358" s="13" t="str">
        <f t="shared" si="2"/>
        <v>C00423|Arun Singh|52|West|Surat|Standard|Instagram|12/7/2024|26|Annual|Credit Card|1,083|0|2|25.80|2.4|12/30/2026|16/08/2025|Churned|Security</v>
      </c>
      <c r="W1358" s="13">
        <f t="shared" si="3"/>
        <v>1</v>
      </c>
      <c r="X1358" s="13">
        <f>IFERROR(__xludf.DUMMYFUNCTION("COUNTUNIQUE(FILTER($B$2:$B$1826,$A$2:$A$1826=A1358))"),1.0)</f>
        <v>1</v>
      </c>
    </row>
    <row r="1359">
      <c r="A1359" s="13" t="s">
        <v>849</v>
      </c>
      <c r="B1359" s="13" t="s">
        <v>605</v>
      </c>
      <c r="C1359" s="14">
        <v>25.0</v>
      </c>
      <c r="D1359" s="13" t="s">
        <v>35</v>
      </c>
      <c r="E1359" s="13" t="s">
        <v>36</v>
      </c>
      <c r="F1359" s="13" t="s">
        <v>37</v>
      </c>
      <c r="G1359" s="13" t="s">
        <v>80</v>
      </c>
      <c r="H1359" s="16">
        <v>45568.0</v>
      </c>
      <c r="I1359" s="14">
        <v>35.0</v>
      </c>
      <c r="J1359" s="13" t="s">
        <v>53</v>
      </c>
      <c r="K1359" s="13" t="s">
        <v>65</v>
      </c>
      <c r="L1359" s="14">
        <v>1589.0</v>
      </c>
      <c r="M1359" s="18" t="s">
        <v>46</v>
      </c>
      <c r="N1359" s="18" t="s">
        <v>43</v>
      </c>
      <c r="O1359" s="18">
        <v>27.7</v>
      </c>
      <c r="P1359" s="18" t="s">
        <v>173</v>
      </c>
      <c r="Q1359" s="16">
        <v>45624.0</v>
      </c>
      <c r="R1359" s="16" t="s">
        <v>38</v>
      </c>
      <c r="S1359" s="13" t="s">
        <v>55</v>
      </c>
      <c r="T1359" s="13" t="s">
        <v>66</v>
      </c>
      <c r="U1359" s="13">
        <f t="shared" si="1"/>
        <v>3</v>
      </c>
      <c r="V1359" s="13" t="str">
        <f t="shared" si="2"/>
        <v>C01099|Meera Patel|25|North|Delhi|Standard|Organic Search|10/3/2024|35|Quarterly|Credit Card|1,589|0|2|27.70|5|11/28/2024||Active|Automation</v>
      </c>
      <c r="W1359" s="13">
        <f t="shared" si="3"/>
        <v>1</v>
      </c>
      <c r="X1359" s="13">
        <f>IFERROR(__xludf.DUMMYFUNCTION("COUNTUNIQUE(FILTER($B$2:$B$1826,$A$2:$A$1826=A1359))"),3.0)</f>
        <v>3</v>
      </c>
    </row>
    <row r="1360">
      <c r="A1360" s="13" t="s">
        <v>1908</v>
      </c>
      <c r="B1360" s="13" t="s">
        <v>74</v>
      </c>
      <c r="C1360" s="14">
        <v>67.0</v>
      </c>
      <c r="D1360" s="13" t="s">
        <v>60</v>
      </c>
      <c r="E1360" s="13" t="s">
        <v>107</v>
      </c>
      <c r="F1360" s="13" t="s">
        <v>62</v>
      </c>
      <c r="G1360" s="13" t="s">
        <v>128</v>
      </c>
      <c r="H1360" s="16">
        <v>45432.0</v>
      </c>
      <c r="I1360" s="14">
        <v>28.0</v>
      </c>
      <c r="J1360" s="13" t="s">
        <v>64</v>
      </c>
      <c r="K1360" s="13" t="s">
        <v>65</v>
      </c>
      <c r="L1360" s="14">
        <v>612.0</v>
      </c>
      <c r="M1360" s="18" t="s">
        <v>98</v>
      </c>
      <c r="N1360" s="18" t="s">
        <v>98</v>
      </c>
      <c r="O1360" s="18">
        <v>11.8</v>
      </c>
      <c r="P1360" s="18" t="s">
        <v>76</v>
      </c>
      <c r="Q1360" s="16">
        <v>46085.0</v>
      </c>
      <c r="R1360" s="16" t="s">
        <v>38</v>
      </c>
      <c r="S1360" s="13" t="s">
        <v>55</v>
      </c>
      <c r="T1360" s="13" t="s">
        <v>104</v>
      </c>
      <c r="U1360" s="13">
        <f t="shared" si="1"/>
        <v>1</v>
      </c>
      <c r="V1360" s="13" t="str">
        <f t="shared" si="2"/>
        <v>C00097|Anita Kumar|67|East|Patna|Basic|Youtube|5/20/2024|28|Annual|Credit Card|612|1|1|11.80|4.4|3/4/2026||Active|Analytics</v>
      </c>
      <c r="W1360" s="13">
        <f t="shared" si="3"/>
        <v>1</v>
      </c>
      <c r="X1360" s="13">
        <f>IFERROR(__xludf.DUMMYFUNCTION("COUNTUNIQUE(FILTER($B$2:$B$1826,$A$2:$A$1826=A1360))"),1.0)</f>
        <v>1</v>
      </c>
    </row>
    <row r="1361">
      <c r="A1361" s="13" t="s">
        <v>527</v>
      </c>
      <c r="B1361" s="13" t="s">
        <v>470</v>
      </c>
      <c r="C1361" s="14">
        <v>53.0</v>
      </c>
      <c r="D1361" s="13" t="s">
        <v>60</v>
      </c>
      <c r="E1361" s="13" t="s">
        <v>97</v>
      </c>
      <c r="F1361" s="13" t="s">
        <v>62</v>
      </c>
      <c r="G1361" s="13" t="s">
        <v>120</v>
      </c>
      <c r="H1361" s="16">
        <v>44602.0</v>
      </c>
      <c r="I1361" s="14">
        <v>48.0</v>
      </c>
      <c r="J1361" s="13" t="s">
        <v>40</v>
      </c>
      <c r="K1361" s="13" t="s">
        <v>81</v>
      </c>
      <c r="L1361" s="14">
        <v>561.0</v>
      </c>
      <c r="M1361" s="18" t="s">
        <v>43</v>
      </c>
      <c r="N1361" s="18" t="s">
        <v>46</v>
      </c>
      <c r="O1361" s="18">
        <v>14.8</v>
      </c>
      <c r="P1361" s="18" t="s">
        <v>158</v>
      </c>
      <c r="Q1361" s="16">
        <v>45809.0</v>
      </c>
      <c r="R1361" s="16" t="s">
        <v>1909</v>
      </c>
      <c r="S1361" s="13" t="s">
        <v>45</v>
      </c>
      <c r="T1361" s="13" t="s">
        <v>75</v>
      </c>
      <c r="U1361" s="13">
        <f t="shared" si="1"/>
        <v>3</v>
      </c>
      <c r="V1361" s="13" t="str">
        <f t="shared" si="2"/>
        <v>C01575|Arun Singh|53|East|Bhubaneswar|Basic|Email|2/10/2022|48|Monthly|Debit Card|561|2|0|14.80|4.7|6/1/2025|22/08/2022|Churned|Security</v>
      </c>
      <c r="W1361" s="13">
        <f t="shared" si="3"/>
        <v>1</v>
      </c>
      <c r="X1361" s="13">
        <f>IFERROR(__xludf.DUMMYFUNCTION("COUNTUNIQUE(FILTER($B$2:$B$1826,$A$2:$A$1826=A1361))"),2.0)</f>
        <v>2</v>
      </c>
    </row>
    <row r="1362">
      <c r="A1362" s="13" t="s">
        <v>1910</v>
      </c>
      <c r="B1362" s="13" t="s">
        <v>325</v>
      </c>
      <c r="C1362" s="14">
        <v>21.0</v>
      </c>
      <c r="D1362" s="13" t="s">
        <v>69</v>
      </c>
      <c r="E1362" s="13" t="s">
        <v>177</v>
      </c>
      <c r="F1362" s="13" t="s">
        <v>62</v>
      </c>
      <c r="G1362" s="13" t="s">
        <v>39</v>
      </c>
      <c r="H1362" s="16">
        <v>45435.0</v>
      </c>
      <c r="I1362" s="14">
        <v>3.0</v>
      </c>
      <c r="J1362" s="13" t="s">
        <v>53</v>
      </c>
      <c r="K1362" s="13" t="s">
        <v>65</v>
      </c>
      <c r="L1362" s="14">
        <v>852.0</v>
      </c>
      <c r="M1362" s="18" t="s">
        <v>164</v>
      </c>
      <c r="N1362" s="18" t="s">
        <v>46</v>
      </c>
      <c r="O1362" s="18">
        <v>18.6</v>
      </c>
      <c r="P1362" s="18" t="s">
        <v>99</v>
      </c>
      <c r="Q1362" s="16">
        <v>45513.0</v>
      </c>
      <c r="R1362" s="16" t="s">
        <v>38</v>
      </c>
      <c r="S1362" s="13" t="s">
        <v>55</v>
      </c>
      <c r="T1362" s="13" t="s">
        <v>104</v>
      </c>
      <c r="U1362" s="13">
        <f t="shared" si="1"/>
        <v>1</v>
      </c>
      <c r="V1362" s="13" t="str">
        <f t="shared" si="2"/>
        <v>C00630|Priya Sharma|21|South|Hyderabad|Basic|Instagram|5/23/2024|3|Quarterly|Credit Card|852|3|0|18.60|4|8/9/2024||Active|Analytics</v>
      </c>
      <c r="W1362" s="13">
        <f t="shared" si="3"/>
        <v>1</v>
      </c>
      <c r="X1362" s="13">
        <f>IFERROR(__xludf.DUMMYFUNCTION("COUNTUNIQUE(FILTER($B$2:$B$1826,$A$2:$A$1826=A1362))"),1.0)</f>
        <v>1</v>
      </c>
    </row>
    <row r="1363">
      <c r="A1363" s="13" t="s">
        <v>852</v>
      </c>
      <c r="B1363" s="13" t="s">
        <v>206</v>
      </c>
      <c r="C1363" s="14">
        <v>47.0</v>
      </c>
      <c r="D1363" s="13" t="s">
        <v>60</v>
      </c>
      <c r="E1363" s="13" t="s">
        <v>97</v>
      </c>
      <c r="F1363" s="13" t="s">
        <v>37</v>
      </c>
      <c r="G1363" s="13" t="s">
        <v>39</v>
      </c>
      <c r="H1363" s="16">
        <v>45382.0</v>
      </c>
      <c r="I1363" s="14">
        <v>5.0</v>
      </c>
      <c r="J1363" s="13" t="s">
        <v>40</v>
      </c>
      <c r="K1363" s="13" t="s">
        <v>41</v>
      </c>
      <c r="L1363" s="14">
        <v>1542.0</v>
      </c>
      <c r="M1363" s="18" t="s">
        <v>98</v>
      </c>
      <c r="N1363" s="18" t="s">
        <v>46</v>
      </c>
      <c r="O1363" s="18">
        <v>11.9</v>
      </c>
      <c r="P1363" s="18" t="s">
        <v>225</v>
      </c>
      <c r="Q1363" s="16">
        <v>45444.0</v>
      </c>
      <c r="R1363" s="16">
        <v>45420.0</v>
      </c>
      <c r="S1363" s="13" t="s">
        <v>45</v>
      </c>
      <c r="T1363" s="13" t="s">
        <v>72</v>
      </c>
      <c r="U1363" s="13">
        <f t="shared" si="1"/>
        <v>2</v>
      </c>
      <c r="V1363" s="13" t="str">
        <f t="shared" si="2"/>
        <v>C00278|Karan Patel|47|East|Bhubaneswar|Standard|Instagram|3/31/2024|5|Monthly|Upi|1,542|1|0|11.90|3.8|6/1/2024|5/8/2024|Churned|Collaboration</v>
      </c>
      <c r="W1363" s="13">
        <f t="shared" si="3"/>
        <v>1</v>
      </c>
      <c r="X1363" s="13">
        <f>IFERROR(__xludf.DUMMYFUNCTION("COUNTUNIQUE(FILTER($B$2:$B$1826,$A$2:$A$1826=A1363))"),2.0)</f>
        <v>2</v>
      </c>
    </row>
    <row r="1364">
      <c r="A1364" s="13" t="s">
        <v>1578</v>
      </c>
      <c r="B1364" s="13" t="s">
        <v>135</v>
      </c>
      <c r="C1364" s="14">
        <v>42.0</v>
      </c>
      <c r="D1364" s="13" t="s">
        <v>85</v>
      </c>
      <c r="E1364" s="13" t="s">
        <v>111</v>
      </c>
      <c r="F1364" s="13" t="s">
        <v>62</v>
      </c>
      <c r="G1364" s="13" t="s">
        <v>39</v>
      </c>
      <c r="H1364" s="16">
        <v>45829.0</v>
      </c>
      <c r="I1364" s="14">
        <v>4.0</v>
      </c>
      <c r="J1364" s="13" t="s">
        <v>64</v>
      </c>
      <c r="K1364" s="13" t="s">
        <v>65</v>
      </c>
      <c r="L1364" s="14">
        <v>819.0</v>
      </c>
      <c r="M1364" s="18" t="s">
        <v>46</v>
      </c>
      <c r="N1364" s="18" t="s">
        <v>46</v>
      </c>
      <c r="O1364" s="18">
        <v>17.4</v>
      </c>
      <c r="P1364" s="18" t="s">
        <v>173</v>
      </c>
      <c r="Q1364" s="16">
        <v>45921.0</v>
      </c>
      <c r="R1364" s="16" t="s">
        <v>38</v>
      </c>
      <c r="S1364" s="13" t="s">
        <v>55</v>
      </c>
      <c r="T1364" s="13" t="s">
        <v>75</v>
      </c>
      <c r="U1364" s="13">
        <f t="shared" si="1"/>
        <v>2</v>
      </c>
      <c r="V1364" s="13" t="str">
        <f t="shared" si="2"/>
        <v>C01044|Karan Sharma|42|West|Pune|Basic|Instagram|6/21/2025|4|Annual|Credit Card|819|0|0|17.40|5|9/21/2025||Active|Security</v>
      </c>
      <c r="W1364" s="13">
        <f t="shared" si="3"/>
        <v>1</v>
      </c>
      <c r="X1364" s="13">
        <f>IFERROR(__xludf.DUMMYFUNCTION("COUNTUNIQUE(FILTER($B$2:$B$1826,$A$2:$A$1826=A1364))"),2.0)</f>
        <v>2</v>
      </c>
    </row>
    <row r="1365">
      <c r="A1365" s="13" t="s">
        <v>1912</v>
      </c>
      <c r="B1365" s="13" t="s">
        <v>91</v>
      </c>
      <c r="C1365" s="14">
        <v>25.0</v>
      </c>
      <c r="D1365" s="13" t="s">
        <v>69</v>
      </c>
      <c r="E1365" s="13" t="s">
        <v>70</v>
      </c>
      <c r="F1365" s="13" t="s">
        <v>37</v>
      </c>
      <c r="G1365" s="13" t="s">
        <v>128</v>
      </c>
      <c r="H1365" s="16">
        <v>45352.0</v>
      </c>
      <c r="I1365" s="14">
        <v>25.0</v>
      </c>
      <c r="J1365" s="13" t="s">
        <v>53</v>
      </c>
      <c r="K1365" s="13" t="s">
        <v>65</v>
      </c>
      <c r="L1365" s="14">
        <v>1580.0</v>
      </c>
      <c r="M1365" s="18" t="s">
        <v>46</v>
      </c>
      <c r="N1365" s="18" t="s">
        <v>98</v>
      </c>
      <c r="O1365" s="18">
        <v>29.9</v>
      </c>
      <c r="P1365" s="18" t="s">
        <v>263</v>
      </c>
      <c r="Q1365" s="16">
        <v>45727.0</v>
      </c>
      <c r="R1365" s="16" t="s">
        <v>38</v>
      </c>
      <c r="S1365" s="13" t="s">
        <v>55</v>
      </c>
      <c r="T1365" s="13" t="s">
        <v>47</v>
      </c>
      <c r="U1365" s="13">
        <f t="shared" si="1"/>
        <v>1</v>
      </c>
      <c r="V1365" s="13" t="str">
        <f t="shared" si="2"/>
        <v>C01364|Anita Sharma|25|South|Bengaluru|Standard|Youtube|3/1/2024|25|Quarterly|Credit Card|1,580|0|1|29.90|2.9|3/11/2025||Active|Cloud Storage</v>
      </c>
      <c r="W1365" s="13">
        <f t="shared" si="3"/>
        <v>1</v>
      </c>
      <c r="X1365" s="13">
        <f>IFERROR(__xludf.DUMMYFUNCTION("COUNTUNIQUE(FILTER($B$2:$B$1826,$A$2:$A$1826=A1365))"),1.0)</f>
        <v>1</v>
      </c>
    </row>
    <row r="1366">
      <c r="A1366" s="13" t="s">
        <v>1913</v>
      </c>
      <c r="B1366" s="13" t="s">
        <v>393</v>
      </c>
      <c r="C1366" s="14">
        <v>45.0</v>
      </c>
      <c r="D1366" s="13" t="s">
        <v>35</v>
      </c>
      <c r="E1366" s="13" t="s">
        <v>51</v>
      </c>
      <c r="F1366" s="13" t="s">
        <v>37</v>
      </c>
      <c r="G1366" s="13" t="s">
        <v>39</v>
      </c>
      <c r="H1366" s="16">
        <v>45527.0</v>
      </c>
      <c r="I1366" s="14">
        <v>32.0</v>
      </c>
      <c r="J1366" s="13" t="s">
        <v>40</v>
      </c>
      <c r="K1366" s="13" t="s">
        <v>65</v>
      </c>
      <c r="L1366" s="14">
        <v>1161.0</v>
      </c>
      <c r="M1366" s="18" t="s">
        <v>98</v>
      </c>
      <c r="N1366" s="18" t="s">
        <v>38</v>
      </c>
      <c r="O1366" s="18">
        <v>31.7</v>
      </c>
      <c r="P1366" s="18" t="s">
        <v>116</v>
      </c>
      <c r="Q1366" s="16">
        <v>46145.0</v>
      </c>
      <c r="R1366" s="16" t="s">
        <v>38</v>
      </c>
      <c r="S1366" s="13" t="s">
        <v>55</v>
      </c>
      <c r="T1366" s="13" t="s">
        <v>47</v>
      </c>
      <c r="U1366" s="13">
        <f t="shared" si="1"/>
        <v>1</v>
      </c>
      <c r="V1366" s="13" t="str">
        <f t="shared" si="2"/>
        <v>C00805|Karan Das|45|North|Jaipur|Standard|Instagram|8/23/2024|32|Monthly|Credit Card|1,161|1||31.70|3.4|5/3/2026||Active|Cloud Storage</v>
      </c>
      <c r="W1366" s="13">
        <f t="shared" si="3"/>
        <v>1</v>
      </c>
      <c r="X1366" s="13">
        <f>IFERROR(__xludf.DUMMYFUNCTION("COUNTUNIQUE(FILTER($B$2:$B$1826,$A$2:$A$1826=A1366))"),1.0)</f>
        <v>1</v>
      </c>
    </row>
    <row r="1367">
      <c r="A1367" s="13" t="s">
        <v>1427</v>
      </c>
      <c r="B1367" s="13" t="s">
        <v>351</v>
      </c>
      <c r="C1367" s="14">
        <v>39.0</v>
      </c>
      <c r="D1367" s="13" t="s">
        <v>69</v>
      </c>
      <c r="E1367" s="13" t="s">
        <v>70</v>
      </c>
      <c r="F1367" s="13" t="s">
        <v>62</v>
      </c>
      <c r="G1367" s="13" t="s">
        <v>210</v>
      </c>
      <c r="H1367" s="16">
        <v>45087.0</v>
      </c>
      <c r="I1367" s="14">
        <v>5.0</v>
      </c>
      <c r="J1367" s="13" t="s">
        <v>64</v>
      </c>
      <c r="K1367" s="13" t="s">
        <v>41</v>
      </c>
      <c r="L1367" s="14">
        <v>848.0</v>
      </c>
      <c r="M1367" s="18" t="s">
        <v>164</v>
      </c>
      <c r="N1367" s="18" t="s">
        <v>46</v>
      </c>
      <c r="O1367" s="18">
        <v>31.1</v>
      </c>
      <c r="P1367" s="18" t="s">
        <v>150</v>
      </c>
      <c r="Q1367" s="16">
        <v>45105.0</v>
      </c>
      <c r="R1367" s="16">
        <v>45054.0</v>
      </c>
      <c r="S1367" s="13" t="s">
        <v>45</v>
      </c>
      <c r="T1367" s="13" t="s">
        <v>72</v>
      </c>
      <c r="U1367" s="13">
        <f t="shared" si="1"/>
        <v>2</v>
      </c>
      <c r="V1367" s="13" t="str">
        <f t="shared" si="2"/>
        <v>C00605|Meera Nair|39|South|Bengaluru|Basic|Referral|6/10/2023|5|Annual|Upi|848|3|0|31.10|4.5|6/28/2023|5/8/2023|Churned|Collaboration</v>
      </c>
      <c r="W1367" s="13">
        <f t="shared" si="3"/>
        <v>1</v>
      </c>
      <c r="X1367" s="13">
        <f>IFERROR(__xludf.DUMMYFUNCTION("COUNTUNIQUE(FILTER($B$2:$B$1826,$A$2:$A$1826=A1367))"),2.0)</f>
        <v>2</v>
      </c>
    </row>
    <row r="1368">
      <c r="A1368" s="13" t="s">
        <v>1915</v>
      </c>
      <c r="B1368" s="13" t="s">
        <v>383</v>
      </c>
      <c r="C1368" s="14">
        <v>32.0</v>
      </c>
      <c r="D1368" s="13" t="s">
        <v>60</v>
      </c>
      <c r="E1368" s="13" t="s">
        <v>133</v>
      </c>
      <c r="F1368" s="13" t="s">
        <v>37</v>
      </c>
      <c r="G1368" s="13" t="s">
        <v>63</v>
      </c>
      <c r="H1368" s="16">
        <v>45326.0</v>
      </c>
      <c r="I1368" s="14">
        <v>8.0</v>
      </c>
      <c r="J1368" s="13" t="s">
        <v>40</v>
      </c>
      <c r="K1368" s="13" t="s">
        <v>65</v>
      </c>
      <c r="L1368" s="14">
        <v>1572.0</v>
      </c>
      <c r="M1368" s="18" t="s">
        <v>98</v>
      </c>
      <c r="N1368" s="18" t="s">
        <v>43</v>
      </c>
      <c r="O1368" s="18">
        <v>34.9</v>
      </c>
      <c r="P1368" s="18" t="s">
        <v>173</v>
      </c>
      <c r="Q1368" s="16">
        <v>45336.0</v>
      </c>
      <c r="R1368" s="16" t="s">
        <v>38</v>
      </c>
      <c r="S1368" s="13" t="s">
        <v>55</v>
      </c>
      <c r="T1368" s="13" t="s">
        <v>47</v>
      </c>
      <c r="U1368" s="13">
        <f t="shared" si="1"/>
        <v>1</v>
      </c>
      <c r="V1368" s="13" t="str">
        <f t="shared" si="2"/>
        <v>C01097|Rahul Nair|32|East|Guwahati|Standard|Google Ads|2/4/2024|8|Monthly|Credit Card|1,572|1|2|34.90|5|2/14/2024||Active|Cloud Storage</v>
      </c>
      <c r="W1368" s="13">
        <f t="shared" si="3"/>
        <v>1</v>
      </c>
      <c r="X1368" s="13">
        <f>IFERROR(__xludf.DUMMYFUNCTION("COUNTUNIQUE(FILTER($B$2:$B$1826,$A$2:$A$1826=A1368))"),1.0)</f>
        <v>1</v>
      </c>
    </row>
    <row r="1369">
      <c r="A1369" s="13" t="s">
        <v>343</v>
      </c>
      <c r="B1369" s="13" t="s">
        <v>349</v>
      </c>
      <c r="C1369" s="14">
        <v>56.0</v>
      </c>
      <c r="D1369" s="13" t="s">
        <v>85</v>
      </c>
      <c r="E1369" s="13" t="s">
        <v>111</v>
      </c>
      <c r="F1369" s="13" t="s">
        <v>62</v>
      </c>
      <c r="G1369" s="13" t="s">
        <v>128</v>
      </c>
      <c r="H1369" s="16">
        <v>45515.0</v>
      </c>
      <c r="I1369" s="14">
        <v>7.0</v>
      </c>
      <c r="J1369" s="13" t="s">
        <v>53</v>
      </c>
      <c r="K1369" s="13" t="s">
        <v>41</v>
      </c>
      <c r="L1369" s="14">
        <v>631.0</v>
      </c>
      <c r="M1369" s="18" t="s">
        <v>99</v>
      </c>
      <c r="N1369" s="18" t="s">
        <v>46</v>
      </c>
      <c r="O1369" s="18">
        <v>28.2</v>
      </c>
      <c r="P1369" s="18" t="s">
        <v>408</v>
      </c>
      <c r="Q1369" s="16">
        <v>45730.0</v>
      </c>
      <c r="R1369" s="16" t="s">
        <v>38</v>
      </c>
      <c r="S1369" s="13" t="s">
        <v>55</v>
      </c>
      <c r="T1369" s="13" t="s">
        <v>38</v>
      </c>
      <c r="U1369" s="13">
        <f t="shared" si="1"/>
        <v>2</v>
      </c>
      <c r="V1369" s="13" t="str">
        <f t="shared" si="2"/>
        <v>C00997|Priya Singh|56|West|Pune|Basic|Youtube|8/11/2024|7|Quarterly|Upi|631|4|0|28.20|4.2|3/14/2025||Active|</v>
      </c>
      <c r="W1369" s="13">
        <f t="shared" si="3"/>
        <v>1</v>
      </c>
      <c r="X1369" s="13">
        <f>IFERROR(__xludf.DUMMYFUNCTION("COUNTUNIQUE(FILTER($B$2:$B$1826,$A$2:$A$1826=A1369))"),2.0)</f>
        <v>2</v>
      </c>
    </row>
    <row r="1370">
      <c r="A1370" s="13" t="s">
        <v>1530</v>
      </c>
      <c r="B1370" s="13" t="s">
        <v>106</v>
      </c>
      <c r="C1370" s="14">
        <v>51.0</v>
      </c>
      <c r="D1370" s="13" t="s">
        <v>85</v>
      </c>
      <c r="E1370" s="13" t="s">
        <v>292</v>
      </c>
      <c r="F1370" s="13" t="s">
        <v>62</v>
      </c>
      <c r="G1370" s="13" t="s">
        <v>120</v>
      </c>
      <c r="H1370" s="16">
        <v>45094.0</v>
      </c>
      <c r="I1370" s="14">
        <v>45.0</v>
      </c>
      <c r="J1370" s="13" t="s">
        <v>64</v>
      </c>
      <c r="K1370" s="13" t="s">
        <v>65</v>
      </c>
      <c r="L1370" s="14">
        <v>836.0</v>
      </c>
      <c r="M1370" s="18" t="s">
        <v>43</v>
      </c>
      <c r="N1370" s="18" t="s">
        <v>46</v>
      </c>
      <c r="O1370" s="18">
        <v>17.1</v>
      </c>
      <c r="P1370" s="18" t="s">
        <v>48</v>
      </c>
      <c r="Q1370" s="16">
        <v>45111.0</v>
      </c>
      <c r="R1370" s="16" t="s">
        <v>1916</v>
      </c>
      <c r="S1370" s="13" t="s">
        <v>45</v>
      </c>
      <c r="T1370" s="13" t="s">
        <v>66</v>
      </c>
      <c r="U1370" s="13">
        <f t="shared" si="1"/>
        <v>3</v>
      </c>
      <c r="V1370" s="13" t="str">
        <f t="shared" si="2"/>
        <v>C01179|Rahul Patel|51|West|Mumbai|Basic|Email|6/17/2023|45|Annual|Credit Card|836|2|0|17.10|3.6|7/4/2023|25/09/2026|Churned|Automation</v>
      </c>
      <c r="W1370" s="13">
        <f t="shared" si="3"/>
        <v>1</v>
      </c>
      <c r="X1370" s="13">
        <f>IFERROR(__xludf.DUMMYFUNCTION("COUNTUNIQUE(FILTER($B$2:$B$1826,$A$2:$A$1826=A1370))"),3.0)</f>
        <v>3</v>
      </c>
    </row>
    <row r="1371">
      <c r="A1371" s="13" t="s">
        <v>272</v>
      </c>
      <c r="B1371" s="13" t="s">
        <v>190</v>
      </c>
      <c r="C1371" s="14">
        <v>50.0</v>
      </c>
      <c r="D1371" s="13" t="s">
        <v>85</v>
      </c>
      <c r="E1371" s="13" t="s">
        <v>92</v>
      </c>
      <c r="F1371" s="13" t="s">
        <v>79</v>
      </c>
      <c r="G1371" s="13" t="s">
        <v>128</v>
      </c>
      <c r="H1371" s="16">
        <v>45280.0</v>
      </c>
      <c r="I1371" s="14">
        <v>8.0</v>
      </c>
      <c r="J1371" s="13" t="s">
        <v>40</v>
      </c>
      <c r="K1371" s="13" t="s">
        <v>65</v>
      </c>
      <c r="L1371" s="14">
        <v>2672.0</v>
      </c>
      <c r="M1371" s="18" t="s">
        <v>164</v>
      </c>
      <c r="N1371" s="18" t="s">
        <v>98</v>
      </c>
      <c r="O1371" s="18">
        <v>55.0</v>
      </c>
      <c r="P1371" s="18" t="s">
        <v>296</v>
      </c>
      <c r="Q1371" s="16">
        <v>45427.0</v>
      </c>
      <c r="R1371" s="16" t="s">
        <v>1918</v>
      </c>
      <c r="S1371" s="13" t="s">
        <v>55</v>
      </c>
      <c r="T1371" s="13" t="s">
        <v>72</v>
      </c>
      <c r="U1371" s="13">
        <f t="shared" si="1"/>
        <v>2</v>
      </c>
      <c r="V1371" s="13" t="str">
        <f t="shared" si="2"/>
        <v>C01043|Sneha Patel|50|West|Ahmedabad|Premium|Youtube|12/20/2023|8|Monthly|Credit Card|2,672|3|1|55.00|4.6|5/15/2024|28/07/2024|Active|Collaboration</v>
      </c>
      <c r="W1371" s="13">
        <f t="shared" si="3"/>
        <v>1</v>
      </c>
      <c r="X1371" s="13">
        <f>IFERROR(__xludf.DUMMYFUNCTION("COUNTUNIQUE(FILTER($B$2:$B$1826,$A$2:$A$1826=A1371))"),2.0)</f>
        <v>2</v>
      </c>
    </row>
    <row r="1372">
      <c r="A1372" s="13" t="s">
        <v>1919</v>
      </c>
      <c r="B1372" s="13" t="s">
        <v>380</v>
      </c>
      <c r="C1372" s="14">
        <v>32.0</v>
      </c>
      <c r="D1372" s="13" t="s">
        <v>35</v>
      </c>
      <c r="E1372" s="13" t="s">
        <v>140</v>
      </c>
      <c r="F1372" s="13" t="s">
        <v>37</v>
      </c>
      <c r="G1372" s="13" t="s">
        <v>80</v>
      </c>
      <c r="H1372" s="16">
        <v>44807.0</v>
      </c>
      <c r="I1372" s="14">
        <v>7.0</v>
      </c>
      <c r="J1372" s="13" t="s">
        <v>64</v>
      </c>
      <c r="K1372" s="13" t="s">
        <v>81</v>
      </c>
      <c r="L1372" s="14">
        <v>1793.0</v>
      </c>
      <c r="M1372" s="18" t="s">
        <v>98</v>
      </c>
      <c r="N1372" s="18" t="s">
        <v>98</v>
      </c>
      <c r="O1372" s="18">
        <v>2.9</v>
      </c>
      <c r="P1372" s="18" t="s">
        <v>48</v>
      </c>
      <c r="Q1372" s="16">
        <v>45013.0</v>
      </c>
      <c r="R1372" s="16">
        <v>44875.0</v>
      </c>
      <c r="S1372" s="13" t="s">
        <v>45</v>
      </c>
      <c r="T1372" s="13" t="s">
        <v>66</v>
      </c>
      <c r="U1372" s="13">
        <f t="shared" si="1"/>
        <v>2</v>
      </c>
      <c r="V1372" s="13" t="str">
        <f t="shared" si="2"/>
        <v>C00403|Neha Iyer|32|North|Lucknow|Standard|Organic Search|9/3/2022|7|Annual|Debit Card|1,793|1|1|2.90|3.6|3/28/2023|11/10/2022|Churned|Automation</v>
      </c>
      <c r="W1372" s="13">
        <f t="shared" si="3"/>
        <v>1</v>
      </c>
      <c r="X1372" s="13">
        <f>IFERROR(__xludf.DUMMYFUNCTION("COUNTUNIQUE(FILTER($B$2:$B$1826,$A$2:$A$1826=A1372))"),2.0)</f>
        <v>2</v>
      </c>
    </row>
    <row r="1373">
      <c r="A1373" s="13" t="s">
        <v>1921</v>
      </c>
      <c r="B1373" s="13" t="s">
        <v>333</v>
      </c>
      <c r="C1373" s="14">
        <v>37.0</v>
      </c>
      <c r="D1373" s="13" t="s">
        <v>85</v>
      </c>
      <c r="E1373" s="13" t="s">
        <v>111</v>
      </c>
      <c r="F1373" s="13" t="s">
        <v>37</v>
      </c>
      <c r="G1373" s="13" t="s">
        <v>120</v>
      </c>
      <c r="H1373" s="16">
        <v>45897.0</v>
      </c>
      <c r="I1373" s="14">
        <v>48.0</v>
      </c>
      <c r="J1373" s="13" t="s">
        <v>53</v>
      </c>
      <c r="K1373" s="13" t="s">
        <v>65</v>
      </c>
      <c r="L1373" s="14">
        <v>1226.0</v>
      </c>
      <c r="M1373" s="18" t="s">
        <v>99</v>
      </c>
      <c r="N1373" s="18" t="s">
        <v>98</v>
      </c>
      <c r="O1373" s="18">
        <v>24.7</v>
      </c>
      <c r="P1373" s="18" t="s">
        <v>173</v>
      </c>
      <c r="Q1373" s="16">
        <v>46386.0</v>
      </c>
      <c r="R1373" s="16" t="s">
        <v>38</v>
      </c>
      <c r="S1373" s="13" t="s">
        <v>55</v>
      </c>
      <c r="T1373" s="13" t="s">
        <v>104</v>
      </c>
      <c r="U1373" s="13">
        <f t="shared" si="1"/>
        <v>2</v>
      </c>
      <c r="V1373" s="13" t="str">
        <f t="shared" si="2"/>
        <v>C00134|Neha Das|37|West|Pune|Standard|Email|8/28/2025|48|Quarterly|Credit Card|1,226|4|1|24.70|5|12/30/2026||Active|Analytics</v>
      </c>
      <c r="W1373" s="13">
        <f t="shared" si="3"/>
        <v>1</v>
      </c>
      <c r="X1373" s="13">
        <f>IFERROR(__xludf.DUMMYFUNCTION("COUNTUNIQUE(FILTER($B$2:$B$1826,$A$2:$A$1826=A1373))"),2.0)</f>
        <v>2</v>
      </c>
    </row>
    <row r="1374">
      <c r="A1374" s="13" t="s">
        <v>2186</v>
      </c>
      <c r="B1374" s="13" t="s">
        <v>106</v>
      </c>
      <c r="C1374" s="14">
        <v>44.0</v>
      </c>
      <c r="D1374" s="13" t="s">
        <v>35</v>
      </c>
      <c r="E1374" s="13" t="s">
        <v>51</v>
      </c>
      <c r="F1374" s="13" t="s">
        <v>37</v>
      </c>
      <c r="G1374" s="13" t="s">
        <v>80</v>
      </c>
      <c r="H1374" s="16">
        <v>44587.0</v>
      </c>
      <c r="I1374" s="14">
        <v>40.0</v>
      </c>
      <c r="J1374" s="13" t="s">
        <v>40</v>
      </c>
      <c r="K1374" s="13" t="s">
        <v>65</v>
      </c>
      <c r="L1374" s="14">
        <v>1196.0</v>
      </c>
      <c r="M1374" s="18" t="s">
        <v>43</v>
      </c>
      <c r="N1374" s="18" t="s">
        <v>98</v>
      </c>
      <c r="O1374" s="18">
        <v>37.6</v>
      </c>
      <c r="P1374" s="18" t="s">
        <v>203</v>
      </c>
      <c r="Q1374" s="16">
        <v>45455.0</v>
      </c>
      <c r="R1374" s="16" t="s">
        <v>1923</v>
      </c>
      <c r="S1374" s="13" t="s">
        <v>45</v>
      </c>
      <c r="T1374" s="13" t="s">
        <v>72</v>
      </c>
      <c r="U1374" s="13">
        <f t="shared" si="1"/>
        <v>1</v>
      </c>
      <c r="V1374" s="13" t="str">
        <f t="shared" si="2"/>
        <v>C00515|Rahul Patel|44|North|Jaipur|Standard|Organic Search|1/26/2022|40|Monthly|Credit Card|1,196|2|1|37.60|3.7|6/12/2024|13/04/2022|Churned|Collaboration</v>
      </c>
      <c r="W1374" s="13">
        <f t="shared" si="3"/>
        <v>1</v>
      </c>
      <c r="X1374" s="13">
        <f>IFERROR(__xludf.DUMMYFUNCTION("COUNTUNIQUE(FILTER($B$2:$B$1826,$A$2:$A$1826=A1374))"),1.0)</f>
        <v>1</v>
      </c>
    </row>
    <row r="1375">
      <c r="A1375" s="13" t="s">
        <v>2187</v>
      </c>
      <c r="B1375" s="13" t="s">
        <v>110</v>
      </c>
      <c r="C1375" s="14">
        <v>27.0</v>
      </c>
      <c r="D1375" s="13" t="s">
        <v>35</v>
      </c>
      <c r="E1375" s="13" t="s">
        <v>161</v>
      </c>
      <c r="F1375" s="13" t="s">
        <v>62</v>
      </c>
      <c r="G1375" s="13" t="s">
        <v>128</v>
      </c>
      <c r="H1375" s="16">
        <v>44910.0</v>
      </c>
      <c r="I1375" s="14">
        <v>15.0</v>
      </c>
      <c r="J1375" s="13" t="s">
        <v>40</v>
      </c>
      <c r="K1375" s="13" t="s">
        <v>65</v>
      </c>
      <c r="L1375" s="14">
        <v>811.0</v>
      </c>
      <c r="M1375" s="18" t="s">
        <v>98</v>
      </c>
      <c r="N1375" s="18" t="s">
        <v>98</v>
      </c>
      <c r="O1375" s="18">
        <v>25.6</v>
      </c>
      <c r="P1375" s="18" t="s">
        <v>76</v>
      </c>
      <c r="Q1375" s="16">
        <v>45254.0</v>
      </c>
      <c r="R1375" s="16" t="s">
        <v>1925</v>
      </c>
      <c r="S1375" s="13" t="s">
        <v>45</v>
      </c>
      <c r="T1375" s="13" t="s">
        <v>72</v>
      </c>
      <c r="U1375" s="13">
        <f t="shared" si="1"/>
        <v>1</v>
      </c>
      <c r="V1375" s="13" t="str">
        <f t="shared" si="2"/>
        <v>C00342|Sneha Nair|27|North|Chandigarh|Basic|Youtube|12/15/2022|15|Monthly|Credit Card|811|1|1|25.60|4.4|11/24/2023|15/07/2023|Churned|Collaboration</v>
      </c>
      <c r="W1375" s="13">
        <f t="shared" si="3"/>
        <v>1</v>
      </c>
      <c r="X1375" s="13">
        <f>IFERROR(__xludf.DUMMYFUNCTION("COUNTUNIQUE(FILTER($B$2:$B$1826,$A$2:$A$1826=A1375))"),1.0)</f>
        <v>1</v>
      </c>
    </row>
    <row r="1376">
      <c r="A1376" s="13" t="s">
        <v>1262</v>
      </c>
      <c r="B1376" s="13" t="s">
        <v>184</v>
      </c>
      <c r="C1376" s="14">
        <v>68.0</v>
      </c>
      <c r="D1376" s="13" t="s">
        <v>35</v>
      </c>
      <c r="E1376" s="13" t="s">
        <v>36</v>
      </c>
      <c r="F1376" s="13" t="s">
        <v>37</v>
      </c>
      <c r="G1376" s="13" t="s">
        <v>120</v>
      </c>
      <c r="H1376" s="16">
        <v>45974.0</v>
      </c>
      <c r="I1376" s="14">
        <v>38.0</v>
      </c>
      <c r="J1376" s="13" t="s">
        <v>40</v>
      </c>
      <c r="K1376" s="13" t="s">
        <v>81</v>
      </c>
      <c r="L1376" s="14">
        <v>1101.0</v>
      </c>
      <c r="M1376" s="18" t="s">
        <v>98</v>
      </c>
      <c r="N1376" s="18" t="s">
        <v>98</v>
      </c>
      <c r="O1376" s="18">
        <v>19.4</v>
      </c>
      <c r="P1376" s="18" t="s">
        <v>248</v>
      </c>
      <c r="Q1376" s="16">
        <v>46424.0</v>
      </c>
      <c r="R1376" s="16">
        <v>46123.0</v>
      </c>
      <c r="S1376" s="13" t="s">
        <v>45</v>
      </c>
      <c r="T1376" s="13" t="s">
        <v>104</v>
      </c>
      <c r="U1376" s="13">
        <f t="shared" si="1"/>
        <v>4</v>
      </c>
      <c r="V1376" s="13" t="str">
        <f t="shared" si="2"/>
        <v>C00136|Vikram Reddy|68|North|Delhi|Standard|Email|11/13/2025|38|Monthly|Debit Card|1,101|1|1|19.40|2.6|2/6/2027|4/11/2026|Churned|Analytics</v>
      </c>
      <c r="W1376" s="13">
        <f t="shared" si="3"/>
        <v>1</v>
      </c>
      <c r="X1376" s="13">
        <f>IFERROR(__xludf.DUMMYFUNCTION("COUNTUNIQUE(FILTER($B$2:$B$1826,$A$2:$A$1826=A1376))"),4.0)</f>
        <v>4</v>
      </c>
    </row>
    <row r="1377">
      <c r="A1377" s="13" t="s">
        <v>1814</v>
      </c>
      <c r="B1377" s="13" t="s">
        <v>190</v>
      </c>
      <c r="C1377" s="14">
        <v>66.0</v>
      </c>
      <c r="D1377" s="13" t="s">
        <v>85</v>
      </c>
      <c r="E1377" s="13" t="s">
        <v>92</v>
      </c>
      <c r="F1377" s="13" t="s">
        <v>62</v>
      </c>
      <c r="G1377" s="13" t="s">
        <v>52</v>
      </c>
      <c r="H1377" s="16">
        <v>44857.0</v>
      </c>
      <c r="I1377" s="14">
        <v>10.0</v>
      </c>
      <c r="J1377" s="13" t="s">
        <v>53</v>
      </c>
      <c r="K1377" s="13" t="s">
        <v>65</v>
      </c>
      <c r="L1377" s="14" t="s">
        <v>38</v>
      </c>
      <c r="M1377" s="18" t="s">
        <v>43</v>
      </c>
      <c r="N1377" s="18" t="s">
        <v>164</v>
      </c>
      <c r="O1377" s="18">
        <v>18.6</v>
      </c>
      <c r="P1377" s="18" t="s">
        <v>116</v>
      </c>
      <c r="Q1377" s="16">
        <v>45167.0</v>
      </c>
      <c r="R1377" s="16">
        <v>44994.0</v>
      </c>
      <c r="S1377" s="13" t="s">
        <v>55</v>
      </c>
      <c r="T1377" s="13" t="s">
        <v>66</v>
      </c>
      <c r="U1377" s="13">
        <f t="shared" si="1"/>
        <v>4</v>
      </c>
      <c r="V1377" s="13" t="str">
        <f t="shared" si="2"/>
        <v>C00122|Sneha Patel|66|West|Ahmedabad|Basic|Facebook|10/23/2022|10|Quarterly|Credit Card||2|3|18.60|3.4|8/29/2023|3/9/2023|Active|Automation</v>
      </c>
      <c r="W1377" s="13">
        <f t="shared" si="3"/>
        <v>1</v>
      </c>
      <c r="X1377" s="13">
        <f>IFERROR(__xludf.DUMMYFUNCTION("COUNTUNIQUE(FILTER($B$2:$B$1826,$A$2:$A$1826=A1377))"),4.0)</f>
        <v>4</v>
      </c>
    </row>
    <row r="1378">
      <c r="A1378" s="13" t="s">
        <v>1559</v>
      </c>
      <c r="B1378" s="13" t="s">
        <v>50</v>
      </c>
      <c r="C1378" s="14">
        <v>25.0</v>
      </c>
      <c r="D1378" s="13" t="s">
        <v>69</v>
      </c>
      <c r="E1378" s="13" t="s">
        <v>187</v>
      </c>
      <c r="F1378" s="13" t="s">
        <v>62</v>
      </c>
      <c r="G1378" s="13" t="s">
        <v>63</v>
      </c>
      <c r="H1378" s="16">
        <v>45577.0</v>
      </c>
      <c r="I1378" s="14">
        <v>20.0</v>
      </c>
      <c r="J1378" s="13" t="s">
        <v>40</v>
      </c>
      <c r="K1378" s="13" t="s">
        <v>81</v>
      </c>
      <c r="L1378" s="14">
        <v>593.0</v>
      </c>
      <c r="M1378" s="18" t="s">
        <v>46</v>
      </c>
      <c r="N1378" s="18" t="s">
        <v>164</v>
      </c>
      <c r="O1378" s="18">
        <v>21.5</v>
      </c>
      <c r="P1378" s="18" t="s">
        <v>43</v>
      </c>
      <c r="Q1378" s="16">
        <v>45858.0</v>
      </c>
      <c r="R1378" s="16" t="s">
        <v>1928</v>
      </c>
      <c r="S1378" s="13" t="s">
        <v>45</v>
      </c>
      <c r="T1378" s="13" t="s">
        <v>66</v>
      </c>
      <c r="U1378" s="13">
        <f t="shared" si="1"/>
        <v>3</v>
      </c>
      <c r="V1378" s="13" t="str">
        <f t="shared" si="2"/>
        <v>C00834|Rahul Das|25|South|Chennai|Basic|Google Ads|10/12/2024|20|Monthly|Debit Card|593|0|3|21.50|2|7/20/2025|18/06/2025|Churned|Automation</v>
      </c>
      <c r="W1378" s="13">
        <f t="shared" si="3"/>
        <v>1</v>
      </c>
      <c r="X1378" s="13">
        <f>IFERROR(__xludf.DUMMYFUNCTION("COUNTUNIQUE(FILTER($B$2:$B$1826,$A$2:$A$1826=A1378))"),3.0)</f>
        <v>3</v>
      </c>
    </row>
    <row r="1379">
      <c r="A1379" s="13" t="s">
        <v>1929</v>
      </c>
      <c r="B1379" s="13" t="s">
        <v>50</v>
      </c>
      <c r="C1379" s="14">
        <v>47.0</v>
      </c>
      <c r="D1379" s="13" t="s">
        <v>35</v>
      </c>
      <c r="E1379" s="13" t="s">
        <v>51</v>
      </c>
      <c r="F1379" s="13" t="s">
        <v>62</v>
      </c>
      <c r="G1379" s="13" t="s">
        <v>80</v>
      </c>
      <c r="H1379" s="16">
        <v>45445.0</v>
      </c>
      <c r="I1379" s="14">
        <v>7.0</v>
      </c>
      <c r="J1379" s="13" t="s">
        <v>64</v>
      </c>
      <c r="K1379" s="13" t="s">
        <v>81</v>
      </c>
      <c r="L1379" s="14">
        <v>609.0</v>
      </c>
      <c r="M1379" s="18" t="s">
        <v>43</v>
      </c>
      <c r="N1379" s="18" t="s">
        <v>46</v>
      </c>
      <c r="O1379" s="18">
        <v>18.3</v>
      </c>
      <c r="P1379" s="18" t="s">
        <v>116</v>
      </c>
      <c r="Q1379" s="16">
        <v>45458.0</v>
      </c>
      <c r="R1379" s="16" t="s">
        <v>38</v>
      </c>
      <c r="S1379" s="13" t="s">
        <v>55</v>
      </c>
      <c r="T1379" s="13" t="s">
        <v>47</v>
      </c>
      <c r="U1379" s="13">
        <f t="shared" si="1"/>
        <v>1</v>
      </c>
      <c r="V1379" s="13" t="str">
        <f t="shared" si="2"/>
        <v>C00106|Rahul Das|47|North|Jaipur|Basic|Organic Search|6/2/2024|7|Annual|Debit Card|609|2|0|18.30|3.4|6/15/2024||Active|Cloud Storage</v>
      </c>
      <c r="W1379" s="13">
        <f t="shared" si="3"/>
        <v>1</v>
      </c>
      <c r="X1379" s="13">
        <f>IFERROR(__xludf.DUMMYFUNCTION("COUNTUNIQUE(FILTER($B$2:$B$1826,$A$2:$A$1826=A1379))"),1.0)</f>
        <v>1</v>
      </c>
    </row>
    <row r="1380">
      <c r="A1380" s="13" t="s">
        <v>1930</v>
      </c>
      <c r="B1380" s="13" t="s">
        <v>312</v>
      </c>
      <c r="C1380" s="14">
        <v>45.0</v>
      </c>
      <c r="D1380" s="13" t="s">
        <v>69</v>
      </c>
      <c r="E1380" s="13" t="s">
        <v>70</v>
      </c>
      <c r="F1380" s="13" t="s">
        <v>62</v>
      </c>
      <c r="G1380" s="13" t="s">
        <v>210</v>
      </c>
      <c r="H1380" s="16">
        <v>45046.0</v>
      </c>
      <c r="I1380" s="14">
        <v>26.0</v>
      </c>
      <c r="J1380" s="13" t="s">
        <v>64</v>
      </c>
      <c r="K1380" s="13" t="s">
        <v>41</v>
      </c>
      <c r="L1380" s="14">
        <v>711.0</v>
      </c>
      <c r="M1380" s="18" t="s">
        <v>173</v>
      </c>
      <c r="N1380" s="18" t="s">
        <v>98</v>
      </c>
      <c r="O1380" s="18">
        <v>1.4</v>
      </c>
      <c r="P1380" s="18" t="s">
        <v>225</v>
      </c>
      <c r="Q1380" s="16">
        <v>45127.0</v>
      </c>
      <c r="R1380" s="16">
        <v>45717.0</v>
      </c>
      <c r="S1380" s="13" t="s">
        <v>45</v>
      </c>
      <c r="T1380" s="13" t="s">
        <v>104</v>
      </c>
      <c r="U1380" s="13">
        <f t="shared" si="1"/>
        <v>2</v>
      </c>
      <c r="V1380" s="13" t="str">
        <f t="shared" si="2"/>
        <v>C00115|Anita Singh|45|South|Bengaluru|Basic|Referral|4/30/2023|26|Annual|Upi|711|5|1|1.40|3.8|7/20/2023|3/1/2025|Churned|Analytics</v>
      </c>
      <c r="W1380" s="13">
        <f t="shared" si="3"/>
        <v>1</v>
      </c>
      <c r="X1380" s="13">
        <f>IFERROR(__xludf.DUMMYFUNCTION("COUNTUNIQUE(FILTER($B$2:$B$1826,$A$2:$A$1826=A1380))"),2.0)</f>
        <v>2</v>
      </c>
    </row>
    <row r="1381">
      <c r="A1381" s="13" t="s">
        <v>1244</v>
      </c>
      <c r="B1381" s="13" t="s">
        <v>345</v>
      </c>
      <c r="C1381" s="14">
        <v>32.0</v>
      </c>
      <c r="D1381" s="13" t="s">
        <v>60</v>
      </c>
      <c r="E1381" s="13" t="s">
        <v>133</v>
      </c>
      <c r="F1381" s="13" t="s">
        <v>37</v>
      </c>
      <c r="G1381" s="13" t="s">
        <v>210</v>
      </c>
      <c r="H1381" s="16">
        <v>44623.0</v>
      </c>
      <c r="I1381" s="14">
        <v>4.0</v>
      </c>
      <c r="J1381" s="13" t="s">
        <v>64</v>
      </c>
      <c r="K1381" s="13" t="s">
        <v>65</v>
      </c>
      <c r="L1381" s="14">
        <v>1138.0</v>
      </c>
      <c r="M1381" s="18" t="s">
        <v>43</v>
      </c>
      <c r="N1381" s="18" t="s">
        <v>98</v>
      </c>
      <c r="O1381" s="18">
        <v>16.3</v>
      </c>
      <c r="P1381" s="18" t="s">
        <v>130</v>
      </c>
      <c r="Q1381" s="16">
        <v>44636.0</v>
      </c>
      <c r="R1381" s="16" t="s">
        <v>38</v>
      </c>
      <c r="S1381" s="13" t="s">
        <v>55</v>
      </c>
      <c r="T1381" s="13" t="s">
        <v>104</v>
      </c>
      <c r="U1381" s="13">
        <f t="shared" si="1"/>
        <v>3</v>
      </c>
      <c r="V1381" s="13" t="str">
        <f t="shared" si="2"/>
        <v>C00021|Arun Nair|32|East|Guwahati|Standard|Referral|3/3/2022|4|Annual|Credit Card|1,138|2|1|16.30|3.9|3/16/2022||Active|Analytics</v>
      </c>
      <c r="W1381" s="13">
        <f t="shared" si="3"/>
        <v>1</v>
      </c>
      <c r="X1381" s="13">
        <f>IFERROR(__xludf.DUMMYFUNCTION("COUNTUNIQUE(FILTER($B$2:$B$1826,$A$2:$A$1826=A1381))"),3.0)</f>
        <v>3</v>
      </c>
    </row>
    <row r="1382">
      <c r="A1382" s="13" t="s">
        <v>1932</v>
      </c>
      <c r="B1382" s="13" t="s">
        <v>645</v>
      </c>
      <c r="C1382" s="14">
        <v>23.0</v>
      </c>
      <c r="D1382" s="13" t="s">
        <v>35</v>
      </c>
      <c r="E1382" s="13" t="s">
        <v>140</v>
      </c>
      <c r="F1382" s="13" t="s">
        <v>62</v>
      </c>
      <c r="G1382" s="13" t="s">
        <v>63</v>
      </c>
      <c r="H1382" s="16">
        <v>44785.0</v>
      </c>
      <c r="I1382" s="14">
        <v>14.0</v>
      </c>
      <c r="J1382" s="13" t="s">
        <v>64</v>
      </c>
      <c r="K1382" s="13" t="s">
        <v>65</v>
      </c>
      <c r="L1382" s="14">
        <v>693.0</v>
      </c>
      <c r="M1382" s="18" t="s">
        <v>46</v>
      </c>
      <c r="N1382" s="18" t="s">
        <v>98</v>
      </c>
      <c r="O1382" s="18">
        <v>23.3</v>
      </c>
      <c r="P1382" s="18" t="s">
        <v>48</v>
      </c>
      <c r="Q1382" s="16">
        <v>45175.0</v>
      </c>
      <c r="R1382" s="16" t="s">
        <v>38</v>
      </c>
      <c r="S1382" s="13" t="s">
        <v>55</v>
      </c>
      <c r="T1382" s="13" t="s">
        <v>75</v>
      </c>
      <c r="U1382" s="13">
        <f t="shared" si="1"/>
        <v>1</v>
      </c>
      <c r="V1382" s="13" t="str">
        <f t="shared" si="2"/>
        <v>C00389|Ravi Nair|23|North|Lucknow|Basic|Google Ads|8/12/2022|14|Annual|Credit Card|693|0|1|23.30|3.6|9/6/2023||Active|Security</v>
      </c>
      <c r="W1382" s="13">
        <f t="shared" si="3"/>
        <v>1</v>
      </c>
      <c r="X1382" s="13">
        <f>IFERROR(__xludf.DUMMYFUNCTION("COUNTUNIQUE(FILTER($B$2:$B$1826,$A$2:$A$1826=A1382))"),1.0)</f>
        <v>1</v>
      </c>
    </row>
    <row r="1383">
      <c r="A1383" s="13" t="s">
        <v>549</v>
      </c>
      <c r="B1383" s="13" t="s">
        <v>235</v>
      </c>
      <c r="C1383" s="14">
        <v>55.0</v>
      </c>
      <c r="D1383" s="13" t="s">
        <v>69</v>
      </c>
      <c r="E1383" s="13" t="s">
        <v>70</v>
      </c>
      <c r="F1383" s="13" t="s">
        <v>62</v>
      </c>
      <c r="G1383" s="13" t="s">
        <v>128</v>
      </c>
      <c r="H1383" s="16">
        <v>45081.0</v>
      </c>
      <c r="I1383" s="14">
        <v>21.0</v>
      </c>
      <c r="J1383" s="13" t="s">
        <v>40</v>
      </c>
      <c r="K1383" s="13" t="s">
        <v>81</v>
      </c>
      <c r="L1383" s="14">
        <v>862.0</v>
      </c>
      <c r="M1383" s="18" t="s">
        <v>164</v>
      </c>
      <c r="N1383" s="18" t="s">
        <v>98</v>
      </c>
      <c r="O1383" s="18">
        <v>27.2</v>
      </c>
      <c r="P1383" s="18" t="s">
        <v>158</v>
      </c>
      <c r="Q1383" s="16">
        <v>45508.0</v>
      </c>
      <c r="R1383" s="16" t="s">
        <v>1188</v>
      </c>
      <c r="S1383" s="13" t="s">
        <v>45</v>
      </c>
      <c r="T1383" s="13" t="s">
        <v>104</v>
      </c>
      <c r="U1383" s="13">
        <f t="shared" si="1"/>
        <v>3</v>
      </c>
      <c r="V1383" s="13" t="str">
        <f t="shared" si="2"/>
        <v>C00292|Sneha Sharma|55|South|Bengaluru|Basic|Youtube|6/4/2023|21|Monthly|Debit Card|862|3|1|27.20|4.7|8/4/2024|26/10/2023|Churned|Analytics</v>
      </c>
      <c r="W1383" s="13">
        <f t="shared" si="3"/>
        <v>1</v>
      </c>
      <c r="X1383" s="13">
        <f>IFERROR(__xludf.DUMMYFUNCTION("COUNTUNIQUE(FILTER($B$2:$B$1826,$A$2:$A$1826=A1383))"),3.0)</f>
        <v>3</v>
      </c>
    </row>
    <row r="1384">
      <c r="A1384" s="13" t="s">
        <v>1933</v>
      </c>
      <c r="B1384" s="13" t="s">
        <v>106</v>
      </c>
      <c r="C1384" s="14">
        <v>42.0</v>
      </c>
      <c r="D1384" s="13" t="s">
        <v>35</v>
      </c>
      <c r="E1384" s="13" t="s">
        <v>140</v>
      </c>
      <c r="F1384" s="13" t="s">
        <v>62</v>
      </c>
      <c r="G1384" s="13" t="s">
        <v>39</v>
      </c>
      <c r="H1384" s="16">
        <v>45395.0</v>
      </c>
      <c r="I1384" s="14">
        <v>4.0</v>
      </c>
      <c r="J1384" s="13" t="s">
        <v>40</v>
      </c>
      <c r="K1384" s="13" t="s">
        <v>41</v>
      </c>
      <c r="L1384" s="14">
        <v>573.0</v>
      </c>
      <c r="M1384" s="18" t="s">
        <v>164</v>
      </c>
      <c r="N1384" s="18" t="s">
        <v>43</v>
      </c>
      <c r="O1384" s="18">
        <v>14.2</v>
      </c>
      <c r="P1384" s="18" t="s">
        <v>43</v>
      </c>
      <c r="Q1384" s="16">
        <v>45482.0</v>
      </c>
      <c r="R1384" s="16" t="s">
        <v>1934</v>
      </c>
      <c r="S1384" s="13" t="s">
        <v>45</v>
      </c>
      <c r="T1384" s="13" t="s">
        <v>75</v>
      </c>
      <c r="U1384" s="13">
        <f t="shared" si="1"/>
        <v>1</v>
      </c>
      <c r="V1384" s="13" t="str">
        <f t="shared" si="2"/>
        <v>C00971|Rahul Patel|42|North|Lucknow|Basic|Instagram|4/13/2024|4|Monthly|Upi|573|3|2|14.20|2|7/9/2024|19/06/2024|Churned|Security</v>
      </c>
      <c r="W1384" s="13">
        <f t="shared" si="3"/>
        <v>1</v>
      </c>
      <c r="X1384" s="13">
        <f>IFERROR(__xludf.DUMMYFUNCTION("COUNTUNIQUE(FILTER($B$2:$B$1826,$A$2:$A$1826=A1384))"),1.0)</f>
        <v>1</v>
      </c>
    </row>
    <row r="1385">
      <c r="A1385" s="13" t="s">
        <v>1340</v>
      </c>
      <c r="B1385" s="13" t="s">
        <v>232</v>
      </c>
      <c r="C1385" s="14">
        <v>99.0</v>
      </c>
      <c r="D1385" s="13" t="s">
        <v>69</v>
      </c>
      <c r="E1385" s="13" t="s">
        <v>177</v>
      </c>
      <c r="F1385" s="13" t="s">
        <v>62</v>
      </c>
      <c r="G1385" s="13" t="s">
        <v>80</v>
      </c>
      <c r="H1385" s="16">
        <v>45114.0</v>
      </c>
      <c r="I1385" s="14">
        <v>6.0</v>
      </c>
      <c r="J1385" s="13" t="s">
        <v>64</v>
      </c>
      <c r="K1385" s="13" t="s">
        <v>65</v>
      </c>
      <c r="L1385" s="14">
        <v>874.0</v>
      </c>
      <c r="M1385" s="18" t="s">
        <v>43</v>
      </c>
      <c r="N1385" s="18" t="s">
        <v>43</v>
      </c>
      <c r="O1385" s="18">
        <v>14.4</v>
      </c>
      <c r="P1385" s="18" t="s">
        <v>158</v>
      </c>
      <c r="Q1385" s="16">
        <v>45128.0</v>
      </c>
      <c r="R1385" s="16" t="s">
        <v>38</v>
      </c>
      <c r="S1385" s="13" t="s">
        <v>55</v>
      </c>
      <c r="T1385" s="13" t="s">
        <v>75</v>
      </c>
      <c r="U1385" s="13">
        <f t="shared" si="1"/>
        <v>2</v>
      </c>
      <c r="V1385" s="13" t="str">
        <f t="shared" si="2"/>
        <v>C00032|Meera Iyer|99|South|Hyderabad|Basic|Organic Search|7/7/2023|6|Annual|Credit Card|874|2|2|14.40|4.7|7/21/2023||Active|Security</v>
      </c>
      <c r="W1385" s="13">
        <f t="shared" si="3"/>
        <v>1</v>
      </c>
      <c r="X1385" s="13">
        <f>IFERROR(__xludf.DUMMYFUNCTION("COUNTUNIQUE(FILTER($B$2:$B$1826,$A$2:$A$1826=A1385))"),2.0)</f>
        <v>2</v>
      </c>
    </row>
    <row r="1386">
      <c r="A1386" s="13" t="s">
        <v>1935</v>
      </c>
      <c r="B1386" s="13" t="s">
        <v>734</v>
      </c>
      <c r="C1386" s="14">
        <v>24.0</v>
      </c>
      <c r="D1386" s="13" t="s">
        <v>85</v>
      </c>
      <c r="E1386" s="13" t="s">
        <v>292</v>
      </c>
      <c r="F1386" s="13" t="s">
        <v>62</v>
      </c>
      <c r="G1386" s="13" t="s">
        <v>39</v>
      </c>
      <c r="H1386" s="16">
        <v>45423.0</v>
      </c>
      <c r="I1386" s="14">
        <v>42.0</v>
      </c>
      <c r="J1386" s="13" t="s">
        <v>64</v>
      </c>
      <c r="K1386" s="13" t="s">
        <v>65</v>
      </c>
      <c r="L1386" s="14">
        <v>660.0</v>
      </c>
      <c r="M1386" s="18" t="s">
        <v>46</v>
      </c>
      <c r="N1386" s="18" t="s">
        <v>98</v>
      </c>
      <c r="O1386" s="18">
        <v>16.6</v>
      </c>
      <c r="P1386" s="18" t="s">
        <v>263</v>
      </c>
      <c r="Q1386" s="16">
        <v>45700.0</v>
      </c>
      <c r="R1386" s="16" t="s">
        <v>38</v>
      </c>
      <c r="S1386" s="13" t="s">
        <v>55</v>
      </c>
      <c r="T1386" s="13" t="s">
        <v>66</v>
      </c>
      <c r="U1386" s="13">
        <f t="shared" si="1"/>
        <v>1</v>
      </c>
      <c r="V1386" s="13" t="str">
        <f t="shared" si="2"/>
        <v>C00370|Sneha Das|24|West|Mumbai|Basic|Instagram|5/11/2024|42|Annual|Credit Card|660|0|1|16.60|2.9|2/12/2025||Active|Automation</v>
      </c>
      <c r="W1386" s="13">
        <f t="shared" si="3"/>
        <v>1</v>
      </c>
      <c r="X1386" s="13">
        <f>IFERROR(__xludf.DUMMYFUNCTION("COUNTUNIQUE(FILTER($B$2:$B$1826,$A$2:$A$1826=A1386))"),1.0)</f>
        <v>1</v>
      </c>
    </row>
    <row r="1387">
      <c r="A1387" s="13" t="s">
        <v>1936</v>
      </c>
      <c r="B1387" s="13" t="s">
        <v>288</v>
      </c>
      <c r="C1387" s="14">
        <v>25.0</v>
      </c>
      <c r="D1387" s="13" t="s">
        <v>35</v>
      </c>
      <c r="E1387" s="13" t="s">
        <v>51</v>
      </c>
      <c r="F1387" s="13" t="s">
        <v>62</v>
      </c>
      <c r="G1387" s="13" t="s">
        <v>210</v>
      </c>
      <c r="H1387" s="16">
        <v>45979.0</v>
      </c>
      <c r="I1387" s="14">
        <v>23.0</v>
      </c>
      <c r="J1387" s="13" t="s">
        <v>64</v>
      </c>
      <c r="K1387" s="13" t="s">
        <v>81</v>
      </c>
      <c r="L1387" s="14">
        <v>678.0</v>
      </c>
      <c r="M1387" s="18" t="s">
        <v>43</v>
      </c>
      <c r="N1387" s="18" t="s">
        <v>43</v>
      </c>
      <c r="O1387" s="18">
        <v>16.1</v>
      </c>
      <c r="P1387" s="18" t="s">
        <v>203</v>
      </c>
      <c r="Q1387" s="16">
        <v>46026.0</v>
      </c>
      <c r="R1387" s="16" t="s">
        <v>38</v>
      </c>
      <c r="S1387" s="13" t="s">
        <v>55</v>
      </c>
      <c r="T1387" s="13" t="s">
        <v>104</v>
      </c>
      <c r="U1387" s="13">
        <f t="shared" si="1"/>
        <v>2</v>
      </c>
      <c r="V1387" s="13" t="str">
        <f t="shared" si="2"/>
        <v>C00615|Rahul Sharma|25|North|Jaipur|Basic|Referral|11/18/2025|23|Annual|Debit Card|678|2|2|16.10|3.7|1/4/2026||Active|Analytics</v>
      </c>
      <c r="W1387" s="13">
        <f t="shared" si="3"/>
        <v>1</v>
      </c>
      <c r="X1387" s="13">
        <f>IFERROR(__xludf.DUMMYFUNCTION("COUNTUNIQUE(FILTER($B$2:$B$1826,$A$2:$A$1826=A1387))"),2.0)</f>
        <v>2</v>
      </c>
    </row>
    <row r="1388">
      <c r="A1388" s="13" t="s">
        <v>1937</v>
      </c>
      <c r="B1388" s="13" t="s">
        <v>169</v>
      </c>
      <c r="C1388" s="14">
        <v>54.0</v>
      </c>
      <c r="D1388" s="13" t="s">
        <v>35</v>
      </c>
      <c r="E1388" s="13" t="s">
        <v>51</v>
      </c>
      <c r="F1388" s="13" t="s">
        <v>37</v>
      </c>
      <c r="G1388" s="13" t="s">
        <v>80</v>
      </c>
      <c r="H1388" s="16">
        <v>45390.0</v>
      </c>
      <c r="I1388" s="14">
        <v>45.0</v>
      </c>
      <c r="J1388" s="13" t="s">
        <v>53</v>
      </c>
      <c r="K1388" s="13" t="s">
        <v>81</v>
      </c>
      <c r="L1388" s="14">
        <v>1547.0</v>
      </c>
      <c r="M1388" s="18" t="s">
        <v>164</v>
      </c>
      <c r="N1388" s="18" t="s">
        <v>98</v>
      </c>
      <c r="O1388" s="18">
        <v>35.0</v>
      </c>
      <c r="P1388" s="18" t="s">
        <v>701</v>
      </c>
      <c r="Q1388" s="16">
        <v>46247.0</v>
      </c>
      <c r="R1388" s="16" t="s">
        <v>38</v>
      </c>
      <c r="S1388" s="13" t="s">
        <v>55</v>
      </c>
      <c r="T1388" s="13" t="s">
        <v>75</v>
      </c>
      <c r="U1388" s="13">
        <f t="shared" si="1"/>
        <v>1</v>
      </c>
      <c r="V1388" s="13" t="str">
        <f t="shared" si="2"/>
        <v>C00655|Vikram Nair|54|North|Jaipur|Standard|Organic Search|4/8/2024|45|Quarterly|Debit Card|1,547|3|1|35.00|2.8|8/13/2026||Active|Security</v>
      </c>
      <c r="W1388" s="13">
        <f t="shared" si="3"/>
        <v>1</v>
      </c>
      <c r="X1388" s="13">
        <f>IFERROR(__xludf.DUMMYFUNCTION("COUNTUNIQUE(FILTER($B$2:$B$1826,$A$2:$A$1826=A1388))"),1.0)</f>
        <v>1</v>
      </c>
    </row>
    <row r="1389">
      <c r="A1389" s="13" t="s">
        <v>1938</v>
      </c>
      <c r="B1389" s="13" t="s">
        <v>395</v>
      </c>
      <c r="C1389" s="14" t="s">
        <v>38</v>
      </c>
      <c r="D1389" s="13" t="s">
        <v>69</v>
      </c>
      <c r="E1389" s="13" t="s">
        <v>119</v>
      </c>
      <c r="F1389" s="13" t="s">
        <v>62</v>
      </c>
      <c r="G1389" s="13" t="s">
        <v>63</v>
      </c>
      <c r="H1389" s="16">
        <v>44581.0</v>
      </c>
      <c r="I1389" s="14">
        <v>33.0</v>
      </c>
      <c r="J1389" s="13" t="s">
        <v>64</v>
      </c>
      <c r="K1389" s="13" t="s">
        <v>81</v>
      </c>
      <c r="L1389" s="14">
        <v>658.0</v>
      </c>
      <c r="M1389" s="18" t="s">
        <v>98</v>
      </c>
      <c r="N1389" s="18" t="s">
        <v>98</v>
      </c>
      <c r="O1389" s="18">
        <v>20.2</v>
      </c>
      <c r="P1389" s="18" t="s">
        <v>173</v>
      </c>
      <c r="Q1389" s="16">
        <v>44615.0</v>
      </c>
      <c r="R1389" s="16" t="s">
        <v>38</v>
      </c>
      <c r="S1389" s="13" t="s">
        <v>55</v>
      </c>
      <c r="T1389" s="13" t="s">
        <v>104</v>
      </c>
      <c r="U1389" s="13">
        <f t="shared" si="1"/>
        <v>1</v>
      </c>
      <c r="V1389" s="13" t="str">
        <f t="shared" si="2"/>
        <v>C00260|Ravi Singh||South|Kochi|Basic|Google Ads|1/20/2022|33|Annual|Debit Card|658|1|1|20.20|5|2/23/2022||Active|Analytics</v>
      </c>
      <c r="W1389" s="13">
        <f t="shared" si="3"/>
        <v>1</v>
      </c>
      <c r="X1389" s="13">
        <f>IFERROR(__xludf.DUMMYFUNCTION("COUNTUNIQUE(FILTER($B$2:$B$1826,$A$2:$A$1826=A1389))"),1.0)</f>
        <v>1</v>
      </c>
    </row>
    <row r="1390">
      <c r="A1390" s="13" t="s">
        <v>320</v>
      </c>
      <c r="B1390" s="13" t="s">
        <v>172</v>
      </c>
      <c r="C1390" s="14">
        <v>44.0</v>
      </c>
      <c r="D1390" s="13" t="s">
        <v>35</v>
      </c>
      <c r="E1390" s="13" t="s">
        <v>36</v>
      </c>
      <c r="F1390" s="13" t="s">
        <v>37</v>
      </c>
      <c r="G1390" s="13" t="s">
        <v>80</v>
      </c>
      <c r="H1390" s="16">
        <v>45723.0</v>
      </c>
      <c r="I1390" s="14">
        <v>9.0</v>
      </c>
      <c r="J1390" s="13" t="s">
        <v>64</v>
      </c>
      <c r="K1390" s="13" t="s">
        <v>81</v>
      </c>
      <c r="L1390" s="14">
        <v>1043.0</v>
      </c>
      <c r="M1390" s="18" t="s">
        <v>98</v>
      </c>
      <c r="N1390" s="18" t="s">
        <v>46</v>
      </c>
      <c r="O1390" s="18">
        <v>15.1</v>
      </c>
      <c r="P1390" s="18" t="s">
        <v>99</v>
      </c>
      <c r="Q1390" s="16">
        <v>45939.0</v>
      </c>
      <c r="R1390" s="16" t="s">
        <v>38</v>
      </c>
      <c r="S1390" s="13" t="s">
        <v>55</v>
      </c>
      <c r="T1390" s="13" t="s">
        <v>47</v>
      </c>
      <c r="U1390" s="13">
        <f t="shared" si="1"/>
        <v>2</v>
      </c>
      <c r="V1390" s="13" t="str">
        <f t="shared" si="2"/>
        <v>C01157|Meera Singh|44|North|Delhi|Standard|Organic Search|3/7/2025|9|Annual|Debit Card|1,043|1|0|15.10|4|10/9/2025||Active|Cloud Storage</v>
      </c>
      <c r="W1390" s="13">
        <f t="shared" si="3"/>
        <v>1</v>
      </c>
      <c r="X1390" s="13">
        <f>IFERROR(__xludf.DUMMYFUNCTION("COUNTUNIQUE(FILTER($B$2:$B$1826,$A$2:$A$1826=A1390))"),2.0)</f>
        <v>2</v>
      </c>
    </row>
    <row r="1391">
      <c r="A1391" s="13" t="s">
        <v>1528</v>
      </c>
      <c r="B1391" s="13" t="s">
        <v>333</v>
      </c>
      <c r="C1391" s="14">
        <v>39.0</v>
      </c>
      <c r="D1391" s="13" t="s">
        <v>60</v>
      </c>
      <c r="E1391" s="13" t="s">
        <v>97</v>
      </c>
      <c r="F1391" s="13" t="s">
        <v>62</v>
      </c>
      <c r="G1391" s="13" t="s">
        <v>210</v>
      </c>
      <c r="H1391" s="16">
        <v>45606.0</v>
      </c>
      <c r="I1391" s="14">
        <v>28.0</v>
      </c>
      <c r="J1391" s="13" t="s">
        <v>53</v>
      </c>
      <c r="K1391" s="13" t="s">
        <v>65</v>
      </c>
      <c r="L1391" s="14">
        <v>519.0</v>
      </c>
      <c r="M1391" s="18" t="s">
        <v>98</v>
      </c>
      <c r="N1391" s="18" t="s">
        <v>43</v>
      </c>
      <c r="O1391" s="18">
        <v>14.0</v>
      </c>
      <c r="P1391" s="18" t="s">
        <v>108</v>
      </c>
      <c r="Q1391" s="16">
        <v>45736.0</v>
      </c>
      <c r="R1391" s="16" t="s">
        <v>38</v>
      </c>
      <c r="S1391" s="13" t="s">
        <v>55</v>
      </c>
      <c r="T1391" s="13" t="s">
        <v>47</v>
      </c>
      <c r="U1391" s="13">
        <f t="shared" si="1"/>
        <v>2</v>
      </c>
      <c r="V1391" s="13" t="str">
        <f t="shared" si="2"/>
        <v>C00405|Neha Das|39|East|Bhubaneswar|Basic|Referral|11/10/2024|28|Quarterly|Credit Card|519|1|2|14.00|2.4|3/20/2025||Active|Cloud Storage</v>
      </c>
      <c r="W1391" s="13">
        <f t="shared" si="3"/>
        <v>1</v>
      </c>
      <c r="X1391" s="13">
        <f>IFERROR(__xludf.DUMMYFUNCTION("COUNTUNIQUE(FILTER($B$2:$B$1826,$A$2:$A$1826=A1391))"),2.0)</f>
        <v>2</v>
      </c>
    </row>
    <row r="1392">
      <c r="A1392" s="13" t="s">
        <v>1604</v>
      </c>
      <c r="B1392" s="13" t="s">
        <v>74</v>
      </c>
      <c r="C1392" s="14">
        <v>32.0</v>
      </c>
      <c r="D1392" s="13" t="s">
        <v>35</v>
      </c>
      <c r="E1392" s="13" t="s">
        <v>38</v>
      </c>
      <c r="F1392" s="13" t="s">
        <v>62</v>
      </c>
      <c r="G1392" s="13" t="s">
        <v>39</v>
      </c>
      <c r="H1392" s="16">
        <v>44970.0</v>
      </c>
      <c r="I1392" s="14">
        <v>48.0</v>
      </c>
      <c r="J1392" s="13" t="s">
        <v>40</v>
      </c>
      <c r="K1392" s="13" t="s">
        <v>41</v>
      </c>
      <c r="L1392" s="14">
        <v>850.0</v>
      </c>
      <c r="M1392" s="18" t="s">
        <v>98</v>
      </c>
      <c r="N1392" s="18" t="s">
        <v>46</v>
      </c>
      <c r="O1392" s="18">
        <v>20.1</v>
      </c>
      <c r="P1392" s="18" t="s">
        <v>185</v>
      </c>
      <c r="Q1392" s="16">
        <v>45009.0</v>
      </c>
      <c r="R1392" s="16" t="s">
        <v>1939</v>
      </c>
      <c r="S1392" s="13" t="s">
        <v>45</v>
      </c>
      <c r="T1392" s="13" t="s">
        <v>104</v>
      </c>
      <c r="U1392" s="13">
        <f t="shared" si="1"/>
        <v>2</v>
      </c>
      <c r="V1392" s="13" t="str">
        <f t="shared" si="2"/>
        <v>C00304|Anita Kumar|32|North||Basic|Instagram|2/13/2023|48|Monthly|Upi|850|1|0|20.10|3.2|3/24/2023|19/03/2025|Churned|Analytics</v>
      </c>
      <c r="W1392" s="13">
        <f t="shared" si="3"/>
        <v>1</v>
      </c>
      <c r="X1392" s="13">
        <f>IFERROR(__xludf.DUMMYFUNCTION("COUNTUNIQUE(FILTER($B$2:$B$1826,$A$2:$A$1826=A1392))"),2.0)</f>
        <v>2</v>
      </c>
    </row>
    <row r="1393">
      <c r="A1393" s="13" t="s">
        <v>1570</v>
      </c>
      <c r="B1393" s="13" t="s">
        <v>247</v>
      </c>
      <c r="C1393" s="14">
        <v>26.0</v>
      </c>
      <c r="D1393" s="13" t="s">
        <v>35</v>
      </c>
      <c r="E1393" s="13" t="s">
        <v>140</v>
      </c>
      <c r="F1393" s="13" t="s">
        <v>62</v>
      </c>
      <c r="G1393" s="13" t="s">
        <v>210</v>
      </c>
      <c r="H1393" s="16">
        <v>45387.0</v>
      </c>
      <c r="I1393" s="14">
        <v>30.0</v>
      </c>
      <c r="J1393" s="13" t="s">
        <v>53</v>
      </c>
      <c r="K1393" s="13" t="s">
        <v>41</v>
      </c>
      <c r="L1393" s="14">
        <v>555.0</v>
      </c>
      <c r="M1393" s="18" t="s">
        <v>98</v>
      </c>
      <c r="N1393" s="18" t="s">
        <v>98</v>
      </c>
      <c r="O1393" s="18">
        <v>3.5</v>
      </c>
      <c r="P1393" s="18" t="s">
        <v>701</v>
      </c>
      <c r="Q1393" s="16">
        <v>45400.0</v>
      </c>
      <c r="R1393" s="16" t="s">
        <v>38</v>
      </c>
      <c r="S1393" s="13" t="s">
        <v>55</v>
      </c>
      <c r="T1393" s="13" t="s">
        <v>75</v>
      </c>
      <c r="U1393" s="13">
        <f t="shared" si="1"/>
        <v>3</v>
      </c>
      <c r="V1393" s="13" t="str">
        <f t="shared" si="2"/>
        <v>C00043|Ravi Sharma|26|North|Lucknow|Basic|Referral|4/5/2024|30|Quarterly|Upi|555|1|1|3.50|2.8|4/18/2024||Active|Security</v>
      </c>
      <c r="W1393" s="13">
        <f t="shared" si="3"/>
        <v>1</v>
      </c>
      <c r="X1393" s="13">
        <f>IFERROR(__xludf.DUMMYFUNCTION("COUNTUNIQUE(FILTER($B$2:$B$1826,$A$2:$A$1826=A1393))"),3.0)</f>
        <v>3</v>
      </c>
    </row>
    <row r="1394">
      <c r="A1394" s="13" t="s">
        <v>1940</v>
      </c>
      <c r="B1394" s="13" t="s">
        <v>351</v>
      </c>
      <c r="C1394" s="14">
        <v>66.0</v>
      </c>
      <c r="D1394" s="13" t="s">
        <v>35</v>
      </c>
      <c r="E1394" s="13" t="s">
        <v>36</v>
      </c>
      <c r="F1394" s="13" t="s">
        <v>62</v>
      </c>
      <c r="G1394" s="13" t="s">
        <v>128</v>
      </c>
      <c r="H1394" s="16">
        <v>45847.0</v>
      </c>
      <c r="I1394" s="14">
        <v>10.0</v>
      </c>
      <c r="J1394" s="13" t="s">
        <v>64</v>
      </c>
      <c r="K1394" s="13" t="s">
        <v>81</v>
      </c>
      <c r="L1394" s="14">
        <v>570.0</v>
      </c>
      <c r="M1394" s="18" t="s">
        <v>164</v>
      </c>
      <c r="N1394" s="18" t="s">
        <v>98</v>
      </c>
      <c r="O1394" s="18">
        <v>22.4</v>
      </c>
      <c r="P1394" s="18" t="s">
        <v>99</v>
      </c>
      <c r="Q1394" s="16">
        <v>45960.0</v>
      </c>
      <c r="R1394" s="16" t="s">
        <v>1941</v>
      </c>
      <c r="S1394" s="13" t="s">
        <v>529</v>
      </c>
      <c r="T1394" s="13" t="s">
        <v>104</v>
      </c>
      <c r="U1394" s="13">
        <f t="shared" si="1"/>
        <v>2</v>
      </c>
      <c r="V1394" s="13" t="str">
        <f t="shared" si="2"/>
        <v>C00006|Meera Nair|66|North|Delhi|Basic|Youtube|7/9/2025|10|Annual|Debit Card|570|3|1|22.40|4|10/30/2025|29/03/2026|No|Analytics</v>
      </c>
      <c r="W1394" s="13">
        <f t="shared" si="3"/>
        <v>1</v>
      </c>
      <c r="X1394" s="13">
        <f>IFERROR(__xludf.DUMMYFUNCTION("COUNTUNIQUE(FILTER($B$2:$B$1826,$A$2:$A$1826=A1394))"),2.0)</f>
        <v>2</v>
      </c>
    </row>
    <row r="1395">
      <c r="A1395" s="13" t="s">
        <v>1510</v>
      </c>
      <c r="B1395" s="13" t="s">
        <v>132</v>
      </c>
      <c r="C1395" s="14">
        <v>57.0</v>
      </c>
      <c r="D1395" s="13" t="s">
        <v>35</v>
      </c>
      <c r="E1395" s="13" t="s">
        <v>161</v>
      </c>
      <c r="F1395" s="13" t="s">
        <v>62</v>
      </c>
      <c r="G1395" s="13" t="s">
        <v>63</v>
      </c>
      <c r="H1395" s="16">
        <v>44730.0</v>
      </c>
      <c r="I1395" s="14">
        <v>36.0</v>
      </c>
      <c r="J1395" s="13" t="s">
        <v>64</v>
      </c>
      <c r="K1395" s="13" t="s">
        <v>81</v>
      </c>
      <c r="L1395" s="14">
        <v>631.0</v>
      </c>
      <c r="M1395" s="18" t="s">
        <v>43</v>
      </c>
      <c r="N1395" s="18" t="s">
        <v>98</v>
      </c>
      <c r="O1395" s="18">
        <v>12.7</v>
      </c>
      <c r="P1395" s="18" t="s">
        <v>99</v>
      </c>
      <c r="Q1395" s="16">
        <v>44823.0</v>
      </c>
      <c r="R1395" s="16" t="s">
        <v>38</v>
      </c>
      <c r="S1395" s="13" t="s">
        <v>55</v>
      </c>
      <c r="T1395" s="13" t="s">
        <v>72</v>
      </c>
      <c r="U1395" s="13">
        <f t="shared" si="1"/>
        <v>2</v>
      </c>
      <c r="V1395" s="13" t="str">
        <f t="shared" si="2"/>
        <v>C00796|Arun Kumar|57|North|Chandigarh|Basic|Google Ads|6/18/2022|36|Annual|Debit Card|631|2|1|12.70|4|9/19/2022||Active|Collaboration</v>
      </c>
      <c r="W1395" s="13">
        <f t="shared" si="3"/>
        <v>1</v>
      </c>
      <c r="X1395" s="13">
        <f>IFERROR(__xludf.DUMMYFUNCTION("COUNTUNIQUE(FILTER($B$2:$B$1826,$A$2:$A$1826=A1395))"),2.0)</f>
        <v>2</v>
      </c>
    </row>
    <row r="1396">
      <c r="A1396" s="13" t="s">
        <v>1740</v>
      </c>
      <c r="B1396" s="13" t="s">
        <v>91</v>
      </c>
      <c r="C1396" s="14">
        <v>61.0</v>
      </c>
      <c r="D1396" s="13" t="s">
        <v>69</v>
      </c>
      <c r="E1396" s="13" t="s">
        <v>187</v>
      </c>
      <c r="F1396" s="13" t="s">
        <v>62</v>
      </c>
      <c r="G1396" s="13" t="s">
        <v>63</v>
      </c>
      <c r="H1396" s="16">
        <v>45062.0</v>
      </c>
      <c r="I1396" s="14">
        <v>29.0</v>
      </c>
      <c r="J1396" s="13" t="s">
        <v>64</v>
      </c>
      <c r="K1396" s="13" t="s">
        <v>81</v>
      </c>
      <c r="L1396" s="14">
        <v>548.0</v>
      </c>
      <c r="M1396" s="18" t="s">
        <v>99</v>
      </c>
      <c r="N1396" s="18" t="s">
        <v>98</v>
      </c>
      <c r="O1396" s="18">
        <v>20.1</v>
      </c>
      <c r="P1396" s="18" t="s">
        <v>164</v>
      </c>
      <c r="Q1396" s="16">
        <v>45159.0</v>
      </c>
      <c r="R1396" s="16" t="s">
        <v>38</v>
      </c>
      <c r="S1396" s="13" t="s">
        <v>55</v>
      </c>
      <c r="T1396" s="13" t="s">
        <v>72</v>
      </c>
      <c r="U1396" s="13">
        <f t="shared" si="1"/>
        <v>2</v>
      </c>
      <c r="V1396" s="13" t="str">
        <f t="shared" si="2"/>
        <v>C01402|Anita Sharma|61|South|Chennai|Basic|Google Ads|5/16/2023|29|Annual|Debit Card|548|4|1|20.10|3|8/21/2023||Active|Collaboration</v>
      </c>
      <c r="W1396" s="13">
        <f t="shared" si="3"/>
        <v>1</v>
      </c>
      <c r="X1396" s="13">
        <f>IFERROR(__xludf.DUMMYFUNCTION("COUNTUNIQUE(FILTER($B$2:$B$1826,$A$2:$A$1826=A1396))"),2.0)</f>
        <v>2</v>
      </c>
    </row>
    <row r="1397">
      <c r="A1397" s="13" t="s">
        <v>1942</v>
      </c>
      <c r="B1397" s="13" t="s">
        <v>651</v>
      </c>
      <c r="C1397" s="14">
        <v>42.0</v>
      </c>
      <c r="D1397" s="13" t="s">
        <v>60</v>
      </c>
      <c r="E1397" s="13" t="s">
        <v>107</v>
      </c>
      <c r="F1397" s="13" t="s">
        <v>37</v>
      </c>
      <c r="G1397" s="13" t="s">
        <v>128</v>
      </c>
      <c r="H1397" s="16">
        <v>45736.0</v>
      </c>
      <c r="I1397" s="14">
        <v>20.0</v>
      </c>
      <c r="J1397" s="13" t="s">
        <v>40</v>
      </c>
      <c r="K1397" s="13" t="s">
        <v>65</v>
      </c>
      <c r="L1397" s="14">
        <v>1192.0</v>
      </c>
      <c r="M1397" s="18" t="s">
        <v>164</v>
      </c>
      <c r="N1397" s="18" t="s">
        <v>43</v>
      </c>
      <c r="O1397" s="18">
        <v>38.1</v>
      </c>
      <c r="P1397" s="18" t="s">
        <v>38</v>
      </c>
      <c r="Q1397" s="16">
        <v>46012.0</v>
      </c>
      <c r="R1397" s="16" t="s">
        <v>38</v>
      </c>
      <c r="S1397" s="13" t="s">
        <v>55</v>
      </c>
      <c r="T1397" s="13" t="s">
        <v>47</v>
      </c>
      <c r="U1397" s="13">
        <f t="shared" si="1"/>
        <v>1</v>
      </c>
      <c r="V1397" s="13" t="str">
        <f t="shared" si="2"/>
        <v>C01422|Arun Sharma|42|East|Patna|Standard|Youtube|3/20/2025|20|Monthly|Credit Card|1,192|3|2|38.10||12/21/2025||Active|Cloud Storage</v>
      </c>
      <c r="W1397" s="13">
        <f t="shared" si="3"/>
        <v>1</v>
      </c>
      <c r="X1397" s="13">
        <f>IFERROR(__xludf.DUMMYFUNCTION("COUNTUNIQUE(FILTER($B$2:$B$1826,$A$2:$A$1826=A1397))"),1.0)</f>
        <v>1</v>
      </c>
    </row>
    <row r="1398">
      <c r="A1398" s="13" t="s">
        <v>1209</v>
      </c>
      <c r="B1398" s="13" t="s">
        <v>393</v>
      </c>
      <c r="C1398" s="14">
        <v>47.0</v>
      </c>
      <c r="D1398" s="13" t="s">
        <v>85</v>
      </c>
      <c r="E1398" s="13" t="s">
        <v>87</v>
      </c>
      <c r="F1398" s="13" t="s">
        <v>62</v>
      </c>
      <c r="G1398" s="13" t="s">
        <v>210</v>
      </c>
      <c r="H1398" s="16">
        <v>45330.0</v>
      </c>
      <c r="I1398" s="14">
        <v>37.0</v>
      </c>
      <c r="J1398" s="13" t="s">
        <v>40</v>
      </c>
      <c r="K1398" s="13" t="s">
        <v>81</v>
      </c>
      <c r="L1398" s="14">
        <v>627.0</v>
      </c>
      <c r="M1398" s="18" t="s">
        <v>99</v>
      </c>
      <c r="N1398" s="18" t="s">
        <v>43</v>
      </c>
      <c r="O1398" s="18">
        <v>18.4</v>
      </c>
      <c r="P1398" s="18" t="s">
        <v>456</v>
      </c>
      <c r="Q1398" s="16">
        <v>45899.0</v>
      </c>
      <c r="R1398" s="16" t="s">
        <v>38</v>
      </c>
      <c r="S1398" s="13" t="s">
        <v>55</v>
      </c>
      <c r="T1398" s="13" t="s">
        <v>104</v>
      </c>
      <c r="U1398" s="13">
        <f t="shared" si="1"/>
        <v>3</v>
      </c>
      <c r="V1398" s="13" t="str">
        <f t="shared" si="2"/>
        <v>C00569|Karan Das|47|West|Surat|Basic|Referral|2/8/2024|37|Monthly|Debit Card|627|4|2|18.40|2.5|8/30/2025||Active|Analytics</v>
      </c>
      <c r="W1398" s="13">
        <f t="shared" si="3"/>
        <v>1</v>
      </c>
      <c r="X1398" s="13">
        <f>IFERROR(__xludf.DUMMYFUNCTION("COUNTUNIQUE(FILTER($B$2:$B$1826,$A$2:$A$1826=A1398))"),3.0)</f>
        <v>3</v>
      </c>
    </row>
    <row r="1399">
      <c r="A1399" s="13" t="s">
        <v>632</v>
      </c>
      <c r="B1399" s="13" t="s">
        <v>106</v>
      </c>
      <c r="C1399" s="14">
        <v>60.0</v>
      </c>
      <c r="D1399" s="13" t="s">
        <v>35</v>
      </c>
      <c r="E1399" s="13" t="s">
        <v>51</v>
      </c>
      <c r="F1399" s="13" t="s">
        <v>62</v>
      </c>
      <c r="G1399" s="13" t="s">
        <v>52</v>
      </c>
      <c r="H1399" s="16">
        <v>44594.0</v>
      </c>
      <c r="I1399" s="14">
        <v>9.0</v>
      </c>
      <c r="J1399" s="13" t="s">
        <v>40</v>
      </c>
      <c r="K1399" s="13" t="s">
        <v>81</v>
      </c>
      <c r="L1399" s="14">
        <v>775.0</v>
      </c>
      <c r="M1399" s="18" t="s">
        <v>43</v>
      </c>
      <c r="N1399" s="18" t="s">
        <v>43</v>
      </c>
      <c r="O1399" s="18">
        <v>18.9</v>
      </c>
      <c r="P1399" s="18" t="s">
        <v>296</v>
      </c>
      <c r="Q1399" s="16">
        <v>44863.0</v>
      </c>
      <c r="R1399" s="16" t="s">
        <v>38</v>
      </c>
      <c r="S1399" s="13" t="s">
        <v>55</v>
      </c>
      <c r="T1399" s="13" t="s">
        <v>75</v>
      </c>
      <c r="U1399" s="13">
        <f t="shared" si="1"/>
        <v>2</v>
      </c>
      <c r="V1399" s="13" t="str">
        <f t="shared" si="2"/>
        <v>C00196|Rahul Patel|60|North|Jaipur|Basic|Facebook|2/2/2022|9|Monthly|Debit Card|775|2|2|18.90|4.6|10/29/2022||Active|Security</v>
      </c>
      <c r="W1399" s="13">
        <f t="shared" si="3"/>
        <v>1</v>
      </c>
      <c r="X1399" s="13">
        <f>IFERROR(__xludf.DUMMYFUNCTION("COUNTUNIQUE(FILTER($B$2:$B$1826,$A$2:$A$1826=A1399))"),2.0)</f>
        <v>2</v>
      </c>
    </row>
    <row r="1400">
      <c r="A1400" s="13" t="s">
        <v>1723</v>
      </c>
      <c r="B1400" s="13" t="s">
        <v>68</v>
      </c>
      <c r="C1400" s="14">
        <v>48.0</v>
      </c>
      <c r="D1400" s="13" t="s">
        <v>60</v>
      </c>
      <c r="E1400" s="13" t="s">
        <v>61</v>
      </c>
      <c r="F1400" s="13" t="s">
        <v>62</v>
      </c>
      <c r="G1400" s="13" t="s">
        <v>120</v>
      </c>
      <c r="H1400" s="16">
        <v>44850.0</v>
      </c>
      <c r="I1400" s="14">
        <v>3.0</v>
      </c>
      <c r="J1400" s="13" t="s">
        <v>40</v>
      </c>
      <c r="K1400" s="13" t="s">
        <v>65</v>
      </c>
      <c r="L1400" s="14">
        <v>755.0</v>
      </c>
      <c r="M1400" s="18" t="s">
        <v>38</v>
      </c>
      <c r="N1400" s="18" t="s">
        <v>46</v>
      </c>
      <c r="O1400" s="18">
        <v>1.0</v>
      </c>
      <c r="P1400" s="18" t="s">
        <v>400</v>
      </c>
      <c r="Q1400" s="16">
        <v>44893.0</v>
      </c>
      <c r="R1400" s="16" t="s">
        <v>38</v>
      </c>
      <c r="S1400" s="13" t="s">
        <v>55</v>
      </c>
      <c r="T1400" s="13" t="s">
        <v>47</v>
      </c>
      <c r="U1400" s="13">
        <f t="shared" si="1"/>
        <v>2</v>
      </c>
      <c r="V1400" s="13" t="str">
        <f t="shared" si="2"/>
        <v>C01222|Anita Patel|48|East|Kolkata|Basic|Email|10/16/2022|3|Monthly|Credit Card|755||0|1.00|4.8|11/28/2022||Active|Cloud Storage</v>
      </c>
      <c r="W1400" s="13">
        <f t="shared" si="3"/>
        <v>1</v>
      </c>
      <c r="X1400" s="13">
        <f>IFERROR(__xludf.DUMMYFUNCTION("COUNTUNIQUE(FILTER($B$2:$B$1826,$A$2:$A$1826=A1400))"),2.0)</f>
        <v>2</v>
      </c>
    </row>
    <row r="1401">
      <c r="A1401" s="13" t="s">
        <v>1252</v>
      </c>
      <c r="B1401" s="13" t="s">
        <v>336</v>
      </c>
      <c r="C1401" s="14">
        <v>54.0</v>
      </c>
      <c r="D1401" s="13" t="s">
        <v>60</v>
      </c>
      <c r="E1401" s="13" t="s">
        <v>97</v>
      </c>
      <c r="F1401" s="13" t="s">
        <v>79</v>
      </c>
      <c r="G1401" s="13" t="s">
        <v>39</v>
      </c>
      <c r="H1401" s="16">
        <v>45267.0</v>
      </c>
      <c r="I1401" s="14">
        <v>30.0</v>
      </c>
      <c r="J1401" s="13" t="s">
        <v>64</v>
      </c>
      <c r="K1401" s="13" t="s">
        <v>65</v>
      </c>
      <c r="L1401" s="14">
        <v>2325.0</v>
      </c>
      <c r="M1401" s="18" t="s">
        <v>43</v>
      </c>
      <c r="N1401" s="18" t="s">
        <v>43</v>
      </c>
      <c r="O1401" s="18">
        <v>34.2</v>
      </c>
      <c r="P1401" s="18" t="s">
        <v>310</v>
      </c>
      <c r="Q1401" s="16">
        <v>45911.0</v>
      </c>
      <c r="R1401" s="16" t="s">
        <v>38</v>
      </c>
      <c r="S1401" s="13" t="s">
        <v>55</v>
      </c>
      <c r="T1401" s="13" t="s">
        <v>104</v>
      </c>
      <c r="U1401" s="13">
        <f t="shared" si="1"/>
        <v>2</v>
      </c>
      <c r="V1401" s="13" t="str">
        <f t="shared" si="2"/>
        <v>C00843|Priya Patel|54|East|Bhubaneswar|Premium|Instagram|12/7/2023|30|Annual|Credit Card|2,325|2|2|34.20|3.1|9/11/2025||Active|Analytics</v>
      </c>
      <c r="W1401" s="13">
        <f t="shared" si="3"/>
        <v>1</v>
      </c>
      <c r="X1401" s="13">
        <f>IFERROR(__xludf.DUMMYFUNCTION("COUNTUNIQUE(FILTER($B$2:$B$1826,$A$2:$A$1826=A1401))"),2.0)</f>
        <v>2</v>
      </c>
    </row>
    <row r="1402">
      <c r="A1402" s="13" t="s">
        <v>710</v>
      </c>
      <c r="B1402" s="13" t="s">
        <v>303</v>
      </c>
      <c r="C1402" s="14">
        <v>22.0</v>
      </c>
      <c r="D1402" s="13" t="s">
        <v>35</v>
      </c>
      <c r="E1402" s="13" t="s">
        <v>140</v>
      </c>
      <c r="F1402" s="13" t="s">
        <v>79</v>
      </c>
      <c r="G1402" s="13" t="s">
        <v>52</v>
      </c>
      <c r="H1402" s="16">
        <v>44923.0</v>
      </c>
      <c r="I1402" s="14">
        <v>41.0</v>
      </c>
      <c r="J1402" s="13" t="s">
        <v>53</v>
      </c>
      <c r="K1402" s="13" t="s">
        <v>81</v>
      </c>
      <c r="L1402" s="14">
        <v>2035.0</v>
      </c>
      <c r="M1402" s="18" t="s">
        <v>43</v>
      </c>
      <c r="N1402" s="18" t="s">
        <v>98</v>
      </c>
      <c r="O1402" s="18">
        <v>40.4</v>
      </c>
      <c r="P1402" s="18" t="s">
        <v>48</v>
      </c>
      <c r="Q1402" s="16">
        <v>45520.0</v>
      </c>
      <c r="R1402" s="16" t="s">
        <v>1943</v>
      </c>
      <c r="S1402" s="13" t="s">
        <v>45</v>
      </c>
      <c r="T1402" s="13" t="s">
        <v>47</v>
      </c>
      <c r="U1402" s="13">
        <f t="shared" si="1"/>
        <v>2</v>
      </c>
      <c r="V1402" s="13" t="str">
        <f t="shared" si="2"/>
        <v>C01125|Priya Kumar|22|North|Lucknow|Premium|Facebook|12/28/2022|41|Quarterly|Debit Card|2,035|2|1|40.40|3.6|8/16/2024|20/04/2025|Churned|Cloud Storage</v>
      </c>
      <c r="W1402" s="13">
        <f t="shared" si="3"/>
        <v>1</v>
      </c>
      <c r="X1402" s="13">
        <f>IFERROR(__xludf.DUMMYFUNCTION("COUNTUNIQUE(FILTER($B$2:$B$1826,$A$2:$A$1826=A1402))"),2.0)</f>
        <v>2</v>
      </c>
    </row>
    <row r="1403">
      <c r="A1403" s="13" t="s">
        <v>1088</v>
      </c>
      <c r="B1403" s="13" t="s">
        <v>303</v>
      </c>
      <c r="C1403" s="14">
        <v>24.0</v>
      </c>
      <c r="D1403" s="13" t="s">
        <v>35</v>
      </c>
      <c r="E1403" s="13" t="s">
        <v>161</v>
      </c>
      <c r="F1403" s="13" t="s">
        <v>62</v>
      </c>
      <c r="G1403" s="13" t="s">
        <v>63</v>
      </c>
      <c r="H1403" s="16">
        <v>44672.0</v>
      </c>
      <c r="I1403" s="14">
        <v>6.0</v>
      </c>
      <c r="J1403" s="13" t="s">
        <v>64</v>
      </c>
      <c r="K1403" s="13" t="s">
        <v>81</v>
      </c>
      <c r="L1403" s="14">
        <v>623.0</v>
      </c>
      <c r="M1403" s="18" t="s">
        <v>164</v>
      </c>
      <c r="N1403" s="18" t="s">
        <v>46</v>
      </c>
      <c r="O1403" s="18">
        <v>16.2</v>
      </c>
      <c r="P1403" s="18" t="s">
        <v>456</v>
      </c>
      <c r="Q1403" s="16">
        <v>44799.0</v>
      </c>
      <c r="R1403" s="16" t="s">
        <v>38</v>
      </c>
      <c r="S1403" s="13" t="s">
        <v>55</v>
      </c>
      <c r="T1403" s="13" t="s">
        <v>47</v>
      </c>
      <c r="U1403" s="13">
        <f t="shared" si="1"/>
        <v>2</v>
      </c>
      <c r="V1403" s="13" t="str">
        <f t="shared" si="2"/>
        <v>C00449|Priya Kumar|24|North|Chandigarh|Basic|Google Ads|4/21/2022|6|Annual|Debit Card|623|3|0|16.20|2.5|8/26/2022||Active|Cloud Storage</v>
      </c>
      <c r="W1403" s="13">
        <f t="shared" si="3"/>
        <v>1</v>
      </c>
      <c r="X1403" s="13">
        <f>IFERROR(__xludf.DUMMYFUNCTION("COUNTUNIQUE(FILTER($B$2:$B$1826,$A$2:$A$1826=A1403))"),2.0)</f>
        <v>2</v>
      </c>
    </row>
    <row r="1404">
      <c r="A1404" s="13" t="s">
        <v>1398</v>
      </c>
      <c r="B1404" s="13" t="s">
        <v>345</v>
      </c>
      <c r="C1404" s="14">
        <v>66.0</v>
      </c>
      <c r="D1404" s="13" t="s">
        <v>69</v>
      </c>
      <c r="E1404" s="13" t="s">
        <v>119</v>
      </c>
      <c r="F1404" s="13" t="s">
        <v>62</v>
      </c>
      <c r="G1404" s="13" t="s">
        <v>63</v>
      </c>
      <c r="H1404" s="16">
        <v>44818.0</v>
      </c>
      <c r="I1404" s="14">
        <v>2.0</v>
      </c>
      <c r="J1404" s="13" t="s">
        <v>53</v>
      </c>
      <c r="K1404" s="13" t="s">
        <v>65</v>
      </c>
      <c r="L1404" s="14">
        <v>634.0</v>
      </c>
      <c r="M1404" s="18" t="s">
        <v>46</v>
      </c>
      <c r="N1404" s="18" t="s">
        <v>98</v>
      </c>
      <c r="O1404" s="18">
        <v>16.0</v>
      </c>
      <c r="P1404" s="18" t="s">
        <v>130</v>
      </c>
      <c r="Q1404" s="16">
        <v>44875.0</v>
      </c>
      <c r="R1404" s="16" t="s">
        <v>38</v>
      </c>
      <c r="S1404" s="13" t="s">
        <v>55</v>
      </c>
      <c r="T1404" s="13" t="s">
        <v>72</v>
      </c>
      <c r="U1404" s="13">
        <f t="shared" si="1"/>
        <v>2</v>
      </c>
      <c r="V1404" s="13" t="str">
        <f t="shared" si="2"/>
        <v>C00411|Arun Nair|66|South|Kochi|Basic|Google Ads|9/14/2022|2|Quarterly|Credit Card|634|0|1|16.00|3.9|11/10/2022||Active|Collaboration</v>
      </c>
      <c r="W1404" s="13">
        <f t="shared" si="3"/>
        <v>1</v>
      </c>
      <c r="X1404" s="13">
        <f>IFERROR(__xludf.DUMMYFUNCTION("COUNTUNIQUE(FILTER($B$2:$B$1826,$A$2:$A$1826=A1404))"),2.0)</f>
        <v>2</v>
      </c>
    </row>
    <row r="1405">
      <c r="A1405" s="13" t="s">
        <v>613</v>
      </c>
      <c r="B1405" s="13" t="s">
        <v>139</v>
      </c>
      <c r="C1405" s="14">
        <v>20.0</v>
      </c>
      <c r="D1405" s="13" t="s">
        <v>60</v>
      </c>
      <c r="E1405" s="13" t="s">
        <v>107</v>
      </c>
      <c r="F1405" s="13" t="s">
        <v>62</v>
      </c>
      <c r="G1405" s="13" t="s">
        <v>63</v>
      </c>
      <c r="H1405" s="16">
        <v>45187.0</v>
      </c>
      <c r="I1405" s="14">
        <v>42.0</v>
      </c>
      <c r="J1405" s="13" t="s">
        <v>40</v>
      </c>
      <c r="K1405" s="13" t="s">
        <v>81</v>
      </c>
      <c r="L1405" s="14">
        <v>572.0</v>
      </c>
      <c r="M1405" s="18" t="s">
        <v>43</v>
      </c>
      <c r="N1405" s="18" t="s">
        <v>46</v>
      </c>
      <c r="O1405" s="18">
        <v>16.0</v>
      </c>
      <c r="P1405" s="18" t="s">
        <v>76</v>
      </c>
      <c r="Q1405" s="16">
        <v>45645.0</v>
      </c>
      <c r="R1405" s="16" t="s">
        <v>38</v>
      </c>
      <c r="S1405" s="13" t="s">
        <v>55</v>
      </c>
      <c r="T1405" s="13" t="s">
        <v>104</v>
      </c>
      <c r="U1405" s="13">
        <f t="shared" si="1"/>
        <v>2</v>
      </c>
      <c r="V1405" s="13" t="str">
        <f t="shared" si="2"/>
        <v>C00460|Vikram Das|20|East|Patna|Basic|Google Ads|9/18/2023|42|Monthly|Debit Card|572|2|0|16.00|4.4|12/19/2024||Active|Analytics</v>
      </c>
      <c r="W1405" s="13">
        <f t="shared" si="3"/>
        <v>1</v>
      </c>
      <c r="X1405" s="13">
        <f>IFERROR(__xludf.DUMMYFUNCTION("COUNTUNIQUE(FILTER($B$2:$B$1826,$A$2:$A$1826=A1405))"),2.0)</f>
        <v>2</v>
      </c>
    </row>
    <row r="1406">
      <c r="A1406" s="13" t="s">
        <v>1120</v>
      </c>
      <c r="B1406" s="13" t="s">
        <v>636</v>
      </c>
      <c r="C1406" s="14">
        <v>54.0</v>
      </c>
      <c r="D1406" s="13" t="s">
        <v>69</v>
      </c>
      <c r="E1406" s="13" t="s">
        <v>70</v>
      </c>
      <c r="F1406" s="13" t="s">
        <v>62</v>
      </c>
      <c r="G1406" s="13" t="s">
        <v>52</v>
      </c>
      <c r="H1406" s="16">
        <v>45843.0</v>
      </c>
      <c r="I1406" s="14">
        <v>14.0</v>
      </c>
      <c r="J1406" s="13" t="s">
        <v>53</v>
      </c>
      <c r="K1406" s="13" t="s">
        <v>41</v>
      </c>
      <c r="L1406" s="14">
        <v>657.0</v>
      </c>
      <c r="M1406" s="18" t="s">
        <v>99</v>
      </c>
      <c r="N1406" s="18" t="s">
        <v>38</v>
      </c>
      <c r="O1406" s="18">
        <v>26.4</v>
      </c>
      <c r="P1406" s="18" t="s">
        <v>76</v>
      </c>
      <c r="Q1406" s="16">
        <v>45929.0</v>
      </c>
      <c r="R1406" s="16" t="s">
        <v>1946</v>
      </c>
      <c r="S1406" s="13" t="s">
        <v>45</v>
      </c>
      <c r="T1406" s="13" t="s">
        <v>75</v>
      </c>
      <c r="U1406" s="13">
        <f t="shared" si="1"/>
        <v>5</v>
      </c>
      <c r="V1406" s="13" t="str">
        <f t="shared" si="2"/>
        <v>C00682|Neha Reddy|54|South|Bengaluru|Basic|Facebook|7/5/2025|14|Quarterly|Upi|657|4||26.40|4.4|9/29/2025|14/12/2025|Churned|Security</v>
      </c>
      <c r="W1406" s="13">
        <f t="shared" si="3"/>
        <v>1</v>
      </c>
      <c r="X1406" s="13">
        <f>IFERROR(__xludf.DUMMYFUNCTION("COUNTUNIQUE(FILTER($B$2:$B$1826,$A$2:$A$1826=A1406))"),5.0)</f>
        <v>5</v>
      </c>
    </row>
    <row r="1407">
      <c r="A1407" s="13" t="s">
        <v>1368</v>
      </c>
      <c r="B1407" s="13" t="s">
        <v>118</v>
      </c>
      <c r="C1407" s="14">
        <v>19.0</v>
      </c>
      <c r="D1407" s="13" t="s">
        <v>69</v>
      </c>
      <c r="E1407" s="13" t="s">
        <v>187</v>
      </c>
      <c r="F1407" s="13" t="s">
        <v>79</v>
      </c>
      <c r="G1407" s="13" t="s">
        <v>128</v>
      </c>
      <c r="H1407" s="16">
        <v>44769.0</v>
      </c>
      <c r="I1407" s="14">
        <v>48.0</v>
      </c>
      <c r="J1407" s="13" t="s">
        <v>64</v>
      </c>
      <c r="K1407" s="13" t="s">
        <v>65</v>
      </c>
      <c r="L1407" s="14">
        <v>3950.0</v>
      </c>
      <c r="M1407" s="18" t="s">
        <v>98</v>
      </c>
      <c r="N1407" s="18" t="s">
        <v>98</v>
      </c>
      <c r="O1407" s="18">
        <v>24.9</v>
      </c>
      <c r="P1407" s="18" t="s">
        <v>233</v>
      </c>
      <c r="Q1407" s="16">
        <v>45154.0</v>
      </c>
      <c r="R1407" s="16" t="s">
        <v>38</v>
      </c>
      <c r="S1407" s="13" t="s">
        <v>55</v>
      </c>
      <c r="T1407" s="13" t="s">
        <v>75</v>
      </c>
      <c r="U1407" s="13">
        <f t="shared" si="1"/>
        <v>3</v>
      </c>
      <c r="V1407" s="13" t="str">
        <f t="shared" si="2"/>
        <v>C00840|Karan Nair|19|South|Chennai|Premium|Youtube|7/27/2022|48|Annual|Credit Card|3,950|1|1|24.90|3.5|8/16/2023||Active|Security</v>
      </c>
      <c r="W1407" s="13">
        <f t="shared" si="3"/>
        <v>1</v>
      </c>
      <c r="X1407" s="13">
        <f>IFERROR(__xludf.DUMMYFUNCTION("COUNTUNIQUE(FILTER($B$2:$B$1826,$A$2:$A$1826=A1407))"),3.0)</f>
        <v>3</v>
      </c>
    </row>
    <row r="1408">
      <c r="A1408" s="13" t="s">
        <v>1947</v>
      </c>
      <c r="B1408" s="13" t="s">
        <v>645</v>
      </c>
      <c r="C1408" s="14">
        <v>51.0</v>
      </c>
      <c r="D1408" s="13" t="s">
        <v>85</v>
      </c>
      <c r="E1408" s="13" t="s">
        <v>92</v>
      </c>
      <c r="F1408" s="13" t="s">
        <v>79</v>
      </c>
      <c r="G1408" s="13" t="s">
        <v>128</v>
      </c>
      <c r="H1408" s="16">
        <v>45381.0</v>
      </c>
      <c r="I1408" s="14">
        <v>10.0</v>
      </c>
      <c r="J1408" s="13" t="s">
        <v>53</v>
      </c>
      <c r="K1408" s="13" t="s">
        <v>81</v>
      </c>
      <c r="L1408" s="14">
        <v>3957.0</v>
      </c>
      <c r="M1408" s="18" t="s">
        <v>43</v>
      </c>
      <c r="N1408" s="18" t="s">
        <v>98</v>
      </c>
      <c r="O1408" s="18">
        <v>41.6</v>
      </c>
      <c r="P1408" s="18" t="s">
        <v>38</v>
      </c>
      <c r="Q1408" s="16">
        <v>45617.0</v>
      </c>
      <c r="R1408" s="16" t="s">
        <v>1948</v>
      </c>
      <c r="S1408" s="13" t="s">
        <v>45</v>
      </c>
      <c r="T1408" s="13" t="s">
        <v>72</v>
      </c>
      <c r="U1408" s="13">
        <f t="shared" si="1"/>
        <v>1</v>
      </c>
      <c r="V1408" s="13" t="str">
        <f t="shared" si="2"/>
        <v>C01441|Ravi Nair|51|West|Ahmedabad|Premium|Youtube|3/30/2024|10|Quarterly|Debit Card|3,957|2|1|41.60||11/21/2024|24/11/2024|Churned|Collaboration</v>
      </c>
      <c r="W1408" s="13">
        <f t="shared" si="3"/>
        <v>1</v>
      </c>
      <c r="X1408" s="13">
        <f>IFERROR(__xludf.DUMMYFUNCTION("COUNTUNIQUE(FILTER($B$2:$B$1826,$A$2:$A$1826=A1408))"),1.0)</f>
        <v>1</v>
      </c>
    </row>
    <row r="1409">
      <c r="A1409" s="13" t="s">
        <v>1236</v>
      </c>
      <c r="B1409" s="13" t="s">
        <v>176</v>
      </c>
      <c r="C1409" s="14">
        <v>51.0</v>
      </c>
      <c r="D1409" s="13" t="s">
        <v>85</v>
      </c>
      <c r="E1409" s="13" t="s">
        <v>292</v>
      </c>
      <c r="F1409" s="13" t="s">
        <v>37</v>
      </c>
      <c r="G1409" s="13" t="s">
        <v>80</v>
      </c>
      <c r="H1409" s="16">
        <v>44685.0</v>
      </c>
      <c r="I1409" s="14">
        <v>41.0</v>
      </c>
      <c r="J1409" s="13" t="s">
        <v>64</v>
      </c>
      <c r="K1409" s="13" t="s">
        <v>65</v>
      </c>
      <c r="L1409" s="14">
        <v>1036.0</v>
      </c>
      <c r="M1409" s="18" t="s">
        <v>164</v>
      </c>
      <c r="N1409" s="18" t="s">
        <v>98</v>
      </c>
      <c r="O1409" s="18">
        <v>28.9</v>
      </c>
      <c r="P1409" s="18" t="s">
        <v>173</v>
      </c>
      <c r="Q1409" s="16">
        <v>44917.0</v>
      </c>
      <c r="R1409" s="16" t="s">
        <v>38</v>
      </c>
      <c r="S1409" s="13" t="s">
        <v>55</v>
      </c>
      <c r="T1409" s="13" t="s">
        <v>72</v>
      </c>
      <c r="U1409" s="13">
        <f t="shared" si="1"/>
        <v>3</v>
      </c>
      <c r="V1409" s="13" t="str">
        <f t="shared" si="2"/>
        <v>C00970|Ravi Iyer|51|West|Mumbai|Standard|Organic Search|5/4/2022|41|Annual|Credit Card|1,036|3|1|28.90|5|12/22/2022||Active|Collaboration</v>
      </c>
      <c r="W1409" s="13">
        <f t="shared" si="3"/>
        <v>1</v>
      </c>
      <c r="X1409" s="13">
        <f>IFERROR(__xludf.DUMMYFUNCTION("COUNTUNIQUE(FILTER($B$2:$B$1826,$A$2:$A$1826=A1409))"),3.0)</f>
        <v>3</v>
      </c>
    </row>
    <row r="1410">
      <c r="A1410" s="13" t="s">
        <v>1240</v>
      </c>
      <c r="B1410" s="13" t="s">
        <v>145</v>
      </c>
      <c r="C1410" s="14">
        <v>26.0</v>
      </c>
      <c r="D1410" s="13" t="s">
        <v>69</v>
      </c>
      <c r="E1410" s="13" t="s">
        <v>187</v>
      </c>
      <c r="F1410" s="13" t="s">
        <v>62</v>
      </c>
      <c r="G1410" s="13" t="s">
        <v>210</v>
      </c>
      <c r="H1410" s="16">
        <v>44991.0</v>
      </c>
      <c r="I1410" s="14">
        <v>20.0</v>
      </c>
      <c r="J1410" s="13" t="s">
        <v>40</v>
      </c>
      <c r="K1410" s="13" t="s">
        <v>41</v>
      </c>
      <c r="L1410" s="14">
        <v>870.0</v>
      </c>
      <c r="M1410" s="18" t="s">
        <v>43</v>
      </c>
      <c r="N1410" s="18" t="s">
        <v>43</v>
      </c>
      <c r="O1410" s="18">
        <v>16.5</v>
      </c>
      <c r="P1410" s="18" t="s">
        <v>48</v>
      </c>
      <c r="Q1410" s="16">
        <v>45388.0</v>
      </c>
      <c r="R1410" s="16" t="s">
        <v>38</v>
      </c>
      <c r="S1410" s="13" t="s">
        <v>55</v>
      </c>
      <c r="T1410" s="13" t="s">
        <v>72</v>
      </c>
      <c r="U1410" s="13">
        <f t="shared" si="1"/>
        <v>3</v>
      </c>
      <c r="V1410" s="13" t="str">
        <f t="shared" si="2"/>
        <v>C00299|Ravi Patel|26|South|Chennai|Basic|Referral|3/6/2023|20|Monthly|Upi|870|2|2|16.50|3.6|4/6/2024||Active|Collaboration</v>
      </c>
      <c r="W1410" s="13">
        <f t="shared" si="3"/>
        <v>1</v>
      </c>
      <c r="X1410" s="13">
        <f>IFERROR(__xludf.DUMMYFUNCTION("COUNTUNIQUE(FILTER($B$2:$B$1826,$A$2:$A$1826=A1410))"),3.0)</f>
        <v>3</v>
      </c>
    </row>
    <row r="1411">
      <c r="A1411" s="13" t="s">
        <v>1949</v>
      </c>
      <c r="B1411" s="13" t="s">
        <v>420</v>
      </c>
      <c r="C1411" s="14">
        <v>60.0</v>
      </c>
      <c r="D1411" s="13" t="s">
        <v>69</v>
      </c>
      <c r="E1411" s="13" t="s">
        <v>92</v>
      </c>
      <c r="F1411" s="13" t="s">
        <v>37</v>
      </c>
      <c r="G1411" s="13" t="s">
        <v>128</v>
      </c>
      <c r="H1411" s="16">
        <v>45291.0</v>
      </c>
      <c r="I1411" s="14">
        <v>11.0</v>
      </c>
      <c r="J1411" s="13" t="s">
        <v>40</v>
      </c>
      <c r="K1411" s="13" t="s">
        <v>41</v>
      </c>
      <c r="L1411" s="14">
        <v>1175.0</v>
      </c>
      <c r="M1411" s="18" t="s">
        <v>98</v>
      </c>
      <c r="N1411" s="18" t="s">
        <v>46</v>
      </c>
      <c r="O1411" s="18">
        <v>16.2</v>
      </c>
      <c r="P1411" s="18" t="s">
        <v>158</v>
      </c>
      <c r="Q1411" s="16">
        <v>45505.0</v>
      </c>
      <c r="R1411" s="16" t="s">
        <v>38</v>
      </c>
      <c r="S1411" s="13" t="s">
        <v>55</v>
      </c>
      <c r="T1411" s="13" t="s">
        <v>104</v>
      </c>
      <c r="U1411" s="13">
        <f t="shared" si="1"/>
        <v>1</v>
      </c>
      <c r="V1411" s="13" t="str">
        <f t="shared" si="2"/>
        <v>C01305|Vikram Iyer|60|South|Ahmedabad|Standard|Youtube|12/31/2023|11|Monthly|Upi|1,175|1|0|16.20|4.7|8/1/2024||Active|Analytics</v>
      </c>
      <c r="W1411" s="13">
        <f t="shared" si="3"/>
        <v>1</v>
      </c>
      <c r="X1411" s="13">
        <f>IFERROR(__xludf.DUMMYFUNCTION("COUNTUNIQUE(FILTER($B$2:$B$1826,$A$2:$A$1826=A1411))"),1.0)</f>
        <v>1</v>
      </c>
    </row>
    <row r="1412">
      <c r="A1412" s="13" t="s">
        <v>526</v>
      </c>
      <c r="B1412" s="13" t="s">
        <v>250</v>
      </c>
      <c r="C1412" s="14">
        <v>40.0</v>
      </c>
      <c r="D1412" s="13" t="s">
        <v>85</v>
      </c>
      <c r="E1412" s="13" t="s">
        <v>111</v>
      </c>
      <c r="F1412" s="13" t="s">
        <v>37</v>
      </c>
      <c r="G1412" s="13" t="s">
        <v>63</v>
      </c>
      <c r="H1412" s="16">
        <v>45649.0</v>
      </c>
      <c r="I1412" s="14">
        <v>10.0</v>
      </c>
      <c r="J1412" s="13" t="s">
        <v>64</v>
      </c>
      <c r="K1412" s="13" t="s">
        <v>81</v>
      </c>
      <c r="L1412" s="14">
        <v>1683.0</v>
      </c>
      <c r="M1412" s="18" t="s">
        <v>98</v>
      </c>
      <c r="N1412" s="18" t="s">
        <v>98</v>
      </c>
      <c r="O1412" s="18">
        <v>30.5</v>
      </c>
      <c r="P1412" s="18" t="s">
        <v>701</v>
      </c>
      <c r="Q1412" s="16">
        <v>45778.0</v>
      </c>
      <c r="R1412" s="16" t="s">
        <v>38</v>
      </c>
      <c r="S1412" s="13" t="s">
        <v>55</v>
      </c>
      <c r="T1412" s="13" t="s">
        <v>72</v>
      </c>
      <c r="U1412" s="13">
        <f t="shared" si="1"/>
        <v>2</v>
      </c>
      <c r="V1412" s="13" t="str">
        <f t="shared" si="2"/>
        <v>C01374|Vikram Singh|40|West|Pune|Standard|Google Ads|12/23/2024|10|Annual|Debit Card|1,683|1|1|30.50|2.8|5/1/2025||Active|Collaboration</v>
      </c>
      <c r="W1412" s="13">
        <f t="shared" si="3"/>
        <v>1</v>
      </c>
      <c r="X1412" s="13">
        <f>IFERROR(__xludf.DUMMYFUNCTION("COUNTUNIQUE(FILTER($B$2:$B$1826,$A$2:$A$1826=A1412))"),2.0)</f>
        <v>2</v>
      </c>
    </row>
    <row r="1413">
      <c r="A1413" s="13" t="s">
        <v>870</v>
      </c>
      <c r="B1413" s="13" t="s">
        <v>295</v>
      </c>
      <c r="C1413" s="14">
        <v>25.0</v>
      </c>
      <c r="D1413" s="13" t="s">
        <v>85</v>
      </c>
      <c r="E1413" s="13" t="s">
        <v>70</v>
      </c>
      <c r="F1413" s="13" t="s">
        <v>37</v>
      </c>
      <c r="G1413" s="13" t="s">
        <v>210</v>
      </c>
      <c r="H1413" s="16">
        <v>45763.0</v>
      </c>
      <c r="I1413" s="14">
        <v>27.0</v>
      </c>
      <c r="J1413" s="13" t="s">
        <v>40</v>
      </c>
      <c r="K1413" s="13" t="s">
        <v>41</v>
      </c>
      <c r="L1413" s="14">
        <v>1413.0</v>
      </c>
      <c r="M1413" s="18" t="s">
        <v>43</v>
      </c>
      <c r="N1413" s="18" t="s">
        <v>98</v>
      </c>
      <c r="O1413" s="18">
        <v>36.2</v>
      </c>
      <c r="P1413" s="18" t="s">
        <v>376</v>
      </c>
      <c r="Q1413" s="16">
        <v>46565.0</v>
      </c>
      <c r="R1413" s="16" t="s">
        <v>38</v>
      </c>
      <c r="S1413" s="13" t="s">
        <v>55</v>
      </c>
      <c r="T1413" s="13" t="s">
        <v>47</v>
      </c>
      <c r="U1413" s="13">
        <f t="shared" si="1"/>
        <v>2</v>
      </c>
      <c r="V1413" s="13" t="str">
        <f t="shared" si="2"/>
        <v>C01025|Arun Reddy|25|West|Bengaluru|Standard|Referral|4/16/2025|27|Monthly|Upi|1,413|2|1|36.20|6|6/27/2027||Active|Cloud Storage</v>
      </c>
      <c r="W1413" s="13">
        <f t="shared" si="3"/>
        <v>1</v>
      </c>
      <c r="X1413" s="13">
        <f>IFERROR(__xludf.DUMMYFUNCTION("COUNTUNIQUE(FILTER($B$2:$B$1826,$A$2:$A$1826=A1413))"),2.0)</f>
        <v>2</v>
      </c>
    </row>
    <row r="1414">
      <c r="A1414" s="13" t="s">
        <v>1648</v>
      </c>
      <c r="B1414" s="13" t="s">
        <v>308</v>
      </c>
      <c r="C1414" s="14">
        <v>38.0</v>
      </c>
      <c r="D1414" s="13" t="s">
        <v>69</v>
      </c>
      <c r="E1414" s="13" t="s">
        <v>177</v>
      </c>
      <c r="F1414" s="13" t="s">
        <v>62</v>
      </c>
      <c r="G1414" s="13" t="s">
        <v>52</v>
      </c>
      <c r="H1414" s="16">
        <v>45133.0</v>
      </c>
      <c r="I1414" s="14">
        <v>6.0</v>
      </c>
      <c r="J1414" s="13" t="s">
        <v>64</v>
      </c>
      <c r="K1414" s="13" t="s">
        <v>81</v>
      </c>
      <c r="L1414" s="14" t="s">
        <v>38</v>
      </c>
      <c r="M1414" s="18" t="s">
        <v>43</v>
      </c>
      <c r="N1414" s="18" t="s">
        <v>98</v>
      </c>
      <c r="O1414" s="18">
        <v>19.2</v>
      </c>
      <c r="P1414" s="18" t="s">
        <v>701</v>
      </c>
      <c r="Q1414" s="16">
        <v>45150.0</v>
      </c>
      <c r="R1414" s="16" t="s">
        <v>1950</v>
      </c>
      <c r="S1414" s="13" t="s">
        <v>45</v>
      </c>
      <c r="T1414" s="13" t="s">
        <v>66</v>
      </c>
      <c r="U1414" s="13">
        <f t="shared" si="1"/>
        <v>2</v>
      </c>
      <c r="V1414" s="13" t="str">
        <f t="shared" si="2"/>
        <v>C00187|Karan Kumar|38|South|Hyderabad|Basic|Facebook|7/26/2023|6|Annual|Debit Card||2|1|19.20|2.8|8/12/2023|24/09/2023|Churned|Automation</v>
      </c>
      <c r="W1414" s="13">
        <f t="shared" si="3"/>
        <v>1</v>
      </c>
      <c r="X1414" s="13">
        <f>IFERROR(__xludf.DUMMYFUNCTION("COUNTUNIQUE(FILTER($B$2:$B$1826,$A$2:$A$1826=A1414))"),2.0)</f>
        <v>2</v>
      </c>
    </row>
    <row r="1415">
      <c r="A1415" s="13" t="s">
        <v>895</v>
      </c>
      <c r="B1415" s="13" t="s">
        <v>215</v>
      </c>
      <c r="C1415" s="14">
        <v>57.0</v>
      </c>
      <c r="D1415" s="13" t="s">
        <v>35</v>
      </c>
      <c r="E1415" s="13" t="s">
        <v>51</v>
      </c>
      <c r="F1415" s="13" t="s">
        <v>37</v>
      </c>
      <c r="G1415" s="13" t="s">
        <v>63</v>
      </c>
      <c r="H1415" s="16">
        <v>45876.0</v>
      </c>
      <c r="I1415" s="14">
        <v>33.0</v>
      </c>
      <c r="J1415" s="13" t="s">
        <v>53</v>
      </c>
      <c r="K1415" s="13" t="s">
        <v>81</v>
      </c>
      <c r="L1415" s="14">
        <v>1206.0</v>
      </c>
      <c r="M1415" s="18" t="s">
        <v>99</v>
      </c>
      <c r="N1415" s="18" t="s">
        <v>98</v>
      </c>
      <c r="O1415" s="18">
        <v>41.3</v>
      </c>
      <c r="P1415" s="18" t="s">
        <v>99</v>
      </c>
      <c r="Q1415" s="16">
        <v>45949.0</v>
      </c>
      <c r="R1415" s="16" t="s">
        <v>38</v>
      </c>
      <c r="S1415" s="13" t="s">
        <v>55</v>
      </c>
      <c r="T1415" s="13" t="s">
        <v>66</v>
      </c>
      <c r="U1415" s="13">
        <f t="shared" si="1"/>
        <v>2</v>
      </c>
      <c r="V1415" s="13" t="str">
        <f t="shared" si="2"/>
        <v>C00869|Neha Sharma|57|North|Jaipur|Standard|Google Ads|8/7/2025|33|Quarterly|Debit Card|1,206|4|1|41.30|4|10/19/2025||Active|Automation</v>
      </c>
      <c r="W1415" s="13">
        <f t="shared" si="3"/>
        <v>1</v>
      </c>
      <c r="X1415" s="13">
        <f>IFERROR(__xludf.DUMMYFUNCTION("COUNTUNIQUE(FILTER($B$2:$B$1826,$A$2:$A$1826=A1415))"),2.0)</f>
        <v>2</v>
      </c>
    </row>
    <row r="1416">
      <c r="A1416" s="13" t="s">
        <v>1951</v>
      </c>
      <c r="B1416" s="13" t="s">
        <v>235</v>
      </c>
      <c r="C1416" s="14">
        <v>56.0</v>
      </c>
      <c r="D1416" s="13" t="s">
        <v>35</v>
      </c>
      <c r="E1416" s="13" t="s">
        <v>36</v>
      </c>
      <c r="F1416" s="13" t="s">
        <v>62</v>
      </c>
      <c r="G1416" s="13" t="s">
        <v>210</v>
      </c>
      <c r="H1416" s="16">
        <v>44628.0</v>
      </c>
      <c r="I1416" s="14">
        <v>1.0</v>
      </c>
      <c r="J1416" s="13" t="s">
        <v>53</v>
      </c>
      <c r="K1416" s="13" t="s">
        <v>81</v>
      </c>
      <c r="L1416" s="14">
        <v>742.0</v>
      </c>
      <c r="M1416" s="18" t="s">
        <v>98</v>
      </c>
      <c r="N1416" s="18" t="s">
        <v>164</v>
      </c>
      <c r="O1416" s="18">
        <v>12.2</v>
      </c>
      <c r="P1416" s="18" t="s">
        <v>225</v>
      </c>
      <c r="Q1416" s="16">
        <v>44644.0</v>
      </c>
      <c r="R1416" s="16" t="s">
        <v>38</v>
      </c>
      <c r="S1416" s="13" t="s">
        <v>55</v>
      </c>
      <c r="T1416" s="13" t="s">
        <v>38</v>
      </c>
      <c r="U1416" s="13">
        <f t="shared" si="1"/>
        <v>1</v>
      </c>
      <c r="V1416" s="13" t="str">
        <f t="shared" si="2"/>
        <v>C01276|Sneha Sharma|56|North|Delhi|Basic|Referral|3/8/2022|1|Quarterly|Debit Card|742|1|3|12.20|3.8|3/24/2022||Active|</v>
      </c>
      <c r="W1416" s="13">
        <f t="shared" si="3"/>
        <v>1</v>
      </c>
      <c r="X1416" s="13">
        <f>IFERROR(__xludf.DUMMYFUNCTION("COUNTUNIQUE(FILTER($B$2:$B$1826,$A$2:$A$1826=A1416))"),1.0)</f>
        <v>1</v>
      </c>
    </row>
    <row r="1417">
      <c r="A1417" s="13" t="s">
        <v>1952</v>
      </c>
      <c r="B1417" s="13" t="s">
        <v>398</v>
      </c>
      <c r="C1417" s="14">
        <v>56.0</v>
      </c>
      <c r="D1417" s="13" t="s">
        <v>35</v>
      </c>
      <c r="E1417" s="13" t="s">
        <v>36</v>
      </c>
      <c r="F1417" s="13" t="s">
        <v>62</v>
      </c>
      <c r="G1417" s="13" t="s">
        <v>80</v>
      </c>
      <c r="H1417" s="16">
        <v>45356.0</v>
      </c>
      <c r="I1417" s="14">
        <v>10.0</v>
      </c>
      <c r="J1417" s="13" t="s">
        <v>64</v>
      </c>
      <c r="K1417" s="13" t="s">
        <v>65</v>
      </c>
      <c r="L1417" s="14">
        <v>3463.0</v>
      </c>
      <c r="M1417" s="18" t="s">
        <v>98</v>
      </c>
      <c r="N1417" s="18" t="s">
        <v>98</v>
      </c>
      <c r="O1417" s="18">
        <v>26.6</v>
      </c>
      <c r="P1417" s="18" t="s">
        <v>173</v>
      </c>
      <c r="Q1417" s="16">
        <v>45392.0</v>
      </c>
      <c r="R1417" s="16" t="s">
        <v>1953</v>
      </c>
      <c r="S1417" s="13" t="s">
        <v>45</v>
      </c>
      <c r="T1417" s="13" t="s">
        <v>75</v>
      </c>
      <c r="U1417" s="13">
        <f t="shared" si="1"/>
        <v>1</v>
      </c>
      <c r="V1417" s="13" t="str">
        <f t="shared" si="2"/>
        <v>C00850|Vikram Sharma|56|North|Delhi|Basic|Organic Search|3/5/2024|10|Annual|Credit Card|3,463|1|1|26.60|5|4/10/2024|19/12/2024|Churned|Security</v>
      </c>
      <c r="W1417" s="13">
        <f t="shared" si="3"/>
        <v>1</v>
      </c>
      <c r="X1417" s="13">
        <f>IFERROR(__xludf.DUMMYFUNCTION("COUNTUNIQUE(FILTER($B$2:$B$1826,$A$2:$A$1826=A1417))"),1.0)</f>
        <v>1</v>
      </c>
    </row>
    <row r="1418">
      <c r="A1418" s="13" t="s">
        <v>1538</v>
      </c>
      <c r="B1418" s="13" t="s">
        <v>145</v>
      </c>
      <c r="C1418" s="14">
        <v>64.0</v>
      </c>
      <c r="D1418" s="13" t="s">
        <v>60</v>
      </c>
      <c r="E1418" s="13" t="s">
        <v>107</v>
      </c>
      <c r="F1418" s="13" t="s">
        <v>79</v>
      </c>
      <c r="G1418" s="13" t="s">
        <v>52</v>
      </c>
      <c r="H1418" s="16">
        <v>44808.0</v>
      </c>
      <c r="I1418" s="14">
        <v>5.0</v>
      </c>
      <c r="J1418" s="13" t="s">
        <v>40</v>
      </c>
      <c r="K1418" s="13" t="s">
        <v>41</v>
      </c>
      <c r="L1418" s="14">
        <v>2456.0</v>
      </c>
      <c r="M1418" s="18" t="s">
        <v>376</v>
      </c>
      <c r="N1418" s="18" t="s">
        <v>46</v>
      </c>
      <c r="O1418" s="18">
        <v>39.9</v>
      </c>
      <c r="P1418" s="18" t="s">
        <v>263</v>
      </c>
      <c r="Q1418" s="16">
        <v>44904.0</v>
      </c>
      <c r="R1418" s="16" t="s">
        <v>38</v>
      </c>
      <c r="S1418" s="13" t="s">
        <v>55</v>
      </c>
      <c r="T1418" s="13" t="s">
        <v>75</v>
      </c>
      <c r="U1418" s="13">
        <f t="shared" si="1"/>
        <v>2</v>
      </c>
      <c r="V1418" s="13" t="str">
        <f t="shared" si="2"/>
        <v>C01073|Ravi Patel|64|East|Patna|Premium|Facebook|9/4/2022|5|Monthly|Upi|2,456|6|0|39.90|2.9|12/9/2022||Active|Security</v>
      </c>
      <c r="W1418" s="13">
        <f t="shared" si="3"/>
        <v>1</v>
      </c>
      <c r="X1418" s="13">
        <f>IFERROR(__xludf.DUMMYFUNCTION("COUNTUNIQUE(FILTER($B$2:$B$1826,$A$2:$A$1826=A1418))"),2.0)</f>
        <v>2</v>
      </c>
    </row>
    <row r="1419">
      <c r="A1419" s="13" t="s">
        <v>517</v>
      </c>
      <c r="B1419" s="13" t="s">
        <v>59</v>
      </c>
      <c r="C1419" s="14">
        <v>20.0</v>
      </c>
      <c r="D1419" s="13" t="s">
        <v>85</v>
      </c>
      <c r="E1419" s="13" t="s">
        <v>292</v>
      </c>
      <c r="F1419" s="13" t="s">
        <v>37</v>
      </c>
      <c r="G1419" s="13" t="s">
        <v>128</v>
      </c>
      <c r="H1419" s="16">
        <v>45520.0</v>
      </c>
      <c r="I1419" s="14">
        <v>39.0</v>
      </c>
      <c r="J1419" s="13" t="s">
        <v>64</v>
      </c>
      <c r="K1419" s="13" t="s">
        <v>81</v>
      </c>
      <c r="L1419" s="14">
        <v>1231.0</v>
      </c>
      <c r="M1419" s="18" t="s">
        <v>164</v>
      </c>
      <c r="N1419" s="18" t="s">
        <v>46</v>
      </c>
      <c r="O1419" s="18">
        <v>11.9</v>
      </c>
      <c r="P1419" s="18" t="s">
        <v>456</v>
      </c>
      <c r="Q1419" s="16">
        <v>45759.0</v>
      </c>
      <c r="R1419" s="16" t="s">
        <v>1954</v>
      </c>
      <c r="S1419" s="13" t="s">
        <v>45</v>
      </c>
      <c r="T1419" s="13" t="s">
        <v>66</v>
      </c>
      <c r="U1419" s="13">
        <f t="shared" si="1"/>
        <v>3</v>
      </c>
      <c r="V1419" s="13" t="str">
        <f t="shared" si="2"/>
        <v>C00341|Priya Das|20|West|Mumbai|Standard|Youtube|8/16/2024|39|Annual|Debit Card|1,231|3|0|11.90|2.5|4/12/2025|13/01/2027|Churned|Automation</v>
      </c>
      <c r="W1419" s="13">
        <f t="shared" si="3"/>
        <v>1</v>
      </c>
      <c r="X1419" s="13">
        <f>IFERROR(__xludf.DUMMYFUNCTION("COUNTUNIQUE(FILTER($B$2:$B$1826,$A$2:$A$1826=A1419))"),3.0)</f>
        <v>3</v>
      </c>
    </row>
    <row r="1420">
      <c r="A1420" s="13" t="s">
        <v>1878</v>
      </c>
      <c r="B1420" s="13" t="s">
        <v>235</v>
      </c>
      <c r="C1420" s="14">
        <v>53.0</v>
      </c>
      <c r="D1420" s="13" t="s">
        <v>85</v>
      </c>
      <c r="E1420" s="13" t="s">
        <v>111</v>
      </c>
      <c r="F1420" s="13" t="s">
        <v>62</v>
      </c>
      <c r="G1420" s="13" t="s">
        <v>39</v>
      </c>
      <c r="H1420" s="16">
        <v>45948.0</v>
      </c>
      <c r="I1420" s="14">
        <v>39.0</v>
      </c>
      <c r="J1420" s="13" t="s">
        <v>40</v>
      </c>
      <c r="K1420" s="13" t="s">
        <v>65</v>
      </c>
      <c r="L1420" s="14">
        <v>800.0</v>
      </c>
      <c r="M1420" s="18" t="s">
        <v>98</v>
      </c>
      <c r="N1420" s="18" t="s">
        <v>98</v>
      </c>
      <c r="O1420" s="18">
        <v>14.6</v>
      </c>
      <c r="P1420" s="18" t="s">
        <v>76</v>
      </c>
      <c r="Q1420" s="16" t="s">
        <v>38</v>
      </c>
      <c r="R1420" s="16" t="s">
        <v>1955</v>
      </c>
      <c r="S1420" s="13" t="s">
        <v>45</v>
      </c>
      <c r="T1420" s="13" t="s">
        <v>72</v>
      </c>
      <c r="U1420" s="13">
        <f t="shared" si="1"/>
        <v>3</v>
      </c>
      <c r="V1420" s="13" t="str">
        <f t="shared" si="2"/>
        <v>C00228|Sneha Sharma|53|West|Pune|Basic|Instagram|10/18/2025|39|Monthly|Credit Card|800|1|1|14.60|4.4||29/07/2028|Churned|Collaboration</v>
      </c>
      <c r="W1420" s="13">
        <f t="shared" si="3"/>
        <v>1</v>
      </c>
      <c r="X1420" s="13">
        <f>IFERROR(__xludf.DUMMYFUNCTION("COUNTUNIQUE(FILTER($B$2:$B$1826,$A$2:$A$1826=A1420))"),3.0)</f>
        <v>3</v>
      </c>
    </row>
    <row r="1421">
      <c r="A1421" s="13" t="s">
        <v>1956</v>
      </c>
      <c r="B1421" s="13" t="s">
        <v>281</v>
      </c>
      <c r="C1421" s="14">
        <v>48.0</v>
      </c>
      <c r="D1421" s="13" t="s">
        <v>35</v>
      </c>
      <c r="E1421" s="13" t="s">
        <v>140</v>
      </c>
      <c r="F1421" s="13" t="s">
        <v>79</v>
      </c>
      <c r="G1421" s="13" t="s">
        <v>80</v>
      </c>
      <c r="H1421" s="16">
        <v>44779.0</v>
      </c>
      <c r="I1421" s="14">
        <v>1.0</v>
      </c>
      <c r="J1421" s="13" t="s">
        <v>64</v>
      </c>
      <c r="K1421" s="13" t="s">
        <v>41</v>
      </c>
      <c r="L1421" s="14">
        <v>2029.0</v>
      </c>
      <c r="M1421" s="18" t="s">
        <v>99</v>
      </c>
      <c r="N1421" s="18" t="s">
        <v>46</v>
      </c>
      <c r="O1421" s="18">
        <v>44.3</v>
      </c>
      <c r="P1421" s="18" t="s">
        <v>123</v>
      </c>
      <c r="Q1421" s="16">
        <v>44824.0</v>
      </c>
      <c r="R1421" s="16" t="s">
        <v>38</v>
      </c>
      <c r="S1421" s="13" t="s">
        <v>55</v>
      </c>
      <c r="T1421" s="13" t="s">
        <v>104</v>
      </c>
      <c r="U1421" s="13">
        <f t="shared" si="1"/>
        <v>1</v>
      </c>
      <c r="V1421" s="13" t="str">
        <f t="shared" si="2"/>
        <v>C00465|Anita Reddy|48|North|Lucknow|Premium|Organic Search|8/6/2022|1|Annual|Upi|2,029|4|0|44.30|4.1|9/20/2022||Active|Analytics</v>
      </c>
      <c r="W1421" s="13">
        <f t="shared" si="3"/>
        <v>1</v>
      </c>
      <c r="X1421" s="13">
        <f>IFERROR(__xludf.DUMMYFUNCTION("COUNTUNIQUE(FILTER($B$2:$B$1826,$A$2:$A$1826=A1421))"),1.0)</f>
        <v>1</v>
      </c>
    </row>
    <row r="1422">
      <c r="A1422" s="13" t="s">
        <v>1220</v>
      </c>
      <c r="B1422" s="13" t="s">
        <v>308</v>
      </c>
      <c r="C1422" s="14">
        <v>43.0</v>
      </c>
      <c r="D1422" s="13" t="s">
        <v>60</v>
      </c>
      <c r="E1422" s="13" t="s">
        <v>107</v>
      </c>
      <c r="F1422" s="13" t="s">
        <v>62</v>
      </c>
      <c r="G1422" s="13" t="s">
        <v>128</v>
      </c>
      <c r="H1422" s="16">
        <v>44838.0</v>
      </c>
      <c r="I1422" s="14">
        <v>14.0</v>
      </c>
      <c r="J1422" s="13" t="s">
        <v>64</v>
      </c>
      <c r="K1422" s="13" t="s">
        <v>81</v>
      </c>
      <c r="L1422" s="14">
        <v>594.0</v>
      </c>
      <c r="M1422" s="18" t="s">
        <v>164</v>
      </c>
      <c r="N1422" s="18" t="s">
        <v>98</v>
      </c>
      <c r="O1422" s="18">
        <v>23.8</v>
      </c>
      <c r="P1422" s="18" t="s">
        <v>233</v>
      </c>
      <c r="Q1422" s="16">
        <v>45270.0</v>
      </c>
      <c r="R1422" s="16">
        <v>45017.0</v>
      </c>
      <c r="S1422" s="13" t="s">
        <v>45</v>
      </c>
      <c r="T1422" s="13" t="s">
        <v>75</v>
      </c>
      <c r="U1422" s="13">
        <f t="shared" si="1"/>
        <v>2</v>
      </c>
      <c r="V1422" s="13" t="str">
        <f t="shared" si="2"/>
        <v>C00348|Karan Kumar|43|East|Patna|Basic|Youtube|10/4/2022|14|Annual|Debit Card|594|3|1|23.80|3.5|12/10/2023|4/1/2023|Churned|Security</v>
      </c>
      <c r="W1422" s="13">
        <f t="shared" si="3"/>
        <v>1</v>
      </c>
      <c r="X1422" s="13">
        <f>IFERROR(__xludf.DUMMYFUNCTION("COUNTUNIQUE(FILTER($B$2:$B$1826,$A$2:$A$1826=A1422))"),2.0)</f>
        <v>2</v>
      </c>
    </row>
    <row r="1423">
      <c r="A1423" s="13" t="s">
        <v>745</v>
      </c>
      <c r="B1423" s="13" t="s">
        <v>59</v>
      </c>
      <c r="C1423" s="14">
        <v>58.0</v>
      </c>
      <c r="D1423" s="13" t="s">
        <v>69</v>
      </c>
      <c r="E1423" s="13" t="s">
        <v>133</v>
      </c>
      <c r="F1423" s="13" t="s">
        <v>79</v>
      </c>
      <c r="G1423" s="13" t="s">
        <v>52</v>
      </c>
      <c r="H1423" s="16">
        <v>45528.0</v>
      </c>
      <c r="I1423" s="14">
        <v>2.0</v>
      </c>
      <c r="J1423" s="13" t="s">
        <v>64</v>
      </c>
      <c r="K1423" s="13" t="s">
        <v>41</v>
      </c>
      <c r="L1423" s="14">
        <v>725.0</v>
      </c>
      <c r="M1423" s="18" t="s">
        <v>43</v>
      </c>
      <c r="N1423" s="18" t="s">
        <v>46</v>
      </c>
      <c r="O1423" s="18">
        <v>17.9</v>
      </c>
      <c r="P1423" s="18" t="s">
        <v>130</v>
      </c>
      <c r="Q1423" s="16">
        <v>45583.0</v>
      </c>
      <c r="R1423" s="16" t="s">
        <v>38</v>
      </c>
      <c r="S1423" s="13" t="s">
        <v>55</v>
      </c>
      <c r="T1423" s="13" t="s">
        <v>47</v>
      </c>
      <c r="U1423" s="13">
        <f t="shared" si="1"/>
        <v>2</v>
      </c>
      <c r="V1423" s="13" t="str">
        <f t="shared" si="2"/>
        <v>C01130|Priya Das|58|South|Guwahati|Premium|Facebook|8/24/2024|2|Annual|Upi|725|2|0|17.90|3.9|10/18/2024||Active|Cloud Storage</v>
      </c>
      <c r="W1423" s="13">
        <f t="shared" si="3"/>
        <v>1</v>
      </c>
      <c r="X1423" s="13">
        <f>IFERROR(__xludf.DUMMYFUNCTION("COUNTUNIQUE(FILTER($B$2:$B$1826,$A$2:$A$1826=A1423))"),2.0)</f>
        <v>2</v>
      </c>
    </row>
    <row r="1424">
      <c r="A1424" s="13" t="s">
        <v>332</v>
      </c>
      <c r="B1424" s="13" t="s">
        <v>470</v>
      </c>
      <c r="C1424" s="14">
        <v>31.0</v>
      </c>
      <c r="D1424" s="13" t="s">
        <v>60</v>
      </c>
      <c r="E1424" s="13" t="s">
        <v>97</v>
      </c>
      <c r="F1424" s="13" t="s">
        <v>62</v>
      </c>
      <c r="G1424" s="13" t="s">
        <v>63</v>
      </c>
      <c r="H1424" s="16">
        <v>44798.0</v>
      </c>
      <c r="I1424" s="14">
        <v>27.0</v>
      </c>
      <c r="J1424" s="13" t="s">
        <v>53</v>
      </c>
      <c r="K1424" s="13" t="s">
        <v>41</v>
      </c>
      <c r="L1424" s="14">
        <v>573.0</v>
      </c>
      <c r="M1424" s="18" t="s">
        <v>98</v>
      </c>
      <c r="N1424" s="18" t="s">
        <v>98</v>
      </c>
      <c r="O1424" s="18">
        <v>18.6</v>
      </c>
      <c r="P1424" s="18" t="s">
        <v>225</v>
      </c>
      <c r="Q1424" s="16">
        <v>44812.0</v>
      </c>
      <c r="R1424" s="16" t="s">
        <v>1959</v>
      </c>
      <c r="S1424" s="13" t="s">
        <v>45</v>
      </c>
      <c r="T1424" s="13" t="s">
        <v>66</v>
      </c>
      <c r="U1424" s="13">
        <f t="shared" si="1"/>
        <v>4</v>
      </c>
      <c r="V1424" s="13" t="str">
        <f t="shared" si="2"/>
        <v>C01184|Arun Singh|31|East|Bhubaneswar|Basic|Google Ads|8/25/2022|27|Quarterly|Upi|573|1|1|18.60|3.8|9/8/2022|28/01/2024|Churned|Automation</v>
      </c>
      <c r="W1424" s="13">
        <f t="shared" si="3"/>
        <v>1</v>
      </c>
      <c r="X1424" s="13">
        <f>IFERROR(__xludf.DUMMYFUNCTION("COUNTUNIQUE(FILTER($B$2:$B$1826,$A$2:$A$1826=A1424))"),4.0)</f>
        <v>4</v>
      </c>
    </row>
    <row r="1425">
      <c r="A1425" s="13" t="s">
        <v>1006</v>
      </c>
      <c r="B1425" s="13" t="s">
        <v>605</v>
      </c>
      <c r="C1425" s="14">
        <v>37.0</v>
      </c>
      <c r="D1425" s="13" t="s">
        <v>60</v>
      </c>
      <c r="E1425" s="13" t="s">
        <v>97</v>
      </c>
      <c r="F1425" s="13" t="s">
        <v>62</v>
      </c>
      <c r="G1425" s="13" t="s">
        <v>39</v>
      </c>
      <c r="H1425" s="16">
        <v>46001.0</v>
      </c>
      <c r="I1425" s="14">
        <v>120.0</v>
      </c>
      <c r="J1425" s="13" t="s">
        <v>64</v>
      </c>
      <c r="K1425" s="13" t="s">
        <v>65</v>
      </c>
      <c r="L1425" s="14">
        <v>816.0</v>
      </c>
      <c r="M1425" s="18" t="s">
        <v>164</v>
      </c>
      <c r="N1425" s="18" t="s">
        <v>98</v>
      </c>
      <c r="O1425" s="18">
        <v>22.9</v>
      </c>
      <c r="P1425" s="18" t="s">
        <v>89</v>
      </c>
      <c r="Q1425" s="16">
        <v>46465.0</v>
      </c>
      <c r="R1425" s="16" t="s">
        <v>38</v>
      </c>
      <c r="S1425" s="13" t="s">
        <v>55</v>
      </c>
      <c r="T1425" s="13" t="s">
        <v>66</v>
      </c>
      <c r="U1425" s="13">
        <f t="shared" si="1"/>
        <v>3</v>
      </c>
      <c r="V1425" s="13" t="str">
        <f t="shared" si="2"/>
        <v>C01571|Meera Patel|37|East|Bhubaneswar|Basic|Instagram|12/10/2025|120|Annual|Credit Card|816|3|1|22.90|3.3|3/19/2027||Active|Automation</v>
      </c>
      <c r="W1425" s="13">
        <f t="shared" si="3"/>
        <v>1</v>
      </c>
      <c r="X1425" s="13">
        <f>IFERROR(__xludf.DUMMYFUNCTION("COUNTUNIQUE(FILTER($B$2:$B$1826,$A$2:$A$1826=A1425))"),3.0)</f>
        <v>3</v>
      </c>
    </row>
    <row r="1426">
      <c r="A1426" s="13" t="s">
        <v>1262</v>
      </c>
      <c r="B1426" s="13" t="s">
        <v>288</v>
      </c>
      <c r="C1426" s="14">
        <v>42.0</v>
      </c>
      <c r="D1426" s="13" t="s">
        <v>69</v>
      </c>
      <c r="E1426" s="13" t="s">
        <v>70</v>
      </c>
      <c r="F1426" s="13" t="s">
        <v>62</v>
      </c>
      <c r="G1426" s="13" t="s">
        <v>63</v>
      </c>
      <c r="H1426" s="16">
        <v>45432.0</v>
      </c>
      <c r="I1426" s="14">
        <v>39.0</v>
      </c>
      <c r="J1426" s="13" t="s">
        <v>40</v>
      </c>
      <c r="K1426" s="13" t="s">
        <v>65</v>
      </c>
      <c r="L1426" s="14">
        <v>537.0</v>
      </c>
      <c r="M1426" s="18" t="s">
        <v>43</v>
      </c>
      <c r="N1426" s="18" t="s">
        <v>164</v>
      </c>
      <c r="O1426" s="18">
        <v>22.9</v>
      </c>
      <c r="P1426" s="18" t="s">
        <v>449</v>
      </c>
      <c r="Q1426" s="16">
        <v>45910.0</v>
      </c>
      <c r="R1426" s="16" t="s">
        <v>1960</v>
      </c>
      <c r="S1426" s="13" t="s">
        <v>45</v>
      </c>
      <c r="T1426" s="13" t="s">
        <v>75</v>
      </c>
      <c r="U1426" s="13">
        <f t="shared" si="1"/>
        <v>4</v>
      </c>
      <c r="V1426" s="13" t="str">
        <f t="shared" si="2"/>
        <v>C00136|Rahul Sharma|42|South|Bengaluru|Basic|Google Ads|5/20/2024|39|Monthly|Credit Card|537|2|3|22.90|2.7|9/10/2025|22/09/2024|Churned|Security</v>
      </c>
      <c r="W1426" s="13">
        <f t="shared" si="3"/>
        <v>1</v>
      </c>
      <c r="X1426" s="13">
        <f>IFERROR(__xludf.DUMMYFUNCTION("COUNTUNIQUE(FILTER($B$2:$B$1826,$A$2:$A$1826=A1426))"),4.0)</f>
        <v>4</v>
      </c>
    </row>
    <row r="1427">
      <c r="A1427" s="13" t="s">
        <v>1961</v>
      </c>
      <c r="B1427" s="13" t="s">
        <v>247</v>
      </c>
      <c r="C1427" s="14" t="s">
        <v>38</v>
      </c>
      <c r="D1427" s="13" t="s">
        <v>60</v>
      </c>
      <c r="E1427" s="13" t="s">
        <v>133</v>
      </c>
      <c r="F1427" s="13" t="s">
        <v>37</v>
      </c>
      <c r="G1427" s="13" t="s">
        <v>120</v>
      </c>
      <c r="H1427" s="16">
        <v>45063.0</v>
      </c>
      <c r="I1427" s="14">
        <v>15.0</v>
      </c>
      <c r="J1427" s="13" t="s">
        <v>40</v>
      </c>
      <c r="K1427" s="13" t="s">
        <v>65</v>
      </c>
      <c r="L1427" s="14">
        <v>1336.0</v>
      </c>
      <c r="M1427" s="18" t="s">
        <v>98</v>
      </c>
      <c r="N1427" s="18" t="s">
        <v>98</v>
      </c>
      <c r="O1427" s="18">
        <v>41.0</v>
      </c>
      <c r="P1427" s="18" t="s">
        <v>130</v>
      </c>
      <c r="Q1427" s="16">
        <v>45231.0</v>
      </c>
      <c r="R1427" s="16" t="s">
        <v>38</v>
      </c>
      <c r="S1427" s="13" t="s">
        <v>55</v>
      </c>
      <c r="T1427" s="13" t="s">
        <v>104</v>
      </c>
      <c r="U1427" s="13">
        <f t="shared" si="1"/>
        <v>2</v>
      </c>
      <c r="V1427" s="13" t="str">
        <f t="shared" si="2"/>
        <v>C01474|Ravi Sharma||East|Guwahati|Standard|Email|5/17/2023|15|Monthly|Credit Card|1,336|1|1|41.00|3.9|11/1/2023||Active|Analytics</v>
      </c>
      <c r="W1427" s="13">
        <f t="shared" si="3"/>
        <v>1</v>
      </c>
      <c r="X1427" s="13">
        <f>IFERROR(__xludf.DUMMYFUNCTION("COUNTUNIQUE(FILTER($B$2:$B$1826,$A$2:$A$1826=A1427))"),2.0)</f>
        <v>2</v>
      </c>
    </row>
    <row r="1428">
      <c r="A1428" s="13" t="s">
        <v>1015</v>
      </c>
      <c r="B1428" s="13" t="s">
        <v>229</v>
      </c>
      <c r="C1428" s="14">
        <v>34.0</v>
      </c>
      <c r="D1428" s="13" t="s">
        <v>60</v>
      </c>
      <c r="E1428" s="13" t="s">
        <v>133</v>
      </c>
      <c r="F1428" s="13" t="s">
        <v>62</v>
      </c>
      <c r="G1428" s="13" t="s">
        <v>128</v>
      </c>
      <c r="H1428" s="16">
        <v>44880.0</v>
      </c>
      <c r="I1428" s="14">
        <v>32.0</v>
      </c>
      <c r="J1428" s="13" t="s">
        <v>64</v>
      </c>
      <c r="K1428" s="13" t="s">
        <v>65</v>
      </c>
      <c r="L1428" s="14">
        <v>798.0</v>
      </c>
      <c r="M1428" s="18" t="s">
        <v>98</v>
      </c>
      <c r="N1428" s="18" t="s">
        <v>164</v>
      </c>
      <c r="O1428" s="18">
        <v>16.5</v>
      </c>
      <c r="P1428" s="18" t="s">
        <v>233</v>
      </c>
      <c r="Q1428" s="16">
        <v>45015.0</v>
      </c>
      <c r="R1428" s="16" t="s">
        <v>38</v>
      </c>
      <c r="S1428" s="13" t="s">
        <v>55</v>
      </c>
      <c r="T1428" s="13" t="s">
        <v>72</v>
      </c>
      <c r="U1428" s="13">
        <f t="shared" si="1"/>
        <v>2</v>
      </c>
      <c r="V1428" s="13" t="str">
        <f t="shared" si="2"/>
        <v>C00243|Anita Nair|34|East|Guwahati|Basic|Youtube|11/15/2022|32|Annual|Credit Card|798|1|3|16.50|3.5|3/30/2023||Active|Collaboration</v>
      </c>
      <c r="W1428" s="13">
        <f t="shared" si="3"/>
        <v>1</v>
      </c>
      <c r="X1428" s="13">
        <f>IFERROR(__xludf.DUMMYFUNCTION("COUNTUNIQUE(FILTER($B$2:$B$1826,$A$2:$A$1826=A1428))"),2.0)</f>
        <v>2</v>
      </c>
    </row>
    <row r="1429">
      <c r="A1429" s="13" t="s">
        <v>975</v>
      </c>
      <c r="B1429" s="13" t="s">
        <v>229</v>
      </c>
      <c r="C1429" s="14">
        <v>51.0</v>
      </c>
      <c r="D1429" s="13" t="s">
        <v>35</v>
      </c>
      <c r="E1429" s="13" t="s">
        <v>51</v>
      </c>
      <c r="F1429" s="13" t="s">
        <v>37</v>
      </c>
      <c r="G1429" s="13" t="s">
        <v>63</v>
      </c>
      <c r="H1429" s="16">
        <v>45481.0</v>
      </c>
      <c r="I1429" s="14">
        <v>32.0</v>
      </c>
      <c r="J1429" s="13" t="s">
        <v>40</v>
      </c>
      <c r="K1429" s="13" t="s">
        <v>65</v>
      </c>
      <c r="L1429" s="14">
        <v>1136.0</v>
      </c>
      <c r="M1429" s="18" t="s">
        <v>98</v>
      </c>
      <c r="N1429" s="18" t="s">
        <v>43</v>
      </c>
      <c r="O1429" s="18">
        <v>28.7</v>
      </c>
      <c r="P1429" s="18" t="s">
        <v>400</v>
      </c>
      <c r="Q1429" s="16">
        <v>46097.0</v>
      </c>
      <c r="R1429" s="16" t="s">
        <v>38</v>
      </c>
      <c r="S1429" s="13" t="s">
        <v>55</v>
      </c>
      <c r="T1429" s="13" t="s">
        <v>72</v>
      </c>
      <c r="U1429" s="13">
        <f t="shared" si="1"/>
        <v>3</v>
      </c>
      <c r="V1429" s="13" t="str">
        <f t="shared" si="2"/>
        <v>C01525|Anita Nair|51|North|Jaipur|Standard|Google Ads|7/8/2024|32|Monthly|Credit Card|1,136|1|2|28.70|4.8|3/16/2026||Active|Collaboration</v>
      </c>
      <c r="W1429" s="13">
        <f t="shared" si="3"/>
        <v>1</v>
      </c>
      <c r="X1429" s="13">
        <f>IFERROR(__xludf.DUMMYFUNCTION("COUNTUNIQUE(FILTER($B$2:$B$1826,$A$2:$A$1826=A1429))"),3.0)</f>
        <v>3</v>
      </c>
    </row>
    <row r="1430">
      <c r="A1430" s="13" t="s">
        <v>534</v>
      </c>
      <c r="B1430" s="13" t="s">
        <v>322</v>
      </c>
      <c r="C1430" s="14">
        <v>37.0</v>
      </c>
      <c r="D1430" s="13" t="s">
        <v>69</v>
      </c>
      <c r="E1430" s="13" t="s">
        <v>119</v>
      </c>
      <c r="F1430" s="13" t="s">
        <v>79</v>
      </c>
      <c r="G1430" s="13" t="s">
        <v>52</v>
      </c>
      <c r="H1430" s="16">
        <v>44655.0</v>
      </c>
      <c r="I1430" s="14">
        <v>43.0</v>
      </c>
      <c r="J1430" s="13" t="s">
        <v>53</v>
      </c>
      <c r="K1430" s="13" t="s">
        <v>81</v>
      </c>
      <c r="L1430" s="14">
        <v>2464.0</v>
      </c>
      <c r="M1430" s="18" t="s">
        <v>99</v>
      </c>
      <c r="N1430" s="18" t="s">
        <v>43</v>
      </c>
      <c r="O1430" s="18">
        <v>26.7</v>
      </c>
      <c r="P1430" s="18" t="s">
        <v>456</v>
      </c>
      <c r="Q1430" s="16">
        <v>45450.0</v>
      </c>
      <c r="R1430" s="16">
        <v>44871.0</v>
      </c>
      <c r="S1430" s="13" t="s">
        <v>45</v>
      </c>
      <c r="T1430" s="13" t="s">
        <v>72</v>
      </c>
      <c r="U1430" s="13">
        <f t="shared" si="1"/>
        <v>3</v>
      </c>
      <c r="V1430" s="13" t="str">
        <f t="shared" si="2"/>
        <v>C00532|Rahul Iyer|37|South|Kochi|Premium|Facebook|4/4/2022|43|Quarterly|Debit Card|2,464|4|2|26.70|2.5|6/7/2024|11/6/2022|Churned|Collaboration</v>
      </c>
      <c r="W1430" s="13">
        <f t="shared" si="3"/>
        <v>1</v>
      </c>
      <c r="X1430" s="13">
        <f>IFERROR(__xludf.DUMMYFUNCTION("COUNTUNIQUE(FILTER($B$2:$B$1826,$A$2:$A$1826=A1430))"),2.0)</f>
        <v>2</v>
      </c>
    </row>
    <row r="1431">
      <c r="A1431" s="13" t="s">
        <v>378</v>
      </c>
      <c r="B1431" s="13" t="s">
        <v>424</v>
      </c>
      <c r="C1431" s="14">
        <v>51.0</v>
      </c>
      <c r="D1431" s="13" t="s">
        <v>60</v>
      </c>
      <c r="E1431" s="13" t="s">
        <v>133</v>
      </c>
      <c r="F1431" s="13" t="s">
        <v>37</v>
      </c>
      <c r="G1431" s="13" t="s">
        <v>120</v>
      </c>
      <c r="H1431" s="16">
        <v>44851.0</v>
      </c>
      <c r="I1431" s="14">
        <v>3.0</v>
      </c>
      <c r="J1431" s="13" t="s">
        <v>53</v>
      </c>
      <c r="K1431" s="13" t="s">
        <v>41</v>
      </c>
      <c r="L1431" s="14">
        <v>1103.0</v>
      </c>
      <c r="M1431" s="18" t="s">
        <v>173</v>
      </c>
      <c r="N1431" s="18" t="s">
        <v>98</v>
      </c>
      <c r="O1431" s="18">
        <v>31.5</v>
      </c>
      <c r="P1431" s="18" t="s">
        <v>130</v>
      </c>
      <c r="Q1431" s="16">
        <v>44919.0</v>
      </c>
      <c r="R1431" s="16" t="s">
        <v>38</v>
      </c>
      <c r="S1431" s="13" t="s">
        <v>55</v>
      </c>
      <c r="T1431" s="13" t="s">
        <v>72</v>
      </c>
      <c r="U1431" s="13">
        <f t="shared" si="1"/>
        <v>2</v>
      </c>
      <c r="V1431" s="13" t="str">
        <f t="shared" si="2"/>
        <v>C01581|Neha Kumar|51|East|Guwahati|Standard|Email|10/17/2022|3|Quarterly|Upi|1,103|5|1|31.50|3.9|12/24/2022||Active|Collaboration</v>
      </c>
      <c r="W1431" s="13">
        <f t="shared" si="3"/>
        <v>1</v>
      </c>
      <c r="X1431" s="13">
        <f>IFERROR(__xludf.DUMMYFUNCTION("COUNTUNIQUE(FILTER($B$2:$B$1826,$A$2:$A$1826=A1431))"),2.0)</f>
        <v>2</v>
      </c>
    </row>
    <row r="1432">
      <c r="A1432" s="13" t="s">
        <v>1964</v>
      </c>
      <c r="B1432" s="13" t="s">
        <v>224</v>
      </c>
      <c r="C1432" s="14">
        <v>33.0</v>
      </c>
      <c r="D1432" s="13" t="s">
        <v>60</v>
      </c>
      <c r="E1432" s="13" t="s">
        <v>133</v>
      </c>
      <c r="F1432" s="13" t="s">
        <v>37</v>
      </c>
      <c r="G1432" s="13" t="s">
        <v>52</v>
      </c>
      <c r="H1432" s="16">
        <v>45032.0</v>
      </c>
      <c r="I1432" s="14">
        <v>31.0</v>
      </c>
      <c r="J1432" s="13" t="s">
        <v>64</v>
      </c>
      <c r="K1432" s="13" t="s">
        <v>41</v>
      </c>
      <c r="L1432" s="14">
        <v>1220.0</v>
      </c>
      <c r="M1432" s="18" t="s">
        <v>46</v>
      </c>
      <c r="N1432" s="18" t="s">
        <v>43</v>
      </c>
      <c r="O1432" s="18">
        <v>18.7</v>
      </c>
      <c r="P1432" s="18" t="s">
        <v>173</v>
      </c>
      <c r="Q1432" s="16">
        <v>45540.0</v>
      </c>
      <c r="R1432" s="16" t="s">
        <v>38</v>
      </c>
      <c r="S1432" s="13" t="s">
        <v>55</v>
      </c>
      <c r="T1432" s="13" t="s">
        <v>47</v>
      </c>
      <c r="U1432" s="13">
        <f t="shared" si="1"/>
        <v>1</v>
      </c>
      <c r="V1432" s="13" t="str">
        <f t="shared" si="2"/>
        <v>C00787|Anita Iyer|33|East|Guwahati|Standard|Facebook|4/16/2023|31|Annual|Upi|1,220|0|2|18.70|5|9/5/2024||Active|Cloud Storage</v>
      </c>
      <c r="W1432" s="13">
        <f t="shared" si="3"/>
        <v>1</v>
      </c>
      <c r="X1432" s="13">
        <f>IFERROR(__xludf.DUMMYFUNCTION("COUNTUNIQUE(FILTER($B$2:$B$1826,$A$2:$A$1826=A1432))"),1.0)</f>
        <v>1</v>
      </c>
    </row>
    <row r="1433">
      <c r="A1433" s="13" t="s">
        <v>1965</v>
      </c>
      <c r="B1433" s="13" t="s">
        <v>605</v>
      </c>
      <c r="C1433" s="14">
        <v>40.0</v>
      </c>
      <c r="D1433" s="13" t="s">
        <v>60</v>
      </c>
      <c r="E1433" s="13" t="s">
        <v>61</v>
      </c>
      <c r="F1433" s="13" t="s">
        <v>37</v>
      </c>
      <c r="G1433" s="13" t="s">
        <v>80</v>
      </c>
      <c r="H1433" s="16">
        <v>45226.0</v>
      </c>
      <c r="I1433" s="14">
        <v>46.0</v>
      </c>
      <c r="J1433" s="13" t="s">
        <v>53</v>
      </c>
      <c r="K1433" s="13" t="s">
        <v>65</v>
      </c>
      <c r="L1433" s="14">
        <v>1391.0</v>
      </c>
      <c r="M1433" s="18" t="s">
        <v>46</v>
      </c>
      <c r="N1433" s="18" t="s">
        <v>98</v>
      </c>
      <c r="O1433" s="18">
        <v>34.5</v>
      </c>
      <c r="P1433" s="18" t="s">
        <v>701</v>
      </c>
      <c r="Q1433" s="16">
        <v>45567.0</v>
      </c>
      <c r="R1433" s="16" t="s">
        <v>38</v>
      </c>
      <c r="S1433" s="13" t="s">
        <v>55</v>
      </c>
      <c r="T1433" s="13" t="s">
        <v>66</v>
      </c>
      <c r="U1433" s="13">
        <f t="shared" si="1"/>
        <v>1</v>
      </c>
      <c r="V1433" s="13" t="str">
        <f t="shared" si="2"/>
        <v>C00906|Meera Patel|40|East|Kolkata|Standard|Organic Search|10/27/2023|46|Quarterly|Credit Card|1,391|0|1|34.50|2.8|10/2/2024||Active|Automation</v>
      </c>
      <c r="W1433" s="13">
        <f t="shared" si="3"/>
        <v>1</v>
      </c>
      <c r="X1433" s="13">
        <f>IFERROR(__xludf.DUMMYFUNCTION("COUNTUNIQUE(FILTER($B$2:$B$1826,$A$2:$A$1826=A1433))"),1.0)</f>
        <v>1</v>
      </c>
    </row>
    <row r="1434">
      <c r="A1434" s="13" t="s">
        <v>1966</v>
      </c>
      <c r="B1434" s="13" t="s">
        <v>734</v>
      </c>
      <c r="C1434" s="14">
        <v>62.0</v>
      </c>
      <c r="D1434" s="13" t="s">
        <v>69</v>
      </c>
      <c r="E1434" s="13" t="s">
        <v>119</v>
      </c>
      <c r="F1434" s="13" t="s">
        <v>62</v>
      </c>
      <c r="G1434" s="13" t="s">
        <v>80</v>
      </c>
      <c r="H1434" s="16">
        <v>45176.0</v>
      </c>
      <c r="I1434" s="14">
        <v>3.0</v>
      </c>
      <c r="J1434" s="13" t="s">
        <v>40</v>
      </c>
      <c r="K1434" s="13" t="s">
        <v>41</v>
      </c>
      <c r="L1434" s="14">
        <v>718.0</v>
      </c>
      <c r="M1434" s="18" t="s">
        <v>46</v>
      </c>
      <c r="N1434" s="18" t="s">
        <v>164</v>
      </c>
      <c r="O1434" s="18">
        <v>13.6</v>
      </c>
      <c r="P1434" s="18" t="s">
        <v>185</v>
      </c>
      <c r="Q1434" s="16">
        <v>45187.0</v>
      </c>
      <c r="R1434" s="16" t="s">
        <v>38</v>
      </c>
      <c r="S1434" s="13" t="s">
        <v>55</v>
      </c>
      <c r="T1434" s="13" t="s">
        <v>75</v>
      </c>
      <c r="U1434" s="13">
        <f t="shared" si="1"/>
        <v>1</v>
      </c>
      <c r="V1434" s="13" t="str">
        <f t="shared" si="2"/>
        <v>C00825|Sneha Das|62|South|Kochi|Basic|Organic Search|9/7/2023|3|Monthly|Upi|718|0|3|13.60|3.2|9/18/2023||Active|Security</v>
      </c>
      <c r="W1434" s="13">
        <f t="shared" si="3"/>
        <v>1</v>
      </c>
      <c r="X1434" s="13">
        <f>IFERROR(__xludf.DUMMYFUNCTION("COUNTUNIQUE(FILTER($B$2:$B$1826,$A$2:$A$1826=A1434))"),1.0)</f>
        <v>1</v>
      </c>
    </row>
    <row r="1435">
      <c r="A1435" s="13" t="s">
        <v>844</v>
      </c>
      <c r="B1435" s="13" t="s">
        <v>333</v>
      </c>
      <c r="C1435" s="14">
        <v>65.0</v>
      </c>
      <c r="D1435" s="13" t="s">
        <v>69</v>
      </c>
      <c r="E1435" s="13" t="s">
        <v>177</v>
      </c>
      <c r="F1435" s="13" t="s">
        <v>62</v>
      </c>
      <c r="G1435" s="13" t="s">
        <v>80</v>
      </c>
      <c r="H1435" s="16">
        <v>45383.0</v>
      </c>
      <c r="I1435" s="14">
        <v>31.0</v>
      </c>
      <c r="J1435" s="13" t="s">
        <v>64</v>
      </c>
      <c r="K1435" s="13" t="s">
        <v>65</v>
      </c>
      <c r="L1435" s="14">
        <v>569.0</v>
      </c>
      <c r="M1435" s="18" t="s">
        <v>164</v>
      </c>
      <c r="N1435" s="18" t="s">
        <v>46</v>
      </c>
      <c r="O1435" s="18">
        <v>16.4</v>
      </c>
      <c r="P1435" s="18" t="s">
        <v>143</v>
      </c>
      <c r="Q1435" s="16">
        <v>45521.0</v>
      </c>
      <c r="R1435" s="16" t="s">
        <v>38</v>
      </c>
      <c r="S1435" s="13" t="s">
        <v>55</v>
      </c>
      <c r="T1435" s="13" t="s">
        <v>66</v>
      </c>
      <c r="U1435" s="13">
        <f t="shared" si="1"/>
        <v>4</v>
      </c>
      <c r="V1435" s="13" t="str">
        <f t="shared" si="2"/>
        <v>C00139|Neha Das|65|South|Hyderabad|Basic|Organic Search|4/1/2024|31|Annual|Credit Card|569|3|0|16.40|2.1|8/17/2024||Active|Automation</v>
      </c>
      <c r="W1435" s="13">
        <f t="shared" si="3"/>
        <v>1</v>
      </c>
      <c r="X1435" s="13">
        <f>IFERROR(__xludf.DUMMYFUNCTION("COUNTUNIQUE(FILTER($B$2:$B$1826,$A$2:$A$1826=A1435))"),4.0)</f>
        <v>4</v>
      </c>
    </row>
    <row r="1436">
      <c r="A1436" s="13" t="s">
        <v>1967</v>
      </c>
      <c r="B1436" s="13" t="s">
        <v>281</v>
      </c>
      <c r="C1436" s="14">
        <v>68.0</v>
      </c>
      <c r="D1436" s="13" t="s">
        <v>85</v>
      </c>
      <c r="E1436" s="13" t="s">
        <v>292</v>
      </c>
      <c r="F1436" s="13" t="s">
        <v>37</v>
      </c>
      <c r="G1436" s="13" t="s">
        <v>80</v>
      </c>
      <c r="H1436" s="16">
        <v>45633.0</v>
      </c>
      <c r="I1436" s="14">
        <v>26.0</v>
      </c>
      <c r="J1436" s="13" t="s">
        <v>40</v>
      </c>
      <c r="K1436" s="13" t="s">
        <v>65</v>
      </c>
      <c r="L1436" s="14">
        <v>1179.0</v>
      </c>
      <c r="M1436" s="18" t="s">
        <v>164</v>
      </c>
      <c r="N1436" s="18" t="s">
        <v>98</v>
      </c>
      <c r="O1436" s="18">
        <v>21.9</v>
      </c>
      <c r="P1436" s="18" t="s">
        <v>48</v>
      </c>
      <c r="Q1436" s="16">
        <v>46353.0</v>
      </c>
      <c r="R1436" s="16" t="s">
        <v>38</v>
      </c>
      <c r="S1436" s="13" t="s">
        <v>55</v>
      </c>
      <c r="T1436" s="13" t="s">
        <v>104</v>
      </c>
      <c r="U1436" s="13">
        <f t="shared" si="1"/>
        <v>1</v>
      </c>
      <c r="V1436" s="13" t="str">
        <f t="shared" si="2"/>
        <v>C00107|Anita Reddy|68|West|Mumbai|Standard|Organic Search|12/7/2024|26|Monthly|Credit Card|1,179|3|1|21.90|3.6|11/27/2026||Active|Analytics</v>
      </c>
      <c r="W1436" s="13">
        <f t="shared" si="3"/>
        <v>1</v>
      </c>
      <c r="X1436" s="13">
        <f>IFERROR(__xludf.DUMMYFUNCTION("COUNTUNIQUE(FILTER($B$2:$B$1826,$A$2:$A$1826=A1436))"),1.0)</f>
        <v>1</v>
      </c>
    </row>
    <row r="1437">
      <c r="A1437" s="13" t="s">
        <v>1806</v>
      </c>
      <c r="B1437" s="13" t="s">
        <v>222</v>
      </c>
      <c r="C1437" s="14">
        <v>68.0</v>
      </c>
      <c r="D1437" s="13" t="s">
        <v>35</v>
      </c>
      <c r="E1437" s="13" t="s">
        <v>51</v>
      </c>
      <c r="F1437" s="13" t="s">
        <v>37</v>
      </c>
      <c r="G1437" s="13" t="s">
        <v>80</v>
      </c>
      <c r="H1437" s="16">
        <v>45418.0</v>
      </c>
      <c r="I1437" s="14">
        <v>48.0</v>
      </c>
      <c r="J1437" s="13" t="s">
        <v>40</v>
      </c>
      <c r="K1437" s="13" t="s">
        <v>65</v>
      </c>
      <c r="L1437" s="14">
        <v>1609.0</v>
      </c>
      <c r="M1437" s="18" t="s">
        <v>164</v>
      </c>
      <c r="N1437" s="18" t="s">
        <v>46</v>
      </c>
      <c r="O1437" s="18">
        <v>29.3</v>
      </c>
      <c r="P1437" s="18" t="s">
        <v>130</v>
      </c>
      <c r="Q1437" s="16">
        <v>46348.0</v>
      </c>
      <c r="R1437" s="16" t="s">
        <v>38</v>
      </c>
      <c r="S1437" s="13" t="s">
        <v>55</v>
      </c>
      <c r="T1437" s="13" t="s">
        <v>47</v>
      </c>
      <c r="U1437" s="13">
        <f t="shared" si="1"/>
        <v>3</v>
      </c>
      <c r="V1437" s="13" t="str">
        <f t="shared" si="2"/>
        <v>C00711|Karan Iyer|68|North|Jaipur|Standard|Organic Search|5/6/2024|48|Monthly|Credit Card|1,609|3|0|29.30|3.9|11/22/2026||Active|Cloud Storage</v>
      </c>
      <c r="W1437" s="13">
        <f t="shared" si="3"/>
        <v>1</v>
      </c>
      <c r="X1437" s="13">
        <f>IFERROR(__xludf.DUMMYFUNCTION("COUNTUNIQUE(FILTER($B$2:$B$1826,$A$2:$A$1826=A1437))"),3.0)</f>
        <v>3</v>
      </c>
    </row>
    <row r="1438">
      <c r="A1438" s="13" t="s">
        <v>1154</v>
      </c>
      <c r="B1438" s="13" t="s">
        <v>224</v>
      </c>
      <c r="C1438" s="14">
        <v>29.0</v>
      </c>
      <c r="D1438" s="13" t="s">
        <v>60</v>
      </c>
      <c r="E1438" s="13" t="s">
        <v>133</v>
      </c>
      <c r="F1438" s="13" t="s">
        <v>62</v>
      </c>
      <c r="G1438" s="13" t="s">
        <v>52</v>
      </c>
      <c r="H1438" s="16">
        <v>45532.0</v>
      </c>
      <c r="I1438" s="14">
        <v>33.0</v>
      </c>
      <c r="J1438" s="13" t="s">
        <v>53</v>
      </c>
      <c r="K1438" s="13" t="s">
        <v>41</v>
      </c>
      <c r="L1438" s="14">
        <v>1510.0</v>
      </c>
      <c r="M1438" s="18" t="s">
        <v>98</v>
      </c>
      <c r="N1438" s="18" t="s">
        <v>43</v>
      </c>
      <c r="O1438" s="18">
        <v>18.2</v>
      </c>
      <c r="P1438" s="18" t="s">
        <v>233</v>
      </c>
      <c r="Q1438" s="16">
        <v>45889.0</v>
      </c>
      <c r="R1438" s="16" t="s">
        <v>38</v>
      </c>
      <c r="S1438" s="13" t="s">
        <v>55</v>
      </c>
      <c r="T1438" s="13" t="s">
        <v>66</v>
      </c>
      <c r="U1438" s="13">
        <f t="shared" si="1"/>
        <v>2</v>
      </c>
      <c r="V1438" s="13" t="str">
        <f t="shared" si="2"/>
        <v>C01397|Anita Iyer|29|East|Guwahati|Basic|Facebook|8/28/2024|33|Quarterly|Upi|1,510|1|2|18.20|3.5|8/20/2025||Active|Automation</v>
      </c>
      <c r="W1438" s="13">
        <f t="shared" si="3"/>
        <v>1</v>
      </c>
      <c r="X1438" s="13">
        <f>IFERROR(__xludf.DUMMYFUNCTION("COUNTUNIQUE(FILTER($B$2:$B$1826,$A$2:$A$1826=A1438))"),2.0)</f>
        <v>2</v>
      </c>
    </row>
    <row r="1439">
      <c r="A1439" s="13" t="s">
        <v>1168</v>
      </c>
      <c r="B1439" s="13" t="s">
        <v>163</v>
      </c>
      <c r="C1439" s="14">
        <v>30.0</v>
      </c>
      <c r="D1439" s="13" t="s">
        <v>35</v>
      </c>
      <c r="E1439" s="13" t="s">
        <v>51</v>
      </c>
      <c r="F1439" s="13" t="s">
        <v>37</v>
      </c>
      <c r="G1439" s="13" t="s">
        <v>80</v>
      </c>
      <c r="H1439" s="16">
        <v>45093.0</v>
      </c>
      <c r="I1439" s="14">
        <v>10.0</v>
      </c>
      <c r="J1439" s="13" t="s">
        <v>40</v>
      </c>
      <c r="K1439" s="13" t="s">
        <v>81</v>
      </c>
      <c r="L1439" s="14">
        <v>1214.0</v>
      </c>
      <c r="M1439" s="18" t="s">
        <v>164</v>
      </c>
      <c r="N1439" s="18" t="s">
        <v>98</v>
      </c>
      <c r="O1439" s="18">
        <v>21.7</v>
      </c>
      <c r="P1439" s="18" t="s">
        <v>99</v>
      </c>
      <c r="Q1439" s="16">
        <v>45309.0</v>
      </c>
      <c r="R1439" s="16" t="s">
        <v>1668</v>
      </c>
      <c r="S1439" s="13" t="s">
        <v>45</v>
      </c>
      <c r="T1439" s="13" t="s">
        <v>47</v>
      </c>
      <c r="U1439" s="13">
        <f t="shared" si="1"/>
        <v>2</v>
      </c>
      <c r="V1439" s="13" t="str">
        <f t="shared" si="2"/>
        <v>C01443|Sneha Singh|30|North|Jaipur|Standard|Organic Search|6/16/2023|10|Monthly|Debit Card|1,214|3|1|21.70|4|1/18/2024|20/09/2023|Churned|Cloud Storage</v>
      </c>
      <c r="W1439" s="13">
        <f t="shared" si="3"/>
        <v>1</v>
      </c>
      <c r="X1439" s="13">
        <f>IFERROR(__xludf.DUMMYFUNCTION("COUNTUNIQUE(FILTER($B$2:$B$1826,$A$2:$A$1826=A1439))"),2.0)</f>
        <v>2</v>
      </c>
    </row>
    <row r="1440">
      <c r="A1440" s="13" t="s">
        <v>344</v>
      </c>
      <c r="B1440" s="13" t="s">
        <v>235</v>
      </c>
      <c r="C1440" s="14">
        <v>46.0</v>
      </c>
      <c r="D1440" s="13" t="s">
        <v>69</v>
      </c>
      <c r="E1440" s="13" t="s">
        <v>119</v>
      </c>
      <c r="F1440" s="13" t="s">
        <v>62</v>
      </c>
      <c r="G1440" s="13" t="s">
        <v>128</v>
      </c>
      <c r="H1440" s="16">
        <v>44715.0</v>
      </c>
      <c r="I1440" s="14">
        <v>30.0</v>
      </c>
      <c r="J1440" s="13" t="s">
        <v>40</v>
      </c>
      <c r="K1440" s="13" t="s">
        <v>41</v>
      </c>
      <c r="L1440" s="14">
        <v>832.0</v>
      </c>
      <c r="M1440" s="18" t="s">
        <v>46</v>
      </c>
      <c r="N1440" s="18" t="s">
        <v>46</v>
      </c>
      <c r="O1440" s="18">
        <v>10.9</v>
      </c>
      <c r="P1440" s="18" t="s">
        <v>310</v>
      </c>
      <c r="Q1440" s="16">
        <v>45346.0</v>
      </c>
      <c r="R1440" s="16">
        <v>44631.0</v>
      </c>
      <c r="S1440" s="13" t="s">
        <v>45</v>
      </c>
      <c r="T1440" s="13" t="s">
        <v>72</v>
      </c>
      <c r="U1440" s="13">
        <f t="shared" si="1"/>
        <v>3</v>
      </c>
      <c r="V1440" s="13" t="str">
        <f t="shared" si="2"/>
        <v>C00360|Sneha Sharma|46|South|Kochi|Basic|Youtube|6/3/2022|30|Monthly|Upi|832|0|0|10.90|3.1|2/24/2024|3/11/2022|Churned|Collaboration</v>
      </c>
      <c r="W1440" s="13">
        <f t="shared" si="3"/>
        <v>1</v>
      </c>
      <c r="X1440" s="13">
        <f>IFERROR(__xludf.DUMMYFUNCTION("COUNTUNIQUE(FILTER($B$2:$B$1826,$A$2:$A$1826=A1440))"),3.0)</f>
        <v>3</v>
      </c>
    </row>
    <row r="1441">
      <c r="A1441" s="13" t="s">
        <v>1969</v>
      </c>
      <c r="B1441" s="13" t="s">
        <v>59</v>
      </c>
      <c r="C1441" s="14">
        <v>56.0</v>
      </c>
      <c r="D1441" s="13" t="s">
        <v>60</v>
      </c>
      <c r="E1441" s="13" t="s">
        <v>61</v>
      </c>
      <c r="F1441" s="13" t="s">
        <v>62</v>
      </c>
      <c r="G1441" s="13" t="s">
        <v>128</v>
      </c>
      <c r="H1441" s="16">
        <v>45693.0</v>
      </c>
      <c r="I1441" s="14">
        <v>26.0</v>
      </c>
      <c r="J1441" s="13" t="s">
        <v>40</v>
      </c>
      <c r="K1441" s="13" t="s">
        <v>41</v>
      </c>
      <c r="L1441" s="14">
        <v>618.0</v>
      </c>
      <c r="M1441" s="18" t="s">
        <v>164</v>
      </c>
      <c r="N1441" s="18" t="s">
        <v>98</v>
      </c>
      <c r="O1441" s="18">
        <v>9.2</v>
      </c>
      <c r="P1441" s="18" t="s">
        <v>76</v>
      </c>
      <c r="Q1441" s="16">
        <v>45882.0</v>
      </c>
      <c r="R1441" s="16" t="s">
        <v>38</v>
      </c>
      <c r="S1441" s="13" t="s">
        <v>55</v>
      </c>
      <c r="T1441" s="13" t="s">
        <v>66</v>
      </c>
      <c r="U1441" s="13">
        <f t="shared" si="1"/>
        <v>1</v>
      </c>
      <c r="V1441" s="13" t="str">
        <f t="shared" si="2"/>
        <v>C00323|Priya Das|56|East|Kolkata|Basic|Youtube|2/5/2025|26|Monthly|Upi|618|3|1|9.20|4.4|8/13/2025||Active|Automation</v>
      </c>
      <c r="W1441" s="13">
        <f t="shared" si="3"/>
        <v>1</v>
      </c>
      <c r="X1441" s="13">
        <f>IFERROR(__xludf.DUMMYFUNCTION("COUNTUNIQUE(FILTER($B$2:$B$1826,$A$2:$A$1826=A1441))"),1.0)</f>
        <v>1</v>
      </c>
    </row>
    <row r="1442">
      <c r="A1442" s="13" t="s">
        <v>1970</v>
      </c>
      <c r="B1442" s="13" t="s">
        <v>222</v>
      </c>
      <c r="C1442" s="14">
        <v>50.0</v>
      </c>
      <c r="D1442" s="13" t="s">
        <v>69</v>
      </c>
      <c r="E1442" s="13" t="s">
        <v>70</v>
      </c>
      <c r="F1442" s="13" t="s">
        <v>79</v>
      </c>
      <c r="G1442" s="13" t="s">
        <v>52</v>
      </c>
      <c r="H1442" s="16">
        <v>45408.0</v>
      </c>
      <c r="I1442" s="14">
        <v>37.0</v>
      </c>
      <c r="J1442" s="13" t="s">
        <v>40</v>
      </c>
      <c r="K1442" s="13" t="s">
        <v>41</v>
      </c>
      <c r="L1442" s="14">
        <v>3822.0</v>
      </c>
      <c r="M1442" s="18" t="s">
        <v>99</v>
      </c>
      <c r="N1442" s="18" t="s">
        <v>46</v>
      </c>
      <c r="O1442" s="18">
        <v>41.7</v>
      </c>
      <c r="P1442" s="18" t="s">
        <v>449</v>
      </c>
      <c r="Q1442" s="16">
        <v>45963.0</v>
      </c>
      <c r="R1442" s="16">
        <v>45844.0</v>
      </c>
      <c r="S1442" s="13" t="s">
        <v>45</v>
      </c>
      <c r="T1442" s="13" t="s">
        <v>75</v>
      </c>
      <c r="U1442" s="13">
        <f t="shared" si="1"/>
        <v>1</v>
      </c>
      <c r="V1442" s="13" t="str">
        <f t="shared" si="2"/>
        <v>C00367|Karan Iyer|50|South|Bengaluru|Premium|Facebook|4/26/2024|37|Monthly|Upi|3,822|4|0|41.70|2.7|11/2/2025|7/6/2025|Churned|Security</v>
      </c>
      <c r="W1442" s="13">
        <f t="shared" si="3"/>
        <v>1</v>
      </c>
      <c r="X1442" s="13">
        <f>IFERROR(__xludf.DUMMYFUNCTION("COUNTUNIQUE(FILTER($B$2:$B$1826,$A$2:$A$1826=A1442))"),1.0)</f>
        <v>1</v>
      </c>
    </row>
    <row r="1443">
      <c r="A1443" s="13" t="s">
        <v>1116</v>
      </c>
      <c r="B1443" s="13" t="s">
        <v>295</v>
      </c>
      <c r="C1443" s="14">
        <v>62.0</v>
      </c>
      <c r="D1443" s="13" t="s">
        <v>35</v>
      </c>
      <c r="E1443" s="13" t="s">
        <v>36</v>
      </c>
      <c r="F1443" s="13" t="s">
        <v>37</v>
      </c>
      <c r="G1443" s="13" t="s">
        <v>128</v>
      </c>
      <c r="H1443" s="16">
        <v>44601.0</v>
      </c>
      <c r="I1443" s="14">
        <v>14.0</v>
      </c>
      <c r="J1443" s="13" t="s">
        <v>40</v>
      </c>
      <c r="K1443" s="13" t="s">
        <v>41</v>
      </c>
      <c r="L1443" s="14">
        <v>1408.0</v>
      </c>
      <c r="M1443" s="18" t="s">
        <v>98</v>
      </c>
      <c r="N1443" s="18" t="s">
        <v>46</v>
      </c>
      <c r="O1443" s="18">
        <v>27.4</v>
      </c>
      <c r="P1443" s="18" t="s">
        <v>173</v>
      </c>
      <c r="Q1443" s="16">
        <v>44710.0</v>
      </c>
      <c r="R1443" s="16" t="s">
        <v>980</v>
      </c>
      <c r="S1443" s="13" t="s">
        <v>45</v>
      </c>
      <c r="T1443" s="13" t="s">
        <v>72</v>
      </c>
      <c r="U1443" s="13">
        <f t="shared" si="1"/>
        <v>2</v>
      </c>
      <c r="V1443" s="13" t="str">
        <f t="shared" si="2"/>
        <v>C01119|Arun Reddy|62|North|Delhi|Standard|Youtube|2/9/2022|14|Monthly|Upi|1,408|1|0|27.40|5|5/29/2022|25/10/2022|Churned|Collaboration</v>
      </c>
      <c r="W1443" s="13">
        <f t="shared" si="3"/>
        <v>1</v>
      </c>
      <c r="X1443" s="13">
        <f>IFERROR(__xludf.DUMMYFUNCTION("COUNTUNIQUE(FILTER($B$2:$B$1826,$A$2:$A$1826=A1443))"),2.0)</f>
        <v>2</v>
      </c>
    </row>
    <row r="1444">
      <c r="A1444" s="13" t="s">
        <v>1972</v>
      </c>
      <c r="B1444" s="13" t="s">
        <v>639</v>
      </c>
      <c r="C1444" s="14">
        <v>29.0</v>
      </c>
      <c r="D1444" s="13" t="s">
        <v>69</v>
      </c>
      <c r="E1444" s="13" t="s">
        <v>187</v>
      </c>
      <c r="F1444" s="13" t="s">
        <v>62</v>
      </c>
      <c r="G1444" s="13" t="s">
        <v>128</v>
      </c>
      <c r="H1444" s="16">
        <v>45501.0</v>
      </c>
      <c r="I1444" s="14">
        <v>12.0</v>
      </c>
      <c r="J1444" s="13" t="s">
        <v>64</v>
      </c>
      <c r="K1444" s="13" t="s">
        <v>65</v>
      </c>
      <c r="L1444" s="14">
        <v>642.0</v>
      </c>
      <c r="M1444" s="18" t="s">
        <v>164</v>
      </c>
      <c r="N1444" s="18" t="s">
        <v>43</v>
      </c>
      <c r="O1444" s="18">
        <v>12.4</v>
      </c>
      <c r="P1444" s="18" t="s">
        <v>275</v>
      </c>
      <c r="Q1444" s="16">
        <v>45625.0</v>
      </c>
      <c r="R1444" s="16" t="s">
        <v>38</v>
      </c>
      <c r="S1444" s="13" t="s">
        <v>55</v>
      </c>
      <c r="T1444" s="13" t="s">
        <v>75</v>
      </c>
      <c r="U1444" s="13">
        <f t="shared" si="1"/>
        <v>2</v>
      </c>
      <c r="V1444" s="13" t="str">
        <f t="shared" si="2"/>
        <v>C01195|Priya Nair|29|South|Chennai|Basic|Youtube|7/28/2024|12|Annual|Credit Card|642|3|2|12.40|4.3|11/29/2024||Active|Security</v>
      </c>
      <c r="W1444" s="13">
        <f t="shared" si="3"/>
        <v>1</v>
      </c>
      <c r="X1444" s="13">
        <f>IFERROR(__xludf.DUMMYFUNCTION("COUNTUNIQUE(FILTER($B$2:$B$1826,$A$2:$A$1826=A1444))"),2.0)</f>
        <v>2</v>
      </c>
    </row>
    <row r="1445">
      <c r="A1445" s="13" t="s">
        <v>1973</v>
      </c>
      <c r="B1445" s="13" t="s">
        <v>281</v>
      </c>
      <c r="C1445" s="14">
        <v>25.0</v>
      </c>
      <c r="D1445" s="13" t="s">
        <v>69</v>
      </c>
      <c r="E1445" s="13" t="s">
        <v>70</v>
      </c>
      <c r="F1445" s="13" t="s">
        <v>37</v>
      </c>
      <c r="G1445" s="13" t="s">
        <v>80</v>
      </c>
      <c r="H1445" s="16">
        <v>44628.0</v>
      </c>
      <c r="I1445" s="14">
        <v>48.0</v>
      </c>
      <c r="J1445" s="13" t="s">
        <v>64</v>
      </c>
      <c r="K1445" s="13" t="s">
        <v>81</v>
      </c>
      <c r="L1445" s="14">
        <v>1265.0</v>
      </c>
      <c r="M1445" s="18" t="s">
        <v>43</v>
      </c>
      <c r="N1445" s="18" t="s">
        <v>98</v>
      </c>
      <c r="O1445" s="18">
        <v>43.3</v>
      </c>
      <c r="P1445" s="18" t="s">
        <v>456</v>
      </c>
      <c r="Q1445" s="16">
        <v>44958.0</v>
      </c>
      <c r="R1445" s="16" t="s">
        <v>38</v>
      </c>
      <c r="S1445" s="13" t="s">
        <v>55</v>
      </c>
      <c r="T1445" s="13" t="s">
        <v>47</v>
      </c>
      <c r="U1445" s="13">
        <f t="shared" si="1"/>
        <v>1</v>
      </c>
      <c r="V1445" s="13" t="str">
        <f t="shared" si="2"/>
        <v>C00888|Anita Reddy|25|South|Bengaluru|Standard|Organic Search|3/8/2022|48|Annual|Debit Card|1,265|2|1|43.30|2.5|2/1/2023||Active|Cloud Storage</v>
      </c>
      <c r="W1445" s="13">
        <f t="shared" si="3"/>
        <v>1</v>
      </c>
      <c r="X1445" s="13">
        <f>IFERROR(__xludf.DUMMYFUNCTION("COUNTUNIQUE(FILTER($B$2:$B$1826,$A$2:$A$1826=A1445))"),1.0)</f>
        <v>1</v>
      </c>
    </row>
    <row r="1446">
      <c r="A1446" s="13" t="s">
        <v>1974</v>
      </c>
      <c r="B1446" s="13" t="s">
        <v>59</v>
      </c>
      <c r="C1446" s="14">
        <v>33.0</v>
      </c>
      <c r="D1446" s="13" t="s">
        <v>69</v>
      </c>
      <c r="E1446" s="13" t="s">
        <v>187</v>
      </c>
      <c r="F1446" s="13" t="s">
        <v>37</v>
      </c>
      <c r="G1446" s="13" t="s">
        <v>39</v>
      </c>
      <c r="H1446" s="16">
        <v>45572.0</v>
      </c>
      <c r="I1446" s="14">
        <v>12.0</v>
      </c>
      <c r="J1446" s="13" t="s">
        <v>53</v>
      </c>
      <c r="K1446" s="13" t="s">
        <v>81</v>
      </c>
      <c r="L1446" s="14">
        <v>1162.0</v>
      </c>
      <c r="M1446" s="18" t="s">
        <v>98</v>
      </c>
      <c r="N1446" s="18" t="s">
        <v>98</v>
      </c>
      <c r="O1446" s="18">
        <v>21.8</v>
      </c>
      <c r="P1446" s="18" t="s">
        <v>400</v>
      </c>
      <c r="Q1446" s="16">
        <v>45875.0</v>
      </c>
      <c r="R1446" s="16" t="s">
        <v>38</v>
      </c>
      <c r="S1446" s="13" t="s">
        <v>55</v>
      </c>
      <c r="T1446" s="13" t="s">
        <v>104</v>
      </c>
      <c r="U1446" s="13">
        <f t="shared" si="1"/>
        <v>1</v>
      </c>
      <c r="V1446" s="13" t="str">
        <f t="shared" si="2"/>
        <v>C01512|Priya Das|33|South|Chennai|Standard|Instagram|10/7/2024|12|Quarterly|Debit Card|1,162|1|1|21.80|4.8|8/6/2025||Active|Analytics</v>
      </c>
      <c r="W1446" s="13">
        <f t="shared" si="3"/>
        <v>1</v>
      </c>
      <c r="X1446" s="13">
        <f>IFERROR(__xludf.DUMMYFUNCTION("COUNTUNIQUE(FILTER($B$2:$B$1826,$A$2:$A$1826=A1446))"),1.0)</f>
        <v>1</v>
      </c>
    </row>
    <row r="1447">
      <c r="A1447" s="13" t="s">
        <v>419</v>
      </c>
      <c r="B1447" s="13" t="s">
        <v>176</v>
      </c>
      <c r="C1447" s="14">
        <v>41.0</v>
      </c>
      <c r="D1447" s="13" t="s">
        <v>85</v>
      </c>
      <c r="E1447" s="13" t="s">
        <v>292</v>
      </c>
      <c r="F1447" s="13" t="s">
        <v>62</v>
      </c>
      <c r="G1447" s="13" t="s">
        <v>120</v>
      </c>
      <c r="H1447" s="16">
        <v>45421.0</v>
      </c>
      <c r="I1447" s="14">
        <v>29.0</v>
      </c>
      <c r="J1447" s="13" t="s">
        <v>40</v>
      </c>
      <c r="K1447" s="13" t="s">
        <v>81</v>
      </c>
      <c r="L1447" s="14">
        <v>668.0</v>
      </c>
      <c r="M1447" s="18" t="s">
        <v>43</v>
      </c>
      <c r="N1447" s="18" t="s">
        <v>98</v>
      </c>
      <c r="O1447" s="18">
        <v>23.5</v>
      </c>
      <c r="P1447" s="18" t="s">
        <v>310</v>
      </c>
      <c r="Q1447" s="16">
        <v>45423.0</v>
      </c>
      <c r="R1447" s="16" t="s">
        <v>38</v>
      </c>
      <c r="S1447" s="13" t="s">
        <v>55</v>
      </c>
      <c r="T1447" s="13" t="s">
        <v>75</v>
      </c>
      <c r="U1447" s="13">
        <f t="shared" si="1"/>
        <v>2</v>
      </c>
      <c r="V1447" s="13" t="str">
        <f t="shared" si="2"/>
        <v>C00612|Ravi Iyer|41|West|Mumbai|Basic|Email|5/9/2024|29|Monthly|Debit Card|668|2|1|23.50|3.1|5/11/2024||Active|Security</v>
      </c>
      <c r="W1447" s="13">
        <f t="shared" si="3"/>
        <v>1</v>
      </c>
      <c r="X1447" s="13">
        <f>IFERROR(__xludf.DUMMYFUNCTION("COUNTUNIQUE(FILTER($B$2:$B$1826,$A$2:$A$1826=A1447))"),2.0)</f>
        <v>2</v>
      </c>
    </row>
    <row r="1448">
      <c r="A1448" s="13" t="s">
        <v>109</v>
      </c>
      <c r="B1448" s="13" t="s">
        <v>633</v>
      </c>
      <c r="C1448" s="14">
        <v>20.0</v>
      </c>
      <c r="D1448" s="13" t="s">
        <v>60</v>
      </c>
      <c r="E1448" s="13" t="s">
        <v>61</v>
      </c>
      <c r="F1448" s="13" t="s">
        <v>37</v>
      </c>
      <c r="G1448" s="13" t="s">
        <v>63</v>
      </c>
      <c r="H1448" s="16">
        <v>45597.0</v>
      </c>
      <c r="I1448" s="14">
        <v>35.0</v>
      </c>
      <c r="J1448" s="13" t="s">
        <v>40</v>
      </c>
      <c r="K1448" s="13" t="s">
        <v>41</v>
      </c>
      <c r="L1448" s="14">
        <v>1427.0</v>
      </c>
      <c r="M1448" s="18" t="s">
        <v>98</v>
      </c>
      <c r="N1448" s="18" t="s">
        <v>46</v>
      </c>
      <c r="O1448" s="18">
        <v>43.2</v>
      </c>
      <c r="P1448" s="18" t="s">
        <v>233</v>
      </c>
      <c r="Q1448" s="16">
        <v>46621.0</v>
      </c>
      <c r="R1448" s="16" t="s">
        <v>38</v>
      </c>
      <c r="S1448" s="13" t="s">
        <v>55</v>
      </c>
      <c r="T1448" s="13" t="s">
        <v>66</v>
      </c>
      <c r="U1448" s="13">
        <f t="shared" si="1"/>
        <v>5</v>
      </c>
      <c r="V1448" s="13" t="str">
        <f t="shared" si="2"/>
        <v>C00543|Anita Das|20|East|Kolkata|Standard|Google Ads|11/1/2024|35|Monthly|Upi|1,427|1|0|43.20|3.5|8/22/2027||Active|Automation</v>
      </c>
      <c r="W1448" s="13">
        <f t="shared" si="3"/>
        <v>1</v>
      </c>
      <c r="X1448" s="13">
        <f>IFERROR(__xludf.DUMMYFUNCTION("COUNTUNIQUE(FILTER($B$2:$B$1826,$A$2:$A$1826=A1448))"),5.0)</f>
        <v>5</v>
      </c>
    </row>
    <row r="1449">
      <c r="A1449" s="13" t="s">
        <v>1244</v>
      </c>
      <c r="B1449" s="13" t="s">
        <v>420</v>
      </c>
      <c r="C1449" s="14">
        <v>53.0</v>
      </c>
      <c r="D1449" s="13" t="s">
        <v>35</v>
      </c>
      <c r="E1449" s="13" t="s">
        <v>51</v>
      </c>
      <c r="F1449" s="13" t="s">
        <v>37</v>
      </c>
      <c r="G1449" s="13" t="s">
        <v>39</v>
      </c>
      <c r="H1449" s="16">
        <v>44943.0</v>
      </c>
      <c r="I1449" s="14">
        <v>5.0</v>
      </c>
      <c r="J1449" s="13" t="s">
        <v>64</v>
      </c>
      <c r="K1449" s="13" t="s">
        <v>41</v>
      </c>
      <c r="L1449" s="14">
        <v>1305.0</v>
      </c>
      <c r="M1449" s="18" t="s">
        <v>43</v>
      </c>
      <c r="N1449" s="18" t="s">
        <v>164</v>
      </c>
      <c r="O1449" s="18">
        <v>34.2</v>
      </c>
      <c r="P1449" s="18" t="s">
        <v>275</v>
      </c>
      <c r="Q1449" s="16">
        <v>45013.0</v>
      </c>
      <c r="R1449" s="16" t="s">
        <v>1975</v>
      </c>
      <c r="S1449" s="13" t="s">
        <v>45</v>
      </c>
      <c r="T1449" s="13" t="s">
        <v>66</v>
      </c>
      <c r="U1449" s="13">
        <f t="shared" si="1"/>
        <v>3</v>
      </c>
      <c r="V1449" s="13" t="str">
        <f t="shared" si="2"/>
        <v>C00021|Vikram Iyer|53|North|Jaipur|Standard|Instagram|1/17/2023|5|Annual|Upi|1,305|2|3|34.20|4.3|3/28/2023|24/02/2023|Churned|Automation</v>
      </c>
      <c r="W1449" s="13">
        <f t="shared" si="3"/>
        <v>1</v>
      </c>
      <c r="X1449" s="13">
        <f>IFERROR(__xludf.DUMMYFUNCTION("COUNTUNIQUE(FILTER($B$2:$B$1826,$A$2:$A$1826=A1449))"),3.0)</f>
        <v>3</v>
      </c>
    </row>
    <row r="1450">
      <c r="A1450" s="13" t="s">
        <v>1576</v>
      </c>
      <c r="B1450" s="13" t="s">
        <v>126</v>
      </c>
      <c r="C1450" s="14">
        <v>42.0</v>
      </c>
      <c r="D1450" s="13" t="s">
        <v>69</v>
      </c>
      <c r="E1450" s="13" t="s">
        <v>187</v>
      </c>
      <c r="F1450" s="13" t="s">
        <v>62</v>
      </c>
      <c r="G1450" s="13" t="s">
        <v>39</v>
      </c>
      <c r="H1450" s="16">
        <v>45068.0</v>
      </c>
      <c r="I1450" s="14">
        <v>14.0</v>
      </c>
      <c r="J1450" s="13" t="s">
        <v>64</v>
      </c>
      <c r="K1450" s="13" t="s">
        <v>65</v>
      </c>
      <c r="L1450" s="14">
        <v>584.0</v>
      </c>
      <c r="M1450" s="18" t="s">
        <v>164</v>
      </c>
      <c r="N1450" s="18" t="s">
        <v>46</v>
      </c>
      <c r="O1450" s="18">
        <v>10.6</v>
      </c>
      <c r="P1450" s="18" t="s">
        <v>368</v>
      </c>
      <c r="Q1450" s="16">
        <v>45112.0</v>
      </c>
      <c r="R1450" s="16" t="s">
        <v>38</v>
      </c>
      <c r="S1450" s="13" t="s">
        <v>55</v>
      </c>
      <c r="T1450" s="13" t="s">
        <v>72</v>
      </c>
      <c r="U1450" s="13">
        <f t="shared" si="1"/>
        <v>2</v>
      </c>
      <c r="V1450" s="13" t="str">
        <f t="shared" si="2"/>
        <v>C00462|Arun Patel|42|South|Chennai|Basic|Instagram|5/22/2023|14|Annual|Credit Card|584|3|0|10.60|4.9|7/5/2023||Active|Collaboration</v>
      </c>
      <c r="W1450" s="13">
        <f t="shared" si="3"/>
        <v>1</v>
      </c>
      <c r="X1450" s="13">
        <f>IFERROR(__xludf.DUMMYFUNCTION("COUNTUNIQUE(FILTER($B$2:$B$1826,$A$2:$A$1826=A1450))"),2.0)</f>
        <v>2</v>
      </c>
    </row>
    <row r="1451">
      <c r="A1451" s="13" t="s">
        <v>1814</v>
      </c>
      <c r="B1451" s="13" t="s">
        <v>232</v>
      </c>
      <c r="C1451" s="14">
        <v>105.0</v>
      </c>
      <c r="D1451" s="13" t="s">
        <v>35</v>
      </c>
      <c r="E1451" s="13" t="s">
        <v>51</v>
      </c>
      <c r="F1451" s="13" t="s">
        <v>79</v>
      </c>
      <c r="G1451" s="13" t="s">
        <v>210</v>
      </c>
      <c r="H1451" s="16">
        <v>45234.0</v>
      </c>
      <c r="I1451" s="14">
        <v>46.0</v>
      </c>
      <c r="J1451" s="13" t="s">
        <v>40</v>
      </c>
      <c r="K1451" s="13" t="s">
        <v>81</v>
      </c>
      <c r="L1451" s="14">
        <v>3750.0</v>
      </c>
      <c r="M1451" s="18" t="s">
        <v>43</v>
      </c>
      <c r="N1451" s="18" t="s">
        <v>46</v>
      </c>
      <c r="O1451" s="18">
        <v>30.0</v>
      </c>
      <c r="P1451" s="18" t="s">
        <v>143</v>
      </c>
      <c r="Q1451" s="16">
        <v>46073.0</v>
      </c>
      <c r="R1451" s="16" t="s">
        <v>38</v>
      </c>
      <c r="S1451" s="13" t="s">
        <v>55</v>
      </c>
      <c r="T1451" s="13" t="s">
        <v>47</v>
      </c>
      <c r="U1451" s="13">
        <f t="shared" si="1"/>
        <v>4</v>
      </c>
      <c r="V1451" s="13" t="str">
        <f t="shared" si="2"/>
        <v>C00122|Meera Iyer|105|North|Jaipur|Premium|Referral|11/4/2023|46|Monthly|Debit Card|3,750|2|0|30.00|2.1|2/20/2026||Active|Cloud Storage</v>
      </c>
      <c r="W1451" s="13">
        <f t="shared" si="3"/>
        <v>1</v>
      </c>
      <c r="X1451" s="13">
        <f>IFERROR(__xludf.DUMMYFUNCTION("COUNTUNIQUE(FILTER($B$2:$B$1826,$A$2:$A$1826=A1451))"),4.0)</f>
        <v>4</v>
      </c>
    </row>
    <row r="1452">
      <c r="A1452" s="13" t="s">
        <v>1734</v>
      </c>
      <c r="B1452" s="13" t="s">
        <v>295</v>
      </c>
      <c r="C1452" s="14">
        <v>55.0</v>
      </c>
      <c r="D1452" s="13" t="s">
        <v>69</v>
      </c>
      <c r="E1452" s="13" t="s">
        <v>187</v>
      </c>
      <c r="F1452" s="13" t="s">
        <v>79</v>
      </c>
      <c r="G1452" s="13" t="s">
        <v>210</v>
      </c>
      <c r="H1452" s="16">
        <v>45066.0</v>
      </c>
      <c r="I1452" s="14">
        <v>26.0</v>
      </c>
      <c r="J1452" s="13" t="s">
        <v>64</v>
      </c>
      <c r="K1452" s="13" t="s">
        <v>81</v>
      </c>
      <c r="L1452" s="14">
        <v>2269.0</v>
      </c>
      <c r="M1452" s="18" t="s">
        <v>164</v>
      </c>
      <c r="N1452" s="18" t="s">
        <v>98</v>
      </c>
      <c r="O1452" s="18">
        <v>35.9</v>
      </c>
      <c r="P1452" s="18" t="s">
        <v>185</v>
      </c>
      <c r="Q1452" s="16">
        <v>45083.0</v>
      </c>
      <c r="R1452" s="16" t="s">
        <v>1976</v>
      </c>
      <c r="S1452" s="13" t="s">
        <v>45</v>
      </c>
      <c r="T1452" s="13" t="s">
        <v>66</v>
      </c>
      <c r="U1452" s="13">
        <f t="shared" si="1"/>
        <v>2</v>
      </c>
      <c r="V1452" s="13" t="str">
        <f t="shared" si="2"/>
        <v>C01547|Arun Reddy|55|South|Chennai|Premium|Referral|5/20/2023|26|Annual|Debit Card|2,269|3|1|35.90|3.2|6/6/2023|20/12/2024|Churned|Automation</v>
      </c>
      <c r="W1452" s="13">
        <f t="shared" si="3"/>
        <v>1</v>
      </c>
      <c r="X1452" s="13">
        <f>IFERROR(__xludf.DUMMYFUNCTION("COUNTUNIQUE(FILTER($B$2:$B$1826,$A$2:$A$1826=A1452))"),2.0)</f>
        <v>2</v>
      </c>
    </row>
    <row r="1453">
      <c r="A1453" s="13" t="s">
        <v>1665</v>
      </c>
      <c r="B1453" s="13" t="s">
        <v>34</v>
      </c>
      <c r="C1453" s="14">
        <v>39.0</v>
      </c>
      <c r="D1453" s="13" t="s">
        <v>69</v>
      </c>
      <c r="E1453" s="13" t="s">
        <v>70</v>
      </c>
      <c r="F1453" s="13" t="s">
        <v>62</v>
      </c>
      <c r="G1453" s="13" t="s">
        <v>128</v>
      </c>
      <c r="H1453" s="16">
        <v>45113.0</v>
      </c>
      <c r="I1453" s="14">
        <v>18.0</v>
      </c>
      <c r="J1453" s="13" t="s">
        <v>64</v>
      </c>
      <c r="K1453" s="13" t="s">
        <v>81</v>
      </c>
      <c r="L1453" s="14">
        <v>795.0</v>
      </c>
      <c r="M1453" s="18" t="s">
        <v>164</v>
      </c>
      <c r="N1453" s="18" t="s">
        <v>98</v>
      </c>
      <c r="O1453" s="18">
        <v>22.2</v>
      </c>
      <c r="P1453" s="18" t="s">
        <v>150</v>
      </c>
      <c r="Q1453" s="16">
        <v>45464.0</v>
      </c>
      <c r="R1453" s="16" t="s">
        <v>38</v>
      </c>
      <c r="S1453" s="13" t="s">
        <v>230</v>
      </c>
      <c r="T1453" s="13" t="s">
        <v>66</v>
      </c>
      <c r="U1453" s="13">
        <f t="shared" si="1"/>
        <v>2</v>
      </c>
      <c r="V1453" s="13" t="str">
        <f t="shared" si="2"/>
        <v>C01322|Meera Das|39|South|Bengaluru|Basic|Youtube|7/6/2023|18|Annual|Debit Card|795|3|1|22.20|4.5|6/21/2024||Yes|Automation</v>
      </c>
      <c r="W1453" s="13">
        <f t="shared" si="3"/>
        <v>1</v>
      </c>
      <c r="X1453" s="13">
        <f>IFERROR(__xludf.DUMMYFUNCTION("COUNTUNIQUE(FILTER($B$2:$B$1826,$A$2:$A$1826=A1453))"),2.0)</f>
        <v>2</v>
      </c>
    </row>
    <row r="1454">
      <c r="A1454" s="13" t="s">
        <v>1977</v>
      </c>
      <c r="B1454" s="13" t="s">
        <v>78</v>
      </c>
      <c r="C1454" s="14">
        <v>23.0</v>
      </c>
      <c r="D1454" s="13" t="s">
        <v>35</v>
      </c>
      <c r="E1454" s="13" t="s">
        <v>36</v>
      </c>
      <c r="F1454" s="13" t="s">
        <v>62</v>
      </c>
      <c r="G1454" s="13" t="s">
        <v>120</v>
      </c>
      <c r="H1454" s="16">
        <v>45384.0</v>
      </c>
      <c r="I1454" s="14">
        <v>13.0</v>
      </c>
      <c r="J1454" s="13" t="s">
        <v>40</v>
      </c>
      <c r="K1454" s="13" t="s">
        <v>65</v>
      </c>
      <c r="L1454" s="14">
        <v>734.0</v>
      </c>
      <c r="M1454" s="18" t="s">
        <v>98</v>
      </c>
      <c r="N1454" s="18" t="s">
        <v>164</v>
      </c>
      <c r="O1454" s="18">
        <v>21.1</v>
      </c>
      <c r="P1454" s="18" t="s">
        <v>164</v>
      </c>
      <c r="Q1454" s="16">
        <v>45584.0</v>
      </c>
      <c r="R1454" s="16" t="s">
        <v>38</v>
      </c>
      <c r="S1454" s="13" t="s">
        <v>55</v>
      </c>
      <c r="T1454" s="13" t="s">
        <v>47</v>
      </c>
      <c r="U1454" s="13">
        <f t="shared" si="1"/>
        <v>1</v>
      </c>
      <c r="V1454" s="13" t="str">
        <f t="shared" si="2"/>
        <v>C00275|Vikram Patel|23|North|Delhi|Basic|Email|4/2/2024|13|Monthly|Credit Card|734|1|3|21.10|3|10/19/2024||Active|Cloud Storage</v>
      </c>
      <c r="W1454" s="13">
        <f t="shared" si="3"/>
        <v>1</v>
      </c>
      <c r="X1454" s="13">
        <f>IFERROR(__xludf.DUMMYFUNCTION("COUNTUNIQUE(FILTER($B$2:$B$1826,$A$2:$A$1826=A1454))"),1.0)</f>
        <v>1</v>
      </c>
    </row>
    <row r="1455">
      <c r="A1455" s="13" t="s">
        <v>191</v>
      </c>
      <c r="B1455" s="13" t="s">
        <v>235</v>
      </c>
      <c r="C1455" s="14">
        <v>63.0</v>
      </c>
      <c r="D1455" s="13" t="s">
        <v>60</v>
      </c>
      <c r="E1455" s="13" t="s">
        <v>61</v>
      </c>
      <c r="F1455" s="13" t="s">
        <v>37</v>
      </c>
      <c r="G1455" s="13" t="s">
        <v>120</v>
      </c>
      <c r="H1455" s="16">
        <v>45262.0</v>
      </c>
      <c r="I1455" s="14">
        <v>40.0</v>
      </c>
      <c r="J1455" s="13" t="s">
        <v>40</v>
      </c>
      <c r="K1455" s="13" t="s">
        <v>41</v>
      </c>
      <c r="L1455" s="14">
        <v>1599.0</v>
      </c>
      <c r="M1455" s="18" t="s">
        <v>98</v>
      </c>
      <c r="N1455" s="18" t="s">
        <v>164</v>
      </c>
      <c r="O1455" s="18">
        <v>25.5</v>
      </c>
      <c r="P1455" s="18" t="s">
        <v>263</v>
      </c>
      <c r="Q1455" s="16">
        <v>45642.0</v>
      </c>
      <c r="R1455" s="16" t="s">
        <v>1978</v>
      </c>
      <c r="S1455" s="13" t="s">
        <v>45</v>
      </c>
      <c r="T1455" s="13" t="s">
        <v>75</v>
      </c>
      <c r="U1455" s="13">
        <f t="shared" si="1"/>
        <v>3</v>
      </c>
      <c r="V1455" s="13" t="str">
        <f t="shared" si="2"/>
        <v>C01220|Sneha Sharma|63|East|Kolkata|Standard|Email|12/2/2023|40|Monthly|Upi|1,599|1|3|25.50|2.9|12/16/2024|21/03/2026|Churned|Security</v>
      </c>
      <c r="W1455" s="13">
        <f t="shared" si="3"/>
        <v>1</v>
      </c>
      <c r="X1455" s="13">
        <f>IFERROR(__xludf.DUMMYFUNCTION("COUNTUNIQUE(FILTER($B$2:$B$1826,$A$2:$A$1826=A1455))"),3.0)</f>
        <v>3</v>
      </c>
    </row>
    <row r="1456">
      <c r="A1456" s="13" t="s">
        <v>668</v>
      </c>
      <c r="B1456" s="13" t="s">
        <v>222</v>
      </c>
      <c r="C1456" s="14">
        <v>43.0</v>
      </c>
      <c r="D1456" s="13" t="s">
        <v>69</v>
      </c>
      <c r="E1456" s="13" t="s">
        <v>119</v>
      </c>
      <c r="F1456" s="13" t="s">
        <v>62</v>
      </c>
      <c r="G1456" s="13" t="s">
        <v>120</v>
      </c>
      <c r="H1456" s="16">
        <v>45123.0</v>
      </c>
      <c r="I1456" s="14">
        <v>31.0</v>
      </c>
      <c r="J1456" s="13" t="s">
        <v>40</v>
      </c>
      <c r="K1456" s="13" t="s">
        <v>41</v>
      </c>
      <c r="L1456" s="14">
        <v>840.0</v>
      </c>
      <c r="M1456" s="18" t="s">
        <v>43</v>
      </c>
      <c r="N1456" s="18" t="s">
        <v>46</v>
      </c>
      <c r="O1456" s="18">
        <v>27.3</v>
      </c>
      <c r="P1456" s="18" t="s">
        <v>48</v>
      </c>
      <c r="Q1456" s="16">
        <v>46072.0</v>
      </c>
      <c r="R1456" s="16" t="s">
        <v>38</v>
      </c>
      <c r="S1456" s="13" t="s">
        <v>55</v>
      </c>
      <c r="T1456" s="13" t="s">
        <v>104</v>
      </c>
      <c r="U1456" s="13">
        <f t="shared" si="1"/>
        <v>4</v>
      </c>
      <c r="V1456" s="13" t="str">
        <f t="shared" si="2"/>
        <v>C00763|Karan Iyer|43|South|Kochi|Basic|Email|7/16/2023|31|Monthly|Upi|840|2|0|27.30|3.6|2/19/2026||Active|Analytics</v>
      </c>
      <c r="W1456" s="13">
        <f t="shared" si="3"/>
        <v>1</v>
      </c>
      <c r="X1456" s="13">
        <f>IFERROR(__xludf.DUMMYFUNCTION("COUNTUNIQUE(FILTER($B$2:$B$1826,$A$2:$A$1826=A1456))"),4.0)</f>
        <v>4</v>
      </c>
    </row>
    <row r="1457">
      <c r="A1457" s="13" t="s">
        <v>245</v>
      </c>
      <c r="B1457" s="13" t="s">
        <v>184</v>
      </c>
      <c r="C1457" s="14">
        <v>27.0</v>
      </c>
      <c r="D1457" s="13" t="s">
        <v>85</v>
      </c>
      <c r="E1457" s="13" t="s">
        <v>292</v>
      </c>
      <c r="F1457" s="13" t="s">
        <v>62</v>
      </c>
      <c r="G1457" s="13" t="s">
        <v>128</v>
      </c>
      <c r="H1457" s="16">
        <v>45030.0</v>
      </c>
      <c r="I1457" s="14">
        <v>2.0</v>
      </c>
      <c r="J1457" s="13" t="s">
        <v>53</v>
      </c>
      <c r="K1457" s="13" t="s">
        <v>41</v>
      </c>
      <c r="L1457" s="14">
        <v>802.0</v>
      </c>
      <c r="M1457" s="18" t="s">
        <v>43</v>
      </c>
      <c r="N1457" s="18" t="s">
        <v>98</v>
      </c>
      <c r="O1457" s="18">
        <v>20.1</v>
      </c>
      <c r="P1457" s="18" t="s">
        <v>158</v>
      </c>
      <c r="Q1457" s="16">
        <v>45108.0</v>
      </c>
      <c r="R1457" s="16" t="s">
        <v>38</v>
      </c>
      <c r="S1457" s="13" t="s">
        <v>55</v>
      </c>
      <c r="T1457" s="13" t="s">
        <v>47</v>
      </c>
      <c r="U1457" s="13">
        <f t="shared" si="1"/>
        <v>4</v>
      </c>
      <c r="V1457" s="13" t="str">
        <f t="shared" si="2"/>
        <v>C01272|Vikram Reddy|27|West|Mumbai|Basic|Youtube|4/14/2023|2|Quarterly|Upi|802|2|1|20.10|4.7|7/1/2023||Active|Cloud Storage</v>
      </c>
      <c r="W1457" s="13">
        <f t="shared" si="3"/>
        <v>1</v>
      </c>
      <c r="X1457" s="13">
        <f>IFERROR(__xludf.DUMMYFUNCTION("COUNTUNIQUE(FILTER($B$2:$B$1826,$A$2:$A$1826=A1457))"),4.0)</f>
        <v>4</v>
      </c>
    </row>
    <row r="1458">
      <c r="A1458" s="13" t="s">
        <v>517</v>
      </c>
      <c r="B1458" s="13" t="s">
        <v>325</v>
      </c>
      <c r="C1458" s="14">
        <v>38.0</v>
      </c>
      <c r="D1458" s="13" t="s">
        <v>35</v>
      </c>
      <c r="E1458" s="13" t="s">
        <v>36</v>
      </c>
      <c r="F1458" s="13" t="s">
        <v>62</v>
      </c>
      <c r="G1458" s="13" t="s">
        <v>39</v>
      </c>
      <c r="H1458" s="16">
        <v>45241.0</v>
      </c>
      <c r="I1458" s="14">
        <v>23.0</v>
      </c>
      <c r="J1458" s="13" t="s">
        <v>40</v>
      </c>
      <c r="K1458" s="13" t="s">
        <v>81</v>
      </c>
      <c r="L1458" s="14">
        <v>547.0</v>
      </c>
      <c r="M1458" s="18" t="s">
        <v>43</v>
      </c>
      <c r="N1458" s="18" t="s">
        <v>46</v>
      </c>
      <c r="O1458" s="18">
        <v>27.8</v>
      </c>
      <c r="P1458" s="18" t="s">
        <v>408</v>
      </c>
      <c r="Q1458" s="16">
        <v>45393.0</v>
      </c>
      <c r="R1458" s="16" t="s">
        <v>38</v>
      </c>
      <c r="S1458" s="13" t="s">
        <v>55</v>
      </c>
      <c r="T1458" s="13" t="s">
        <v>104</v>
      </c>
      <c r="U1458" s="13">
        <f t="shared" si="1"/>
        <v>3</v>
      </c>
      <c r="V1458" s="13" t="str">
        <f t="shared" si="2"/>
        <v>C00341|Priya Sharma|38|North|Delhi|Basic|Instagram|11/11/2023|23|Monthly|Debit Card|547|2|0|27.80|4.2|4/11/2024||Active|Analytics</v>
      </c>
      <c r="W1458" s="13">
        <f t="shared" si="3"/>
        <v>1</v>
      </c>
      <c r="X1458" s="13">
        <f>IFERROR(__xludf.DUMMYFUNCTION("COUNTUNIQUE(FILTER($B$2:$B$1826,$A$2:$A$1826=A1458))"),3.0)</f>
        <v>3</v>
      </c>
    </row>
    <row r="1459">
      <c r="A1459" s="13" t="s">
        <v>1979</v>
      </c>
      <c r="B1459" s="13" t="s">
        <v>106</v>
      </c>
      <c r="C1459" s="14">
        <v>24.0</v>
      </c>
      <c r="D1459" s="13" t="s">
        <v>85</v>
      </c>
      <c r="E1459" s="13" t="s">
        <v>87</v>
      </c>
      <c r="F1459" s="13" t="s">
        <v>79</v>
      </c>
      <c r="G1459" s="13" t="s">
        <v>120</v>
      </c>
      <c r="H1459" s="16">
        <v>45868.0</v>
      </c>
      <c r="I1459" s="14">
        <v>9.0</v>
      </c>
      <c r="J1459" s="13" t="s">
        <v>64</v>
      </c>
      <c r="K1459" s="13" t="s">
        <v>81</v>
      </c>
      <c r="L1459" s="14">
        <v>2765.0</v>
      </c>
      <c r="M1459" s="18" t="s">
        <v>43</v>
      </c>
      <c r="N1459" s="18" t="s">
        <v>98</v>
      </c>
      <c r="O1459" s="18">
        <v>41.3</v>
      </c>
      <c r="P1459" s="18" t="s">
        <v>400</v>
      </c>
      <c r="Q1459" s="16">
        <v>46006.0</v>
      </c>
      <c r="R1459" s="16" t="s">
        <v>38</v>
      </c>
      <c r="S1459" s="13" t="s">
        <v>55</v>
      </c>
      <c r="T1459" s="13" t="s">
        <v>47</v>
      </c>
      <c r="U1459" s="13">
        <f t="shared" si="1"/>
        <v>1</v>
      </c>
      <c r="V1459" s="13" t="str">
        <f t="shared" si="2"/>
        <v>C01060|Rahul Patel|24|West|Surat|Premium|Email|7/30/2025|9|Annual|Debit Card|2,765|2|1|41.30|4.8|12/15/2025||Active|Cloud Storage</v>
      </c>
      <c r="W1459" s="13">
        <f t="shared" si="3"/>
        <v>1</v>
      </c>
      <c r="X1459" s="13">
        <f>IFERROR(__xludf.DUMMYFUNCTION("COUNTUNIQUE(FILTER($B$2:$B$1826,$A$2:$A$1826=A1459))"),1.0)</f>
        <v>1</v>
      </c>
    </row>
    <row r="1460">
      <c r="A1460" s="13" t="s">
        <v>506</v>
      </c>
      <c r="B1460" s="13" t="s">
        <v>110</v>
      </c>
      <c r="C1460" s="14">
        <v>21.0</v>
      </c>
      <c r="D1460" s="13" t="s">
        <v>60</v>
      </c>
      <c r="E1460" s="13" t="s">
        <v>107</v>
      </c>
      <c r="F1460" s="13" t="s">
        <v>37</v>
      </c>
      <c r="G1460" s="13" t="s">
        <v>80</v>
      </c>
      <c r="H1460" s="16">
        <v>44786.0</v>
      </c>
      <c r="I1460" s="14">
        <v>38.0</v>
      </c>
      <c r="J1460" s="13" t="s">
        <v>53</v>
      </c>
      <c r="K1460" s="13" t="s">
        <v>65</v>
      </c>
      <c r="L1460" s="14">
        <v>1308.0</v>
      </c>
      <c r="M1460" s="18" t="s">
        <v>98</v>
      </c>
      <c r="N1460" s="18" t="s">
        <v>98</v>
      </c>
      <c r="O1460" s="18">
        <v>29.3</v>
      </c>
      <c r="P1460" s="18" t="s">
        <v>173</v>
      </c>
      <c r="Q1460" s="16">
        <v>45907.0</v>
      </c>
      <c r="R1460" s="16" t="s">
        <v>38</v>
      </c>
      <c r="S1460" s="13" t="s">
        <v>55</v>
      </c>
      <c r="T1460" s="13" t="s">
        <v>75</v>
      </c>
      <c r="U1460" s="13">
        <f t="shared" si="1"/>
        <v>4</v>
      </c>
      <c r="V1460" s="13" t="str">
        <f t="shared" si="2"/>
        <v>C01451|Sneha Nair|21|East|Patna|Standard|Organic Search|8/13/2022|38|Quarterly|Credit Card|1,308|1|1|29.30|5|9/7/2025||Active|Security</v>
      </c>
      <c r="W1460" s="13">
        <f t="shared" si="3"/>
        <v>1</v>
      </c>
      <c r="X1460" s="13">
        <f>IFERROR(__xludf.DUMMYFUNCTION("COUNTUNIQUE(FILTER($B$2:$B$1826,$A$2:$A$1826=A1460))"),4.0)</f>
        <v>4</v>
      </c>
    </row>
    <row r="1461">
      <c r="A1461" s="13" t="s">
        <v>1052</v>
      </c>
      <c r="B1461" s="13" t="s">
        <v>74</v>
      </c>
      <c r="C1461" s="14">
        <v>29.0</v>
      </c>
      <c r="D1461" s="13" t="s">
        <v>69</v>
      </c>
      <c r="E1461" s="13" t="s">
        <v>187</v>
      </c>
      <c r="F1461" s="13" t="s">
        <v>79</v>
      </c>
      <c r="G1461" s="13" t="s">
        <v>128</v>
      </c>
      <c r="H1461" s="16">
        <v>44910.0</v>
      </c>
      <c r="I1461" s="14">
        <v>38.0</v>
      </c>
      <c r="J1461" s="13" t="s">
        <v>53</v>
      </c>
      <c r="K1461" s="13" t="s">
        <v>65</v>
      </c>
      <c r="L1461" s="14">
        <v>2724.0</v>
      </c>
      <c r="M1461" s="18" t="s">
        <v>43</v>
      </c>
      <c r="N1461" s="18" t="s">
        <v>46</v>
      </c>
      <c r="O1461" s="18">
        <v>41.8</v>
      </c>
      <c r="P1461" s="18" t="s">
        <v>233</v>
      </c>
      <c r="Q1461" s="16">
        <v>45115.0</v>
      </c>
      <c r="R1461" s="16" t="s">
        <v>38</v>
      </c>
      <c r="S1461" s="13" t="s">
        <v>55</v>
      </c>
      <c r="T1461" s="13" t="s">
        <v>66</v>
      </c>
      <c r="U1461" s="13">
        <f t="shared" si="1"/>
        <v>2</v>
      </c>
      <c r="V1461" s="13" t="str">
        <f t="shared" si="2"/>
        <v>C01177|Anita Kumar|29|South|Chennai|Premium|Youtube|12/15/2022|38|Quarterly|Credit Card|2,724|2|0|41.80|3.5|7/8/2023||Active|Automation</v>
      </c>
      <c r="W1461" s="13">
        <f t="shared" si="3"/>
        <v>1</v>
      </c>
      <c r="X1461" s="13">
        <f>IFERROR(__xludf.DUMMYFUNCTION("COUNTUNIQUE(FILTER($B$2:$B$1826,$A$2:$A$1826=A1461))"),2.0)</f>
        <v>2</v>
      </c>
    </row>
    <row r="1462">
      <c r="A1462" s="13" t="s">
        <v>1153</v>
      </c>
      <c r="B1462" s="13" t="s">
        <v>459</v>
      </c>
      <c r="C1462" s="14">
        <v>68.0</v>
      </c>
      <c r="D1462" s="13" t="s">
        <v>60</v>
      </c>
      <c r="E1462" s="13" t="s">
        <v>133</v>
      </c>
      <c r="F1462" s="13" t="s">
        <v>62</v>
      </c>
      <c r="G1462" s="13" t="s">
        <v>80</v>
      </c>
      <c r="H1462" s="16">
        <v>45245.0</v>
      </c>
      <c r="I1462" s="14">
        <v>41.0</v>
      </c>
      <c r="J1462" s="13" t="s">
        <v>53</v>
      </c>
      <c r="K1462" s="13" t="s">
        <v>81</v>
      </c>
      <c r="L1462" s="14">
        <v>682.0</v>
      </c>
      <c r="M1462" s="18" t="s">
        <v>46</v>
      </c>
      <c r="N1462" s="18" t="s">
        <v>98</v>
      </c>
      <c r="O1462" s="18">
        <v>16.6</v>
      </c>
      <c r="P1462" s="18" t="s">
        <v>275</v>
      </c>
      <c r="Q1462" s="16">
        <v>46341.0</v>
      </c>
      <c r="R1462" s="16" t="s">
        <v>38</v>
      </c>
      <c r="S1462" s="13" t="s">
        <v>55</v>
      </c>
      <c r="T1462" s="13" t="s">
        <v>75</v>
      </c>
      <c r="U1462" s="13">
        <f t="shared" si="1"/>
        <v>2</v>
      </c>
      <c r="V1462" s="13" t="str">
        <f t="shared" si="2"/>
        <v>C01363|Neha Patel|68|East|Guwahati|Basic|Organic Search|11/15/2023|41|Quarterly|Debit Card|682|0|1|16.60|4.3|11/15/2026||Active|Security</v>
      </c>
      <c r="W1462" s="13">
        <f t="shared" si="3"/>
        <v>1</v>
      </c>
      <c r="X1462" s="13">
        <f>IFERROR(__xludf.DUMMYFUNCTION("COUNTUNIQUE(FILTER($B$2:$B$1826,$A$2:$A$1826=A1462))"),2.0)</f>
        <v>2</v>
      </c>
    </row>
    <row r="1463">
      <c r="A1463" s="13" t="s">
        <v>544</v>
      </c>
      <c r="B1463" s="13" t="s">
        <v>605</v>
      </c>
      <c r="C1463" s="14">
        <v>42.0</v>
      </c>
      <c r="D1463" s="13" t="s">
        <v>85</v>
      </c>
      <c r="E1463" s="13" t="s">
        <v>111</v>
      </c>
      <c r="F1463" s="13" t="s">
        <v>62</v>
      </c>
      <c r="G1463" s="13" t="s">
        <v>39</v>
      </c>
      <c r="H1463" s="16">
        <v>44598.0</v>
      </c>
      <c r="I1463" s="14">
        <v>48.0</v>
      </c>
      <c r="J1463" s="13" t="s">
        <v>53</v>
      </c>
      <c r="K1463" s="13" t="s">
        <v>41</v>
      </c>
      <c r="L1463" s="14">
        <v>702.0</v>
      </c>
      <c r="M1463" s="18" t="s">
        <v>46</v>
      </c>
      <c r="N1463" s="18" t="s">
        <v>46</v>
      </c>
      <c r="O1463" s="18">
        <v>33.5</v>
      </c>
      <c r="P1463" s="18" t="s">
        <v>225</v>
      </c>
      <c r="Q1463" s="16">
        <v>45956.0</v>
      </c>
      <c r="R1463" s="16" t="s">
        <v>38</v>
      </c>
      <c r="S1463" s="13" t="s">
        <v>55</v>
      </c>
      <c r="T1463" s="13" t="s">
        <v>72</v>
      </c>
      <c r="U1463" s="13">
        <f t="shared" si="1"/>
        <v>5</v>
      </c>
      <c r="V1463" s="13" t="str">
        <f t="shared" si="2"/>
        <v>C01456|Meera Patel|42|West|Pune|Basic|Instagram|2/6/2022|48|Quarterly|Upi|702|0|0|33.50|3.8|10/26/2025||Active|Collaboration</v>
      </c>
      <c r="W1463" s="13">
        <f t="shared" si="3"/>
        <v>1</v>
      </c>
      <c r="X1463" s="13">
        <f>IFERROR(__xludf.DUMMYFUNCTION("COUNTUNIQUE(FILTER($B$2:$B$1826,$A$2:$A$1826=A1463))"),5.0)</f>
        <v>5</v>
      </c>
    </row>
    <row r="1464">
      <c r="A1464" s="13" t="s">
        <v>1980</v>
      </c>
      <c r="B1464" s="13" t="s">
        <v>145</v>
      </c>
      <c r="C1464" s="14">
        <v>41.0</v>
      </c>
      <c r="D1464" s="13" t="s">
        <v>60</v>
      </c>
      <c r="E1464" s="13" t="s">
        <v>61</v>
      </c>
      <c r="F1464" s="13" t="s">
        <v>37</v>
      </c>
      <c r="G1464" s="13" t="s">
        <v>120</v>
      </c>
      <c r="H1464" s="16">
        <v>44907.0</v>
      </c>
      <c r="I1464" s="14">
        <v>36.0</v>
      </c>
      <c r="J1464" s="13" t="s">
        <v>64</v>
      </c>
      <c r="K1464" s="13" t="s">
        <v>81</v>
      </c>
      <c r="L1464" s="14">
        <v>1357.0</v>
      </c>
      <c r="M1464" s="18" t="s">
        <v>98</v>
      </c>
      <c r="N1464" s="18" t="s">
        <v>46</v>
      </c>
      <c r="O1464" s="18">
        <v>24.5</v>
      </c>
      <c r="P1464" s="18" t="s">
        <v>296</v>
      </c>
      <c r="Q1464" s="16">
        <v>45134.0</v>
      </c>
      <c r="R1464" s="16" t="s">
        <v>38</v>
      </c>
      <c r="S1464" s="13" t="s">
        <v>55</v>
      </c>
      <c r="T1464" s="13" t="s">
        <v>75</v>
      </c>
      <c r="U1464" s="13">
        <f t="shared" si="1"/>
        <v>1</v>
      </c>
      <c r="V1464" s="13" t="str">
        <f t="shared" si="2"/>
        <v>C01510|Ravi Patel|41|East|Kolkata|Standard|Email|12/12/2022|36|Annual|Debit Card|1,357|1|0|24.50|4.6|7/27/2023||Active|Security</v>
      </c>
      <c r="W1464" s="13">
        <f t="shared" si="3"/>
        <v>1</v>
      </c>
      <c r="X1464" s="13">
        <f>IFERROR(__xludf.DUMMYFUNCTION("COUNTUNIQUE(FILTER($B$2:$B$1826,$A$2:$A$1826=A1464))"),1.0)</f>
        <v>1</v>
      </c>
    </row>
    <row r="1465">
      <c r="A1465" s="13" t="s">
        <v>1981</v>
      </c>
      <c r="B1465" s="13" t="s">
        <v>160</v>
      </c>
      <c r="C1465" s="14">
        <v>36.0</v>
      </c>
      <c r="D1465" s="13" t="s">
        <v>60</v>
      </c>
      <c r="E1465" s="13" t="s">
        <v>133</v>
      </c>
      <c r="F1465" s="13" t="s">
        <v>62</v>
      </c>
      <c r="G1465" s="13" t="s">
        <v>120</v>
      </c>
      <c r="H1465" s="16">
        <v>44948.0</v>
      </c>
      <c r="I1465" s="14">
        <v>38.0</v>
      </c>
      <c r="J1465" s="13" t="s">
        <v>40</v>
      </c>
      <c r="K1465" s="13" t="s">
        <v>65</v>
      </c>
      <c r="L1465" s="14">
        <v>591.0</v>
      </c>
      <c r="M1465" s="18" t="s">
        <v>43</v>
      </c>
      <c r="N1465" s="18" t="s">
        <v>43</v>
      </c>
      <c r="O1465" s="18">
        <v>14.7</v>
      </c>
      <c r="P1465" s="18" t="s">
        <v>116</v>
      </c>
      <c r="Q1465" s="16">
        <v>45143.0</v>
      </c>
      <c r="R1465" s="16">
        <v>45353.0</v>
      </c>
      <c r="S1465" s="13" t="s">
        <v>45</v>
      </c>
      <c r="T1465" s="13" t="s">
        <v>66</v>
      </c>
      <c r="U1465" s="13">
        <f t="shared" si="1"/>
        <v>1</v>
      </c>
      <c r="V1465" s="13" t="str">
        <f t="shared" si="2"/>
        <v>C00345|Rahul Singh|36|East|Guwahati|Basic|Email|1/22/2023|38|Monthly|Credit Card|591|2|2|14.70|3.4|8/5/2023|3/2/2024|Churned|Automation</v>
      </c>
      <c r="W1465" s="13">
        <f t="shared" si="3"/>
        <v>1</v>
      </c>
      <c r="X1465" s="13">
        <f>IFERROR(__xludf.DUMMYFUNCTION("COUNTUNIQUE(FILTER($B$2:$B$1826,$A$2:$A$1826=A1465))"),1.0)</f>
        <v>1</v>
      </c>
    </row>
    <row r="1466">
      <c r="A1466" s="13" t="s">
        <v>347</v>
      </c>
      <c r="B1466" s="13" t="s">
        <v>50</v>
      </c>
      <c r="C1466" s="14">
        <v>44.0</v>
      </c>
      <c r="D1466" s="13" t="s">
        <v>69</v>
      </c>
      <c r="E1466" s="13" t="s">
        <v>70</v>
      </c>
      <c r="F1466" s="13" t="s">
        <v>37</v>
      </c>
      <c r="G1466" s="13" t="s">
        <v>80</v>
      </c>
      <c r="H1466" s="16">
        <v>46000.0</v>
      </c>
      <c r="I1466" s="14">
        <v>42.0</v>
      </c>
      <c r="J1466" s="13" t="s">
        <v>40</v>
      </c>
      <c r="K1466" s="13" t="s">
        <v>65</v>
      </c>
      <c r="L1466" s="14">
        <v>1709.0</v>
      </c>
      <c r="M1466" s="18" t="s">
        <v>43</v>
      </c>
      <c r="N1466" s="18" t="s">
        <v>46</v>
      </c>
      <c r="O1466" s="18">
        <v>22.1</v>
      </c>
      <c r="P1466" s="18" t="s">
        <v>1558</v>
      </c>
      <c r="Q1466" s="16">
        <v>46091.0</v>
      </c>
      <c r="R1466" s="16" t="s">
        <v>38</v>
      </c>
      <c r="S1466" s="13" t="s">
        <v>55</v>
      </c>
      <c r="T1466" s="13" t="s">
        <v>72</v>
      </c>
      <c r="U1466" s="13">
        <f t="shared" si="1"/>
        <v>5</v>
      </c>
      <c r="V1466" s="13" t="str">
        <f t="shared" si="2"/>
        <v>C01175|Rahul Das|44|South|Bengaluru|Standard|Organic Search|12/9/2025|42|Monthly|Credit Card|1,709|2|0|22.10|1.5|3/10/2026||Active|Collaboration</v>
      </c>
      <c r="W1466" s="13">
        <f t="shared" si="3"/>
        <v>1</v>
      </c>
      <c r="X1466" s="13">
        <f>IFERROR(__xludf.DUMMYFUNCTION("COUNTUNIQUE(FILTER($B$2:$B$1826,$A$2:$A$1826=A1466))"),4.0)</f>
        <v>4</v>
      </c>
    </row>
    <row r="1467">
      <c r="A1467" s="13" t="s">
        <v>1983</v>
      </c>
      <c r="B1467" s="13" t="s">
        <v>651</v>
      </c>
      <c r="C1467" s="14">
        <v>55.0</v>
      </c>
      <c r="D1467" s="13" t="s">
        <v>60</v>
      </c>
      <c r="E1467" s="13" t="s">
        <v>133</v>
      </c>
      <c r="F1467" s="13" t="s">
        <v>62</v>
      </c>
      <c r="G1467" s="13" t="s">
        <v>63</v>
      </c>
      <c r="H1467" s="16">
        <v>45539.0</v>
      </c>
      <c r="I1467" s="14">
        <v>19.0</v>
      </c>
      <c r="J1467" s="13" t="s">
        <v>40</v>
      </c>
      <c r="K1467" s="13" t="s">
        <v>41</v>
      </c>
      <c r="L1467" s="14">
        <v>508.0</v>
      </c>
      <c r="M1467" s="18" t="s">
        <v>43</v>
      </c>
      <c r="N1467" s="18" t="s">
        <v>46</v>
      </c>
      <c r="O1467" s="18">
        <v>8.9</v>
      </c>
      <c r="P1467" s="18" t="s">
        <v>408</v>
      </c>
      <c r="Q1467" s="16">
        <v>45625.0</v>
      </c>
      <c r="R1467" s="16" t="s">
        <v>38</v>
      </c>
      <c r="S1467" s="13" t="s">
        <v>55</v>
      </c>
      <c r="T1467" s="13" t="s">
        <v>72</v>
      </c>
      <c r="U1467" s="13">
        <f t="shared" si="1"/>
        <v>3</v>
      </c>
      <c r="V1467" s="13" t="str">
        <f t="shared" si="2"/>
        <v>C00108|Arun Sharma|55|East|Guwahati|Basic|Google Ads|9/4/2024|19|Monthly|Upi|508|2|0|8.90|4.2|11/29/2024||Active|Collaboration</v>
      </c>
      <c r="W1467" s="13">
        <f t="shared" si="3"/>
        <v>1</v>
      </c>
      <c r="X1467" s="13">
        <f>IFERROR(__xludf.DUMMYFUNCTION("COUNTUNIQUE(FILTER($B$2:$B$1826,$A$2:$A$1826=A1467))"),3.0)</f>
        <v>3</v>
      </c>
    </row>
    <row r="1468">
      <c r="A1468" s="13" t="s">
        <v>409</v>
      </c>
      <c r="B1468" s="13" t="s">
        <v>202</v>
      </c>
      <c r="C1468" s="14">
        <v>20.0</v>
      </c>
      <c r="D1468" s="13" t="s">
        <v>69</v>
      </c>
      <c r="E1468" s="13" t="s">
        <v>187</v>
      </c>
      <c r="F1468" s="13" t="s">
        <v>62</v>
      </c>
      <c r="G1468" s="13" t="s">
        <v>210</v>
      </c>
      <c r="H1468" s="16">
        <v>45511.0</v>
      </c>
      <c r="I1468" s="14">
        <v>6.0</v>
      </c>
      <c r="J1468" s="13" t="s">
        <v>64</v>
      </c>
      <c r="K1468" s="13" t="s">
        <v>41</v>
      </c>
      <c r="L1468" s="14">
        <v>802.0</v>
      </c>
      <c r="M1468" s="18" t="s">
        <v>43</v>
      </c>
      <c r="N1468" s="18" t="s">
        <v>46</v>
      </c>
      <c r="O1468" s="18">
        <v>37.7</v>
      </c>
      <c r="P1468" s="18" t="s">
        <v>48</v>
      </c>
      <c r="Q1468" s="16">
        <v>45522.0</v>
      </c>
      <c r="R1468" s="16" t="s">
        <v>38</v>
      </c>
      <c r="S1468" s="13" t="s">
        <v>55</v>
      </c>
      <c r="T1468" s="13" t="s">
        <v>75</v>
      </c>
      <c r="U1468" s="13">
        <f t="shared" si="1"/>
        <v>2</v>
      </c>
      <c r="V1468" s="13" t="str">
        <f t="shared" si="2"/>
        <v>C01563|Arun Das|20|South|Chennai|Basic|Referral|8/7/2024|6|Annual|Upi|802|2|0|37.70|3.6|8/18/2024||Active|Security</v>
      </c>
      <c r="W1468" s="13">
        <f t="shared" si="3"/>
        <v>1</v>
      </c>
      <c r="X1468" s="13">
        <f>IFERROR(__xludf.DUMMYFUNCTION("COUNTUNIQUE(FILTER($B$2:$B$1826,$A$2:$A$1826=A1468))"),2.0)</f>
        <v>2</v>
      </c>
    </row>
    <row r="1469">
      <c r="A1469" s="13" t="s">
        <v>741</v>
      </c>
      <c r="B1469" s="13" t="s">
        <v>222</v>
      </c>
      <c r="C1469" s="14">
        <v>32.0</v>
      </c>
      <c r="D1469" s="13" t="s">
        <v>35</v>
      </c>
      <c r="E1469" s="13" t="s">
        <v>161</v>
      </c>
      <c r="F1469" s="13" t="s">
        <v>62</v>
      </c>
      <c r="G1469" s="13" t="s">
        <v>120</v>
      </c>
      <c r="H1469" s="16">
        <v>44789.0</v>
      </c>
      <c r="I1469" s="14">
        <v>44.0</v>
      </c>
      <c r="J1469" s="13" t="s">
        <v>64</v>
      </c>
      <c r="K1469" s="13" t="s">
        <v>81</v>
      </c>
      <c r="L1469" s="14">
        <v>527.0</v>
      </c>
      <c r="M1469" s="18" t="s">
        <v>99</v>
      </c>
      <c r="N1469" s="18" t="s">
        <v>46</v>
      </c>
      <c r="O1469" s="18">
        <v>22.4</v>
      </c>
      <c r="P1469" s="18" t="s">
        <v>89</v>
      </c>
      <c r="Q1469" s="16">
        <v>45691.0</v>
      </c>
      <c r="R1469" s="16">
        <v>45113.0</v>
      </c>
      <c r="S1469" s="13" t="s">
        <v>45</v>
      </c>
      <c r="T1469" s="13" t="s">
        <v>72</v>
      </c>
      <c r="U1469" s="13">
        <f t="shared" si="1"/>
        <v>3</v>
      </c>
      <c r="V1469" s="13" t="str">
        <f t="shared" si="2"/>
        <v>C00996|Karan Iyer|32|North|Chandigarh|Basic|Email|8/16/2022|44|Annual|Debit Card|527|4|0|22.40|3.3|2/3/2025|7/6/2023|Churned|Collaboration</v>
      </c>
      <c r="W1469" s="13">
        <f t="shared" si="3"/>
        <v>1</v>
      </c>
      <c r="X1469" s="13">
        <f>IFERROR(__xludf.DUMMYFUNCTION("COUNTUNIQUE(FILTER($B$2:$B$1826,$A$2:$A$1826=A1469))"),3.0)</f>
        <v>3</v>
      </c>
    </row>
    <row r="1470">
      <c r="A1470" s="13" t="s">
        <v>797</v>
      </c>
      <c r="B1470" s="13" t="s">
        <v>215</v>
      </c>
      <c r="C1470" s="14">
        <v>32.0</v>
      </c>
      <c r="D1470" s="13" t="s">
        <v>35</v>
      </c>
      <c r="E1470" s="13" t="s">
        <v>161</v>
      </c>
      <c r="F1470" s="13" t="s">
        <v>62</v>
      </c>
      <c r="G1470" s="13" t="s">
        <v>39</v>
      </c>
      <c r="H1470" s="16">
        <v>44971.0</v>
      </c>
      <c r="I1470" s="14">
        <v>18.0</v>
      </c>
      <c r="J1470" s="13" t="s">
        <v>40</v>
      </c>
      <c r="K1470" s="13" t="s">
        <v>65</v>
      </c>
      <c r="L1470" s="14">
        <v>726.0</v>
      </c>
      <c r="M1470" s="18" t="s">
        <v>43</v>
      </c>
      <c r="N1470" s="18" t="s">
        <v>46</v>
      </c>
      <c r="O1470" s="18">
        <v>15.1</v>
      </c>
      <c r="P1470" s="18" t="s">
        <v>173</v>
      </c>
      <c r="Q1470" s="16">
        <v>45131.0</v>
      </c>
      <c r="R1470" s="16" t="s">
        <v>38</v>
      </c>
      <c r="S1470" s="13" t="s">
        <v>55</v>
      </c>
      <c r="T1470" s="13" t="s">
        <v>104</v>
      </c>
      <c r="U1470" s="13">
        <f t="shared" si="1"/>
        <v>5</v>
      </c>
      <c r="V1470" s="13" t="str">
        <f t="shared" si="2"/>
        <v>C00022|Neha Sharma|32|North|Chandigarh|Basic|Instagram|2/14/2023|18|Monthly|Credit Card|726|2|0|15.10|5|7/24/2023||Active|Analytics</v>
      </c>
      <c r="W1470" s="13">
        <f t="shared" si="3"/>
        <v>1</v>
      </c>
      <c r="X1470" s="13">
        <f>IFERROR(__xludf.DUMMYFUNCTION("COUNTUNIQUE(FILTER($B$2:$B$1826,$A$2:$A$1826=A1470))"),5.0)</f>
        <v>5</v>
      </c>
    </row>
    <row r="1471">
      <c r="A1471" s="13" t="s">
        <v>706</v>
      </c>
      <c r="B1471" s="13" t="s">
        <v>398</v>
      </c>
      <c r="C1471" s="14">
        <v>66.0</v>
      </c>
      <c r="D1471" s="13" t="s">
        <v>60</v>
      </c>
      <c r="E1471" s="13" t="s">
        <v>107</v>
      </c>
      <c r="F1471" s="13" t="s">
        <v>37</v>
      </c>
      <c r="G1471" s="13" t="s">
        <v>120</v>
      </c>
      <c r="H1471" s="16">
        <v>45175.0</v>
      </c>
      <c r="I1471" s="14">
        <v>9.0</v>
      </c>
      <c r="J1471" s="13" t="s">
        <v>40</v>
      </c>
      <c r="K1471" s="13" t="s">
        <v>65</v>
      </c>
      <c r="L1471" s="14">
        <v>1100.0</v>
      </c>
      <c r="M1471" s="18" t="s">
        <v>43</v>
      </c>
      <c r="N1471" s="18" t="s">
        <v>46</v>
      </c>
      <c r="O1471" s="18">
        <v>28.4</v>
      </c>
      <c r="P1471" s="18" t="s">
        <v>233</v>
      </c>
      <c r="Q1471" s="16">
        <v>45363.0</v>
      </c>
      <c r="R1471" s="16" t="s">
        <v>71</v>
      </c>
      <c r="S1471" s="13" t="s">
        <v>45</v>
      </c>
      <c r="T1471" s="13" t="s">
        <v>47</v>
      </c>
      <c r="U1471" s="13">
        <f t="shared" si="1"/>
        <v>3</v>
      </c>
      <c r="V1471" s="13" t="str">
        <f t="shared" si="2"/>
        <v>C00026|Vikram Sharma|66|East|Patna|Standard|Email|9/6/2023|9|Monthly|Credit Card|1,100|2|0|28.40|3.5|3/12/2024|24/02/2024|Churned|Cloud Storage</v>
      </c>
      <c r="W1471" s="13">
        <f t="shared" si="3"/>
        <v>1</v>
      </c>
      <c r="X1471" s="13">
        <f>IFERROR(__xludf.DUMMYFUNCTION("COUNTUNIQUE(FILTER($B$2:$B$1826,$A$2:$A$1826=A1471))"),3.0)</f>
        <v>3</v>
      </c>
    </row>
    <row r="1472">
      <c r="A1472" s="13" t="s">
        <v>1985</v>
      </c>
      <c r="B1472" s="13" t="s">
        <v>232</v>
      </c>
      <c r="C1472" s="14">
        <v>30.0</v>
      </c>
      <c r="D1472" s="13" t="s">
        <v>85</v>
      </c>
      <c r="E1472" s="13" t="s">
        <v>87</v>
      </c>
      <c r="F1472" s="13" t="s">
        <v>37</v>
      </c>
      <c r="G1472" s="13" t="s">
        <v>120</v>
      </c>
      <c r="H1472" s="16">
        <v>45422.0</v>
      </c>
      <c r="I1472" s="14">
        <v>3.0</v>
      </c>
      <c r="J1472" s="13" t="s">
        <v>64</v>
      </c>
      <c r="K1472" s="13" t="s">
        <v>41</v>
      </c>
      <c r="L1472" s="14">
        <v>1212.0</v>
      </c>
      <c r="M1472" s="18" t="s">
        <v>164</v>
      </c>
      <c r="N1472" s="18" t="s">
        <v>98</v>
      </c>
      <c r="O1472" s="18">
        <v>24.8</v>
      </c>
      <c r="P1472" s="18" t="s">
        <v>225</v>
      </c>
      <c r="Q1472" s="16">
        <v>45464.0</v>
      </c>
      <c r="R1472" s="16" t="s">
        <v>38</v>
      </c>
      <c r="S1472" s="13" t="s">
        <v>55</v>
      </c>
      <c r="T1472" s="13" t="s">
        <v>72</v>
      </c>
      <c r="U1472" s="13">
        <f t="shared" si="1"/>
        <v>1</v>
      </c>
      <c r="V1472" s="13" t="str">
        <f t="shared" si="2"/>
        <v>C00951|Meera Iyer|30|West|Surat|Standard|Email|5/10/2024|3|Annual|Upi|1,212|3|1|24.80|3.8|6/21/2024||Active|Collaboration</v>
      </c>
      <c r="W1472" s="13">
        <f t="shared" si="3"/>
        <v>1</v>
      </c>
      <c r="X1472" s="13">
        <f>IFERROR(__xludf.DUMMYFUNCTION("COUNTUNIQUE(FILTER($B$2:$B$1826,$A$2:$A$1826=A1472))"),1.0)</f>
        <v>1</v>
      </c>
    </row>
    <row r="1473">
      <c r="A1473" s="13" t="s">
        <v>1986</v>
      </c>
      <c r="B1473" s="13" t="s">
        <v>163</v>
      </c>
      <c r="C1473" s="14">
        <v>30.0</v>
      </c>
      <c r="D1473" s="13" t="s">
        <v>35</v>
      </c>
      <c r="E1473" s="13" t="s">
        <v>140</v>
      </c>
      <c r="F1473" s="13" t="s">
        <v>62</v>
      </c>
      <c r="G1473" s="13" t="s">
        <v>210</v>
      </c>
      <c r="H1473" s="16">
        <v>44766.0</v>
      </c>
      <c r="I1473" s="14">
        <v>33.0</v>
      </c>
      <c r="J1473" s="13" t="s">
        <v>53</v>
      </c>
      <c r="K1473" s="13" t="s">
        <v>81</v>
      </c>
      <c r="L1473" s="14">
        <v>509.0</v>
      </c>
      <c r="M1473" s="18" t="s">
        <v>164</v>
      </c>
      <c r="N1473" s="18" t="s">
        <v>98</v>
      </c>
      <c r="O1473" s="18">
        <v>15.7</v>
      </c>
      <c r="P1473" s="18" t="s">
        <v>296</v>
      </c>
      <c r="Q1473" s="16">
        <v>45642.0</v>
      </c>
      <c r="R1473" s="16" t="s">
        <v>38</v>
      </c>
      <c r="S1473" s="13" t="s">
        <v>55</v>
      </c>
      <c r="T1473" s="13" t="s">
        <v>47</v>
      </c>
      <c r="U1473" s="13">
        <f t="shared" si="1"/>
        <v>1</v>
      </c>
      <c r="V1473" s="13" t="str">
        <f t="shared" si="2"/>
        <v>C00878|Sneha Singh|30|North|Lucknow|Basic|Referral|7/24/2022|33|Quarterly|Debit Card|509|3|1|15.70|4.6|12/16/2024||Active|Cloud Storage</v>
      </c>
      <c r="W1473" s="13">
        <f t="shared" si="3"/>
        <v>1</v>
      </c>
      <c r="X1473" s="13">
        <f>IFERROR(__xludf.DUMMYFUNCTION("COUNTUNIQUE(FILTER($B$2:$B$1826,$A$2:$A$1826=A1473))"),1.0)</f>
        <v>1</v>
      </c>
    </row>
    <row r="1474">
      <c r="A1474" s="13" t="s">
        <v>1987</v>
      </c>
      <c r="B1474" s="13" t="s">
        <v>184</v>
      </c>
      <c r="C1474" s="14">
        <v>46.0</v>
      </c>
      <c r="D1474" s="13" t="s">
        <v>69</v>
      </c>
      <c r="E1474" s="13" t="s">
        <v>177</v>
      </c>
      <c r="F1474" s="13" t="s">
        <v>37</v>
      </c>
      <c r="G1474" s="13" t="s">
        <v>120</v>
      </c>
      <c r="H1474" s="16">
        <v>45192.0</v>
      </c>
      <c r="I1474" s="14">
        <v>18.0</v>
      </c>
      <c r="J1474" s="13" t="s">
        <v>53</v>
      </c>
      <c r="K1474" s="13" t="s">
        <v>41</v>
      </c>
      <c r="L1474" s="14">
        <v>1786.0</v>
      </c>
      <c r="M1474" s="18" t="s">
        <v>98</v>
      </c>
      <c r="N1474" s="18" t="s">
        <v>43</v>
      </c>
      <c r="O1474" s="18">
        <v>34.4</v>
      </c>
      <c r="P1474" s="18" t="s">
        <v>116</v>
      </c>
      <c r="Q1474" s="16">
        <v>45374.0</v>
      </c>
      <c r="R1474" s="16">
        <v>45357.0</v>
      </c>
      <c r="S1474" s="13" t="s">
        <v>45</v>
      </c>
      <c r="T1474" s="13" t="s">
        <v>66</v>
      </c>
      <c r="U1474" s="13">
        <f t="shared" si="1"/>
        <v>1</v>
      </c>
      <c r="V1474" s="13" t="str">
        <f t="shared" si="2"/>
        <v>C00085|Vikram Reddy|46|South|Hyderabad|Standard|Email|9/23/2023|18|Quarterly|Upi|1,786|1|2|34.40|3.4|3/23/2024|3/6/2024|Churned|Automation</v>
      </c>
      <c r="W1474" s="13">
        <f t="shared" si="3"/>
        <v>1</v>
      </c>
      <c r="X1474" s="13">
        <f>IFERROR(__xludf.DUMMYFUNCTION("COUNTUNIQUE(FILTER($B$2:$B$1826,$A$2:$A$1826=A1474))"),1.0)</f>
        <v>1</v>
      </c>
    </row>
    <row r="1475">
      <c r="A1475" s="13" t="s">
        <v>1989</v>
      </c>
      <c r="B1475" s="13" t="s">
        <v>50</v>
      </c>
      <c r="C1475" s="14" t="s">
        <v>38</v>
      </c>
      <c r="D1475" s="13" t="s">
        <v>60</v>
      </c>
      <c r="E1475" s="13" t="s">
        <v>133</v>
      </c>
      <c r="F1475" s="13" t="s">
        <v>37</v>
      </c>
      <c r="G1475" s="13" t="s">
        <v>63</v>
      </c>
      <c r="H1475" s="16">
        <v>44900.0</v>
      </c>
      <c r="I1475" s="14">
        <v>23.0</v>
      </c>
      <c r="J1475" s="13" t="s">
        <v>64</v>
      </c>
      <c r="K1475" s="13" t="s">
        <v>41</v>
      </c>
      <c r="L1475" s="14">
        <v>1547.0</v>
      </c>
      <c r="M1475" s="18" t="s">
        <v>43</v>
      </c>
      <c r="N1475" s="18" t="s">
        <v>43</v>
      </c>
      <c r="O1475" s="18">
        <v>32.5</v>
      </c>
      <c r="P1475" s="18" t="s">
        <v>376</v>
      </c>
      <c r="Q1475" s="16">
        <v>45140.0</v>
      </c>
      <c r="R1475" s="16" t="s">
        <v>1063</v>
      </c>
      <c r="S1475" s="13" t="s">
        <v>45</v>
      </c>
      <c r="T1475" s="13" t="s">
        <v>72</v>
      </c>
      <c r="U1475" s="13">
        <f t="shared" si="1"/>
        <v>1</v>
      </c>
      <c r="V1475" s="13" t="str">
        <f t="shared" si="2"/>
        <v>C00797|Rahul Das||East|Guwahati|Standard|Google Ads|12/5/2022|23|Annual|Upi|1,547|2|2|32.50|6|8/2/2023|26/01/2024|Churned|Collaboration</v>
      </c>
      <c r="W1475" s="13">
        <f t="shared" si="3"/>
        <v>1</v>
      </c>
      <c r="X1475" s="13">
        <f>IFERROR(__xludf.DUMMYFUNCTION("COUNTUNIQUE(FILTER($B$2:$B$1826,$A$2:$A$1826=A1475))"),1.0)</f>
        <v>1</v>
      </c>
    </row>
    <row r="1476">
      <c r="A1476" s="13" t="s">
        <v>1519</v>
      </c>
      <c r="B1476" s="13" t="s">
        <v>636</v>
      </c>
      <c r="C1476" s="14">
        <v>59.0</v>
      </c>
      <c r="D1476" s="13" t="s">
        <v>85</v>
      </c>
      <c r="E1476" s="13" t="s">
        <v>111</v>
      </c>
      <c r="F1476" s="13" t="s">
        <v>62</v>
      </c>
      <c r="G1476" s="13" t="s">
        <v>120</v>
      </c>
      <c r="H1476" s="16">
        <v>46008.0</v>
      </c>
      <c r="I1476" s="14">
        <v>18.0</v>
      </c>
      <c r="J1476" s="13" t="s">
        <v>53</v>
      </c>
      <c r="K1476" s="13" t="s">
        <v>65</v>
      </c>
      <c r="L1476" s="14">
        <v>505.0</v>
      </c>
      <c r="M1476" s="18" t="s">
        <v>164</v>
      </c>
      <c r="N1476" s="18" t="s">
        <v>46</v>
      </c>
      <c r="O1476" s="18">
        <v>36.4</v>
      </c>
      <c r="P1476" s="18" t="s">
        <v>108</v>
      </c>
      <c r="Q1476" s="16">
        <v>46365.0</v>
      </c>
      <c r="R1476" s="16" t="s">
        <v>38</v>
      </c>
      <c r="S1476" s="13" t="s">
        <v>55</v>
      </c>
      <c r="T1476" s="13" t="s">
        <v>72</v>
      </c>
      <c r="U1476" s="13">
        <f t="shared" si="1"/>
        <v>3</v>
      </c>
      <c r="V1476" s="13" t="str">
        <f t="shared" si="2"/>
        <v>C01410|Neha Reddy|59|West|Pune|Basic|Email|12/17/2025|18|Quarterly|Credit Card|505|3|0|36.40|2.4|12/9/2026||Active|Collaboration</v>
      </c>
      <c r="W1476" s="13">
        <f t="shared" si="3"/>
        <v>1</v>
      </c>
      <c r="X1476" s="13">
        <f>IFERROR(__xludf.DUMMYFUNCTION("COUNTUNIQUE(FILTER($B$2:$B$1826,$A$2:$A$1826=A1476))"),3.0)</f>
        <v>3</v>
      </c>
    </row>
    <row r="1477">
      <c r="A1477" s="13" t="s">
        <v>785</v>
      </c>
      <c r="B1477" s="13" t="s">
        <v>235</v>
      </c>
      <c r="C1477" s="14">
        <v>35.0</v>
      </c>
      <c r="D1477" s="13" t="s">
        <v>35</v>
      </c>
      <c r="E1477" s="13" t="s">
        <v>140</v>
      </c>
      <c r="F1477" s="13" t="s">
        <v>37</v>
      </c>
      <c r="G1477" s="13" t="s">
        <v>39</v>
      </c>
      <c r="H1477" s="16">
        <v>45219.0</v>
      </c>
      <c r="I1477" s="14">
        <v>38.0</v>
      </c>
      <c r="J1477" s="13" t="s">
        <v>64</v>
      </c>
      <c r="K1477" s="13" t="s">
        <v>65</v>
      </c>
      <c r="L1477" s="14">
        <v>1594.0</v>
      </c>
      <c r="M1477" s="18" t="s">
        <v>99</v>
      </c>
      <c r="N1477" s="18" t="s">
        <v>43</v>
      </c>
      <c r="O1477" s="18">
        <v>37.2</v>
      </c>
      <c r="P1477" s="18" t="s">
        <v>400</v>
      </c>
      <c r="Q1477" s="16">
        <v>45680.0</v>
      </c>
      <c r="R1477" s="16" t="s">
        <v>38</v>
      </c>
      <c r="S1477" s="13" t="s">
        <v>55</v>
      </c>
      <c r="T1477" s="13" t="s">
        <v>104</v>
      </c>
      <c r="U1477" s="13">
        <f t="shared" si="1"/>
        <v>2</v>
      </c>
      <c r="V1477" s="13" t="str">
        <f t="shared" si="2"/>
        <v>C00358|Sneha Sharma|35|North|Lucknow|Standard|Instagram|10/20/2023|38|Annual|Credit Card|1,594|4|2|37.20|4.8|1/23/2025||Active|Analytics</v>
      </c>
      <c r="W1477" s="13">
        <f t="shared" si="3"/>
        <v>1</v>
      </c>
      <c r="X1477" s="13">
        <f>IFERROR(__xludf.DUMMYFUNCTION("COUNTUNIQUE(FILTER($B$2:$B$1826,$A$2:$A$1826=A1477))"),2.0)</f>
        <v>2</v>
      </c>
    </row>
    <row r="1478">
      <c r="A1478" s="13" t="s">
        <v>1990</v>
      </c>
      <c r="B1478" s="13" t="s">
        <v>364</v>
      </c>
      <c r="C1478" s="14">
        <v>44.0</v>
      </c>
      <c r="D1478" s="13" t="s">
        <v>85</v>
      </c>
      <c r="E1478" s="13" t="s">
        <v>87</v>
      </c>
      <c r="F1478" s="13" t="s">
        <v>37</v>
      </c>
      <c r="G1478" s="13" t="s">
        <v>210</v>
      </c>
      <c r="H1478" s="16">
        <v>45016.0</v>
      </c>
      <c r="I1478" s="14">
        <v>30.0</v>
      </c>
      <c r="J1478" s="13" t="s">
        <v>64</v>
      </c>
      <c r="K1478" s="13" t="s">
        <v>65</v>
      </c>
      <c r="L1478" s="14">
        <v>1267.0</v>
      </c>
      <c r="M1478" s="18" t="s">
        <v>98</v>
      </c>
      <c r="N1478" s="18" t="s">
        <v>46</v>
      </c>
      <c r="O1478" s="18">
        <v>38.2</v>
      </c>
      <c r="P1478" s="18" t="s">
        <v>173</v>
      </c>
      <c r="Q1478" s="16">
        <v>45243.0</v>
      </c>
      <c r="R1478" s="16" t="s">
        <v>38</v>
      </c>
      <c r="S1478" s="13" t="s">
        <v>55</v>
      </c>
      <c r="T1478" s="13" t="s">
        <v>104</v>
      </c>
      <c r="U1478" s="13">
        <f t="shared" si="1"/>
        <v>1</v>
      </c>
      <c r="V1478" s="13" t="str">
        <f t="shared" si="2"/>
        <v>C00625|Sneha Kumar|44|West|Surat|Standard|Referral|3/31/2023|30|Annual|Credit Card|1,267|1|0|38.20|5|11/13/2023||Active|Analytics</v>
      </c>
      <c r="W1478" s="13">
        <f t="shared" si="3"/>
        <v>1</v>
      </c>
      <c r="X1478" s="13">
        <f>IFERROR(__xludf.DUMMYFUNCTION("COUNTUNIQUE(FILTER($B$2:$B$1826,$A$2:$A$1826=A1478))"),1.0)</f>
        <v>1</v>
      </c>
    </row>
    <row r="1479">
      <c r="A1479" s="13" t="s">
        <v>1991</v>
      </c>
      <c r="B1479" s="13" t="s">
        <v>247</v>
      </c>
      <c r="C1479" s="14">
        <v>42.0</v>
      </c>
      <c r="D1479" s="13" t="s">
        <v>85</v>
      </c>
      <c r="E1479" s="13" t="s">
        <v>92</v>
      </c>
      <c r="F1479" s="13" t="s">
        <v>79</v>
      </c>
      <c r="G1479" s="13" t="s">
        <v>210</v>
      </c>
      <c r="H1479" s="16">
        <v>45410.0</v>
      </c>
      <c r="I1479" s="14">
        <v>30.0</v>
      </c>
      <c r="J1479" s="13" t="s">
        <v>64</v>
      </c>
      <c r="K1479" s="13" t="s">
        <v>65</v>
      </c>
      <c r="L1479" s="14">
        <v>2477.0</v>
      </c>
      <c r="M1479" s="18" t="s">
        <v>43</v>
      </c>
      <c r="N1479" s="18" t="s">
        <v>43</v>
      </c>
      <c r="O1479" s="18">
        <v>45.0</v>
      </c>
      <c r="P1479" s="18" t="s">
        <v>99</v>
      </c>
      <c r="Q1479" s="16">
        <v>45833.0</v>
      </c>
      <c r="R1479" s="16" t="s">
        <v>38</v>
      </c>
      <c r="S1479" s="13" t="s">
        <v>55</v>
      </c>
      <c r="T1479" s="13" t="s">
        <v>104</v>
      </c>
      <c r="U1479" s="13">
        <f t="shared" si="1"/>
        <v>1</v>
      </c>
      <c r="V1479" s="13" t="str">
        <f t="shared" si="2"/>
        <v>C01111|Ravi Sharma|42|West|Ahmedabad|Premium|Referral|4/28/2024|30|Annual|Credit Card|2,477|2|2|45.00|4|6/25/2025||Active|Analytics</v>
      </c>
      <c r="W1479" s="13">
        <f t="shared" si="3"/>
        <v>1</v>
      </c>
      <c r="X1479" s="13">
        <f>IFERROR(__xludf.DUMMYFUNCTION("COUNTUNIQUE(FILTER($B$2:$B$1826,$A$2:$A$1826=A1479))"),1.0)</f>
        <v>1</v>
      </c>
    </row>
    <row r="1480">
      <c r="A1480" s="13" t="s">
        <v>1992</v>
      </c>
      <c r="B1480" s="13" t="s">
        <v>176</v>
      </c>
      <c r="C1480" s="14">
        <v>40.0</v>
      </c>
      <c r="D1480" s="13" t="s">
        <v>60</v>
      </c>
      <c r="E1480" s="13" t="s">
        <v>61</v>
      </c>
      <c r="F1480" s="13" t="s">
        <v>79</v>
      </c>
      <c r="G1480" s="13" t="s">
        <v>39</v>
      </c>
      <c r="H1480" s="16">
        <v>45489.0</v>
      </c>
      <c r="I1480" s="14">
        <v>31.0</v>
      </c>
      <c r="J1480" s="13" t="s">
        <v>40</v>
      </c>
      <c r="K1480" s="13" t="s">
        <v>81</v>
      </c>
      <c r="L1480" s="14">
        <v>3725.0</v>
      </c>
      <c r="M1480" s="18" t="s">
        <v>164</v>
      </c>
      <c r="N1480" s="18" t="s">
        <v>43</v>
      </c>
      <c r="O1480" s="18">
        <v>42.1</v>
      </c>
      <c r="P1480" s="18" t="s">
        <v>130</v>
      </c>
      <c r="Q1480" s="16">
        <v>45611.0</v>
      </c>
      <c r="R1480" s="16" t="s">
        <v>1993</v>
      </c>
      <c r="S1480" s="13" t="s">
        <v>45</v>
      </c>
      <c r="T1480" s="13" t="s">
        <v>75</v>
      </c>
      <c r="U1480" s="13">
        <f t="shared" si="1"/>
        <v>1</v>
      </c>
      <c r="V1480" s="13" t="str">
        <f t="shared" si="2"/>
        <v>C01064|Ravi Iyer|40|East|Kolkata|Premium|Instagram|7/16/2024|31|Monthly|Debit Card|3,725|3|2|42.10|3.9|11/15/2024|26/08/2024|Churned|Security</v>
      </c>
      <c r="W1480" s="13">
        <f t="shared" si="3"/>
        <v>1</v>
      </c>
      <c r="X1480" s="13">
        <f>IFERROR(__xludf.DUMMYFUNCTION("COUNTUNIQUE(FILTER($B$2:$B$1826,$A$2:$A$1826=A1480))"),1.0)</f>
        <v>1</v>
      </c>
    </row>
    <row r="1481">
      <c r="A1481" s="13" t="s">
        <v>1994</v>
      </c>
      <c r="B1481" s="13" t="s">
        <v>316</v>
      </c>
      <c r="C1481" s="14">
        <v>36.0</v>
      </c>
      <c r="D1481" s="13" t="s">
        <v>85</v>
      </c>
      <c r="E1481" s="13" t="s">
        <v>292</v>
      </c>
      <c r="F1481" s="13" t="s">
        <v>62</v>
      </c>
      <c r="G1481" s="13" t="s">
        <v>39</v>
      </c>
      <c r="H1481" s="16">
        <v>45306.0</v>
      </c>
      <c r="I1481" s="14">
        <v>27.0</v>
      </c>
      <c r="J1481" s="13" t="s">
        <v>53</v>
      </c>
      <c r="K1481" s="13" t="s">
        <v>81</v>
      </c>
      <c r="L1481" s="14">
        <v>718.0</v>
      </c>
      <c r="M1481" s="18" t="s">
        <v>43</v>
      </c>
      <c r="N1481" s="18" t="s">
        <v>46</v>
      </c>
      <c r="O1481" s="18">
        <v>8.9</v>
      </c>
      <c r="P1481" s="18" t="s">
        <v>130</v>
      </c>
      <c r="Q1481" s="16">
        <v>45353.0</v>
      </c>
      <c r="R1481" s="16">
        <v>45392.0</v>
      </c>
      <c r="S1481" s="13" t="s">
        <v>45</v>
      </c>
      <c r="T1481" s="13" t="s">
        <v>66</v>
      </c>
      <c r="U1481" s="13">
        <f t="shared" si="1"/>
        <v>1</v>
      </c>
      <c r="V1481" s="13" t="str">
        <f t="shared" si="2"/>
        <v>C01331|Neha Nair|36|West|Mumbai|Basic|Instagram|1/15/2024|27|Quarterly|Debit Card|718|2|0|8.90|3.9|3/2/2024|4/10/2024|Churned|Automation</v>
      </c>
      <c r="W1481" s="13">
        <f t="shared" si="3"/>
        <v>1</v>
      </c>
      <c r="X1481" s="13">
        <f>IFERROR(__xludf.DUMMYFUNCTION("COUNTUNIQUE(FILTER($B$2:$B$1826,$A$2:$A$1826=A1481))"),1.0)</f>
        <v>1</v>
      </c>
    </row>
    <row r="1482">
      <c r="A1482" s="13" t="s">
        <v>1072</v>
      </c>
      <c r="B1482" s="13" t="s">
        <v>145</v>
      </c>
      <c r="C1482" s="14">
        <v>30.0</v>
      </c>
      <c r="D1482" s="13" t="s">
        <v>69</v>
      </c>
      <c r="E1482" s="13" t="s">
        <v>70</v>
      </c>
      <c r="F1482" s="13" t="s">
        <v>62</v>
      </c>
      <c r="G1482" s="13" t="s">
        <v>52</v>
      </c>
      <c r="H1482" s="16">
        <v>45463.0</v>
      </c>
      <c r="I1482" s="14">
        <v>43.0</v>
      </c>
      <c r="J1482" s="13" t="s">
        <v>64</v>
      </c>
      <c r="K1482" s="13" t="s">
        <v>41</v>
      </c>
      <c r="L1482" s="14">
        <v>706.0</v>
      </c>
      <c r="M1482" s="18" t="s">
        <v>99</v>
      </c>
      <c r="N1482" s="18" t="s">
        <v>164</v>
      </c>
      <c r="O1482" s="18">
        <v>24.8</v>
      </c>
      <c r="P1482" s="18" t="s">
        <v>275</v>
      </c>
      <c r="Q1482" s="16">
        <v>45719.0</v>
      </c>
      <c r="R1482" s="16" t="s">
        <v>38</v>
      </c>
      <c r="S1482" s="13" t="s">
        <v>55</v>
      </c>
      <c r="T1482" s="13" t="s">
        <v>75</v>
      </c>
      <c r="U1482" s="13">
        <f t="shared" si="1"/>
        <v>3</v>
      </c>
      <c r="V1482" s="13" t="str">
        <f t="shared" si="2"/>
        <v>C00504|Ravi Patel|30|South|Bengaluru|Basic|Facebook|6/20/2024|43|Annual|Upi|706|4|3|24.80|4.3|3/3/2025||Active|Security</v>
      </c>
      <c r="W1482" s="13">
        <f t="shared" si="3"/>
        <v>1</v>
      </c>
      <c r="X1482" s="13">
        <f>IFERROR(__xludf.DUMMYFUNCTION("COUNTUNIQUE(FILTER($B$2:$B$1826,$A$2:$A$1826=A1482))"),3.0)</f>
        <v>3</v>
      </c>
    </row>
    <row r="1483">
      <c r="A1483" s="13" t="s">
        <v>1303</v>
      </c>
      <c r="B1483" s="13" t="s">
        <v>636</v>
      </c>
      <c r="C1483" s="14">
        <v>62.0</v>
      </c>
      <c r="D1483" s="13" t="s">
        <v>85</v>
      </c>
      <c r="E1483" s="13" t="s">
        <v>92</v>
      </c>
      <c r="F1483" s="13" t="s">
        <v>37</v>
      </c>
      <c r="G1483" s="13" t="s">
        <v>80</v>
      </c>
      <c r="H1483" s="16">
        <v>44595.0</v>
      </c>
      <c r="I1483" s="14">
        <v>33.0</v>
      </c>
      <c r="J1483" s="13" t="s">
        <v>64</v>
      </c>
      <c r="K1483" s="13" t="s">
        <v>41</v>
      </c>
      <c r="L1483" s="14">
        <v>1518.0</v>
      </c>
      <c r="M1483" s="18" t="s">
        <v>46</v>
      </c>
      <c r="N1483" s="18" t="s">
        <v>98</v>
      </c>
      <c r="O1483" s="18">
        <v>39.3</v>
      </c>
      <c r="P1483" s="18" t="s">
        <v>263</v>
      </c>
      <c r="Q1483" s="16">
        <v>44941.0</v>
      </c>
      <c r="R1483" s="16" t="s">
        <v>38</v>
      </c>
      <c r="S1483" s="13" t="s">
        <v>55</v>
      </c>
      <c r="T1483" s="13" t="s">
        <v>75</v>
      </c>
      <c r="U1483" s="13">
        <f t="shared" si="1"/>
        <v>3</v>
      </c>
      <c r="V1483" s="13" t="str">
        <f t="shared" si="2"/>
        <v>C00841|Neha Reddy|62|West|Ahmedabad|Standard|Organic Search|2/3/2022|33|Annual|Upi|1,518|0|1|39.30|2.9|1/15/2023||Active|Security</v>
      </c>
      <c r="W1483" s="13">
        <f t="shared" si="3"/>
        <v>1</v>
      </c>
      <c r="X1483" s="13">
        <f>IFERROR(__xludf.DUMMYFUNCTION("COUNTUNIQUE(FILTER($B$2:$B$1826,$A$2:$A$1826=A1483))"),3.0)</f>
        <v>3</v>
      </c>
    </row>
    <row r="1484">
      <c r="A1484" s="13" t="s">
        <v>1996</v>
      </c>
      <c r="B1484" s="13" t="s">
        <v>308</v>
      </c>
      <c r="C1484" s="14">
        <v>66.0</v>
      </c>
      <c r="D1484" s="13" t="s">
        <v>69</v>
      </c>
      <c r="E1484" s="13" t="s">
        <v>119</v>
      </c>
      <c r="F1484" s="13" t="s">
        <v>62</v>
      </c>
      <c r="G1484" s="13" t="s">
        <v>63</v>
      </c>
      <c r="H1484" s="16">
        <v>44908.0</v>
      </c>
      <c r="I1484" s="14">
        <v>45.0</v>
      </c>
      <c r="J1484" s="13" t="s">
        <v>53</v>
      </c>
      <c r="K1484" s="13" t="s">
        <v>81</v>
      </c>
      <c r="L1484" s="14">
        <v>815.0</v>
      </c>
      <c r="M1484" s="18" t="s">
        <v>173</v>
      </c>
      <c r="N1484" s="18" t="s">
        <v>43</v>
      </c>
      <c r="O1484" s="18">
        <v>21.0</v>
      </c>
      <c r="P1484" s="18" t="s">
        <v>263</v>
      </c>
      <c r="Q1484" s="16">
        <v>45904.0</v>
      </c>
      <c r="R1484" s="16" t="s">
        <v>38</v>
      </c>
      <c r="S1484" s="13" t="s">
        <v>55</v>
      </c>
      <c r="T1484" s="13" t="s">
        <v>72</v>
      </c>
      <c r="U1484" s="13">
        <f t="shared" si="1"/>
        <v>1</v>
      </c>
      <c r="V1484" s="13" t="str">
        <f t="shared" si="2"/>
        <v>C00965|Karan Kumar|66|South|Kochi|Basic|Google Ads|12/13/2022|45|Quarterly|Debit Card|815|5|2|21.00|2.9|9/4/2025||Active|Collaboration</v>
      </c>
      <c r="W1484" s="13">
        <f t="shared" si="3"/>
        <v>1</v>
      </c>
      <c r="X1484" s="13">
        <f>IFERROR(__xludf.DUMMYFUNCTION("COUNTUNIQUE(FILTER($B$2:$B$1826,$A$2:$A$1826=A1484))"),1.0)</f>
        <v>1</v>
      </c>
    </row>
    <row r="1485">
      <c r="A1485" s="13" t="s">
        <v>828</v>
      </c>
      <c r="B1485" s="13" t="s">
        <v>59</v>
      </c>
      <c r="C1485" s="14" t="s">
        <v>38</v>
      </c>
      <c r="D1485" s="13" t="s">
        <v>60</v>
      </c>
      <c r="E1485" s="13" t="s">
        <v>97</v>
      </c>
      <c r="F1485" s="13" t="s">
        <v>62</v>
      </c>
      <c r="G1485" s="13" t="s">
        <v>63</v>
      </c>
      <c r="H1485" s="16">
        <v>45984.0</v>
      </c>
      <c r="I1485" s="14">
        <v>30.0</v>
      </c>
      <c r="J1485" s="13" t="s">
        <v>64</v>
      </c>
      <c r="K1485" s="13" t="s">
        <v>65</v>
      </c>
      <c r="L1485" s="14">
        <v>830.0</v>
      </c>
      <c r="M1485" s="18" t="s">
        <v>46</v>
      </c>
      <c r="N1485" s="18" t="s">
        <v>46</v>
      </c>
      <c r="O1485" s="18">
        <v>20.2</v>
      </c>
      <c r="P1485" s="18" t="s">
        <v>99</v>
      </c>
      <c r="Q1485" s="16">
        <v>46777.0</v>
      </c>
      <c r="R1485" s="16" t="s">
        <v>38</v>
      </c>
      <c r="S1485" s="13" t="s">
        <v>55</v>
      </c>
      <c r="T1485" s="13" t="s">
        <v>104</v>
      </c>
      <c r="U1485" s="13">
        <f t="shared" si="1"/>
        <v>4</v>
      </c>
      <c r="V1485" s="13" t="str">
        <f t="shared" si="2"/>
        <v>C00045|Priya Das||East|Bhubaneswar|Basic|Google Ads|11/23/2025|30|Annual|Credit Card|830|0|0|20.20|4|1/25/2028||Active|Analytics</v>
      </c>
      <c r="W1485" s="13">
        <f t="shared" si="3"/>
        <v>1</v>
      </c>
      <c r="X1485" s="13">
        <f>IFERROR(__xludf.DUMMYFUNCTION("COUNTUNIQUE(FILTER($B$2:$B$1826,$A$2:$A$1826=A1485))"),4.0)</f>
        <v>4</v>
      </c>
    </row>
    <row r="1486">
      <c r="A1486" s="13" t="s">
        <v>1559</v>
      </c>
      <c r="B1486" s="13" t="s">
        <v>459</v>
      </c>
      <c r="C1486" s="14">
        <v>68.0</v>
      </c>
      <c r="D1486" s="13" t="s">
        <v>85</v>
      </c>
      <c r="E1486" s="13" t="s">
        <v>111</v>
      </c>
      <c r="F1486" s="13" t="s">
        <v>62</v>
      </c>
      <c r="G1486" s="13" t="s">
        <v>63</v>
      </c>
      <c r="H1486" s="16">
        <v>44704.0</v>
      </c>
      <c r="I1486" s="14">
        <v>26.0</v>
      </c>
      <c r="J1486" s="13" t="s">
        <v>64</v>
      </c>
      <c r="K1486" s="13" t="s">
        <v>81</v>
      </c>
      <c r="L1486" s="14">
        <v>794.0</v>
      </c>
      <c r="M1486" s="18" t="s">
        <v>43</v>
      </c>
      <c r="N1486" s="18" t="s">
        <v>98</v>
      </c>
      <c r="O1486" s="18">
        <v>16.9</v>
      </c>
      <c r="P1486" s="18" t="s">
        <v>116</v>
      </c>
      <c r="Q1486" s="16">
        <v>44729.0</v>
      </c>
      <c r="R1486" s="16" t="s">
        <v>1828</v>
      </c>
      <c r="S1486" s="13" t="s">
        <v>45</v>
      </c>
      <c r="T1486" s="13" t="s">
        <v>104</v>
      </c>
      <c r="U1486" s="13">
        <f t="shared" si="1"/>
        <v>3</v>
      </c>
      <c r="V1486" s="13" t="str">
        <f t="shared" si="2"/>
        <v>C00834|Neha Patel|68|West|Pune|Basic|Google Ads|5/23/2022|26|Annual|Debit Card|794|2|1|16.90|3.4|6/17/2022|20/10/2023|Churned|Analytics</v>
      </c>
      <c r="W1486" s="13">
        <f t="shared" si="3"/>
        <v>1</v>
      </c>
      <c r="X1486" s="13">
        <f>IFERROR(__xludf.DUMMYFUNCTION("COUNTUNIQUE(FILTER($B$2:$B$1826,$A$2:$A$1826=A1486))"),3.0)</f>
        <v>3</v>
      </c>
    </row>
    <row r="1487">
      <c r="A1487" s="13" t="s">
        <v>735</v>
      </c>
      <c r="B1487" s="13" t="s">
        <v>235</v>
      </c>
      <c r="C1487" s="14">
        <v>48.0</v>
      </c>
      <c r="D1487" s="13" t="s">
        <v>69</v>
      </c>
      <c r="E1487" s="13" t="s">
        <v>119</v>
      </c>
      <c r="F1487" s="13" t="s">
        <v>62</v>
      </c>
      <c r="G1487" s="13" t="s">
        <v>39</v>
      </c>
      <c r="H1487" s="16">
        <v>45419.0</v>
      </c>
      <c r="I1487" s="14">
        <v>45.0</v>
      </c>
      <c r="J1487" s="13" t="s">
        <v>64</v>
      </c>
      <c r="K1487" s="13" t="s">
        <v>41</v>
      </c>
      <c r="L1487" s="14">
        <v>892.0</v>
      </c>
      <c r="M1487" s="18" t="s">
        <v>43</v>
      </c>
      <c r="N1487" s="18" t="s">
        <v>46</v>
      </c>
      <c r="O1487" s="18">
        <v>17.5</v>
      </c>
      <c r="P1487" s="18" t="s">
        <v>48</v>
      </c>
      <c r="Q1487" s="16">
        <v>45906.0</v>
      </c>
      <c r="R1487" s="16" t="s">
        <v>38</v>
      </c>
      <c r="S1487" s="13" t="s">
        <v>45</v>
      </c>
      <c r="T1487" s="13" t="s">
        <v>66</v>
      </c>
      <c r="U1487" s="13">
        <f t="shared" si="1"/>
        <v>3</v>
      </c>
      <c r="V1487" s="13" t="str">
        <f t="shared" si="2"/>
        <v>C01379|Sneha Sharma|48|South|Kochi|Basic|Instagram|5/7/2024|45|Annual|Upi|892|2|0|17.50|3.6|9/6/2025||Churned|Automation</v>
      </c>
      <c r="W1487" s="13">
        <f t="shared" si="3"/>
        <v>1</v>
      </c>
      <c r="X1487" s="13">
        <f>IFERROR(__xludf.DUMMYFUNCTION("COUNTUNIQUE(FILTER($B$2:$B$1826,$A$2:$A$1826=A1487))"),3.0)</f>
        <v>3</v>
      </c>
    </row>
    <row r="1488">
      <c r="A1488" s="13" t="s">
        <v>1997</v>
      </c>
      <c r="B1488" s="13" t="s">
        <v>215</v>
      </c>
      <c r="C1488" s="14">
        <v>62.0</v>
      </c>
      <c r="D1488" s="13" t="s">
        <v>60</v>
      </c>
      <c r="E1488" s="13" t="s">
        <v>107</v>
      </c>
      <c r="F1488" s="13" t="s">
        <v>62</v>
      </c>
      <c r="G1488" s="13" t="s">
        <v>80</v>
      </c>
      <c r="H1488" s="16">
        <v>45159.0</v>
      </c>
      <c r="I1488" s="14">
        <v>11.0</v>
      </c>
      <c r="J1488" s="13" t="s">
        <v>40</v>
      </c>
      <c r="K1488" s="13" t="s">
        <v>65</v>
      </c>
      <c r="L1488" s="14">
        <v>866.0</v>
      </c>
      <c r="M1488" s="18" t="s">
        <v>99</v>
      </c>
      <c r="N1488" s="18" t="s">
        <v>98</v>
      </c>
      <c r="O1488" s="18">
        <v>9.4</v>
      </c>
      <c r="P1488" s="18" t="s">
        <v>285</v>
      </c>
      <c r="Q1488" s="16">
        <v>45443.0</v>
      </c>
      <c r="R1488" s="16" t="s">
        <v>38</v>
      </c>
      <c r="S1488" s="13" t="s">
        <v>55</v>
      </c>
      <c r="T1488" s="13" t="s">
        <v>72</v>
      </c>
      <c r="U1488" s="13">
        <f t="shared" si="1"/>
        <v>2</v>
      </c>
      <c r="V1488" s="13" t="str">
        <f t="shared" si="2"/>
        <v>C00867|Neha Sharma|62|East|Patna|Basic|Organic Search|8/21/2023|11|Monthly|Credit Card|866|4|1|9.40|2.3|5/31/2024||Active|Collaboration</v>
      </c>
      <c r="W1488" s="13">
        <f t="shared" si="3"/>
        <v>1</v>
      </c>
      <c r="X1488" s="13">
        <f>IFERROR(__xludf.DUMMYFUNCTION("COUNTUNIQUE(FILTER($B$2:$B$1826,$A$2:$A$1826=A1488))"),2.0)</f>
        <v>2</v>
      </c>
    </row>
    <row r="1489">
      <c r="A1489" s="13" t="s">
        <v>1215</v>
      </c>
      <c r="B1489" s="13" t="s">
        <v>448</v>
      </c>
      <c r="C1489" s="14">
        <v>53.0</v>
      </c>
      <c r="D1489" s="13" t="s">
        <v>35</v>
      </c>
      <c r="E1489" s="13" t="s">
        <v>36</v>
      </c>
      <c r="F1489" s="13" t="s">
        <v>62</v>
      </c>
      <c r="G1489" s="13" t="s">
        <v>128</v>
      </c>
      <c r="H1489" s="16">
        <v>45720.0</v>
      </c>
      <c r="I1489" s="14">
        <v>40.0</v>
      </c>
      <c r="J1489" s="13" t="s">
        <v>53</v>
      </c>
      <c r="K1489" s="13" t="s">
        <v>41</v>
      </c>
      <c r="L1489" s="14">
        <v>729.0</v>
      </c>
      <c r="M1489" s="18" t="s">
        <v>43</v>
      </c>
      <c r="N1489" s="18" t="s">
        <v>164</v>
      </c>
      <c r="O1489" s="18">
        <v>17.2</v>
      </c>
      <c r="P1489" s="18" t="s">
        <v>233</v>
      </c>
      <c r="Q1489" s="16">
        <v>46097.0</v>
      </c>
      <c r="R1489" s="16">
        <v>45969.0</v>
      </c>
      <c r="S1489" s="13" t="s">
        <v>45</v>
      </c>
      <c r="T1489" s="13" t="s">
        <v>104</v>
      </c>
      <c r="U1489" s="13">
        <f t="shared" si="1"/>
        <v>2</v>
      </c>
      <c r="V1489" s="13" t="str">
        <f t="shared" si="2"/>
        <v>C01408|Meera Reddy|53|North|Delhi|Basic|Youtube|3/4/2025|40|Quarterly|Upi|729|2|3|17.20|3.5|3/16/2026|11/8/2025|Churned|Analytics</v>
      </c>
      <c r="W1489" s="13">
        <f t="shared" si="3"/>
        <v>1</v>
      </c>
      <c r="X1489" s="13">
        <f>IFERROR(__xludf.DUMMYFUNCTION("COUNTUNIQUE(FILTER($B$2:$B$1826,$A$2:$A$1826=A1489))"),2.0)</f>
        <v>2</v>
      </c>
    </row>
    <row r="1490">
      <c r="A1490" s="13" t="s">
        <v>1661</v>
      </c>
      <c r="B1490" s="13" t="s">
        <v>288</v>
      </c>
      <c r="C1490" s="14">
        <v>48.0</v>
      </c>
      <c r="D1490" s="13" t="s">
        <v>60</v>
      </c>
      <c r="E1490" s="13" t="s">
        <v>97</v>
      </c>
      <c r="F1490" s="13" t="s">
        <v>79</v>
      </c>
      <c r="G1490" s="13" t="s">
        <v>210</v>
      </c>
      <c r="H1490" s="16">
        <v>45037.0</v>
      </c>
      <c r="I1490" s="14">
        <v>36.0</v>
      </c>
      <c r="J1490" s="13" t="s">
        <v>64</v>
      </c>
      <c r="K1490" s="13" t="s">
        <v>81</v>
      </c>
      <c r="L1490" s="14">
        <v>2568.0</v>
      </c>
      <c r="M1490" s="18" t="s">
        <v>43</v>
      </c>
      <c r="N1490" s="18" t="s">
        <v>43</v>
      </c>
      <c r="O1490" s="18">
        <v>40.7</v>
      </c>
      <c r="P1490" s="18" t="s">
        <v>123</v>
      </c>
      <c r="Q1490" s="16">
        <v>45549.0</v>
      </c>
      <c r="R1490" s="16">
        <v>45178.0</v>
      </c>
      <c r="S1490" s="13" t="s">
        <v>45</v>
      </c>
      <c r="T1490" s="13" t="s">
        <v>104</v>
      </c>
      <c r="U1490" s="13">
        <f t="shared" si="1"/>
        <v>3</v>
      </c>
      <c r="V1490" s="13" t="str">
        <f t="shared" si="2"/>
        <v>C00754|Rahul Sharma|48|East|Bhubaneswar|Premium|Referral|4/21/2023|36|Annual|Debit Card|2,568|2|2|40.70|4.1|9/14/2024|9/9/2023|Churned|Analytics</v>
      </c>
      <c r="W1490" s="13">
        <f t="shared" si="3"/>
        <v>1</v>
      </c>
      <c r="X1490" s="13">
        <f>IFERROR(__xludf.DUMMYFUNCTION("COUNTUNIQUE(FILTER($B$2:$B$1826,$A$2:$A$1826=A1490))"),3.0)</f>
        <v>3</v>
      </c>
    </row>
    <row r="1491">
      <c r="A1491" s="13" t="s">
        <v>945</v>
      </c>
      <c r="B1491" s="13" t="s">
        <v>239</v>
      </c>
      <c r="C1491" s="14">
        <v>25.0</v>
      </c>
      <c r="D1491" s="13" t="s">
        <v>85</v>
      </c>
      <c r="E1491" s="13" t="s">
        <v>292</v>
      </c>
      <c r="F1491" s="13" t="s">
        <v>62</v>
      </c>
      <c r="G1491" s="13" t="s">
        <v>120</v>
      </c>
      <c r="H1491" s="16">
        <v>45874.0</v>
      </c>
      <c r="I1491" s="14">
        <v>18.0</v>
      </c>
      <c r="J1491" s="13" t="s">
        <v>53</v>
      </c>
      <c r="K1491" s="13" t="s">
        <v>81</v>
      </c>
      <c r="L1491" s="14">
        <v>846.0</v>
      </c>
      <c r="M1491" s="18" t="s">
        <v>98</v>
      </c>
      <c r="N1491" s="18" t="s">
        <v>98</v>
      </c>
      <c r="O1491" s="18">
        <v>28.0</v>
      </c>
      <c r="P1491" s="18" t="s">
        <v>368</v>
      </c>
      <c r="Q1491" s="16">
        <v>46424.0</v>
      </c>
      <c r="R1491" s="16" t="s">
        <v>38</v>
      </c>
      <c r="S1491" s="13" t="s">
        <v>55</v>
      </c>
      <c r="T1491" s="13" t="s">
        <v>72</v>
      </c>
      <c r="U1491" s="13">
        <f t="shared" si="1"/>
        <v>3</v>
      </c>
      <c r="V1491" s="13" t="str">
        <f t="shared" si="2"/>
        <v>C00849|Meera Kumar|25|West|Mumbai|Basic|Email|8/5/2025|18|Quarterly|Debit Card|846|1|1|28.00|4.9|2/6/2027||Active|Collaboration</v>
      </c>
      <c r="W1491" s="13">
        <f t="shared" si="3"/>
        <v>1</v>
      </c>
      <c r="X1491" s="13">
        <f>IFERROR(__xludf.DUMMYFUNCTION("COUNTUNIQUE(FILTER($B$2:$B$1826,$A$2:$A$1826=A1491))"),3.0)</f>
        <v>3</v>
      </c>
    </row>
    <row r="1492">
      <c r="A1492" s="13" t="s">
        <v>519</v>
      </c>
      <c r="B1492" s="13" t="s">
        <v>152</v>
      </c>
      <c r="C1492" s="14">
        <v>47.0</v>
      </c>
      <c r="D1492" s="13" t="s">
        <v>69</v>
      </c>
      <c r="E1492" s="13" t="s">
        <v>70</v>
      </c>
      <c r="F1492" s="13" t="s">
        <v>62</v>
      </c>
      <c r="G1492" s="13" t="s">
        <v>39</v>
      </c>
      <c r="H1492" s="16">
        <v>45481.0</v>
      </c>
      <c r="I1492" s="14">
        <v>3.0</v>
      </c>
      <c r="J1492" s="13" t="s">
        <v>40</v>
      </c>
      <c r="K1492" s="13" t="s">
        <v>41</v>
      </c>
      <c r="L1492" s="14">
        <v>526.0</v>
      </c>
      <c r="M1492" s="18" t="s">
        <v>43</v>
      </c>
      <c r="N1492" s="18" t="s">
        <v>98</v>
      </c>
      <c r="O1492" s="18">
        <v>31.0</v>
      </c>
      <c r="P1492" s="18" t="s">
        <v>130</v>
      </c>
      <c r="Q1492" s="16">
        <v>45543.0</v>
      </c>
      <c r="R1492" s="16" t="s">
        <v>38</v>
      </c>
      <c r="S1492" s="13" t="s">
        <v>55</v>
      </c>
      <c r="T1492" s="13" t="s">
        <v>104</v>
      </c>
      <c r="U1492" s="13">
        <f t="shared" si="1"/>
        <v>2</v>
      </c>
      <c r="V1492" s="13" t="str">
        <f t="shared" si="2"/>
        <v>C01582|Vikram Kumar|47|South|Bengaluru|Basic|Instagram|7/8/2024|3|Monthly|Upi|526|2|1|31.00|3.9|9/8/2024||Active|Analytics</v>
      </c>
      <c r="W1492" s="13">
        <f t="shared" si="3"/>
        <v>1</v>
      </c>
      <c r="X1492" s="13">
        <f>IFERROR(__xludf.DUMMYFUNCTION("COUNTUNIQUE(FILTER($B$2:$B$1826,$A$2:$A$1826=A1492))"),2.0)</f>
        <v>2</v>
      </c>
    </row>
    <row r="1493">
      <c r="A1493" s="13" t="s">
        <v>1208</v>
      </c>
      <c r="B1493" s="13" t="s">
        <v>184</v>
      </c>
      <c r="C1493" s="14">
        <v>67.0</v>
      </c>
      <c r="D1493" s="13" t="s">
        <v>35</v>
      </c>
      <c r="E1493" s="13" t="s">
        <v>36</v>
      </c>
      <c r="F1493" s="13" t="s">
        <v>37</v>
      </c>
      <c r="G1493" s="13" t="s">
        <v>120</v>
      </c>
      <c r="H1493" s="16">
        <v>44869.0</v>
      </c>
      <c r="I1493" s="14">
        <v>34.0</v>
      </c>
      <c r="J1493" s="13" t="s">
        <v>40</v>
      </c>
      <c r="K1493" s="13" t="s">
        <v>81</v>
      </c>
      <c r="L1493" s="14">
        <v>1562.0</v>
      </c>
      <c r="M1493" s="18" t="s">
        <v>164</v>
      </c>
      <c r="N1493" s="18" t="s">
        <v>46</v>
      </c>
      <c r="O1493" s="18">
        <v>25.3</v>
      </c>
      <c r="P1493" s="18" t="s">
        <v>158</v>
      </c>
      <c r="Q1493" s="16">
        <v>45485.0</v>
      </c>
      <c r="R1493" s="16" t="s">
        <v>38</v>
      </c>
      <c r="S1493" s="13" t="s">
        <v>55</v>
      </c>
      <c r="T1493" s="13" t="s">
        <v>104</v>
      </c>
      <c r="U1493" s="13">
        <f t="shared" si="1"/>
        <v>2</v>
      </c>
      <c r="V1493" s="13" t="str">
        <f t="shared" si="2"/>
        <v>C01051|Vikram Reddy|67|North|Delhi|Standard|Email|11/4/2022|34|Monthly|Debit Card|1,562|3|0|25.30|4.7|7/12/2024||Active|Analytics</v>
      </c>
      <c r="W1493" s="13">
        <f t="shared" si="3"/>
        <v>1</v>
      </c>
      <c r="X1493" s="13">
        <f>IFERROR(__xludf.DUMMYFUNCTION("COUNTUNIQUE(FILTER($B$2:$B$1826,$A$2:$A$1826=A1493))"),2.0)</f>
        <v>2</v>
      </c>
    </row>
    <row r="1494">
      <c r="A1494" s="13" t="s">
        <v>2000</v>
      </c>
      <c r="B1494" s="13" t="s">
        <v>179</v>
      </c>
      <c r="C1494" s="14">
        <v>46.0</v>
      </c>
      <c r="D1494" s="13" t="s">
        <v>69</v>
      </c>
      <c r="E1494" s="13" t="s">
        <v>177</v>
      </c>
      <c r="F1494" s="13" t="s">
        <v>79</v>
      </c>
      <c r="G1494" s="13" t="s">
        <v>39</v>
      </c>
      <c r="H1494" s="16">
        <v>45875.0</v>
      </c>
      <c r="I1494" s="14">
        <v>42.0</v>
      </c>
      <c r="J1494" s="13" t="s">
        <v>64</v>
      </c>
      <c r="K1494" s="13" t="s">
        <v>81</v>
      </c>
      <c r="L1494" s="14">
        <v>2153.0</v>
      </c>
      <c r="M1494" s="18" t="s">
        <v>98</v>
      </c>
      <c r="N1494" s="18" t="s">
        <v>173</v>
      </c>
      <c r="O1494" s="18">
        <v>43.2</v>
      </c>
      <c r="P1494" s="18" t="s">
        <v>173</v>
      </c>
      <c r="Q1494" s="16">
        <v>46743.0</v>
      </c>
      <c r="R1494" s="16" t="s">
        <v>38</v>
      </c>
      <c r="S1494" s="13" t="s">
        <v>55</v>
      </c>
      <c r="T1494" s="13" t="s">
        <v>104</v>
      </c>
      <c r="U1494" s="13">
        <f t="shared" si="1"/>
        <v>2</v>
      </c>
      <c r="V1494" s="13" t="str">
        <f t="shared" si="2"/>
        <v>C00938|Ravi Kumar|46|South|Hyderabad|Premium|Instagram|8/6/2025|42|Annual|Debit Card|2,153|1|5|43.20|5|12/22/2027||Active|Analytics</v>
      </c>
      <c r="W1494" s="13">
        <f t="shared" si="3"/>
        <v>1</v>
      </c>
      <c r="X1494" s="13">
        <f>IFERROR(__xludf.DUMMYFUNCTION("COUNTUNIQUE(FILTER($B$2:$B$1826,$A$2:$A$1826=A1494))"),2.0)</f>
        <v>2</v>
      </c>
    </row>
    <row r="1495">
      <c r="A1495" s="13" t="s">
        <v>1555</v>
      </c>
      <c r="B1495" s="13" t="s">
        <v>470</v>
      </c>
      <c r="C1495" s="14">
        <v>58.0</v>
      </c>
      <c r="D1495" s="13" t="s">
        <v>85</v>
      </c>
      <c r="E1495" s="13" t="s">
        <v>292</v>
      </c>
      <c r="F1495" s="13" t="s">
        <v>62</v>
      </c>
      <c r="G1495" s="13" t="s">
        <v>120</v>
      </c>
      <c r="H1495" s="16">
        <v>45393.0</v>
      </c>
      <c r="I1495" s="14">
        <v>26.0</v>
      </c>
      <c r="J1495" s="13" t="s">
        <v>40</v>
      </c>
      <c r="K1495" s="13" t="s">
        <v>65</v>
      </c>
      <c r="L1495" s="14">
        <v>784.0</v>
      </c>
      <c r="M1495" s="18" t="s">
        <v>164</v>
      </c>
      <c r="N1495" s="18" t="s">
        <v>98</v>
      </c>
      <c r="O1495" s="18">
        <v>15.1</v>
      </c>
      <c r="P1495" s="18" t="s">
        <v>173</v>
      </c>
      <c r="Q1495" s="16">
        <v>45539.0</v>
      </c>
      <c r="R1495" s="16" t="s">
        <v>38</v>
      </c>
      <c r="S1495" s="13" t="s">
        <v>55</v>
      </c>
      <c r="T1495" s="13" t="s">
        <v>104</v>
      </c>
      <c r="U1495" s="13">
        <f t="shared" si="1"/>
        <v>2</v>
      </c>
      <c r="V1495" s="13" t="str">
        <f t="shared" si="2"/>
        <v>C01473|Arun Singh|58|West|Mumbai|Basic|Email|4/11/2024|26|Monthly|Credit Card|784|3|1|15.10|5|9/4/2024||Active|Analytics</v>
      </c>
      <c r="W1495" s="13">
        <f t="shared" si="3"/>
        <v>1</v>
      </c>
      <c r="X1495" s="13">
        <f>IFERROR(__xludf.DUMMYFUNCTION("COUNTUNIQUE(FILTER($B$2:$B$1826,$A$2:$A$1826=A1495))"),2.0)</f>
        <v>2</v>
      </c>
    </row>
    <row r="1496">
      <c r="A1496" s="13" t="s">
        <v>672</v>
      </c>
      <c r="B1496" s="13" t="s">
        <v>184</v>
      </c>
      <c r="C1496" s="14">
        <v>52.0</v>
      </c>
      <c r="D1496" s="13" t="s">
        <v>69</v>
      </c>
      <c r="E1496" s="13" t="s">
        <v>119</v>
      </c>
      <c r="F1496" s="13" t="s">
        <v>62</v>
      </c>
      <c r="G1496" s="13" t="s">
        <v>210</v>
      </c>
      <c r="H1496" s="16">
        <v>45136.0</v>
      </c>
      <c r="I1496" s="14">
        <v>18.0</v>
      </c>
      <c r="J1496" s="13" t="s">
        <v>64</v>
      </c>
      <c r="K1496" s="13" t="s">
        <v>65</v>
      </c>
      <c r="L1496" s="14">
        <v>803.0</v>
      </c>
      <c r="M1496" s="18" t="s">
        <v>43</v>
      </c>
      <c r="N1496" s="18" t="s">
        <v>43</v>
      </c>
      <c r="O1496" s="18">
        <v>27.5</v>
      </c>
      <c r="P1496" s="18" t="s">
        <v>116</v>
      </c>
      <c r="Q1496" s="16">
        <v>45334.0</v>
      </c>
      <c r="R1496" s="16" t="s">
        <v>38</v>
      </c>
      <c r="S1496" s="13" t="s">
        <v>55</v>
      </c>
      <c r="T1496" s="13" t="s">
        <v>104</v>
      </c>
      <c r="U1496" s="13">
        <f t="shared" si="1"/>
        <v>2</v>
      </c>
      <c r="V1496" s="13" t="str">
        <f t="shared" si="2"/>
        <v>C01302|Vikram Reddy|52|South|Kochi|Basic|Referral|7/29/2023|18|Annual|Credit Card|803|2|2|27.50|3.4|2/12/2024||Active|Analytics</v>
      </c>
      <c r="W1496" s="13">
        <f t="shared" si="3"/>
        <v>1</v>
      </c>
      <c r="X1496" s="13">
        <f>IFERROR(__xludf.DUMMYFUNCTION("COUNTUNIQUE(FILTER($B$2:$B$1826,$A$2:$A$1826=A1496))"),2.0)</f>
        <v>2</v>
      </c>
    </row>
    <row r="1497">
      <c r="A1497" s="13" t="s">
        <v>1388</v>
      </c>
      <c r="B1497" s="13" t="s">
        <v>333</v>
      </c>
      <c r="C1497" s="14">
        <v>57.0</v>
      </c>
      <c r="D1497" s="13" t="s">
        <v>69</v>
      </c>
      <c r="E1497" s="13" t="s">
        <v>70</v>
      </c>
      <c r="F1497" s="13" t="s">
        <v>37</v>
      </c>
      <c r="G1497" s="13" t="s">
        <v>210</v>
      </c>
      <c r="H1497" s="16">
        <v>45917.0</v>
      </c>
      <c r="I1497" s="14">
        <v>43.0</v>
      </c>
      <c r="J1497" s="13" t="s">
        <v>40</v>
      </c>
      <c r="K1497" s="13" t="s">
        <v>81</v>
      </c>
      <c r="L1497" s="14">
        <v>1672.0</v>
      </c>
      <c r="M1497" s="18" t="s">
        <v>43</v>
      </c>
      <c r="N1497" s="18" t="s">
        <v>46</v>
      </c>
      <c r="O1497" s="18">
        <v>35.5</v>
      </c>
      <c r="P1497" s="18" t="s">
        <v>89</v>
      </c>
      <c r="Q1497" s="16">
        <v>46692.0</v>
      </c>
      <c r="R1497" s="16" t="s">
        <v>38</v>
      </c>
      <c r="S1497" s="13" t="s">
        <v>55</v>
      </c>
      <c r="T1497" s="13" t="s">
        <v>104</v>
      </c>
      <c r="U1497" s="13">
        <f t="shared" si="1"/>
        <v>3</v>
      </c>
      <c r="V1497" s="13" t="str">
        <f t="shared" si="2"/>
        <v>C00167|Neha Das|57|South|Bengaluru|Standard|Referral|9/17/2025|43|Monthly|Debit Card|1,672|2|0|35.50|3.3|11/1/2027||Active|Analytics</v>
      </c>
      <c r="W1497" s="13">
        <f t="shared" si="3"/>
        <v>1</v>
      </c>
      <c r="X1497" s="13">
        <f>IFERROR(__xludf.DUMMYFUNCTION("COUNTUNIQUE(FILTER($B$2:$B$1826,$A$2:$A$1826=A1497))"),3.0)</f>
        <v>3</v>
      </c>
    </row>
    <row r="1498">
      <c r="A1498" s="13" t="s">
        <v>2001</v>
      </c>
      <c r="B1498" s="13" t="s">
        <v>34</v>
      </c>
      <c r="C1498" s="14">
        <v>60.0</v>
      </c>
      <c r="D1498" s="13" t="s">
        <v>69</v>
      </c>
      <c r="E1498" s="13" t="s">
        <v>119</v>
      </c>
      <c r="F1498" s="13" t="s">
        <v>62</v>
      </c>
      <c r="G1498" s="13" t="s">
        <v>63</v>
      </c>
      <c r="H1498" s="16">
        <v>44936.0</v>
      </c>
      <c r="I1498" s="14">
        <v>36.0</v>
      </c>
      <c r="J1498" s="13" t="s">
        <v>53</v>
      </c>
      <c r="K1498" s="13" t="s">
        <v>41</v>
      </c>
      <c r="L1498" s="14">
        <v>790.0</v>
      </c>
      <c r="M1498" s="18" t="s">
        <v>46</v>
      </c>
      <c r="N1498" s="18" t="s">
        <v>173</v>
      </c>
      <c r="O1498" s="18">
        <v>17.4</v>
      </c>
      <c r="P1498" s="18" t="s">
        <v>108</v>
      </c>
      <c r="Q1498" s="16">
        <v>45066.0</v>
      </c>
      <c r="R1498" s="16">
        <v>45389.0</v>
      </c>
      <c r="S1498" s="13" t="s">
        <v>45</v>
      </c>
      <c r="T1498" s="13" t="s">
        <v>47</v>
      </c>
      <c r="U1498" s="13">
        <f t="shared" si="1"/>
        <v>1</v>
      </c>
      <c r="V1498" s="13" t="str">
        <f t="shared" si="2"/>
        <v>C00320|Meera Das|60|South|Kochi|Basic|Google Ads|1/10/2023|36|Quarterly|Upi|790|0|5|17.40|2.4|5/20/2023|4/7/2024|Churned|Cloud Storage</v>
      </c>
      <c r="W1498" s="13">
        <f t="shared" si="3"/>
        <v>1</v>
      </c>
      <c r="X1498" s="13">
        <f>IFERROR(__xludf.DUMMYFUNCTION("COUNTUNIQUE(FILTER($B$2:$B$1826,$A$2:$A$1826=A1498))"),1.0)</f>
        <v>1</v>
      </c>
    </row>
    <row r="1499">
      <c r="A1499" s="13" t="s">
        <v>2003</v>
      </c>
      <c r="B1499" s="13" t="s">
        <v>398</v>
      </c>
      <c r="C1499" s="14">
        <v>63.0</v>
      </c>
      <c r="D1499" s="13" t="s">
        <v>60</v>
      </c>
      <c r="E1499" s="13" t="s">
        <v>97</v>
      </c>
      <c r="F1499" s="13" t="s">
        <v>62</v>
      </c>
      <c r="G1499" s="13" t="s">
        <v>39</v>
      </c>
      <c r="H1499" s="16">
        <v>45974.0</v>
      </c>
      <c r="I1499" s="14">
        <v>20.0</v>
      </c>
      <c r="J1499" s="13" t="s">
        <v>64</v>
      </c>
      <c r="K1499" s="13" t="s">
        <v>65</v>
      </c>
      <c r="L1499" s="14">
        <v>680.0</v>
      </c>
      <c r="M1499" s="18" t="s">
        <v>98</v>
      </c>
      <c r="N1499" s="18" t="s">
        <v>164</v>
      </c>
      <c r="O1499" s="18">
        <v>20.5</v>
      </c>
      <c r="P1499" s="18" t="s">
        <v>225</v>
      </c>
      <c r="Q1499" s="16">
        <v>46419.0</v>
      </c>
      <c r="R1499" s="16" t="s">
        <v>38</v>
      </c>
      <c r="S1499" s="13" t="s">
        <v>55</v>
      </c>
      <c r="T1499" s="13" t="s">
        <v>72</v>
      </c>
      <c r="U1499" s="13">
        <f t="shared" si="1"/>
        <v>1</v>
      </c>
      <c r="V1499" s="13" t="str">
        <f t="shared" si="2"/>
        <v>C01545|Vikram Sharma|63|East|Bhubaneswar|Basic|Instagram|11/13/2025|20|Annual|Credit Card|680|1|3|20.50|3.8|2/1/2027||Active|Collaboration</v>
      </c>
      <c r="W1499" s="13">
        <f t="shared" si="3"/>
        <v>1</v>
      </c>
      <c r="X1499" s="13">
        <f>IFERROR(__xludf.DUMMYFUNCTION("COUNTUNIQUE(FILTER($B$2:$B$1826,$A$2:$A$1826=A1499))"),1.0)</f>
        <v>1</v>
      </c>
    </row>
    <row r="1500">
      <c r="A1500" s="13" t="s">
        <v>2004</v>
      </c>
      <c r="B1500" s="13" t="s">
        <v>229</v>
      </c>
      <c r="C1500" s="14">
        <v>50.0</v>
      </c>
      <c r="D1500" s="13" t="s">
        <v>60</v>
      </c>
      <c r="E1500" s="13" t="s">
        <v>61</v>
      </c>
      <c r="F1500" s="13" t="s">
        <v>79</v>
      </c>
      <c r="G1500" s="13" t="s">
        <v>128</v>
      </c>
      <c r="H1500" s="16">
        <v>45381.0</v>
      </c>
      <c r="I1500" s="14">
        <v>45.0</v>
      </c>
      <c r="J1500" s="13" t="s">
        <v>40</v>
      </c>
      <c r="K1500" s="13" t="s">
        <v>81</v>
      </c>
      <c r="L1500" s="14">
        <v>2299.0</v>
      </c>
      <c r="M1500" s="18" t="s">
        <v>43</v>
      </c>
      <c r="N1500" s="18" t="s">
        <v>46</v>
      </c>
      <c r="O1500" s="18">
        <v>40.1</v>
      </c>
      <c r="P1500" s="18" t="s">
        <v>310</v>
      </c>
      <c r="Q1500" s="16">
        <v>45634.0</v>
      </c>
      <c r="R1500" s="16" t="s">
        <v>38</v>
      </c>
      <c r="S1500" s="13" t="s">
        <v>55</v>
      </c>
      <c r="T1500" s="13" t="s">
        <v>72</v>
      </c>
      <c r="U1500" s="13">
        <f t="shared" si="1"/>
        <v>2</v>
      </c>
      <c r="V1500" s="13" t="str">
        <f t="shared" si="2"/>
        <v>C01596|Anita Nair|50|East|Kolkata|Premium|Youtube|3/30/2024|45|Monthly|Debit Card|2,299|2|0|40.10|3.1|12/8/2024||Active|Collaboration</v>
      </c>
      <c r="W1500" s="13">
        <f t="shared" si="3"/>
        <v>1</v>
      </c>
      <c r="X1500" s="13">
        <f>IFERROR(__xludf.DUMMYFUNCTION("COUNTUNIQUE(FILTER($B$2:$B$1826,$A$2:$A$1826=A1500))"),2.0)</f>
        <v>2</v>
      </c>
    </row>
    <row r="1501">
      <c r="A1501" s="13" t="s">
        <v>917</v>
      </c>
      <c r="B1501" s="13" t="s">
        <v>34</v>
      </c>
      <c r="C1501" s="14">
        <v>37.0</v>
      </c>
      <c r="D1501" s="13" t="s">
        <v>85</v>
      </c>
      <c r="E1501" s="13" t="s">
        <v>87</v>
      </c>
      <c r="F1501" s="13" t="s">
        <v>62</v>
      </c>
      <c r="G1501" s="13" t="s">
        <v>39</v>
      </c>
      <c r="H1501" s="16">
        <v>44822.0</v>
      </c>
      <c r="I1501" s="14">
        <v>15.0</v>
      </c>
      <c r="J1501" s="13" t="s">
        <v>64</v>
      </c>
      <c r="K1501" s="13" t="s">
        <v>41</v>
      </c>
      <c r="L1501" s="14">
        <v>694.0</v>
      </c>
      <c r="M1501" s="18" t="s">
        <v>46</v>
      </c>
      <c r="N1501" s="18" t="s">
        <v>46</v>
      </c>
      <c r="O1501" s="18">
        <v>22.1</v>
      </c>
      <c r="P1501" s="18" t="s">
        <v>248</v>
      </c>
      <c r="Q1501" s="16">
        <v>45069.0</v>
      </c>
      <c r="R1501" s="16" t="s">
        <v>38</v>
      </c>
      <c r="S1501" s="13" t="s">
        <v>55</v>
      </c>
      <c r="T1501" s="13" t="s">
        <v>47</v>
      </c>
      <c r="U1501" s="13">
        <f t="shared" si="1"/>
        <v>3</v>
      </c>
      <c r="V1501" s="13" t="str">
        <f t="shared" si="2"/>
        <v>C00567|Meera Das|37|West|Surat|Basic|Instagram|9/18/2022|15|Annual|Upi|694|0|0|22.10|2.6|5/23/2023||Active|Cloud Storage</v>
      </c>
      <c r="W1501" s="13">
        <f t="shared" si="3"/>
        <v>1</v>
      </c>
      <c r="X1501" s="13">
        <f>IFERROR(__xludf.DUMMYFUNCTION("COUNTUNIQUE(FILTER($B$2:$B$1826,$A$2:$A$1826=A1501))"),3.0)</f>
        <v>3</v>
      </c>
    </row>
    <row r="1502">
      <c r="A1502" s="13" t="s">
        <v>934</v>
      </c>
      <c r="B1502" s="13" t="s">
        <v>476</v>
      </c>
      <c r="C1502" s="14">
        <v>30.0</v>
      </c>
      <c r="D1502" s="13" t="s">
        <v>60</v>
      </c>
      <c r="E1502" s="13" t="s">
        <v>133</v>
      </c>
      <c r="F1502" s="13" t="s">
        <v>79</v>
      </c>
      <c r="G1502" s="13" t="s">
        <v>128</v>
      </c>
      <c r="H1502" s="16">
        <v>45927.0</v>
      </c>
      <c r="I1502" s="14">
        <v>12.0</v>
      </c>
      <c r="J1502" s="13" t="s">
        <v>40</v>
      </c>
      <c r="K1502" s="13" t="s">
        <v>65</v>
      </c>
      <c r="L1502" s="14">
        <v>2379.0</v>
      </c>
      <c r="M1502" s="18" t="s">
        <v>43</v>
      </c>
      <c r="N1502" s="18" t="s">
        <v>98</v>
      </c>
      <c r="O1502" s="18">
        <v>34.1</v>
      </c>
      <c r="P1502" s="18" t="s">
        <v>150</v>
      </c>
      <c r="Q1502" s="16">
        <v>46246.0</v>
      </c>
      <c r="R1502" s="16" t="s">
        <v>38</v>
      </c>
      <c r="S1502" s="13" t="s">
        <v>55</v>
      </c>
      <c r="T1502" s="13" t="s">
        <v>66</v>
      </c>
      <c r="U1502" s="13">
        <f t="shared" si="1"/>
        <v>3</v>
      </c>
      <c r="V1502" s="13" t="str">
        <f t="shared" si="2"/>
        <v>C00764|Ravi Das|30|East|Guwahati|Premium|Youtube|9/27/2025|12|Monthly|Credit Card|2,379|2|1|34.10|4.5|8/12/2026||Active|Automation</v>
      </c>
      <c r="W1502" s="13">
        <f t="shared" si="3"/>
        <v>1</v>
      </c>
      <c r="X1502" s="13">
        <f>IFERROR(__xludf.DUMMYFUNCTION("COUNTUNIQUE(FILTER($B$2:$B$1826,$A$2:$A$1826=A1502))"),3.0)</f>
        <v>3</v>
      </c>
    </row>
    <row r="1503">
      <c r="A1503" s="13" t="s">
        <v>466</v>
      </c>
      <c r="B1503" s="13" t="s">
        <v>633</v>
      </c>
      <c r="C1503" s="14">
        <v>58.0</v>
      </c>
      <c r="D1503" s="13" t="s">
        <v>85</v>
      </c>
      <c r="E1503" s="13" t="s">
        <v>70</v>
      </c>
      <c r="F1503" s="13" t="s">
        <v>62</v>
      </c>
      <c r="G1503" s="13" t="s">
        <v>120</v>
      </c>
      <c r="H1503" s="16">
        <v>44710.0</v>
      </c>
      <c r="I1503" s="14">
        <v>30.0</v>
      </c>
      <c r="J1503" s="13" t="s">
        <v>64</v>
      </c>
      <c r="K1503" s="13" t="s">
        <v>81</v>
      </c>
      <c r="L1503" s="14">
        <v>790.0</v>
      </c>
      <c r="M1503" s="18" t="s">
        <v>164</v>
      </c>
      <c r="N1503" s="18" t="s">
        <v>98</v>
      </c>
      <c r="O1503" s="18">
        <v>21.0</v>
      </c>
      <c r="P1503" s="18" t="s">
        <v>130</v>
      </c>
      <c r="Q1503" s="16">
        <v>44901.0</v>
      </c>
      <c r="R1503" s="16">
        <v>45108.0</v>
      </c>
      <c r="S1503" s="13" t="s">
        <v>45</v>
      </c>
      <c r="T1503" s="13" t="s">
        <v>47</v>
      </c>
      <c r="U1503" s="13">
        <f t="shared" si="1"/>
        <v>3</v>
      </c>
      <c r="V1503" s="13" t="str">
        <f t="shared" si="2"/>
        <v>C01270|Anita Das|58|West|Bengaluru|Basic|Email|5/29/2022|30|Annual|Debit Card|790|3|1|21.00|3.9|12/6/2022|7/1/2023|Churned|Cloud Storage</v>
      </c>
      <c r="W1503" s="13">
        <f t="shared" si="3"/>
        <v>1</v>
      </c>
      <c r="X1503" s="13">
        <f>IFERROR(__xludf.DUMMYFUNCTION("COUNTUNIQUE(FILTER($B$2:$B$1826,$A$2:$A$1826=A1503))"),3.0)</f>
        <v>3</v>
      </c>
    </row>
    <row r="1504">
      <c r="A1504" s="13" t="s">
        <v>1058</v>
      </c>
      <c r="B1504" s="13" t="s">
        <v>605</v>
      </c>
      <c r="C1504" s="14">
        <v>42.0</v>
      </c>
      <c r="D1504" s="13" t="s">
        <v>35</v>
      </c>
      <c r="E1504" s="13" t="s">
        <v>187</v>
      </c>
      <c r="F1504" s="13" t="s">
        <v>62</v>
      </c>
      <c r="G1504" s="13" t="s">
        <v>80</v>
      </c>
      <c r="H1504" s="16">
        <v>45539.0</v>
      </c>
      <c r="I1504" s="14">
        <v>26.0</v>
      </c>
      <c r="J1504" s="13" t="s">
        <v>53</v>
      </c>
      <c r="K1504" s="13" t="s">
        <v>65</v>
      </c>
      <c r="L1504" s="14">
        <v>736.0</v>
      </c>
      <c r="M1504" s="18" t="s">
        <v>46</v>
      </c>
      <c r="N1504" s="18" t="s">
        <v>98</v>
      </c>
      <c r="O1504" s="18">
        <v>25.8</v>
      </c>
      <c r="P1504" s="18" t="s">
        <v>400</v>
      </c>
      <c r="Q1504" s="16">
        <v>46010.0</v>
      </c>
      <c r="R1504" s="16" t="s">
        <v>38</v>
      </c>
      <c r="S1504" s="13" t="s">
        <v>55</v>
      </c>
      <c r="T1504" s="13" t="s">
        <v>72</v>
      </c>
      <c r="U1504" s="13">
        <f t="shared" si="1"/>
        <v>3</v>
      </c>
      <c r="V1504" s="13" t="str">
        <f t="shared" si="2"/>
        <v>C01205|Meera Patel|42|North|Chennai|Basic|Organic Search|9/4/2024|26|Quarterly|Credit Card|736|0|1|25.80|4.8|12/19/2025||Active|Collaboration</v>
      </c>
      <c r="W1504" s="13">
        <f t="shared" si="3"/>
        <v>1</v>
      </c>
      <c r="X1504" s="13">
        <f>IFERROR(__xludf.DUMMYFUNCTION("COUNTUNIQUE(FILTER($B$2:$B$1826,$A$2:$A$1826=A1504))"),3.0)</f>
        <v>3</v>
      </c>
    </row>
    <row r="1505">
      <c r="A1505" s="13" t="s">
        <v>265</v>
      </c>
      <c r="B1505" s="13" t="s">
        <v>395</v>
      </c>
      <c r="C1505" s="14">
        <v>67.0</v>
      </c>
      <c r="D1505" s="13" t="s">
        <v>69</v>
      </c>
      <c r="E1505" s="13" t="s">
        <v>177</v>
      </c>
      <c r="F1505" s="13" t="s">
        <v>37</v>
      </c>
      <c r="G1505" s="13" t="s">
        <v>63</v>
      </c>
      <c r="H1505" s="16">
        <v>45633.0</v>
      </c>
      <c r="I1505" s="14">
        <v>17.0</v>
      </c>
      <c r="J1505" s="13" t="s">
        <v>64</v>
      </c>
      <c r="K1505" s="13" t="s">
        <v>41</v>
      </c>
      <c r="L1505" s="14">
        <v>1096.0</v>
      </c>
      <c r="M1505" s="18" t="s">
        <v>43</v>
      </c>
      <c r="N1505" s="18" t="s">
        <v>98</v>
      </c>
      <c r="O1505" s="18">
        <v>43.0</v>
      </c>
      <c r="P1505" s="18" t="s">
        <v>164</v>
      </c>
      <c r="Q1505" s="16">
        <v>45847.0</v>
      </c>
      <c r="R1505" s="16">
        <v>45941.0</v>
      </c>
      <c r="S1505" s="13" t="s">
        <v>45</v>
      </c>
      <c r="T1505" s="13" t="s">
        <v>47</v>
      </c>
      <c r="U1505" s="13">
        <f t="shared" si="1"/>
        <v>2</v>
      </c>
      <c r="V1505" s="13" t="str">
        <f t="shared" si="2"/>
        <v>C00249|Ravi Singh|67|South|Hyderabad|Standard|Google Ads|12/7/2024|17|Annual|Upi|1,096|2|1|43.00|3|7/9/2025|10/11/2025|Churned|Cloud Storage</v>
      </c>
      <c r="W1505" s="13">
        <f t="shared" si="3"/>
        <v>1</v>
      </c>
      <c r="X1505" s="13">
        <f>IFERROR(__xludf.DUMMYFUNCTION("COUNTUNIQUE(FILTER($B$2:$B$1826,$A$2:$A$1826=A1505))"),2.0)</f>
        <v>2</v>
      </c>
    </row>
    <row r="1506">
      <c r="A1506" s="13" t="s">
        <v>327</v>
      </c>
      <c r="B1506" s="13" t="s">
        <v>288</v>
      </c>
      <c r="C1506" s="14">
        <v>38.0</v>
      </c>
      <c r="D1506" s="13" t="s">
        <v>85</v>
      </c>
      <c r="E1506" s="13" t="s">
        <v>292</v>
      </c>
      <c r="F1506" s="13" t="s">
        <v>62</v>
      </c>
      <c r="G1506" s="13" t="s">
        <v>63</v>
      </c>
      <c r="H1506" s="16">
        <v>45155.0</v>
      </c>
      <c r="I1506" s="14">
        <v>20.0</v>
      </c>
      <c r="J1506" s="13" t="s">
        <v>64</v>
      </c>
      <c r="K1506" s="13" t="s">
        <v>81</v>
      </c>
      <c r="L1506" s="14">
        <v>836.0</v>
      </c>
      <c r="M1506" s="18" t="s">
        <v>164</v>
      </c>
      <c r="N1506" s="18" t="s">
        <v>98</v>
      </c>
      <c r="O1506" s="18">
        <v>16.7</v>
      </c>
      <c r="P1506" s="18" t="s">
        <v>76</v>
      </c>
      <c r="Q1506" s="16">
        <v>45573.0</v>
      </c>
      <c r="R1506" s="16" t="s">
        <v>38</v>
      </c>
      <c r="S1506" s="13" t="s">
        <v>55</v>
      </c>
      <c r="T1506" s="13" t="s">
        <v>47</v>
      </c>
      <c r="U1506" s="13">
        <f t="shared" si="1"/>
        <v>3</v>
      </c>
      <c r="V1506" s="13" t="str">
        <f t="shared" si="2"/>
        <v>C00259|Rahul Sharma|38|West|Mumbai|Basic|Google Ads|8/17/2023|20|Annual|Debit Card|836|3|1|16.70|4.4|10/8/2024||Active|Cloud Storage</v>
      </c>
      <c r="W1506" s="13">
        <f t="shared" si="3"/>
        <v>1</v>
      </c>
      <c r="X1506" s="13">
        <f>IFERROR(__xludf.DUMMYFUNCTION("COUNTUNIQUE(FILTER($B$2:$B$1826,$A$2:$A$1826=A1506))"),3.0)</f>
        <v>3</v>
      </c>
    </row>
    <row r="1507">
      <c r="A1507" s="13" t="s">
        <v>2007</v>
      </c>
      <c r="B1507" s="13" t="s">
        <v>645</v>
      </c>
      <c r="C1507" s="14">
        <v>27.0</v>
      </c>
      <c r="D1507" s="13" t="s">
        <v>60</v>
      </c>
      <c r="E1507" s="13" t="s">
        <v>61</v>
      </c>
      <c r="F1507" s="13" t="s">
        <v>62</v>
      </c>
      <c r="G1507" s="13" t="s">
        <v>63</v>
      </c>
      <c r="H1507" s="16">
        <v>44596.0</v>
      </c>
      <c r="I1507" s="14">
        <v>14.0</v>
      </c>
      <c r="J1507" s="13" t="s">
        <v>40</v>
      </c>
      <c r="K1507" s="13" t="s">
        <v>81</v>
      </c>
      <c r="L1507" s="14">
        <v>793.0</v>
      </c>
      <c r="M1507" s="18" t="s">
        <v>98</v>
      </c>
      <c r="N1507" s="18" t="s">
        <v>98</v>
      </c>
      <c r="O1507" s="18">
        <v>10.9</v>
      </c>
      <c r="P1507" s="18" t="s">
        <v>130</v>
      </c>
      <c r="Q1507" s="16">
        <v>44683.0</v>
      </c>
      <c r="R1507" s="16" t="s">
        <v>38</v>
      </c>
      <c r="S1507" s="13" t="s">
        <v>55</v>
      </c>
      <c r="T1507" s="13" t="s">
        <v>66</v>
      </c>
      <c r="U1507" s="13">
        <f t="shared" si="1"/>
        <v>1</v>
      </c>
      <c r="V1507" s="13" t="str">
        <f t="shared" si="2"/>
        <v>C00070|Ravi Nair|27|East|Kolkata|Basic|Google Ads|2/4/2022|14|Monthly|Debit Card|793|1|1|10.90|3.9|5/2/2022||Active|Automation</v>
      </c>
      <c r="W1507" s="13">
        <f t="shared" si="3"/>
        <v>1</v>
      </c>
      <c r="X1507" s="13">
        <f>IFERROR(__xludf.DUMMYFUNCTION("COUNTUNIQUE(FILTER($B$2:$B$1826,$A$2:$A$1826=A1507))"),1.0)</f>
        <v>1</v>
      </c>
    </row>
    <row r="1508">
      <c r="A1508" s="13" t="s">
        <v>2008</v>
      </c>
      <c r="B1508" s="13" t="s">
        <v>68</v>
      </c>
      <c r="C1508" s="14">
        <v>22.0</v>
      </c>
      <c r="D1508" s="13" t="s">
        <v>85</v>
      </c>
      <c r="E1508" s="13" t="s">
        <v>92</v>
      </c>
      <c r="F1508" s="13" t="s">
        <v>37</v>
      </c>
      <c r="G1508" s="13" t="s">
        <v>120</v>
      </c>
      <c r="H1508" s="16">
        <v>45170.0</v>
      </c>
      <c r="I1508" s="14">
        <v>11.0</v>
      </c>
      <c r="J1508" s="13" t="s">
        <v>64</v>
      </c>
      <c r="K1508" s="13" t="s">
        <v>41</v>
      </c>
      <c r="L1508" s="14">
        <v>1713.0</v>
      </c>
      <c r="M1508" s="18" t="s">
        <v>98</v>
      </c>
      <c r="N1508" s="18" t="s">
        <v>98</v>
      </c>
      <c r="O1508" s="18">
        <v>27.2</v>
      </c>
      <c r="P1508" s="18" t="s">
        <v>296</v>
      </c>
      <c r="Q1508" s="16">
        <v>45331.0</v>
      </c>
      <c r="R1508" s="16">
        <v>45087.0</v>
      </c>
      <c r="S1508" s="13" t="s">
        <v>45</v>
      </c>
      <c r="T1508" s="13" t="s">
        <v>47</v>
      </c>
      <c r="U1508" s="13">
        <f t="shared" si="1"/>
        <v>1</v>
      </c>
      <c r="V1508" s="13" t="str">
        <f t="shared" si="2"/>
        <v>C01107|Anita Patel|22|West|Ahmedabad|Standard|Email|9/1/2023|11|Annual|Upi|1,713|1|1|27.20|4.6|2/9/2024|6/10/2023|Churned|Cloud Storage</v>
      </c>
      <c r="W1508" s="13">
        <f t="shared" si="3"/>
        <v>1</v>
      </c>
      <c r="X1508" s="13">
        <f>IFERROR(__xludf.DUMMYFUNCTION("COUNTUNIQUE(FILTER($B$2:$B$1826,$A$2:$A$1826=A1508))"),1.0)</f>
        <v>1</v>
      </c>
    </row>
    <row r="1509">
      <c r="A1509" s="13" t="s">
        <v>537</v>
      </c>
      <c r="B1509" s="13" t="s">
        <v>476</v>
      </c>
      <c r="C1509" s="14">
        <v>27.0</v>
      </c>
      <c r="D1509" s="13" t="s">
        <v>69</v>
      </c>
      <c r="E1509" s="13" t="s">
        <v>70</v>
      </c>
      <c r="F1509" s="13" t="s">
        <v>37</v>
      </c>
      <c r="G1509" s="13" t="s">
        <v>120</v>
      </c>
      <c r="H1509" s="16">
        <v>45435.0</v>
      </c>
      <c r="I1509" s="14">
        <v>28.0</v>
      </c>
      <c r="J1509" s="13" t="s">
        <v>64</v>
      </c>
      <c r="K1509" s="13" t="s">
        <v>81</v>
      </c>
      <c r="L1509" s="14">
        <v>1636.0</v>
      </c>
      <c r="M1509" s="18" t="s">
        <v>43</v>
      </c>
      <c r="N1509" s="18" t="s">
        <v>46</v>
      </c>
      <c r="O1509" s="18">
        <v>17.7</v>
      </c>
      <c r="P1509" s="18" t="s">
        <v>116</v>
      </c>
      <c r="Q1509" s="16">
        <v>45712.0</v>
      </c>
      <c r="R1509" s="16" t="s">
        <v>38</v>
      </c>
      <c r="S1509" s="13" t="s">
        <v>55</v>
      </c>
      <c r="T1509" s="13" t="s">
        <v>104</v>
      </c>
      <c r="U1509" s="13">
        <f t="shared" si="1"/>
        <v>3</v>
      </c>
      <c r="V1509" s="13" t="str">
        <f t="shared" si="2"/>
        <v>C00690|Ravi Das|27|South|Bengaluru|Standard|Email|5/23/2024|28|Annual|Debit Card|1,636|2|0|17.70|3.4|2/24/2025||Active|Analytics</v>
      </c>
      <c r="W1509" s="13">
        <f t="shared" si="3"/>
        <v>2</v>
      </c>
      <c r="X1509" s="13">
        <f>IFERROR(__xludf.DUMMYFUNCTION("COUNTUNIQUE(FILTER($B$2:$B$1826,$A$2:$A$1826=A1509))"),2.0)</f>
        <v>2</v>
      </c>
    </row>
    <row r="1510">
      <c r="A1510" s="13" t="s">
        <v>2010</v>
      </c>
      <c r="B1510" s="13" t="s">
        <v>734</v>
      </c>
      <c r="C1510" s="14">
        <v>45.0</v>
      </c>
      <c r="D1510" s="13" t="s">
        <v>60</v>
      </c>
      <c r="E1510" s="13" t="s">
        <v>133</v>
      </c>
      <c r="F1510" s="13" t="s">
        <v>37</v>
      </c>
      <c r="G1510" s="13" t="s">
        <v>63</v>
      </c>
      <c r="H1510" s="16">
        <v>44736.0</v>
      </c>
      <c r="I1510" s="14">
        <v>31.0</v>
      </c>
      <c r="J1510" s="13" t="s">
        <v>40</v>
      </c>
      <c r="K1510" s="13" t="s">
        <v>81</v>
      </c>
      <c r="L1510" s="14">
        <v>1642.0</v>
      </c>
      <c r="M1510" s="18" t="s">
        <v>173</v>
      </c>
      <c r="N1510" s="18" t="s">
        <v>98</v>
      </c>
      <c r="O1510" s="18">
        <v>29.4</v>
      </c>
      <c r="P1510" s="18" t="s">
        <v>158</v>
      </c>
      <c r="Q1510" s="16">
        <v>44748.0</v>
      </c>
      <c r="R1510" s="16" t="s">
        <v>38</v>
      </c>
      <c r="S1510" s="13" t="s">
        <v>55</v>
      </c>
      <c r="T1510" s="13" t="s">
        <v>75</v>
      </c>
      <c r="U1510" s="13">
        <f t="shared" si="1"/>
        <v>1</v>
      </c>
      <c r="V1510" s="13" t="str">
        <f t="shared" si="2"/>
        <v>C01330|Sneha Das|45|East|Guwahati|Standard|Google Ads|6/24/2022|31|Monthly|Debit Card|1,642|5|1|29.40|4.7|7/6/2022||Active|Security</v>
      </c>
      <c r="W1510" s="13">
        <f t="shared" si="3"/>
        <v>1</v>
      </c>
      <c r="X1510" s="13">
        <f>IFERROR(__xludf.DUMMYFUNCTION("COUNTUNIQUE(FILTER($B$2:$B$1826,$A$2:$A$1826=A1510))"),1.0)</f>
        <v>1</v>
      </c>
    </row>
    <row r="1511">
      <c r="A1511" s="13" t="s">
        <v>667</v>
      </c>
      <c r="B1511" s="13" t="s">
        <v>250</v>
      </c>
      <c r="C1511" s="14">
        <v>38.0</v>
      </c>
      <c r="D1511" s="13" t="s">
        <v>60</v>
      </c>
      <c r="E1511" s="13" t="s">
        <v>133</v>
      </c>
      <c r="F1511" s="13" t="s">
        <v>62</v>
      </c>
      <c r="G1511" s="13" t="s">
        <v>128</v>
      </c>
      <c r="H1511" s="16">
        <v>45896.0</v>
      </c>
      <c r="I1511" s="14">
        <v>47.0</v>
      </c>
      <c r="J1511" s="13" t="s">
        <v>53</v>
      </c>
      <c r="K1511" s="13" t="s">
        <v>65</v>
      </c>
      <c r="L1511" s="14">
        <v>893.0</v>
      </c>
      <c r="M1511" s="18" t="s">
        <v>43</v>
      </c>
      <c r="N1511" s="18" t="s">
        <v>164</v>
      </c>
      <c r="O1511" s="18">
        <v>10.4</v>
      </c>
      <c r="P1511" s="18" t="s">
        <v>263</v>
      </c>
      <c r="Q1511" s="16">
        <v>45919.0</v>
      </c>
      <c r="R1511" s="16" t="s">
        <v>38</v>
      </c>
      <c r="S1511" s="13" t="s">
        <v>55</v>
      </c>
      <c r="T1511" s="13" t="s">
        <v>104</v>
      </c>
      <c r="U1511" s="13">
        <f t="shared" si="1"/>
        <v>4</v>
      </c>
      <c r="V1511" s="13" t="str">
        <f t="shared" si="2"/>
        <v>C01172|Vikram Singh|38|East|Guwahati|Basic|Youtube|8/27/2025|47|Quarterly|Credit Card|893|2|3|10.40|2.9|9/19/2025||Active|Analytics</v>
      </c>
      <c r="W1511" s="13">
        <f t="shared" si="3"/>
        <v>1</v>
      </c>
      <c r="X1511" s="13">
        <f>IFERROR(__xludf.DUMMYFUNCTION("COUNTUNIQUE(FILTER($B$2:$B$1826,$A$2:$A$1826=A1511))"),4.0)</f>
        <v>4</v>
      </c>
    </row>
    <row r="1512">
      <c r="A1512" s="13" t="s">
        <v>544</v>
      </c>
      <c r="B1512" s="13" t="s">
        <v>303</v>
      </c>
      <c r="C1512" s="14">
        <v>22.0</v>
      </c>
      <c r="D1512" s="13" t="s">
        <v>69</v>
      </c>
      <c r="E1512" s="13" t="s">
        <v>177</v>
      </c>
      <c r="F1512" s="13" t="s">
        <v>62</v>
      </c>
      <c r="G1512" s="13" t="s">
        <v>63</v>
      </c>
      <c r="H1512" s="16">
        <v>45906.0</v>
      </c>
      <c r="I1512" s="14">
        <v>13.0</v>
      </c>
      <c r="J1512" s="13" t="s">
        <v>53</v>
      </c>
      <c r="K1512" s="13" t="s">
        <v>65</v>
      </c>
      <c r="L1512" s="14">
        <v>815.0</v>
      </c>
      <c r="M1512" s="18" t="s">
        <v>98</v>
      </c>
      <c r="N1512" s="18" t="s">
        <v>98</v>
      </c>
      <c r="O1512" s="18">
        <v>17.1</v>
      </c>
      <c r="P1512" s="18" t="s">
        <v>130</v>
      </c>
      <c r="Q1512" s="16">
        <v>46123.0</v>
      </c>
      <c r="R1512" s="16" t="s">
        <v>38</v>
      </c>
      <c r="S1512" s="13" t="s">
        <v>55</v>
      </c>
      <c r="T1512" s="13" t="s">
        <v>75</v>
      </c>
      <c r="U1512" s="13">
        <f t="shared" si="1"/>
        <v>5</v>
      </c>
      <c r="V1512" s="13" t="str">
        <f t="shared" si="2"/>
        <v>C01456|Priya Kumar|22|South|Hyderabad|Basic|Google Ads|9/6/2025|13|Quarterly|Credit Card|815|1|1|17.10|3.9|4/11/2026||Active|Security</v>
      </c>
      <c r="W1512" s="13">
        <f t="shared" si="3"/>
        <v>1</v>
      </c>
      <c r="X1512" s="13">
        <f>IFERROR(__xludf.DUMMYFUNCTION("COUNTUNIQUE(FILTER($B$2:$B$1826,$A$2:$A$1826=A1512))"),5.0)</f>
        <v>5</v>
      </c>
    </row>
    <row r="1513">
      <c r="A1513" s="13" t="s">
        <v>1919</v>
      </c>
      <c r="B1513" s="13" t="s">
        <v>96</v>
      </c>
      <c r="C1513" s="14">
        <v>28.0</v>
      </c>
      <c r="D1513" s="13" t="s">
        <v>69</v>
      </c>
      <c r="E1513" s="13" t="s">
        <v>70</v>
      </c>
      <c r="F1513" s="13" t="s">
        <v>37</v>
      </c>
      <c r="G1513" s="13" t="s">
        <v>210</v>
      </c>
      <c r="H1513" s="16">
        <v>44689.0</v>
      </c>
      <c r="I1513" s="14">
        <v>15.0</v>
      </c>
      <c r="J1513" s="13" t="s">
        <v>64</v>
      </c>
      <c r="K1513" s="13" t="s">
        <v>65</v>
      </c>
      <c r="L1513" s="14">
        <v>1588.0</v>
      </c>
      <c r="M1513" s="18" t="s">
        <v>164</v>
      </c>
      <c r="N1513" s="18" t="s">
        <v>46</v>
      </c>
      <c r="O1513" s="18">
        <v>24.6</v>
      </c>
      <c r="P1513" s="18" t="s">
        <v>164</v>
      </c>
      <c r="Q1513" s="16">
        <v>45038.0</v>
      </c>
      <c r="R1513" s="16" t="s">
        <v>38</v>
      </c>
      <c r="S1513" s="13" t="s">
        <v>55</v>
      </c>
      <c r="T1513" s="13" t="s">
        <v>66</v>
      </c>
      <c r="U1513" s="13">
        <f t="shared" si="1"/>
        <v>2</v>
      </c>
      <c r="V1513" s="13" t="str">
        <f t="shared" si="2"/>
        <v>C00403|Rahul Kumar|28|South|Bengaluru|Standard|Referral|5/8/2022|15|Annual|Credit Card|1,588|3|0|24.60|3|4/22/2023||Active|Automation</v>
      </c>
      <c r="W1513" s="13">
        <f t="shared" si="3"/>
        <v>1</v>
      </c>
      <c r="X1513" s="13">
        <f>IFERROR(__xludf.DUMMYFUNCTION("COUNTUNIQUE(FILTER($B$2:$B$1826,$A$2:$A$1826=A1513))"),2.0)</f>
        <v>2</v>
      </c>
    </row>
    <row r="1514">
      <c r="A1514" s="13" t="s">
        <v>975</v>
      </c>
      <c r="B1514" s="13" t="s">
        <v>420</v>
      </c>
      <c r="C1514" s="14">
        <v>36.0</v>
      </c>
      <c r="D1514" s="13" t="s">
        <v>35</v>
      </c>
      <c r="E1514" s="13" t="s">
        <v>51</v>
      </c>
      <c r="F1514" s="13" t="s">
        <v>62</v>
      </c>
      <c r="G1514" s="13" t="s">
        <v>39</v>
      </c>
      <c r="H1514" s="16">
        <v>44992.0</v>
      </c>
      <c r="I1514" s="14">
        <v>30.0</v>
      </c>
      <c r="J1514" s="13" t="s">
        <v>53</v>
      </c>
      <c r="K1514" s="13" t="s">
        <v>65</v>
      </c>
      <c r="L1514" s="14">
        <v>1748.0</v>
      </c>
      <c r="M1514" s="18" t="s">
        <v>43</v>
      </c>
      <c r="N1514" s="18" t="s">
        <v>43</v>
      </c>
      <c r="O1514" s="18">
        <v>22.1</v>
      </c>
      <c r="P1514" s="18" t="s">
        <v>916</v>
      </c>
      <c r="Q1514" s="16">
        <v>45831.0</v>
      </c>
      <c r="R1514" s="16" t="s">
        <v>38</v>
      </c>
      <c r="S1514" s="13" t="s">
        <v>55</v>
      </c>
      <c r="T1514" s="13" t="s">
        <v>66</v>
      </c>
      <c r="U1514" s="13">
        <f t="shared" si="1"/>
        <v>3</v>
      </c>
      <c r="V1514" s="13" t="str">
        <f t="shared" si="2"/>
        <v>C01525|Vikram Iyer|36|North|Jaipur|Basic|Instagram|3/7/2023|30|Quarterly|Credit Card|1,748|2|2|22.10|1.9|6/23/2025||Active|Automation</v>
      </c>
      <c r="W1514" s="13">
        <f t="shared" si="3"/>
        <v>1</v>
      </c>
      <c r="X1514" s="13">
        <f>IFERROR(__xludf.DUMMYFUNCTION("COUNTUNIQUE(FILTER($B$2:$B$1826,$A$2:$A$1826=A1514))"),3.0)</f>
        <v>3</v>
      </c>
    </row>
    <row r="1515">
      <c r="A1515" s="13" t="s">
        <v>2011</v>
      </c>
      <c r="B1515" s="13" t="s">
        <v>303</v>
      </c>
      <c r="C1515" s="14">
        <v>63.0</v>
      </c>
      <c r="D1515" s="13" t="s">
        <v>35</v>
      </c>
      <c r="E1515" s="13" t="s">
        <v>161</v>
      </c>
      <c r="F1515" s="13" t="s">
        <v>37</v>
      </c>
      <c r="G1515" s="13" t="s">
        <v>63</v>
      </c>
      <c r="H1515" s="16">
        <v>45471.0</v>
      </c>
      <c r="I1515" s="14">
        <v>48.0</v>
      </c>
      <c r="J1515" s="13" t="s">
        <v>53</v>
      </c>
      <c r="K1515" s="13" t="s">
        <v>65</v>
      </c>
      <c r="L1515" s="14">
        <v>1130.0</v>
      </c>
      <c r="M1515" s="18" t="s">
        <v>46</v>
      </c>
      <c r="N1515" s="18" t="s">
        <v>98</v>
      </c>
      <c r="O1515" s="18">
        <v>27.8</v>
      </c>
      <c r="P1515" s="18" t="s">
        <v>233</v>
      </c>
      <c r="Q1515" s="16">
        <v>45942.0</v>
      </c>
      <c r="R1515" s="16">
        <v>46117.0</v>
      </c>
      <c r="S1515" s="13" t="s">
        <v>45</v>
      </c>
      <c r="T1515" s="13" t="s">
        <v>72</v>
      </c>
      <c r="U1515" s="13">
        <f t="shared" si="1"/>
        <v>1</v>
      </c>
      <c r="V1515" s="13" t="str">
        <f t="shared" si="2"/>
        <v>C01248|Priya Kumar|63|North|Chandigarh|Standard|Google Ads|6/28/2024|48|Quarterly|Credit Card|1,130|0|1|27.80|3.5|10/12/2025|4/5/2026|Churned|Collaboration</v>
      </c>
      <c r="W1515" s="13">
        <f t="shared" si="3"/>
        <v>1</v>
      </c>
      <c r="X1515" s="13">
        <f>IFERROR(__xludf.DUMMYFUNCTION("COUNTUNIQUE(FILTER($B$2:$B$1826,$A$2:$A$1826=A1515))"),1.0)</f>
        <v>1</v>
      </c>
    </row>
    <row r="1516">
      <c r="A1516" s="13" t="s">
        <v>1131</v>
      </c>
      <c r="B1516" s="13" t="s">
        <v>405</v>
      </c>
      <c r="C1516" s="14">
        <v>24.0</v>
      </c>
      <c r="D1516" s="13" t="s">
        <v>35</v>
      </c>
      <c r="E1516" s="13" t="s">
        <v>140</v>
      </c>
      <c r="F1516" s="13" t="s">
        <v>37</v>
      </c>
      <c r="G1516" s="13" t="s">
        <v>52</v>
      </c>
      <c r="H1516" s="16">
        <v>45703.0</v>
      </c>
      <c r="I1516" s="14">
        <v>23.0</v>
      </c>
      <c r="J1516" s="13" t="s">
        <v>53</v>
      </c>
      <c r="K1516" s="13" t="s">
        <v>65</v>
      </c>
      <c r="L1516" s="14">
        <v>1243.0</v>
      </c>
      <c r="M1516" s="18" t="s">
        <v>98</v>
      </c>
      <c r="N1516" s="18" t="s">
        <v>46</v>
      </c>
      <c r="O1516" s="18">
        <v>17.2</v>
      </c>
      <c r="P1516" s="18" t="s">
        <v>116</v>
      </c>
      <c r="Q1516" s="16">
        <v>46386.0</v>
      </c>
      <c r="R1516" s="16" t="s">
        <v>38</v>
      </c>
      <c r="S1516" s="13" t="s">
        <v>55</v>
      </c>
      <c r="T1516" s="13" t="s">
        <v>75</v>
      </c>
      <c r="U1516" s="13">
        <f t="shared" si="1"/>
        <v>2</v>
      </c>
      <c r="V1516" s="13" t="str">
        <f t="shared" si="2"/>
        <v>C00157|Rahul Reddy|24|North|Lucknow|Standard|Facebook|2/15/2025|23|Quarterly|Credit Card|1,243|1|0|17.20|3.4|12/30/2026||Active|Security</v>
      </c>
      <c r="W1516" s="13">
        <f t="shared" si="3"/>
        <v>1</v>
      </c>
      <c r="X1516" s="13">
        <f>IFERROR(__xludf.DUMMYFUNCTION("COUNTUNIQUE(FILTER($B$2:$B$1826,$A$2:$A$1826=A1516))"),2.0)</f>
        <v>2</v>
      </c>
    </row>
    <row r="1517">
      <c r="A1517" s="13" t="s">
        <v>2013</v>
      </c>
      <c r="B1517" s="13" t="s">
        <v>342</v>
      </c>
      <c r="C1517" s="14">
        <v>47.0</v>
      </c>
      <c r="D1517" s="13" t="s">
        <v>60</v>
      </c>
      <c r="E1517" s="13" t="s">
        <v>61</v>
      </c>
      <c r="F1517" s="13" t="s">
        <v>37</v>
      </c>
      <c r="G1517" s="13" t="s">
        <v>63</v>
      </c>
      <c r="H1517" s="16">
        <v>45705.0</v>
      </c>
      <c r="I1517" s="14">
        <v>23.0</v>
      </c>
      <c r="J1517" s="13" t="s">
        <v>53</v>
      </c>
      <c r="K1517" s="13" t="s">
        <v>65</v>
      </c>
      <c r="L1517" s="14">
        <v>1353.0</v>
      </c>
      <c r="M1517" s="18" t="s">
        <v>46</v>
      </c>
      <c r="N1517" s="18" t="s">
        <v>46</v>
      </c>
      <c r="O1517" s="18">
        <v>31.5</v>
      </c>
      <c r="P1517" s="18" t="s">
        <v>164</v>
      </c>
      <c r="Q1517" s="16">
        <v>45795.0</v>
      </c>
      <c r="R1517" s="16" t="s">
        <v>38</v>
      </c>
      <c r="S1517" s="13" t="s">
        <v>55</v>
      </c>
      <c r="T1517" s="13" t="s">
        <v>66</v>
      </c>
      <c r="U1517" s="13">
        <f t="shared" si="1"/>
        <v>1</v>
      </c>
      <c r="V1517" s="13" t="str">
        <f t="shared" si="2"/>
        <v>C00395|Priya Reddy|47|East|Kolkata|Standard|Google Ads|2/17/2025|23|Quarterly|Credit Card|1,353|0|0|31.50|3|5/18/2025||Active|Automation</v>
      </c>
      <c r="W1517" s="13">
        <f t="shared" si="3"/>
        <v>1</v>
      </c>
      <c r="X1517" s="13">
        <f>IFERROR(__xludf.DUMMYFUNCTION("COUNTUNIQUE(FILTER($B$2:$B$1826,$A$2:$A$1826=A1517))"),1.0)</f>
        <v>1</v>
      </c>
    </row>
    <row r="1518">
      <c r="A1518" s="13" t="s">
        <v>1707</v>
      </c>
      <c r="B1518" s="13" t="s">
        <v>470</v>
      </c>
      <c r="C1518" s="14">
        <v>19.0</v>
      </c>
      <c r="D1518" s="13" t="s">
        <v>60</v>
      </c>
      <c r="E1518" s="13" t="s">
        <v>97</v>
      </c>
      <c r="F1518" s="13" t="s">
        <v>37</v>
      </c>
      <c r="G1518" s="13" t="s">
        <v>63</v>
      </c>
      <c r="H1518" s="16">
        <v>45377.0</v>
      </c>
      <c r="I1518" s="14">
        <v>4.0</v>
      </c>
      <c r="J1518" s="13" t="s">
        <v>64</v>
      </c>
      <c r="K1518" s="13" t="s">
        <v>65</v>
      </c>
      <c r="L1518" s="14">
        <v>1001.0</v>
      </c>
      <c r="M1518" s="18" t="s">
        <v>173</v>
      </c>
      <c r="N1518" s="18" t="s">
        <v>43</v>
      </c>
      <c r="O1518" s="18">
        <v>2.9</v>
      </c>
      <c r="P1518" s="18" t="s">
        <v>76</v>
      </c>
      <c r="Q1518" s="16">
        <v>45459.0</v>
      </c>
      <c r="R1518" s="16" t="s">
        <v>38</v>
      </c>
      <c r="S1518" s="13" t="s">
        <v>55</v>
      </c>
      <c r="T1518" s="13" t="s">
        <v>72</v>
      </c>
      <c r="U1518" s="13">
        <f t="shared" si="1"/>
        <v>4</v>
      </c>
      <c r="V1518" s="13" t="str">
        <f t="shared" si="2"/>
        <v>C00804|Arun Singh|19|East|Bhubaneswar|Standard|Google Ads|3/26/2024|4|Annual|Credit Card|1,001|5|2|2.90|4.4|6/16/2024||Active|Collaboration</v>
      </c>
      <c r="W1518" s="13">
        <f t="shared" si="3"/>
        <v>1</v>
      </c>
      <c r="X1518" s="13">
        <f>IFERROR(__xludf.DUMMYFUNCTION("COUNTUNIQUE(FILTER($B$2:$B$1826,$A$2:$A$1826=A1518))"),4.0)</f>
        <v>4</v>
      </c>
    </row>
    <row r="1519">
      <c r="A1519" s="13" t="s">
        <v>539</v>
      </c>
      <c r="B1519" s="13" t="s">
        <v>179</v>
      </c>
      <c r="C1519" s="14">
        <v>62.0</v>
      </c>
      <c r="D1519" s="13" t="s">
        <v>35</v>
      </c>
      <c r="E1519" s="13" t="s">
        <v>161</v>
      </c>
      <c r="F1519" s="13" t="s">
        <v>79</v>
      </c>
      <c r="G1519" s="13" t="s">
        <v>128</v>
      </c>
      <c r="H1519" s="16">
        <v>45071.0</v>
      </c>
      <c r="I1519" s="14">
        <v>39.0</v>
      </c>
      <c r="J1519" s="13" t="s">
        <v>40</v>
      </c>
      <c r="K1519" s="13" t="s">
        <v>81</v>
      </c>
      <c r="L1519" s="14">
        <v>2305.0</v>
      </c>
      <c r="M1519" s="18" t="s">
        <v>98</v>
      </c>
      <c r="N1519" s="18" t="s">
        <v>98</v>
      </c>
      <c r="O1519" s="18">
        <v>36.8</v>
      </c>
      <c r="P1519" s="18" t="s">
        <v>99</v>
      </c>
      <c r="Q1519" s="16">
        <v>45445.0</v>
      </c>
      <c r="R1519" s="16">
        <v>45119.0</v>
      </c>
      <c r="S1519" s="13" t="s">
        <v>45</v>
      </c>
      <c r="T1519" s="13" t="s">
        <v>75</v>
      </c>
      <c r="U1519" s="13">
        <f t="shared" si="1"/>
        <v>3</v>
      </c>
      <c r="V1519" s="13" t="str">
        <f t="shared" si="2"/>
        <v>C00639|Ravi Kumar|62|North|Chandigarh|Premium|Youtube|5/25/2023|39|Monthly|Debit Card|2,305|1|1|36.80|4|6/2/2024|7/12/2023|Churned|Security</v>
      </c>
      <c r="W1519" s="13">
        <f t="shared" si="3"/>
        <v>2</v>
      </c>
      <c r="X1519" s="13">
        <f>IFERROR(__xludf.DUMMYFUNCTION("COUNTUNIQUE(FILTER($B$2:$B$1826,$A$2:$A$1826=A1519))"),2.0)</f>
        <v>2</v>
      </c>
    </row>
    <row r="1520">
      <c r="A1520" s="13" t="s">
        <v>778</v>
      </c>
      <c r="B1520" s="13" t="s">
        <v>364</v>
      </c>
      <c r="C1520" s="14">
        <v>28.0</v>
      </c>
      <c r="D1520" s="13" t="s">
        <v>69</v>
      </c>
      <c r="E1520" s="13" t="s">
        <v>70</v>
      </c>
      <c r="F1520" s="13" t="s">
        <v>62</v>
      </c>
      <c r="G1520" s="13" t="s">
        <v>210</v>
      </c>
      <c r="H1520" s="16">
        <v>45676.0</v>
      </c>
      <c r="I1520" s="14">
        <v>36.0</v>
      </c>
      <c r="J1520" s="13" t="s">
        <v>53</v>
      </c>
      <c r="K1520" s="13" t="s">
        <v>65</v>
      </c>
      <c r="L1520" s="14">
        <v>641.0</v>
      </c>
      <c r="M1520" s="18" t="s">
        <v>43</v>
      </c>
      <c r="N1520" s="18" t="s">
        <v>98</v>
      </c>
      <c r="O1520" s="18">
        <v>16.4</v>
      </c>
      <c r="P1520" s="18" t="s">
        <v>130</v>
      </c>
      <c r="Q1520" s="16">
        <v>45729.0</v>
      </c>
      <c r="R1520" s="16" t="s">
        <v>38</v>
      </c>
      <c r="S1520" s="13" t="s">
        <v>55</v>
      </c>
      <c r="T1520" s="13" t="s">
        <v>47</v>
      </c>
      <c r="U1520" s="13">
        <f t="shared" si="1"/>
        <v>2</v>
      </c>
      <c r="V1520" s="13" t="str">
        <f t="shared" si="2"/>
        <v>C00807|Sneha Kumar|28|South|Bengaluru|Basic|Referral|1/19/2025|36|Quarterly|Credit Card|641|2|1|16.40|3.9|3/13/2025||Active|Cloud Storage</v>
      </c>
      <c r="W1520" s="13">
        <f t="shared" si="3"/>
        <v>1</v>
      </c>
      <c r="X1520" s="13">
        <f>IFERROR(__xludf.DUMMYFUNCTION("COUNTUNIQUE(FILTER($B$2:$B$1826,$A$2:$A$1826=A1520))"),2.0)</f>
        <v>2</v>
      </c>
    </row>
    <row r="1521">
      <c r="A1521" s="13" t="s">
        <v>2015</v>
      </c>
      <c r="B1521" s="13" t="s">
        <v>636</v>
      </c>
      <c r="C1521" s="14">
        <v>65.0</v>
      </c>
      <c r="D1521" s="13" t="s">
        <v>60</v>
      </c>
      <c r="E1521" s="13" t="s">
        <v>61</v>
      </c>
      <c r="F1521" s="13" t="s">
        <v>79</v>
      </c>
      <c r="G1521" s="13" t="s">
        <v>120</v>
      </c>
      <c r="H1521" s="16">
        <v>45140.0</v>
      </c>
      <c r="I1521" s="14">
        <v>45.0</v>
      </c>
      <c r="J1521" s="13" t="s">
        <v>53</v>
      </c>
      <c r="K1521" s="13" t="s">
        <v>41</v>
      </c>
      <c r="L1521" s="14">
        <v>3774.0</v>
      </c>
      <c r="M1521" s="18" t="s">
        <v>43</v>
      </c>
      <c r="N1521" s="18" t="s">
        <v>98</v>
      </c>
      <c r="O1521" s="18">
        <v>40.3</v>
      </c>
      <c r="P1521" s="18" t="s">
        <v>233</v>
      </c>
      <c r="Q1521" s="16">
        <v>45567.0</v>
      </c>
      <c r="R1521" s="16" t="s">
        <v>38</v>
      </c>
      <c r="S1521" s="13" t="s">
        <v>55</v>
      </c>
      <c r="T1521" s="13" t="s">
        <v>47</v>
      </c>
      <c r="U1521" s="13">
        <f t="shared" si="1"/>
        <v>1</v>
      </c>
      <c r="V1521" s="13" t="str">
        <f t="shared" si="2"/>
        <v>C01246|Neha Reddy|65|East|Kolkata|Premium|Email|8/2/2023|45|Quarterly|Upi|3,774|2|1|40.30|3.5|10/2/2024||Active|Cloud Storage</v>
      </c>
      <c r="W1521" s="13">
        <f t="shared" si="3"/>
        <v>1</v>
      </c>
      <c r="X1521" s="13">
        <f>IFERROR(__xludf.DUMMYFUNCTION("COUNTUNIQUE(FILTER($B$2:$B$1826,$A$2:$A$1826=A1521))"),1.0)</f>
        <v>1</v>
      </c>
    </row>
    <row r="1522">
      <c r="A1522" s="13" t="s">
        <v>2016</v>
      </c>
      <c r="B1522" s="13" t="s">
        <v>364</v>
      </c>
      <c r="C1522" s="14">
        <v>51.0</v>
      </c>
      <c r="D1522" s="13" t="s">
        <v>69</v>
      </c>
      <c r="E1522" s="13" t="s">
        <v>119</v>
      </c>
      <c r="F1522" s="13" t="s">
        <v>62</v>
      </c>
      <c r="G1522" s="13" t="s">
        <v>128</v>
      </c>
      <c r="H1522" s="16">
        <v>44604.0</v>
      </c>
      <c r="I1522" s="14">
        <v>33.0</v>
      </c>
      <c r="J1522" s="13" t="s">
        <v>64</v>
      </c>
      <c r="K1522" s="13" t="s">
        <v>81</v>
      </c>
      <c r="L1522" s="14">
        <v>526.0</v>
      </c>
      <c r="M1522" s="18" t="s">
        <v>43</v>
      </c>
      <c r="N1522" s="18" t="s">
        <v>98</v>
      </c>
      <c r="O1522" s="18">
        <v>21.7</v>
      </c>
      <c r="P1522" s="18" t="s">
        <v>48</v>
      </c>
      <c r="Q1522" s="16">
        <v>45474.0</v>
      </c>
      <c r="R1522" s="16" t="s">
        <v>2017</v>
      </c>
      <c r="S1522" s="13" t="s">
        <v>45</v>
      </c>
      <c r="T1522" s="13" t="s">
        <v>66</v>
      </c>
      <c r="U1522" s="13">
        <f t="shared" si="1"/>
        <v>1</v>
      </c>
      <c r="V1522" s="13" t="str">
        <f t="shared" si="2"/>
        <v>C00114|Sneha Kumar|51|South|Kochi|Basic|Youtube|2/12/2022|33|Annual|Debit Card|526|2|1|21.70|3.6|7/1/2024|30/05/2023|Churned|Automation</v>
      </c>
      <c r="W1522" s="13">
        <f t="shared" si="3"/>
        <v>1</v>
      </c>
      <c r="X1522" s="13">
        <f>IFERROR(__xludf.DUMMYFUNCTION("COUNTUNIQUE(FILTER($B$2:$B$1826,$A$2:$A$1826=A1522))"),1.0)</f>
        <v>1</v>
      </c>
    </row>
    <row r="1523">
      <c r="A1523" s="13" t="s">
        <v>520</v>
      </c>
      <c r="B1523" s="13" t="s">
        <v>215</v>
      </c>
      <c r="C1523" s="14">
        <v>24.0</v>
      </c>
      <c r="D1523" s="13" t="s">
        <v>35</v>
      </c>
      <c r="E1523" s="13" t="s">
        <v>51</v>
      </c>
      <c r="F1523" s="13" t="s">
        <v>62</v>
      </c>
      <c r="G1523" s="13" t="s">
        <v>52</v>
      </c>
      <c r="H1523" s="16">
        <v>44802.0</v>
      </c>
      <c r="I1523" s="14">
        <v>39.0</v>
      </c>
      <c r="J1523" s="13" t="s">
        <v>40</v>
      </c>
      <c r="K1523" s="13" t="s">
        <v>81</v>
      </c>
      <c r="L1523" s="14">
        <v>546.0</v>
      </c>
      <c r="M1523" s="18" t="s">
        <v>46</v>
      </c>
      <c r="N1523" s="18" t="s">
        <v>46</v>
      </c>
      <c r="O1523" s="18">
        <v>28.3</v>
      </c>
      <c r="P1523" s="18" t="s">
        <v>123</v>
      </c>
      <c r="Q1523" s="16">
        <v>45389.0</v>
      </c>
      <c r="R1523" s="16" t="s">
        <v>38</v>
      </c>
      <c r="S1523" s="13" t="s">
        <v>55</v>
      </c>
      <c r="T1523" s="13" t="s">
        <v>47</v>
      </c>
      <c r="U1523" s="13">
        <f t="shared" si="1"/>
        <v>2</v>
      </c>
      <c r="V1523" s="13" t="str">
        <f t="shared" si="2"/>
        <v>C00990|Neha Sharma|24|North|Jaipur|Basic|Facebook|8/29/2022|39|Monthly|Debit Card|546|0|0|28.30|4.1|4/7/2024||Active|Cloud Storage</v>
      </c>
      <c r="W1523" s="13">
        <f t="shared" si="3"/>
        <v>1</v>
      </c>
      <c r="X1523" s="13">
        <f>IFERROR(__xludf.DUMMYFUNCTION("COUNTUNIQUE(FILTER($B$2:$B$1826,$A$2:$A$1826=A1523))"),2.0)</f>
        <v>2</v>
      </c>
    </row>
    <row r="1524">
      <c r="A1524" s="13" t="s">
        <v>1500</v>
      </c>
      <c r="B1524" s="13" t="s">
        <v>459</v>
      </c>
      <c r="C1524" s="14">
        <v>61.0</v>
      </c>
      <c r="D1524" s="13" t="s">
        <v>85</v>
      </c>
      <c r="E1524" s="13" t="s">
        <v>292</v>
      </c>
      <c r="F1524" s="13" t="s">
        <v>62</v>
      </c>
      <c r="G1524" s="13" t="s">
        <v>80</v>
      </c>
      <c r="H1524" s="16">
        <v>45126.0</v>
      </c>
      <c r="I1524" s="14">
        <v>36.0</v>
      </c>
      <c r="J1524" s="13" t="s">
        <v>64</v>
      </c>
      <c r="K1524" s="13" t="s">
        <v>41</v>
      </c>
      <c r="L1524" s="14">
        <v>523.0</v>
      </c>
      <c r="M1524" s="18" t="s">
        <v>99</v>
      </c>
      <c r="N1524" s="18" t="s">
        <v>46</v>
      </c>
      <c r="O1524" s="18">
        <v>19.1</v>
      </c>
      <c r="P1524" s="18" t="s">
        <v>130</v>
      </c>
      <c r="Q1524" s="16">
        <v>45953.0</v>
      </c>
      <c r="R1524" s="16" t="s">
        <v>38</v>
      </c>
      <c r="S1524" s="13" t="s">
        <v>55</v>
      </c>
      <c r="T1524" s="13" t="s">
        <v>66</v>
      </c>
      <c r="U1524" s="13">
        <f t="shared" si="1"/>
        <v>2</v>
      </c>
      <c r="V1524" s="13" t="str">
        <f t="shared" si="2"/>
        <v>C00799|Neha Patel|61|West|Mumbai|Basic|Organic Search|7/19/2023|36|Annual|Upi|523|4|0|19.10|3.9|10/23/2025||Active|Automation</v>
      </c>
      <c r="W1524" s="13">
        <f t="shared" si="3"/>
        <v>1</v>
      </c>
      <c r="X1524" s="13">
        <f>IFERROR(__xludf.DUMMYFUNCTION("COUNTUNIQUE(FILTER($B$2:$B$1826,$A$2:$A$1826=A1524))"),2.0)</f>
        <v>2</v>
      </c>
    </row>
    <row r="1525">
      <c r="A1525" s="13" t="s">
        <v>2018</v>
      </c>
      <c r="B1525" s="13" t="s">
        <v>364</v>
      </c>
      <c r="C1525" s="14">
        <v>49.0</v>
      </c>
      <c r="D1525" s="13" t="s">
        <v>85</v>
      </c>
      <c r="E1525" s="13" t="s">
        <v>292</v>
      </c>
      <c r="F1525" s="13" t="s">
        <v>62</v>
      </c>
      <c r="G1525" s="13" t="s">
        <v>120</v>
      </c>
      <c r="H1525" s="16">
        <v>45962.0</v>
      </c>
      <c r="I1525" s="14">
        <v>44.0</v>
      </c>
      <c r="J1525" s="13" t="s">
        <v>53</v>
      </c>
      <c r="K1525" s="13" t="s">
        <v>41</v>
      </c>
      <c r="L1525" s="14">
        <v>574.0</v>
      </c>
      <c r="M1525" s="18" t="s">
        <v>99</v>
      </c>
      <c r="N1525" s="18" t="s">
        <v>98</v>
      </c>
      <c r="O1525" s="18">
        <v>13.5</v>
      </c>
      <c r="P1525" s="18" t="s">
        <v>173</v>
      </c>
      <c r="Q1525" s="16">
        <v>46434.0</v>
      </c>
      <c r="R1525" s="16" t="s">
        <v>2019</v>
      </c>
      <c r="S1525" s="13" t="s">
        <v>45</v>
      </c>
      <c r="T1525" s="13" t="s">
        <v>72</v>
      </c>
      <c r="U1525" s="13">
        <f t="shared" si="1"/>
        <v>2</v>
      </c>
      <c r="V1525" s="13" t="str">
        <f t="shared" si="2"/>
        <v>C01344|Sneha Kumar|49|West|Mumbai|Basic|Email|11/1/2025|44|Quarterly|Upi|574|4|1|13.50|5|2/16/2027|14/04/2029|Churned|Collaboration</v>
      </c>
      <c r="W1525" s="13">
        <f t="shared" si="3"/>
        <v>1</v>
      </c>
      <c r="X1525" s="13">
        <f>IFERROR(__xludf.DUMMYFUNCTION("COUNTUNIQUE(FILTER($B$2:$B$1826,$A$2:$A$1826=A1525))"),2.0)</f>
        <v>2</v>
      </c>
    </row>
    <row r="1526">
      <c r="A1526" s="13" t="s">
        <v>1268</v>
      </c>
      <c r="B1526" s="13" t="s">
        <v>639</v>
      </c>
      <c r="C1526" s="14">
        <v>67.0</v>
      </c>
      <c r="D1526" s="13" t="s">
        <v>60</v>
      </c>
      <c r="E1526" s="13" t="s">
        <v>107</v>
      </c>
      <c r="F1526" s="13" t="s">
        <v>37</v>
      </c>
      <c r="G1526" s="13" t="s">
        <v>52</v>
      </c>
      <c r="H1526" s="16">
        <v>44678.0</v>
      </c>
      <c r="I1526" s="14">
        <v>35.0</v>
      </c>
      <c r="J1526" s="13" t="s">
        <v>40</v>
      </c>
      <c r="K1526" s="13" t="s">
        <v>65</v>
      </c>
      <c r="L1526" s="14">
        <v>1790.0</v>
      </c>
      <c r="M1526" s="18" t="s">
        <v>43</v>
      </c>
      <c r="N1526" s="18" t="s">
        <v>46</v>
      </c>
      <c r="O1526" s="18">
        <v>27.2</v>
      </c>
      <c r="P1526" s="18" t="s">
        <v>76</v>
      </c>
      <c r="Q1526" s="16">
        <v>45090.0</v>
      </c>
      <c r="R1526" s="16" t="s">
        <v>38</v>
      </c>
      <c r="S1526" s="13" t="s">
        <v>55</v>
      </c>
      <c r="T1526" s="13" t="s">
        <v>75</v>
      </c>
      <c r="U1526" s="13">
        <f t="shared" si="1"/>
        <v>2</v>
      </c>
      <c r="V1526" s="13" t="str">
        <f t="shared" si="2"/>
        <v>C01457|Priya Nair|67|East|Patna|Standard|Facebook|4/27/2022|35|Monthly|Credit Card|1,790|2|0|27.20|4.4|6/13/2023||Active|Security</v>
      </c>
      <c r="W1526" s="13">
        <f t="shared" si="3"/>
        <v>1</v>
      </c>
      <c r="X1526" s="13">
        <f>IFERROR(__xludf.DUMMYFUNCTION("COUNTUNIQUE(FILTER($B$2:$B$1826,$A$2:$A$1826=A1526))"),2.0)</f>
        <v>2</v>
      </c>
    </row>
    <row r="1527">
      <c r="A1527" s="13" t="s">
        <v>1514</v>
      </c>
      <c r="B1527" s="13" t="s">
        <v>160</v>
      </c>
      <c r="C1527" s="14">
        <v>39.0</v>
      </c>
      <c r="D1527" s="13" t="s">
        <v>35</v>
      </c>
      <c r="E1527" s="13" t="s">
        <v>161</v>
      </c>
      <c r="F1527" s="13" t="s">
        <v>37</v>
      </c>
      <c r="G1527" s="13" t="s">
        <v>80</v>
      </c>
      <c r="H1527" s="16">
        <v>45119.0</v>
      </c>
      <c r="I1527" s="14">
        <v>27.0</v>
      </c>
      <c r="J1527" s="13" t="s">
        <v>64</v>
      </c>
      <c r="K1527" s="13" t="s">
        <v>81</v>
      </c>
      <c r="L1527" s="14">
        <v>1395.0</v>
      </c>
      <c r="M1527" s="18" t="s">
        <v>43</v>
      </c>
      <c r="N1527" s="18" t="s">
        <v>98</v>
      </c>
      <c r="O1527" s="18">
        <v>40.2</v>
      </c>
      <c r="P1527" s="18" t="s">
        <v>89</v>
      </c>
      <c r="Q1527" s="16">
        <v>45264.0</v>
      </c>
      <c r="R1527" s="16">
        <v>45301.0</v>
      </c>
      <c r="S1527" s="13" t="s">
        <v>45</v>
      </c>
      <c r="T1527" s="13" t="s">
        <v>75</v>
      </c>
      <c r="U1527" s="13">
        <f t="shared" si="1"/>
        <v>3</v>
      </c>
      <c r="V1527" s="13" t="str">
        <f t="shared" si="2"/>
        <v>C01528|Rahul Singh|39|North|Chandigarh|Standard|Organic Search|7/12/2023|27|Annual|Debit Card|1,395|2|1|40.20|3.3|12/4/2023|1/10/2024|Churned|Security</v>
      </c>
      <c r="W1527" s="13">
        <f t="shared" si="3"/>
        <v>1</v>
      </c>
      <c r="X1527" s="13">
        <f>IFERROR(__xludf.DUMMYFUNCTION("COUNTUNIQUE(FILTER($B$2:$B$1826,$A$2:$A$1826=A1527))"),3.0)</f>
        <v>3</v>
      </c>
    </row>
    <row r="1528">
      <c r="A1528" s="13" t="s">
        <v>1940</v>
      </c>
      <c r="B1528" s="13" t="s">
        <v>645</v>
      </c>
      <c r="C1528" s="14">
        <v>19.0</v>
      </c>
      <c r="D1528" s="13" t="s">
        <v>60</v>
      </c>
      <c r="E1528" s="13" t="s">
        <v>97</v>
      </c>
      <c r="F1528" s="13" t="s">
        <v>79</v>
      </c>
      <c r="G1528" s="13" t="s">
        <v>39</v>
      </c>
      <c r="H1528" s="16">
        <v>45349.0</v>
      </c>
      <c r="I1528" s="14">
        <v>5.0</v>
      </c>
      <c r="J1528" s="13" t="s">
        <v>40</v>
      </c>
      <c r="K1528" s="13" t="s">
        <v>65</v>
      </c>
      <c r="L1528" s="14">
        <v>2264.0</v>
      </c>
      <c r="M1528" s="18" t="s">
        <v>98</v>
      </c>
      <c r="N1528" s="18" t="s">
        <v>43</v>
      </c>
      <c r="O1528" s="18">
        <v>37.0</v>
      </c>
      <c r="P1528" s="18" t="s">
        <v>203</v>
      </c>
      <c r="Q1528" s="16">
        <v>45454.0</v>
      </c>
      <c r="R1528" s="16" t="s">
        <v>2022</v>
      </c>
      <c r="S1528" s="13" t="s">
        <v>45</v>
      </c>
      <c r="T1528" s="13" t="s">
        <v>66</v>
      </c>
      <c r="U1528" s="13">
        <f t="shared" si="1"/>
        <v>2</v>
      </c>
      <c r="V1528" s="13" t="str">
        <f t="shared" si="2"/>
        <v>C00006|Ravi Nair|19|East|Bhubaneswar|Premium|Instagram|2/27/2024|5|Monthly|Credit Card|2,264|1|2|37.00|3.7|6/11/2024|30/07/2024|Churned|Automation</v>
      </c>
      <c r="W1528" s="13">
        <f t="shared" si="3"/>
        <v>1</v>
      </c>
      <c r="X1528" s="13">
        <f>IFERROR(__xludf.DUMMYFUNCTION("COUNTUNIQUE(FILTER($B$2:$B$1826,$A$2:$A$1826=A1528))"),2.0)</f>
        <v>2</v>
      </c>
    </row>
    <row r="1529">
      <c r="A1529" s="13" t="s">
        <v>2023</v>
      </c>
      <c r="B1529" s="13" t="s">
        <v>295</v>
      </c>
      <c r="C1529" s="14">
        <v>21.0</v>
      </c>
      <c r="D1529" s="13" t="s">
        <v>35</v>
      </c>
      <c r="E1529" s="13" t="s">
        <v>161</v>
      </c>
      <c r="F1529" s="13" t="s">
        <v>79</v>
      </c>
      <c r="G1529" s="13" t="s">
        <v>63</v>
      </c>
      <c r="H1529" s="16">
        <v>45367.0</v>
      </c>
      <c r="I1529" s="14">
        <v>16.0</v>
      </c>
      <c r="J1529" s="13" t="s">
        <v>40</v>
      </c>
      <c r="K1529" s="13" t="s">
        <v>81</v>
      </c>
      <c r="L1529" s="14">
        <v>2887.0</v>
      </c>
      <c r="M1529" s="18" t="s">
        <v>43</v>
      </c>
      <c r="N1529" s="18" t="s">
        <v>43</v>
      </c>
      <c r="O1529" s="18">
        <v>44.1</v>
      </c>
      <c r="P1529" s="18" t="s">
        <v>158</v>
      </c>
      <c r="Q1529" s="16">
        <v>45801.0</v>
      </c>
      <c r="R1529" s="16" t="s">
        <v>38</v>
      </c>
      <c r="S1529" s="13" t="s">
        <v>55</v>
      </c>
      <c r="T1529" s="13" t="s">
        <v>66</v>
      </c>
      <c r="U1529" s="13">
        <f t="shared" si="1"/>
        <v>1</v>
      </c>
      <c r="V1529" s="13" t="str">
        <f t="shared" si="2"/>
        <v>C00822|Arun Reddy|21|North|Chandigarh|Premium|Google Ads|3/16/2024|16|Monthly|Debit Card|2,887|2|2|44.10|4.7|5/24/2025||Active|Automation</v>
      </c>
      <c r="W1529" s="13">
        <f t="shared" si="3"/>
        <v>1</v>
      </c>
      <c r="X1529" s="13">
        <f>IFERROR(__xludf.DUMMYFUNCTION("COUNTUNIQUE(FILTER($B$2:$B$1826,$A$2:$A$1826=A1529))"),1.0)</f>
        <v>1</v>
      </c>
    </row>
    <row r="1530">
      <c r="A1530" s="13" t="s">
        <v>2188</v>
      </c>
      <c r="B1530" s="13" t="s">
        <v>340</v>
      </c>
      <c r="C1530" s="14">
        <v>29.0</v>
      </c>
      <c r="D1530" s="13" t="s">
        <v>35</v>
      </c>
      <c r="E1530" s="13" t="s">
        <v>140</v>
      </c>
      <c r="F1530" s="13" t="s">
        <v>62</v>
      </c>
      <c r="G1530" s="13" t="s">
        <v>63</v>
      </c>
      <c r="H1530" s="16">
        <v>45839.0</v>
      </c>
      <c r="I1530" s="14">
        <v>35.0</v>
      </c>
      <c r="J1530" s="13" t="s">
        <v>40</v>
      </c>
      <c r="K1530" s="13" t="s">
        <v>81</v>
      </c>
      <c r="L1530" s="14">
        <v>504.0</v>
      </c>
      <c r="M1530" s="18" t="s">
        <v>98</v>
      </c>
      <c r="N1530" s="18" t="s">
        <v>98</v>
      </c>
      <c r="O1530" s="18">
        <v>20.4</v>
      </c>
      <c r="P1530" s="18" t="s">
        <v>158</v>
      </c>
      <c r="Q1530" s="16">
        <v>45938.0</v>
      </c>
      <c r="R1530" s="16" t="s">
        <v>38</v>
      </c>
      <c r="S1530" s="13" t="s">
        <v>55</v>
      </c>
      <c r="T1530" s="13" t="s">
        <v>47</v>
      </c>
      <c r="U1530" s="13">
        <f t="shared" si="1"/>
        <v>1</v>
      </c>
      <c r="V1530" s="13" t="str">
        <f t="shared" si="2"/>
        <v>C01313|Meera Sharma|29|North|Lucknow|Basic|Google Ads|7/1/2025|35|Monthly|Debit Card|504|1|1|20.40|4.7|10/8/2025||Active|Cloud Storage</v>
      </c>
      <c r="W1530" s="13">
        <f t="shared" si="3"/>
        <v>1</v>
      </c>
      <c r="X1530" s="13">
        <f>IFERROR(__xludf.DUMMYFUNCTION("COUNTUNIQUE(FILTER($B$2:$B$1826,$A$2:$A$1826=A1530))"),1.0)</f>
        <v>1</v>
      </c>
    </row>
    <row r="1531">
      <c r="A1531" s="13" t="s">
        <v>1293</v>
      </c>
      <c r="B1531" s="13" t="s">
        <v>229</v>
      </c>
      <c r="C1531" s="14">
        <v>63.0</v>
      </c>
      <c r="D1531" s="13" t="s">
        <v>35</v>
      </c>
      <c r="E1531" s="13" t="s">
        <v>51</v>
      </c>
      <c r="F1531" s="13" t="s">
        <v>62</v>
      </c>
      <c r="G1531" s="13" t="s">
        <v>63</v>
      </c>
      <c r="H1531" s="16">
        <v>45807.0</v>
      </c>
      <c r="I1531" s="14">
        <v>17.0</v>
      </c>
      <c r="J1531" s="13" t="s">
        <v>64</v>
      </c>
      <c r="K1531" s="13" t="s">
        <v>65</v>
      </c>
      <c r="L1531" s="14">
        <v>851.0</v>
      </c>
      <c r="M1531" s="18" t="s">
        <v>46</v>
      </c>
      <c r="N1531" s="18" t="s">
        <v>46</v>
      </c>
      <c r="O1531" s="18">
        <v>16.3</v>
      </c>
      <c r="P1531" s="18" t="s">
        <v>701</v>
      </c>
      <c r="Q1531" s="16">
        <v>46288.0</v>
      </c>
      <c r="R1531" s="16" t="s">
        <v>38</v>
      </c>
      <c r="S1531" s="13" t="s">
        <v>55</v>
      </c>
      <c r="T1531" s="13" t="s">
        <v>47</v>
      </c>
      <c r="U1531" s="13">
        <f t="shared" si="1"/>
        <v>4</v>
      </c>
      <c r="V1531" s="13" t="str">
        <f t="shared" si="2"/>
        <v>C01309|Anita Nair|63|North|Jaipur|Basic|Google Ads|5/30/2025|17|Annual|Credit Card|851|0|0|16.30|2.8|9/23/2026||Active|Cloud Storage</v>
      </c>
      <c r="W1531" s="13">
        <f t="shared" si="3"/>
        <v>1</v>
      </c>
      <c r="X1531" s="13">
        <f>IFERROR(__xludf.DUMMYFUNCTION("COUNTUNIQUE(FILTER($B$2:$B$1826,$A$2:$A$1826=A1531))"),4.0)</f>
        <v>4</v>
      </c>
    </row>
    <row r="1532">
      <c r="A1532" s="13" t="s">
        <v>105</v>
      </c>
      <c r="B1532" s="13" t="s">
        <v>241</v>
      </c>
      <c r="C1532" s="14">
        <v>61.0</v>
      </c>
      <c r="D1532" s="13" t="s">
        <v>69</v>
      </c>
      <c r="E1532" s="13" t="s">
        <v>119</v>
      </c>
      <c r="F1532" s="13" t="s">
        <v>62</v>
      </c>
      <c r="G1532" s="13" t="s">
        <v>80</v>
      </c>
      <c r="H1532" s="16">
        <v>45654.0</v>
      </c>
      <c r="I1532" s="14">
        <v>28.0</v>
      </c>
      <c r="J1532" s="13" t="s">
        <v>53</v>
      </c>
      <c r="K1532" s="13" t="s">
        <v>65</v>
      </c>
      <c r="L1532" s="14">
        <v>736.0</v>
      </c>
      <c r="M1532" s="18" t="s">
        <v>99</v>
      </c>
      <c r="N1532" s="18" t="s">
        <v>46</v>
      </c>
      <c r="O1532" s="18">
        <v>4.4</v>
      </c>
      <c r="P1532" s="18" t="s">
        <v>164</v>
      </c>
      <c r="Q1532" s="16">
        <v>46498.0</v>
      </c>
      <c r="R1532" s="16" t="s">
        <v>38</v>
      </c>
      <c r="S1532" s="13" t="s">
        <v>55</v>
      </c>
      <c r="T1532" s="13" t="s">
        <v>72</v>
      </c>
      <c r="U1532" s="13">
        <f t="shared" si="1"/>
        <v>3</v>
      </c>
      <c r="V1532" s="13" t="str">
        <f t="shared" si="2"/>
        <v>C00230|Sneha Iyer|61|South|Kochi|Basic|Organic Search|12/28/2024|28|Quarterly|Credit Card|736|4|0|4.40|3|4/21/2027||Active|Collaboration</v>
      </c>
      <c r="W1532" s="13">
        <f t="shared" si="3"/>
        <v>1</v>
      </c>
      <c r="X1532" s="13">
        <f>IFERROR(__xludf.DUMMYFUNCTION("COUNTUNIQUE(FILTER($B$2:$B$1826,$A$2:$A$1826=A1532))"),3.0)</f>
        <v>3</v>
      </c>
    </row>
    <row r="1533">
      <c r="A1533" s="13" t="s">
        <v>2025</v>
      </c>
      <c r="B1533" s="13" t="s">
        <v>325</v>
      </c>
      <c r="C1533" s="14">
        <v>54.0</v>
      </c>
      <c r="D1533" s="13" t="s">
        <v>69</v>
      </c>
      <c r="E1533" s="13" t="s">
        <v>70</v>
      </c>
      <c r="F1533" s="13" t="s">
        <v>62</v>
      </c>
      <c r="G1533" s="13" t="s">
        <v>52</v>
      </c>
      <c r="H1533" s="16">
        <v>45702.0</v>
      </c>
      <c r="I1533" s="14">
        <v>39.0</v>
      </c>
      <c r="J1533" s="13" t="s">
        <v>40</v>
      </c>
      <c r="K1533" s="13" t="s">
        <v>81</v>
      </c>
      <c r="L1533" s="14">
        <v>645.0</v>
      </c>
      <c r="M1533" s="18" t="s">
        <v>43</v>
      </c>
      <c r="N1533" s="18" t="s">
        <v>98</v>
      </c>
      <c r="O1533" s="18">
        <v>18.4</v>
      </c>
      <c r="P1533" s="18" t="s">
        <v>275</v>
      </c>
      <c r="Q1533" s="16">
        <v>46764.0</v>
      </c>
      <c r="R1533" s="16" t="s">
        <v>38</v>
      </c>
      <c r="S1533" s="13" t="s">
        <v>55</v>
      </c>
      <c r="T1533" s="13" t="s">
        <v>66</v>
      </c>
      <c r="U1533" s="13">
        <f t="shared" si="1"/>
        <v>1</v>
      </c>
      <c r="V1533" s="13" t="str">
        <f t="shared" si="2"/>
        <v>C01291|Priya Sharma|54|South|Bengaluru|Basic|Facebook|2/14/2025|39|Monthly|Debit Card|645|2|1|18.40|4.3|1/12/2028||Active|Automation</v>
      </c>
      <c r="W1533" s="13">
        <f t="shared" si="3"/>
        <v>1</v>
      </c>
      <c r="X1533" s="13">
        <f>IFERROR(__xludf.DUMMYFUNCTION("COUNTUNIQUE(FILTER($B$2:$B$1826,$A$2:$A$1826=A1533))"),1.0)</f>
        <v>1</v>
      </c>
    </row>
    <row r="1534">
      <c r="A1534" s="13" t="s">
        <v>231</v>
      </c>
      <c r="B1534" s="13" t="s">
        <v>106</v>
      </c>
      <c r="C1534" s="14">
        <v>57.0</v>
      </c>
      <c r="D1534" s="13" t="s">
        <v>85</v>
      </c>
      <c r="E1534" s="13" t="s">
        <v>92</v>
      </c>
      <c r="F1534" s="13" t="s">
        <v>37</v>
      </c>
      <c r="G1534" s="13" t="s">
        <v>80</v>
      </c>
      <c r="H1534" s="16">
        <v>44994.0</v>
      </c>
      <c r="I1534" s="14">
        <v>19.0</v>
      </c>
      <c r="J1534" s="13" t="s">
        <v>64</v>
      </c>
      <c r="K1534" s="13" t="s">
        <v>65</v>
      </c>
      <c r="L1534" s="14">
        <v>1779.0</v>
      </c>
      <c r="M1534" s="18" t="s">
        <v>99</v>
      </c>
      <c r="N1534" s="18" t="s">
        <v>164</v>
      </c>
      <c r="O1534" s="18">
        <v>16.9</v>
      </c>
      <c r="P1534" s="18" t="s">
        <v>48</v>
      </c>
      <c r="Q1534" s="16">
        <v>45411.0</v>
      </c>
      <c r="R1534" s="16" t="s">
        <v>2026</v>
      </c>
      <c r="S1534" s="13" t="s">
        <v>45</v>
      </c>
      <c r="T1534" s="13" t="s">
        <v>47</v>
      </c>
      <c r="U1534" s="13">
        <f t="shared" si="1"/>
        <v>3</v>
      </c>
      <c r="V1534" s="13" t="str">
        <f t="shared" si="2"/>
        <v>C00248|Rahul Patel|57|West|Ahmedabad|Standard|Organic Search|3/9/2023|19|Annual|Credit Card|1,779|4|3|16.90|3.6|4/29/2024|27/05/2024|Churned|Cloud Storage</v>
      </c>
      <c r="W1534" s="13">
        <f t="shared" si="3"/>
        <v>2</v>
      </c>
      <c r="X1534" s="13">
        <f>IFERROR(__xludf.DUMMYFUNCTION("COUNTUNIQUE(FILTER($B$2:$B$1826,$A$2:$A$1826=A1534))"),2.0)</f>
        <v>2</v>
      </c>
    </row>
    <row r="1535">
      <c r="A1535" s="13" t="s">
        <v>713</v>
      </c>
      <c r="B1535" s="13" t="s">
        <v>322</v>
      </c>
      <c r="C1535" s="14">
        <v>53.0</v>
      </c>
      <c r="D1535" s="13" t="s">
        <v>85</v>
      </c>
      <c r="E1535" s="13" t="s">
        <v>87</v>
      </c>
      <c r="F1535" s="13" t="s">
        <v>62</v>
      </c>
      <c r="G1535" s="13" t="s">
        <v>52</v>
      </c>
      <c r="H1535" s="16">
        <v>45396.0</v>
      </c>
      <c r="I1535" s="14">
        <v>25.0</v>
      </c>
      <c r="J1535" s="13" t="s">
        <v>53</v>
      </c>
      <c r="K1535" s="13" t="s">
        <v>41</v>
      </c>
      <c r="L1535" s="14">
        <v>708.0</v>
      </c>
      <c r="M1535" s="18" t="s">
        <v>98</v>
      </c>
      <c r="N1535" s="18" t="s">
        <v>43</v>
      </c>
      <c r="O1535" s="18">
        <v>21.2</v>
      </c>
      <c r="P1535" s="18" t="s">
        <v>143</v>
      </c>
      <c r="Q1535" s="16">
        <v>45836.0</v>
      </c>
      <c r="R1535" s="16" t="s">
        <v>38</v>
      </c>
      <c r="S1535" s="13" t="s">
        <v>55</v>
      </c>
      <c r="T1535" s="13" t="s">
        <v>75</v>
      </c>
      <c r="U1535" s="13">
        <f t="shared" si="1"/>
        <v>3</v>
      </c>
      <c r="V1535" s="13" t="str">
        <f t="shared" si="2"/>
        <v>C00253|Rahul Iyer|53|West|Surat|Basic|Facebook|4/14/2024|25|Quarterly|Upi|708|1|2|21.20|2.1|6/28/2025||Active|Security</v>
      </c>
      <c r="W1535" s="13">
        <f t="shared" si="3"/>
        <v>1</v>
      </c>
      <c r="X1535" s="13">
        <f>IFERROR(__xludf.DUMMYFUNCTION("COUNTUNIQUE(FILTER($B$2:$B$1826,$A$2:$A$1826=A1535))"),3.0)</f>
        <v>3</v>
      </c>
    </row>
    <row r="1536">
      <c r="A1536" s="13" t="s">
        <v>797</v>
      </c>
      <c r="B1536" s="13" t="s">
        <v>281</v>
      </c>
      <c r="C1536" s="14">
        <v>20.0</v>
      </c>
      <c r="D1536" s="13" t="s">
        <v>60</v>
      </c>
      <c r="E1536" s="13" t="s">
        <v>133</v>
      </c>
      <c r="F1536" s="13" t="s">
        <v>79</v>
      </c>
      <c r="G1536" s="13" t="s">
        <v>39</v>
      </c>
      <c r="H1536" s="16">
        <v>45425.0</v>
      </c>
      <c r="I1536" s="14">
        <v>26.0</v>
      </c>
      <c r="J1536" s="13" t="s">
        <v>40</v>
      </c>
      <c r="K1536" s="13" t="s">
        <v>65</v>
      </c>
      <c r="L1536" s="14">
        <v>3636.0</v>
      </c>
      <c r="M1536" s="18" t="s">
        <v>43</v>
      </c>
      <c r="N1536" s="18" t="s">
        <v>46</v>
      </c>
      <c r="O1536" s="18">
        <v>35.7</v>
      </c>
      <c r="P1536" s="18" t="s">
        <v>203</v>
      </c>
      <c r="Q1536" s="16">
        <v>45499.0</v>
      </c>
      <c r="R1536" s="16" t="s">
        <v>38</v>
      </c>
      <c r="S1536" s="13" t="s">
        <v>55</v>
      </c>
      <c r="T1536" s="13" t="s">
        <v>47</v>
      </c>
      <c r="U1536" s="13">
        <f t="shared" si="1"/>
        <v>5</v>
      </c>
      <c r="V1536" s="13" t="str">
        <f t="shared" si="2"/>
        <v>C00022|Anita Reddy|20|East|Guwahati|Premium|Instagram|5/13/2024|26|Monthly|Credit Card|3,636|2|0|35.70|3.7|7/26/2024||Active|Cloud Storage</v>
      </c>
      <c r="W1536" s="13">
        <f t="shared" si="3"/>
        <v>1</v>
      </c>
      <c r="X1536" s="13">
        <f>IFERROR(__xludf.DUMMYFUNCTION("COUNTUNIQUE(FILTER($B$2:$B$1826,$A$2:$A$1826=A1536))"),5.0)</f>
        <v>5</v>
      </c>
    </row>
    <row r="1537">
      <c r="A1537" s="13" t="s">
        <v>687</v>
      </c>
      <c r="B1537" s="13" t="s">
        <v>229</v>
      </c>
      <c r="C1537" s="14">
        <v>55.0</v>
      </c>
      <c r="D1537" s="13" t="s">
        <v>35</v>
      </c>
      <c r="E1537" s="13" t="s">
        <v>36</v>
      </c>
      <c r="F1537" s="13" t="s">
        <v>62</v>
      </c>
      <c r="G1537" s="13" t="s">
        <v>52</v>
      </c>
      <c r="H1537" s="16">
        <v>45862.0</v>
      </c>
      <c r="I1537" s="14">
        <v>6.0</v>
      </c>
      <c r="J1537" s="13" t="s">
        <v>40</v>
      </c>
      <c r="K1537" s="13" t="s">
        <v>65</v>
      </c>
      <c r="L1537" s="14">
        <v>547.0</v>
      </c>
      <c r="M1537" s="18" t="s">
        <v>46</v>
      </c>
      <c r="N1537" s="18" t="s">
        <v>98</v>
      </c>
      <c r="O1537" s="18">
        <v>19.4</v>
      </c>
      <c r="P1537" s="18" t="s">
        <v>203</v>
      </c>
      <c r="Q1537" s="16">
        <v>45885.0</v>
      </c>
      <c r="R1537" s="16" t="s">
        <v>38</v>
      </c>
      <c r="S1537" s="13" t="s">
        <v>55</v>
      </c>
      <c r="T1537" s="13" t="s">
        <v>47</v>
      </c>
      <c r="U1537" s="13">
        <f t="shared" si="1"/>
        <v>2</v>
      </c>
      <c r="V1537" s="13" t="str">
        <f t="shared" si="2"/>
        <v>C01395|Anita Nair|55|North|Delhi|Basic|Facebook|7/24/2025|6|Monthly|Credit Card|547|0|1|19.40|3.7|8/16/2025||Active|Cloud Storage</v>
      </c>
      <c r="W1537" s="13">
        <f t="shared" si="3"/>
        <v>1</v>
      </c>
      <c r="X1537" s="13">
        <f>IFERROR(__xludf.DUMMYFUNCTION("COUNTUNIQUE(FILTER($B$2:$B$1826,$A$2:$A$1826=A1537))"),2.0)</f>
        <v>2</v>
      </c>
    </row>
    <row r="1538">
      <c r="A1538" s="13" t="s">
        <v>162</v>
      </c>
      <c r="B1538" s="13" t="s">
        <v>184</v>
      </c>
      <c r="C1538" s="14">
        <v>32.0</v>
      </c>
      <c r="D1538" s="13" t="s">
        <v>60</v>
      </c>
      <c r="E1538" s="13" t="s">
        <v>107</v>
      </c>
      <c r="F1538" s="13" t="s">
        <v>62</v>
      </c>
      <c r="G1538" s="13" t="s">
        <v>39</v>
      </c>
      <c r="H1538" s="16">
        <v>45771.0</v>
      </c>
      <c r="I1538" s="14">
        <v>21.0</v>
      </c>
      <c r="J1538" s="13" t="s">
        <v>40</v>
      </c>
      <c r="K1538" s="13" t="s">
        <v>81</v>
      </c>
      <c r="L1538" s="14">
        <v>789.0</v>
      </c>
      <c r="M1538" s="18" t="s">
        <v>164</v>
      </c>
      <c r="N1538" s="18" t="s">
        <v>46</v>
      </c>
      <c r="O1538" s="18">
        <v>16.5</v>
      </c>
      <c r="P1538" s="18" t="s">
        <v>48</v>
      </c>
      <c r="Q1538" s="16">
        <v>46165.0</v>
      </c>
      <c r="R1538" s="16" t="s">
        <v>38</v>
      </c>
      <c r="S1538" s="13" t="s">
        <v>55</v>
      </c>
      <c r="T1538" s="13" t="s">
        <v>72</v>
      </c>
      <c r="U1538" s="13">
        <f t="shared" si="1"/>
        <v>2</v>
      </c>
      <c r="V1538" s="13" t="str">
        <f t="shared" si="2"/>
        <v>C00368|Vikram Reddy|32|East|Patna|Basic|Instagram|4/24/2025|21|Monthly|Debit Card|789|3|0|16.50|3.6|5/23/2026||Active|Collaboration</v>
      </c>
      <c r="W1538" s="13">
        <f t="shared" si="3"/>
        <v>1</v>
      </c>
      <c r="X1538" s="13">
        <f>IFERROR(__xludf.DUMMYFUNCTION("COUNTUNIQUE(FILTER($B$2:$B$1826,$A$2:$A$1826=A1538))"),2.0)</f>
        <v>2</v>
      </c>
    </row>
    <row r="1539">
      <c r="A1539" s="13" t="s">
        <v>862</v>
      </c>
      <c r="B1539" s="13" t="s">
        <v>393</v>
      </c>
      <c r="C1539" s="14">
        <v>66.0</v>
      </c>
      <c r="D1539" s="13" t="s">
        <v>85</v>
      </c>
      <c r="E1539" s="13" t="s">
        <v>292</v>
      </c>
      <c r="F1539" s="13" t="s">
        <v>62</v>
      </c>
      <c r="G1539" s="13" t="s">
        <v>120</v>
      </c>
      <c r="H1539" s="16">
        <v>44814.0</v>
      </c>
      <c r="I1539" s="14">
        <v>37.0</v>
      </c>
      <c r="J1539" s="13" t="s">
        <v>53</v>
      </c>
      <c r="K1539" s="13" t="s">
        <v>81</v>
      </c>
      <c r="L1539" s="14">
        <v>539.0</v>
      </c>
      <c r="M1539" s="18" t="s">
        <v>98</v>
      </c>
      <c r="N1539" s="18" t="s">
        <v>46</v>
      </c>
      <c r="O1539" s="18">
        <v>9.7</v>
      </c>
      <c r="P1539" s="18" t="s">
        <v>275</v>
      </c>
      <c r="Q1539" s="16">
        <v>45898.0</v>
      </c>
      <c r="R1539" s="16">
        <v>45698.0</v>
      </c>
      <c r="S1539" s="13" t="s">
        <v>45</v>
      </c>
      <c r="T1539" s="13" t="s">
        <v>75</v>
      </c>
      <c r="U1539" s="13">
        <f t="shared" si="1"/>
        <v>6</v>
      </c>
      <c r="V1539" s="13" t="str">
        <f t="shared" si="2"/>
        <v>C01423|Karan Das|66|West|Mumbai|Basic|Email|9/10/2022|37|Quarterly|Debit Card|539|1|0|9.70|4.3|8/29/2025|2/10/2025|Churned|Security</v>
      </c>
      <c r="W1539" s="13">
        <f t="shared" si="3"/>
        <v>1</v>
      </c>
      <c r="X1539" s="13">
        <f>IFERROR(__xludf.DUMMYFUNCTION("COUNTUNIQUE(FILTER($B$2:$B$1826,$A$2:$A$1826=A1539))"),6.0)</f>
        <v>6</v>
      </c>
    </row>
    <row r="1540">
      <c r="A1540" s="13" t="s">
        <v>171</v>
      </c>
      <c r="B1540" s="13" t="s">
        <v>169</v>
      </c>
      <c r="C1540" s="14">
        <v>44.0</v>
      </c>
      <c r="D1540" s="13" t="s">
        <v>69</v>
      </c>
      <c r="E1540" s="13" t="s">
        <v>119</v>
      </c>
      <c r="F1540" s="13" t="s">
        <v>62</v>
      </c>
      <c r="G1540" s="13" t="s">
        <v>63</v>
      </c>
      <c r="H1540" s="16">
        <v>45696.0</v>
      </c>
      <c r="I1540" s="14">
        <v>16.0</v>
      </c>
      <c r="J1540" s="13" t="s">
        <v>64</v>
      </c>
      <c r="K1540" s="13" t="s">
        <v>41</v>
      </c>
      <c r="L1540" s="14">
        <v>664.0</v>
      </c>
      <c r="M1540" s="18" t="s">
        <v>164</v>
      </c>
      <c r="N1540" s="18" t="s">
        <v>98</v>
      </c>
      <c r="O1540" s="18">
        <v>10.8</v>
      </c>
      <c r="P1540" s="18" t="s">
        <v>408</v>
      </c>
      <c r="Q1540" s="16">
        <v>45959.0</v>
      </c>
      <c r="R1540" s="16" t="s">
        <v>38</v>
      </c>
      <c r="S1540" s="13" t="s">
        <v>55</v>
      </c>
      <c r="T1540" s="13" t="s">
        <v>72</v>
      </c>
      <c r="U1540" s="13">
        <f t="shared" si="1"/>
        <v>3</v>
      </c>
      <c r="V1540" s="13" t="str">
        <f t="shared" si="2"/>
        <v>C01190|Vikram Nair|44|South|Kochi|Basic|Google Ads|2/8/2025|16|Annual|Upi|664|3|1|10.80|4.2|10/29/2025||Active|Collaboration</v>
      </c>
      <c r="W1540" s="13">
        <f t="shared" si="3"/>
        <v>1</v>
      </c>
      <c r="X1540" s="13">
        <f>IFERROR(__xludf.DUMMYFUNCTION("COUNTUNIQUE(FILTER($B$2:$B$1826,$A$2:$A$1826=A1540))"),3.0)</f>
        <v>3</v>
      </c>
    </row>
    <row r="1541">
      <c r="A1541" s="13" t="s">
        <v>1568</v>
      </c>
      <c r="B1541" s="13" t="s">
        <v>651</v>
      </c>
      <c r="C1541" s="14">
        <v>55.0</v>
      </c>
      <c r="D1541" s="13" t="s">
        <v>85</v>
      </c>
      <c r="E1541" s="13" t="s">
        <v>292</v>
      </c>
      <c r="F1541" s="13" t="s">
        <v>37</v>
      </c>
      <c r="G1541" s="13" t="s">
        <v>39</v>
      </c>
      <c r="H1541" s="16">
        <v>45983.0</v>
      </c>
      <c r="I1541" s="14">
        <v>31.0</v>
      </c>
      <c r="J1541" s="13" t="s">
        <v>40</v>
      </c>
      <c r="K1541" s="13" t="s">
        <v>65</v>
      </c>
      <c r="L1541" s="14">
        <v>1089.0</v>
      </c>
      <c r="M1541" s="18" t="s">
        <v>98</v>
      </c>
      <c r="N1541" s="18" t="s">
        <v>46</v>
      </c>
      <c r="O1541" s="18">
        <v>44.4</v>
      </c>
      <c r="P1541" s="18" t="s">
        <v>173</v>
      </c>
      <c r="Q1541" s="16">
        <v>46264.0</v>
      </c>
      <c r="R1541" s="16" t="s">
        <v>2028</v>
      </c>
      <c r="S1541" s="13" t="s">
        <v>45</v>
      </c>
      <c r="T1541" s="13" t="s">
        <v>104</v>
      </c>
      <c r="U1541" s="13">
        <f t="shared" si="1"/>
        <v>2</v>
      </c>
      <c r="V1541" s="13" t="str">
        <f t="shared" si="2"/>
        <v>C01407|Arun Sharma|55|West|Mumbai|Standard|Instagram|11/22/2025|31|Monthly|Credit Card|1,089|1|0|44.40|5|8/30/2026|29/08/2026|Churned|Analytics</v>
      </c>
      <c r="W1541" s="13">
        <f t="shared" si="3"/>
        <v>1</v>
      </c>
      <c r="X1541" s="13">
        <f>IFERROR(__xludf.DUMMYFUNCTION("COUNTUNIQUE(FILTER($B$2:$B$1826,$A$2:$A$1826=A1541))"),2.0)</f>
        <v>2</v>
      </c>
    </row>
    <row r="1542">
      <c r="A1542" s="13" t="s">
        <v>2029</v>
      </c>
      <c r="B1542" s="13" t="s">
        <v>160</v>
      </c>
      <c r="C1542" s="14">
        <v>55.0</v>
      </c>
      <c r="D1542" s="13" t="s">
        <v>85</v>
      </c>
      <c r="E1542" s="13" t="s">
        <v>133</v>
      </c>
      <c r="F1542" s="13" t="s">
        <v>37</v>
      </c>
      <c r="G1542" s="13" t="s">
        <v>39</v>
      </c>
      <c r="H1542" s="16">
        <v>44950.0</v>
      </c>
      <c r="I1542" s="14">
        <v>10.0</v>
      </c>
      <c r="J1542" s="13" t="s">
        <v>53</v>
      </c>
      <c r="K1542" s="13" t="s">
        <v>65</v>
      </c>
      <c r="L1542" s="14">
        <v>1714.0</v>
      </c>
      <c r="M1542" s="18" t="s">
        <v>43</v>
      </c>
      <c r="N1542" s="18" t="s">
        <v>98</v>
      </c>
      <c r="O1542" s="18">
        <v>39.4</v>
      </c>
      <c r="P1542" s="18" t="s">
        <v>185</v>
      </c>
      <c r="Q1542" s="16">
        <v>45068.0</v>
      </c>
      <c r="R1542" s="16" t="s">
        <v>38</v>
      </c>
      <c r="S1542" s="13" t="s">
        <v>55</v>
      </c>
      <c r="T1542" s="13" t="s">
        <v>72</v>
      </c>
      <c r="U1542" s="13">
        <f t="shared" si="1"/>
        <v>1</v>
      </c>
      <c r="V1542" s="13" t="str">
        <f t="shared" si="2"/>
        <v>C01236|Rahul Singh|55|West|Guwahati|Standard|Instagram|1/24/2023|10|Quarterly|Credit Card|1,714|2|1|39.40|3.2|5/22/2023||Active|Collaboration</v>
      </c>
      <c r="W1542" s="13">
        <f t="shared" si="3"/>
        <v>1</v>
      </c>
      <c r="X1542" s="13">
        <f>IFERROR(__xludf.DUMMYFUNCTION("COUNTUNIQUE(FILTER($B$2:$B$1826,$A$2:$A$1826=A1542))"),1.0)</f>
        <v>1</v>
      </c>
    </row>
    <row r="1543">
      <c r="A1543" s="13" t="s">
        <v>138</v>
      </c>
      <c r="B1543" s="13" t="s">
        <v>322</v>
      </c>
      <c r="C1543" s="14">
        <v>29.0</v>
      </c>
      <c r="D1543" s="13" t="s">
        <v>69</v>
      </c>
      <c r="E1543" s="13" t="s">
        <v>187</v>
      </c>
      <c r="F1543" s="13" t="s">
        <v>62</v>
      </c>
      <c r="G1543" s="13" t="s">
        <v>128</v>
      </c>
      <c r="H1543" s="16">
        <v>44897.0</v>
      </c>
      <c r="I1543" s="14">
        <v>26.0</v>
      </c>
      <c r="J1543" s="13" t="s">
        <v>53</v>
      </c>
      <c r="K1543" s="13" t="s">
        <v>65</v>
      </c>
      <c r="L1543" s="14">
        <v>734.0</v>
      </c>
      <c r="M1543" s="18" t="s">
        <v>46</v>
      </c>
      <c r="N1543" s="18" t="s">
        <v>98</v>
      </c>
      <c r="O1543" s="18">
        <v>34.3</v>
      </c>
      <c r="P1543" s="18" t="s">
        <v>173</v>
      </c>
      <c r="Q1543" s="16">
        <v>45514.0</v>
      </c>
      <c r="R1543" s="16" t="s">
        <v>2030</v>
      </c>
      <c r="S1543" s="13" t="s">
        <v>45</v>
      </c>
      <c r="T1543" s="13" t="s">
        <v>47</v>
      </c>
      <c r="U1543" s="13">
        <f t="shared" si="1"/>
        <v>2</v>
      </c>
      <c r="V1543" s="13" t="str">
        <f t="shared" si="2"/>
        <v>C00082|Rahul Iyer|29|South|Chennai|Basic|Youtube|12/2/2022|26|Quarterly|Credit Card|734|0|1|34.30|5|8/10/2024|30/10/2024|Churned|Cloud Storage</v>
      </c>
      <c r="W1543" s="13">
        <f t="shared" si="3"/>
        <v>1</v>
      </c>
      <c r="X1543" s="13">
        <f>IFERROR(__xludf.DUMMYFUNCTION("COUNTUNIQUE(FILTER($B$2:$B$1826,$A$2:$A$1826=A1543))"),2.0)</f>
        <v>2</v>
      </c>
    </row>
    <row r="1544">
      <c r="A1544" s="13" t="s">
        <v>2031</v>
      </c>
      <c r="B1544" s="13" t="s">
        <v>651</v>
      </c>
      <c r="C1544" s="14">
        <v>35.0</v>
      </c>
      <c r="D1544" s="13" t="s">
        <v>69</v>
      </c>
      <c r="E1544" s="13" t="s">
        <v>187</v>
      </c>
      <c r="F1544" s="13" t="s">
        <v>37</v>
      </c>
      <c r="G1544" s="13" t="s">
        <v>128</v>
      </c>
      <c r="H1544" s="16">
        <v>45254.0</v>
      </c>
      <c r="I1544" s="14">
        <v>42.0</v>
      </c>
      <c r="J1544" s="13" t="s">
        <v>64</v>
      </c>
      <c r="K1544" s="13" t="s">
        <v>41</v>
      </c>
      <c r="L1544" s="14">
        <v>1243.0</v>
      </c>
      <c r="M1544" s="18" t="s">
        <v>99</v>
      </c>
      <c r="N1544" s="18" t="s">
        <v>46</v>
      </c>
      <c r="O1544" s="18">
        <v>30.7</v>
      </c>
      <c r="P1544" s="18" t="s">
        <v>76</v>
      </c>
      <c r="Q1544" s="16">
        <v>45637.0</v>
      </c>
      <c r="R1544" s="16" t="s">
        <v>38</v>
      </c>
      <c r="S1544" s="13" t="s">
        <v>55</v>
      </c>
      <c r="T1544" s="13" t="s">
        <v>104</v>
      </c>
      <c r="U1544" s="13">
        <f t="shared" si="1"/>
        <v>2</v>
      </c>
      <c r="V1544" s="13" t="str">
        <f t="shared" si="2"/>
        <v>C01274|Arun Sharma|35|South|Chennai|Standard|Youtube|11/24/2023|42|Annual|Upi|1,243|4|0|30.70|4.4|12/11/2024||Active|Analytics</v>
      </c>
      <c r="W1544" s="13">
        <f t="shared" si="3"/>
        <v>1</v>
      </c>
      <c r="X1544" s="13">
        <f>IFERROR(__xludf.DUMMYFUNCTION("COUNTUNIQUE(FILTER($B$2:$B$1826,$A$2:$A$1826=A1544))"),2.0)</f>
        <v>2</v>
      </c>
    </row>
    <row r="1545">
      <c r="A1545" s="13" t="s">
        <v>1997</v>
      </c>
      <c r="B1545" s="13" t="s">
        <v>605</v>
      </c>
      <c r="C1545" s="14">
        <v>57.0</v>
      </c>
      <c r="D1545" s="13" t="s">
        <v>69</v>
      </c>
      <c r="E1545" s="13" t="s">
        <v>187</v>
      </c>
      <c r="F1545" s="13" t="s">
        <v>37</v>
      </c>
      <c r="G1545" s="13" t="s">
        <v>39</v>
      </c>
      <c r="H1545" s="16">
        <v>45619.0</v>
      </c>
      <c r="I1545" s="14">
        <v>18.0</v>
      </c>
      <c r="J1545" s="13" t="s">
        <v>40</v>
      </c>
      <c r="K1545" s="13" t="s">
        <v>81</v>
      </c>
      <c r="L1545" s="14">
        <v>1303.0</v>
      </c>
      <c r="M1545" s="18" t="s">
        <v>99</v>
      </c>
      <c r="N1545" s="18" t="s">
        <v>98</v>
      </c>
      <c r="O1545" s="18">
        <v>25.5</v>
      </c>
      <c r="P1545" s="18" t="s">
        <v>48</v>
      </c>
      <c r="Q1545" s="16">
        <v>45701.0</v>
      </c>
      <c r="R1545" s="16" t="s">
        <v>38</v>
      </c>
      <c r="S1545" s="13" t="s">
        <v>55</v>
      </c>
      <c r="T1545" s="13" t="s">
        <v>75</v>
      </c>
      <c r="U1545" s="13">
        <f t="shared" si="1"/>
        <v>2</v>
      </c>
      <c r="V1545" s="13" t="str">
        <f t="shared" si="2"/>
        <v>C00867|Meera Patel|57|South|Chennai|Standard|Instagram|11/23/2024|18|Monthly|Debit Card|1,303|4|1|25.50|3.6|2/13/2025||Active|Security</v>
      </c>
      <c r="W1545" s="13">
        <f t="shared" si="3"/>
        <v>1</v>
      </c>
      <c r="X1545" s="13">
        <f>IFERROR(__xludf.DUMMYFUNCTION("COUNTUNIQUE(FILTER($B$2:$B$1826,$A$2:$A$1826=A1545))"),2.0)</f>
        <v>2</v>
      </c>
    </row>
    <row r="1546">
      <c r="A1546" s="13" t="s">
        <v>2032</v>
      </c>
      <c r="B1546" s="13" t="s">
        <v>633</v>
      </c>
      <c r="C1546" s="14">
        <v>55.0</v>
      </c>
      <c r="D1546" s="13" t="s">
        <v>60</v>
      </c>
      <c r="E1546" s="13" t="s">
        <v>61</v>
      </c>
      <c r="F1546" s="13" t="s">
        <v>62</v>
      </c>
      <c r="G1546" s="13" t="s">
        <v>210</v>
      </c>
      <c r="H1546" s="16">
        <v>45975.0</v>
      </c>
      <c r="I1546" s="14">
        <v>22.0</v>
      </c>
      <c r="J1546" s="13" t="s">
        <v>64</v>
      </c>
      <c r="K1546" s="13" t="s">
        <v>81</v>
      </c>
      <c r="L1546" s="14">
        <v>698.0</v>
      </c>
      <c r="M1546" s="18" t="s">
        <v>98</v>
      </c>
      <c r="N1546" s="18" t="s">
        <v>46</v>
      </c>
      <c r="O1546" s="18">
        <v>24.1</v>
      </c>
      <c r="P1546" s="18" t="s">
        <v>123</v>
      </c>
      <c r="Q1546" s="16">
        <v>46438.0</v>
      </c>
      <c r="R1546" s="16" t="s">
        <v>38</v>
      </c>
      <c r="S1546" s="13" t="s">
        <v>55</v>
      </c>
      <c r="T1546" s="13" t="s">
        <v>66</v>
      </c>
      <c r="U1546" s="13">
        <f t="shared" si="1"/>
        <v>2</v>
      </c>
      <c r="V1546" s="13" t="str">
        <f t="shared" si="2"/>
        <v>C00679|Anita Das|55|East|Kolkata|Basic|Referral|11/14/2025|22|Annual|Debit Card|698|1|0|24.10|4.1|2/20/2027||Active|Automation</v>
      </c>
      <c r="W1546" s="13">
        <f t="shared" si="3"/>
        <v>1</v>
      </c>
      <c r="X1546" s="13">
        <f>IFERROR(__xludf.DUMMYFUNCTION("COUNTUNIQUE(FILTER($B$2:$B$1826,$A$2:$A$1826=A1546))"),2.0)</f>
        <v>2</v>
      </c>
    </row>
    <row r="1547">
      <c r="A1547" s="13" t="s">
        <v>2033</v>
      </c>
      <c r="B1547" s="13" t="s">
        <v>106</v>
      </c>
      <c r="C1547" s="14">
        <v>50.0</v>
      </c>
      <c r="D1547" s="13" t="s">
        <v>69</v>
      </c>
      <c r="E1547" s="13" t="s">
        <v>187</v>
      </c>
      <c r="F1547" s="13" t="s">
        <v>62</v>
      </c>
      <c r="G1547" s="13" t="s">
        <v>63</v>
      </c>
      <c r="H1547" s="16">
        <v>45367.0</v>
      </c>
      <c r="I1547" s="14">
        <v>19.0</v>
      </c>
      <c r="J1547" s="13" t="s">
        <v>53</v>
      </c>
      <c r="K1547" s="13" t="s">
        <v>65</v>
      </c>
      <c r="L1547" s="14">
        <v>608.0</v>
      </c>
      <c r="M1547" s="18" t="s">
        <v>98</v>
      </c>
      <c r="N1547" s="18" t="s">
        <v>43</v>
      </c>
      <c r="O1547" s="18">
        <v>19.0</v>
      </c>
      <c r="P1547" s="18" t="s">
        <v>164</v>
      </c>
      <c r="Q1547" s="16">
        <v>45565.0</v>
      </c>
      <c r="R1547" s="16">
        <v>45664.0</v>
      </c>
      <c r="S1547" s="13" t="s">
        <v>45</v>
      </c>
      <c r="T1547" s="13" t="s">
        <v>75</v>
      </c>
      <c r="U1547" s="13">
        <f t="shared" si="1"/>
        <v>1</v>
      </c>
      <c r="V1547" s="13" t="str">
        <f t="shared" si="2"/>
        <v>C00143|Rahul Patel|50|South|Chennai|Basic|Google Ads|3/16/2024|19|Quarterly|Credit Card|608|1|2|19.00|3|9/30/2024|1/7/2025|Churned|Security</v>
      </c>
      <c r="W1547" s="13">
        <f t="shared" si="3"/>
        <v>1</v>
      </c>
      <c r="X1547" s="13">
        <f>IFERROR(__xludf.DUMMYFUNCTION("COUNTUNIQUE(FILTER($B$2:$B$1826,$A$2:$A$1826=A1547))"),1.0)</f>
        <v>1</v>
      </c>
    </row>
    <row r="1548">
      <c r="A1548" s="13" t="s">
        <v>2035</v>
      </c>
      <c r="B1548" s="13" t="s">
        <v>345</v>
      </c>
      <c r="C1548" s="14">
        <v>19.0</v>
      </c>
      <c r="D1548" s="13" t="s">
        <v>69</v>
      </c>
      <c r="E1548" s="13" t="s">
        <v>70</v>
      </c>
      <c r="F1548" s="13" t="s">
        <v>62</v>
      </c>
      <c r="G1548" s="13" t="s">
        <v>52</v>
      </c>
      <c r="H1548" s="16">
        <v>45598.0</v>
      </c>
      <c r="I1548" s="14">
        <v>45.0</v>
      </c>
      <c r="J1548" s="13" t="s">
        <v>40</v>
      </c>
      <c r="K1548" s="13" t="s">
        <v>81</v>
      </c>
      <c r="L1548" s="14">
        <v>702.0</v>
      </c>
      <c r="M1548" s="18" t="s">
        <v>173</v>
      </c>
      <c r="N1548" s="18" t="s">
        <v>43</v>
      </c>
      <c r="O1548" s="18">
        <v>26.5</v>
      </c>
      <c r="P1548" s="18" t="s">
        <v>116</v>
      </c>
      <c r="Q1548" s="16">
        <v>46219.0</v>
      </c>
      <c r="R1548" s="16">
        <v>46607.0</v>
      </c>
      <c r="S1548" s="13" t="s">
        <v>45</v>
      </c>
      <c r="T1548" s="13" t="s">
        <v>72</v>
      </c>
      <c r="U1548" s="13">
        <f t="shared" si="1"/>
        <v>1</v>
      </c>
      <c r="V1548" s="13" t="str">
        <f t="shared" si="2"/>
        <v>C00448|Arun Nair|19|South|Bengaluru|Basic|Facebook|11/2/2024|45|Monthly|Debit Card|702|5|2|26.50|3.4|7/16/2026|8/8/2027|Churned|Collaboration</v>
      </c>
      <c r="W1548" s="13">
        <f t="shared" si="3"/>
        <v>1</v>
      </c>
      <c r="X1548" s="13">
        <f>IFERROR(__xludf.DUMMYFUNCTION("COUNTUNIQUE(FILTER($B$2:$B$1826,$A$2:$A$1826=A1548))"),1.0)</f>
        <v>1</v>
      </c>
    </row>
    <row r="1549">
      <c r="A1549" s="13" t="s">
        <v>1983</v>
      </c>
      <c r="B1549" s="13" t="s">
        <v>303</v>
      </c>
      <c r="C1549" s="14">
        <v>59.0</v>
      </c>
      <c r="D1549" s="13" t="s">
        <v>69</v>
      </c>
      <c r="E1549" s="13" t="s">
        <v>119</v>
      </c>
      <c r="F1549" s="13" t="s">
        <v>37</v>
      </c>
      <c r="G1549" s="13" t="s">
        <v>210</v>
      </c>
      <c r="H1549" s="16">
        <v>45820.0</v>
      </c>
      <c r="I1549" s="14">
        <v>21.0</v>
      </c>
      <c r="J1549" s="13" t="s">
        <v>53</v>
      </c>
      <c r="K1549" s="13" t="s">
        <v>81</v>
      </c>
      <c r="L1549" s="14">
        <v>1310.0</v>
      </c>
      <c r="M1549" s="18" t="s">
        <v>164</v>
      </c>
      <c r="N1549" s="18" t="s">
        <v>164</v>
      </c>
      <c r="O1549" s="18">
        <v>30.6</v>
      </c>
      <c r="P1549" s="18" t="s">
        <v>1166</v>
      </c>
      <c r="Q1549" s="16">
        <v>46124.0</v>
      </c>
      <c r="R1549" s="16" t="s">
        <v>38</v>
      </c>
      <c r="S1549" s="13" t="s">
        <v>55</v>
      </c>
      <c r="T1549" s="13" t="s">
        <v>72</v>
      </c>
      <c r="U1549" s="13">
        <f t="shared" si="1"/>
        <v>3</v>
      </c>
      <c r="V1549" s="13" t="str">
        <f t="shared" si="2"/>
        <v>C00108|Priya Kumar|59|South|Kochi|Standard|Referral|6/12/2025|21|Quarterly|Debit Card|1,310|3|3|30.60|1.3|4/12/2026||Active|Collaboration</v>
      </c>
      <c r="W1549" s="13">
        <f t="shared" si="3"/>
        <v>1</v>
      </c>
      <c r="X1549" s="13">
        <f>IFERROR(__xludf.DUMMYFUNCTION("COUNTUNIQUE(FILTER($B$2:$B$1826,$A$2:$A$1826=A1549))"),3.0)</f>
        <v>3</v>
      </c>
    </row>
    <row r="1550">
      <c r="A1550" s="13" t="s">
        <v>2037</v>
      </c>
      <c r="B1550" s="13" t="s">
        <v>145</v>
      </c>
      <c r="C1550" s="14">
        <v>46.0</v>
      </c>
      <c r="D1550" s="13" t="s">
        <v>35</v>
      </c>
      <c r="E1550" s="13" t="s">
        <v>51</v>
      </c>
      <c r="F1550" s="13" t="s">
        <v>79</v>
      </c>
      <c r="G1550" s="13" t="s">
        <v>210</v>
      </c>
      <c r="H1550" s="16">
        <v>44599.0</v>
      </c>
      <c r="I1550" s="14">
        <v>44.0</v>
      </c>
      <c r="J1550" s="13" t="s">
        <v>53</v>
      </c>
      <c r="K1550" s="13" t="s">
        <v>65</v>
      </c>
      <c r="L1550" s="14">
        <v>3599.0</v>
      </c>
      <c r="M1550" s="18" t="s">
        <v>98</v>
      </c>
      <c r="N1550" s="18" t="s">
        <v>98</v>
      </c>
      <c r="O1550" s="18">
        <v>46.8</v>
      </c>
      <c r="P1550" s="18" t="s">
        <v>130</v>
      </c>
      <c r="Q1550" s="16">
        <v>45360.0</v>
      </c>
      <c r="R1550" s="16" t="s">
        <v>38</v>
      </c>
      <c r="S1550" s="13" t="s">
        <v>55</v>
      </c>
      <c r="T1550" s="13" t="s">
        <v>47</v>
      </c>
      <c r="U1550" s="13">
        <f t="shared" si="1"/>
        <v>1</v>
      </c>
      <c r="V1550" s="13" t="str">
        <f t="shared" si="2"/>
        <v>C01491|Ravi Patel|46|North|Jaipur|Premium|Referral|2/7/2022|44|Quarterly|Credit Card|3,599|1|1|46.80|3.9|3/9/2024||Active|Cloud Storage</v>
      </c>
      <c r="W1550" s="13">
        <f t="shared" si="3"/>
        <v>1</v>
      </c>
      <c r="X1550" s="13">
        <f>IFERROR(__xludf.DUMMYFUNCTION("COUNTUNIQUE(FILTER($B$2:$B$1826,$A$2:$A$1826=A1550))"),1.0)</f>
        <v>1</v>
      </c>
    </row>
    <row r="1551">
      <c r="A1551" s="13" t="s">
        <v>1595</v>
      </c>
      <c r="B1551" s="13" t="s">
        <v>222</v>
      </c>
      <c r="C1551" s="14">
        <v>45.0</v>
      </c>
      <c r="D1551" s="13" t="s">
        <v>35</v>
      </c>
      <c r="E1551" s="13" t="s">
        <v>140</v>
      </c>
      <c r="F1551" s="13" t="s">
        <v>37</v>
      </c>
      <c r="G1551" s="13" t="s">
        <v>63</v>
      </c>
      <c r="H1551" s="16">
        <v>44643.0</v>
      </c>
      <c r="I1551" s="14">
        <v>16.0</v>
      </c>
      <c r="J1551" s="13" t="s">
        <v>64</v>
      </c>
      <c r="K1551" s="13" t="s">
        <v>41</v>
      </c>
      <c r="L1551" s="14">
        <v>1519.0</v>
      </c>
      <c r="M1551" s="18" t="s">
        <v>43</v>
      </c>
      <c r="N1551" s="18" t="s">
        <v>46</v>
      </c>
      <c r="O1551" s="18">
        <v>32.6</v>
      </c>
      <c r="P1551" s="18" t="s">
        <v>116</v>
      </c>
      <c r="Q1551" s="16">
        <v>44835.0</v>
      </c>
      <c r="R1551" s="16" t="s">
        <v>38</v>
      </c>
      <c r="S1551" s="13" t="s">
        <v>55</v>
      </c>
      <c r="T1551" s="13" t="s">
        <v>72</v>
      </c>
      <c r="U1551" s="13">
        <f t="shared" si="1"/>
        <v>3</v>
      </c>
      <c r="V1551" s="13" t="str">
        <f t="shared" si="2"/>
        <v>C00761|Karan Iyer|45|North|Lucknow|Standard|Google Ads|3/23/2022|16|Annual|Upi|1,519|2|0|32.60|3.4|10/1/2022||Active|Collaboration</v>
      </c>
      <c r="W1551" s="13">
        <f t="shared" si="3"/>
        <v>1</v>
      </c>
      <c r="X1551" s="13">
        <f>IFERROR(__xludf.DUMMYFUNCTION("COUNTUNIQUE(FILTER($B$2:$B$1826,$A$2:$A$1826=A1551))"),3.0)</f>
        <v>3</v>
      </c>
    </row>
    <row r="1552">
      <c r="A1552" s="13" t="s">
        <v>347</v>
      </c>
      <c r="B1552" s="13" t="s">
        <v>232</v>
      </c>
      <c r="C1552" s="14">
        <v>57.0</v>
      </c>
      <c r="D1552" s="13" t="s">
        <v>85</v>
      </c>
      <c r="E1552" s="13" t="s">
        <v>92</v>
      </c>
      <c r="F1552" s="13" t="s">
        <v>62</v>
      </c>
      <c r="G1552" s="13" t="s">
        <v>120</v>
      </c>
      <c r="H1552" s="16">
        <v>45884.0</v>
      </c>
      <c r="I1552" s="14">
        <v>38.0</v>
      </c>
      <c r="J1552" s="13" t="s">
        <v>40</v>
      </c>
      <c r="K1552" s="13" t="s">
        <v>41</v>
      </c>
      <c r="L1552" s="14">
        <v>766.0</v>
      </c>
      <c r="M1552" s="18" t="s">
        <v>43</v>
      </c>
      <c r="N1552" s="18" t="s">
        <v>46</v>
      </c>
      <c r="O1552" s="18">
        <v>10.4</v>
      </c>
      <c r="P1552" s="18" t="s">
        <v>203</v>
      </c>
      <c r="Q1552" s="16">
        <v>46886.0</v>
      </c>
      <c r="R1552" s="16" t="s">
        <v>38</v>
      </c>
      <c r="S1552" s="13" t="s">
        <v>55</v>
      </c>
      <c r="T1552" s="13" t="s">
        <v>66</v>
      </c>
      <c r="U1552" s="13">
        <f t="shared" si="1"/>
        <v>5</v>
      </c>
      <c r="V1552" s="13" t="str">
        <f t="shared" si="2"/>
        <v>C01175|Meera Iyer|57|West|Ahmedabad|Basic|Email|8/15/2025|38|Monthly|Upi|766|2|0|10.40|3.7|5/13/2028||Active|Automation</v>
      </c>
      <c r="W1552" s="13">
        <f t="shared" si="3"/>
        <v>1</v>
      </c>
      <c r="X1552" s="13">
        <f>IFERROR(__xludf.DUMMYFUNCTION("COUNTUNIQUE(FILTER($B$2:$B$1826,$A$2:$A$1826=A1552))"),4.0)</f>
        <v>4</v>
      </c>
    </row>
    <row r="1553">
      <c r="A1553" s="13" t="s">
        <v>2038</v>
      </c>
      <c r="B1553" s="13" t="s">
        <v>50</v>
      </c>
      <c r="C1553" s="14">
        <v>68.0</v>
      </c>
      <c r="D1553" s="13" t="s">
        <v>85</v>
      </c>
      <c r="E1553" s="13" t="s">
        <v>292</v>
      </c>
      <c r="F1553" s="13" t="s">
        <v>37</v>
      </c>
      <c r="G1553" s="13" t="s">
        <v>80</v>
      </c>
      <c r="H1553" s="16">
        <v>45207.0</v>
      </c>
      <c r="I1553" s="14">
        <v>21.0</v>
      </c>
      <c r="J1553" s="13" t="s">
        <v>53</v>
      </c>
      <c r="K1553" s="13" t="s">
        <v>65</v>
      </c>
      <c r="L1553" s="14">
        <v>1610.0</v>
      </c>
      <c r="M1553" s="18" t="s">
        <v>98</v>
      </c>
      <c r="N1553" s="18" t="s">
        <v>164</v>
      </c>
      <c r="O1553" s="18">
        <v>35.5</v>
      </c>
      <c r="P1553" s="18" t="s">
        <v>310</v>
      </c>
      <c r="Q1553" s="16">
        <v>45429.0</v>
      </c>
      <c r="R1553" s="16" t="s">
        <v>38</v>
      </c>
      <c r="S1553" s="13" t="s">
        <v>55</v>
      </c>
      <c r="T1553" s="13" t="s">
        <v>47</v>
      </c>
      <c r="U1553" s="13">
        <f t="shared" si="1"/>
        <v>1</v>
      </c>
      <c r="V1553" s="13" t="str">
        <f t="shared" si="2"/>
        <v>C01447|Rahul Das|68|West|Mumbai|Standard|Organic Search|10/8/2023|21|Quarterly|Credit Card|1,610|1|3|35.50|3.1|5/17/2024||Active|Cloud Storage</v>
      </c>
      <c r="W1553" s="13">
        <f t="shared" si="3"/>
        <v>1</v>
      </c>
      <c r="X1553" s="13">
        <f>IFERROR(__xludf.DUMMYFUNCTION("COUNTUNIQUE(FILTER($B$2:$B$1826,$A$2:$A$1826=A1553))"),1.0)</f>
        <v>1</v>
      </c>
    </row>
    <row r="1554">
      <c r="A1554" s="13" t="s">
        <v>361</v>
      </c>
      <c r="B1554" s="13" t="s">
        <v>247</v>
      </c>
      <c r="C1554" s="14">
        <v>61.0</v>
      </c>
      <c r="D1554" s="13" t="s">
        <v>69</v>
      </c>
      <c r="E1554" s="13" t="s">
        <v>187</v>
      </c>
      <c r="F1554" s="13" t="s">
        <v>79</v>
      </c>
      <c r="G1554" s="13" t="s">
        <v>210</v>
      </c>
      <c r="H1554" s="16">
        <v>45342.0</v>
      </c>
      <c r="I1554" s="14">
        <v>7.0</v>
      </c>
      <c r="J1554" s="13" t="s">
        <v>40</v>
      </c>
      <c r="K1554" s="13" t="s">
        <v>65</v>
      </c>
      <c r="L1554" s="14">
        <v>3121.0</v>
      </c>
      <c r="M1554" s="18" t="s">
        <v>164</v>
      </c>
      <c r="N1554" s="18" t="s">
        <v>46</v>
      </c>
      <c r="O1554" s="18">
        <v>41.6</v>
      </c>
      <c r="P1554" s="18" t="s">
        <v>116</v>
      </c>
      <c r="Q1554" s="16">
        <v>45501.0</v>
      </c>
      <c r="R1554" s="16" t="s">
        <v>38</v>
      </c>
      <c r="S1554" s="13" t="s">
        <v>55</v>
      </c>
      <c r="T1554" s="13" t="s">
        <v>66</v>
      </c>
      <c r="U1554" s="13">
        <f t="shared" si="1"/>
        <v>2</v>
      </c>
      <c r="V1554" s="13" t="str">
        <f t="shared" si="2"/>
        <v>C00262|Ravi Sharma|61|South|Chennai|Premium|Referral|2/20/2024|7|Monthly|Credit Card|3,121|3|0|41.60|3.4|7/28/2024||Active|Automation</v>
      </c>
      <c r="W1554" s="13">
        <f t="shared" si="3"/>
        <v>1</v>
      </c>
      <c r="X1554" s="13">
        <f>IFERROR(__xludf.DUMMYFUNCTION("COUNTUNIQUE(FILTER($B$2:$B$1826,$A$2:$A$1826=A1554))"),2.0)</f>
        <v>2</v>
      </c>
    </row>
    <row r="1555">
      <c r="A1555" s="13" t="s">
        <v>2041</v>
      </c>
      <c r="B1555" s="13" t="s">
        <v>160</v>
      </c>
      <c r="C1555" s="14">
        <v>56.0</v>
      </c>
      <c r="D1555" s="13" t="s">
        <v>60</v>
      </c>
      <c r="E1555" s="13" t="s">
        <v>97</v>
      </c>
      <c r="F1555" s="13" t="s">
        <v>62</v>
      </c>
      <c r="G1555" s="13" t="s">
        <v>63</v>
      </c>
      <c r="H1555" s="16">
        <v>45759.0</v>
      </c>
      <c r="I1555" s="14">
        <v>5.0</v>
      </c>
      <c r="J1555" s="13" t="s">
        <v>64</v>
      </c>
      <c r="K1555" s="13" t="s">
        <v>81</v>
      </c>
      <c r="L1555" s="14">
        <v>729.0</v>
      </c>
      <c r="M1555" s="18" t="s">
        <v>164</v>
      </c>
      <c r="N1555" s="18" t="s">
        <v>43</v>
      </c>
      <c r="O1555" s="18">
        <v>23.4</v>
      </c>
      <c r="P1555" s="18" t="s">
        <v>158</v>
      </c>
      <c r="Q1555" s="16">
        <v>46046.0</v>
      </c>
      <c r="R1555" s="16" t="s">
        <v>38</v>
      </c>
      <c r="S1555" s="13" t="s">
        <v>55</v>
      </c>
      <c r="T1555" s="13" t="s">
        <v>72</v>
      </c>
      <c r="U1555" s="13">
        <f t="shared" si="1"/>
        <v>1</v>
      </c>
      <c r="V1555" s="13" t="str">
        <f t="shared" si="2"/>
        <v>C00591|Rahul Singh|56|East|Bhubaneswar|Basic|Google Ads|4/12/2025|5|Annual|Debit Card|729|3|2|23.40|4.7|1/24/2026||Active|Collaboration</v>
      </c>
      <c r="W1555" s="13">
        <f t="shared" si="3"/>
        <v>1</v>
      </c>
      <c r="X1555" s="13">
        <f>IFERROR(__xludf.DUMMYFUNCTION("COUNTUNIQUE(FILTER($B$2:$B$1826,$A$2:$A$1826=A1555))"),1.0)</f>
        <v>1</v>
      </c>
    </row>
    <row r="1556">
      <c r="A1556" s="13" t="s">
        <v>1815</v>
      </c>
      <c r="B1556" s="13" t="s">
        <v>336</v>
      </c>
      <c r="C1556" s="14">
        <v>27.0</v>
      </c>
      <c r="D1556" s="13" t="s">
        <v>60</v>
      </c>
      <c r="E1556" s="13" t="s">
        <v>97</v>
      </c>
      <c r="F1556" s="13" t="s">
        <v>37</v>
      </c>
      <c r="G1556" s="13" t="s">
        <v>52</v>
      </c>
      <c r="H1556" s="16">
        <v>44892.0</v>
      </c>
      <c r="I1556" s="14">
        <v>22.0</v>
      </c>
      <c r="J1556" s="13" t="s">
        <v>40</v>
      </c>
      <c r="K1556" s="13" t="s">
        <v>65</v>
      </c>
      <c r="L1556" s="14">
        <v>1763.0</v>
      </c>
      <c r="M1556" s="18" t="s">
        <v>173</v>
      </c>
      <c r="N1556" s="18" t="s">
        <v>98</v>
      </c>
      <c r="O1556" s="18">
        <v>25.4</v>
      </c>
      <c r="P1556" s="18" t="s">
        <v>89</v>
      </c>
      <c r="Q1556" s="16">
        <v>45405.0</v>
      </c>
      <c r="R1556" s="16" t="s">
        <v>38</v>
      </c>
      <c r="S1556" s="13" t="s">
        <v>55</v>
      </c>
      <c r="T1556" s="13" t="s">
        <v>66</v>
      </c>
      <c r="U1556" s="13">
        <f t="shared" si="1"/>
        <v>3</v>
      </c>
      <c r="V1556" s="13" t="str">
        <f t="shared" si="2"/>
        <v>C01020|Priya Patel|27|East|Bhubaneswar|Standard|Facebook|11/27/2022|22|Monthly|Credit Card|1,763|5|1|25.40|3.3|4/23/2024||Active|Automation</v>
      </c>
      <c r="W1556" s="13">
        <f t="shared" si="3"/>
        <v>1</v>
      </c>
      <c r="X1556" s="13">
        <f>IFERROR(__xludf.DUMMYFUNCTION("COUNTUNIQUE(FILTER($B$2:$B$1826,$A$2:$A$1826=A1556))"),3.0)</f>
        <v>3</v>
      </c>
    </row>
    <row r="1557">
      <c r="A1557" s="13" t="s">
        <v>2042</v>
      </c>
      <c r="B1557" s="13" t="s">
        <v>380</v>
      </c>
      <c r="C1557" s="14">
        <v>55.0</v>
      </c>
      <c r="D1557" s="13" t="s">
        <v>85</v>
      </c>
      <c r="E1557" s="13" t="s">
        <v>292</v>
      </c>
      <c r="F1557" s="13" t="s">
        <v>62</v>
      </c>
      <c r="G1557" s="13" t="s">
        <v>80</v>
      </c>
      <c r="H1557" s="16">
        <v>45156.0</v>
      </c>
      <c r="I1557" s="14">
        <v>5.0</v>
      </c>
      <c r="J1557" s="13" t="s">
        <v>64</v>
      </c>
      <c r="K1557" s="13" t="s">
        <v>65</v>
      </c>
      <c r="L1557" s="14">
        <v>524.0</v>
      </c>
      <c r="M1557" s="18" t="s">
        <v>98</v>
      </c>
      <c r="N1557" s="18" t="s">
        <v>98</v>
      </c>
      <c r="O1557" s="18">
        <v>24.5</v>
      </c>
      <c r="P1557" s="18" t="s">
        <v>233</v>
      </c>
      <c r="Q1557" s="16">
        <v>45185.0</v>
      </c>
      <c r="R1557" s="16" t="s">
        <v>38</v>
      </c>
      <c r="S1557" s="13" t="s">
        <v>55</v>
      </c>
      <c r="T1557" s="13" t="s">
        <v>75</v>
      </c>
      <c r="U1557" s="13">
        <f t="shared" si="1"/>
        <v>1</v>
      </c>
      <c r="V1557" s="13" t="str">
        <f t="shared" si="2"/>
        <v>C01317|Neha Iyer|55|West|Mumbai|Basic|Organic Search|8/18/2023|5|Annual|Credit Card|524|1|1|24.50|3.5|9/16/2023||Active|Security</v>
      </c>
      <c r="W1557" s="13">
        <f t="shared" si="3"/>
        <v>1</v>
      </c>
      <c r="X1557" s="13">
        <f>IFERROR(__xludf.DUMMYFUNCTION("COUNTUNIQUE(FILTER($B$2:$B$1826,$A$2:$A$1826=A1557))"),1.0)</f>
        <v>1</v>
      </c>
    </row>
    <row r="1558">
      <c r="A1558" s="13" t="s">
        <v>2043</v>
      </c>
      <c r="B1558" s="13" t="s">
        <v>34</v>
      </c>
      <c r="C1558" s="14">
        <v>31.0</v>
      </c>
      <c r="D1558" s="13" t="s">
        <v>85</v>
      </c>
      <c r="E1558" s="13" t="s">
        <v>92</v>
      </c>
      <c r="F1558" s="13" t="s">
        <v>62</v>
      </c>
      <c r="G1558" s="13" t="s">
        <v>128</v>
      </c>
      <c r="H1558" s="16">
        <v>45953.0</v>
      </c>
      <c r="I1558" s="14">
        <v>21.0</v>
      </c>
      <c r="J1558" s="13" t="s">
        <v>64</v>
      </c>
      <c r="K1558" s="13" t="s">
        <v>81</v>
      </c>
      <c r="L1558" s="14">
        <v>850.0</v>
      </c>
      <c r="M1558" s="18" t="s">
        <v>46</v>
      </c>
      <c r="N1558" s="18" t="s">
        <v>98</v>
      </c>
      <c r="O1558" s="18">
        <v>12.7</v>
      </c>
      <c r="P1558" s="18" t="s">
        <v>158</v>
      </c>
      <c r="Q1558" s="16">
        <v>46238.0</v>
      </c>
      <c r="R1558" s="16" t="s">
        <v>38</v>
      </c>
      <c r="S1558" s="13" t="s">
        <v>55</v>
      </c>
      <c r="T1558" s="13" t="s">
        <v>47</v>
      </c>
      <c r="U1558" s="13">
        <f t="shared" si="1"/>
        <v>1</v>
      </c>
      <c r="V1558" s="13" t="str">
        <f t="shared" si="2"/>
        <v>C00627|Meera Das|31|West|Ahmedabad|Basic|Youtube|10/23/2025|21|Annual|Debit Card|850|0|1|12.70|4.7|8/4/2026||Active|Cloud Storage</v>
      </c>
      <c r="W1558" s="13">
        <f t="shared" si="3"/>
        <v>1</v>
      </c>
      <c r="X1558" s="13">
        <f>IFERROR(__xludf.DUMMYFUNCTION("COUNTUNIQUE(FILTER($B$2:$B$1826,$A$2:$A$1826=A1558))"),1.0)</f>
        <v>1</v>
      </c>
    </row>
    <row r="1559">
      <c r="A1559" s="13" t="s">
        <v>2044</v>
      </c>
      <c r="B1559" s="13" t="s">
        <v>59</v>
      </c>
      <c r="C1559" s="14">
        <v>44.0</v>
      </c>
      <c r="D1559" s="13" t="s">
        <v>85</v>
      </c>
      <c r="E1559" s="13" t="s">
        <v>111</v>
      </c>
      <c r="F1559" s="13" t="s">
        <v>62</v>
      </c>
      <c r="G1559" s="13" t="s">
        <v>128</v>
      </c>
      <c r="H1559" s="16">
        <v>44806.0</v>
      </c>
      <c r="I1559" s="14">
        <v>4.0</v>
      </c>
      <c r="J1559" s="13" t="s">
        <v>40</v>
      </c>
      <c r="K1559" s="13" t="s">
        <v>41</v>
      </c>
      <c r="L1559" s="14">
        <v>529.0</v>
      </c>
      <c r="M1559" s="18" t="s">
        <v>46</v>
      </c>
      <c r="N1559" s="18" t="s">
        <v>46</v>
      </c>
      <c r="O1559" s="18">
        <v>4.3</v>
      </c>
      <c r="P1559" s="18" t="s">
        <v>123</v>
      </c>
      <c r="Q1559" s="16">
        <v>44852.0</v>
      </c>
      <c r="R1559" s="16" t="s">
        <v>2045</v>
      </c>
      <c r="S1559" s="13" t="s">
        <v>45</v>
      </c>
      <c r="T1559" s="13" t="s">
        <v>104</v>
      </c>
      <c r="U1559" s="13">
        <f t="shared" si="1"/>
        <v>1</v>
      </c>
      <c r="V1559" s="13" t="str">
        <f t="shared" si="2"/>
        <v>C00008|Priya Das|44|West|Pune|Basic|Youtube|9/2/2022|4|Monthly|Upi|529|0|0|4.30|4.1|10/18/2022|24/11/2022|Churned|Analytics</v>
      </c>
      <c r="W1559" s="13">
        <f t="shared" si="3"/>
        <v>1</v>
      </c>
      <c r="X1559" s="13">
        <f>IFERROR(__xludf.DUMMYFUNCTION("COUNTUNIQUE(FILTER($B$2:$B$1826,$A$2:$A$1826=A1559))"),1.0)</f>
        <v>1</v>
      </c>
    </row>
    <row r="1560">
      <c r="A1560" s="13" t="s">
        <v>367</v>
      </c>
      <c r="B1560" s="13" t="s">
        <v>411</v>
      </c>
      <c r="C1560" s="14">
        <v>39.0</v>
      </c>
      <c r="D1560" s="13" t="s">
        <v>60</v>
      </c>
      <c r="E1560" s="13" t="s">
        <v>107</v>
      </c>
      <c r="F1560" s="13" t="s">
        <v>79</v>
      </c>
      <c r="G1560" s="13" t="s">
        <v>52</v>
      </c>
      <c r="H1560" s="16">
        <v>45482.0</v>
      </c>
      <c r="I1560" s="14">
        <v>44.0</v>
      </c>
      <c r="J1560" s="13" t="s">
        <v>53</v>
      </c>
      <c r="K1560" s="13" t="s">
        <v>81</v>
      </c>
      <c r="L1560" s="14">
        <v>3021.0</v>
      </c>
      <c r="M1560" s="18" t="s">
        <v>43</v>
      </c>
      <c r="N1560" s="18" t="s">
        <v>164</v>
      </c>
      <c r="O1560" s="18">
        <v>37.3</v>
      </c>
      <c r="P1560" s="18" t="s">
        <v>173</v>
      </c>
      <c r="Q1560" s="16">
        <v>46562.0</v>
      </c>
      <c r="R1560" s="16" t="s">
        <v>38</v>
      </c>
      <c r="S1560" s="13" t="s">
        <v>55</v>
      </c>
      <c r="T1560" s="13" t="s">
        <v>72</v>
      </c>
      <c r="U1560" s="13">
        <f t="shared" si="1"/>
        <v>3</v>
      </c>
      <c r="V1560" s="13" t="str">
        <f t="shared" si="2"/>
        <v>C00858|Karan Reddy|39|East|Patna|Premium|Facebook|7/9/2024|44|Quarterly|Debit Card|3,021|2|3|37.30|5|6/24/2027||Active|Collaboration</v>
      </c>
      <c r="W1560" s="13">
        <f t="shared" si="3"/>
        <v>1</v>
      </c>
      <c r="X1560" s="13">
        <f>IFERROR(__xludf.DUMMYFUNCTION("COUNTUNIQUE(FILTER($B$2:$B$1826,$A$2:$A$1826=A1560))"),3.0)</f>
        <v>3</v>
      </c>
    </row>
    <row r="1561">
      <c r="A1561" s="13" t="s">
        <v>1400</v>
      </c>
      <c r="B1561" s="13" t="s">
        <v>206</v>
      </c>
      <c r="C1561" s="14">
        <v>37.0</v>
      </c>
      <c r="D1561" s="13" t="s">
        <v>69</v>
      </c>
      <c r="E1561" s="13" t="s">
        <v>177</v>
      </c>
      <c r="F1561" s="13" t="s">
        <v>37</v>
      </c>
      <c r="G1561" s="13" t="s">
        <v>210</v>
      </c>
      <c r="H1561" s="16">
        <v>44573.0</v>
      </c>
      <c r="I1561" s="14">
        <v>1.0</v>
      </c>
      <c r="J1561" s="13" t="s">
        <v>64</v>
      </c>
      <c r="K1561" s="13" t="s">
        <v>41</v>
      </c>
      <c r="L1561" s="14">
        <v>1456.0</v>
      </c>
      <c r="M1561" s="18" t="s">
        <v>43</v>
      </c>
      <c r="N1561" s="18" t="s">
        <v>43</v>
      </c>
      <c r="O1561" s="18">
        <v>39.7</v>
      </c>
      <c r="P1561" s="18" t="s">
        <v>285</v>
      </c>
      <c r="Q1561" s="16">
        <v>44616.0</v>
      </c>
      <c r="R1561" s="16" t="s">
        <v>38</v>
      </c>
      <c r="S1561" s="13" t="s">
        <v>55</v>
      </c>
      <c r="T1561" s="13" t="s">
        <v>72</v>
      </c>
      <c r="U1561" s="13">
        <f t="shared" si="1"/>
        <v>3</v>
      </c>
      <c r="V1561" s="13" t="str">
        <f t="shared" si="2"/>
        <v>C00205|Karan Patel|37|South|Hyderabad|Standard|Referral|1/12/2022|1|Annual|Upi|1,456|2|2|39.70|2.3|2/24/2022||Active|Collaboration</v>
      </c>
      <c r="W1561" s="13">
        <f t="shared" si="3"/>
        <v>1</v>
      </c>
      <c r="X1561" s="13">
        <f>IFERROR(__xludf.DUMMYFUNCTION("COUNTUNIQUE(FILTER($B$2:$B$1826,$A$2:$A$1826=A1561))"),3.0)</f>
        <v>3</v>
      </c>
    </row>
    <row r="1562">
      <c r="A1562" s="13" t="s">
        <v>1333</v>
      </c>
      <c r="B1562" s="13" t="s">
        <v>645</v>
      </c>
      <c r="C1562" s="14">
        <v>37.0</v>
      </c>
      <c r="D1562" s="13" t="s">
        <v>85</v>
      </c>
      <c r="E1562" s="13" t="s">
        <v>87</v>
      </c>
      <c r="F1562" s="13" t="s">
        <v>62</v>
      </c>
      <c r="G1562" s="13" t="s">
        <v>210</v>
      </c>
      <c r="H1562" s="16">
        <v>44780.0</v>
      </c>
      <c r="I1562" s="14">
        <v>10.0</v>
      </c>
      <c r="J1562" s="13" t="s">
        <v>40</v>
      </c>
      <c r="K1562" s="13" t="s">
        <v>41</v>
      </c>
      <c r="L1562" s="14">
        <v>630.0</v>
      </c>
      <c r="M1562" s="18" t="s">
        <v>46</v>
      </c>
      <c r="N1562" s="18" t="s">
        <v>46</v>
      </c>
      <c r="O1562" s="18">
        <v>10.5</v>
      </c>
      <c r="P1562" s="18" t="s">
        <v>150</v>
      </c>
      <c r="Q1562" s="16">
        <v>44825.0</v>
      </c>
      <c r="R1562" s="16" t="s">
        <v>38</v>
      </c>
      <c r="S1562" s="13" t="s">
        <v>55</v>
      </c>
      <c r="T1562" s="13" t="s">
        <v>47</v>
      </c>
      <c r="U1562" s="13">
        <f t="shared" si="1"/>
        <v>3</v>
      </c>
      <c r="V1562" s="13" t="str">
        <f t="shared" si="2"/>
        <v>C00147|Ravi Nair|37|West|Surat|Basic|Referral|8/7/2022|10|Monthly|Upi|630|0|0|10.50|4.5|9/21/2022||Active|Cloud Storage</v>
      </c>
      <c r="W1562" s="13">
        <f t="shared" si="3"/>
        <v>1</v>
      </c>
      <c r="X1562" s="13">
        <f>IFERROR(__xludf.DUMMYFUNCTION("COUNTUNIQUE(FILTER($B$2:$B$1826,$A$2:$A$1826=A1562))"),3.0)</f>
        <v>3</v>
      </c>
    </row>
    <row r="1563">
      <c r="A1563" s="13" t="s">
        <v>2046</v>
      </c>
      <c r="B1563" s="13" t="s">
        <v>333</v>
      </c>
      <c r="C1563" s="14">
        <v>31.0</v>
      </c>
      <c r="D1563" s="13" t="s">
        <v>85</v>
      </c>
      <c r="E1563" s="13" t="s">
        <v>87</v>
      </c>
      <c r="F1563" s="13" t="s">
        <v>62</v>
      </c>
      <c r="G1563" s="13" t="s">
        <v>128</v>
      </c>
      <c r="H1563" s="16">
        <v>45039.0</v>
      </c>
      <c r="I1563" s="14">
        <v>21.0</v>
      </c>
      <c r="J1563" s="13" t="s">
        <v>40</v>
      </c>
      <c r="K1563" s="13" t="s">
        <v>81</v>
      </c>
      <c r="L1563" s="14">
        <v>520.0</v>
      </c>
      <c r="M1563" s="18" t="s">
        <v>164</v>
      </c>
      <c r="N1563" s="18" t="s">
        <v>46</v>
      </c>
      <c r="O1563" s="18">
        <v>16.2</v>
      </c>
      <c r="P1563" s="18" t="s">
        <v>203</v>
      </c>
      <c r="Q1563" s="16">
        <v>45512.0</v>
      </c>
      <c r="R1563" s="16">
        <v>45266.0</v>
      </c>
      <c r="S1563" s="13" t="s">
        <v>45</v>
      </c>
      <c r="T1563" s="13" t="s">
        <v>72</v>
      </c>
      <c r="U1563" s="13">
        <f t="shared" si="1"/>
        <v>1</v>
      </c>
      <c r="V1563" s="13" t="str">
        <f t="shared" si="2"/>
        <v>C00413|Neha Das|31|West|Surat|Basic|Youtube|4/23/2023|21|Monthly|Debit Card|520|3|0|16.20|3.7|8/8/2024|12/6/2023|Churned|Collaboration</v>
      </c>
      <c r="W1563" s="13">
        <f t="shared" si="3"/>
        <v>1</v>
      </c>
      <c r="X1563" s="13">
        <f>IFERROR(__xludf.DUMMYFUNCTION("COUNTUNIQUE(FILTER($B$2:$B$1826,$A$2:$A$1826=A1563))"),1.0)</f>
        <v>1</v>
      </c>
    </row>
    <row r="1564">
      <c r="A1564" s="13" t="s">
        <v>77</v>
      </c>
      <c r="B1564" s="13" t="s">
        <v>395</v>
      </c>
      <c r="C1564" s="14">
        <v>20.0</v>
      </c>
      <c r="D1564" s="13" t="s">
        <v>69</v>
      </c>
      <c r="E1564" s="13" t="s">
        <v>187</v>
      </c>
      <c r="F1564" s="13" t="s">
        <v>37</v>
      </c>
      <c r="G1564" s="13" t="s">
        <v>120</v>
      </c>
      <c r="H1564" s="16">
        <v>44686.0</v>
      </c>
      <c r="I1564" s="14">
        <v>12.0</v>
      </c>
      <c r="J1564" s="13" t="s">
        <v>64</v>
      </c>
      <c r="K1564" s="13" t="s">
        <v>65</v>
      </c>
      <c r="L1564" s="14">
        <v>1339.0</v>
      </c>
      <c r="M1564" s="18" t="s">
        <v>164</v>
      </c>
      <c r="N1564" s="18" t="s">
        <v>99</v>
      </c>
      <c r="O1564" s="18">
        <v>30.0</v>
      </c>
      <c r="P1564" s="18" t="s">
        <v>150</v>
      </c>
      <c r="Q1564" s="16">
        <v>44720.0</v>
      </c>
      <c r="R1564" s="16" t="s">
        <v>38</v>
      </c>
      <c r="S1564" s="13" t="s">
        <v>55</v>
      </c>
      <c r="T1564" s="13" t="s">
        <v>104</v>
      </c>
      <c r="U1564" s="13">
        <f t="shared" si="1"/>
        <v>6</v>
      </c>
      <c r="V1564" s="13" t="str">
        <f t="shared" si="2"/>
        <v>C00549|Ravi Singh|20|South|Chennai|Standard|Email|5/5/2022|12|Annual|Credit Card|1,339|3|4|30.00|4.5|6/8/2022||Active|Analytics</v>
      </c>
      <c r="W1564" s="13">
        <f t="shared" si="3"/>
        <v>1</v>
      </c>
      <c r="X1564" s="13">
        <f>IFERROR(__xludf.DUMMYFUNCTION("COUNTUNIQUE(FILTER($B$2:$B$1826,$A$2:$A$1826=A1564))"),6.0)</f>
        <v>6</v>
      </c>
    </row>
    <row r="1565">
      <c r="A1565" s="13" t="s">
        <v>2048</v>
      </c>
      <c r="B1565" s="13" t="s">
        <v>322</v>
      </c>
      <c r="C1565" s="14">
        <v>40.0</v>
      </c>
      <c r="D1565" s="13" t="s">
        <v>60</v>
      </c>
      <c r="E1565" s="13" t="s">
        <v>61</v>
      </c>
      <c r="F1565" s="13" t="s">
        <v>37</v>
      </c>
      <c r="G1565" s="13" t="s">
        <v>39</v>
      </c>
      <c r="H1565" s="16">
        <v>45868.0</v>
      </c>
      <c r="I1565" s="14">
        <v>5.0</v>
      </c>
      <c r="J1565" s="13" t="s">
        <v>40</v>
      </c>
      <c r="K1565" s="13" t="s">
        <v>81</v>
      </c>
      <c r="L1565" s="14">
        <v>1609.0</v>
      </c>
      <c r="M1565" s="18" t="s">
        <v>43</v>
      </c>
      <c r="N1565" s="18" t="s">
        <v>46</v>
      </c>
      <c r="O1565" s="18">
        <v>35.7</v>
      </c>
      <c r="P1565" s="18" t="s">
        <v>43</v>
      </c>
      <c r="Q1565" s="16">
        <v>46025.0</v>
      </c>
      <c r="R1565" s="16" t="s">
        <v>2049</v>
      </c>
      <c r="S1565" s="13" t="s">
        <v>45</v>
      </c>
      <c r="T1565" s="13" t="s">
        <v>72</v>
      </c>
      <c r="U1565" s="13">
        <f t="shared" si="1"/>
        <v>1</v>
      </c>
      <c r="V1565" s="13" t="str">
        <f t="shared" si="2"/>
        <v>C00436|Rahul Iyer|40|East|Kolkata|Standard|Instagram|7/30/2025|5|Monthly|Debit Card|1,609|2|0|35.70|2|1/3/2026|31/12/2025|Churned|Collaboration</v>
      </c>
      <c r="W1565" s="13">
        <f t="shared" si="3"/>
        <v>1</v>
      </c>
      <c r="X1565" s="13">
        <f>IFERROR(__xludf.DUMMYFUNCTION("COUNTUNIQUE(FILTER($B$2:$B$1826,$A$2:$A$1826=A1565))"),1.0)</f>
        <v>1</v>
      </c>
    </row>
    <row r="1566">
      <c r="A1566" s="13" t="s">
        <v>2050</v>
      </c>
      <c r="B1566" s="13" t="s">
        <v>118</v>
      </c>
      <c r="C1566" s="14">
        <v>38.0</v>
      </c>
      <c r="D1566" s="13" t="s">
        <v>69</v>
      </c>
      <c r="E1566" s="13" t="s">
        <v>177</v>
      </c>
      <c r="F1566" s="13" t="s">
        <v>62</v>
      </c>
      <c r="G1566" s="13" t="s">
        <v>210</v>
      </c>
      <c r="H1566" s="16">
        <v>45640.0</v>
      </c>
      <c r="I1566" s="14">
        <v>1.0</v>
      </c>
      <c r="J1566" s="13" t="s">
        <v>64</v>
      </c>
      <c r="K1566" s="13" t="s">
        <v>41</v>
      </c>
      <c r="L1566" s="14">
        <v>520.0</v>
      </c>
      <c r="M1566" s="18" t="s">
        <v>98</v>
      </c>
      <c r="N1566" s="18" t="s">
        <v>46</v>
      </c>
      <c r="O1566" s="18">
        <v>14.7</v>
      </c>
      <c r="P1566" s="18" t="s">
        <v>185</v>
      </c>
      <c r="Q1566" s="16">
        <v>45672.0</v>
      </c>
      <c r="R1566" s="16" t="s">
        <v>38</v>
      </c>
      <c r="S1566" s="13" t="s">
        <v>55</v>
      </c>
      <c r="T1566" s="13" t="s">
        <v>66</v>
      </c>
      <c r="U1566" s="13">
        <f t="shared" si="1"/>
        <v>1</v>
      </c>
      <c r="V1566" s="13" t="str">
        <f t="shared" si="2"/>
        <v>C00225|Karan Nair|38|South|Hyderabad|Basic|Referral|12/14/2024|1|Annual|Upi|520|1|0|14.70|3.2|1/15/2025||Active|Automation</v>
      </c>
      <c r="W1566" s="13">
        <f t="shared" si="3"/>
        <v>1</v>
      </c>
      <c r="X1566" s="13">
        <f>IFERROR(__xludf.DUMMYFUNCTION("COUNTUNIQUE(FILTER($B$2:$B$1826,$A$2:$A$1826=A1566))"),1.0)</f>
        <v>1</v>
      </c>
    </row>
    <row r="1567">
      <c r="A1567" s="13" t="s">
        <v>286</v>
      </c>
      <c r="B1567" s="13" t="s">
        <v>50</v>
      </c>
      <c r="C1567" s="14">
        <v>19.0</v>
      </c>
      <c r="D1567" s="13" t="s">
        <v>85</v>
      </c>
      <c r="E1567" s="13" t="s">
        <v>111</v>
      </c>
      <c r="F1567" s="13" t="s">
        <v>37</v>
      </c>
      <c r="G1567" s="13" t="s">
        <v>52</v>
      </c>
      <c r="H1567" s="16">
        <v>44600.0</v>
      </c>
      <c r="I1567" s="14">
        <v>22.0</v>
      </c>
      <c r="J1567" s="13" t="s">
        <v>40</v>
      </c>
      <c r="K1567" s="13" t="s">
        <v>81</v>
      </c>
      <c r="L1567" s="14">
        <v>1778.0</v>
      </c>
      <c r="M1567" s="18" t="s">
        <v>98</v>
      </c>
      <c r="N1567" s="18" t="s">
        <v>46</v>
      </c>
      <c r="O1567" s="18">
        <v>35.5</v>
      </c>
      <c r="P1567" s="18" t="s">
        <v>285</v>
      </c>
      <c r="Q1567" s="16">
        <v>44656.0</v>
      </c>
      <c r="R1567" s="16" t="s">
        <v>38</v>
      </c>
      <c r="S1567" s="13" t="s">
        <v>55</v>
      </c>
      <c r="T1567" s="13" t="s">
        <v>66</v>
      </c>
      <c r="U1567" s="13">
        <f t="shared" si="1"/>
        <v>2</v>
      </c>
      <c r="V1567" s="13" t="str">
        <f t="shared" si="2"/>
        <v>C00660|Rahul Das|19|West|Pune|Standard|Facebook|2/8/2022|22|Monthly|Debit Card|1,778|1|0|35.50|2.3|4/5/2022||Active|Automation</v>
      </c>
      <c r="W1567" s="13">
        <f t="shared" si="3"/>
        <v>1</v>
      </c>
      <c r="X1567" s="13">
        <f>IFERROR(__xludf.DUMMYFUNCTION("COUNTUNIQUE(FILTER($B$2:$B$1826,$A$2:$A$1826=A1567))"),2.0)</f>
        <v>2</v>
      </c>
    </row>
    <row r="1568">
      <c r="A1568" s="13" t="s">
        <v>321</v>
      </c>
      <c r="B1568" s="13" t="s">
        <v>224</v>
      </c>
      <c r="C1568" s="14">
        <v>58.0</v>
      </c>
      <c r="D1568" s="13" t="s">
        <v>60</v>
      </c>
      <c r="E1568" s="13" t="s">
        <v>97</v>
      </c>
      <c r="F1568" s="13" t="s">
        <v>37</v>
      </c>
      <c r="G1568" s="13" t="s">
        <v>80</v>
      </c>
      <c r="H1568" s="16">
        <v>44652.0</v>
      </c>
      <c r="I1568" s="14">
        <v>15.0</v>
      </c>
      <c r="J1568" s="13" t="s">
        <v>40</v>
      </c>
      <c r="K1568" s="13" t="s">
        <v>65</v>
      </c>
      <c r="L1568" s="14">
        <v>1542.0</v>
      </c>
      <c r="M1568" s="18" t="s">
        <v>43</v>
      </c>
      <c r="N1568" s="18" t="s">
        <v>46</v>
      </c>
      <c r="O1568" s="18">
        <v>28.1</v>
      </c>
      <c r="P1568" s="18" t="s">
        <v>285</v>
      </c>
      <c r="Q1568" s="16">
        <v>45052.0</v>
      </c>
      <c r="R1568" s="16">
        <v>44872.0</v>
      </c>
      <c r="S1568" s="13" t="s">
        <v>45</v>
      </c>
      <c r="T1568" s="13" t="s">
        <v>47</v>
      </c>
      <c r="U1568" s="13">
        <f t="shared" si="1"/>
        <v>2</v>
      </c>
      <c r="V1568" s="13" t="str">
        <f t="shared" si="2"/>
        <v>C00514|Anita Iyer|58|East|Bhubaneswar|Standard|Organic Search|4/1/2022|15|Monthly|Credit Card|1,542|2|0|28.10|2.3|5/6/2023|11/7/2022|Churned|Cloud Storage</v>
      </c>
      <c r="W1568" s="13">
        <f t="shared" si="3"/>
        <v>1</v>
      </c>
      <c r="X1568" s="13">
        <f>IFERROR(__xludf.DUMMYFUNCTION("COUNTUNIQUE(FILTER($B$2:$B$1826,$A$2:$A$1826=A1568))"),2.0)</f>
        <v>2</v>
      </c>
    </row>
    <row r="1569">
      <c r="A1569" s="13" t="s">
        <v>2052</v>
      </c>
      <c r="B1569" s="13" t="s">
        <v>281</v>
      </c>
      <c r="C1569" s="14">
        <v>26.0</v>
      </c>
      <c r="D1569" s="13" t="s">
        <v>69</v>
      </c>
      <c r="E1569" s="13" t="s">
        <v>70</v>
      </c>
      <c r="F1569" s="13" t="s">
        <v>62</v>
      </c>
      <c r="G1569" s="13" t="s">
        <v>80</v>
      </c>
      <c r="H1569" s="16">
        <v>45463.0</v>
      </c>
      <c r="I1569" s="14">
        <v>43.0</v>
      </c>
      <c r="J1569" s="13" t="s">
        <v>64</v>
      </c>
      <c r="K1569" s="13" t="s">
        <v>65</v>
      </c>
      <c r="L1569" s="14">
        <v>645.0</v>
      </c>
      <c r="M1569" s="18" t="s">
        <v>43</v>
      </c>
      <c r="N1569" s="18" t="s">
        <v>43</v>
      </c>
      <c r="O1569" s="18">
        <v>10.8</v>
      </c>
      <c r="P1569" s="18" t="s">
        <v>400</v>
      </c>
      <c r="Q1569" s="16">
        <v>46415.0</v>
      </c>
      <c r="R1569" s="16" t="s">
        <v>38</v>
      </c>
      <c r="S1569" s="13" t="s">
        <v>55</v>
      </c>
      <c r="T1569" s="13" t="s">
        <v>104</v>
      </c>
      <c r="U1569" s="13">
        <f t="shared" si="1"/>
        <v>1</v>
      </c>
      <c r="V1569" s="13" t="str">
        <f t="shared" si="2"/>
        <v>C00640|Anita Reddy|26|South|Bengaluru|Basic|Organic Search|6/20/2024|43|Annual|Credit Card|645|2|2|10.80|4.8|1/28/2027||Active|Analytics</v>
      </c>
      <c r="W1569" s="13">
        <f t="shared" si="3"/>
        <v>1</v>
      </c>
      <c r="X1569" s="13">
        <f>IFERROR(__xludf.DUMMYFUNCTION("COUNTUNIQUE(FILTER($B$2:$B$1826,$A$2:$A$1826=A1569))"),1.0)</f>
        <v>1</v>
      </c>
    </row>
    <row r="1570">
      <c r="A1570" s="13" t="s">
        <v>2053</v>
      </c>
      <c r="B1570" s="13" t="s">
        <v>448</v>
      </c>
      <c r="C1570" s="14">
        <v>60.0</v>
      </c>
      <c r="D1570" s="13" t="s">
        <v>85</v>
      </c>
      <c r="E1570" s="13" t="s">
        <v>92</v>
      </c>
      <c r="F1570" s="13" t="s">
        <v>79</v>
      </c>
      <c r="G1570" s="13" t="s">
        <v>52</v>
      </c>
      <c r="H1570" s="16">
        <v>45632.0</v>
      </c>
      <c r="I1570" s="14">
        <v>47.0</v>
      </c>
      <c r="J1570" s="13" t="s">
        <v>64</v>
      </c>
      <c r="K1570" s="13" t="s">
        <v>65</v>
      </c>
      <c r="L1570" s="14">
        <v>3068.0</v>
      </c>
      <c r="M1570" s="18" t="s">
        <v>43</v>
      </c>
      <c r="N1570" s="18" t="s">
        <v>46</v>
      </c>
      <c r="O1570" s="18">
        <v>34.5</v>
      </c>
      <c r="P1570" s="18" t="s">
        <v>916</v>
      </c>
      <c r="Q1570" s="16">
        <v>45906.0</v>
      </c>
      <c r="R1570" s="16" t="s">
        <v>38</v>
      </c>
      <c r="S1570" s="13" t="s">
        <v>55</v>
      </c>
      <c r="T1570" s="13" t="s">
        <v>66</v>
      </c>
      <c r="U1570" s="13">
        <f t="shared" si="1"/>
        <v>2</v>
      </c>
      <c r="V1570" s="13" t="str">
        <f t="shared" si="2"/>
        <v>C01052|Meera Reddy|60|West|Ahmedabad|Premium|Facebook|12/6/2024|47|Annual|Credit Card|3,068|2|0|34.50|1.9|9/6/2025||Active|Automation</v>
      </c>
      <c r="W1570" s="13">
        <f t="shared" si="3"/>
        <v>1</v>
      </c>
      <c r="X1570" s="13">
        <f>IFERROR(__xludf.DUMMYFUNCTION("COUNTUNIQUE(FILTER($B$2:$B$1826,$A$2:$A$1826=A1570))"),2.0)</f>
        <v>2</v>
      </c>
    </row>
    <row r="1571">
      <c r="A1571" s="13" t="s">
        <v>917</v>
      </c>
      <c r="B1571" s="13" t="s">
        <v>476</v>
      </c>
      <c r="C1571" s="14">
        <v>64.0</v>
      </c>
      <c r="D1571" s="13" t="s">
        <v>35</v>
      </c>
      <c r="E1571" s="13" t="s">
        <v>140</v>
      </c>
      <c r="F1571" s="13" t="s">
        <v>62</v>
      </c>
      <c r="G1571" s="13" t="s">
        <v>52</v>
      </c>
      <c r="H1571" s="16">
        <v>45012.0</v>
      </c>
      <c r="I1571" s="14">
        <v>11.0</v>
      </c>
      <c r="J1571" s="13" t="s">
        <v>64</v>
      </c>
      <c r="K1571" s="13" t="s">
        <v>65</v>
      </c>
      <c r="L1571" s="14">
        <v>718.0</v>
      </c>
      <c r="M1571" s="18" t="s">
        <v>98</v>
      </c>
      <c r="N1571" s="18" t="s">
        <v>164</v>
      </c>
      <c r="O1571" s="18">
        <v>10.2</v>
      </c>
      <c r="P1571" s="18" t="s">
        <v>203</v>
      </c>
      <c r="Q1571" s="16">
        <v>45351.0</v>
      </c>
      <c r="R1571" s="16" t="s">
        <v>2054</v>
      </c>
      <c r="S1571" s="13" t="s">
        <v>45</v>
      </c>
      <c r="T1571" s="13" t="s">
        <v>47</v>
      </c>
      <c r="U1571" s="13">
        <f t="shared" si="1"/>
        <v>3</v>
      </c>
      <c r="V1571" s="13" t="str">
        <f t="shared" si="2"/>
        <v>C00567|Ravi Das|64|North|Lucknow|Basic|Facebook|3/27/2023|11|Annual|Credit Card|718|1|3|10.20|3.7|2/29/2024|27/10/2023|Churned|Cloud Storage</v>
      </c>
      <c r="W1571" s="13">
        <f t="shared" si="3"/>
        <v>1</v>
      </c>
      <c r="X1571" s="13">
        <f>IFERROR(__xludf.DUMMYFUNCTION("COUNTUNIQUE(FILTER($B$2:$B$1826,$A$2:$A$1826=A1571))"),3.0)</f>
        <v>3</v>
      </c>
    </row>
    <row r="1572">
      <c r="A1572" s="13" t="s">
        <v>2055</v>
      </c>
      <c r="B1572" s="13" t="s">
        <v>206</v>
      </c>
      <c r="C1572" s="14">
        <v>56.0</v>
      </c>
      <c r="D1572" s="13" t="s">
        <v>85</v>
      </c>
      <c r="E1572" s="13" t="s">
        <v>87</v>
      </c>
      <c r="F1572" s="13" t="s">
        <v>62</v>
      </c>
      <c r="G1572" s="13" t="s">
        <v>80</v>
      </c>
      <c r="H1572" s="16">
        <v>44991.0</v>
      </c>
      <c r="I1572" s="14">
        <v>7.0</v>
      </c>
      <c r="J1572" s="13" t="s">
        <v>40</v>
      </c>
      <c r="K1572" s="13" t="s">
        <v>81</v>
      </c>
      <c r="L1572" s="14">
        <v>726.0</v>
      </c>
      <c r="M1572" s="18" t="s">
        <v>46</v>
      </c>
      <c r="N1572" s="18" t="s">
        <v>98</v>
      </c>
      <c r="O1572" s="18">
        <v>26.5</v>
      </c>
      <c r="P1572" s="18" t="s">
        <v>99</v>
      </c>
      <c r="Q1572" s="16">
        <v>45001.0</v>
      </c>
      <c r="R1572" s="16">
        <v>45267.0</v>
      </c>
      <c r="S1572" s="13" t="s">
        <v>45</v>
      </c>
      <c r="T1572" s="13" t="s">
        <v>104</v>
      </c>
      <c r="U1572" s="13">
        <f t="shared" si="1"/>
        <v>1</v>
      </c>
      <c r="V1572" s="13" t="str">
        <f t="shared" si="2"/>
        <v>C00941|Karan Patel|56|West|Surat|Basic|Organic Search|3/6/2023|7|Monthly|Debit Card|726|0|1|26.50|4|3/16/2023|12/7/2023|Churned|Analytics</v>
      </c>
      <c r="W1572" s="13">
        <f t="shared" si="3"/>
        <v>1</v>
      </c>
      <c r="X1572" s="13">
        <f>IFERROR(__xludf.DUMMYFUNCTION("COUNTUNIQUE(FILTER($B$2:$B$1826,$A$2:$A$1826=A1572))"),1.0)</f>
        <v>1</v>
      </c>
    </row>
    <row r="1573">
      <c r="A1573" s="13" t="s">
        <v>1595</v>
      </c>
      <c r="B1573" s="13" t="s">
        <v>308</v>
      </c>
      <c r="C1573" s="14">
        <v>45.0</v>
      </c>
      <c r="D1573" s="13" t="s">
        <v>35</v>
      </c>
      <c r="E1573" s="13" t="s">
        <v>36</v>
      </c>
      <c r="F1573" s="13" t="s">
        <v>37</v>
      </c>
      <c r="G1573" s="13" t="s">
        <v>80</v>
      </c>
      <c r="H1573" s="16">
        <v>44868.0</v>
      </c>
      <c r="I1573" s="14">
        <v>19.0</v>
      </c>
      <c r="J1573" s="13" t="s">
        <v>40</v>
      </c>
      <c r="K1573" s="13" t="s">
        <v>41</v>
      </c>
      <c r="L1573" s="14">
        <v>1369.0</v>
      </c>
      <c r="M1573" s="18" t="s">
        <v>46</v>
      </c>
      <c r="N1573" s="18" t="s">
        <v>98</v>
      </c>
      <c r="O1573" s="18">
        <v>24.5</v>
      </c>
      <c r="P1573" s="18" t="s">
        <v>456</v>
      </c>
      <c r="Q1573" s="16">
        <v>45226.0</v>
      </c>
      <c r="R1573" s="16" t="s">
        <v>1461</v>
      </c>
      <c r="S1573" s="13" t="s">
        <v>45</v>
      </c>
      <c r="T1573" s="13" t="s">
        <v>47</v>
      </c>
      <c r="U1573" s="13">
        <f t="shared" si="1"/>
        <v>3</v>
      </c>
      <c r="V1573" s="13" t="str">
        <f t="shared" si="2"/>
        <v>C00761|Karan Kumar|45|North|Delhi|Standard|Organic Search|11/3/2022|19|Monthly|Upi|1,369|0|1|24.50|2.5|10/27/2023|18/10/2023|Churned|Cloud Storage</v>
      </c>
      <c r="W1573" s="13">
        <f t="shared" si="3"/>
        <v>1</v>
      </c>
      <c r="X1573" s="13">
        <f>IFERROR(__xludf.DUMMYFUNCTION("COUNTUNIQUE(FILTER($B$2:$B$1826,$A$2:$A$1826=A1573))"),3.0)</f>
        <v>3</v>
      </c>
    </row>
    <row r="1574">
      <c r="A1574" s="13" t="s">
        <v>1022</v>
      </c>
      <c r="B1574" s="13" t="s">
        <v>316</v>
      </c>
      <c r="C1574" s="14">
        <v>62.0</v>
      </c>
      <c r="D1574" s="13" t="s">
        <v>69</v>
      </c>
      <c r="E1574" s="13" t="s">
        <v>187</v>
      </c>
      <c r="F1574" s="13" t="s">
        <v>37</v>
      </c>
      <c r="G1574" s="13" t="s">
        <v>63</v>
      </c>
      <c r="H1574" s="16">
        <v>45484.0</v>
      </c>
      <c r="I1574" s="14">
        <v>40.0</v>
      </c>
      <c r="J1574" s="13" t="s">
        <v>64</v>
      </c>
      <c r="K1574" s="13" t="s">
        <v>41</v>
      </c>
      <c r="L1574" s="14">
        <v>1026.0</v>
      </c>
      <c r="M1574" s="18" t="s">
        <v>99</v>
      </c>
      <c r="N1574" s="18" t="s">
        <v>46</v>
      </c>
      <c r="O1574" s="18">
        <v>22.2</v>
      </c>
      <c r="P1574" s="18" t="s">
        <v>116</v>
      </c>
      <c r="Q1574" s="16">
        <v>45844.0</v>
      </c>
      <c r="R1574" s="16" t="s">
        <v>38</v>
      </c>
      <c r="S1574" s="13" t="s">
        <v>55</v>
      </c>
      <c r="T1574" s="13" t="s">
        <v>104</v>
      </c>
      <c r="U1574" s="13">
        <f t="shared" si="1"/>
        <v>3</v>
      </c>
      <c r="V1574" s="13" t="str">
        <f t="shared" si="2"/>
        <v>C00943|Neha Nair|62|South|Chennai|Standard|Google Ads|7/11/2024|40|Annual|Upi|1,026|4|0|22.20|3.4|7/6/2025||Active|Analytics</v>
      </c>
      <c r="W1574" s="13">
        <f t="shared" si="3"/>
        <v>1</v>
      </c>
      <c r="X1574" s="13">
        <f>IFERROR(__xludf.DUMMYFUNCTION("COUNTUNIQUE(FILTER($B$2:$B$1826,$A$2:$A$1826=A1574))"),3.0)</f>
        <v>3</v>
      </c>
    </row>
    <row r="1575">
      <c r="A1575" s="13" t="s">
        <v>506</v>
      </c>
      <c r="B1575" s="13" t="s">
        <v>169</v>
      </c>
      <c r="C1575" s="14">
        <v>47.0</v>
      </c>
      <c r="D1575" s="13" t="s">
        <v>85</v>
      </c>
      <c r="E1575" s="13" t="s">
        <v>92</v>
      </c>
      <c r="F1575" s="13" t="s">
        <v>37</v>
      </c>
      <c r="G1575" s="13" t="s">
        <v>128</v>
      </c>
      <c r="H1575" s="16">
        <v>45672.0</v>
      </c>
      <c r="I1575" s="14">
        <v>41.0</v>
      </c>
      <c r="J1575" s="13" t="s">
        <v>64</v>
      </c>
      <c r="K1575" s="13" t="s">
        <v>65</v>
      </c>
      <c r="L1575" s="14">
        <v>1686.0</v>
      </c>
      <c r="M1575" s="18" t="s">
        <v>46</v>
      </c>
      <c r="N1575" s="18" t="s">
        <v>98</v>
      </c>
      <c r="O1575" s="18">
        <v>23.5</v>
      </c>
      <c r="P1575" s="18" t="s">
        <v>99</v>
      </c>
      <c r="Q1575" s="16">
        <v>46812.0</v>
      </c>
      <c r="R1575" s="16" t="s">
        <v>38</v>
      </c>
      <c r="S1575" s="13" t="s">
        <v>55</v>
      </c>
      <c r="T1575" s="13" t="s">
        <v>72</v>
      </c>
      <c r="U1575" s="13">
        <f t="shared" si="1"/>
        <v>4</v>
      </c>
      <c r="V1575" s="13" t="str">
        <f t="shared" si="2"/>
        <v>C01451|Vikram Nair|47|West|Ahmedabad|Standard|Youtube|1/15/2025|41|Annual|Credit Card|1,686|0|1|23.50|4|2/29/2028||Active|Collaboration</v>
      </c>
      <c r="W1575" s="13">
        <f t="shared" si="3"/>
        <v>1</v>
      </c>
      <c r="X1575" s="13">
        <f>IFERROR(__xludf.DUMMYFUNCTION("COUNTUNIQUE(FILTER($B$2:$B$1826,$A$2:$A$1826=A1575))"),4.0)</f>
        <v>4</v>
      </c>
    </row>
    <row r="1576">
      <c r="A1576" s="13" t="s">
        <v>1776</v>
      </c>
      <c r="B1576" s="13" t="s">
        <v>163</v>
      </c>
      <c r="C1576" s="14">
        <v>48.0</v>
      </c>
      <c r="D1576" s="13" t="s">
        <v>85</v>
      </c>
      <c r="E1576" s="13" t="s">
        <v>87</v>
      </c>
      <c r="F1576" s="13" t="s">
        <v>37</v>
      </c>
      <c r="G1576" s="13" t="s">
        <v>210</v>
      </c>
      <c r="H1576" s="16">
        <v>44976.0</v>
      </c>
      <c r="I1576" s="14">
        <v>38.0</v>
      </c>
      <c r="J1576" s="13" t="s">
        <v>64</v>
      </c>
      <c r="K1576" s="13" t="s">
        <v>41</v>
      </c>
      <c r="L1576" s="14">
        <v>1552.0</v>
      </c>
      <c r="M1576" s="18" t="s">
        <v>164</v>
      </c>
      <c r="N1576" s="18" t="s">
        <v>98</v>
      </c>
      <c r="O1576" s="18">
        <v>26.0</v>
      </c>
      <c r="P1576" s="18" t="s">
        <v>43</v>
      </c>
      <c r="Q1576" s="16">
        <v>45067.0</v>
      </c>
      <c r="R1576" s="16" t="s">
        <v>38</v>
      </c>
      <c r="S1576" s="13" t="s">
        <v>55</v>
      </c>
      <c r="T1576" s="13" t="s">
        <v>72</v>
      </c>
      <c r="U1576" s="13">
        <f t="shared" si="1"/>
        <v>3</v>
      </c>
      <c r="V1576" s="13" t="str">
        <f t="shared" si="2"/>
        <v>C00145|Sneha Singh|48|West|Surat|Standard|Referral|2/19/2023|38|Annual|Upi|1,552|3|1|26.00|2|5/21/2023||Active|Collaboration</v>
      </c>
      <c r="W1576" s="13">
        <f t="shared" si="3"/>
        <v>1</v>
      </c>
      <c r="X1576" s="13">
        <f>IFERROR(__xludf.DUMMYFUNCTION("COUNTUNIQUE(FILTER($B$2:$B$1826,$A$2:$A$1826=A1576))"),3.0)</f>
        <v>3</v>
      </c>
    </row>
    <row r="1577">
      <c r="A1577" s="13" t="s">
        <v>1972</v>
      </c>
      <c r="B1577" s="13" t="s">
        <v>50</v>
      </c>
      <c r="C1577" s="14">
        <v>54.0</v>
      </c>
      <c r="D1577" s="13" t="s">
        <v>35</v>
      </c>
      <c r="E1577" s="13" t="s">
        <v>161</v>
      </c>
      <c r="F1577" s="13" t="s">
        <v>37</v>
      </c>
      <c r="G1577" s="13" t="s">
        <v>63</v>
      </c>
      <c r="H1577" s="16">
        <v>45704.0</v>
      </c>
      <c r="I1577" s="14">
        <v>38.0</v>
      </c>
      <c r="J1577" s="13" t="s">
        <v>40</v>
      </c>
      <c r="K1577" s="13" t="s">
        <v>81</v>
      </c>
      <c r="L1577" s="14">
        <v>1622.0</v>
      </c>
      <c r="M1577" s="18" t="s">
        <v>164</v>
      </c>
      <c r="N1577" s="18" t="s">
        <v>46</v>
      </c>
      <c r="O1577" s="18">
        <v>22.8</v>
      </c>
      <c r="P1577" s="18" t="s">
        <v>43</v>
      </c>
      <c r="Q1577" s="16">
        <v>46513.0</v>
      </c>
      <c r="R1577" s="16" t="s">
        <v>38</v>
      </c>
      <c r="S1577" s="13" t="s">
        <v>55</v>
      </c>
      <c r="T1577" s="13" t="s">
        <v>72</v>
      </c>
      <c r="U1577" s="13">
        <f t="shared" si="1"/>
        <v>2</v>
      </c>
      <c r="V1577" s="13" t="str">
        <f t="shared" si="2"/>
        <v>C01195|Rahul Das|54|North|Chandigarh|Standard|Google Ads|2/16/2025|38|Monthly|Debit Card|1,622|3|0|22.80|2|5/6/2027||Active|Collaboration</v>
      </c>
      <c r="W1577" s="13">
        <f t="shared" si="3"/>
        <v>1</v>
      </c>
      <c r="X1577" s="13">
        <f>IFERROR(__xludf.DUMMYFUNCTION("COUNTUNIQUE(FILTER($B$2:$B$1826,$A$2:$A$1826=A1577))"),2.0)</f>
        <v>2</v>
      </c>
    </row>
    <row r="1578">
      <c r="A1578" s="13" t="s">
        <v>764</v>
      </c>
      <c r="B1578" s="13" t="s">
        <v>34</v>
      </c>
      <c r="C1578" s="14">
        <v>62.0</v>
      </c>
      <c r="D1578" s="13" t="s">
        <v>60</v>
      </c>
      <c r="E1578" s="13" t="s">
        <v>87</v>
      </c>
      <c r="F1578" s="13" t="s">
        <v>62</v>
      </c>
      <c r="G1578" s="13" t="s">
        <v>63</v>
      </c>
      <c r="H1578" s="16">
        <v>44880.0</v>
      </c>
      <c r="I1578" s="14">
        <v>2.0</v>
      </c>
      <c r="J1578" s="13" t="s">
        <v>40</v>
      </c>
      <c r="K1578" s="13" t="s">
        <v>41</v>
      </c>
      <c r="L1578" s="14">
        <v>703.0</v>
      </c>
      <c r="M1578" s="18" t="s">
        <v>164</v>
      </c>
      <c r="N1578" s="18" t="s">
        <v>43</v>
      </c>
      <c r="O1578" s="18">
        <v>18.7</v>
      </c>
      <c r="P1578" s="18" t="s">
        <v>701</v>
      </c>
      <c r="Q1578" s="16">
        <v>44920.0</v>
      </c>
      <c r="R1578" s="16" t="s">
        <v>38</v>
      </c>
      <c r="S1578" s="13" t="s">
        <v>55</v>
      </c>
      <c r="T1578" s="13" t="s">
        <v>104</v>
      </c>
      <c r="U1578" s="13">
        <f t="shared" si="1"/>
        <v>2</v>
      </c>
      <c r="V1578" s="13" t="str">
        <f t="shared" si="2"/>
        <v>C01128|Meera Das|62|East|Surat|Basic|Google Ads|11/15/2022|2|Monthly|Upi|703|3|2|18.70|2.8|12/25/2022||Active|Analytics</v>
      </c>
      <c r="W1578" s="13">
        <f t="shared" si="3"/>
        <v>1</v>
      </c>
      <c r="X1578" s="13">
        <f>IFERROR(__xludf.DUMMYFUNCTION("COUNTUNIQUE(FILTER($B$2:$B$1826,$A$2:$A$1826=A1578))"),2.0)</f>
        <v>2</v>
      </c>
    </row>
    <row r="1579">
      <c r="A1579" s="13" t="s">
        <v>2057</v>
      </c>
      <c r="B1579" s="13" t="s">
        <v>476</v>
      </c>
      <c r="C1579" s="14">
        <v>60.0</v>
      </c>
      <c r="D1579" s="13" t="s">
        <v>35</v>
      </c>
      <c r="E1579" s="13" t="s">
        <v>161</v>
      </c>
      <c r="F1579" s="13" t="s">
        <v>37</v>
      </c>
      <c r="G1579" s="13" t="s">
        <v>80</v>
      </c>
      <c r="H1579" s="16">
        <v>45681.0</v>
      </c>
      <c r="I1579" s="14">
        <v>7.0</v>
      </c>
      <c r="J1579" s="13" t="s">
        <v>40</v>
      </c>
      <c r="K1579" s="13" t="s">
        <v>81</v>
      </c>
      <c r="L1579" s="14">
        <v>1661.0</v>
      </c>
      <c r="M1579" s="18" t="s">
        <v>98</v>
      </c>
      <c r="N1579" s="18" t="s">
        <v>98</v>
      </c>
      <c r="O1579" s="18">
        <v>28.2</v>
      </c>
      <c r="P1579" s="18" t="s">
        <v>150</v>
      </c>
      <c r="Q1579" s="16">
        <v>45829.0</v>
      </c>
      <c r="R1579" s="16" t="s">
        <v>38</v>
      </c>
      <c r="S1579" s="13" t="s">
        <v>55</v>
      </c>
      <c r="T1579" s="13" t="s">
        <v>47</v>
      </c>
      <c r="U1579" s="13">
        <f t="shared" si="1"/>
        <v>1</v>
      </c>
      <c r="V1579" s="13" t="str">
        <f t="shared" si="2"/>
        <v>C01294|Ravi Das|60|North|Chandigarh|Standard|Organic Search|1/24/2025|7|Monthly|Debit Card|1,661|1|1|28.20|4.5|6/21/2025||Active|Cloud Storage</v>
      </c>
      <c r="W1579" s="13">
        <f t="shared" si="3"/>
        <v>1</v>
      </c>
      <c r="X1579" s="13">
        <f>IFERROR(__xludf.DUMMYFUNCTION("COUNTUNIQUE(FILTER($B$2:$B$1826,$A$2:$A$1826=A1579))"),1.0)</f>
        <v>1</v>
      </c>
    </row>
    <row r="1580">
      <c r="A1580" s="13" t="s">
        <v>2058</v>
      </c>
      <c r="B1580" s="13" t="s">
        <v>190</v>
      </c>
      <c r="C1580" s="14">
        <v>56.0</v>
      </c>
      <c r="D1580" s="13" t="s">
        <v>85</v>
      </c>
      <c r="E1580" s="13" t="s">
        <v>292</v>
      </c>
      <c r="F1580" s="13" t="s">
        <v>79</v>
      </c>
      <c r="G1580" s="13" t="s">
        <v>120</v>
      </c>
      <c r="H1580" s="16">
        <v>45782.0</v>
      </c>
      <c r="I1580" s="14">
        <v>3.0</v>
      </c>
      <c r="J1580" s="13" t="s">
        <v>64</v>
      </c>
      <c r="K1580" s="13" t="s">
        <v>41</v>
      </c>
      <c r="L1580" s="14">
        <v>3199.0</v>
      </c>
      <c r="M1580" s="18" t="s">
        <v>98</v>
      </c>
      <c r="N1580" s="18" t="s">
        <v>46</v>
      </c>
      <c r="O1580" s="18">
        <v>53.6</v>
      </c>
      <c r="P1580" s="18" t="s">
        <v>701</v>
      </c>
      <c r="Q1580" s="16">
        <v>45808.0</v>
      </c>
      <c r="R1580" s="16">
        <v>45695.0</v>
      </c>
      <c r="S1580" s="13" t="s">
        <v>45</v>
      </c>
      <c r="T1580" s="13" t="s">
        <v>75</v>
      </c>
      <c r="U1580" s="13">
        <f t="shared" si="1"/>
        <v>1</v>
      </c>
      <c r="V1580" s="13" t="str">
        <f t="shared" si="2"/>
        <v>C00055|Sneha Patel|56|West|Mumbai|Premium|Email|5/5/2025|3|Annual|Upi|3,199|1|0|53.60|2.8|5/31/2025|2/7/2025|Churned|Security</v>
      </c>
      <c r="W1580" s="13">
        <f t="shared" si="3"/>
        <v>1</v>
      </c>
      <c r="X1580" s="13">
        <f>IFERROR(__xludf.DUMMYFUNCTION("COUNTUNIQUE(FILTER($B$2:$B$1826,$A$2:$A$1826=A1580))"),1.0)</f>
        <v>1</v>
      </c>
    </row>
    <row r="1581">
      <c r="A1581" s="13" t="s">
        <v>2060</v>
      </c>
      <c r="B1581" s="13" t="s">
        <v>470</v>
      </c>
      <c r="C1581" s="14">
        <v>64.0</v>
      </c>
      <c r="D1581" s="13" t="s">
        <v>69</v>
      </c>
      <c r="E1581" s="13" t="s">
        <v>187</v>
      </c>
      <c r="F1581" s="13" t="s">
        <v>62</v>
      </c>
      <c r="G1581" s="13" t="s">
        <v>52</v>
      </c>
      <c r="H1581" s="16">
        <v>45609.0</v>
      </c>
      <c r="I1581" s="14">
        <v>43.0</v>
      </c>
      <c r="J1581" s="13" t="s">
        <v>53</v>
      </c>
      <c r="K1581" s="13" t="s">
        <v>41</v>
      </c>
      <c r="L1581" s="14">
        <v>722.0</v>
      </c>
      <c r="M1581" s="18" t="s">
        <v>43</v>
      </c>
      <c r="N1581" s="18" t="s">
        <v>46</v>
      </c>
      <c r="O1581" s="18">
        <v>15.7</v>
      </c>
      <c r="P1581" s="18" t="s">
        <v>89</v>
      </c>
      <c r="Q1581" s="16">
        <v>46863.0</v>
      </c>
      <c r="R1581" s="16">
        <v>46394.0</v>
      </c>
      <c r="S1581" s="13" t="s">
        <v>45</v>
      </c>
      <c r="T1581" s="13" t="s">
        <v>75</v>
      </c>
      <c r="U1581" s="13">
        <f t="shared" si="1"/>
        <v>1</v>
      </c>
      <c r="V1581" s="13" t="str">
        <f t="shared" si="2"/>
        <v>C01134|Arun Singh|64|South|Chennai|Basic|Facebook|11/13/2024|43|Quarterly|Upi|722|2|0|15.70|3.3|4/20/2028|1/7/2027|Churned|Security</v>
      </c>
      <c r="W1581" s="13">
        <f t="shared" si="3"/>
        <v>1</v>
      </c>
      <c r="X1581" s="13">
        <f>IFERROR(__xludf.DUMMYFUNCTION("COUNTUNIQUE(FILTER($B$2:$B$1826,$A$2:$A$1826=A1581))"),1.0)</f>
        <v>1</v>
      </c>
    </row>
    <row r="1582">
      <c r="A1582" s="13" t="s">
        <v>1537</v>
      </c>
      <c r="B1582" s="13" t="s">
        <v>345</v>
      </c>
      <c r="C1582" s="14">
        <v>47.0</v>
      </c>
      <c r="D1582" s="13" t="s">
        <v>60</v>
      </c>
      <c r="E1582" s="13" t="s">
        <v>133</v>
      </c>
      <c r="F1582" s="13" t="s">
        <v>37</v>
      </c>
      <c r="G1582" s="13" t="s">
        <v>120</v>
      </c>
      <c r="H1582" s="16">
        <v>45624.0</v>
      </c>
      <c r="I1582" s="14">
        <v>47.0</v>
      </c>
      <c r="J1582" s="13" t="s">
        <v>40</v>
      </c>
      <c r="K1582" s="13" t="s">
        <v>81</v>
      </c>
      <c r="L1582" s="14">
        <v>1345.0</v>
      </c>
      <c r="M1582" s="18" t="s">
        <v>43</v>
      </c>
      <c r="N1582" s="18" t="s">
        <v>43</v>
      </c>
      <c r="O1582" s="18">
        <v>37.1</v>
      </c>
      <c r="P1582" s="18" t="s">
        <v>225</v>
      </c>
      <c r="Q1582" s="16">
        <v>47048.0</v>
      </c>
      <c r="R1582" s="16" t="s">
        <v>2062</v>
      </c>
      <c r="S1582" s="13" t="s">
        <v>45</v>
      </c>
      <c r="T1582" s="13" t="s">
        <v>104</v>
      </c>
      <c r="U1582" s="13">
        <f t="shared" si="1"/>
        <v>3</v>
      </c>
      <c r="V1582" s="13" t="str">
        <f t="shared" si="2"/>
        <v>C01006|Arun Nair|47|East|Guwahati|Standard|Email|11/28/2024|47|Monthly|Debit Card|1,345|2|2|37.10|3.8|10/22/2028|29/06/2027|Churned|Analytics</v>
      </c>
      <c r="W1582" s="13">
        <f t="shared" si="3"/>
        <v>1</v>
      </c>
      <c r="X1582" s="13">
        <f>IFERROR(__xludf.DUMMYFUNCTION("COUNTUNIQUE(FILTER($B$2:$B$1826,$A$2:$A$1826=A1582))"),3.0)</f>
        <v>3</v>
      </c>
    </row>
    <row r="1583">
      <c r="A1583" s="13" t="s">
        <v>196</v>
      </c>
      <c r="B1583" s="13" t="s">
        <v>68</v>
      </c>
      <c r="C1583" s="14">
        <v>60.0</v>
      </c>
      <c r="D1583" s="13" t="s">
        <v>69</v>
      </c>
      <c r="E1583" s="13" t="s">
        <v>187</v>
      </c>
      <c r="F1583" s="13" t="s">
        <v>62</v>
      </c>
      <c r="G1583" s="13" t="s">
        <v>210</v>
      </c>
      <c r="H1583" s="16">
        <v>45258.0</v>
      </c>
      <c r="I1583" s="14">
        <v>41.0</v>
      </c>
      <c r="J1583" s="13" t="s">
        <v>40</v>
      </c>
      <c r="K1583" s="13" t="s">
        <v>81</v>
      </c>
      <c r="L1583" s="14">
        <v>892.0</v>
      </c>
      <c r="M1583" s="18" t="s">
        <v>43</v>
      </c>
      <c r="N1583" s="18" t="s">
        <v>98</v>
      </c>
      <c r="O1583" s="18">
        <v>4.7</v>
      </c>
      <c r="P1583" s="18" t="s">
        <v>173</v>
      </c>
      <c r="Q1583" s="16">
        <v>45335.0</v>
      </c>
      <c r="R1583" s="16" t="s">
        <v>38</v>
      </c>
      <c r="S1583" s="13" t="s">
        <v>55</v>
      </c>
      <c r="T1583" s="13" t="s">
        <v>75</v>
      </c>
      <c r="U1583" s="13">
        <f t="shared" si="1"/>
        <v>4</v>
      </c>
      <c r="V1583" s="13" t="str">
        <f t="shared" si="2"/>
        <v>C01569|Anita Patel|60|South|Chennai|Basic|Referral|11/28/2023|41|Monthly|Debit Card|892|2|1|4.70|5|2/13/2024||Active|Security</v>
      </c>
      <c r="W1583" s="13">
        <f t="shared" si="3"/>
        <v>1</v>
      </c>
      <c r="X1583" s="13">
        <f>IFERROR(__xludf.DUMMYFUNCTION("COUNTUNIQUE(FILTER($B$2:$B$1826,$A$2:$A$1826=A1583))"),4.0)</f>
        <v>4</v>
      </c>
    </row>
    <row r="1584">
      <c r="A1584" s="13" t="s">
        <v>402</v>
      </c>
      <c r="B1584" s="13" t="s">
        <v>736</v>
      </c>
      <c r="C1584" s="14">
        <v>23.0</v>
      </c>
      <c r="D1584" s="13" t="s">
        <v>35</v>
      </c>
      <c r="E1584" s="13" t="s">
        <v>177</v>
      </c>
      <c r="F1584" s="13" t="s">
        <v>37</v>
      </c>
      <c r="G1584" s="13" t="s">
        <v>210</v>
      </c>
      <c r="H1584" s="16">
        <v>45101.0</v>
      </c>
      <c r="I1584" s="14">
        <v>3.0</v>
      </c>
      <c r="J1584" s="13" t="s">
        <v>53</v>
      </c>
      <c r="K1584" s="13" t="s">
        <v>41</v>
      </c>
      <c r="L1584" s="14">
        <v>1549.0</v>
      </c>
      <c r="M1584" s="18" t="s">
        <v>98</v>
      </c>
      <c r="N1584" s="18" t="s">
        <v>46</v>
      </c>
      <c r="O1584" s="18">
        <v>36.6</v>
      </c>
      <c r="P1584" s="18" t="s">
        <v>48</v>
      </c>
      <c r="Q1584" s="16">
        <v>45124.0</v>
      </c>
      <c r="R1584" s="16" t="s">
        <v>38</v>
      </c>
      <c r="S1584" s="13" t="s">
        <v>55</v>
      </c>
      <c r="T1584" s="13" t="s">
        <v>104</v>
      </c>
      <c r="U1584" s="13">
        <f t="shared" si="1"/>
        <v>2</v>
      </c>
      <c r="V1584" s="13" t="str">
        <f t="shared" si="2"/>
        <v>C01266|Priya Iyer|23|North|Hyderabad|Standard|Referral|6/24/2023|3|Quarterly|Upi|1,549|1|0|36.60|3.6|7/17/2023||Active|Analytics</v>
      </c>
      <c r="W1584" s="13">
        <f t="shared" si="3"/>
        <v>1</v>
      </c>
      <c r="X1584" s="13">
        <f>IFERROR(__xludf.DUMMYFUNCTION("COUNTUNIQUE(FILTER($B$2:$B$1826,$A$2:$A$1826=A1584))"),2.0)</f>
        <v>2</v>
      </c>
    </row>
    <row r="1585">
      <c r="A1585" s="13" t="s">
        <v>761</v>
      </c>
      <c r="B1585" s="13" t="s">
        <v>135</v>
      </c>
      <c r="C1585" s="14">
        <v>66.0</v>
      </c>
      <c r="D1585" s="13" t="s">
        <v>35</v>
      </c>
      <c r="E1585" s="13" t="s">
        <v>51</v>
      </c>
      <c r="F1585" s="13" t="s">
        <v>79</v>
      </c>
      <c r="G1585" s="13" t="s">
        <v>52</v>
      </c>
      <c r="H1585" s="16">
        <v>45222.0</v>
      </c>
      <c r="I1585" s="14">
        <v>4.0</v>
      </c>
      <c r="J1585" s="13" t="s">
        <v>40</v>
      </c>
      <c r="K1585" s="13" t="s">
        <v>81</v>
      </c>
      <c r="L1585" s="14">
        <v>2232.0</v>
      </c>
      <c r="M1585" s="18" t="s">
        <v>43</v>
      </c>
      <c r="N1585" s="18" t="s">
        <v>98</v>
      </c>
      <c r="O1585" s="18">
        <v>28.5</v>
      </c>
      <c r="P1585" s="18" t="s">
        <v>116</v>
      </c>
      <c r="Q1585" s="16">
        <v>45315.0</v>
      </c>
      <c r="R1585" s="16" t="s">
        <v>38</v>
      </c>
      <c r="S1585" s="13" t="s">
        <v>55</v>
      </c>
      <c r="T1585" s="13" t="s">
        <v>75</v>
      </c>
      <c r="U1585" s="13">
        <f t="shared" si="1"/>
        <v>2</v>
      </c>
      <c r="V1585" s="13" t="str">
        <f t="shared" si="2"/>
        <v>C01335|Karan Sharma|66|North|Jaipur|Premium|Facebook|10/23/2023|4|Monthly|Debit Card|2,232|2|1|28.50|3.4|1/24/2024||Active|Security</v>
      </c>
      <c r="W1585" s="13">
        <f t="shared" si="3"/>
        <v>1</v>
      </c>
      <c r="X1585" s="13">
        <f>IFERROR(__xludf.DUMMYFUNCTION("COUNTUNIQUE(FILTER($B$2:$B$1826,$A$2:$A$1826=A1585))"),2.0)</f>
        <v>2</v>
      </c>
    </row>
    <row r="1586">
      <c r="A1586" s="13" t="s">
        <v>1409</v>
      </c>
      <c r="B1586" s="13" t="s">
        <v>176</v>
      </c>
      <c r="C1586" s="14">
        <v>35.0</v>
      </c>
      <c r="D1586" s="13" t="s">
        <v>85</v>
      </c>
      <c r="E1586" s="13" t="s">
        <v>292</v>
      </c>
      <c r="F1586" s="13" t="s">
        <v>79</v>
      </c>
      <c r="G1586" s="13" t="s">
        <v>39</v>
      </c>
      <c r="H1586" s="16">
        <v>45037.0</v>
      </c>
      <c r="I1586" s="14">
        <v>41.0</v>
      </c>
      <c r="J1586" s="13" t="s">
        <v>53</v>
      </c>
      <c r="K1586" s="13" t="s">
        <v>65</v>
      </c>
      <c r="L1586" s="14">
        <v>2545.0</v>
      </c>
      <c r="M1586" s="18" t="s">
        <v>98</v>
      </c>
      <c r="N1586" s="18" t="s">
        <v>98</v>
      </c>
      <c r="O1586" s="18">
        <v>34.4</v>
      </c>
      <c r="P1586" s="18" t="s">
        <v>376</v>
      </c>
      <c r="Q1586" s="16">
        <v>45778.0</v>
      </c>
      <c r="R1586" s="16">
        <v>45940.0</v>
      </c>
      <c r="S1586" s="13" t="s">
        <v>45</v>
      </c>
      <c r="T1586" s="13" t="s">
        <v>66</v>
      </c>
      <c r="U1586" s="13">
        <f t="shared" si="1"/>
        <v>2</v>
      </c>
      <c r="V1586" s="13" t="str">
        <f t="shared" si="2"/>
        <v>C00923|Ravi Iyer|35|West|Mumbai|Premium|Instagram|4/21/2023|41|Quarterly|Credit Card|2,545|1|1|34.40|6|5/1/2025|10/10/2025|Churned|Automation</v>
      </c>
      <c r="W1586" s="13">
        <f t="shared" si="3"/>
        <v>1</v>
      </c>
      <c r="X1586" s="13">
        <f>IFERROR(__xludf.DUMMYFUNCTION("COUNTUNIQUE(FILTER($B$2:$B$1826,$A$2:$A$1826=A1586))"),2.0)</f>
        <v>2</v>
      </c>
    </row>
    <row r="1587">
      <c r="A1587" s="13" t="s">
        <v>379</v>
      </c>
      <c r="B1587" s="13" t="s">
        <v>163</v>
      </c>
      <c r="C1587" s="14">
        <v>67.0</v>
      </c>
      <c r="D1587" s="13" t="s">
        <v>35</v>
      </c>
      <c r="E1587" s="13" t="s">
        <v>51</v>
      </c>
      <c r="F1587" s="13" t="s">
        <v>37</v>
      </c>
      <c r="G1587" s="13" t="s">
        <v>120</v>
      </c>
      <c r="H1587" s="16">
        <v>45437.0</v>
      </c>
      <c r="I1587" s="14">
        <v>20.0</v>
      </c>
      <c r="J1587" s="13" t="s">
        <v>53</v>
      </c>
      <c r="K1587" s="13" t="s">
        <v>81</v>
      </c>
      <c r="L1587" s="14">
        <v>1441.0</v>
      </c>
      <c r="M1587" s="18" t="s">
        <v>173</v>
      </c>
      <c r="N1587" s="18" t="s">
        <v>46</v>
      </c>
      <c r="O1587" s="18">
        <v>21.6</v>
      </c>
      <c r="P1587" s="18" t="s">
        <v>158</v>
      </c>
      <c r="Q1587" s="16">
        <v>45584.0</v>
      </c>
      <c r="R1587" s="16" t="s">
        <v>386</v>
      </c>
      <c r="S1587" s="13" t="s">
        <v>45</v>
      </c>
      <c r="T1587" s="13" t="s">
        <v>47</v>
      </c>
      <c r="U1587" s="13">
        <f t="shared" si="1"/>
        <v>3</v>
      </c>
      <c r="V1587" s="13" t="str">
        <f t="shared" si="2"/>
        <v>C00601|Sneha Singh|67|North|Jaipur|Standard|Email|5/25/2024|20|Quarterly|Debit Card|1,441|5|0|21.60|4.7|10/19/2024|16/05/2025|Churned|Cloud Storage</v>
      </c>
      <c r="W1587" s="13">
        <f t="shared" si="3"/>
        <v>1</v>
      </c>
      <c r="X1587" s="13">
        <f>IFERROR(__xludf.DUMMYFUNCTION("COUNTUNIQUE(FILTER($B$2:$B$1826,$A$2:$A$1826=A1587))"),3.0)</f>
        <v>3</v>
      </c>
    </row>
    <row r="1588">
      <c r="A1588" s="13" t="s">
        <v>2064</v>
      </c>
      <c r="B1588" s="13" t="s">
        <v>59</v>
      </c>
      <c r="C1588" s="14">
        <v>54.0</v>
      </c>
      <c r="D1588" s="13" t="s">
        <v>60</v>
      </c>
      <c r="E1588" s="13" t="s">
        <v>38</v>
      </c>
      <c r="F1588" s="13" t="s">
        <v>62</v>
      </c>
      <c r="G1588" s="13" t="s">
        <v>52</v>
      </c>
      <c r="H1588" s="16">
        <v>44890.0</v>
      </c>
      <c r="I1588" s="14">
        <v>39.0</v>
      </c>
      <c r="J1588" s="13" t="s">
        <v>64</v>
      </c>
      <c r="K1588" s="13" t="s">
        <v>41</v>
      </c>
      <c r="L1588" s="14">
        <v>841.0</v>
      </c>
      <c r="M1588" s="18" t="s">
        <v>99</v>
      </c>
      <c r="N1588" s="18" t="s">
        <v>43</v>
      </c>
      <c r="O1588" s="18">
        <v>17.5</v>
      </c>
      <c r="P1588" s="18" t="s">
        <v>185</v>
      </c>
      <c r="Q1588" s="16">
        <v>45799.0</v>
      </c>
      <c r="R1588" s="16" t="s">
        <v>1560</v>
      </c>
      <c r="S1588" s="13" t="s">
        <v>45</v>
      </c>
      <c r="T1588" s="13" t="s">
        <v>104</v>
      </c>
      <c r="U1588" s="13">
        <f t="shared" si="1"/>
        <v>1</v>
      </c>
      <c r="V1588" s="13" t="str">
        <f t="shared" si="2"/>
        <v>C00244|Priya Das|54|East||Basic|Facebook|11/25/2022|39|Annual|Upi|841|4|2|17.50|3.2|5/22/2025|16/04/2024|Churned|Analytics</v>
      </c>
      <c r="W1588" s="13">
        <f t="shared" si="3"/>
        <v>1</v>
      </c>
      <c r="X1588" s="13">
        <f>IFERROR(__xludf.DUMMYFUNCTION("COUNTUNIQUE(FILTER($B$2:$B$1826,$A$2:$A$1826=A1588))"),1.0)</f>
        <v>1</v>
      </c>
    </row>
    <row r="1589">
      <c r="A1589" s="13" t="s">
        <v>2065</v>
      </c>
      <c r="B1589" s="13" t="s">
        <v>59</v>
      </c>
      <c r="C1589" s="14">
        <v>66.0</v>
      </c>
      <c r="D1589" s="13" t="s">
        <v>35</v>
      </c>
      <c r="E1589" s="13" t="s">
        <v>161</v>
      </c>
      <c r="F1589" s="13" t="s">
        <v>37</v>
      </c>
      <c r="G1589" s="13" t="s">
        <v>52</v>
      </c>
      <c r="H1589" s="16">
        <v>45917.0</v>
      </c>
      <c r="I1589" s="14">
        <v>20.0</v>
      </c>
      <c r="J1589" s="13" t="s">
        <v>53</v>
      </c>
      <c r="K1589" s="13" t="s">
        <v>41</v>
      </c>
      <c r="L1589" s="14">
        <v>1231.0</v>
      </c>
      <c r="M1589" s="18" t="s">
        <v>43</v>
      </c>
      <c r="N1589" s="18" t="s">
        <v>43</v>
      </c>
      <c r="O1589" s="18">
        <v>35.4</v>
      </c>
      <c r="P1589" s="18" t="s">
        <v>130</v>
      </c>
      <c r="Q1589" s="16">
        <v>46234.0</v>
      </c>
      <c r="R1589" s="16" t="s">
        <v>38</v>
      </c>
      <c r="S1589" s="13" t="s">
        <v>55</v>
      </c>
      <c r="T1589" s="13" t="s">
        <v>66</v>
      </c>
      <c r="U1589" s="13">
        <f t="shared" si="1"/>
        <v>1</v>
      </c>
      <c r="V1589" s="13" t="str">
        <f t="shared" si="2"/>
        <v>C00280|Priya Das|66|North|Chandigarh|Standard|Facebook|9/17/2025|20|Quarterly|Upi|1,231|2|2|35.40|3.9|7/31/2026||Active|Automation</v>
      </c>
      <c r="W1589" s="13">
        <f t="shared" si="3"/>
        <v>1</v>
      </c>
      <c r="X1589" s="13">
        <f>IFERROR(__xludf.DUMMYFUNCTION("COUNTUNIQUE(FILTER($B$2:$B$1826,$A$2:$A$1826=A1589))"),1.0)</f>
        <v>1</v>
      </c>
    </row>
    <row r="1590">
      <c r="A1590" s="13" t="s">
        <v>1806</v>
      </c>
      <c r="B1590" s="13" t="s">
        <v>241</v>
      </c>
      <c r="C1590" s="14">
        <v>43.0</v>
      </c>
      <c r="D1590" s="13" t="s">
        <v>60</v>
      </c>
      <c r="E1590" s="13" t="s">
        <v>97</v>
      </c>
      <c r="F1590" s="13" t="s">
        <v>37</v>
      </c>
      <c r="G1590" s="13" t="s">
        <v>128</v>
      </c>
      <c r="H1590" s="16">
        <v>45358.0</v>
      </c>
      <c r="I1590" s="14">
        <v>2.0</v>
      </c>
      <c r="J1590" s="13" t="s">
        <v>40</v>
      </c>
      <c r="K1590" s="13" t="s">
        <v>81</v>
      </c>
      <c r="L1590" s="14">
        <v>1306.0</v>
      </c>
      <c r="M1590" s="18" t="s">
        <v>46</v>
      </c>
      <c r="N1590" s="18" t="s">
        <v>98</v>
      </c>
      <c r="O1590" s="18">
        <v>31.0</v>
      </c>
      <c r="P1590" s="18" t="s">
        <v>173</v>
      </c>
      <c r="Q1590" s="16">
        <v>45417.0</v>
      </c>
      <c r="R1590" s="16" t="s">
        <v>2067</v>
      </c>
      <c r="S1590" s="13" t="s">
        <v>45</v>
      </c>
      <c r="T1590" s="13" t="s">
        <v>104</v>
      </c>
      <c r="U1590" s="13">
        <f t="shared" si="1"/>
        <v>3</v>
      </c>
      <c r="V1590" s="13" t="str">
        <f t="shared" si="2"/>
        <v>C00711|Sneha Iyer|43|East|Bhubaneswar|Standard|Youtube|3/7/2024|2|Monthly|Debit Card|1,306|0|1|31.00|5|5/5/2024|30/05/2024|Churned|Analytics</v>
      </c>
      <c r="W1590" s="13">
        <f t="shared" si="3"/>
        <v>1</v>
      </c>
      <c r="X1590" s="13">
        <f>IFERROR(__xludf.DUMMYFUNCTION("COUNTUNIQUE(FILTER($B$2:$B$1826,$A$2:$A$1826=A1590))"),3.0)</f>
        <v>3</v>
      </c>
    </row>
    <row r="1591">
      <c r="A1591" s="13" t="s">
        <v>2068</v>
      </c>
      <c r="B1591" s="13" t="s">
        <v>295</v>
      </c>
      <c r="C1591" s="14">
        <v>19.0</v>
      </c>
      <c r="D1591" s="13" t="s">
        <v>60</v>
      </c>
      <c r="E1591" s="13" t="s">
        <v>107</v>
      </c>
      <c r="F1591" s="13" t="s">
        <v>37</v>
      </c>
      <c r="G1591" s="13" t="s">
        <v>52</v>
      </c>
      <c r="H1591" s="16">
        <v>45559.0</v>
      </c>
      <c r="I1591" s="14">
        <v>18.0</v>
      </c>
      <c r="J1591" s="13" t="s">
        <v>40</v>
      </c>
      <c r="K1591" s="13" t="s">
        <v>41</v>
      </c>
      <c r="L1591" s="14">
        <v>1116.0</v>
      </c>
      <c r="M1591" s="18" t="s">
        <v>98</v>
      </c>
      <c r="N1591" s="18" t="s">
        <v>164</v>
      </c>
      <c r="O1591" s="18">
        <v>33.3</v>
      </c>
      <c r="P1591" s="18" t="s">
        <v>76</v>
      </c>
      <c r="Q1591" s="16">
        <v>45634.0</v>
      </c>
      <c r="R1591" s="16" t="s">
        <v>2069</v>
      </c>
      <c r="S1591" s="13" t="s">
        <v>45</v>
      </c>
      <c r="T1591" s="13" t="s">
        <v>104</v>
      </c>
      <c r="U1591" s="13">
        <f t="shared" si="1"/>
        <v>1</v>
      </c>
      <c r="V1591" s="13" t="str">
        <f t="shared" si="2"/>
        <v>C00708|Arun Reddy|19|East|Patna|Standard|Facebook|9/24/2024|18|Monthly|Upi|1,116|1|3|33.30|4.4|12/8/2024|19/01/2026|Churned|Analytics</v>
      </c>
      <c r="W1591" s="13">
        <f t="shared" si="3"/>
        <v>1</v>
      </c>
      <c r="X1591" s="13">
        <f>IFERROR(__xludf.DUMMYFUNCTION("COUNTUNIQUE(FILTER($B$2:$B$1826,$A$2:$A$1826=A1591))"),1.0)</f>
        <v>1</v>
      </c>
    </row>
    <row r="1592">
      <c r="A1592" s="13" t="s">
        <v>2053</v>
      </c>
      <c r="B1592" s="13" t="s">
        <v>734</v>
      </c>
      <c r="C1592" s="14">
        <v>63.0</v>
      </c>
      <c r="D1592" s="13" t="s">
        <v>35</v>
      </c>
      <c r="E1592" s="13" t="s">
        <v>140</v>
      </c>
      <c r="F1592" s="13" t="s">
        <v>37</v>
      </c>
      <c r="G1592" s="13" t="s">
        <v>63</v>
      </c>
      <c r="H1592" s="16">
        <v>45884.0</v>
      </c>
      <c r="I1592" s="14">
        <v>19.0</v>
      </c>
      <c r="J1592" s="13" t="s">
        <v>40</v>
      </c>
      <c r="K1592" s="13" t="s">
        <v>81</v>
      </c>
      <c r="L1592" s="14">
        <v>1232.0</v>
      </c>
      <c r="M1592" s="18" t="s">
        <v>43</v>
      </c>
      <c r="N1592" s="18" t="s">
        <v>99</v>
      </c>
      <c r="O1592" s="18">
        <v>39.4</v>
      </c>
      <c r="P1592" s="18" t="s">
        <v>173</v>
      </c>
      <c r="Q1592" s="16">
        <v>46201.0</v>
      </c>
      <c r="R1592" s="16" t="s">
        <v>2070</v>
      </c>
      <c r="S1592" s="13" t="s">
        <v>230</v>
      </c>
      <c r="T1592" s="13" t="s">
        <v>66</v>
      </c>
      <c r="U1592" s="13">
        <f t="shared" si="1"/>
        <v>2</v>
      </c>
      <c r="V1592" s="13" t="str">
        <f t="shared" si="2"/>
        <v>C01052|Sneha Das|63|North|Lucknow|Standard|Google Ads|8/15/2025|19|Monthly|Debit Card|1,232|2|4|39.40|5|6/28/2026|21/06/2026|Yes|Automation</v>
      </c>
      <c r="W1592" s="13">
        <f t="shared" si="3"/>
        <v>1</v>
      </c>
      <c r="X1592" s="13">
        <f>IFERROR(__xludf.DUMMYFUNCTION("COUNTUNIQUE(FILTER($B$2:$B$1826,$A$2:$A$1826=A1592))"),2.0)</f>
        <v>2</v>
      </c>
    </row>
    <row r="1593">
      <c r="A1593" s="13" t="s">
        <v>1451</v>
      </c>
      <c r="B1593" s="13" t="s">
        <v>222</v>
      </c>
      <c r="C1593" s="14">
        <v>61.0</v>
      </c>
      <c r="D1593" s="13" t="s">
        <v>69</v>
      </c>
      <c r="E1593" s="13" t="s">
        <v>119</v>
      </c>
      <c r="F1593" s="13" t="s">
        <v>37</v>
      </c>
      <c r="G1593" s="13" t="s">
        <v>210</v>
      </c>
      <c r="H1593" s="16">
        <v>44614.0</v>
      </c>
      <c r="I1593" s="14">
        <v>48.0</v>
      </c>
      <c r="J1593" s="13" t="s">
        <v>64</v>
      </c>
      <c r="K1593" s="13" t="s">
        <v>41</v>
      </c>
      <c r="L1593" s="14">
        <v>1735.0</v>
      </c>
      <c r="M1593" s="18" t="s">
        <v>98</v>
      </c>
      <c r="N1593" s="18" t="s">
        <v>46</v>
      </c>
      <c r="O1593" s="18">
        <v>35.8</v>
      </c>
      <c r="P1593" s="18" t="s">
        <v>99</v>
      </c>
      <c r="Q1593" s="16">
        <v>44880.0</v>
      </c>
      <c r="R1593" s="16" t="s">
        <v>1338</v>
      </c>
      <c r="S1593" s="13" t="s">
        <v>45</v>
      </c>
      <c r="T1593" s="13" t="s">
        <v>47</v>
      </c>
      <c r="U1593" s="13">
        <f t="shared" si="1"/>
        <v>2</v>
      </c>
      <c r="V1593" s="13" t="str">
        <f t="shared" si="2"/>
        <v>C00523|Karan Iyer|61|South|Kochi|Standard|Referral|2/22/2022|48|Annual|Upi|1,735|1|0|35.80|4|11/15/2022|25/03/2025|Churned|Cloud Storage</v>
      </c>
      <c r="W1593" s="13">
        <f t="shared" si="3"/>
        <v>1</v>
      </c>
      <c r="X1593" s="13">
        <f>IFERROR(__xludf.DUMMYFUNCTION("COUNTUNIQUE(FILTER($B$2:$B$1826,$A$2:$A$1826=A1593))"),2.0)</f>
        <v>2</v>
      </c>
    </row>
    <row r="1594">
      <c r="A1594" s="13" t="s">
        <v>2071</v>
      </c>
      <c r="B1594" s="13" t="s">
        <v>206</v>
      </c>
      <c r="C1594" s="14">
        <v>26.0</v>
      </c>
      <c r="D1594" s="13" t="s">
        <v>35</v>
      </c>
      <c r="E1594" s="13" t="s">
        <v>51</v>
      </c>
      <c r="F1594" s="13" t="s">
        <v>62</v>
      </c>
      <c r="G1594" s="13" t="s">
        <v>128</v>
      </c>
      <c r="H1594" s="16">
        <v>45861.0</v>
      </c>
      <c r="I1594" s="14">
        <v>23.0</v>
      </c>
      <c r="J1594" s="13" t="s">
        <v>64</v>
      </c>
      <c r="K1594" s="13" t="s">
        <v>41</v>
      </c>
      <c r="L1594" s="14">
        <v>882.0</v>
      </c>
      <c r="M1594" s="18" t="s">
        <v>43</v>
      </c>
      <c r="N1594" s="18" t="s">
        <v>98</v>
      </c>
      <c r="O1594" s="18">
        <v>15.7</v>
      </c>
      <c r="P1594" s="18" t="s">
        <v>89</v>
      </c>
      <c r="Q1594" s="16">
        <v>46532.0</v>
      </c>
      <c r="R1594" s="16" t="s">
        <v>2072</v>
      </c>
      <c r="S1594" s="13" t="s">
        <v>45</v>
      </c>
      <c r="T1594" s="13" t="s">
        <v>75</v>
      </c>
      <c r="U1594" s="13">
        <f t="shared" si="1"/>
        <v>1</v>
      </c>
      <c r="V1594" s="13" t="str">
        <f t="shared" si="2"/>
        <v>C01579|Karan Patel|26|North|Jaipur|Basic|Youtube|7/23/2025|23|Annual|Upi|882|2|1|15.70|3.3|5/25/2027|13/04/2027|Churned|Security</v>
      </c>
      <c r="W1594" s="13">
        <f t="shared" si="3"/>
        <v>1</v>
      </c>
      <c r="X1594" s="13">
        <f>IFERROR(__xludf.DUMMYFUNCTION("COUNTUNIQUE(FILTER($B$2:$B$1826,$A$2:$A$1826=A1594))"),1.0)</f>
        <v>1</v>
      </c>
    </row>
    <row r="1595">
      <c r="A1595" s="13" t="s">
        <v>512</v>
      </c>
      <c r="B1595" s="13" t="s">
        <v>801</v>
      </c>
      <c r="C1595" s="14">
        <v>36.0</v>
      </c>
      <c r="D1595" s="13" t="s">
        <v>85</v>
      </c>
      <c r="E1595" s="13" t="s">
        <v>87</v>
      </c>
      <c r="F1595" s="13" t="s">
        <v>62</v>
      </c>
      <c r="G1595" s="13" t="s">
        <v>52</v>
      </c>
      <c r="H1595" s="16">
        <v>45335.0</v>
      </c>
      <c r="I1595" s="14">
        <v>27.0</v>
      </c>
      <c r="J1595" s="13" t="s">
        <v>40</v>
      </c>
      <c r="K1595" s="13" t="s">
        <v>41</v>
      </c>
      <c r="L1595" s="14">
        <v>538.0</v>
      </c>
      <c r="M1595" s="18" t="s">
        <v>98</v>
      </c>
      <c r="N1595" s="18" t="s">
        <v>46</v>
      </c>
      <c r="O1595" s="18">
        <v>18.0</v>
      </c>
      <c r="P1595" s="18" t="s">
        <v>449</v>
      </c>
      <c r="Q1595" s="16">
        <v>45665.0</v>
      </c>
      <c r="R1595" s="16" t="s">
        <v>38</v>
      </c>
      <c r="S1595" s="13" t="s">
        <v>55</v>
      </c>
      <c r="T1595" s="13" t="s">
        <v>47</v>
      </c>
      <c r="U1595" s="13">
        <f t="shared" si="1"/>
        <v>2</v>
      </c>
      <c r="V1595" s="13" t="str">
        <f t="shared" si="2"/>
        <v>C00773|Karan Singh|36|West|Surat|Basic|Facebook|2/13/2024|27|Monthly|Upi|538|1|0|18.00|2.7|1/8/2025||Active|Cloud Storage</v>
      </c>
      <c r="W1595" s="13">
        <f t="shared" si="3"/>
        <v>1</v>
      </c>
      <c r="X1595" s="13">
        <f>IFERROR(__xludf.DUMMYFUNCTION("COUNTUNIQUE(FILTER($B$2:$B$1826,$A$2:$A$1826=A1595))"),2.0)</f>
        <v>2</v>
      </c>
    </row>
    <row r="1596">
      <c r="A1596" s="13" t="s">
        <v>2074</v>
      </c>
      <c r="B1596" s="13" t="s">
        <v>395</v>
      </c>
      <c r="C1596" s="14">
        <v>45.0</v>
      </c>
      <c r="D1596" s="13" t="s">
        <v>69</v>
      </c>
      <c r="E1596" s="13" t="s">
        <v>187</v>
      </c>
      <c r="F1596" s="13" t="s">
        <v>62</v>
      </c>
      <c r="G1596" s="13" t="s">
        <v>80</v>
      </c>
      <c r="H1596" s="16">
        <v>45676.0</v>
      </c>
      <c r="I1596" s="14">
        <v>3.0</v>
      </c>
      <c r="J1596" s="13" t="s">
        <v>53</v>
      </c>
      <c r="K1596" s="13" t="s">
        <v>65</v>
      </c>
      <c r="L1596" s="14">
        <v>605.0</v>
      </c>
      <c r="M1596" s="18" t="s">
        <v>46</v>
      </c>
      <c r="N1596" s="18" t="s">
        <v>46</v>
      </c>
      <c r="O1596" s="18">
        <v>20.5</v>
      </c>
      <c r="P1596" s="18" t="s">
        <v>275</v>
      </c>
      <c r="Q1596" s="16">
        <v>45740.0</v>
      </c>
      <c r="R1596" s="16" t="s">
        <v>38</v>
      </c>
      <c r="S1596" s="13" t="s">
        <v>55</v>
      </c>
      <c r="T1596" s="13" t="s">
        <v>66</v>
      </c>
      <c r="U1596" s="13">
        <f t="shared" si="1"/>
        <v>2</v>
      </c>
      <c r="V1596" s="13" t="str">
        <f t="shared" si="2"/>
        <v>C00263|Ravi Singh|45|South|Chennai|Basic|Organic Search|1/19/2025|3|Quarterly|Credit Card|605|0|0|20.50|4.3|3/24/2025||Active|Automation</v>
      </c>
      <c r="W1596" s="13">
        <f t="shared" si="3"/>
        <v>1</v>
      </c>
      <c r="X1596" s="13">
        <f>IFERROR(__xludf.DUMMYFUNCTION("COUNTUNIQUE(FILTER($B$2:$B$1826,$A$2:$A$1826=A1596))"),2.0)</f>
        <v>2</v>
      </c>
    </row>
    <row r="1597">
      <c r="A1597" s="13" t="s">
        <v>521</v>
      </c>
      <c r="B1597" s="13" t="s">
        <v>736</v>
      </c>
      <c r="C1597" s="14">
        <v>37.0</v>
      </c>
      <c r="D1597" s="13" t="s">
        <v>35</v>
      </c>
      <c r="E1597" s="13" t="s">
        <v>36</v>
      </c>
      <c r="F1597" s="13" t="s">
        <v>37</v>
      </c>
      <c r="G1597" s="13" t="s">
        <v>120</v>
      </c>
      <c r="H1597" s="16">
        <v>45820.0</v>
      </c>
      <c r="I1597" s="14">
        <v>5.0</v>
      </c>
      <c r="J1597" s="13" t="s">
        <v>40</v>
      </c>
      <c r="K1597" s="13" t="s">
        <v>81</v>
      </c>
      <c r="L1597" s="14">
        <v>1310.0</v>
      </c>
      <c r="M1597" s="18" t="s">
        <v>164</v>
      </c>
      <c r="N1597" s="18" t="s">
        <v>46</v>
      </c>
      <c r="O1597" s="18">
        <v>41.5</v>
      </c>
      <c r="P1597" s="18" t="s">
        <v>310</v>
      </c>
      <c r="Q1597" s="16">
        <v>45933.0</v>
      </c>
      <c r="R1597" s="16" t="s">
        <v>38</v>
      </c>
      <c r="S1597" s="13" t="s">
        <v>55</v>
      </c>
      <c r="T1597" s="13" t="s">
        <v>47</v>
      </c>
      <c r="U1597" s="13">
        <f t="shared" si="1"/>
        <v>4</v>
      </c>
      <c r="V1597" s="13" t="str">
        <f t="shared" si="2"/>
        <v>C01517|Priya Iyer|37|North|Delhi|Standard|Email|6/12/2025|5|Monthly|Debit Card|1,310|3|0|41.50|3.1|10/3/2025||Active|Cloud Storage</v>
      </c>
      <c r="W1597" s="13">
        <f t="shared" si="3"/>
        <v>1</v>
      </c>
      <c r="X1597" s="13">
        <f>IFERROR(__xludf.DUMMYFUNCTION("COUNTUNIQUE(FILTER($B$2:$B$1826,$A$2:$A$1826=A1597))"),4.0)</f>
        <v>4</v>
      </c>
    </row>
    <row r="1598">
      <c r="A1598" s="13" t="s">
        <v>2075</v>
      </c>
      <c r="B1598" s="13" t="s">
        <v>651</v>
      </c>
      <c r="C1598" s="14">
        <v>54.0</v>
      </c>
      <c r="D1598" s="13" t="s">
        <v>69</v>
      </c>
      <c r="E1598" s="13" t="s">
        <v>177</v>
      </c>
      <c r="F1598" s="13" t="s">
        <v>62</v>
      </c>
      <c r="G1598" s="13" t="s">
        <v>210</v>
      </c>
      <c r="H1598" s="16">
        <v>45371.0</v>
      </c>
      <c r="I1598" s="14">
        <v>24.0</v>
      </c>
      <c r="J1598" s="13" t="s">
        <v>53</v>
      </c>
      <c r="K1598" s="13" t="s">
        <v>41</v>
      </c>
      <c r="L1598" s="14">
        <v>656.0</v>
      </c>
      <c r="M1598" s="18" t="s">
        <v>376</v>
      </c>
      <c r="N1598" s="18" t="s">
        <v>43</v>
      </c>
      <c r="O1598" s="18">
        <v>19.4</v>
      </c>
      <c r="P1598" s="18" t="s">
        <v>275</v>
      </c>
      <c r="Q1598" s="16">
        <v>45766.0</v>
      </c>
      <c r="R1598" s="16" t="s">
        <v>38</v>
      </c>
      <c r="S1598" s="13" t="s">
        <v>55</v>
      </c>
      <c r="T1598" s="13" t="s">
        <v>75</v>
      </c>
      <c r="U1598" s="13">
        <f t="shared" si="1"/>
        <v>1</v>
      </c>
      <c r="V1598" s="13" t="str">
        <f t="shared" si="2"/>
        <v>C00433|Arun Sharma|54|South|Hyderabad|Basic|Referral|3/20/2024|24|Quarterly|Upi|656|6|2|19.40|4.3|4/19/2025||Active|Security</v>
      </c>
      <c r="W1598" s="13">
        <f t="shared" si="3"/>
        <v>1</v>
      </c>
      <c r="X1598" s="13">
        <f>IFERROR(__xludf.DUMMYFUNCTION("COUNTUNIQUE(FILTER($B$2:$B$1826,$A$2:$A$1826=A1598))"),1.0)</f>
        <v>1</v>
      </c>
    </row>
    <row r="1599">
      <c r="A1599" s="13" t="s">
        <v>1455</v>
      </c>
      <c r="B1599" s="13" t="s">
        <v>281</v>
      </c>
      <c r="C1599" s="14">
        <v>56.0</v>
      </c>
      <c r="D1599" s="13" t="s">
        <v>69</v>
      </c>
      <c r="E1599" s="13" t="s">
        <v>119</v>
      </c>
      <c r="F1599" s="13" t="s">
        <v>62</v>
      </c>
      <c r="G1599" s="13" t="s">
        <v>80</v>
      </c>
      <c r="H1599" s="16">
        <v>45759.0</v>
      </c>
      <c r="I1599" s="14">
        <v>23.0</v>
      </c>
      <c r="J1599" s="13" t="s">
        <v>40</v>
      </c>
      <c r="K1599" s="13" t="s">
        <v>81</v>
      </c>
      <c r="L1599" s="14">
        <v>828.0</v>
      </c>
      <c r="M1599" s="18" t="s">
        <v>46</v>
      </c>
      <c r="N1599" s="18" t="s">
        <v>46</v>
      </c>
      <c r="O1599" s="18">
        <v>23.7</v>
      </c>
      <c r="P1599" s="18" t="s">
        <v>89</v>
      </c>
      <c r="Q1599" s="16">
        <v>46396.0</v>
      </c>
      <c r="R1599" s="16" t="s">
        <v>1007</v>
      </c>
      <c r="S1599" s="13" t="s">
        <v>45</v>
      </c>
      <c r="T1599" s="13" t="s">
        <v>47</v>
      </c>
      <c r="U1599" s="13">
        <f t="shared" si="1"/>
        <v>3</v>
      </c>
      <c r="V1599" s="13" t="str">
        <f t="shared" si="2"/>
        <v>C01540|Anita Reddy|56|South|Kochi|Basic|Organic Search|4/12/2025|23|Monthly|Debit Card|828|0|0|23.70|3.3|1/9/2027|19/02/2027|Churned|Cloud Storage</v>
      </c>
      <c r="W1599" s="13">
        <f t="shared" si="3"/>
        <v>1</v>
      </c>
      <c r="X1599" s="13">
        <f>IFERROR(__xludf.DUMMYFUNCTION("COUNTUNIQUE(FILTER($B$2:$B$1826,$A$2:$A$1826=A1599))"),3.0)</f>
        <v>3</v>
      </c>
    </row>
    <row r="1600">
      <c r="A1600" s="13" t="s">
        <v>741</v>
      </c>
      <c r="B1600" s="13" t="s">
        <v>74</v>
      </c>
      <c r="C1600" s="14">
        <v>30.0</v>
      </c>
      <c r="D1600" s="13" t="s">
        <v>85</v>
      </c>
      <c r="E1600" s="13" t="s">
        <v>87</v>
      </c>
      <c r="F1600" s="13" t="s">
        <v>79</v>
      </c>
      <c r="G1600" s="13" t="s">
        <v>210</v>
      </c>
      <c r="H1600" s="16">
        <v>44811.0</v>
      </c>
      <c r="I1600" s="14">
        <v>20.0</v>
      </c>
      <c r="J1600" s="13" t="s">
        <v>64</v>
      </c>
      <c r="K1600" s="13" t="s">
        <v>65</v>
      </c>
      <c r="L1600" s="14">
        <v>3898.0</v>
      </c>
      <c r="M1600" s="18" t="s">
        <v>43</v>
      </c>
      <c r="N1600" s="18" t="s">
        <v>46</v>
      </c>
      <c r="O1600" s="18">
        <v>25.3</v>
      </c>
      <c r="P1600" s="18" t="s">
        <v>233</v>
      </c>
      <c r="Q1600" s="16">
        <v>45321.0</v>
      </c>
      <c r="R1600" s="16" t="s">
        <v>38</v>
      </c>
      <c r="S1600" s="13" t="s">
        <v>55</v>
      </c>
      <c r="T1600" s="13" t="s">
        <v>72</v>
      </c>
      <c r="U1600" s="13">
        <f t="shared" si="1"/>
        <v>3</v>
      </c>
      <c r="V1600" s="13" t="str">
        <f t="shared" si="2"/>
        <v>C00996|Anita Kumar|30|West|Surat|Premium|Referral|9/7/2022|20|Annual|Credit Card|3,898|2|0|25.30|3.5|1/30/2024||Active|Collaboration</v>
      </c>
      <c r="W1600" s="13">
        <f t="shared" si="3"/>
        <v>1</v>
      </c>
      <c r="X1600" s="13">
        <f>IFERROR(__xludf.DUMMYFUNCTION("COUNTUNIQUE(FILTER($B$2:$B$1826,$A$2:$A$1826=A1600))"),3.0)</f>
        <v>3</v>
      </c>
    </row>
    <row r="1601">
      <c r="A1601" s="13" t="s">
        <v>2076</v>
      </c>
      <c r="B1601" s="13" t="s">
        <v>239</v>
      </c>
      <c r="C1601" s="14">
        <v>38.0</v>
      </c>
      <c r="D1601" s="13" t="s">
        <v>69</v>
      </c>
      <c r="E1601" s="13" t="s">
        <v>177</v>
      </c>
      <c r="F1601" s="13" t="s">
        <v>37</v>
      </c>
      <c r="G1601" s="13" t="s">
        <v>52</v>
      </c>
      <c r="H1601" s="16">
        <v>45085.0</v>
      </c>
      <c r="I1601" s="14">
        <v>36.0</v>
      </c>
      <c r="J1601" s="13" t="s">
        <v>53</v>
      </c>
      <c r="K1601" s="13" t="s">
        <v>41</v>
      </c>
      <c r="L1601" s="14">
        <v>1183.0</v>
      </c>
      <c r="M1601" s="18" t="s">
        <v>43</v>
      </c>
      <c r="N1601" s="18" t="s">
        <v>98</v>
      </c>
      <c r="O1601" s="18">
        <v>18.4</v>
      </c>
      <c r="P1601" s="18" t="s">
        <v>89</v>
      </c>
      <c r="Q1601" s="16">
        <v>45563.0</v>
      </c>
      <c r="R1601" s="16" t="s">
        <v>38</v>
      </c>
      <c r="S1601" s="13" t="s">
        <v>55</v>
      </c>
      <c r="T1601" s="13" t="s">
        <v>47</v>
      </c>
      <c r="U1601" s="13">
        <f t="shared" si="1"/>
        <v>2</v>
      </c>
      <c r="V1601" s="13" t="str">
        <f t="shared" si="2"/>
        <v>C00131|Meera Kumar|38|South|Hyderabad|Standard|Facebook|6/8/2023|36|Quarterly|Upi|1,183|2|1|18.40|3.3|9/28/2024||Active|Cloud Storage</v>
      </c>
      <c r="W1601" s="13">
        <f t="shared" si="3"/>
        <v>1</v>
      </c>
      <c r="X1601" s="13">
        <f>IFERROR(__xludf.DUMMYFUNCTION("COUNTUNIQUE(FILTER($B$2:$B$1826,$A$2:$A$1826=A1601))"),2.0)</f>
        <v>2</v>
      </c>
    </row>
    <row r="1602">
      <c r="A1602" s="13" t="s">
        <v>1262</v>
      </c>
      <c r="B1602" s="13" t="s">
        <v>405</v>
      </c>
      <c r="C1602" s="14">
        <v>24.0</v>
      </c>
      <c r="D1602" s="13" t="s">
        <v>60</v>
      </c>
      <c r="E1602" s="13" t="s">
        <v>107</v>
      </c>
      <c r="F1602" s="13" t="s">
        <v>62</v>
      </c>
      <c r="G1602" s="13" t="s">
        <v>52</v>
      </c>
      <c r="H1602" s="16">
        <v>45986.0</v>
      </c>
      <c r="I1602" s="14">
        <v>6.0</v>
      </c>
      <c r="J1602" s="13" t="s">
        <v>40</v>
      </c>
      <c r="K1602" s="13" t="s">
        <v>65</v>
      </c>
      <c r="L1602" s="14">
        <v>745.0</v>
      </c>
      <c r="M1602" s="18" t="s">
        <v>99</v>
      </c>
      <c r="N1602" s="18" t="s">
        <v>164</v>
      </c>
      <c r="O1602" s="18">
        <v>15.1</v>
      </c>
      <c r="P1602" s="18" t="s">
        <v>185</v>
      </c>
      <c r="Q1602" s="16">
        <v>46046.0</v>
      </c>
      <c r="R1602" s="16" t="s">
        <v>38</v>
      </c>
      <c r="S1602" s="13" t="s">
        <v>55</v>
      </c>
      <c r="T1602" s="13" t="s">
        <v>66</v>
      </c>
      <c r="U1602" s="13">
        <f t="shared" si="1"/>
        <v>4</v>
      </c>
      <c r="V1602" s="13" t="str">
        <f t="shared" si="2"/>
        <v>C00136|Rahul Reddy|24|East|Patna|Basic|Facebook|11/25/2025|6|Monthly|Credit Card|745|4|3|15.10|3.2|1/24/2026||Active|Automation</v>
      </c>
      <c r="W1602" s="13">
        <f t="shared" si="3"/>
        <v>1</v>
      </c>
      <c r="X1602" s="13">
        <f>IFERROR(__xludf.DUMMYFUNCTION("COUNTUNIQUE(FILTER($B$2:$B$1826,$A$2:$A$1826=A1602))"),4.0)</f>
        <v>4</v>
      </c>
    </row>
    <row r="1603">
      <c r="A1603" s="13" t="s">
        <v>2000</v>
      </c>
      <c r="B1603" s="13" t="s">
        <v>110</v>
      </c>
      <c r="C1603" s="14">
        <v>60.0</v>
      </c>
      <c r="D1603" s="13" t="s">
        <v>85</v>
      </c>
      <c r="E1603" s="13" t="s">
        <v>92</v>
      </c>
      <c r="F1603" s="13" t="s">
        <v>62</v>
      </c>
      <c r="G1603" s="13" t="s">
        <v>39</v>
      </c>
      <c r="H1603" s="16">
        <v>45971.0</v>
      </c>
      <c r="I1603" s="14">
        <v>1.0</v>
      </c>
      <c r="J1603" s="13" t="s">
        <v>53</v>
      </c>
      <c r="K1603" s="13" t="s">
        <v>65</v>
      </c>
      <c r="L1603" s="14">
        <v>797.0</v>
      </c>
      <c r="M1603" s="18" t="s">
        <v>1342</v>
      </c>
      <c r="N1603" s="18" t="s">
        <v>46</v>
      </c>
      <c r="O1603" s="18">
        <v>18.9</v>
      </c>
      <c r="P1603" s="18" t="s">
        <v>233</v>
      </c>
      <c r="Q1603" s="16">
        <v>45996.0</v>
      </c>
      <c r="R1603" s="16" t="s">
        <v>38</v>
      </c>
      <c r="S1603" s="13" t="s">
        <v>55</v>
      </c>
      <c r="T1603" s="13" t="s">
        <v>104</v>
      </c>
      <c r="U1603" s="13">
        <f t="shared" si="1"/>
        <v>2</v>
      </c>
      <c r="V1603" s="13" t="str">
        <f t="shared" si="2"/>
        <v>C00938|Sneha Nair|60|West|Ahmedabad|Basic|Instagram|11/10/2025|1|Quarterly|Credit Card|797|8|0|18.90|3.5|12/5/2025||Active|Analytics</v>
      </c>
      <c r="W1603" s="13">
        <f t="shared" si="3"/>
        <v>1</v>
      </c>
      <c r="X1603" s="13">
        <f>IFERROR(__xludf.DUMMYFUNCTION("COUNTUNIQUE(FILTER($B$2:$B$1826,$A$2:$A$1826=A1603))"),2.0)</f>
        <v>2</v>
      </c>
    </row>
    <row r="1604">
      <c r="A1604" s="13" t="s">
        <v>1813</v>
      </c>
      <c r="B1604" s="13" t="s">
        <v>163</v>
      </c>
      <c r="C1604" s="14">
        <v>24.0</v>
      </c>
      <c r="D1604" s="13" t="s">
        <v>69</v>
      </c>
      <c r="E1604" s="13" t="s">
        <v>70</v>
      </c>
      <c r="F1604" s="13" t="s">
        <v>37</v>
      </c>
      <c r="G1604" s="13" t="s">
        <v>128</v>
      </c>
      <c r="H1604" s="16">
        <v>45327.0</v>
      </c>
      <c r="I1604" s="14">
        <v>33.0</v>
      </c>
      <c r="J1604" s="13" t="s">
        <v>53</v>
      </c>
      <c r="K1604" s="13" t="s">
        <v>41</v>
      </c>
      <c r="L1604" s="14">
        <v>1739.0</v>
      </c>
      <c r="M1604" s="18" t="s">
        <v>98</v>
      </c>
      <c r="N1604" s="18" t="s">
        <v>46</v>
      </c>
      <c r="O1604" s="18">
        <v>12.2</v>
      </c>
      <c r="P1604" s="18" t="s">
        <v>173</v>
      </c>
      <c r="Q1604" s="16">
        <v>45885.0</v>
      </c>
      <c r="R1604" s="16" t="s">
        <v>38</v>
      </c>
      <c r="S1604" s="13" t="s">
        <v>55</v>
      </c>
      <c r="T1604" s="13" t="s">
        <v>66</v>
      </c>
      <c r="U1604" s="13">
        <f t="shared" si="1"/>
        <v>2</v>
      </c>
      <c r="V1604" s="13" t="str">
        <f t="shared" si="2"/>
        <v>C01053|Sneha Singh|24|South|Bengaluru|Standard|Youtube|2/5/2024|33|Quarterly|Upi|1,739|1|0|12.20|5|8/16/2025||Active|Automation</v>
      </c>
      <c r="W1604" s="13">
        <f t="shared" si="3"/>
        <v>1</v>
      </c>
      <c r="X1604" s="13">
        <f>IFERROR(__xludf.DUMMYFUNCTION("COUNTUNIQUE(FILTER($B$2:$B$1826,$A$2:$A$1826=A1604))"),2.0)</f>
        <v>2</v>
      </c>
    </row>
    <row r="1605">
      <c r="A1605" s="13" t="s">
        <v>2077</v>
      </c>
      <c r="B1605" s="13" t="s">
        <v>345</v>
      </c>
      <c r="C1605" s="14">
        <v>54.0</v>
      </c>
      <c r="D1605" s="13" t="s">
        <v>60</v>
      </c>
      <c r="E1605" s="13" t="s">
        <v>61</v>
      </c>
      <c r="F1605" s="13" t="s">
        <v>79</v>
      </c>
      <c r="G1605" s="13" t="s">
        <v>210</v>
      </c>
      <c r="H1605" s="16">
        <v>45030.0</v>
      </c>
      <c r="I1605" s="14">
        <v>28.0</v>
      </c>
      <c r="J1605" s="13" t="s">
        <v>40</v>
      </c>
      <c r="K1605" s="13" t="s">
        <v>81</v>
      </c>
      <c r="L1605" s="14">
        <v>3291.0</v>
      </c>
      <c r="M1605" s="18" t="s">
        <v>98</v>
      </c>
      <c r="N1605" s="18" t="s">
        <v>98</v>
      </c>
      <c r="O1605" s="18">
        <v>35.0</v>
      </c>
      <c r="P1605" s="18" t="s">
        <v>130</v>
      </c>
      <c r="Q1605" s="16">
        <v>45146.0</v>
      </c>
      <c r="R1605" s="16" t="s">
        <v>38</v>
      </c>
      <c r="S1605" s="13" t="s">
        <v>55</v>
      </c>
      <c r="T1605" s="13" t="s">
        <v>75</v>
      </c>
      <c r="U1605" s="13">
        <f t="shared" si="1"/>
        <v>1</v>
      </c>
      <c r="V1605" s="13" t="str">
        <f t="shared" si="2"/>
        <v>C00173|Arun Nair|54|East|Kolkata|Premium|Referral|4/14/2023|28|Monthly|Debit Card|3,291|1|1|35.00|3.9|8/8/2023||Active|Security</v>
      </c>
      <c r="W1605" s="13">
        <f t="shared" si="3"/>
        <v>1</v>
      </c>
      <c r="X1605" s="13">
        <f>IFERROR(__xludf.DUMMYFUNCTION("COUNTUNIQUE(FILTER($B$2:$B$1826,$A$2:$A$1826=A1605))"),1.0)</f>
        <v>1</v>
      </c>
    </row>
    <row r="1606">
      <c r="A1606" s="13" t="s">
        <v>991</v>
      </c>
      <c r="B1606" s="13" t="s">
        <v>308</v>
      </c>
      <c r="C1606" s="14">
        <v>28.0</v>
      </c>
      <c r="D1606" s="13" t="s">
        <v>35</v>
      </c>
      <c r="E1606" s="13" t="s">
        <v>140</v>
      </c>
      <c r="F1606" s="13" t="s">
        <v>37</v>
      </c>
      <c r="G1606" s="13" t="s">
        <v>210</v>
      </c>
      <c r="H1606" s="16">
        <v>45428.0</v>
      </c>
      <c r="I1606" s="14">
        <v>20.0</v>
      </c>
      <c r="J1606" s="13" t="s">
        <v>53</v>
      </c>
      <c r="K1606" s="13" t="s">
        <v>81</v>
      </c>
      <c r="L1606" s="14">
        <v>1464.0</v>
      </c>
      <c r="M1606" s="18" t="s">
        <v>43</v>
      </c>
      <c r="N1606" s="18" t="s">
        <v>46</v>
      </c>
      <c r="O1606" s="18">
        <v>26.7</v>
      </c>
      <c r="P1606" s="18" t="s">
        <v>158</v>
      </c>
      <c r="Q1606" s="16">
        <v>45492.0</v>
      </c>
      <c r="R1606" s="16" t="s">
        <v>38</v>
      </c>
      <c r="S1606" s="13" t="s">
        <v>55</v>
      </c>
      <c r="T1606" s="13" t="s">
        <v>47</v>
      </c>
      <c r="U1606" s="13">
        <f t="shared" si="1"/>
        <v>4</v>
      </c>
      <c r="V1606" s="13" t="str">
        <f t="shared" si="2"/>
        <v>C00200|Karan Kumar|28|North|Lucknow|Standard|Referral|5/16/2024|20|Quarterly|Debit Card|1,464|2|0|26.70|4.7|7/19/2024||Active|Cloud Storage</v>
      </c>
      <c r="W1606" s="13">
        <f t="shared" si="3"/>
        <v>1</v>
      </c>
      <c r="X1606" s="13">
        <f>IFERROR(__xludf.DUMMYFUNCTION("COUNTUNIQUE(FILTER($B$2:$B$1826,$A$2:$A$1826=A1606))"),4.0)</f>
        <v>4</v>
      </c>
    </row>
    <row r="1607">
      <c r="A1607" s="13" t="s">
        <v>2078</v>
      </c>
      <c r="B1607" s="13" t="s">
        <v>424</v>
      </c>
      <c r="C1607" s="14">
        <v>30.0</v>
      </c>
      <c r="D1607" s="13" t="s">
        <v>35</v>
      </c>
      <c r="E1607" s="13" t="s">
        <v>161</v>
      </c>
      <c r="F1607" s="13" t="s">
        <v>79</v>
      </c>
      <c r="G1607" s="13" t="s">
        <v>39</v>
      </c>
      <c r="H1607" s="16">
        <v>46009.0</v>
      </c>
      <c r="I1607" s="14">
        <v>48.0</v>
      </c>
      <c r="J1607" s="13" t="s">
        <v>64</v>
      </c>
      <c r="K1607" s="13" t="s">
        <v>65</v>
      </c>
      <c r="L1607" s="14">
        <v>2107.0</v>
      </c>
      <c r="M1607" s="18" t="s">
        <v>46</v>
      </c>
      <c r="N1607" s="18" t="s">
        <v>98</v>
      </c>
      <c r="O1607" s="18">
        <v>38.1</v>
      </c>
      <c r="P1607" s="18" t="s">
        <v>48</v>
      </c>
      <c r="Q1607" s="16">
        <v>46397.0</v>
      </c>
      <c r="R1607" s="16" t="s">
        <v>38</v>
      </c>
      <c r="S1607" s="13" t="s">
        <v>55</v>
      </c>
      <c r="T1607" s="13" t="s">
        <v>72</v>
      </c>
      <c r="U1607" s="13">
        <f t="shared" si="1"/>
        <v>1</v>
      </c>
      <c r="V1607" s="13" t="str">
        <f t="shared" si="2"/>
        <v>C00501|Neha Kumar|30|North|Chandigarh|Premium|Instagram|12/18/2025|48|Annual|Credit Card|2,107|0|1|38.10|3.6|1/10/2027||Active|Collaboration</v>
      </c>
      <c r="W1607" s="13">
        <f t="shared" si="3"/>
        <v>1</v>
      </c>
      <c r="X1607" s="13">
        <f>IFERROR(__xludf.DUMMYFUNCTION("COUNTUNIQUE(FILTER($B$2:$B$1826,$A$2:$A$1826=A1607))"),1.0)</f>
        <v>1</v>
      </c>
    </row>
    <row r="1608">
      <c r="A1608" s="13" t="s">
        <v>936</v>
      </c>
      <c r="B1608" s="13" t="s">
        <v>202</v>
      </c>
      <c r="C1608" s="14">
        <v>45.0</v>
      </c>
      <c r="D1608" s="13" t="s">
        <v>60</v>
      </c>
      <c r="E1608" s="13" t="s">
        <v>61</v>
      </c>
      <c r="F1608" s="13" t="s">
        <v>37</v>
      </c>
      <c r="G1608" s="13" t="s">
        <v>128</v>
      </c>
      <c r="H1608" s="16">
        <v>44844.0</v>
      </c>
      <c r="I1608" s="14">
        <v>11.0</v>
      </c>
      <c r="J1608" s="13" t="s">
        <v>53</v>
      </c>
      <c r="K1608" s="13" t="s">
        <v>41</v>
      </c>
      <c r="L1608" s="14">
        <v>1097.0</v>
      </c>
      <c r="M1608" s="18" t="s">
        <v>43</v>
      </c>
      <c r="N1608" s="18" t="s">
        <v>46</v>
      </c>
      <c r="O1608" s="18">
        <v>21.6</v>
      </c>
      <c r="P1608" s="18" t="s">
        <v>185</v>
      </c>
      <c r="Q1608" s="16">
        <v>44932.0</v>
      </c>
      <c r="R1608" s="16" t="s">
        <v>38</v>
      </c>
      <c r="S1608" s="13" t="s">
        <v>55</v>
      </c>
      <c r="T1608" s="13" t="s">
        <v>104</v>
      </c>
      <c r="U1608" s="13">
        <f t="shared" si="1"/>
        <v>2</v>
      </c>
      <c r="V1608" s="13" t="str">
        <f t="shared" si="2"/>
        <v>C01326|Arun Das|45|East|Kolkata|Standard|Youtube|10/10/2022|11|Quarterly|Upi|1,097|2|0|21.60|3.2|1/6/2023||Active|Analytics</v>
      </c>
      <c r="W1608" s="13">
        <f t="shared" si="3"/>
        <v>1</v>
      </c>
      <c r="X1608" s="13">
        <f>IFERROR(__xludf.DUMMYFUNCTION("COUNTUNIQUE(FILTER($B$2:$B$1826,$A$2:$A$1826=A1608))"),2.0)</f>
        <v>2</v>
      </c>
    </row>
    <row r="1609">
      <c r="A1609" s="13" t="s">
        <v>1625</v>
      </c>
      <c r="B1609" s="13" t="s">
        <v>459</v>
      </c>
      <c r="C1609" s="14">
        <v>27.0</v>
      </c>
      <c r="D1609" s="13" t="s">
        <v>35</v>
      </c>
      <c r="E1609" s="13" t="s">
        <v>161</v>
      </c>
      <c r="F1609" s="13" t="s">
        <v>62</v>
      </c>
      <c r="G1609" s="13" t="s">
        <v>80</v>
      </c>
      <c r="H1609" s="16">
        <v>45721.0</v>
      </c>
      <c r="I1609" s="14">
        <v>10.0</v>
      </c>
      <c r="J1609" s="13" t="s">
        <v>40</v>
      </c>
      <c r="K1609" s="13" t="s">
        <v>41</v>
      </c>
      <c r="L1609" s="14">
        <v>704.0</v>
      </c>
      <c r="M1609" s="18" t="s">
        <v>164</v>
      </c>
      <c r="N1609" s="18" t="s">
        <v>46</v>
      </c>
      <c r="O1609" s="18">
        <v>14.9</v>
      </c>
      <c r="P1609" s="18" t="s">
        <v>76</v>
      </c>
      <c r="Q1609" s="16">
        <v>45858.0</v>
      </c>
      <c r="R1609" s="16" t="s">
        <v>38</v>
      </c>
      <c r="S1609" s="13" t="s">
        <v>55</v>
      </c>
      <c r="T1609" s="13" t="s">
        <v>72</v>
      </c>
      <c r="U1609" s="13">
        <f t="shared" si="1"/>
        <v>2</v>
      </c>
      <c r="V1609" s="13" t="str">
        <f t="shared" si="2"/>
        <v>C00646|Neha Patel|27|North|Chandigarh|Basic|Organic Search|3/5/2025|10|Monthly|Upi|704|3|0|14.90|4.4|7/20/2025||Active|Collaboration</v>
      </c>
      <c r="W1609" s="13">
        <f t="shared" si="3"/>
        <v>1</v>
      </c>
      <c r="X1609" s="13">
        <f>IFERROR(__xludf.DUMMYFUNCTION("COUNTUNIQUE(FILTER($B$2:$B$1826,$A$2:$A$1826=A1609))"),2.0)</f>
        <v>2</v>
      </c>
    </row>
    <row r="1610">
      <c r="A1610" s="13" t="s">
        <v>2079</v>
      </c>
      <c r="B1610" s="13" t="s">
        <v>651</v>
      </c>
      <c r="C1610" s="14">
        <v>61.0</v>
      </c>
      <c r="D1610" s="13" t="s">
        <v>35</v>
      </c>
      <c r="E1610" s="13" t="s">
        <v>161</v>
      </c>
      <c r="F1610" s="13" t="s">
        <v>62</v>
      </c>
      <c r="G1610" s="13" t="s">
        <v>80</v>
      </c>
      <c r="H1610" s="16">
        <v>44829.0</v>
      </c>
      <c r="I1610" s="14">
        <v>12.0</v>
      </c>
      <c r="J1610" s="13" t="s">
        <v>64</v>
      </c>
      <c r="K1610" s="13" t="s">
        <v>81</v>
      </c>
      <c r="L1610" s="14">
        <v>523.0</v>
      </c>
      <c r="M1610" s="18" t="s">
        <v>376</v>
      </c>
      <c r="N1610" s="18" t="s">
        <v>43</v>
      </c>
      <c r="O1610" s="18">
        <v>19.3</v>
      </c>
      <c r="P1610" s="18" t="s">
        <v>173</v>
      </c>
      <c r="Q1610" s="16">
        <v>44910.0</v>
      </c>
      <c r="R1610" s="16" t="s">
        <v>38</v>
      </c>
      <c r="S1610" s="13" t="s">
        <v>55</v>
      </c>
      <c r="T1610" s="13" t="s">
        <v>104</v>
      </c>
      <c r="U1610" s="13">
        <f t="shared" si="1"/>
        <v>1</v>
      </c>
      <c r="V1610" s="13" t="str">
        <f t="shared" si="2"/>
        <v>C00077|Arun Sharma|61|North|Chandigarh|Basic|Organic Search|9/25/2022|12|Annual|Debit Card|523|6|2|19.30|5|12/15/2022||Active|Analytics</v>
      </c>
      <c r="W1610" s="13">
        <f t="shared" si="3"/>
        <v>1</v>
      </c>
      <c r="X1610" s="13">
        <f>IFERROR(__xludf.DUMMYFUNCTION("COUNTUNIQUE(FILTER($B$2:$B$1826,$A$2:$A$1826=A1610))"),1.0)</f>
        <v>1</v>
      </c>
    </row>
    <row r="1611">
      <c r="A1611" s="13" t="s">
        <v>2080</v>
      </c>
      <c r="B1611" s="13" t="s">
        <v>68</v>
      </c>
      <c r="C1611" s="14">
        <v>52.0</v>
      </c>
      <c r="D1611" s="13" t="s">
        <v>35</v>
      </c>
      <c r="E1611" s="13" t="s">
        <v>51</v>
      </c>
      <c r="F1611" s="13" t="s">
        <v>62</v>
      </c>
      <c r="G1611" s="13" t="s">
        <v>210</v>
      </c>
      <c r="H1611" s="16">
        <v>44990.0</v>
      </c>
      <c r="I1611" s="14">
        <v>15.0</v>
      </c>
      <c r="J1611" s="13" t="s">
        <v>53</v>
      </c>
      <c r="K1611" s="13" t="s">
        <v>41</v>
      </c>
      <c r="L1611" s="14">
        <v>597.0</v>
      </c>
      <c r="M1611" s="18" t="s">
        <v>43</v>
      </c>
      <c r="N1611" s="18" t="s">
        <v>98</v>
      </c>
      <c r="O1611" s="18">
        <v>12.8</v>
      </c>
      <c r="P1611" s="18" t="s">
        <v>130</v>
      </c>
      <c r="Q1611" s="16">
        <v>45089.0</v>
      </c>
      <c r="R1611" s="16" t="s">
        <v>38</v>
      </c>
      <c r="S1611" s="13" t="s">
        <v>55</v>
      </c>
      <c r="T1611" s="13" t="s">
        <v>47</v>
      </c>
      <c r="U1611" s="13">
        <f t="shared" si="1"/>
        <v>2</v>
      </c>
      <c r="V1611" s="13" t="str">
        <f t="shared" si="2"/>
        <v>C00155|Anita Patel|52|North|Jaipur|Basic|Referral|3/5/2023|15|Quarterly|Upi|597|2|1|12.80|3.9|6/12/2023||Active|Cloud Storage</v>
      </c>
      <c r="W1611" s="13">
        <f t="shared" si="3"/>
        <v>1</v>
      </c>
      <c r="X1611" s="13">
        <f>IFERROR(__xludf.DUMMYFUNCTION("COUNTUNIQUE(FILTER($B$2:$B$1826,$A$2:$A$1826=A1611))"),2.0)</f>
        <v>2</v>
      </c>
    </row>
    <row r="1612">
      <c r="A1612" s="13" t="s">
        <v>1238</v>
      </c>
      <c r="B1612" s="13" t="s">
        <v>476</v>
      </c>
      <c r="C1612" s="14">
        <v>38.0</v>
      </c>
      <c r="D1612" s="13" t="s">
        <v>69</v>
      </c>
      <c r="E1612" s="13" t="s">
        <v>177</v>
      </c>
      <c r="F1612" s="13" t="s">
        <v>62</v>
      </c>
      <c r="G1612" s="13" t="s">
        <v>128</v>
      </c>
      <c r="H1612" s="16">
        <v>45405.0</v>
      </c>
      <c r="I1612" s="14">
        <v>44.0</v>
      </c>
      <c r="J1612" s="13" t="s">
        <v>53</v>
      </c>
      <c r="K1612" s="13" t="s">
        <v>81</v>
      </c>
      <c r="L1612" s="14">
        <v>563.0</v>
      </c>
      <c r="M1612" s="18" t="s">
        <v>164</v>
      </c>
      <c r="N1612" s="18" t="s">
        <v>98</v>
      </c>
      <c r="O1612" s="18">
        <v>12.5</v>
      </c>
      <c r="P1612" s="18" t="s">
        <v>48</v>
      </c>
      <c r="Q1612" s="16">
        <v>45795.0</v>
      </c>
      <c r="R1612" s="16" t="s">
        <v>38</v>
      </c>
      <c r="S1612" s="13" t="s">
        <v>55</v>
      </c>
      <c r="T1612" s="13" t="s">
        <v>75</v>
      </c>
      <c r="U1612" s="13">
        <f t="shared" si="1"/>
        <v>2</v>
      </c>
      <c r="V1612" s="13" t="str">
        <f t="shared" si="2"/>
        <v>C00325|Ravi Das|38|South|Hyderabad|Basic|Youtube|4/23/2024|44|Quarterly|Debit Card|563|3|1|12.50|3.6|5/18/2025||Active|Security</v>
      </c>
      <c r="W1612" s="13">
        <f t="shared" si="3"/>
        <v>1</v>
      </c>
      <c r="X1612" s="13">
        <f>IFERROR(__xludf.DUMMYFUNCTION("COUNTUNIQUE(FILTER($B$2:$B$1826,$A$2:$A$1826=A1612))"),2.0)</f>
        <v>2</v>
      </c>
    </row>
    <row r="1613">
      <c r="A1613" s="13" t="s">
        <v>982</v>
      </c>
      <c r="B1613" s="13" t="s">
        <v>448</v>
      </c>
      <c r="C1613" s="14">
        <v>34.0</v>
      </c>
      <c r="D1613" s="13" t="s">
        <v>35</v>
      </c>
      <c r="E1613" s="13" t="s">
        <v>51</v>
      </c>
      <c r="F1613" s="13" t="s">
        <v>62</v>
      </c>
      <c r="G1613" s="13" t="s">
        <v>80</v>
      </c>
      <c r="H1613" s="16">
        <v>45442.0</v>
      </c>
      <c r="I1613" s="14">
        <v>28.0</v>
      </c>
      <c r="J1613" s="13" t="s">
        <v>53</v>
      </c>
      <c r="K1613" s="13" t="s">
        <v>65</v>
      </c>
      <c r="L1613" s="14">
        <v>588.0</v>
      </c>
      <c r="M1613" s="18" t="s">
        <v>43</v>
      </c>
      <c r="N1613" s="18" t="s">
        <v>43</v>
      </c>
      <c r="O1613" s="18">
        <v>20.2</v>
      </c>
      <c r="P1613" s="18" t="s">
        <v>173</v>
      </c>
      <c r="Q1613" s="16">
        <v>46199.0</v>
      </c>
      <c r="R1613" s="16" t="s">
        <v>38</v>
      </c>
      <c r="S1613" s="13" t="s">
        <v>55</v>
      </c>
      <c r="T1613" s="13" t="s">
        <v>75</v>
      </c>
      <c r="U1613" s="13">
        <f t="shared" si="1"/>
        <v>2</v>
      </c>
      <c r="V1613" s="13" t="str">
        <f t="shared" si="2"/>
        <v>C00877|Meera Reddy|34|North|Jaipur|Basic|Organic Search|5/30/2024|28|Quarterly|Credit Card|588|2|2|20.20|5|6/26/2026||Active|Security</v>
      </c>
      <c r="W1613" s="13">
        <f t="shared" si="3"/>
        <v>1</v>
      </c>
      <c r="X1613" s="13">
        <f>IFERROR(__xludf.DUMMYFUNCTION("COUNTUNIQUE(FILTER($B$2:$B$1826,$A$2:$A$1826=A1613))"),2.0)</f>
        <v>2</v>
      </c>
    </row>
    <row r="1614">
      <c r="A1614" s="13" t="s">
        <v>894</v>
      </c>
      <c r="B1614" s="13" t="s">
        <v>633</v>
      </c>
      <c r="C1614" s="14">
        <v>68.0</v>
      </c>
      <c r="D1614" s="13" t="s">
        <v>69</v>
      </c>
      <c r="E1614" s="13" t="s">
        <v>177</v>
      </c>
      <c r="F1614" s="13" t="s">
        <v>37</v>
      </c>
      <c r="G1614" s="13" t="s">
        <v>80</v>
      </c>
      <c r="H1614" s="16">
        <v>45866.0</v>
      </c>
      <c r="I1614" s="14">
        <v>41.0</v>
      </c>
      <c r="J1614" s="13" t="s">
        <v>40</v>
      </c>
      <c r="K1614" s="13" t="s">
        <v>65</v>
      </c>
      <c r="L1614" s="14">
        <v>1482.0</v>
      </c>
      <c r="M1614" s="18" t="s">
        <v>164</v>
      </c>
      <c r="N1614" s="18" t="s">
        <v>43</v>
      </c>
      <c r="O1614" s="18">
        <v>16.1</v>
      </c>
      <c r="P1614" s="18" t="s">
        <v>368</v>
      </c>
      <c r="Q1614" s="16" t="s">
        <v>38</v>
      </c>
      <c r="R1614" s="16" t="s">
        <v>38</v>
      </c>
      <c r="S1614" s="13" t="s">
        <v>55</v>
      </c>
      <c r="T1614" s="13" t="s">
        <v>47</v>
      </c>
      <c r="U1614" s="13">
        <f t="shared" si="1"/>
        <v>2</v>
      </c>
      <c r="V1614" s="13" t="str">
        <f t="shared" si="2"/>
        <v>C01281|Anita Das|68|South|Hyderabad|Standard|Organic Search|7/28/2025|41|Monthly|Credit Card|1,482|3|2|16.10|4.9|||Active|Cloud Storage</v>
      </c>
      <c r="W1614" s="13">
        <f t="shared" si="3"/>
        <v>1</v>
      </c>
      <c r="X1614" s="13">
        <f>IFERROR(__xludf.DUMMYFUNCTION("COUNTUNIQUE(FILTER($B$2:$B$1826,$A$2:$A$1826=A1614))"),2.0)</f>
        <v>2</v>
      </c>
    </row>
    <row r="1615">
      <c r="A1615" s="13" t="s">
        <v>988</v>
      </c>
      <c r="B1615" s="13" t="s">
        <v>179</v>
      </c>
      <c r="C1615" s="14">
        <v>58.0</v>
      </c>
      <c r="D1615" s="13" t="s">
        <v>85</v>
      </c>
      <c r="E1615" s="13" t="s">
        <v>92</v>
      </c>
      <c r="F1615" s="13" t="s">
        <v>37</v>
      </c>
      <c r="G1615" s="13" t="s">
        <v>80</v>
      </c>
      <c r="H1615" s="16">
        <v>44697.0</v>
      </c>
      <c r="I1615" s="14">
        <v>18.0</v>
      </c>
      <c r="J1615" s="13" t="s">
        <v>53</v>
      </c>
      <c r="K1615" s="13" t="s">
        <v>41</v>
      </c>
      <c r="L1615" s="14">
        <v>1160.0</v>
      </c>
      <c r="M1615" s="18" t="s">
        <v>164</v>
      </c>
      <c r="N1615" s="18" t="s">
        <v>43</v>
      </c>
      <c r="O1615" s="18">
        <v>24.0</v>
      </c>
      <c r="P1615" s="18" t="s">
        <v>164</v>
      </c>
      <c r="Q1615" s="16">
        <v>44959.0</v>
      </c>
      <c r="R1615" s="16" t="s">
        <v>38</v>
      </c>
      <c r="S1615" s="13" t="s">
        <v>55</v>
      </c>
      <c r="T1615" s="13" t="s">
        <v>72</v>
      </c>
      <c r="U1615" s="13">
        <f t="shared" si="1"/>
        <v>2</v>
      </c>
      <c r="V1615" s="13" t="str">
        <f t="shared" si="2"/>
        <v>C00786|Ravi Kumar|58|West|Ahmedabad|Standard|Organic Search|5/16/2022|18|Quarterly|Upi|1,160|3|2|24.00|3|2/2/2023||Active|Collaboration</v>
      </c>
      <c r="W1615" s="13">
        <f t="shared" si="3"/>
        <v>1</v>
      </c>
      <c r="X1615" s="13">
        <f>IFERROR(__xludf.DUMMYFUNCTION("COUNTUNIQUE(FILTER($B$2:$B$1826,$A$2:$A$1826=A1615))"),2.0)</f>
        <v>2</v>
      </c>
    </row>
    <row r="1616">
      <c r="A1616" s="13" t="s">
        <v>1316</v>
      </c>
      <c r="B1616" s="13" t="s">
        <v>169</v>
      </c>
      <c r="C1616" s="14">
        <v>68.0</v>
      </c>
      <c r="D1616" s="13" t="s">
        <v>85</v>
      </c>
      <c r="E1616" s="13" t="s">
        <v>133</v>
      </c>
      <c r="F1616" s="13" t="s">
        <v>37</v>
      </c>
      <c r="G1616" s="13" t="s">
        <v>210</v>
      </c>
      <c r="H1616" s="16">
        <v>45010.0</v>
      </c>
      <c r="I1616" s="14">
        <v>16.0</v>
      </c>
      <c r="J1616" s="13" t="s">
        <v>53</v>
      </c>
      <c r="K1616" s="13" t="s">
        <v>65</v>
      </c>
      <c r="L1616" s="14">
        <v>1713.0</v>
      </c>
      <c r="M1616" s="18" t="s">
        <v>173</v>
      </c>
      <c r="N1616" s="18" t="s">
        <v>46</v>
      </c>
      <c r="O1616" s="18">
        <v>29.4</v>
      </c>
      <c r="P1616" s="18" t="s">
        <v>701</v>
      </c>
      <c r="Q1616" s="16">
        <v>45101.0</v>
      </c>
      <c r="R1616" s="16" t="s">
        <v>38</v>
      </c>
      <c r="S1616" s="13" t="s">
        <v>55</v>
      </c>
      <c r="T1616" s="13" t="s">
        <v>75</v>
      </c>
      <c r="U1616" s="13">
        <f t="shared" si="1"/>
        <v>2</v>
      </c>
      <c r="V1616" s="13" t="str">
        <f t="shared" si="2"/>
        <v>C00216|Vikram Nair|68|West|Guwahati|Standard|Referral|3/25/2023|16|Quarterly|Credit Card|1,713|5|0|29.40|2.8|6/24/2023||Active|Security</v>
      </c>
      <c r="W1616" s="13">
        <f t="shared" si="3"/>
        <v>1</v>
      </c>
      <c r="X1616" s="13">
        <f>IFERROR(__xludf.DUMMYFUNCTION("COUNTUNIQUE(FILTER($B$2:$B$1826,$A$2:$A$1826=A1616))"),2.0)</f>
        <v>2</v>
      </c>
    </row>
    <row r="1617">
      <c r="A1617" s="13" t="s">
        <v>1961</v>
      </c>
      <c r="B1617" s="13" t="s">
        <v>448</v>
      </c>
      <c r="C1617" s="14">
        <v>66.0</v>
      </c>
      <c r="D1617" s="13" t="s">
        <v>60</v>
      </c>
      <c r="E1617" s="13" t="s">
        <v>97</v>
      </c>
      <c r="F1617" s="13" t="s">
        <v>62</v>
      </c>
      <c r="G1617" s="13" t="s">
        <v>80</v>
      </c>
      <c r="H1617" s="16">
        <v>45750.0</v>
      </c>
      <c r="I1617" s="14">
        <v>45.0</v>
      </c>
      <c r="J1617" s="13" t="s">
        <v>40</v>
      </c>
      <c r="K1617" s="13" t="s">
        <v>41</v>
      </c>
      <c r="L1617" s="14">
        <v>707.0</v>
      </c>
      <c r="M1617" s="18" t="s">
        <v>98</v>
      </c>
      <c r="N1617" s="18" t="s">
        <v>43</v>
      </c>
      <c r="O1617" s="18">
        <v>14.8</v>
      </c>
      <c r="P1617" s="18" t="s">
        <v>916</v>
      </c>
      <c r="Q1617" s="16">
        <v>47058.0</v>
      </c>
      <c r="R1617" s="16" t="s">
        <v>38</v>
      </c>
      <c r="S1617" s="13" t="s">
        <v>45</v>
      </c>
      <c r="T1617" s="13" t="s">
        <v>72</v>
      </c>
      <c r="U1617" s="13">
        <f t="shared" si="1"/>
        <v>2</v>
      </c>
      <c r="V1617" s="13" t="str">
        <f t="shared" si="2"/>
        <v>C01474|Meera Reddy|66|East|Bhubaneswar|Basic|Organic Search|4/3/2025|45|Monthly|Upi|707|1|2|14.80|1.9|11/1/2028||Churned|Collaboration</v>
      </c>
      <c r="W1617" s="13">
        <f t="shared" si="3"/>
        <v>1</v>
      </c>
      <c r="X1617" s="13">
        <f>IFERROR(__xludf.DUMMYFUNCTION("COUNTUNIQUE(FILTER($B$2:$B$1826,$A$2:$A$1826=A1617))"),2.0)</f>
        <v>2</v>
      </c>
    </row>
    <row r="1618">
      <c r="A1618" s="13" t="s">
        <v>1617</v>
      </c>
      <c r="B1618" s="13" t="s">
        <v>801</v>
      </c>
      <c r="C1618" s="14">
        <v>66.0</v>
      </c>
      <c r="D1618" s="13" t="s">
        <v>85</v>
      </c>
      <c r="E1618" s="13" t="s">
        <v>87</v>
      </c>
      <c r="F1618" s="13" t="s">
        <v>79</v>
      </c>
      <c r="G1618" s="13" t="s">
        <v>39</v>
      </c>
      <c r="H1618" s="16">
        <v>45171.0</v>
      </c>
      <c r="I1618" s="14">
        <v>7.0</v>
      </c>
      <c r="J1618" s="13" t="s">
        <v>64</v>
      </c>
      <c r="K1618" s="13" t="s">
        <v>81</v>
      </c>
      <c r="L1618" s="14">
        <v>3311.0</v>
      </c>
      <c r="M1618" s="18" t="s">
        <v>46</v>
      </c>
      <c r="N1618" s="18" t="s">
        <v>43</v>
      </c>
      <c r="O1618" s="18">
        <v>39.7</v>
      </c>
      <c r="P1618" s="18" t="s">
        <v>456</v>
      </c>
      <c r="Q1618" s="16">
        <v>45298.0</v>
      </c>
      <c r="R1618" s="16" t="s">
        <v>38</v>
      </c>
      <c r="S1618" s="13" t="s">
        <v>55</v>
      </c>
      <c r="T1618" s="13" t="s">
        <v>47</v>
      </c>
      <c r="U1618" s="13">
        <f t="shared" si="1"/>
        <v>2</v>
      </c>
      <c r="V1618" s="13" t="str">
        <f t="shared" si="2"/>
        <v>C00415|Karan Singh|66|West|Surat|Premium|Instagram|9/2/2023|7|Annual|Debit Card|3,311|0|2|39.70|2.5|1/7/2024||Active|Cloud Storage</v>
      </c>
      <c r="W1618" s="13">
        <f t="shared" si="3"/>
        <v>1</v>
      </c>
      <c r="X1618" s="13">
        <f>IFERROR(__xludf.DUMMYFUNCTION("COUNTUNIQUE(FILTER($B$2:$B$1826,$A$2:$A$1826=A1618))"),2.0)</f>
        <v>2</v>
      </c>
    </row>
    <row r="1619">
      <c r="A1619" s="13" t="s">
        <v>2082</v>
      </c>
      <c r="B1619" s="13" t="s">
        <v>135</v>
      </c>
      <c r="C1619" s="14">
        <v>44.0</v>
      </c>
      <c r="D1619" s="13" t="s">
        <v>60</v>
      </c>
      <c r="E1619" s="13" t="s">
        <v>97</v>
      </c>
      <c r="F1619" s="13" t="s">
        <v>79</v>
      </c>
      <c r="G1619" s="13" t="s">
        <v>210</v>
      </c>
      <c r="H1619" s="16">
        <v>45403.0</v>
      </c>
      <c r="I1619" s="14">
        <v>36.0</v>
      </c>
      <c r="J1619" s="13" t="s">
        <v>64</v>
      </c>
      <c r="K1619" s="13" t="s">
        <v>81</v>
      </c>
      <c r="L1619" s="14">
        <v>2503.0</v>
      </c>
      <c r="M1619" s="18" t="s">
        <v>164</v>
      </c>
      <c r="N1619" s="18" t="s">
        <v>46</v>
      </c>
      <c r="O1619" s="18">
        <v>36.4</v>
      </c>
      <c r="P1619" s="18" t="s">
        <v>89</v>
      </c>
      <c r="Q1619" s="16">
        <v>45466.0</v>
      </c>
      <c r="R1619" s="16" t="s">
        <v>38</v>
      </c>
      <c r="S1619" s="13" t="s">
        <v>55</v>
      </c>
      <c r="T1619" s="13" t="s">
        <v>47</v>
      </c>
      <c r="U1619" s="13">
        <f t="shared" si="1"/>
        <v>1</v>
      </c>
      <c r="V1619" s="13" t="str">
        <f t="shared" si="2"/>
        <v>C00664|Karan Sharma|44|East|Bhubaneswar|Premium|Referral|4/21/2024|36|Annual|Debit Card|2,503|3|0|36.40|3.3|6/23/2024||Active|Cloud Storage</v>
      </c>
      <c r="W1619" s="13">
        <f t="shared" si="3"/>
        <v>1</v>
      </c>
      <c r="X1619" s="13">
        <f>IFERROR(__xludf.DUMMYFUNCTION("COUNTUNIQUE(FILTER($B$2:$B$1826,$A$2:$A$1826=A1619))"),1.0)</f>
        <v>1</v>
      </c>
    </row>
    <row r="1620">
      <c r="A1620" s="13" t="s">
        <v>2083</v>
      </c>
      <c r="B1620" s="13" t="s">
        <v>247</v>
      </c>
      <c r="C1620" s="14">
        <v>25.0</v>
      </c>
      <c r="D1620" s="13" t="s">
        <v>85</v>
      </c>
      <c r="E1620" s="13" t="s">
        <v>111</v>
      </c>
      <c r="F1620" s="13" t="s">
        <v>37</v>
      </c>
      <c r="G1620" s="13" t="s">
        <v>128</v>
      </c>
      <c r="H1620" s="16">
        <v>45680.0</v>
      </c>
      <c r="I1620" s="14">
        <v>43.0</v>
      </c>
      <c r="J1620" s="13" t="s">
        <v>53</v>
      </c>
      <c r="K1620" s="13" t="s">
        <v>81</v>
      </c>
      <c r="L1620" s="14">
        <v>1361.0</v>
      </c>
      <c r="M1620" s="18" t="s">
        <v>43</v>
      </c>
      <c r="N1620" s="18" t="s">
        <v>46</v>
      </c>
      <c r="O1620" s="18">
        <v>23.5</v>
      </c>
      <c r="P1620" s="18" t="s">
        <v>89</v>
      </c>
      <c r="Q1620" s="16">
        <v>46149.0</v>
      </c>
      <c r="R1620" s="16" t="s">
        <v>38</v>
      </c>
      <c r="S1620" s="13" t="s">
        <v>55</v>
      </c>
      <c r="T1620" s="13" t="s">
        <v>47</v>
      </c>
      <c r="U1620" s="13">
        <f t="shared" si="1"/>
        <v>1</v>
      </c>
      <c r="V1620" s="13" t="str">
        <f t="shared" si="2"/>
        <v>C00607|Ravi Sharma|25|West|Pune|Standard|Youtube|1/23/2025|43|Quarterly|Debit Card|1,361|2|0|23.50|3.3|5/7/2026||Active|Cloud Storage</v>
      </c>
      <c r="W1620" s="13">
        <f t="shared" si="3"/>
        <v>1</v>
      </c>
      <c r="X1620" s="13">
        <f>IFERROR(__xludf.DUMMYFUNCTION("COUNTUNIQUE(FILTER($B$2:$B$1826,$A$2:$A$1826=A1620))"),1.0)</f>
        <v>1</v>
      </c>
    </row>
    <row r="1621">
      <c r="A1621" s="13" t="s">
        <v>862</v>
      </c>
      <c r="B1621" s="13" t="s">
        <v>96</v>
      </c>
      <c r="C1621" s="14">
        <v>25.0</v>
      </c>
      <c r="D1621" s="13" t="s">
        <v>85</v>
      </c>
      <c r="E1621" s="13" t="s">
        <v>292</v>
      </c>
      <c r="F1621" s="13" t="s">
        <v>62</v>
      </c>
      <c r="G1621" s="13" t="s">
        <v>63</v>
      </c>
      <c r="H1621" s="16">
        <v>45580.0</v>
      </c>
      <c r="I1621" s="14">
        <v>14.0</v>
      </c>
      <c r="J1621" s="13" t="s">
        <v>53</v>
      </c>
      <c r="K1621" s="13" t="s">
        <v>81</v>
      </c>
      <c r="L1621" s="14" t="s">
        <v>38</v>
      </c>
      <c r="M1621" s="18" t="s">
        <v>43</v>
      </c>
      <c r="N1621" s="18" t="s">
        <v>43</v>
      </c>
      <c r="O1621" s="18">
        <v>21.0</v>
      </c>
      <c r="P1621" s="18" t="s">
        <v>408</v>
      </c>
      <c r="Q1621" s="16">
        <v>45943.0</v>
      </c>
      <c r="R1621" s="16" t="s">
        <v>38</v>
      </c>
      <c r="S1621" s="13" t="s">
        <v>55</v>
      </c>
      <c r="T1621" s="13" t="s">
        <v>66</v>
      </c>
      <c r="U1621" s="13">
        <f t="shared" si="1"/>
        <v>6</v>
      </c>
      <c r="V1621" s="13" t="str">
        <f t="shared" si="2"/>
        <v>C01423|Rahul Kumar|25|West|Mumbai|Basic|Google Ads|10/15/2024|14|Quarterly|Debit Card||2|2|21.00|4.2|10/13/2025||Active|Automation</v>
      </c>
      <c r="W1621" s="13">
        <f t="shared" si="3"/>
        <v>1</v>
      </c>
      <c r="X1621" s="13">
        <f>IFERROR(__xludf.DUMMYFUNCTION("COUNTUNIQUE(FILTER($B$2:$B$1826,$A$2:$A$1826=A1621))"),6.0)</f>
        <v>6</v>
      </c>
    </row>
    <row r="1622">
      <c r="A1622" s="13" t="s">
        <v>1164</v>
      </c>
      <c r="B1622" s="13" t="s">
        <v>139</v>
      </c>
      <c r="C1622" s="14">
        <v>31.0</v>
      </c>
      <c r="D1622" s="13" t="s">
        <v>85</v>
      </c>
      <c r="E1622" s="13" t="s">
        <v>292</v>
      </c>
      <c r="F1622" s="13" t="s">
        <v>37</v>
      </c>
      <c r="G1622" s="13" t="s">
        <v>39</v>
      </c>
      <c r="H1622" s="16">
        <v>45353.0</v>
      </c>
      <c r="I1622" s="14">
        <v>47.0</v>
      </c>
      <c r="J1622" s="13" t="s">
        <v>64</v>
      </c>
      <c r="K1622" s="13" t="s">
        <v>65</v>
      </c>
      <c r="L1622" s="14">
        <v>1119.0</v>
      </c>
      <c r="M1622" s="18" t="s">
        <v>98</v>
      </c>
      <c r="N1622" s="18" t="s">
        <v>46</v>
      </c>
      <c r="O1622" s="18">
        <v>31.6</v>
      </c>
      <c r="P1622" s="18" t="s">
        <v>408</v>
      </c>
      <c r="Q1622" s="16">
        <v>45613.0</v>
      </c>
      <c r="R1622" s="16" t="s">
        <v>38</v>
      </c>
      <c r="S1622" s="13" t="s">
        <v>55</v>
      </c>
      <c r="T1622" s="13" t="s">
        <v>75</v>
      </c>
      <c r="U1622" s="13">
        <f t="shared" si="1"/>
        <v>2</v>
      </c>
      <c r="V1622" s="13" t="str">
        <f t="shared" si="2"/>
        <v>C00868|Vikram Das|31|West|Mumbai|Standard|Instagram|3/2/2024|47|Annual|Credit Card|1,119|1|0|31.60|4.2|11/17/2024||Active|Security</v>
      </c>
      <c r="W1622" s="13">
        <f t="shared" si="3"/>
        <v>1</v>
      </c>
      <c r="X1622" s="13">
        <f>IFERROR(__xludf.DUMMYFUNCTION("COUNTUNIQUE(FILTER($B$2:$B$1826,$A$2:$A$1826=A1622))"),2.0)</f>
        <v>2</v>
      </c>
    </row>
    <row r="1623">
      <c r="A1623" s="13" t="s">
        <v>1132</v>
      </c>
      <c r="B1623" s="13" t="s">
        <v>184</v>
      </c>
      <c r="C1623" s="14">
        <v>67.0</v>
      </c>
      <c r="D1623" s="13" t="s">
        <v>69</v>
      </c>
      <c r="E1623" s="13" t="s">
        <v>177</v>
      </c>
      <c r="F1623" s="13" t="s">
        <v>37</v>
      </c>
      <c r="G1623" s="13" t="s">
        <v>128</v>
      </c>
      <c r="H1623" s="16">
        <v>44857.0</v>
      </c>
      <c r="I1623" s="14">
        <v>48.0</v>
      </c>
      <c r="J1623" s="13" t="s">
        <v>53</v>
      </c>
      <c r="K1623" s="13" t="s">
        <v>41</v>
      </c>
      <c r="L1623" s="14">
        <v>1167.0</v>
      </c>
      <c r="M1623" s="18" t="s">
        <v>164</v>
      </c>
      <c r="N1623" s="18" t="s">
        <v>43</v>
      </c>
      <c r="O1623" s="18">
        <v>30.6</v>
      </c>
      <c r="P1623" s="18" t="s">
        <v>185</v>
      </c>
      <c r="Q1623" s="16">
        <v>46305.0</v>
      </c>
      <c r="R1623" s="16" t="s">
        <v>38</v>
      </c>
      <c r="S1623" s="13" t="s">
        <v>55</v>
      </c>
      <c r="T1623" s="13" t="s">
        <v>47</v>
      </c>
      <c r="U1623" s="13">
        <f t="shared" si="1"/>
        <v>3</v>
      </c>
      <c r="V1623" s="13" t="str">
        <f t="shared" si="2"/>
        <v>C00813|Vikram Reddy|67|South|Hyderabad|Standard|Youtube|10/23/2022|48|Quarterly|Upi|1,167|3|2|30.60|3.2|10/10/2026||Active|Cloud Storage</v>
      </c>
      <c r="W1623" s="13">
        <f t="shared" si="3"/>
        <v>1</v>
      </c>
      <c r="X1623" s="13">
        <f>IFERROR(__xludf.DUMMYFUNCTION("COUNTUNIQUE(FILTER($B$2:$B$1826,$A$2:$A$1826=A1623))"),3.0)</f>
        <v>3</v>
      </c>
    </row>
    <row r="1624">
      <c r="A1624" s="13" t="s">
        <v>1366</v>
      </c>
      <c r="B1624" s="13" t="s">
        <v>247</v>
      </c>
      <c r="C1624" s="14">
        <v>61.0</v>
      </c>
      <c r="D1624" s="13" t="s">
        <v>35</v>
      </c>
      <c r="E1624" s="13" t="s">
        <v>140</v>
      </c>
      <c r="F1624" s="13" t="s">
        <v>37</v>
      </c>
      <c r="G1624" s="13" t="s">
        <v>80</v>
      </c>
      <c r="H1624" s="16">
        <v>45767.0</v>
      </c>
      <c r="I1624" s="14">
        <v>41.0</v>
      </c>
      <c r="J1624" s="13" t="s">
        <v>40</v>
      </c>
      <c r="K1624" s="13" t="s">
        <v>41</v>
      </c>
      <c r="L1624" s="14">
        <v>504.0</v>
      </c>
      <c r="M1624" s="18" t="s">
        <v>164</v>
      </c>
      <c r="N1624" s="18" t="s">
        <v>98</v>
      </c>
      <c r="O1624" s="18">
        <v>12.3</v>
      </c>
      <c r="P1624" s="18" t="s">
        <v>400</v>
      </c>
      <c r="Q1624" s="16">
        <v>46949.0</v>
      </c>
      <c r="R1624" s="16">
        <v>46245.0</v>
      </c>
      <c r="S1624" s="13" t="s">
        <v>45</v>
      </c>
      <c r="T1624" s="13" t="s">
        <v>75</v>
      </c>
      <c r="U1624" s="13">
        <f t="shared" si="1"/>
        <v>3</v>
      </c>
      <c r="V1624" s="13" t="str">
        <f t="shared" si="2"/>
        <v>C01225|Ravi Sharma|61|North|Lucknow|Standard|Organic Search|4/20/2025|41|Monthly|Upi|504|3|1|12.30|4.8|7/15/2028|8/11/2026|Churned|Security</v>
      </c>
      <c r="W1624" s="13">
        <f t="shared" si="3"/>
        <v>1</v>
      </c>
      <c r="X1624" s="13">
        <f>IFERROR(__xludf.DUMMYFUNCTION("COUNTUNIQUE(FILTER($B$2:$B$1826,$A$2:$A$1826=A1624))"),3.0)</f>
        <v>3</v>
      </c>
    </row>
    <row r="1625">
      <c r="A1625" s="13" t="s">
        <v>1812</v>
      </c>
      <c r="B1625" s="13" t="s">
        <v>395</v>
      </c>
      <c r="C1625" s="14">
        <v>32.0</v>
      </c>
      <c r="D1625" s="13" t="s">
        <v>85</v>
      </c>
      <c r="E1625" s="13" t="s">
        <v>92</v>
      </c>
      <c r="F1625" s="13" t="s">
        <v>37</v>
      </c>
      <c r="G1625" s="13" t="s">
        <v>63</v>
      </c>
      <c r="H1625" s="16">
        <v>45832.0</v>
      </c>
      <c r="I1625" s="14">
        <v>27.0</v>
      </c>
      <c r="J1625" s="13" t="s">
        <v>53</v>
      </c>
      <c r="K1625" s="13" t="s">
        <v>41</v>
      </c>
      <c r="L1625" s="14">
        <v>1025.0</v>
      </c>
      <c r="M1625" s="18" t="s">
        <v>98</v>
      </c>
      <c r="N1625" s="18" t="s">
        <v>46</v>
      </c>
      <c r="O1625" s="18">
        <v>46.2</v>
      </c>
      <c r="P1625" s="18" t="s">
        <v>164</v>
      </c>
      <c r="Q1625" s="16">
        <v>46540.0</v>
      </c>
      <c r="R1625" s="16" t="s">
        <v>38</v>
      </c>
      <c r="S1625" s="13" t="s">
        <v>55</v>
      </c>
      <c r="T1625" s="13" t="s">
        <v>66</v>
      </c>
      <c r="U1625" s="13">
        <f t="shared" si="1"/>
        <v>3</v>
      </c>
      <c r="V1625" s="13" t="str">
        <f t="shared" si="2"/>
        <v>C01439|Ravi Singh|32|West|Ahmedabad|Standard|Google Ads|6/24/2025|27|Quarterly|Upi|1,025|1|0|46.20|3|6/2/2027||Active|Automation</v>
      </c>
      <c r="W1625" s="13">
        <f t="shared" si="3"/>
        <v>1</v>
      </c>
      <c r="X1625" s="13">
        <f>IFERROR(__xludf.DUMMYFUNCTION("COUNTUNIQUE(FILTER($B$2:$B$1826,$A$2:$A$1826=A1625))"),3.0)</f>
        <v>3</v>
      </c>
    </row>
    <row r="1626">
      <c r="A1626" s="13" t="s">
        <v>1878</v>
      </c>
      <c r="B1626" s="13" t="s">
        <v>232</v>
      </c>
      <c r="C1626" s="14">
        <v>65.0</v>
      </c>
      <c r="D1626" s="13" t="s">
        <v>35</v>
      </c>
      <c r="E1626" s="13" t="s">
        <v>36</v>
      </c>
      <c r="F1626" s="13" t="s">
        <v>79</v>
      </c>
      <c r="G1626" s="13" t="s">
        <v>63</v>
      </c>
      <c r="H1626" s="16">
        <v>44909.0</v>
      </c>
      <c r="I1626" s="14">
        <v>23.0</v>
      </c>
      <c r="J1626" s="13" t="s">
        <v>64</v>
      </c>
      <c r="K1626" s="13" t="s">
        <v>41</v>
      </c>
      <c r="L1626" s="14">
        <v>2231.0</v>
      </c>
      <c r="M1626" s="18" t="s">
        <v>43</v>
      </c>
      <c r="N1626" s="18" t="s">
        <v>164</v>
      </c>
      <c r="O1626" s="18">
        <v>35.5</v>
      </c>
      <c r="P1626" s="18" t="s">
        <v>164</v>
      </c>
      <c r="Q1626" s="16">
        <v>45329.0</v>
      </c>
      <c r="R1626" s="16" t="s">
        <v>2085</v>
      </c>
      <c r="S1626" s="13" t="s">
        <v>45</v>
      </c>
      <c r="T1626" s="13" t="s">
        <v>104</v>
      </c>
      <c r="U1626" s="13">
        <f t="shared" si="1"/>
        <v>3</v>
      </c>
      <c r="V1626" s="13" t="str">
        <f t="shared" si="2"/>
        <v>C00228|Meera Iyer|65|North|Delhi|Premium|Google Ads|12/14/2022|23|Annual|Upi|2,231|2|3|35.50|3|2/7/2024|22/09/2023|Churned|Analytics</v>
      </c>
      <c r="W1626" s="13">
        <f t="shared" si="3"/>
        <v>1</v>
      </c>
      <c r="X1626" s="13">
        <f>IFERROR(__xludf.DUMMYFUNCTION("COUNTUNIQUE(FILTER($B$2:$B$1826,$A$2:$A$1826=A1626))"),3.0)</f>
        <v>3</v>
      </c>
    </row>
    <row r="1627">
      <c r="A1627" s="13" t="s">
        <v>771</v>
      </c>
      <c r="B1627" s="13" t="s">
        <v>398</v>
      </c>
      <c r="C1627" s="14">
        <v>37.0</v>
      </c>
      <c r="D1627" s="13" t="s">
        <v>69</v>
      </c>
      <c r="E1627" s="13" t="s">
        <v>187</v>
      </c>
      <c r="F1627" s="13" t="s">
        <v>62</v>
      </c>
      <c r="G1627" s="13" t="s">
        <v>210</v>
      </c>
      <c r="H1627" s="16">
        <v>45003.0</v>
      </c>
      <c r="I1627" s="14">
        <v>31.0</v>
      </c>
      <c r="J1627" s="13" t="s">
        <v>40</v>
      </c>
      <c r="K1627" s="13" t="s">
        <v>81</v>
      </c>
      <c r="L1627" s="14">
        <v>713.0</v>
      </c>
      <c r="M1627" s="18" t="s">
        <v>98</v>
      </c>
      <c r="N1627" s="18" t="s">
        <v>46</v>
      </c>
      <c r="O1627" s="18">
        <v>17.2</v>
      </c>
      <c r="P1627" s="18" t="s">
        <v>456</v>
      </c>
      <c r="Q1627" s="16">
        <v>45832.0</v>
      </c>
      <c r="R1627" s="16" t="s">
        <v>1517</v>
      </c>
      <c r="S1627" s="13" t="s">
        <v>45</v>
      </c>
      <c r="T1627" s="13" t="s">
        <v>66</v>
      </c>
      <c r="U1627" s="13">
        <f t="shared" si="1"/>
        <v>2</v>
      </c>
      <c r="V1627" s="13" t="str">
        <f t="shared" si="2"/>
        <v>C00399|Vikram Sharma|37|South|Chennai|Basic|Referral|3/18/2023|31|Monthly|Debit Card|713|1|0|17.20|2.5|6/24/2025|13/11/2023|Churned|Automation</v>
      </c>
      <c r="W1627" s="13">
        <f t="shared" si="3"/>
        <v>1</v>
      </c>
      <c r="X1627" s="13">
        <f>IFERROR(__xludf.DUMMYFUNCTION("COUNTUNIQUE(FILTER($B$2:$B$1826,$A$2:$A$1826=A1627))"),2.0)</f>
        <v>2</v>
      </c>
    </row>
    <row r="1628">
      <c r="A1628" s="13" t="s">
        <v>1834</v>
      </c>
      <c r="B1628" s="13" t="s">
        <v>247</v>
      </c>
      <c r="C1628" s="14">
        <v>25.0</v>
      </c>
      <c r="D1628" s="13" t="s">
        <v>60</v>
      </c>
      <c r="E1628" s="13" t="s">
        <v>61</v>
      </c>
      <c r="F1628" s="13" t="s">
        <v>37</v>
      </c>
      <c r="G1628" s="13" t="s">
        <v>63</v>
      </c>
      <c r="H1628" s="16">
        <v>45451.0</v>
      </c>
      <c r="I1628" s="14">
        <v>32.0</v>
      </c>
      <c r="J1628" s="13" t="s">
        <v>53</v>
      </c>
      <c r="K1628" s="13" t="s">
        <v>41</v>
      </c>
      <c r="L1628" s="14">
        <v>1074.0</v>
      </c>
      <c r="M1628" s="18" t="s">
        <v>43</v>
      </c>
      <c r="N1628" s="18" t="s">
        <v>43</v>
      </c>
      <c r="O1628" s="18">
        <v>25.0</v>
      </c>
      <c r="P1628" s="18" t="s">
        <v>185</v>
      </c>
      <c r="Q1628" s="16">
        <v>46391.0</v>
      </c>
      <c r="R1628" s="16" t="s">
        <v>38</v>
      </c>
      <c r="S1628" s="13" t="s">
        <v>55</v>
      </c>
      <c r="T1628" s="13" t="s">
        <v>72</v>
      </c>
      <c r="U1628" s="13">
        <f t="shared" si="1"/>
        <v>3</v>
      </c>
      <c r="V1628" s="13" t="str">
        <f t="shared" si="2"/>
        <v>C01416|Ravi Sharma|25|East|Kolkata|Standard|Google Ads|6/8/2024|32|Quarterly|Upi|1,074|2|2|25.00|3.2|1/4/2027||Active|Collaboration</v>
      </c>
      <c r="W1628" s="13">
        <f t="shared" si="3"/>
        <v>1</v>
      </c>
      <c r="X1628" s="13">
        <f>IFERROR(__xludf.DUMMYFUNCTION("COUNTUNIQUE(FILTER($B$2:$B$1826,$A$2:$A$1826=A1628))"),3.0)</f>
        <v>3</v>
      </c>
    </row>
    <row r="1629">
      <c r="A1629" s="13" t="s">
        <v>441</v>
      </c>
      <c r="B1629" s="13" t="s">
        <v>135</v>
      </c>
      <c r="C1629" s="14">
        <v>44.0</v>
      </c>
      <c r="D1629" s="13" t="s">
        <v>35</v>
      </c>
      <c r="E1629" s="13" t="s">
        <v>36</v>
      </c>
      <c r="F1629" s="13" t="s">
        <v>62</v>
      </c>
      <c r="G1629" s="13" t="s">
        <v>210</v>
      </c>
      <c r="H1629" s="16">
        <v>45905.0</v>
      </c>
      <c r="I1629" s="14">
        <v>11.0</v>
      </c>
      <c r="J1629" s="13" t="s">
        <v>64</v>
      </c>
      <c r="K1629" s="13" t="s">
        <v>41</v>
      </c>
      <c r="L1629" s="14">
        <v>518.0</v>
      </c>
      <c r="M1629" s="18" t="s">
        <v>43</v>
      </c>
      <c r="N1629" s="18" t="s">
        <v>46</v>
      </c>
      <c r="O1629" s="18">
        <v>9.3</v>
      </c>
      <c r="P1629" s="18" t="s">
        <v>116</v>
      </c>
      <c r="Q1629" s="16">
        <v>46202.0</v>
      </c>
      <c r="R1629" s="16">
        <v>46178.0</v>
      </c>
      <c r="S1629" s="13" t="s">
        <v>45</v>
      </c>
      <c r="T1629" s="13" t="s">
        <v>104</v>
      </c>
      <c r="U1629" s="13">
        <f t="shared" si="1"/>
        <v>4</v>
      </c>
      <c r="V1629" s="13" t="str">
        <f t="shared" si="2"/>
        <v>C01185|Karan Sharma|44|North|Delhi|Basic|Referral|9/5/2025|11|Annual|Upi|518|2|0|9.30|3.4|6/29/2026|6/5/2026|Churned|Analytics</v>
      </c>
      <c r="W1629" s="13">
        <f t="shared" si="3"/>
        <v>1</v>
      </c>
      <c r="X1629" s="13">
        <f>IFERROR(__xludf.DUMMYFUNCTION("COUNTUNIQUE(FILTER($B$2:$B$1826,$A$2:$A$1826=A1629))"),4.0)</f>
        <v>4</v>
      </c>
    </row>
    <row r="1630">
      <c r="A1630" s="13" t="s">
        <v>245</v>
      </c>
      <c r="B1630" s="13" t="s">
        <v>96</v>
      </c>
      <c r="C1630" s="14">
        <v>32.0</v>
      </c>
      <c r="D1630" s="13" t="s">
        <v>35</v>
      </c>
      <c r="E1630" s="13" t="s">
        <v>51</v>
      </c>
      <c r="F1630" s="13" t="s">
        <v>62</v>
      </c>
      <c r="G1630" s="13" t="s">
        <v>63</v>
      </c>
      <c r="H1630" s="16">
        <v>44972.0</v>
      </c>
      <c r="I1630" s="14">
        <v>17.0</v>
      </c>
      <c r="J1630" s="13" t="s">
        <v>53</v>
      </c>
      <c r="K1630" s="13" t="s">
        <v>41</v>
      </c>
      <c r="L1630" s="14">
        <v>879.0</v>
      </c>
      <c r="M1630" s="18" t="s">
        <v>164</v>
      </c>
      <c r="N1630" s="18" t="s">
        <v>46</v>
      </c>
      <c r="O1630" s="18">
        <v>27.2</v>
      </c>
      <c r="P1630" s="18" t="s">
        <v>285</v>
      </c>
      <c r="Q1630" s="16">
        <v>45249.0</v>
      </c>
      <c r="R1630" s="16" t="s">
        <v>38</v>
      </c>
      <c r="S1630" s="13" t="s">
        <v>55</v>
      </c>
      <c r="T1630" s="13" t="s">
        <v>104</v>
      </c>
      <c r="U1630" s="13">
        <f t="shared" si="1"/>
        <v>4</v>
      </c>
      <c r="V1630" s="13" t="str">
        <f t="shared" si="2"/>
        <v>C01272|Rahul Kumar|32|North|Jaipur|Basic|Google Ads|2/15/2023|17|Quarterly|Upi|879|3|0|27.20|2.3|11/19/2023||Active|Analytics</v>
      </c>
      <c r="W1630" s="13">
        <f t="shared" si="3"/>
        <v>1</v>
      </c>
      <c r="X1630" s="13">
        <f>IFERROR(__xludf.DUMMYFUNCTION("COUNTUNIQUE(FILTER($B$2:$B$1826,$A$2:$A$1826=A1630))"),4.0)</f>
        <v>4</v>
      </c>
    </row>
    <row r="1631">
      <c r="A1631" s="13" t="s">
        <v>1894</v>
      </c>
      <c r="B1631" s="13" t="s">
        <v>308</v>
      </c>
      <c r="C1631" s="14">
        <v>24.0</v>
      </c>
      <c r="D1631" s="13" t="s">
        <v>35</v>
      </c>
      <c r="E1631" s="13" t="s">
        <v>140</v>
      </c>
      <c r="F1631" s="13" t="s">
        <v>37</v>
      </c>
      <c r="G1631" s="13" t="s">
        <v>52</v>
      </c>
      <c r="H1631" s="16">
        <v>44758.0</v>
      </c>
      <c r="I1631" s="14">
        <v>32.0</v>
      </c>
      <c r="J1631" s="13" t="s">
        <v>53</v>
      </c>
      <c r="K1631" s="13" t="s">
        <v>65</v>
      </c>
      <c r="L1631" s="14">
        <v>1101.0</v>
      </c>
      <c r="M1631" s="18" t="s">
        <v>43</v>
      </c>
      <c r="N1631" s="18" t="s">
        <v>46</v>
      </c>
      <c r="O1631" s="18">
        <v>26.7</v>
      </c>
      <c r="P1631" s="18" t="s">
        <v>225</v>
      </c>
      <c r="Q1631" s="16">
        <v>45710.0</v>
      </c>
      <c r="R1631" s="16" t="s">
        <v>1495</v>
      </c>
      <c r="S1631" s="13" t="s">
        <v>45</v>
      </c>
      <c r="T1631" s="13" t="s">
        <v>104</v>
      </c>
      <c r="U1631" s="13">
        <f t="shared" si="1"/>
        <v>2</v>
      </c>
      <c r="V1631" s="13" t="str">
        <f t="shared" si="2"/>
        <v>C00872|Karan Kumar|24|North|Lucknow|Standard|Facebook|7/16/2022|32|Quarterly|Credit Card|1,101|2|0|26.70|3.8|2/22/2025|22/02/2024|Churned|Analytics</v>
      </c>
      <c r="W1631" s="13">
        <f t="shared" si="3"/>
        <v>1</v>
      </c>
      <c r="X1631" s="13">
        <f>IFERROR(__xludf.DUMMYFUNCTION("COUNTUNIQUE(FILTER($B$2:$B$1826,$A$2:$A$1826=A1631))"),2.0)</f>
        <v>2</v>
      </c>
    </row>
    <row r="1632">
      <c r="A1632" s="13" t="s">
        <v>73</v>
      </c>
      <c r="B1632" s="13" t="s">
        <v>364</v>
      </c>
      <c r="C1632" s="14">
        <v>29.0</v>
      </c>
      <c r="D1632" s="13" t="s">
        <v>35</v>
      </c>
      <c r="E1632" s="13" t="s">
        <v>140</v>
      </c>
      <c r="F1632" s="13" t="s">
        <v>62</v>
      </c>
      <c r="G1632" s="13" t="s">
        <v>39</v>
      </c>
      <c r="H1632" s="16">
        <v>46006.0</v>
      </c>
      <c r="I1632" s="14">
        <v>7.0</v>
      </c>
      <c r="J1632" s="13" t="s">
        <v>64</v>
      </c>
      <c r="K1632" s="13" t="s">
        <v>81</v>
      </c>
      <c r="L1632" s="14">
        <v>657.0</v>
      </c>
      <c r="M1632" s="18" t="s">
        <v>98</v>
      </c>
      <c r="N1632" s="18" t="s">
        <v>43</v>
      </c>
      <c r="O1632" s="18">
        <v>19.0</v>
      </c>
      <c r="P1632" s="18" t="s">
        <v>296</v>
      </c>
      <c r="Q1632" s="16">
        <v>46093.0</v>
      </c>
      <c r="R1632" s="16" t="s">
        <v>38</v>
      </c>
      <c r="S1632" s="13" t="s">
        <v>55</v>
      </c>
      <c r="T1632" s="13" t="s">
        <v>104</v>
      </c>
      <c r="U1632" s="13">
        <f t="shared" si="1"/>
        <v>3</v>
      </c>
      <c r="V1632" s="13" t="str">
        <f t="shared" si="2"/>
        <v>C01438|Sneha Kumar|29|North|Lucknow|Basic|Instagram|12/15/2025|7|Annual|Debit Card|657|1|2|19.00|4.6|3/12/2026||Active|Analytics</v>
      </c>
      <c r="W1632" s="13">
        <f t="shared" si="3"/>
        <v>1</v>
      </c>
      <c r="X1632" s="13">
        <f>IFERROR(__xludf.DUMMYFUNCTION("COUNTUNIQUE(FILTER($B$2:$B$1826,$A$2:$A$1826=A1632))"),3.0)</f>
        <v>3</v>
      </c>
    </row>
    <row r="1633">
      <c r="A1633" s="13" t="s">
        <v>1666</v>
      </c>
      <c r="B1633" s="13" t="s">
        <v>172</v>
      </c>
      <c r="C1633" s="14">
        <v>46.0</v>
      </c>
      <c r="D1633" s="13" t="s">
        <v>35</v>
      </c>
      <c r="E1633" s="13" t="s">
        <v>36</v>
      </c>
      <c r="F1633" s="13" t="s">
        <v>62</v>
      </c>
      <c r="G1633" s="13" t="s">
        <v>80</v>
      </c>
      <c r="H1633" s="16">
        <v>45502.0</v>
      </c>
      <c r="I1633" s="14">
        <v>41.0</v>
      </c>
      <c r="J1633" s="13" t="s">
        <v>53</v>
      </c>
      <c r="K1633" s="13" t="s">
        <v>81</v>
      </c>
      <c r="L1633" s="14">
        <v>568.0</v>
      </c>
      <c r="M1633" s="18" t="s">
        <v>43</v>
      </c>
      <c r="N1633" s="18" t="s">
        <v>98</v>
      </c>
      <c r="O1633" s="18">
        <v>1.0</v>
      </c>
      <c r="P1633" s="18" t="s">
        <v>123</v>
      </c>
      <c r="Q1633" s="16">
        <v>45665.0</v>
      </c>
      <c r="R1633" s="16" t="s">
        <v>38</v>
      </c>
      <c r="S1633" s="13" t="s">
        <v>55</v>
      </c>
      <c r="T1633" s="13" t="s">
        <v>72</v>
      </c>
      <c r="U1633" s="13">
        <f t="shared" si="1"/>
        <v>2</v>
      </c>
      <c r="V1633" s="13" t="str">
        <f t="shared" si="2"/>
        <v>C00593|Meera Singh|46|North|Delhi|Basic|Organic Search|7/29/2024|41|Quarterly|Debit Card|568|2|1|1.00|4.1|1/8/2025||Active|Collaboration</v>
      </c>
      <c r="W1633" s="13">
        <f t="shared" si="3"/>
        <v>1</v>
      </c>
      <c r="X1633" s="13">
        <f>IFERROR(__xludf.DUMMYFUNCTION("COUNTUNIQUE(FILTER($B$2:$B$1826,$A$2:$A$1826=A1633))"),2.0)</f>
        <v>2</v>
      </c>
    </row>
    <row r="1634">
      <c r="A1634" s="13" t="s">
        <v>1537</v>
      </c>
      <c r="B1634" s="13" t="s">
        <v>398</v>
      </c>
      <c r="C1634" s="14">
        <v>61.0</v>
      </c>
      <c r="D1634" s="13" t="s">
        <v>85</v>
      </c>
      <c r="E1634" s="13" t="s">
        <v>92</v>
      </c>
      <c r="F1634" s="13" t="s">
        <v>79</v>
      </c>
      <c r="G1634" s="13" t="s">
        <v>39</v>
      </c>
      <c r="H1634" s="16">
        <v>45801.0</v>
      </c>
      <c r="I1634" s="14">
        <v>5.0</v>
      </c>
      <c r="J1634" s="13" t="s">
        <v>53</v>
      </c>
      <c r="K1634" s="13" t="s">
        <v>41</v>
      </c>
      <c r="L1634" s="14">
        <v>3879.0</v>
      </c>
      <c r="M1634" s="18" t="s">
        <v>98</v>
      </c>
      <c r="N1634" s="18" t="s">
        <v>98</v>
      </c>
      <c r="O1634" s="18">
        <v>48.9</v>
      </c>
      <c r="P1634" s="18" t="s">
        <v>233</v>
      </c>
      <c r="Q1634" s="16">
        <v>45938.0</v>
      </c>
      <c r="R1634" s="16" t="s">
        <v>38</v>
      </c>
      <c r="S1634" s="13" t="s">
        <v>55</v>
      </c>
      <c r="T1634" s="13" t="s">
        <v>66</v>
      </c>
      <c r="U1634" s="13">
        <f t="shared" si="1"/>
        <v>3</v>
      </c>
      <c r="V1634" s="13" t="str">
        <f t="shared" si="2"/>
        <v>C01006|Vikram Sharma|61|West|Ahmedabad|Premium|Instagram|5/24/2025|5|Quarterly|Upi|3,879|1|1|48.90|3.5|10/8/2025||Active|Automation</v>
      </c>
      <c r="W1634" s="13">
        <f t="shared" si="3"/>
        <v>1</v>
      </c>
      <c r="X1634" s="13">
        <f>IFERROR(__xludf.DUMMYFUNCTION("COUNTUNIQUE(FILTER($B$2:$B$1826,$A$2:$A$1826=A1634))"),3.0)</f>
        <v>3</v>
      </c>
    </row>
    <row r="1635">
      <c r="A1635" s="13" t="s">
        <v>2086</v>
      </c>
      <c r="B1635" s="13" t="s">
        <v>636</v>
      </c>
      <c r="C1635" s="14">
        <v>22.0</v>
      </c>
      <c r="D1635" s="13" t="s">
        <v>69</v>
      </c>
      <c r="E1635" s="13" t="s">
        <v>187</v>
      </c>
      <c r="F1635" s="13" t="s">
        <v>37</v>
      </c>
      <c r="G1635" s="13" t="s">
        <v>63</v>
      </c>
      <c r="H1635" s="16">
        <v>45275.0</v>
      </c>
      <c r="I1635" s="14">
        <v>19.0</v>
      </c>
      <c r="J1635" s="13" t="s">
        <v>53</v>
      </c>
      <c r="K1635" s="13" t="s">
        <v>81</v>
      </c>
      <c r="L1635" s="14">
        <v>1726.0</v>
      </c>
      <c r="M1635" s="18" t="s">
        <v>98</v>
      </c>
      <c r="N1635" s="18" t="s">
        <v>46</v>
      </c>
      <c r="O1635" s="18">
        <v>24.9</v>
      </c>
      <c r="P1635" s="18" t="s">
        <v>99</v>
      </c>
      <c r="Q1635" s="16">
        <v>45369.0</v>
      </c>
      <c r="R1635" s="16" t="s">
        <v>1877</v>
      </c>
      <c r="S1635" s="13" t="s">
        <v>45</v>
      </c>
      <c r="T1635" s="13" t="s">
        <v>75</v>
      </c>
      <c r="U1635" s="13">
        <f t="shared" si="1"/>
        <v>1</v>
      </c>
      <c r="V1635" s="13" t="str">
        <f t="shared" si="2"/>
        <v>C00587|Neha Reddy|22|South|Chennai|Standard|Google Ads|12/15/2023|19|Quarterly|Debit Card|1,726|1|0|24.90|4|3/18/2024|22/12/2024|Churned|Security</v>
      </c>
      <c r="W1635" s="13">
        <f t="shared" si="3"/>
        <v>1</v>
      </c>
      <c r="X1635" s="13">
        <f>IFERROR(__xludf.DUMMYFUNCTION("COUNTUNIQUE(FILTER($B$2:$B$1826,$A$2:$A$1826=A1635))"),1.0)</f>
        <v>1</v>
      </c>
    </row>
    <row r="1636">
      <c r="A1636" s="13" t="s">
        <v>2087</v>
      </c>
      <c r="B1636" s="13" t="s">
        <v>241</v>
      </c>
      <c r="C1636" s="14">
        <v>23.0</v>
      </c>
      <c r="D1636" s="13" t="s">
        <v>69</v>
      </c>
      <c r="E1636" s="13" t="s">
        <v>119</v>
      </c>
      <c r="F1636" s="13" t="s">
        <v>62</v>
      </c>
      <c r="G1636" s="13" t="s">
        <v>80</v>
      </c>
      <c r="H1636" s="16">
        <v>45080.0</v>
      </c>
      <c r="I1636" s="14">
        <v>23.0</v>
      </c>
      <c r="J1636" s="13" t="s">
        <v>40</v>
      </c>
      <c r="K1636" s="13" t="s">
        <v>41</v>
      </c>
      <c r="L1636" s="14">
        <v>664.0</v>
      </c>
      <c r="M1636" s="18" t="s">
        <v>98</v>
      </c>
      <c r="N1636" s="18" t="s">
        <v>98</v>
      </c>
      <c r="O1636" s="18">
        <v>19.5</v>
      </c>
      <c r="P1636" s="18" t="s">
        <v>150</v>
      </c>
      <c r="Q1636" s="16">
        <v>45761.0</v>
      </c>
      <c r="R1636" s="16" t="s">
        <v>38</v>
      </c>
      <c r="S1636" s="13" t="s">
        <v>55</v>
      </c>
      <c r="T1636" s="13" t="s">
        <v>72</v>
      </c>
      <c r="U1636" s="13">
        <f t="shared" si="1"/>
        <v>1</v>
      </c>
      <c r="V1636" s="13" t="str">
        <f t="shared" si="2"/>
        <v>C01356|Sneha Iyer|23|South|Kochi|Basic|Organic Search|6/3/2023|23|Monthly|Upi|664|1|1|19.50|4.5|4/14/2025||Active|Collaboration</v>
      </c>
      <c r="W1636" s="13">
        <f t="shared" si="3"/>
        <v>1</v>
      </c>
      <c r="X1636" s="13">
        <f>IFERROR(__xludf.DUMMYFUNCTION("COUNTUNIQUE(FILTER($B$2:$B$1826,$A$2:$A$1826=A1636))"),1.0)</f>
        <v>1</v>
      </c>
    </row>
    <row r="1637">
      <c r="A1637" s="13" t="s">
        <v>1403</v>
      </c>
      <c r="B1637" s="13" t="s">
        <v>393</v>
      </c>
      <c r="C1637" s="14">
        <v>57.0</v>
      </c>
      <c r="D1637" s="13" t="s">
        <v>85</v>
      </c>
      <c r="E1637" s="13" t="s">
        <v>292</v>
      </c>
      <c r="F1637" s="13" t="s">
        <v>79</v>
      </c>
      <c r="G1637" s="13" t="s">
        <v>120</v>
      </c>
      <c r="H1637" s="16">
        <v>45757.0</v>
      </c>
      <c r="I1637" s="14">
        <v>35.0</v>
      </c>
      <c r="J1637" s="13" t="s">
        <v>53</v>
      </c>
      <c r="K1637" s="13" t="s">
        <v>65</v>
      </c>
      <c r="L1637" s="14">
        <v>3065.0</v>
      </c>
      <c r="M1637" s="18" t="s">
        <v>43</v>
      </c>
      <c r="N1637" s="18" t="s">
        <v>38</v>
      </c>
      <c r="O1637" s="18">
        <v>31.1</v>
      </c>
      <c r="P1637" s="18" t="s">
        <v>173</v>
      </c>
      <c r="Q1637" s="16">
        <v>46502.0</v>
      </c>
      <c r="R1637" s="16" t="s">
        <v>38</v>
      </c>
      <c r="S1637" s="13" t="s">
        <v>55</v>
      </c>
      <c r="T1637" s="13" t="s">
        <v>66</v>
      </c>
      <c r="U1637" s="13">
        <f t="shared" si="1"/>
        <v>2</v>
      </c>
      <c r="V1637" s="13" t="str">
        <f t="shared" si="2"/>
        <v>C00580|Karan Das|57|West|Mumbai|Premium|Email|4/10/2025|35|Quarterly|Credit Card|3,065|2||31.10|5|4/25/2027||Active|Automation</v>
      </c>
      <c r="W1637" s="13">
        <f t="shared" si="3"/>
        <v>1</v>
      </c>
      <c r="X1637" s="13">
        <f>IFERROR(__xludf.DUMMYFUNCTION("COUNTUNIQUE(FILTER($B$2:$B$1826,$A$2:$A$1826=A1637))"),2.0)</f>
        <v>2</v>
      </c>
    </row>
    <row r="1638">
      <c r="A1638" s="13" t="s">
        <v>1366</v>
      </c>
      <c r="B1638" s="13" t="s">
        <v>801</v>
      </c>
      <c r="C1638" s="14">
        <v>42.0</v>
      </c>
      <c r="D1638" s="13" t="s">
        <v>69</v>
      </c>
      <c r="E1638" s="13" t="s">
        <v>70</v>
      </c>
      <c r="F1638" s="13" t="s">
        <v>62</v>
      </c>
      <c r="G1638" s="13" t="s">
        <v>63</v>
      </c>
      <c r="H1638" s="16">
        <v>45772.0</v>
      </c>
      <c r="I1638" s="14">
        <v>41.0</v>
      </c>
      <c r="J1638" s="13" t="s">
        <v>53</v>
      </c>
      <c r="K1638" s="13" t="s">
        <v>81</v>
      </c>
      <c r="L1638" s="14">
        <v>673.0</v>
      </c>
      <c r="M1638" s="18" t="s">
        <v>43</v>
      </c>
      <c r="N1638" s="18" t="s">
        <v>46</v>
      </c>
      <c r="O1638" s="18">
        <v>17.5</v>
      </c>
      <c r="P1638" s="18" t="s">
        <v>108</v>
      </c>
      <c r="Q1638" s="16">
        <v>46494.0</v>
      </c>
      <c r="R1638" s="16" t="s">
        <v>38</v>
      </c>
      <c r="S1638" s="13" t="s">
        <v>55</v>
      </c>
      <c r="T1638" s="13" t="s">
        <v>72</v>
      </c>
      <c r="U1638" s="13">
        <f t="shared" si="1"/>
        <v>3</v>
      </c>
      <c r="V1638" s="13" t="str">
        <f t="shared" si="2"/>
        <v>C01225|Karan Singh|42|South|Bengaluru|Basic|Google Ads|4/25/2025|41|Quarterly|Debit Card|673|2|0|17.50|2.4|4/17/2027||Active|Collaboration</v>
      </c>
      <c r="W1638" s="13">
        <f t="shared" si="3"/>
        <v>1</v>
      </c>
      <c r="X1638" s="13">
        <f>IFERROR(__xludf.DUMMYFUNCTION("COUNTUNIQUE(FILTER($B$2:$B$1826,$A$2:$A$1826=A1638))"),3.0)</f>
        <v>3</v>
      </c>
    </row>
    <row r="1639">
      <c r="A1639" s="13" t="s">
        <v>1240</v>
      </c>
      <c r="B1639" s="13" t="s">
        <v>411</v>
      </c>
      <c r="C1639" s="14">
        <v>20.0</v>
      </c>
      <c r="D1639" s="13" t="s">
        <v>69</v>
      </c>
      <c r="E1639" s="13" t="s">
        <v>119</v>
      </c>
      <c r="F1639" s="13" t="s">
        <v>37</v>
      </c>
      <c r="G1639" s="13" t="s">
        <v>39</v>
      </c>
      <c r="H1639" s="16">
        <v>45495.0</v>
      </c>
      <c r="I1639" s="14">
        <v>10.0</v>
      </c>
      <c r="J1639" s="13" t="s">
        <v>53</v>
      </c>
      <c r="K1639" s="13" t="s">
        <v>65</v>
      </c>
      <c r="L1639" s="14">
        <v>1777.0</v>
      </c>
      <c r="M1639" s="18" t="s">
        <v>43</v>
      </c>
      <c r="N1639" s="18" t="s">
        <v>46</v>
      </c>
      <c r="O1639" s="18">
        <v>14.4</v>
      </c>
      <c r="P1639" s="18" t="s">
        <v>99</v>
      </c>
      <c r="Q1639" s="16">
        <v>45690.0</v>
      </c>
      <c r="R1639" s="16" t="s">
        <v>38</v>
      </c>
      <c r="S1639" s="13" t="s">
        <v>55</v>
      </c>
      <c r="T1639" s="13" t="s">
        <v>104</v>
      </c>
      <c r="U1639" s="13">
        <f t="shared" si="1"/>
        <v>3</v>
      </c>
      <c r="V1639" s="13" t="str">
        <f t="shared" si="2"/>
        <v>C00299|Karan Reddy|20|South|Kochi|Standard|Instagram|7/22/2024|10|Quarterly|Credit Card|1,777|2|0|14.40|4|2/2/2025||Active|Analytics</v>
      </c>
      <c r="W1639" s="13">
        <f t="shared" si="3"/>
        <v>1</v>
      </c>
      <c r="X1639" s="13">
        <f>IFERROR(__xludf.DUMMYFUNCTION("COUNTUNIQUE(FILTER($B$2:$B$1826,$A$2:$A$1826=A1639))"),3.0)</f>
        <v>3</v>
      </c>
    </row>
    <row r="1640">
      <c r="A1640" s="13" t="s">
        <v>2088</v>
      </c>
      <c r="B1640" s="13" t="s">
        <v>476</v>
      </c>
      <c r="C1640" s="14">
        <v>30.0</v>
      </c>
      <c r="D1640" s="13" t="s">
        <v>35</v>
      </c>
      <c r="E1640" s="13" t="s">
        <v>36</v>
      </c>
      <c r="F1640" s="13" t="s">
        <v>62</v>
      </c>
      <c r="G1640" s="13" t="s">
        <v>128</v>
      </c>
      <c r="H1640" s="16">
        <v>45901.0</v>
      </c>
      <c r="I1640" s="14">
        <v>18.0</v>
      </c>
      <c r="J1640" s="13" t="s">
        <v>53</v>
      </c>
      <c r="K1640" s="13" t="s">
        <v>41</v>
      </c>
      <c r="L1640" s="14">
        <v>612.0</v>
      </c>
      <c r="M1640" s="18" t="s">
        <v>99</v>
      </c>
      <c r="N1640" s="18" t="s">
        <v>46</v>
      </c>
      <c r="O1640" s="18">
        <v>22.0</v>
      </c>
      <c r="P1640" s="18" t="s">
        <v>203</v>
      </c>
      <c r="Q1640" s="16">
        <v>46298.0</v>
      </c>
      <c r="R1640" s="16" t="s">
        <v>38</v>
      </c>
      <c r="S1640" s="13" t="s">
        <v>55</v>
      </c>
      <c r="T1640" s="13" t="s">
        <v>66</v>
      </c>
      <c r="U1640" s="13">
        <f t="shared" si="1"/>
        <v>1</v>
      </c>
      <c r="V1640" s="13" t="str">
        <f t="shared" si="2"/>
        <v>C00976|Ravi Das|30|North|Delhi|Basic|Youtube|9/1/2025|18|Quarterly|Upi|612|4|0|22.00|3.7|10/3/2026||Active|Automation</v>
      </c>
      <c r="W1640" s="13">
        <f t="shared" si="3"/>
        <v>1</v>
      </c>
      <c r="X1640" s="13">
        <f>IFERROR(__xludf.DUMMYFUNCTION("COUNTUNIQUE(FILTER($B$2:$B$1826,$A$2:$A$1826=A1640))"),1.0)</f>
        <v>1</v>
      </c>
    </row>
    <row r="1641">
      <c r="A1641" s="13" t="s">
        <v>1337</v>
      </c>
      <c r="B1641" s="13" t="s">
        <v>639</v>
      </c>
      <c r="C1641" s="14">
        <v>27.0</v>
      </c>
      <c r="D1641" s="13" t="s">
        <v>35</v>
      </c>
      <c r="E1641" s="13" t="s">
        <v>36</v>
      </c>
      <c r="F1641" s="13" t="s">
        <v>62</v>
      </c>
      <c r="G1641" s="13" t="s">
        <v>52</v>
      </c>
      <c r="H1641" s="16">
        <v>45405.0</v>
      </c>
      <c r="I1641" s="14">
        <v>27.0</v>
      </c>
      <c r="J1641" s="13" t="s">
        <v>64</v>
      </c>
      <c r="K1641" s="13" t="s">
        <v>41</v>
      </c>
      <c r="L1641" s="14">
        <v>529.0</v>
      </c>
      <c r="M1641" s="18" t="s">
        <v>99</v>
      </c>
      <c r="N1641" s="18" t="s">
        <v>98</v>
      </c>
      <c r="O1641" s="18">
        <v>27.0</v>
      </c>
      <c r="P1641" s="18" t="s">
        <v>275</v>
      </c>
      <c r="Q1641" s="16">
        <v>46192.0</v>
      </c>
      <c r="R1641" s="16" t="s">
        <v>38</v>
      </c>
      <c r="S1641" s="13" t="s">
        <v>55</v>
      </c>
      <c r="T1641" s="13" t="s">
        <v>104</v>
      </c>
      <c r="U1641" s="13">
        <f t="shared" si="1"/>
        <v>3</v>
      </c>
      <c r="V1641" s="13" t="str">
        <f t="shared" si="2"/>
        <v>C00912|Priya Nair|27|North|Delhi|Basic|Facebook|4/23/2024|27|Annual|Upi|529|4|1|27.00|4.3|6/19/2026||Active|Analytics</v>
      </c>
      <c r="W1641" s="13">
        <f t="shared" si="3"/>
        <v>1</v>
      </c>
      <c r="X1641" s="13">
        <f>IFERROR(__xludf.DUMMYFUNCTION("COUNTUNIQUE(FILTER($B$2:$B$1826,$A$2:$A$1826=A1641))"),3.0)</f>
        <v>3</v>
      </c>
    </row>
    <row r="1642">
      <c r="A1642" s="13" t="s">
        <v>2089</v>
      </c>
      <c r="B1642" s="13" t="s">
        <v>106</v>
      </c>
      <c r="C1642" s="14">
        <v>30.0</v>
      </c>
      <c r="D1642" s="13" t="s">
        <v>85</v>
      </c>
      <c r="E1642" s="13" t="s">
        <v>111</v>
      </c>
      <c r="F1642" s="13" t="s">
        <v>62</v>
      </c>
      <c r="G1642" s="13" t="s">
        <v>52</v>
      </c>
      <c r="H1642" s="16">
        <v>44789.0</v>
      </c>
      <c r="I1642" s="14">
        <v>8.0</v>
      </c>
      <c r="J1642" s="13" t="s">
        <v>40</v>
      </c>
      <c r="K1642" s="13" t="s">
        <v>81</v>
      </c>
      <c r="L1642" s="14">
        <v>836.0</v>
      </c>
      <c r="M1642" s="18" t="s">
        <v>46</v>
      </c>
      <c r="N1642" s="18" t="s">
        <v>98</v>
      </c>
      <c r="O1642" s="18">
        <v>29.6</v>
      </c>
      <c r="P1642" s="18" t="s">
        <v>89</v>
      </c>
      <c r="Q1642" s="16">
        <v>44857.0</v>
      </c>
      <c r="R1642" s="16" t="s">
        <v>38</v>
      </c>
      <c r="S1642" s="13" t="s">
        <v>55</v>
      </c>
      <c r="T1642" s="13" t="s">
        <v>47</v>
      </c>
      <c r="U1642" s="13">
        <f t="shared" si="1"/>
        <v>1</v>
      </c>
      <c r="V1642" s="13" t="str">
        <f t="shared" si="2"/>
        <v>C00967|Rahul Patel|30|West|Pune|Basic|Facebook|8/16/2022|8|Monthly|Debit Card|836|0|1|29.60|3.3|10/23/2022||Active|Cloud Storage</v>
      </c>
      <c r="W1642" s="13">
        <f t="shared" si="3"/>
        <v>1</v>
      </c>
      <c r="X1642" s="13">
        <f>IFERROR(__xludf.DUMMYFUNCTION("COUNTUNIQUE(FILTER($B$2:$B$1826,$A$2:$A$1826=A1642))"),1.0)</f>
        <v>1</v>
      </c>
    </row>
    <row r="1643">
      <c r="A1643" s="13" t="s">
        <v>359</v>
      </c>
      <c r="B1643" s="13" t="s">
        <v>132</v>
      </c>
      <c r="C1643" s="14">
        <v>36.0</v>
      </c>
      <c r="D1643" s="13" t="s">
        <v>35</v>
      </c>
      <c r="E1643" s="13" t="s">
        <v>161</v>
      </c>
      <c r="F1643" s="13" t="s">
        <v>37</v>
      </c>
      <c r="G1643" s="13" t="s">
        <v>128</v>
      </c>
      <c r="H1643" s="16">
        <v>44880.0</v>
      </c>
      <c r="I1643" s="14">
        <v>34.0</v>
      </c>
      <c r="J1643" s="13" t="s">
        <v>40</v>
      </c>
      <c r="K1643" s="13" t="s">
        <v>41</v>
      </c>
      <c r="L1643" s="14" t="s">
        <v>38</v>
      </c>
      <c r="M1643" s="18" t="s">
        <v>98</v>
      </c>
      <c r="N1643" s="18" t="s">
        <v>98</v>
      </c>
      <c r="O1643" s="18">
        <v>27.1</v>
      </c>
      <c r="P1643" s="18" t="s">
        <v>116</v>
      </c>
      <c r="Q1643" s="16">
        <v>45498.0</v>
      </c>
      <c r="R1643" s="16" t="s">
        <v>38</v>
      </c>
      <c r="S1643" s="13" t="s">
        <v>55</v>
      </c>
      <c r="T1643" s="13" t="s">
        <v>66</v>
      </c>
      <c r="U1643" s="13">
        <f t="shared" si="1"/>
        <v>3</v>
      </c>
      <c r="V1643" s="13" t="str">
        <f t="shared" si="2"/>
        <v>C00582|Arun Kumar|36|North|Chandigarh|Standard|Youtube|11/15/2022|34|Monthly|Upi||1|1|27.10|3.4|7/25/2024||Active|Automation</v>
      </c>
      <c r="W1643" s="13">
        <f t="shared" si="3"/>
        <v>1</v>
      </c>
      <c r="X1643" s="13">
        <f>IFERROR(__xludf.DUMMYFUNCTION("COUNTUNIQUE(FILTER($B$2:$B$1826,$A$2:$A$1826=A1643))"),3.0)</f>
        <v>3</v>
      </c>
    </row>
    <row r="1644">
      <c r="A1644" s="13" t="s">
        <v>77</v>
      </c>
      <c r="B1644" s="13" t="s">
        <v>312</v>
      </c>
      <c r="C1644" s="14">
        <v>39.0</v>
      </c>
      <c r="D1644" s="13" t="s">
        <v>85</v>
      </c>
      <c r="E1644" s="13" t="s">
        <v>292</v>
      </c>
      <c r="F1644" s="13" t="s">
        <v>62</v>
      </c>
      <c r="G1644" s="13" t="s">
        <v>128</v>
      </c>
      <c r="H1644" s="16">
        <v>44770.0</v>
      </c>
      <c r="I1644" s="14">
        <v>46.0</v>
      </c>
      <c r="J1644" s="13" t="s">
        <v>53</v>
      </c>
      <c r="K1644" s="13" t="s">
        <v>41</v>
      </c>
      <c r="L1644" s="14">
        <v>625.0</v>
      </c>
      <c r="M1644" s="18" t="s">
        <v>98</v>
      </c>
      <c r="N1644" s="18" t="s">
        <v>43</v>
      </c>
      <c r="O1644" s="18">
        <v>19.5</v>
      </c>
      <c r="P1644" s="18" t="s">
        <v>99</v>
      </c>
      <c r="Q1644" s="16">
        <v>44840.0</v>
      </c>
      <c r="R1644" s="16" t="s">
        <v>38</v>
      </c>
      <c r="S1644" s="13" t="s">
        <v>55</v>
      </c>
      <c r="T1644" s="13" t="s">
        <v>47</v>
      </c>
      <c r="U1644" s="13">
        <f t="shared" si="1"/>
        <v>6</v>
      </c>
      <c r="V1644" s="13" t="str">
        <f t="shared" si="2"/>
        <v>C00549|Anita Singh|39|West|Mumbai|Basic|Youtube|7/28/2022|46|Quarterly|Upi|625|1|2|19.50|4|10/6/2022||Active|Cloud Storage</v>
      </c>
      <c r="W1644" s="13">
        <f t="shared" si="3"/>
        <v>1</v>
      </c>
      <c r="X1644" s="13">
        <f>IFERROR(__xludf.DUMMYFUNCTION("COUNTUNIQUE(FILTER($B$2:$B$1826,$A$2:$A$1826=A1644))"),6.0)</f>
        <v>6</v>
      </c>
    </row>
    <row r="1645">
      <c r="A1645" s="13" t="s">
        <v>2090</v>
      </c>
      <c r="B1645" s="13" t="s">
        <v>179</v>
      </c>
      <c r="C1645" s="14">
        <v>57.0</v>
      </c>
      <c r="D1645" s="13" t="s">
        <v>69</v>
      </c>
      <c r="E1645" s="13" t="s">
        <v>70</v>
      </c>
      <c r="F1645" s="13" t="s">
        <v>37</v>
      </c>
      <c r="G1645" s="13" t="s">
        <v>120</v>
      </c>
      <c r="H1645" s="16">
        <v>45154.0</v>
      </c>
      <c r="I1645" s="14">
        <v>8.0</v>
      </c>
      <c r="J1645" s="13" t="s">
        <v>53</v>
      </c>
      <c r="K1645" s="13" t="s">
        <v>81</v>
      </c>
      <c r="L1645" s="14">
        <v>1367.0</v>
      </c>
      <c r="M1645" s="18" t="s">
        <v>43</v>
      </c>
      <c r="N1645" s="18" t="s">
        <v>46</v>
      </c>
      <c r="O1645" s="18">
        <v>25.9</v>
      </c>
      <c r="P1645" s="18" t="s">
        <v>1558</v>
      </c>
      <c r="Q1645" s="16">
        <v>45289.0</v>
      </c>
      <c r="R1645" s="16" t="s">
        <v>38</v>
      </c>
      <c r="S1645" s="13" t="s">
        <v>55</v>
      </c>
      <c r="T1645" s="13" t="s">
        <v>47</v>
      </c>
      <c r="U1645" s="13">
        <f t="shared" si="1"/>
        <v>1</v>
      </c>
      <c r="V1645" s="13" t="str">
        <f t="shared" si="2"/>
        <v>C01570|Ravi Kumar|57|South|Bengaluru|Standard|Email|8/16/2023|8|Quarterly|Debit Card|1,367|2|0|25.90|1.5|12/29/2023||Active|Cloud Storage</v>
      </c>
      <c r="W1645" s="13">
        <f t="shared" si="3"/>
        <v>1</v>
      </c>
      <c r="X1645" s="13">
        <f>IFERROR(__xludf.DUMMYFUNCTION("COUNTUNIQUE(FILTER($B$2:$B$1826,$A$2:$A$1826=A1645))"),1.0)</f>
        <v>1</v>
      </c>
    </row>
    <row r="1646">
      <c r="A1646" s="13" t="s">
        <v>1708</v>
      </c>
      <c r="B1646" s="13" t="s">
        <v>342</v>
      </c>
      <c r="C1646" s="14">
        <v>67.0</v>
      </c>
      <c r="D1646" s="13" t="s">
        <v>69</v>
      </c>
      <c r="E1646" s="13" t="s">
        <v>70</v>
      </c>
      <c r="F1646" s="13" t="s">
        <v>79</v>
      </c>
      <c r="G1646" s="13" t="s">
        <v>63</v>
      </c>
      <c r="H1646" s="16">
        <v>45176.0</v>
      </c>
      <c r="I1646" s="14">
        <v>7.0</v>
      </c>
      <c r="J1646" s="13" t="s">
        <v>40</v>
      </c>
      <c r="K1646" s="13" t="s">
        <v>81</v>
      </c>
      <c r="L1646" s="14">
        <v>2495.0</v>
      </c>
      <c r="M1646" s="18" t="s">
        <v>98</v>
      </c>
      <c r="N1646" s="18" t="s">
        <v>46</v>
      </c>
      <c r="O1646" s="18">
        <v>44.1</v>
      </c>
      <c r="P1646" s="18" t="s">
        <v>76</v>
      </c>
      <c r="Q1646" s="16">
        <v>45263.0</v>
      </c>
      <c r="R1646" s="16" t="s">
        <v>38</v>
      </c>
      <c r="S1646" s="13" t="s">
        <v>55</v>
      </c>
      <c r="T1646" s="13" t="s">
        <v>104</v>
      </c>
      <c r="U1646" s="13">
        <f t="shared" si="1"/>
        <v>3</v>
      </c>
      <c r="V1646" s="13" t="str">
        <f t="shared" si="2"/>
        <v>C00060|Priya Reddy|67|South|Bengaluru|Premium|Google Ads|9/7/2023|7|Monthly|Debit Card|2,495|1|0|44.10|4.4|12/3/2023||Active|Analytics</v>
      </c>
      <c r="W1646" s="13">
        <f t="shared" si="3"/>
        <v>1</v>
      </c>
      <c r="X1646" s="13">
        <f>IFERROR(__xludf.DUMMYFUNCTION("COUNTUNIQUE(FILTER($B$2:$B$1826,$A$2:$A$1826=A1646))"),3.0)</f>
        <v>3</v>
      </c>
    </row>
    <row r="1647">
      <c r="A1647" s="13" t="s">
        <v>2018</v>
      </c>
      <c r="B1647" s="13" t="s">
        <v>349</v>
      </c>
      <c r="C1647" s="14">
        <v>20.0</v>
      </c>
      <c r="D1647" s="13" t="s">
        <v>60</v>
      </c>
      <c r="E1647" s="13" t="s">
        <v>107</v>
      </c>
      <c r="F1647" s="13" t="s">
        <v>37</v>
      </c>
      <c r="G1647" s="13" t="s">
        <v>120</v>
      </c>
      <c r="H1647" s="16">
        <v>45492.0</v>
      </c>
      <c r="I1647" s="14">
        <v>19.0</v>
      </c>
      <c r="J1647" s="13" t="s">
        <v>53</v>
      </c>
      <c r="K1647" s="13" t="s">
        <v>41</v>
      </c>
      <c r="L1647" s="14">
        <v>1130.0</v>
      </c>
      <c r="M1647" s="18" t="s">
        <v>43</v>
      </c>
      <c r="N1647" s="18" t="s">
        <v>43</v>
      </c>
      <c r="O1647" s="18">
        <v>12.9</v>
      </c>
      <c r="P1647" s="18" t="s">
        <v>285</v>
      </c>
      <c r="Q1647" s="16">
        <v>45539.0</v>
      </c>
      <c r="R1647" s="16" t="s">
        <v>2091</v>
      </c>
      <c r="S1647" s="13" t="s">
        <v>45</v>
      </c>
      <c r="T1647" s="13" t="s">
        <v>72</v>
      </c>
      <c r="U1647" s="13">
        <f t="shared" si="1"/>
        <v>2</v>
      </c>
      <c r="V1647" s="13" t="str">
        <f t="shared" si="2"/>
        <v>C01344|Priya Singh|20|East|Patna|Standard|Email|7/19/2024|19|Quarterly|Upi|1,130|2|2|12.90|2.3|9/4/2024|13/02/2025|Churned|Collaboration</v>
      </c>
      <c r="W1647" s="13">
        <f t="shared" si="3"/>
        <v>1</v>
      </c>
      <c r="X1647" s="13">
        <f>IFERROR(__xludf.DUMMYFUNCTION("COUNTUNIQUE(FILTER($B$2:$B$1826,$A$2:$A$1826=A1647))"),2.0)</f>
        <v>2</v>
      </c>
    </row>
    <row r="1648">
      <c r="A1648" s="13" t="s">
        <v>1815</v>
      </c>
      <c r="B1648" s="13" t="s">
        <v>250</v>
      </c>
      <c r="C1648" s="14">
        <v>65.0</v>
      </c>
      <c r="D1648" s="13" t="s">
        <v>35</v>
      </c>
      <c r="E1648" s="13" t="s">
        <v>51</v>
      </c>
      <c r="F1648" s="13" t="s">
        <v>37</v>
      </c>
      <c r="G1648" s="13" t="s">
        <v>80</v>
      </c>
      <c r="H1648" s="16">
        <v>44798.0</v>
      </c>
      <c r="I1648" s="14">
        <v>43.0</v>
      </c>
      <c r="J1648" s="13" t="s">
        <v>53</v>
      </c>
      <c r="K1648" s="13" t="s">
        <v>81</v>
      </c>
      <c r="L1648" s="14">
        <v>1675.0</v>
      </c>
      <c r="M1648" s="18" t="s">
        <v>164</v>
      </c>
      <c r="N1648" s="18" t="s">
        <v>98</v>
      </c>
      <c r="O1648" s="18">
        <v>26.2</v>
      </c>
      <c r="P1648" s="18" t="s">
        <v>164</v>
      </c>
      <c r="Q1648" s="16">
        <v>45718.0</v>
      </c>
      <c r="R1648" s="16" t="s">
        <v>38</v>
      </c>
      <c r="S1648" s="13" t="s">
        <v>230</v>
      </c>
      <c r="T1648" s="13" t="s">
        <v>66</v>
      </c>
      <c r="U1648" s="13">
        <f t="shared" si="1"/>
        <v>3</v>
      </c>
      <c r="V1648" s="13" t="str">
        <f t="shared" si="2"/>
        <v>C01020|Vikram Singh|65|North|Jaipur|Standard|Organic Search|8/25/2022|43|Quarterly|Debit Card|1,675|3|1|26.20|3|3/2/2025||Yes|Automation</v>
      </c>
      <c r="W1648" s="13">
        <f t="shared" si="3"/>
        <v>1</v>
      </c>
      <c r="X1648" s="13">
        <f>IFERROR(__xludf.DUMMYFUNCTION("COUNTUNIQUE(FILTER($B$2:$B$1826,$A$2:$A$1826=A1648))"),3.0)</f>
        <v>3</v>
      </c>
    </row>
    <row r="1649">
      <c r="A1649" s="13" t="s">
        <v>2092</v>
      </c>
      <c r="B1649" s="13" t="s">
        <v>176</v>
      </c>
      <c r="C1649" s="14">
        <v>30.0</v>
      </c>
      <c r="D1649" s="13" t="s">
        <v>60</v>
      </c>
      <c r="E1649" s="13" t="s">
        <v>107</v>
      </c>
      <c r="F1649" s="13" t="s">
        <v>37</v>
      </c>
      <c r="G1649" s="13" t="s">
        <v>210</v>
      </c>
      <c r="H1649" s="16">
        <v>45571.0</v>
      </c>
      <c r="I1649" s="14">
        <v>24.0</v>
      </c>
      <c r="J1649" s="13" t="s">
        <v>64</v>
      </c>
      <c r="K1649" s="13" t="s">
        <v>81</v>
      </c>
      <c r="L1649" s="14">
        <v>1713.0</v>
      </c>
      <c r="M1649" s="18" t="s">
        <v>98</v>
      </c>
      <c r="N1649" s="18" t="s">
        <v>43</v>
      </c>
      <c r="O1649" s="18">
        <v>32.7</v>
      </c>
      <c r="P1649" s="18" t="s">
        <v>203</v>
      </c>
      <c r="Q1649" s="16">
        <v>45602.0</v>
      </c>
      <c r="R1649" s="16" t="s">
        <v>38</v>
      </c>
      <c r="S1649" s="13" t="s">
        <v>55</v>
      </c>
      <c r="T1649" s="13" t="s">
        <v>104</v>
      </c>
      <c r="U1649" s="13">
        <f t="shared" si="1"/>
        <v>1</v>
      </c>
      <c r="V1649" s="13" t="str">
        <f t="shared" si="2"/>
        <v>C00029|Ravi Iyer|30|East|Patna|Standard|Referral|10/6/2024|24|Annual|Debit Card|1,713|1|2|32.70|3.7|11/6/2024||Active|Analytics</v>
      </c>
      <c r="W1649" s="13">
        <f t="shared" si="3"/>
        <v>1</v>
      </c>
      <c r="X1649" s="13">
        <f>IFERROR(__xludf.DUMMYFUNCTION("COUNTUNIQUE(FILTER($B$2:$B$1826,$A$2:$A$1826=A1649))"),1.0)</f>
        <v>1</v>
      </c>
    </row>
    <row r="1650">
      <c r="A1650" s="13" t="s">
        <v>315</v>
      </c>
      <c r="B1650" s="13" t="s">
        <v>303</v>
      </c>
      <c r="C1650" s="14">
        <v>43.0</v>
      </c>
      <c r="D1650" s="13" t="s">
        <v>85</v>
      </c>
      <c r="E1650" s="13" t="s">
        <v>292</v>
      </c>
      <c r="F1650" s="13" t="s">
        <v>37</v>
      </c>
      <c r="G1650" s="13" t="s">
        <v>210</v>
      </c>
      <c r="H1650" s="16">
        <v>44875.0</v>
      </c>
      <c r="I1650" s="14">
        <v>34.0</v>
      </c>
      <c r="J1650" s="13" t="s">
        <v>53</v>
      </c>
      <c r="K1650" s="13" t="s">
        <v>65</v>
      </c>
      <c r="L1650" s="14">
        <v>1438.0</v>
      </c>
      <c r="M1650" s="18" t="s">
        <v>98</v>
      </c>
      <c r="N1650" s="18" t="s">
        <v>46</v>
      </c>
      <c r="O1650" s="18">
        <v>37.1</v>
      </c>
      <c r="P1650" s="18" t="s">
        <v>449</v>
      </c>
      <c r="Q1650" s="16">
        <v>45657.0</v>
      </c>
      <c r="R1650" s="16" t="s">
        <v>38</v>
      </c>
      <c r="S1650" s="13" t="s">
        <v>55</v>
      </c>
      <c r="T1650" s="13" t="s">
        <v>75</v>
      </c>
      <c r="U1650" s="13">
        <f t="shared" si="1"/>
        <v>3</v>
      </c>
      <c r="V1650" s="13" t="str">
        <f t="shared" si="2"/>
        <v>C00859|Priya Kumar|43|West|Mumbai|Standard|Referral|11/10/2022|34|Quarterly|Credit Card|1,438|1|0|37.10|2.7|12/31/2024||Active|Security</v>
      </c>
      <c r="W1650" s="13">
        <f t="shared" si="3"/>
        <v>1</v>
      </c>
      <c r="X1650" s="13">
        <f>IFERROR(__xludf.DUMMYFUNCTION("COUNTUNIQUE(FILTER($B$2:$B$1826,$A$2:$A$1826=A1650))"),3.0)</f>
        <v>3</v>
      </c>
    </row>
    <row r="1651">
      <c r="A1651" s="13" t="s">
        <v>2094</v>
      </c>
      <c r="B1651" s="13" t="s">
        <v>349</v>
      </c>
      <c r="C1651" s="14">
        <v>45.0</v>
      </c>
      <c r="D1651" s="13" t="s">
        <v>69</v>
      </c>
      <c r="E1651" s="13" t="s">
        <v>119</v>
      </c>
      <c r="F1651" s="13" t="s">
        <v>37</v>
      </c>
      <c r="G1651" s="13" t="s">
        <v>210</v>
      </c>
      <c r="H1651" s="16">
        <v>45471.0</v>
      </c>
      <c r="I1651" s="14">
        <v>3.0</v>
      </c>
      <c r="J1651" s="13" t="s">
        <v>64</v>
      </c>
      <c r="K1651" s="13" t="s">
        <v>81</v>
      </c>
      <c r="L1651" s="14">
        <v>1146.0</v>
      </c>
      <c r="M1651" s="18" t="s">
        <v>98</v>
      </c>
      <c r="N1651" s="18" t="s">
        <v>46</v>
      </c>
      <c r="O1651" s="18">
        <v>31.6</v>
      </c>
      <c r="P1651" s="18" t="s">
        <v>48</v>
      </c>
      <c r="Q1651" s="16">
        <v>45534.0</v>
      </c>
      <c r="R1651" s="16" t="s">
        <v>38</v>
      </c>
      <c r="S1651" s="13" t="s">
        <v>55</v>
      </c>
      <c r="T1651" s="13" t="s">
        <v>104</v>
      </c>
      <c r="U1651" s="13">
        <f t="shared" si="1"/>
        <v>1</v>
      </c>
      <c r="V1651" s="13" t="str">
        <f t="shared" si="2"/>
        <v>C00493|Priya Singh|45|South|Kochi|Standard|Referral|6/28/2024|3|Annual|Debit Card|1,146|1|0|31.60|3.6|8/30/2024||Active|Analytics</v>
      </c>
      <c r="W1651" s="13">
        <f t="shared" si="3"/>
        <v>1</v>
      </c>
      <c r="X1651" s="13">
        <f>IFERROR(__xludf.DUMMYFUNCTION("COUNTUNIQUE(FILTER($B$2:$B$1826,$A$2:$A$1826=A1651))"),1.0)</f>
        <v>1</v>
      </c>
    </row>
    <row r="1652">
      <c r="A1652" s="13" t="s">
        <v>2095</v>
      </c>
      <c r="B1652" s="13" t="s">
        <v>605</v>
      </c>
      <c r="C1652" s="14">
        <v>59.0</v>
      </c>
      <c r="D1652" s="13" t="s">
        <v>35</v>
      </c>
      <c r="E1652" s="13" t="s">
        <v>51</v>
      </c>
      <c r="F1652" s="13" t="s">
        <v>62</v>
      </c>
      <c r="G1652" s="13" t="s">
        <v>52</v>
      </c>
      <c r="H1652" s="16">
        <v>44603.0</v>
      </c>
      <c r="I1652" s="14">
        <v>33.0</v>
      </c>
      <c r="J1652" s="13" t="s">
        <v>64</v>
      </c>
      <c r="K1652" s="13" t="s">
        <v>65</v>
      </c>
      <c r="L1652" s="14">
        <v>744.0</v>
      </c>
      <c r="M1652" s="18" t="s">
        <v>46</v>
      </c>
      <c r="N1652" s="18" t="s">
        <v>98</v>
      </c>
      <c r="O1652" s="18">
        <v>23.1</v>
      </c>
      <c r="P1652" s="18" t="s">
        <v>376</v>
      </c>
      <c r="Q1652" s="16">
        <v>45243.0</v>
      </c>
      <c r="R1652" s="16" t="s">
        <v>38</v>
      </c>
      <c r="S1652" s="13" t="s">
        <v>55</v>
      </c>
      <c r="T1652" s="13" t="s">
        <v>72</v>
      </c>
      <c r="U1652" s="13">
        <f t="shared" si="1"/>
        <v>1</v>
      </c>
      <c r="V1652" s="13" t="str">
        <f t="shared" si="2"/>
        <v>C00613|Meera Patel|59|North|Jaipur|Basic|Facebook|2/11/2022|33|Annual|Credit Card|744|0|1|23.10|6|11/13/2023||Active|Collaboration</v>
      </c>
      <c r="W1652" s="13">
        <f t="shared" si="3"/>
        <v>1</v>
      </c>
      <c r="X1652" s="13">
        <f>IFERROR(__xludf.DUMMYFUNCTION("COUNTUNIQUE(FILTER($B$2:$B$1826,$A$2:$A$1826=A1652))"),1.0)</f>
        <v>1</v>
      </c>
    </row>
    <row r="1653">
      <c r="A1653" s="13" t="s">
        <v>2096</v>
      </c>
      <c r="B1653" s="13" t="s">
        <v>322</v>
      </c>
      <c r="C1653" s="14">
        <v>30.0</v>
      </c>
      <c r="D1653" s="13" t="s">
        <v>60</v>
      </c>
      <c r="E1653" s="13" t="s">
        <v>133</v>
      </c>
      <c r="F1653" s="13" t="s">
        <v>37</v>
      </c>
      <c r="G1653" s="13" t="s">
        <v>120</v>
      </c>
      <c r="H1653" s="16">
        <v>44931.0</v>
      </c>
      <c r="I1653" s="14">
        <v>21.0</v>
      </c>
      <c r="J1653" s="13" t="s">
        <v>40</v>
      </c>
      <c r="K1653" s="13" t="s">
        <v>65</v>
      </c>
      <c r="L1653" s="14">
        <v>1543.0</v>
      </c>
      <c r="M1653" s="18" t="s">
        <v>164</v>
      </c>
      <c r="N1653" s="18" t="s">
        <v>46</v>
      </c>
      <c r="O1653" s="18">
        <v>28.8</v>
      </c>
      <c r="P1653" s="18" t="s">
        <v>203</v>
      </c>
      <c r="Q1653" s="16">
        <v>45129.0</v>
      </c>
      <c r="R1653" s="16">
        <v>45148.0</v>
      </c>
      <c r="S1653" s="13" t="s">
        <v>45</v>
      </c>
      <c r="T1653" s="13" t="s">
        <v>66</v>
      </c>
      <c r="U1653" s="13">
        <f t="shared" si="1"/>
        <v>1</v>
      </c>
      <c r="V1653" s="13" t="str">
        <f t="shared" si="2"/>
        <v>C00552|Rahul Iyer|30|East|Guwahati|Standard|Email|1/5/2023|21|Monthly|Credit Card|1,543|3|0|28.80|3.7|7/22/2023|8/10/2023|Churned|Automation</v>
      </c>
      <c r="W1653" s="13">
        <f t="shared" si="3"/>
        <v>1</v>
      </c>
      <c r="X1653" s="13">
        <f>IFERROR(__xludf.DUMMYFUNCTION("COUNTUNIQUE(FILTER($B$2:$B$1826,$A$2:$A$1826=A1653))"),1.0)</f>
        <v>1</v>
      </c>
    </row>
    <row r="1654">
      <c r="A1654" s="13" t="s">
        <v>1796</v>
      </c>
      <c r="B1654" s="13" t="s">
        <v>340</v>
      </c>
      <c r="C1654" s="14">
        <v>39.0</v>
      </c>
      <c r="D1654" s="13" t="s">
        <v>35</v>
      </c>
      <c r="E1654" s="13" t="s">
        <v>38</v>
      </c>
      <c r="F1654" s="13" t="s">
        <v>62</v>
      </c>
      <c r="G1654" s="13" t="s">
        <v>63</v>
      </c>
      <c r="H1654" s="16">
        <v>44820.0</v>
      </c>
      <c r="I1654" s="14">
        <v>20.0</v>
      </c>
      <c r="J1654" s="13" t="s">
        <v>64</v>
      </c>
      <c r="K1654" s="13" t="s">
        <v>65</v>
      </c>
      <c r="L1654" s="14">
        <v>668.0</v>
      </c>
      <c r="M1654" s="18" t="s">
        <v>98</v>
      </c>
      <c r="N1654" s="18" t="s">
        <v>46</v>
      </c>
      <c r="O1654" s="18">
        <v>29.7</v>
      </c>
      <c r="P1654" s="18" t="s">
        <v>203</v>
      </c>
      <c r="Q1654" s="16">
        <v>45237.0</v>
      </c>
      <c r="R1654" s="16" t="s">
        <v>38</v>
      </c>
      <c r="S1654" s="13" t="s">
        <v>55</v>
      </c>
      <c r="T1654" s="13" t="s">
        <v>72</v>
      </c>
      <c r="U1654" s="13">
        <f t="shared" si="1"/>
        <v>3</v>
      </c>
      <c r="V1654" s="13" t="str">
        <f t="shared" si="2"/>
        <v>C00010|Meera Sharma|39|North||Basic|Google Ads|9/16/2022|20|Annual|Credit Card|668|1|0|29.70|3.7|11/7/2023||Active|Collaboration</v>
      </c>
      <c r="W1654" s="13">
        <f t="shared" si="3"/>
        <v>1</v>
      </c>
      <c r="X1654" s="13">
        <f>IFERROR(__xludf.DUMMYFUNCTION("COUNTUNIQUE(FILTER($B$2:$B$1826,$A$2:$A$1826=A1654))"),3.0)</f>
        <v>3</v>
      </c>
    </row>
    <row r="1655">
      <c r="A1655" s="13" t="s">
        <v>1049</v>
      </c>
      <c r="B1655" s="13" t="s">
        <v>364</v>
      </c>
      <c r="C1655" s="14">
        <v>34.0</v>
      </c>
      <c r="D1655" s="13" t="s">
        <v>60</v>
      </c>
      <c r="E1655" s="13" t="s">
        <v>61</v>
      </c>
      <c r="F1655" s="13" t="s">
        <v>62</v>
      </c>
      <c r="G1655" s="13" t="s">
        <v>128</v>
      </c>
      <c r="H1655" s="16">
        <v>45583.0</v>
      </c>
      <c r="I1655" s="14">
        <v>37.0</v>
      </c>
      <c r="J1655" s="13" t="s">
        <v>40</v>
      </c>
      <c r="K1655" s="13" t="s">
        <v>41</v>
      </c>
      <c r="L1655" s="14">
        <v>506.0</v>
      </c>
      <c r="M1655" s="18" t="s">
        <v>43</v>
      </c>
      <c r="N1655" s="18" t="s">
        <v>98</v>
      </c>
      <c r="O1655" s="18">
        <v>28.2</v>
      </c>
      <c r="P1655" s="18" t="s">
        <v>248</v>
      </c>
      <c r="Q1655" s="16">
        <v>45929.0</v>
      </c>
      <c r="R1655" s="16">
        <v>46368.0</v>
      </c>
      <c r="S1655" s="13" t="s">
        <v>45</v>
      </c>
      <c r="T1655" s="13" t="s">
        <v>47</v>
      </c>
      <c r="U1655" s="13">
        <f t="shared" si="1"/>
        <v>2</v>
      </c>
      <c r="V1655" s="13" t="str">
        <f t="shared" si="2"/>
        <v>C00940|Sneha Kumar|34|East|Kolkata|Basic|Youtube|10/18/2024|37|Monthly|Upi|506|2|1|28.20|2.6|9/29/2025|12/12/2026|Churned|Cloud Storage</v>
      </c>
      <c r="W1655" s="13">
        <f t="shared" si="3"/>
        <v>1</v>
      </c>
      <c r="X1655" s="13">
        <f>IFERROR(__xludf.DUMMYFUNCTION("COUNTUNIQUE(FILTER($B$2:$B$1826,$A$2:$A$1826=A1655))"),2.0)</f>
        <v>2</v>
      </c>
    </row>
    <row r="1656">
      <c r="A1656" s="13" t="s">
        <v>2099</v>
      </c>
      <c r="B1656" s="13" t="s">
        <v>331</v>
      </c>
      <c r="C1656" s="14">
        <v>20.0</v>
      </c>
      <c r="D1656" s="13" t="s">
        <v>60</v>
      </c>
      <c r="E1656" s="13" t="s">
        <v>107</v>
      </c>
      <c r="F1656" s="13" t="s">
        <v>62</v>
      </c>
      <c r="G1656" s="13" t="s">
        <v>80</v>
      </c>
      <c r="H1656" s="16">
        <v>44731.0</v>
      </c>
      <c r="I1656" s="14">
        <v>21.0</v>
      </c>
      <c r="J1656" s="13" t="s">
        <v>40</v>
      </c>
      <c r="K1656" s="13" t="s">
        <v>81</v>
      </c>
      <c r="L1656" s="14">
        <v>570.0</v>
      </c>
      <c r="M1656" s="18" t="s">
        <v>43</v>
      </c>
      <c r="N1656" s="18" t="s">
        <v>98</v>
      </c>
      <c r="O1656" s="18">
        <v>22.5</v>
      </c>
      <c r="P1656" s="18" t="s">
        <v>449</v>
      </c>
      <c r="Q1656" s="16">
        <v>44972.0</v>
      </c>
      <c r="R1656" s="16" t="s">
        <v>38</v>
      </c>
      <c r="S1656" s="13" t="s">
        <v>55</v>
      </c>
      <c r="T1656" s="13" t="s">
        <v>75</v>
      </c>
      <c r="U1656" s="13">
        <f t="shared" si="1"/>
        <v>1</v>
      </c>
      <c r="V1656" s="13" t="str">
        <f t="shared" si="2"/>
        <v>C01271|Arun Iyer|20|East|Patna|Basic|Organic Search|6/19/2022|21|Monthly|Debit Card|570|2|1|22.50|2.7|2/15/2023||Active|Security</v>
      </c>
      <c r="W1656" s="13">
        <f t="shared" si="3"/>
        <v>1</v>
      </c>
      <c r="X1656" s="13">
        <f>IFERROR(__xludf.DUMMYFUNCTION("COUNTUNIQUE(FILTER($B$2:$B$1826,$A$2:$A$1826=A1656))"),1.0)</f>
        <v>1</v>
      </c>
    </row>
    <row r="1657">
      <c r="A1657" s="13" t="s">
        <v>1707</v>
      </c>
      <c r="B1657" s="13" t="s">
        <v>398</v>
      </c>
      <c r="C1657" s="14">
        <v>45.0</v>
      </c>
      <c r="D1657" s="13" t="s">
        <v>69</v>
      </c>
      <c r="E1657" s="13" t="s">
        <v>70</v>
      </c>
      <c r="F1657" s="13" t="s">
        <v>62</v>
      </c>
      <c r="G1657" s="13" t="s">
        <v>63</v>
      </c>
      <c r="H1657" s="16">
        <v>45556.0</v>
      </c>
      <c r="I1657" s="14">
        <v>19.0</v>
      </c>
      <c r="J1657" s="13" t="s">
        <v>53</v>
      </c>
      <c r="K1657" s="13" t="s">
        <v>81</v>
      </c>
      <c r="L1657" s="14">
        <v>806.0</v>
      </c>
      <c r="M1657" s="18" t="s">
        <v>98</v>
      </c>
      <c r="N1657" s="18" t="s">
        <v>98</v>
      </c>
      <c r="O1657" s="18">
        <v>22.6</v>
      </c>
      <c r="P1657" s="18" t="s">
        <v>275</v>
      </c>
      <c r="Q1657" s="16">
        <v>45700.0</v>
      </c>
      <c r="R1657" s="16" t="s">
        <v>2101</v>
      </c>
      <c r="S1657" s="13" t="s">
        <v>45</v>
      </c>
      <c r="T1657" s="13" t="s">
        <v>47</v>
      </c>
      <c r="U1657" s="13">
        <f t="shared" si="1"/>
        <v>4</v>
      </c>
      <c r="V1657" s="13" t="str">
        <f t="shared" si="2"/>
        <v>C00804|Vikram Sharma|45|South|Bengaluru|Basic|Google Ads|9/21/2024|19|Quarterly|Debit Card|806|1|1|22.60|4.3|2/12/2025|17/11/2024|Churned|Cloud Storage</v>
      </c>
      <c r="W1657" s="13">
        <f t="shared" si="3"/>
        <v>1</v>
      </c>
      <c r="X1657" s="13">
        <f>IFERROR(__xludf.DUMMYFUNCTION("COUNTUNIQUE(FILTER($B$2:$B$1826,$A$2:$A$1826=A1657))"),4.0)</f>
        <v>4</v>
      </c>
    </row>
    <row r="1658">
      <c r="A1658" s="13" t="s">
        <v>983</v>
      </c>
      <c r="B1658" s="13" t="s">
        <v>74</v>
      </c>
      <c r="C1658" s="14">
        <v>32.0</v>
      </c>
      <c r="D1658" s="13" t="s">
        <v>60</v>
      </c>
      <c r="E1658" s="13" t="s">
        <v>97</v>
      </c>
      <c r="F1658" s="13" t="s">
        <v>37</v>
      </c>
      <c r="G1658" s="13" t="s">
        <v>120</v>
      </c>
      <c r="H1658" s="16">
        <v>45345.0</v>
      </c>
      <c r="I1658" s="14">
        <v>39.0</v>
      </c>
      <c r="J1658" s="13" t="s">
        <v>40</v>
      </c>
      <c r="K1658" s="13" t="s">
        <v>41</v>
      </c>
      <c r="L1658" s="14">
        <v>1404.0</v>
      </c>
      <c r="M1658" s="18" t="s">
        <v>98</v>
      </c>
      <c r="N1658" s="18" t="s">
        <v>98</v>
      </c>
      <c r="O1658" s="18">
        <v>24.1</v>
      </c>
      <c r="P1658" s="18" t="s">
        <v>225</v>
      </c>
      <c r="Q1658" s="16">
        <v>45613.0</v>
      </c>
      <c r="R1658" s="16" t="s">
        <v>38</v>
      </c>
      <c r="S1658" s="13" t="s">
        <v>55</v>
      </c>
      <c r="T1658" s="13" t="s">
        <v>66</v>
      </c>
      <c r="U1658" s="13">
        <f t="shared" si="1"/>
        <v>2</v>
      </c>
      <c r="V1658" s="13" t="str">
        <f t="shared" si="2"/>
        <v>C00245|Anita Kumar|32|East|Bhubaneswar|Standard|Email|2/23/2024|39|Monthly|Upi|1,404|1|1|24.10|3.8|11/17/2024||Active|Automation</v>
      </c>
      <c r="W1658" s="13">
        <f t="shared" si="3"/>
        <v>1</v>
      </c>
      <c r="X1658" s="13">
        <f>IFERROR(__xludf.DUMMYFUNCTION("COUNTUNIQUE(FILTER($B$2:$B$1826,$A$2:$A$1826=A1658))"),2.0)</f>
        <v>2</v>
      </c>
    </row>
    <row r="1659">
      <c r="A1659" s="13" t="s">
        <v>1418</v>
      </c>
      <c r="B1659" s="13" t="s">
        <v>651</v>
      </c>
      <c r="C1659" s="14">
        <v>55.0</v>
      </c>
      <c r="D1659" s="13" t="s">
        <v>35</v>
      </c>
      <c r="E1659" s="13" t="s">
        <v>161</v>
      </c>
      <c r="F1659" s="13" t="s">
        <v>37</v>
      </c>
      <c r="G1659" s="13" t="s">
        <v>128</v>
      </c>
      <c r="H1659" s="16">
        <v>45295.0</v>
      </c>
      <c r="I1659" s="14">
        <v>1.0</v>
      </c>
      <c r="J1659" s="13" t="s">
        <v>40</v>
      </c>
      <c r="K1659" s="13" t="s">
        <v>81</v>
      </c>
      <c r="L1659" s="14">
        <v>1427.0</v>
      </c>
      <c r="M1659" s="18" t="s">
        <v>46</v>
      </c>
      <c r="N1659" s="18" t="s">
        <v>98</v>
      </c>
      <c r="O1659" s="18">
        <v>34.2</v>
      </c>
      <c r="P1659" s="18" t="s">
        <v>89</v>
      </c>
      <c r="Q1659" s="16">
        <v>45342.0</v>
      </c>
      <c r="R1659" s="16" t="s">
        <v>38</v>
      </c>
      <c r="S1659" s="13" t="s">
        <v>55</v>
      </c>
      <c r="T1659" s="13" t="s">
        <v>47</v>
      </c>
      <c r="U1659" s="13">
        <f t="shared" si="1"/>
        <v>3</v>
      </c>
      <c r="V1659" s="13" t="str">
        <f t="shared" si="2"/>
        <v>C00322|Arun Sharma|55|North|Chandigarh|Standard|Youtube|1/4/2024|1|Monthly|Debit Card|1,427|0|1|34.20|3.3|2/20/2024||Active|Cloud Storage</v>
      </c>
      <c r="W1659" s="13">
        <f t="shared" si="3"/>
        <v>1</v>
      </c>
      <c r="X1659" s="13">
        <f>IFERROR(__xludf.DUMMYFUNCTION("COUNTUNIQUE(FILTER($B$2:$B$1826,$A$2:$A$1826=A1659))"),3.0)</f>
        <v>3</v>
      </c>
    </row>
    <row r="1660">
      <c r="A1660" s="13" t="s">
        <v>752</v>
      </c>
      <c r="B1660" s="13" t="s">
        <v>448</v>
      </c>
      <c r="C1660" s="14">
        <v>46.0</v>
      </c>
      <c r="D1660" s="13" t="s">
        <v>60</v>
      </c>
      <c r="E1660" s="13" t="s">
        <v>97</v>
      </c>
      <c r="F1660" s="13" t="s">
        <v>37</v>
      </c>
      <c r="G1660" s="13" t="s">
        <v>120</v>
      </c>
      <c r="H1660" s="16">
        <v>44735.0</v>
      </c>
      <c r="I1660" s="14">
        <v>39.0</v>
      </c>
      <c r="J1660" s="13" t="s">
        <v>40</v>
      </c>
      <c r="K1660" s="13" t="s">
        <v>41</v>
      </c>
      <c r="L1660" s="14">
        <v>1660.0</v>
      </c>
      <c r="M1660" s="18" t="s">
        <v>98</v>
      </c>
      <c r="N1660" s="18" t="s">
        <v>43</v>
      </c>
      <c r="O1660" s="18">
        <v>31.8</v>
      </c>
      <c r="P1660" s="18" t="s">
        <v>233</v>
      </c>
      <c r="Q1660" s="16">
        <v>45121.0</v>
      </c>
      <c r="R1660" s="16" t="s">
        <v>38</v>
      </c>
      <c r="S1660" s="13" t="s">
        <v>529</v>
      </c>
      <c r="T1660" s="13" t="s">
        <v>47</v>
      </c>
      <c r="U1660" s="13">
        <f t="shared" si="1"/>
        <v>2</v>
      </c>
      <c r="V1660" s="13" t="str">
        <f t="shared" si="2"/>
        <v>C00434|Meera Reddy|46|East|Bhubaneswar|Standard|Email|6/23/2022|39|Monthly|Upi|1,660|1|2|31.80|3.5|7/14/2023||No|Cloud Storage</v>
      </c>
      <c r="W1660" s="13">
        <f t="shared" si="3"/>
        <v>1</v>
      </c>
      <c r="X1660" s="13">
        <f>IFERROR(__xludf.DUMMYFUNCTION("COUNTUNIQUE(FILTER($B$2:$B$1826,$A$2:$A$1826=A1660))"),2.0)</f>
        <v>2</v>
      </c>
    </row>
    <row r="1661">
      <c r="A1661" s="13" t="s">
        <v>1087</v>
      </c>
      <c r="B1661" s="13" t="s">
        <v>232</v>
      </c>
      <c r="C1661" s="14">
        <v>19.0</v>
      </c>
      <c r="D1661" s="13" t="s">
        <v>60</v>
      </c>
      <c r="E1661" s="13" t="s">
        <v>133</v>
      </c>
      <c r="F1661" s="13" t="s">
        <v>37</v>
      </c>
      <c r="G1661" s="13" t="s">
        <v>52</v>
      </c>
      <c r="H1661" s="16">
        <v>45137.0</v>
      </c>
      <c r="I1661" s="14">
        <v>45.0</v>
      </c>
      <c r="J1661" s="13" t="s">
        <v>64</v>
      </c>
      <c r="K1661" s="13" t="s">
        <v>65</v>
      </c>
      <c r="L1661" s="14">
        <v>1756.0</v>
      </c>
      <c r="M1661" s="18" t="s">
        <v>43</v>
      </c>
      <c r="N1661" s="18" t="s">
        <v>46</v>
      </c>
      <c r="O1661" s="18">
        <v>33.6</v>
      </c>
      <c r="P1661" s="18" t="s">
        <v>143</v>
      </c>
      <c r="Q1661" s="16">
        <v>45871.0</v>
      </c>
      <c r="R1661" s="16" t="s">
        <v>38</v>
      </c>
      <c r="S1661" s="13" t="s">
        <v>55</v>
      </c>
      <c r="T1661" s="13" t="s">
        <v>66</v>
      </c>
      <c r="U1661" s="13">
        <f t="shared" si="1"/>
        <v>3</v>
      </c>
      <c r="V1661" s="13" t="str">
        <f t="shared" si="2"/>
        <v>C00378|Meera Iyer|19|East|Guwahati|Standard|Facebook|7/30/2023|45|Annual|Credit Card|1,756|2|0|33.60|2.1|8/2/2025||Active|Automation</v>
      </c>
      <c r="W1661" s="13">
        <f t="shared" si="3"/>
        <v>1</v>
      </c>
      <c r="X1661" s="13">
        <f>IFERROR(__xludf.DUMMYFUNCTION("COUNTUNIQUE(FILTER($B$2:$B$1826,$A$2:$A$1826=A1661))"),3.0)</f>
        <v>3</v>
      </c>
    </row>
    <row r="1662">
      <c r="A1662" s="13" t="s">
        <v>2031</v>
      </c>
      <c r="B1662" s="13" t="s">
        <v>118</v>
      </c>
      <c r="C1662" s="14">
        <v>48.0</v>
      </c>
      <c r="D1662" s="13" t="s">
        <v>69</v>
      </c>
      <c r="E1662" s="13" t="s">
        <v>187</v>
      </c>
      <c r="F1662" s="13" t="s">
        <v>79</v>
      </c>
      <c r="G1662" s="13" t="s">
        <v>128</v>
      </c>
      <c r="H1662" s="16">
        <v>45266.0</v>
      </c>
      <c r="I1662" s="14">
        <v>47.0</v>
      </c>
      <c r="J1662" s="13" t="s">
        <v>64</v>
      </c>
      <c r="K1662" s="13" t="s">
        <v>41</v>
      </c>
      <c r="L1662" s="14">
        <v>610.0</v>
      </c>
      <c r="M1662" s="18" t="s">
        <v>99</v>
      </c>
      <c r="N1662" s="18" t="s">
        <v>43</v>
      </c>
      <c r="O1662" s="18">
        <v>15.6</v>
      </c>
      <c r="P1662" s="18" t="s">
        <v>173</v>
      </c>
      <c r="Q1662" s="16">
        <v>45755.0</v>
      </c>
      <c r="R1662" s="16" t="s">
        <v>548</v>
      </c>
      <c r="S1662" s="13" t="s">
        <v>45</v>
      </c>
      <c r="T1662" s="13" t="s">
        <v>72</v>
      </c>
      <c r="U1662" s="13">
        <f t="shared" si="1"/>
        <v>2</v>
      </c>
      <c r="V1662" s="13" t="str">
        <f t="shared" si="2"/>
        <v>C01274|Karan Nair|48|South|Chennai|Premium|Youtube|12/6/2023|47|Annual|Upi|610|4|2|15.60|5|4/8/2025|22/06/2024|Churned|Collaboration</v>
      </c>
      <c r="W1662" s="13">
        <f t="shared" si="3"/>
        <v>1</v>
      </c>
      <c r="X1662" s="13">
        <f>IFERROR(__xludf.DUMMYFUNCTION("COUNTUNIQUE(FILTER($B$2:$B$1826,$A$2:$A$1826=A1662))"),2.0)</f>
        <v>2</v>
      </c>
    </row>
    <row r="1663">
      <c r="A1663" s="13" t="s">
        <v>2032</v>
      </c>
      <c r="B1663" s="13" t="s">
        <v>312</v>
      </c>
      <c r="C1663" s="14">
        <v>62.0</v>
      </c>
      <c r="D1663" s="13" t="s">
        <v>35</v>
      </c>
      <c r="E1663" s="13" t="s">
        <v>92</v>
      </c>
      <c r="F1663" s="13" t="s">
        <v>62</v>
      </c>
      <c r="G1663" s="13" t="s">
        <v>210</v>
      </c>
      <c r="H1663" s="16">
        <v>45063.0</v>
      </c>
      <c r="I1663" s="14">
        <v>29.0</v>
      </c>
      <c r="J1663" s="13" t="s">
        <v>64</v>
      </c>
      <c r="K1663" s="13" t="s">
        <v>81</v>
      </c>
      <c r="L1663" s="14">
        <v>877.0</v>
      </c>
      <c r="M1663" s="18" t="s">
        <v>98</v>
      </c>
      <c r="N1663" s="18" t="s">
        <v>43</v>
      </c>
      <c r="O1663" s="18">
        <v>9.1</v>
      </c>
      <c r="P1663" s="18" t="s">
        <v>99</v>
      </c>
      <c r="Q1663" s="16">
        <v>45375.0</v>
      </c>
      <c r="R1663" s="16" t="s">
        <v>38</v>
      </c>
      <c r="S1663" s="13" t="s">
        <v>55</v>
      </c>
      <c r="T1663" s="13" t="s">
        <v>104</v>
      </c>
      <c r="U1663" s="13">
        <f t="shared" si="1"/>
        <v>2</v>
      </c>
      <c r="V1663" s="13" t="str">
        <f t="shared" si="2"/>
        <v>C00679|Anita Singh|62|North|Ahmedabad|Basic|Referral|5/17/2023|29|Annual|Debit Card|877|1|2|9.10|4|3/24/2024||Active|Analytics</v>
      </c>
      <c r="W1663" s="13">
        <f t="shared" si="3"/>
        <v>1</v>
      </c>
      <c r="X1663" s="13">
        <f>IFERROR(__xludf.DUMMYFUNCTION("COUNTUNIQUE(FILTER($B$2:$B$1826,$A$2:$A$1826=A1663))"),2.0)</f>
        <v>2</v>
      </c>
    </row>
    <row r="1664">
      <c r="A1664" s="13" t="s">
        <v>2102</v>
      </c>
      <c r="B1664" s="13" t="s">
        <v>135</v>
      </c>
      <c r="C1664" s="14">
        <v>27.0</v>
      </c>
      <c r="D1664" s="13" t="s">
        <v>85</v>
      </c>
      <c r="E1664" s="13" t="s">
        <v>87</v>
      </c>
      <c r="F1664" s="13" t="s">
        <v>62</v>
      </c>
      <c r="G1664" s="13" t="s">
        <v>120</v>
      </c>
      <c r="H1664" s="16">
        <v>45438.0</v>
      </c>
      <c r="I1664" s="14">
        <v>22.0</v>
      </c>
      <c r="J1664" s="13" t="s">
        <v>40</v>
      </c>
      <c r="K1664" s="13" t="s">
        <v>81</v>
      </c>
      <c r="L1664" s="14">
        <v>589.0</v>
      </c>
      <c r="M1664" s="18" t="s">
        <v>43</v>
      </c>
      <c r="N1664" s="18" t="s">
        <v>46</v>
      </c>
      <c r="O1664" s="18">
        <v>15.9</v>
      </c>
      <c r="P1664" s="18" t="s">
        <v>99</v>
      </c>
      <c r="Q1664" s="16">
        <v>46111.0</v>
      </c>
      <c r="R1664" s="16" t="s">
        <v>38</v>
      </c>
      <c r="S1664" s="13" t="s">
        <v>55</v>
      </c>
      <c r="T1664" s="13" t="s">
        <v>47</v>
      </c>
      <c r="U1664" s="13">
        <f t="shared" si="1"/>
        <v>1</v>
      </c>
      <c r="V1664" s="13" t="str">
        <f t="shared" si="2"/>
        <v>C00165|Karan Sharma|27|West|Surat|Basic|Email|5/26/2024|22|Monthly|Debit Card|589|2|0|15.90|4|3/30/2026||Active|Cloud Storage</v>
      </c>
      <c r="W1664" s="13">
        <f t="shared" si="3"/>
        <v>1</v>
      </c>
      <c r="X1664" s="13">
        <f>IFERROR(__xludf.DUMMYFUNCTION("COUNTUNIQUE(FILTER($B$2:$B$1826,$A$2:$A$1826=A1664))"),1.0)</f>
        <v>1</v>
      </c>
    </row>
    <row r="1665">
      <c r="A1665" s="13" t="s">
        <v>1730</v>
      </c>
      <c r="B1665" s="13" t="s">
        <v>160</v>
      </c>
      <c r="C1665" s="14">
        <v>23.0</v>
      </c>
      <c r="D1665" s="13" t="s">
        <v>35</v>
      </c>
      <c r="E1665" s="13" t="s">
        <v>161</v>
      </c>
      <c r="F1665" s="13" t="s">
        <v>37</v>
      </c>
      <c r="G1665" s="13" t="s">
        <v>63</v>
      </c>
      <c r="H1665" s="16">
        <v>45395.0</v>
      </c>
      <c r="I1665" s="14">
        <v>43.0</v>
      </c>
      <c r="J1665" s="13" t="s">
        <v>64</v>
      </c>
      <c r="K1665" s="13" t="s">
        <v>41</v>
      </c>
      <c r="L1665" s="14">
        <v>1638.0</v>
      </c>
      <c r="M1665" s="18" t="s">
        <v>164</v>
      </c>
      <c r="N1665" s="18" t="s">
        <v>98</v>
      </c>
      <c r="O1665" s="18">
        <v>39.4</v>
      </c>
      <c r="P1665" s="18" t="s">
        <v>99</v>
      </c>
      <c r="Q1665" s="16">
        <v>45724.0</v>
      </c>
      <c r="R1665" s="16" t="s">
        <v>38</v>
      </c>
      <c r="S1665" s="13" t="s">
        <v>55</v>
      </c>
      <c r="T1665" s="13" t="s">
        <v>75</v>
      </c>
      <c r="U1665" s="13">
        <f t="shared" si="1"/>
        <v>2</v>
      </c>
      <c r="V1665" s="13" t="str">
        <f t="shared" si="2"/>
        <v>C01135|Rahul Singh|23|North|Chandigarh|Standard|Google Ads|4/13/2024|43|Annual|Upi|1,638|3|1|39.40|4|3/8/2025||Active|Security</v>
      </c>
      <c r="W1665" s="13">
        <f t="shared" si="3"/>
        <v>1</v>
      </c>
      <c r="X1665" s="13">
        <f>IFERROR(__xludf.DUMMYFUNCTION("COUNTUNIQUE(FILTER($B$2:$B$1826,$A$2:$A$1826=A1665))"),2.0)</f>
        <v>2</v>
      </c>
    </row>
    <row r="1666">
      <c r="A1666" s="13" t="s">
        <v>437</v>
      </c>
      <c r="B1666" s="13" t="s">
        <v>316</v>
      </c>
      <c r="C1666" s="14">
        <v>26.0</v>
      </c>
      <c r="D1666" s="13" t="s">
        <v>85</v>
      </c>
      <c r="E1666" s="13" t="s">
        <v>292</v>
      </c>
      <c r="F1666" s="13" t="s">
        <v>62</v>
      </c>
      <c r="G1666" s="13" t="s">
        <v>128</v>
      </c>
      <c r="H1666" s="16">
        <v>45540.0</v>
      </c>
      <c r="I1666" s="14">
        <v>41.0</v>
      </c>
      <c r="J1666" s="13" t="s">
        <v>64</v>
      </c>
      <c r="K1666" s="13" t="s">
        <v>65</v>
      </c>
      <c r="L1666" s="14">
        <v>670.0</v>
      </c>
      <c r="M1666" s="18" t="s">
        <v>43</v>
      </c>
      <c r="N1666" s="18" t="s">
        <v>98</v>
      </c>
      <c r="O1666" s="18">
        <v>16.8</v>
      </c>
      <c r="P1666" s="18" t="s">
        <v>400</v>
      </c>
      <c r="Q1666" s="16">
        <v>45859.0</v>
      </c>
      <c r="R1666" s="16" t="s">
        <v>38</v>
      </c>
      <c r="S1666" s="13" t="s">
        <v>55</v>
      </c>
      <c r="T1666" s="13" t="s">
        <v>66</v>
      </c>
      <c r="U1666" s="13">
        <f t="shared" si="1"/>
        <v>2</v>
      </c>
      <c r="V1666" s="13" t="str">
        <f t="shared" si="2"/>
        <v>C00980|Neha Nair|26|West|Mumbai|Basic|Youtube|9/5/2024|41|Annual|Credit Card|670|2|1|16.80|4.8|7/21/2025||Active|Automation</v>
      </c>
      <c r="W1666" s="13">
        <f t="shared" si="3"/>
        <v>1</v>
      </c>
      <c r="X1666" s="13">
        <f>IFERROR(__xludf.DUMMYFUNCTION("COUNTUNIQUE(FILTER($B$2:$B$1826,$A$2:$A$1826=A1666))"),2.0)</f>
        <v>2</v>
      </c>
    </row>
    <row r="1667">
      <c r="A1667" s="13" t="s">
        <v>1603</v>
      </c>
      <c r="B1667" s="13" t="s">
        <v>235</v>
      </c>
      <c r="C1667" s="14">
        <v>24.0</v>
      </c>
      <c r="D1667" s="13" t="s">
        <v>35</v>
      </c>
      <c r="E1667" s="13" t="s">
        <v>51</v>
      </c>
      <c r="F1667" s="13" t="s">
        <v>62</v>
      </c>
      <c r="G1667" s="13" t="s">
        <v>52</v>
      </c>
      <c r="H1667" s="16">
        <v>45620.0</v>
      </c>
      <c r="I1667" s="14">
        <v>47.0</v>
      </c>
      <c r="J1667" s="13" t="s">
        <v>53</v>
      </c>
      <c r="K1667" s="13" t="s">
        <v>41</v>
      </c>
      <c r="L1667" s="14">
        <v>761.0</v>
      </c>
      <c r="M1667" s="18" t="s">
        <v>43</v>
      </c>
      <c r="N1667" s="18" t="s">
        <v>46</v>
      </c>
      <c r="O1667" s="18">
        <v>19.3</v>
      </c>
      <c r="P1667" s="18" t="s">
        <v>296</v>
      </c>
      <c r="Q1667" s="16">
        <v>46081.0</v>
      </c>
      <c r="R1667" s="16" t="s">
        <v>38</v>
      </c>
      <c r="S1667" s="13" t="s">
        <v>55</v>
      </c>
      <c r="T1667" s="13" t="s">
        <v>66</v>
      </c>
      <c r="U1667" s="13">
        <f t="shared" si="1"/>
        <v>2</v>
      </c>
      <c r="V1667" s="13" t="str">
        <f t="shared" si="2"/>
        <v>C00319|Sneha Sharma|24|North|Jaipur|Basic|Facebook|11/24/2024|47|Quarterly|Upi|761|2|0|19.30|4.6|2/28/2026||Active|Automation</v>
      </c>
      <c r="W1667" s="13">
        <f t="shared" si="3"/>
        <v>1</v>
      </c>
      <c r="X1667" s="13">
        <f>IFERROR(__xludf.DUMMYFUNCTION("COUNTUNIQUE(FILTER($B$2:$B$1826,$A$2:$A$1826=A1667))"),2.0)</f>
        <v>2</v>
      </c>
    </row>
    <row r="1668">
      <c r="A1668" s="13" t="s">
        <v>539</v>
      </c>
      <c r="B1668" s="13" t="s">
        <v>605</v>
      </c>
      <c r="C1668" s="14">
        <v>34.0</v>
      </c>
      <c r="D1668" s="13" t="s">
        <v>69</v>
      </c>
      <c r="E1668" s="13" t="s">
        <v>70</v>
      </c>
      <c r="F1668" s="13" t="s">
        <v>62</v>
      </c>
      <c r="G1668" s="13" t="s">
        <v>52</v>
      </c>
      <c r="H1668" s="16">
        <v>45063.0</v>
      </c>
      <c r="I1668" s="14">
        <v>30.0</v>
      </c>
      <c r="J1668" s="13" t="s">
        <v>64</v>
      </c>
      <c r="K1668" s="13" t="s">
        <v>81</v>
      </c>
      <c r="L1668" s="14">
        <v>894.0</v>
      </c>
      <c r="M1668" s="18" t="s">
        <v>164</v>
      </c>
      <c r="N1668" s="18" t="s">
        <v>46</v>
      </c>
      <c r="O1668" s="18">
        <v>13.5</v>
      </c>
      <c r="P1668" s="18" t="s">
        <v>310</v>
      </c>
      <c r="Q1668" s="16">
        <v>45843.0</v>
      </c>
      <c r="R1668" s="16" t="s">
        <v>2103</v>
      </c>
      <c r="S1668" s="13" t="s">
        <v>45</v>
      </c>
      <c r="T1668" s="13" t="s">
        <v>104</v>
      </c>
      <c r="U1668" s="13">
        <f t="shared" si="1"/>
        <v>3</v>
      </c>
      <c r="V1668" s="13" t="str">
        <f t="shared" si="2"/>
        <v>C00639|Meera Patel|34|South|Bengaluru|Basic|Facebook|5/17/2023|30|Annual|Debit Card|894|3|0|13.50|3.1|7/5/2025|17/12/2024|Churned|Analytics</v>
      </c>
      <c r="W1668" s="13">
        <f t="shared" si="3"/>
        <v>1</v>
      </c>
      <c r="X1668" s="13">
        <f>IFERROR(__xludf.DUMMYFUNCTION("COUNTUNIQUE(FILTER($B$2:$B$1826,$A$2:$A$1826=A1668))"),2.0)</f>
        <v>2</v>
      </c>
    </row>
    <row r="1669">
      <c r="A1669" s="13" t="s">
        <v>2104</v>
      </c>
      <c r="B1669" s="13" t="s">
        <v>383</v>
      </c>
      <c r="C1669" s="14">
        <v>67.0</v>
      </c>
      <c r="D1669" s="13" t="s">
        <v>69</v>
      </c>
      <c r="E1669" s="13" t="s">
        <v>177</v>
      </c>
      <c r="F1669" s="13" t="s">
        <v>62</v>
      </c>
      <c r="G1669" s="13" t="s">
        <v>80</v>
      </c>
      <c r="H1669" s="16">
        <v>45911.0</v>
      </c>
      <c r="I1669" s="14">
        <v>41.0</v>
      </c>
      <c r="J1669" s="13" t="s">
        <v>64</v>
      </c>
      <c r="K1669" s="13" t="s">
        <v>81</v>
      </c>
      <c r="L1669" s="14">
        <v>693.0</v>
      </c>
      <c r="M1669" s="18" t="s">
        <v>173</v>
      </c>
      <c r="N1669" s="18" t="s">
        <v>98</v>
      </c>
      <c r="O1669" s="18">
        <v>18.0</v>
      </c>
      <c r="P1669" s="18" t="s">
        <v>233</v>
      </c>
      <c r="Q1669" s="16">
        <v>46348.0</v>
      </c>
      <c r="R1669" s="16" t="s">
        <v>38</v>
      </c>
      <c r="S1669" s="13" t="s">
        <v>55</v>
      </c>
      <c r="T1669" s="13" t="s">
        <v>72</v>
      </c>
      <c r="U1669" s="13">
        <f t="shared" si="1"/>
        <v>1</v>
      </c>
      <c r="V1669" s="13" t="str">
        <f t="shared" si="2"/>
        <v>C00425|Rahul Nair|67|South|Hyderabad|Basic|Organic Search|9/11/2025|41|Annual|Debit Card|693|5|1|18.00|3.5|11/22/2026||Active|Collaboration</v>
      </c>
      <c r="W1669" s="13">
        <f t="shared" si="3"/>
        <v>1</v>
      </c>
      <c r="X1669" s="13">
        <f>IFERROR(__xludf.DUMMYFUNCTION("COUNTUNIQUE(FILTER($B$2:$B$1826,$A$2:$A$1826=A1669))"),1.0)</f>
        <v>1</v>
      </c>
    </row>
    <row r="1670">
      <c r="A1670" s="13" t="s">
        <v>1256</v>
      </c>
      <c r="B1670" s="13" t="s">
        <v>96</v>
      </c>
      <c r="C1670" s="14">
        <v>25.0</v>
      </c>
      <c r="D1670" s="13" t="s">
        <v>85</v>
      </c>
      <c r="E1670" s="13" t="s">
        <v>111</v>
      </c>
      <c r="F1670" s="13" t="s">
        <v>37</v>
      </c>
      <c r="G1670" s="13" t="s">
        <v>120</v>
      </c>
      <c r="H1670" s="16">
        <v>45407.0</v>
      </c>
      <c r="I1670" s="14">
        <v>22.0</v>
      </c>
      <c r="J1670" s="13" t="s">
        <v>40</v>
      </c>
      <c r="K1670" s="13" t="s">
        <v>65</v>
      </c>
      <c r="L1670" s="14">
        <v>1214.0</v>
      </c>
      <c r="M1670" s="18" t="s">
        <v>43</v>
      </c>
      <c r="N1670" s="18" t="s">
        <v>46</v>
      </c>
      <c r="O1670" s="18">
        <v>24.6</v>
      </c>
      <c r="P1670" s="18" t="s">
        <v>185</v>
      </c>
      <c r="Q1670" s="16">
        <v>45953.0</v>
      </c>
      <c r="R1670" s="16" t="s">
        <v>38</v>
      </c>
      <c r="S1670" s="13" t="s">
        <v>55</v>
      </c>
      <c r="T1670" s="13" t="s">
        <v>104</v>
      </c>
      <c r="U1670" s="13">
        <f t="shared" si="1"/>
        <v>2</v>
      </c>
      <c r="V1670" s="13" t="str">
        <f t="shared" si="2"/>
        <v>C00212|Rahul Kumar|25|West|Pune|Standard|Email|4/25/2024|22|Monthly|Credit Card|1,214|2|0|24.60|3.2|10/23/2025||Active|Analytics</v>
      </c>
      <c r="W1670" s="13">
        <f t="shared" si="3"/>
        <v>1</v>
      </c>
      <c r="X1670" s="13">
        <f>IFERROR(__xludf.DUMMYFUNCTION("COUNTUNIQUE(FILTER($B$2:$B$1826,$A$2:$A$1826=A1670))"),2.0)</f>
        <v>2</v>
      </c>
    </row>
    <row r="1671">
      <c r="A1671" s="13" t="s">
        <v>1024</v>
      </c>
      <c r="B1671" s="13" t="s">
        <v>190</v>
      </c>
      <c r="C1671" s="14">
        <v>36.0</v>
      </c>
      <c r="D1671" s="13" t="s">
        <v>60</v>
      </c>
      <c r="E1671" s="13" t="s">
        <v>97</v>
      </c>
      <c r="F1671" s="13" t="s">
        <v>37</v>
      </c>
      <c r="G1671" s="13" t="s">
        <v>120</v>
      </c>
      <c r="H1671" s="16">
        <v>45161.0</v>
      </c>
      <c r="I1671" s="14">
        <v>12.0</v>
      </c>
      <c r="J1671" s="13" t="s">
        <v>53</v>
      </c>
      <c r="K1671" s="13" t="s">
        <v>65</v>
      </c>
      <c r="L1671" s="14">
        <v>1376.0</v>
      </c>
      <c r="M1671" s="18" t="s">
        <v>98</v>
      </c>
      <c r="N1671" s="18" t="s">
        <v>46</v>
      </c>
      <c r="O1671" s="18">
        <v>22.2</v>
      </c>
      <c r="P1671" s="18" t="s">
        <v>296</v>
      </c>
      <c r="Q1671" s="16">
        <v>45244.0</v>
      </c>
      <c r="R1671" s="16" t="s">
        <v>38</v>
      </c>
      <c r="S1671" s="13" t="s">
        <v>230</v>
      </c>
      <c r="T1671" s="13" t="s">
        <v>47</v>
      </c>
      <c r="U1671" s="13">
        <f t="shared" si="1"/>
        <v>3</v>
      </c>
      <c r="V1671" s="13" t="str">
        <f t="shared" si="2"/>
        <v>C00795|Sneha Patel|36|East|Bhubaneswar|Standard|Email|8/23/2023|12|Quarterly|Credit Card|1,376|1|0|22.20|4.6|11/14/2023||Yes|Cloud Storage</v>
      </c>
      <c r="W1671" s="13">
        <f t="shared" si="3"/>
        <v>1</v>
      </c>
      <c r="X1671" s="13">
        <f>IFERROR(__xludf.DUMMYFUNCTION("COUNTUNIQUE(FILTER($B$2:$B$1826,$A$2:$A$1826=A1671))"),3.0)</f>
        <v>3</v>
      </c>
    </row>
    <row r="1672">
      <c r="A1672" s="13" t="s">
        <v>1719</v>
      </c>
      <c r="B1672" s="13" t="s">
        <v>176</v>
      </c>
      <c r="C1672" s="14">
        <v>56.0</v>
      </c>
      <c r="D1672" s="13" t="s">
        <v>85</v>
      </c>
      <c r="E1672" s="13" t="s">
        <v>92</v>
      </c>
      <c r="F1672" s="13" t="s">
        <v>37</v>
      </c>
      <c r="G1672" s="13" t="s">
        <v>210</v>
      </c>
      <c r="H1672" s="16">
        <v>45352.0</v>
      </c>
      <c r="I1672" s="14">
        <v>40.0</v>
      </c>
      <c r="J1672" s="13" t="s">
        <v>53</v>
      </c>
      <c r="K1672" s="13" t="s">
        <v>41</v>
      </c>
      <c r="L1672" s="14">
        <v>1265.0</v>
      </c>
      <c r="M1672" s="18" t="s">
        <v>164</v>
      </c>
      <c r="N1672" s="18" t="s">
        <v>98</v>
      </c>
      <c r="O1672" s="18">
        <v>45.3</v>
      </c>
      <c r="P1672" s="18" t="s">
        <v>296</v>
      </c>
      <c r="Q1672" s="16">
        <v>46265.0</v>
      </c>
      <c r="R1672" s="16" t="s">
        <v>38</v>
      </c>
      <c r="S1672" s="13" t="s">
        <v>55</v>
      </c>
      <c r="T1672" s="13" t="s">
        <v>47</v>
      </c>
      <c r="U1672" s="13">
        <f t="shared" si="1"/>
        <v>3</v>
      </c>
      <c r="V1672" s="13" t="str">
        <f t="shared" si="2"/>
        <v>C00510|Ravi Iyer|56|West|Ahmedabad|Standard|Referral|3/1/2024|40|Quarterly|Upi|1,265|3|1|45.30|4.6|8/31/2026||Active|Cloud Storage</v>
      </c>
      <c r="W1672" s="13">
        <f t="shared" si="3"/>
        <v>1</v>
      </c>
      <c r="X1672" s="13">
        <f>IFERROR(__xludf.DUMMYFUNCTION("COUNTUNIQUE(FILTER($B$2:$B$1826,$A$2:$A$1826=A1672))"),2.0)</f>
        <v>2</v>
      </c>
    </row>
    <row r="1673">
      <c r="A1673" s="13" t="s">
        <v>985</v>
      </c>
      <c r="B1673" s="13" t="s">
        <v>605</v>
      </c>
      <c r="C1673" s="14">
        <v>55.0</v>
      </c>
      <c r="D1673" s="13" t="s">
        <v>60</v>
      </c>
      <c r="E1673" s="13" t="s">
        <v>107</v>
      </c>
      <c r="F1673" s="13" t="s">
        <v>37</v>
      </c>
      <c r="G1673" s="13" t="s">
        <v>63</v>
      </c>
      <c r="H1673" s="16">
        <v>45190.0</v>
      </c>
      <c r="I1673" s="14">
        <v>27.0</v>
      </c>
      <c r="J1673" s="13" t="s">
        <v>53</v>
      </c>
      <c r="K1673" s="13" t="s">
        <v>65</v>
      </c>
      <c r="L1673" s="14">
        <v>1004.0</v>
      </c>
      <c r="M1673" s="18" t="s">
        <v>98</v>
      </c>
      <c r="N1673" s="18" t="s">
        <v>43</v>
      </c>
      <c r="O1673" s="18">
        <v>23.6</v>
      </c>
      <c r="P1673" s="18" t="s">
        <v>248</v>
      </c>
      <c r="Q1673" s="16">
        <v>45623.0</v>
      </c>
      <c r="R1673" s="16" t="s">
        <v>38</v>
      </c>
      <c r="S1673" s="13" t="s">
        <v>55</v>
      </c>
      <c r="T1673" s="13" t="s">
        <v>75</v>
      </c>
      <c r="U1673" s="13">
        <f t="shared" si="1"/>
        <v>3</v>
      </c>
      <c r="V1673" s="13" t="str">
        <f t="shared" si="2"/>
        <v>C00571|Meera Patel|55|East|Patna|Standard|Google Ads|9/21/2023|27|Quarterly|Credit Card|1,004|1|2|23.60|2.6|11/27/2024||Active|Security</v>
      </c>
      <c r="W1673" s="13">
        <f t="shared" si="3"/>
        <v>1</v>
      </c>
      <c r="X1673" s="13">
        <f>IFERROR(__xludf.DUMMYFUNCTION("COUNTUNIQUE(FILTER($B$2:$B$1826,$A$2:$A$1826=A1673))"),3.0)</f>
        <v>3</v>
      </c>
    </row>
    <row r="1674">
      <c r="A1674" s="13" t="s">
        <v>1224</v>
      </c>
      <c r="B1674" s="13" t="s">
        <v>190</v>
      </c>
      <c r="C1674" s="14">
        <v>57.0</v>
      </c>
      <c r="D1674" s="13" t="s">
        <v>60</v>
      </c>
      <c r="E1674" s="13" t="s">
        <v>61</v>
      </c>
      <c r="F1674" s="13" t="s">
        <v>62</v>
      </c>
      <c r="G1674" s="13" t="s">
        <v>52</v>
      </c>
      <c r="H1674" s="16">
        <v>44673.0</v>
      </c>
      <c r="I1674" s="14">
        <v>27.0</v>
      </c>
      <c r="J1674" s="13" t="s">
        <v>40</v>
      </c>
      <c r="K1674" s="13" t="s">
        <v>81</v>
      </c>
      <c r="L1674" s="14">
        <v>883.0</v>
      </c>
      <c r="M1674" s="18" t="s">
        <v>98</v>
      </c>
      <c r="N1674" s="18" t="s">
        <v>46</v>
      </c>
      <c r="O1674" s="18">
        <v>18.6</v>
      </c>
      <c r="P1674" s="18" t="s">
        <v>48</v>
      </c>
      <c r="Q1674" s="16">
        <v>45110.0</v>
      </c>
      <c r="R1674" s="16" t="s">
        <v>2105</v>
      </c>
      <c r="S1674" s="13" t="s">
        <v>45</v>
      </c>
      <c r="T1674" s="13" t="s">
        <v>72</v>
      </c>
      <c r="U1674" s="13">
        <f t="shared" si="1"/>
        <v>3</v>
      </c>
      <c r="V1674" s="13" t="str">
        <f t="shared" si="2"/>
        <v>C01094|Sneha Patel|57|East|Kolkata|Basic|Facebook|4/22/2022|27|Monthly|Debit Card|883|1|0|18.60|3.6|7/3/2023|19/05/2024|Churned|Collaboration</v>
      </c>
      <c r="W1674" s="13">
        <f t="shared" si="3"/>
        <v>1</v>
      </c>
      <c r="X1674" s="13">
        <f>IFERROR(__xludf.DUMMYFUNCTION("COUNTUNIQUE(FILTER($B$2:$B$1826,$A$2:$A$1826=A1674))"),3.0)</f>
        <v>3</v>
      </c>
    </row>
    <row r="1675">
      <c r="A1675" s="13" t="s">
        <v>1812</v>
      </c>
      <c r="B1675" s="13" t="s">
        <v>139</v>
      </c>
      <c r="C1675" s="14">
        <v>61.0</v>
      </c>
      <c r="D1675" s="13" t="s">
        <v>35</v>
      </c>
      <c r="E1675" s="13" t="s">
        <v>140</v>
      </c>
      <c r="F1675" s="13" t="s">
        <v>37</v>
      </c>
      <c r="G1675" s="13" t="s">
        <v>39</v>
      </c>
      <c r="H1675" s="16">
        <v>45089.0</v>
      </c>
      <c r="I1675" s="14">
        <v>44.0</v>
      </c>
      <c r="J1675" s="13" t="s">
        <v>53</v>
      </c>
      <c r="K1675" s="13" t="s">
        <v>41</v>
      </c>
      <c r="L1675" s="14">
        <v>1073.0</v>
      </c>
      <c r="M1675" s="18" t="s">
        <v>43</v>
      </c>
      <c r="N1675" s="18" t="s">
        <v>46</v>
      </c>
      <c r="O1675" s="18">
        <v>33.5</v>
      </c>
      <c r="P1675" s="18" t="s">
        <v>310</v>
      </c>
      <c r="Q1675" s="16">
        <v>46277.0</v>
      </c>
      <c r="R1675" s="16" t="s">
        <v>1495</v>
      </c>
      <c r="S1675" s="13" t="s">
        <v>45</v>
      </c>
      <c r="T1675" s="13" t="s">
        <v>47</v>
      </c>
      <c r="U1675" s="13">
        <f t="shared" si="1"/>
        <v>3</v>
      </c>
      <c r="V1675" s="13" t="str">
        <f t="shared" si="2"/>
        <v>C01439|Vikram Das|61|North|Lucknow|Standard|Instagram|6/12/2023|44|Quarterly|Upi|1,073|2|0|33.50|3.1|9/12/2026|22/02/2024|Churned|Cloud Storage</v>
      </c>
      <c r="W1675" s="13">
        <f t="shared" si="3"/>
        <v>1</v>
      </c>
      <c r="X1675" s="13">
        <f>IFERROR(__xludf.DUMMYFUNCTION("COUNTUNIQUE(FILTER($B$2:$B$1826,$A$2:$A$1826=A1675))"),3.0)</f>
        <v>3</v>
      </c>
    </row>
    <row r="1676">
      <c r="A1676" s="13" t="s">
        <v>2106</v>
      </c>
      <c r="B1676" s="13" t="s">
        <v>229</v>
      </c>
      <c r="C1676" s="14">
        <v>65.0</v>
      </c>
      <c r="D1676" s="13" t="s">
        <v>69</v>
      </c>
      <c r="E1676" s="13" t="s">
        <v>177</v>
      </c>
      <c r="F1676" s="13" t="s">
        <v>79</v>
      </c>
      <c r="G1676" s="13" t="s">
        <v>120</v>
      </c>
      <c r="H1676" s="16">
        <v>45688.0</v>
      </c>
      <c r="I1676" s="14">
        <v>45.0</v>
      </c>
      <c r="J1676" s="13" t="s">
        <v>64</v>
      </c>
      <c r="K1676" s="13" t="s">
        <v>65</v>
      </c>
      <c r="L1676" s="14">
        <v>3493.0</v>
      </c>
      <c r="M1676" s="18" t="s">
        <v>164</v>
      </c>
      <c r="N1676" s="18" t="s">
        <v>46</v>
      </c>
      <c r="O1676" s="18">
        <v>42.4</v>
      </c>
      <c r="P1676" s="18" t="s">
        <v>173</v>
      </c>
      <c r="Q1676" s="16">
        <v>45710.0</v>
      </c>
      <c r="R1676" s="16">
        <v>46305.0</v>
      </c>
      <c r="S1676" s="13" t="s">
        <v>45</v>
      </c>
      <c r="T1676" s="13" t="s">
        <v>47</v>
      </c>
      <c r="U1676" s="13">
        <f t="shared" si="1"/>
        <v>1</v>
      </c>
      <c r="V1676" s="13" t="str">
        <f t="shared" si="2"/>
        <v>C00302|Anita Nair|65|South|Hyderabad|Premium|Email|1/31/2025|45|Annual|Credit Card|3,493|3|0|42.40|5|2/22/2025|10/10/2026|Churned|Cloud Storage</v>
      </c>
      <c r="W1676" s="13">
        <f t="shared" si="3"/>
        <v>1</v>
      </c>
      <c r="X1676" s="13">
        <f>IFERROR(__xludf.DUMMYFUNCTION("COUNTUNIQUE(FILTER($B$2:$B$1826,$A$2:$A$1826=A1676))"),1.0)</f>
        <v>1</v>
      </c>
    </row>
    <row r="1677">
      <c r="A1677" s="13" t="s">
        <v>1370</v>
      </c>
      <c r="B1677" s="13" t="s">
        <v>736</v>
      </c>
      <c r="C1677" s="14">
        <v>47.0</v>
      </c>
      <c r="D1677" s="13" t="s">
        <v>35</v>
      </c>
      <c r="E1677" s="13" t="s">
        <v>161</v>
      </c>
      <c r="F1677" s="13" t="s">
        <v>37</v>
      </c>
      <c r="G1677" s="13" t="s">
        <v>63</v>
      </c>
      <c r="H1677" s="16">
        <v>45501.0</v>
      </c>
      <c r="I1677" s="14">
        <v>2.0</v>
      </c>
      <c r="J1677" s="13" t="s">
        <v>64</v>
      </c>
      <c r="K1677" s="13" t="s">
        <v>81</v>
      </c>
      <c r="L1677" s="14">
        <v>1624.0</v>
      </c>
      <c r="M1677" s="18" t="s">
        <v>164</v>
      </c>
      <c r="N1677" s="18" t="s">
        <v>98</v>
      </c>
      <c r="O1677" s="18">
        <v>18.4</v>
      </c>
      <c r="P1677" s="18" t="s">
        <v>173</v>
      </c>
      <c r="Q1677" s="16">
        <v>45528.0</v>
      </c>
      <c r="R1677" s="16" t="s">
        <v>38</v>
      </c>
      <c r="S1677" s="13" t="s">
        <v>55</v>
      </c>
      <c r="T1677" s="13" t="s">
        <v>47</v>
      </c>
      <c r="U1677" s="13">
        <f t="shared" si="1"/>
        <v>2</v>
      </c>
      <c r="V1677" s="13" t="str">
        <f t="shared" si="2"/>
        <v>C00766|Priya Iyer|47|North|Chandigarh|Standard|Google Ads|7/28/2024|2|Annual|Debit Card|1,624|3|1|18.40|5|8/24/2024||Active|Cloud Storage</v>
      </c>
      <c r="W1677" s="13">
        <f t="shared" si="3"/>
        <v>1</v>
      </c>
      <c r="X1677" s="13">
        <f>IFERROR(__xludf.DUMMYFUNCTION("COUNTUNIQUE(FILTER($B$2:$B$1826,$A$2:$A$1826=A1677))"),2.0)</f>
        <v>2</v>
      </c>
    </row>
    <row r="1678">
      <c r="A1678" s="13" t="s">
        <v>2108</v>
      </c>
      <c r="B1678" s="13" t="s">
        <v>91</v>
      </c>
      <c r="C1678" s="14">
        <v>64.0</v>
      </c>
      <c r="D1678" s="13" t="s">
        <v>69</v>
      </c>
      <c r="E1678" s="13" t="s">
        <v>187</v>
      </c>
      <c r="F1678" s="13" t="s">
        <v>62</v>
      </c>
      <c r="G1678" s="13" t="s">
        <v>52</v>
      </c>
      <c r="H1678" s="16">
        <v>44881.0</v>
      </c>
      <c r="I1678" s="14">
        <v>45.0</v>
      </c>
      <c r="J1678" s="13" t="s">
        <v>53</v>
      </c>
      <c r="K1678" s="13" t="s">
        <v>65</v>
      </c>
      <c r="L1678" s="14">
        <v>789.0</v>
      </c>
      <c r="M1678" s="18" t="s">
        <v>164</v>
      </c>
      <c r="N1678" s="18" t="s">
        <v>98</v>
      </c>
      <c r="O1678" s="18">
        <v>29.7</v>
      </c>
      <c r="P1678" s="18" t="s">
        <v>225</v>
      </c>
      <c r="Q1678" s="16">
        <v>45443.0</v>
      </c>
      <c r="R1678" s="16" t="s">
        <v>38</v>
      </c>
      <c r="S1678" s="13" t="s">
        <v>55</v>
      </c>
      <c r="T1678" s="13" t="s">
        <v>75</v>
      </c>
      <c r="U1678" s="13">
        <f t="shared" si="1"/>
        <v>2</v>
      </c>
      <c r="V1678" s="13" t="str">
        <f t="shared" si="2"/>
        <v>C01586|Anita Sharma|64|South|Chennai|Basic|Facebook|11/16/2022|45|Quarterly|Credit Card|789|3|1|29.70|3.8|5/31/2024||Active|Security</v>
      </c>
      <c r="W1678" s="13">
        <f t="shared" si="3"/>
        <v>1</v>
      </c>
      <c r="X1678" s="13">
        <f>IFERROR(__xludf.DUMMYFUNCTION("COUNTUNIQUE(FILTER($B$2:$B$1826,$A$2:$A$1826=A1678))"),2.0)</f>
        <v>2</v>
      </c>
    </row>
    <row r="1679">
      <c r="A1679" s="13" t="s">
        <v>196</v>
      </c>
      <c r="B1679" s="13" t="s">
        <v>325</v>
      </c>
      <c r="C1679" s="14">
        <v>27.0</v>
      </c>
      <c r="D1679" s="13" t="s">
        <v>85</v>
      </c>
      <c r="E1679" s="13" t="s">
        <v>292</v>
      </c>
      <c r="F1679" s="13" t="s">
        <v>62</v>
      </c>
      <c r="G1679" s="13" t="s">
        <v>120</v>
      </c>
      <c r="H1679" s="16">
        <v>45852.0</v>
      </c>
      <c r="I1679" s="14">
        <v>15.0</v>
      </c>
      <c r="J1679" s="13" t="s">
        <v>40</v>
      </c>
      <c r="K1679" s="13" t="s">
        <v>41</v>
      </c>
      <c r="L1679" s="14">
        <v>765.0</v>
      </c>
      <c r="M1679" s="18" t="s">
        <v>98</v>
      </c>
      <c r="N1679" s="18" t="s">
        <v>98</v>
      </c>
      <c r="O1679" s="18">
        <v>21.4</v>
      </c>
      <c r="P1679" s="18" t="s">
        <v>296</v>
      </c>
      <c r="Q1679" s="16">
        <v>45864.0</v>
      </c>
      <c r="R1679" s="16" t="s">
        <v>38</v>
      </c>
      <c r="S1679" s="13" t="s">
        <v>55</v>
      </c>
      <c r="T1679" s="13" t="s">
        <v>104</v>
      </c>
      <c r="U1679" s="13">
        <f t="shared" si="1"/>
        <v>4</v>
      </c>
      <c r="V1679" s="13" t="str">
        <f t="shared" si="2"/>
        <v>C01569|Priya Sharma|27|West|Mumbai|Basic|Email|7/14/2025|15|Monthly|Upi|765|1|1|21.40|4.6|7/26/2025||Active|Analytics</v>
      </c>
      <c r="W1679" s="13">
        <f t="shared" si="3"/>
        <v>1</v>
      </c>
      <c r="X1679" s="13">
        <f>IFERROR(__xludf.DUMMYFUNCTION("COUNTUNIQUE(FILTER($B$2:$B$1826,$A$2:$A$1826=A1679))"),4.0)</f>
        <v>4</v>
      </c>
    </row>
    <row r="1680">
      <c r="A1680" s="13" t="s">
        <v>2110</v>
      </c>
      <c r="B1680" s="13" t="s">
        <v>34</v>
      </c>
      <c r="C1680" s="14">
        <v>20.0</v>
      </c>
      <c r="D1680" s="13" t="s">
        <v>60</v>
      </c>
      <c r="E1680" s="13" t="s">
        <v>107</v>
      </c>
      <c r="F1680" s="13" t="s">
        <v>62</v>
      </c>
      <c r="G1680" s="13" t="s">
        <v>39</v>
      </c>
      <c r="H1680" s="16">
        <v>44991.0</v>
      </c>
      <c r="I1680" s="14">
        <v>35.0</v>
      </c>
      <c r="J1680" s="13" t="s">
        <v>64</v>
      </c>
      <c r="K1680" s="13" t="s">
        <v>41</v>
      </c>
      <c r="L1680" s="14">
        <v>884.0</v>
      </c>
      <c r="M1680" s="18" t="s">
        <v>98</v>
      </c>
      <c r="N1680" s="18" t="s">
        <v>46</v>
      </c>
      <c r="O1680" s="18">
        <v>13.9</v>
      </c>
      <c r="P1680" s="18" t="s">
        <v>185</v>
      </c>
      <c r="Q1680" s="16">
        <v>46014.0</v>
      </c>
      <c r="R1680" s="16" t="s">
        <v>38</v>
      </c>
      <c r="S1680" s="13" t="s">
        <v>55</v>
      </c>
      <c r="T1680" s="13" t="s">
        <v>66</v>
      </c>
      <c r="U1680" s="13">
        <f t="shared" si="1"/>
        <v>1</v>
      </c>
      <c r="V1680" s="13" t="str">
        <f t="shared" si="2"/>
        <v>C01475|Meera Das|20|East|Patna|Basic|Instagram|3/6/2023|35|Annual|Upi|884|1|0|13.90|3.2|12/23/2025||Active|Automation</v>
      </c>
      <c r="W1680" s="13">
        <f t="shared" si="3"/>
        <v>1</v>
      </c>
      <c r="X1680" s="13">
        <f>IFERROR(__xludf.DUMMYFUNCTION("COUNTUNIQUE(FILTER($B$2:$B$1826,$A$2:$A$1826=A1680))"),1.0)</f>
        <v>1</v>
      </c>
    </row>
    <row r="1681">
      <c r="A1681" s="13" t="s">
        <v>428</v>
      </c>
      <c r="B1681" s="13" t="s">
        <v>232</v>
      </c>
      <c r="C1681" s="14">
        <v>46.0</v>
      </c>
      <c r="D1681" s="13" t="s">
        <v>85</v>
      </c>
      <c r="E1681" s="13" t="s">
        <v>87</v>
      </c>
      <c r="F1681" s="13" t="s">
        <v>37</v>
      </c>
      <c r="G1681" s="13" t="s">
        <v>52</v>
      </c>
      <c r="H1681" s="16">
        <v>44737.0</v>
      </c>
      <c r="I1681" s="14">
        <v>45.0</v>
      </c>
      <c r="J1681" s="13" t="s">
        <v>64</v>
      </c>
      <c r="K1681" s="13" t="s">
        <v>81</v>
      </c>
      <c r="L1681" s="14">
        <v>1342.0</v>
      </c>
      <c r="M1681" s="18" t="s">
        <v>43</v>
      </c>
      <c r="N1681" s="18" t="s">
        <v>46</v>
      </c>
      <c r="O1681" s="18">
        <v>30.0</v>
      </c>
      <c r="P1681" s="18" t="s">
        <v>38</v>
      </c>
      <c r="Q1681" s="16">
        <v>45265.0</v>
      </c>
      <c r="R1681" s="16" t="s">
        <v>38</v>
      </c>
      <c r="S1681" s="13" t="s">
        <v>55</v>
      </c>
      <c r="T1681" s="13" t="s">
        <v>104</v>
      </c>
      <c r="U1681" s="13">
        <f t="shared" si="1"/>
        <v>3</v>
      </c>
      <c r="V1681" s="13" t="str">
        <f t="shared" si="2"/>
        <v>C01240|Meera Iyer|46|West|Surat|Standard|Facebook|6/25/2022|45|Annual|Debit Card|1,342|2|0|30.00||12/5/2023||Active|Analytics</v>
      </c>
      <c r="W1681" s="13">
        <f t="shared" si="3"/>
        <v>1</v>
      </c>
      <c r="X1681" s="13">
        <f>IFERROR(__xludf.DUMMYFUNCTION("COUNTUNIQUE(FILTER($B$2:$B$1826,$A$2:$A$1826=A1681))"),3.0)</f>
        <v>3</v>
      </c>
    </row>
    <row r="1682">
      <c r="A1682" s="13" t="s">
        <v>423</v>
      </c>
      <c r="B1682" s="13" t="s">
        <v>349</v>
      </c>
      <c r="C1682" s="14">
        <v>42.0</v>
      </c>
      <c r="D1682" s="13" t="s">
        <v>60</v>
      </c>
      <c r="E1682" s="13" t="s">
        <v>133</v>
      </c>
      <c r="F1682" s="13" t="s">
        <v>62</v>
      </c>
      <c r="G1682" s="13" t="s">
        <v>52</v>
      </c>
      <c r="H1682" s="16">
        <v>44668.0</v>
      </c>
      <c r="I1682" s="14">
        <v>8.0</v>
      </c>
      <c r="J1682" s="13" t="s">
        <v>40</v>
      </c>
      <c r="K1682" s="13" t="s">
        <v>81</v>
      </c>
      <c r="L1682" s="14">
        <v>573.0</v>
      </c>
      <c r="M1682" s="18" t="s">
        <v>43</v>
      </c>
      <c r="N1682" s="18" t="s">
        <v>46</v>
      </c>
      <c r="O1682" s="18">
        <v>16.9</v>
      </c>
      <c r="P1682" s="18" t="s">
        <v>164</v>
      </c>
      <c r="Q1682" s="16">
        <v>44772.0</v>
      </c>
      <c r="R1682" s="16" t="s">
        <v>2111</v>
      </c>
      <c r="S1682" s="13" t="s">
        <v>45</v>
      </c>
      <c r="T1682" s="13" t="s">
        <v>104</v>
      </c>
      <c r="U1682" s="13">
        <f t="shared" si="1"/>
        <v>3</v>
      </c>
      <c r="V1682" s="13" t="str">
        <f t="shared" si="2"/>
        <v>C01152|Priya Singh|42|East|Guwahati|Basic|Facebook|4/17/2022|8|Monthly|Debit Card|573|2|0|16.90|3|7/30/2022|28/11/2022|Churned|Analytics</v>
      </c>
      <c r="W1682" s="13">
        <f t="shared" si="3"/>
        <v>1</v>
      </c>
      <c r="X1682" s="13">
        <f>IFERROR(__xludf.DUMMYFUNCTION("COUNTUNIQUE(FILTER($B$2:$B$1826,$A$2:$A$1826=A1682))"),2.0)</f>
        <v>2</v>
      </c>
    </row>
    <row r="1683">
      <c r="A1683" s="13" t="s">
        <v>2112</v>
      </c>
      <c r="B1683" s="13" t="s">
        <v>179</v>
      </c>
      <c r="C1683" s="14">
        <v>32.0</v>
      </c>
      <c r="D1683" s="13" t="s">
        <v>35</v>
      </c>
      <c r="E1683" s="13" t="s">
        <v>161</v>
      </c>
      <c r="F1683" s="13" t="s">
        <v>62</v>
      </c>
      <c r="G1683" s="13" t="s">
        <v>63</v>
      </c>
      <c r="H1683" s="16">
        <v>45535.0</v>
      </c>
      <c r="I1683" s="14">
        <v>23.0</v>
      </c>
      <c r="J1683" s="13" t="s">
        <v>64</v>
      </c>
      <c r="K1683" s="13" t="s">
        <v>81</v>
      </c>
      <c r="L1683" s="14">
        <v>770.0</v>
      </c>
      <c r="M1683" s="18" t="s">
        <v>164</v>
      </c>
      <c r="N1683" s="18" t="s">
        <v>46</v>
      </c>
      <c r="O1683" s="18">
        <v>30.9</v>
      </c>
      <c r="P1683" s="18" t="s">
        <v>296</v>
      </c>
      <c r="Q1683" s="16">
        <v>46202.0</v>
      </c>
      <c r="R1683" s="16" t="s">
        <v>2113</v>
      </c>
      <c r="S1683" s="13" t="s">
        <v>45</v>
      </c>
      <c r="T1683" s="13" t="s">
        <v>66</v>
      </c>
      <c r="U1683" s="13">
        <f t="shared" si="1"/>
        <v>1</v>
      </c>
      <c r="V1683" s="13" t="str">
        <f t="shared" si="2"/>
        <v>C00159|Ravi Kumar|32|North|Chandigarh|Basic|Google Ads|8/31/2024|23|Annual|Debit Card|770|3|0|30.90|4.6|6/29/2026|30/11/2024|Churned|Automation</v>
      </c>
      <c r="W1683" s="13">
        <f t="shared" si="3"/>
        <v>1</v>
      </c>
      <c r="X1683" s="13">
        <f>IFERROR(__xludf.DUMMYFUNCTION("COUNTUNIQUE(FILTER($B$2:$B$1826,$A$2:$A$1826=A1683))"),1.0)</f>
        <v>1</v>
      </c>
    </row>
    <row r="1684">
      <c r="A1684" s="13" t="s">
        <v>2189</v>
      </c>
      <c r="B1684" s="13" t="s">
        <v>411</v>
      </c>
      <c r="C1684" s="14">
        <v>23.0</v>
      </c>
      <c r="D1684" s="13" t="s">
        <v>35</v>
      </c>
      <c r="E1684" s="13" t="s">
        <v>161</v>
      </c>
      <c r="F1684" s="13" t="s">
        <v>62</v>
      </c>
      <c r="G1684" s="13" t="s">
        <v>63</v>
      </c>
      <c r="H1684" s="16">
        <v>44687.0</v>
      </c>
      <c r="I1684" s="14">
        <v>19.0</v>
      </c>
      <c r="J1684" s="13" t="s">
        <v>64</v>
      </c>
      <c r="K1684" s="13" t="s">
        <v>41</v>
      </c>
      <c r="L1684" s="14">
        <v>622.0</v>
      </c>
      <c r="M1684" s="18" t="s">
        <v>99</v>
      </c>
      <c r="N1684" s="18" t="s">
        <v>98</v>
      </c>
      <c r="O1684" s="18">
        <v>26.8</v>
      </c>
      <c r="P1684" s="18" t="s">
        <v>173</v>
      </c>
      <c r="Q1684" s="16">
        <v>45112.0</v>
      </c>
      <c r="R1684" s="16" t="s">
        <v>38</v>
      </c>
      <c r="S1684" s="13" t="s">
        <v>55</v>
      </c>
      <c r="T1684" s="13" t="s">
        <v>72</v>
      </c>
      <c r="U1684" s="13">
        <f t="shared" si="1"/>
        <v>1</v>
      </c>
      <c r="V1684" s="13" t="str">
        <f t="shared" si="2"/>
        <v>C01182|Karan Reddy|23|North|Chandigarh|Basic|Google Ads|5/6/2022|19|Annual|Upi|622|4|1|26.80|5|7/5/2023||Active|Collaboration</v>
      </c>
      <c r="W1684" s="13">
        <f t="shared" si="3"/>
        <v>1</v>
      </c>
      <c r="X1684" s="13">
        <f>IFERROR(__xludf.DUMMYFUNCTION("COUNTUNIQUE(FILTER($B$2:$B$1826,$A$2:$A$1826=A1684))"),1.0)</f>
        <v>1</v>
      </c>
    </row>
    <row r="1685">
      <c r="A1685" s="13" t="s">
        <v>2115</v>
      </c>
      <c r="B1685" s="13" t="s">
        <v>132</v>
      </c>
      <c r="C1685" s="14">
        <v>25.0</v>
      </c>
      <c r="D1685" s="13" t="s">
        <v>35</v>
      </c>
      <c r="E1685" s="13" t="s">
        <v>161</v>
      </c>
      <c r="F1685" s="13" t="s">
        <v>79</v>
      </c>
      <c r="G1685" s="13" t="s">
        <v>39</v>
      </c>
      <c r="H1685" s="16">
        <v>45539.0</v>
      </c>
      <c r="I1685" s="14">
        <v>20.0</v>
      </c>
      <c r="J1685" s="13" t="s">
        <v>53</v>
      </c>
      <c r="K1685" s="13" t="s">
        <v>81</v>
      </c>
      <c r="L1685" s="14">
        <v>1516.0</v>
      </c>
      <c r="M1685" s="18" t="s">
        <v>164</v>
      </c>
      <c r="N1685" s="18" t="s">
        <v>98</v>
      </c>
      <c r="O1685" s="18">
        <v>33.2</v>
      </c>
      <c r="P1685" s="18" t="s">
        <v>99</v>
      </c>
      <c r="Q1685" s="16">
        <v>45750.0</v>
      </c>
      <c r="R1685" s="16" t="s">
        <v>38</v>
      </c>
      <c r="S1685" s="13" t="s">
        <v>45</v>
      </c>
      <c r="T1685" s="13" t="s">
        <v>72</v>
      </c>
      <c r="U1685" s="13">
        <f t="shared" si="1"/>
        <v>1</v>
      </c>
      <c r="V1685" s="13" t="str">
        <f t="shared" si="2"/>
        <v>C00392|Arun Kumar|25|North|Chandigarh|Premium|Instagram|9/4/2024|20|Quarterly|Debit Card|1,516|3|1|33.20|4|4/3/2025||Churned|Collaboration</v>
      </c>
      <c r="W1685" s="13">
        <f t="shared" si="3"/>
        <v>1</v>
      </c>
      <c r="X1685" s="13">
        <f>IFERROR(__xludf.DUMMYFUNCTION("COUNTUNIQUE(FILTER($B$2:$B$1826,$A$2:$A$1826=A1685))"),1.0)</f>
        <v>1</v>
      </c>
    </row>
    <row r="1686">
      <c r="A1686" s="13" t="s">
        <v>2116</v>
      </c>
      <c r="B1686" s="13" t="s">
        <v>235</v>
      </c>
      <c r="C1686" s="14">
        <v>44.0</v>
      </c>
      <c r="D1686" s="13" t="s">
        <v>60</v>
      </c>
      <c r="E1686" s="13" t="s">
        <v>133</v>
      </c>
      <c r="F1686" s="13" t="s">
        <v>62</v>
      </c>
      <c r="G1686" s="13" t="s">
        <v>128</v>
      </c>
      <c r="H1686" s="16">
        <v>45485.0</v>
      </c>
      <c r="I1686" s="14">
        <v>36.0</v>
      </c>
      <c r="J1686" s="13" t="s">
        <v>64</v>
      </c>
      <c r="K1686" s="13" t="s">
        <v>81</v>
      </c>
      <c r="L1686" s="14">
        <v>545.0</v>
      </c>
      <c r="M1686" s="18" t="s">
        <v>46</v>
      </c>
      <c r="N1686" s="18" t="s">
        <v>98</v>
      </c>
      <c r="O1686" s="18">
        <v>4.2</v>
      </c>
      <c r="P1686" s="18" t="s">
        <v>296</v>
      </c>
      <c r="Q1686" s="16">
        <v>45811.0</v>
      </c>
      <c r="R1686" s="16" t="s">
        <v>38</v>
      </c>
      <c r="S1686" s="13" t="s">
        <v>55</v>
      </c>
      <c r="T1686" s="13" t="s">
        <v>66</v>
      </c>
      <c r="U1686" s="13">
        <f t="shared" si="1"/>
        <v>1</v>
      </c>
      <c r="V1686" s="13" t="str">
        <f t="shared" si="2"/>
        <v>C00782|Sneha Sharma|44|East|Guwahati|Basic|Youtube|7/12/2024|36|Annual|Debit Card|545|0|1|4.20|4.6|6/3/2025||Active|Automation</v>
      </c>
      <c r="W1686" s="13">
        <f t="shared" si="3"/>
        <v>1</v>
      </c>
      <c r="X1686" s="13">
        <f>IFERROR(__xludf.DUMMYFUNCTION("COUNTUNIQUE(FILTER($B$2:$B$1826,$A$2:$A$1826=A1686))"),1.0)</f>
        <v>1</v>
      </c>
    </row>
    <row r="1687">
      <c r="A1687" s="13" t="s">
        <v>1552</v>
      </c>
      <c r="B1687" s="13" t="s">
        <v>135</v>
      </c>
      <c r="C1687" s="14">
        <v>24.0</v>
      </c>
      <c r="D1687" s="13" t="s">
        <v>69</v>
      </c>
      <c r="E1687" s="13" t="s">
        <v>119</v>
      </c>
      <c r="F1687" s="13" t="s">
        <v>37</v>
      </c>
      <c r="G1687" s="13" t="s">
        <v>120</v>
      </c>
      <c r="H1687" s="16">
        <v>44753.0</v>
      </c>
      <c r="I1687" s="14">
        <v>7.0</v>
      </c>
      <c r="J1687" s="13" t="s">
        <v>64</v>
      </c>
      <c r="K1687" s="13" t="s">
        <v>81</v>
      </c>
      <c r="L1687" s="14">
        <v>1433.0</v>
      </c>
      <c r="M1687" s="18" t="s">
        <v>43</v>
      </c>
      <c r="N1687" s="18" t="s">
        <v>46</v>
      </c>
      <c r="O1687" s="18">
        <v>29.3</v>
      </c>
      <c r="P1687" s="18" t="s">
        <v>130</v>
      </c>
      <c r="Q1687" s="16">
        <v>44895.0</v>
      </c>
      <c r="R1687" s="16" t="s">
        <v>38</v>
      </c>
      <c r="S1687" s="13" t="s">
        <v>55</v>
      </c>
      <c r="T1687" s="13" t="s">
        <v>75</v>
      </c>
      <c r="U1687" s="13">
        <f t="shared" si="1"/>
        <v>3</v>
      </c>
      <c r="V1687" s="13" t="str">
        <f t="shared" si="2"/>
        <v>C01323|Karan Sharma|24|South|Kochi|Standard|Email|7/11/2022|7|Annual|Debit Card|1,433|2|0|29.30|3.9|11/30/2022||Active|Security</v>
      </c>
      <c r="W1687" s="13">
        <f t="shared" si="3"/>
        <v>1</v>
      </c>
      <c r="X1687" s="13">
        <f>IFERROR(__xludf.DUMMYFUNCTION("COUNTUNIQUE(FILTER($B$2:$B$1826,$A$2:$A$1826=A1687))"),3.0)</f>
        <v>3</v>
      </c>
    </row>
    <row r="1688">
      <c r="A1688" s="13" t="s">
        <v>2117</v>
      </c>
      <c r="B1688" s="13" t="s">
        <v>295</v>
      </c>
      <c r="C1688" s="14">
        <v>20.0</v>
      </c>
      <c r="D1688" s="13" t="s">
        <v>85</v>
      </c>
      <c r="E1688" s="13" t="s">
        <v>92</v>
      </c>
      <c r="F1688" s="13" t="s">
        <v>37</v>
      </c>
      <c r="G1688" s="13" t="s">
        <v>52</v>
      </c>
      <c r="H1688" s="16">
        <v>45629.0</v>
      </c>
      <c r="I1688" s="14">
        <v>13.0</v>
      </c>
      <c r="J1688" s="13" t="s">
        <v>53</v>
      </c>
      <c r="K1688" s="13" t="s">
        <v>81</v>
      </c>
      <c r="L1688" s="14">
        <v>1422.0</v>
      </c>
      <c r="M1688" s="18" t="s">
        <v>43</v>
      </c>
      <c r="N1688" s="18" t="s">
        <v>46</v>
      </c>
      <c r="O1688" s="18">
        <v>33.0</v>
      </c>
      <c r="P1688" s="18" t="s">
        <v>99</v>
      </c>
      <c r="Q1688" s="16">
        <v>45882.0</v>
      </c>
      <c r="R1688" s="16" t="s">
        <v>38</v>
      </c>
      <c r="S1688" s="13" t="s">
        <v>55</v>
      </c>
      <c r="T1688" s="13" t="s">
        <v>47</v>
      </c>
      <c r="U1688" s="13">
        <f t="shared" si="1"/>
        <v>1</v>
      </c>
      <c r="V1688" s="13" t="str">
        <f t="shared" si="2"/>
        <v>C00790|Arun Reddy|20|West|Ahmedabad|Standard|Facebook|12/3/2024|13|Quarterly|Debit Card|1,422|2|0|33.00|4|8/13/2025||Active|Cloud Storage</v>
      </c>
      <c r="W1688" s="13">
        <f t="shared" si="3"/>
        <v>1</v>
      </c>
      <c r="X1688" s="13">
        <f>IFERROR(__xludf.DUMMYFUNCTION("COUNTUNIQUE(FILTER($B$2:$B$1826,$A$2:$A$1826=A1688))"),1.0)</f>
        <v>1</v>
      </c>
    </row>
    <row r="1689">
      <c r="A1689" s="13" t="s">
        <v>1121</v>
      </c>
      <c r="B1689" s="13" t="s">
        <v>167</v>
      </c>
      <c r="C1689" s="14">
        <v>34.0</v>
      </c>
      <c r="D1689" s="13" t="s">
        <v>69</v>
      </c>
      <c r="E1689" s="13" t="s">
        <v>177</v>
      </c>
      <c r="F1689" s="13" t="s">
        <v>62</v>
      </c>
      <c r="G1689" s="13" t="s">
        <v>80</v>
      </c>
      <c r="H1689" s="16">
        <v>44699.0</v>
      </c>
      <c r="I1689" s="14">
        <v>38.0</v>
      </c>
      <c r="J1689" s="13" t="s">
        <v>53</v>
      </c>
      <c r="K1689" s="13" t="s">
        <v>41</v>
      </c>
      <c r="L1689" s="14">
        <v>666.0</v>
      </c>
      <c r="M1689" s="18" t="s">
        <v>43</v>
      </c>
      <c r="N1689" s="18" t="s">
        <v>98</v>
      </c>
      <c r="O1689" s="18">
        <v>32.0</v>
      </c>
      <c r="P1689" s="18" t="s">
        <v>876</v>
      </c>
      <c r="Q1689" s="16">
        <v>45016.0</v>
      </c>
      <c r="R1689" s="16" t="s">
        <v>38</v>
      </c>
      <c r="S1689" s="13" t="s">
        <v>55</v>
      </c>
      <c r="T1689" s="13" t="s">
        <v>47</v>
      </c>
      <c r="U1689" s="13">
        <f t="shared" si="1"/>
        <v>3</v>
      </c>
      <c r="V1689" s="13" t="str">
        <f t="shared" si="2"/>
        <v>C00768|Ravi Reddy|34|South|Hyderabad|Basic|Organic Search|5/18/2022|38|Quarterly|Upi|666|2|1|32.00|1.8|3/31/2023||Active|Cloud Storage</v>
      </c>
      <c r="W1689" s="13">
        <f t="shared" si="3"/>
        <v>1</v>
      </c>
      <c r="X1689" s="13">
        <f>IFERROR(__xludf.DUMMYFUNCTION("COUNTUNIQUE(FILTER($B$2:$B$1826,$A$2:$A$1826=A1689))"),3.0)</f>
        <v>3</v>
      </c>
    </row>
    <row r="1690">
      <c r="A1690" s="13" t="s">
        <v>441</v>
      </c>
      <c r="B1690" s="13" t="s">
        <v>179</v>
      </c>
      <c r="C1690" s="14">
        <v>23.0</v>
      </c>
      <c r="D1690" s="13" t="s">
        <v>69</v>
      </c>
      <c r="E1690" s="13" t="s">
        <v>177</v>
      </c>
      <c r="F1690" s="13" t="s">
        <v>62</v>
      </c>
      <c r="G1690" s="13" t="s">
        <v>120</v>
      </c>
      <c r="H1690" s="16">
        <v>45912.0</v>
      </c>
      <c r="I1690" s="14">
        <v>10.0</v>
      </c>
      <c r="J1690" s="13" t="s">
        <v>64</v>
      </c>
      <c r="K1690" s="13" t="s">
        <v>65</v>
      </c>
      <c r="L1690" s="14">
        <v>896.0</v>
      </c>
      <c r="M1690" s="18" t="s">
        <v>99</v>
      </c>
      <c r="N1690" s="18" t="s">
        <v>46</v>
      </c>
      <c r="O1690" s="18">
        <v>16.4</v>
      </c>
      <c r="P1690" s="18" t="s">
        <v>368</v>
      </c>
      <c r="Q1690" s="16">
        <v>46093.0</v>
      </c>
      <c r="R1690" s="16" t="s">
        <v>38</v>
      </c>
      <c r="S1690" s="13" t="s">
        <v>55</v>
      </c>
      <c r="T1690" s="13" t="s">
        <v>66</v>
      </c>
      <c r="U1690" s="13">
        <f t="shared" si="1"/>
        <v>4</v>
      </c>
      <c r="V1690" s="13" t="str">
        <f t="shared" si="2"/>
        <v>C01185|Ravi Kumar|23|South|Hyderabad|Basic|Email|9/12/2025|10|Annual|Credit Card|896|4|0|16.40|4.9|3/12/2026||Active|Automation</v>
      </c>
      <c r="W1690" s="13">
        <f t="shared" si="3"/>
        <v>1</v>
      </c>
      <c r="X1690" s="13">
        <f>IFERROR(__xludf.DUMMYFUNCTION("COUNTUNIQUE(FILTER($B$2:$B$1826,$A$2:$A$1826=A1690))"),4.0)</f>
        <v>4</v>
      </c>
    </row>
    <row r="1691">
      <c r="A1691" s="13" t="s">
        <v>77</v>
      </c>
      <c r="B1691" s="13" t="s">
        <v>167</v>
      </c>
      <c r="C1691" s="14">
        <v>32.0</v>
      </c>
      <c r="D1691" s="13" t="s">
        <v>85</v>
      </c>
      <c r="E1691" s="13" t="s">
        <v>87</v>
      </c>
      <c r="F1691" s="13" t="s">
        <v>37</v>
      </c>
      <c r="G1691" s="13" t="s">
        <v>80</v>
      </c>
      <c r="H1691" s="16">
        <v>44988.0</v>
      </c>
      <c r="I1691" s="14">
        <v>1.0</v>
      </c>
      <c r="J1691" s="13" t="s">
        <v>40</v>
      </c>
      <c r="K1691" s="13" t="s">
        <v>65</v>
      </c>
      <c r="L1691" s="14">
        <v>1206.0</v>
      </c>
      <c r="M1691" s="18" t="s">
        <v>43</v>
      </c>
      <c r="N1691" s="18" t="s">
        <v>46</v>
      </c>
      <c r="O1691" s="18">
        <v>20.9</v>
      </c>
      <c r="P1691" s="18" t="s">
        <v>701</v>
      </c>
      <c r="Q1691" s="16">
        <v>45007.0</v>
      </c>
      <c r="R1691" s="16" t="s">
        <v>2118</v>
      </c>
      <c r="S1691" s="13" t="s">
        <v>45</v>
      </c>
      <c r="T1691" s="13" t="s">
        <v>47</v>
      </c>
      <c r="U1691" s="13">
        <f t="shared" si="1"/>
        <v>6</v>
      </c>
      <c r="V1691" s="13" t="str">
        <f t="shared" si="2"/>
        <v>C00549|Ravi Reddy|32|West|Surat|Standard|Organic Search|3/3/2023|1|Monthly|Credit Card|1,206|2|0|20.90|2.8|3/22/2023|27/04/2023|Churned|Cloud Storage</v>
      </c>
      <c r="W1691" s="13">
        <f t="shared" si="3"/>
        <v>1</v>
      </c>
      <c r="X1691" s="13">
        <f>IFERROR(__xludf.DUMMYFUNCTION("COUNTUNIQUE(FILTER($B$2:$B$1826,$A$2:$A$1826=A1691))"),6.0)</f>
        <v>6</v>
      </c>
    </row>
    <row r="1692">
      <c r="A1692" s="13" t="s">
        <v>318</v>
      </c>
      <c r="B1692" s="13" t="s">
        <v>126</v>
      </c>
      <c r="C1692" s="14">
        <v>39.0</v>
      </c>
      <c r="D1692" s="13" t="s">
        <v>85</v>
      </c>
      <c r="E1692" s="13" t="s">
        <v>87</v>
      </c>
      <c r="F1692" s="13" t="s">
        <v>37</v>
      </c>
      <c r="G1692" s="13" t="s">
        <v>39</v>
      </c>
      <c r="H1692" s="16">
        <v>45887.0</v>
      </c>
      <c r="I1692" s="14">
        <v>15.0</v>
      </c>
      <c r="J1692" s="13" t="s">
        <v>40</v>
      </c>
      <c r="K1692" s="13" t="s">
        <v>81</v>
      </c>
      <c r="L1692" s="14">
        <v>1652.0</v>
      </c>
      <c r="M1692" s="18" t="s">
        <v>164</v>
      </c>
      <c r="N1692" s="18" t="s">
        <v>46</v>
      </c>
      <c r="O1692" s="18">
        <v>31.1</v>
      </c>
      <c r="P1692" s="18" t="s">
        <v>701</v>
      </c>
      <c r="Q1692" s="16">
        <v>46312.0</v>
      </c>
      <c r="R1692" s="16" t="s">
        <v>38</v>
      </c>
      <c r="S1692" s="13" t="s">
        <v>230</v>
      </c>
      <c r="T1692" s="13" t="s">
        <v>72</v>
      </c>
      <c r="U1692" s="13">
        <f t="shared" si="1"/>
        <v>4</v>
      </c>
      <c r="V1692" s="13" t="str">
        <f t="shared" si="2"/>
        <v>C00981|Arun Patel|39|West|Surat|Standard|Instagram|8/18/2025|15|Monthly|Debit Card|1,652|3|0|31.10|2.8|10/17/2026||Yes|Collaboration</v>
      </c>
      <c r="W1692" s="13">
        <f t="shared" si="3"/>
        <v>1</v>
      </c>
      <c r="X1692" s="13">
        <f>IFERROR(__xludf.DUMMYFUNCTION("COUNTUNIQUE(FILTER($B$2:$B$1826,$A$2:$A$1826=A1692))"),4.0)</f>
        <v>4</v>
      </c>
    </row>
    <row r="1693">
      <c r="A1693" s="13" t="s">
        <v>1936</v>
      </c>
      <c r="B1693" s="13" t="s">
        <v>96</v>
      </c>
      <c r="C1693" s="14">
        <v>59.0</v>
      </c>
      <c r="D1693" s="13" t="s">
        <v>85</v>
      </c>
      <c r="E1693" s="13" t="s">
        <v>292</v>
      </c>
      <c r="F1693" s="13" t="s">
        <v>79</v>
      </c>
      <c r="G1693" s="13" t="s">
        <v>63</v>
      </c>
      <c r="H1693" s="16">
        <v>45676.0</v>
      </c>
      <c r="I1693" s="14">
        <v>30.0</v>
      </c>
      <c r="J1693" s="13" t="s">
        <v>53</v>
      </c>
      <c r="K1693" s="13" t="s">
        <v>41</v>
      </c>
      <c r="L1693" s="14">
        <v>3875.0</v>
      </c>
      <c r="M1693" s="18" t="s">
        <v>99</v>
      </c>
      <c r="N1693" s="18" t="s">
        <v>46</v>
      </c>
      <c r="O1693" s="18">
        <v>32.5</v>
      </c>
      <c r="P1693" s="18" t="s">
        <v>248</v>
      </c>
      <c r="Q1693" s="16">
        <v>46263.0</v>
      </c>
      <c r="R1693" s="16" t="s">
        <v>2120</v>
      </c>
      <c r="S1693" s="13" t="s">
        <v>45</v>
      </c>
      <c r="T1693" s="13" t="s">
        <v>66</v>
      </c>
      <c r="U1693" s="13">
        <f t="shared" si="1"/>
        <v>2</v>
      </c>
      <c r="V1693" s="13" t="str">
        <f t="shared" si="2"/>
        <v>C00615|Rahul Kumar|59|West|Mumbai|Premium|Google Ads|1/19/2025|30|Quarterly|Upi|3,875|4|0|32.50|2.6|8/29/2026|16/06/2026|Churned|Automation</v>
      </c>
      <c r="W1693" s="13">
        <f t="shared" si="3"/>
        <v>1</v>
      </c>
      <c r="X1693" s="13">
        <f>IFERROR(__xludf.DUMMYFUNCTION("COUNTUNIQUE(FILTER($B$2:$B$1826,$A$2:$A$1826=A1693))"),2.0)</f>
        <v>2</v>
      </c>
    </row>
    <row r="1694">
      <c r="A1694" s="13" t="s">
        <v>2121</v>
      </c>
      <c r="B1694" s="13" t="s">
        <v>405</v>
      </c>
      <c r="C1694" s="14">
        <v>27.0</v>
      </c>
      <c r="D1694" s="13" t="s">
        <v>69</v>
      </c>
      <c r="E1694" s="13" t="s">
        <v>119</v>
      </c>
      <c r="F1694" s="13" t="s">
        <v>37</v>
      </c>
      <c r="G1694" s="13" t="s">
        <v>120</v>
      </c>
      <c r="H1694" s="16">
        <v>45495.0</v>
      </c>
      <c r="I1694" s="14">
        <v>48.0</v>
      </c>
      <c r="J1694" s="13" t="s">
        <v>64</v>
      </c>
      <c r="K1694" s="13" t="s">
        <v>81</v>
      </c>
      <c r="L1694" s="14">
        <v>1122.0</v>
      </c>
      <c r="M1694" s="18" t="s">
        <v>43</v>
      </c>
      <c r="N1694" s="18" t="s">
        <v>98</v>
      </c>
      <c r="O1694" s="18">
        <v>42.2</v>
      </c>
      <c r="P1694" s="18" t="s">
        <v>99</v>
      </c>
      <c r="Q1694" s="16">
        <v>46531.0</v>
      </c>
      <c r="R1694" s="16">
        <v>46360.0</v>
      </c>
      <c r="S1694" s="13" t="s">
        <v>45</v>
      </c>
      <c r="T1694" s="13" t="s">
        <v>38</v>
      </c>
      <c r="U1694" s="13">
        <f t="shared" si="1"/>
        <v>1</v>
      </c>
      <c r="V1694" s="13" t="str">
        <f t="shared" si="2"/>
        <v>C01465|Rahul Reddy|27|South|Kochi|Standard|Email|7/22/2024|48|Annual|Debit Card|1,122|2|1|42.20|4|5/24/2027|12/4/2026|Churned|</v>
      </c>
      <c r="W1694" s="13">
        <f t="shared" si="3"/>
        <v>1</v>
      </c>
      <c r="X1694" s="13">
        <f>IFERROR(__xludf.DUMMYFUNCTION("COUNTUNIQUE(FILTER($B$2:$B$1826,$A$2:$A$1826=A1694))"),1.0)</f>
        <v>1</v>
      </c>
    </row>
    <row r="1695">
      <c r="A1695" s="13" t="s">
        <v>2123</v>
      </c>
      <c r="B1695" s="13" t="s">
        <v>322</v>
      </c>
      <c r="C1695" s="14">
        <v>28.0</v>
      </c>
      <c r="D1695" s="13" t="s">
        <v>85</v>
      </c>
      <c r="E1695" s="13" t="s">
        <v>111</v>
      </c>
      <c r="F1695" s="13" t="s">
        <v>62</v>
      </c>
      <c r="G1695" s="13" t="s">
        <v>80</v>
      </c>
      <c r="H1695" s="16">
        <v>44687.0</v>
      </c>
      <c r="I1695" s="14">
        <v>1.0</v>
      </c>
      <c r="J1695" s="13" t="s">
        <v>40</v>
      </c>
      <c r="K1695" s="13" t="s">
        <v>65</v>
      </c>
      <c r="L1695" s="14">
        <v>541.0</v>
      </c>
      <c r="M1695" s="18" t="s">
        <v>164</v>
      </c>
      <c r="N1695" s="18" t="s">
        <v>46</v>
      </c>
      <c r="O1695" s="18">
        <v>31.4</v>
      </c>
      <c r="P1695" s="18" t="s">
        <v>263</v>
      </c>
      <c r="Q1695" s="16">
        <v>44700.0</v>
      </c>
      <c r="R1695" s="16" t="s">
        <v>38</v>
      </c>
      <c r="S1695" s="13" t="s">
        <v>55</v>
      </c>
      <c r="T1695" s="13" t="s">
        <v>72</v>
      </c>
      <c r="U1695" s="13">
        <f t="shared" si="1"/>
        <v>1</v>
      </c>
      <c r="V1695" s="13" t="str">
        <f t="shared" si="2"/>
        <v>C01337|Rahul Iyer|28|West|Pune|Basic|Organic Search|5/6/2022|1|Monthly|Credit Card|541|3|0|31.40|2.9|5/19/2022||Active|Collaboration</v>
      </c>
      <c r="W1695" s="13">
        <f t="shared" si="3"/>
        <v>1</v>
      </c>
      <c r="X1695" s="13">
        <f>IFERROR(__xludf.DUMMYFUNCTION("COUNTUNIQUE(FILTER($B$2:$B$1826,$A$2:$A$1826=A1695))"),1.0)</f>
        <v>1</v>
      </c>
    </row>
    <row r="1696">
      <c r="A1696" s="13" t="s">
        <v>440</v>
      </c>
      <c r="B1696" s="13" t="s">
        <v>135</v>
      </c>
      <c r="C1696" s="14">
        <v>62.0</v>
      </c>
      <c r="D1696" s="13" t="s">
        <v>69</v>
      </c>
      <c r="E1696" s="13" t="s">
        <v>70</v>
      </c>
      <c r="F1696" s="13" t="s">
        <v>37</v>
      </c>
      <c r="G1696" s="13" t="s">
        <v>52</v>
      </c>
      <c r="H1696" s="16">
        <v>45552.0</v>
      </c>
      <c r="I1696" s="14">
        <v>45.0</v>
      </c>
      <c r="J1696" s="13" t="s">
        <v>64</v>
      </c>
      <c r="K1696" s="13" t="s">
        <v>81</v>
      </c>
      <c r="L1696" s="14">
        <v>739.0</v>
      </c>
      <c r="M1696" s="18" t="s">
        <v>43</v>
      </c>
      <c r="N1696" s="18" t="s">
        <v>46</v>
      </c>
      <c r="O1696" s="18">
        <v>23.2</v>
      </c>
      <c r="P1696" s="18" t="s">
        <v>851</v>
      </c>
      <c r="Q1696" s="16">
        <v>46829.0</v>
      </c>
      <c r="R1696" s="16" t="s">
        <v>38</v>
      </c>
      <c r="S1696" s="13" t="s">
        <v>55</v>
      </c>
      <c r="T1696" s="13" t="s">
        <v>75</v>
      </c>
      <c r="U1696" s="13">
        <f t="shared" si="1"/>
        <v>2</v>
      </c>
      <c r="V1696" s="13" t="str">
        <f t="shared" si="2"/>
        <v>C01002|Karan Sharma|62|South|Bengaluru|Standard|Facebook|9/17/2024|45|Annual|Debit Card|739|2|0|23.20|9|3/17/2028||Active|Security</v>
      </c>
      <c r="W1696" s="13">
        <f t="shared" si="3"/>
        <v>1</v>
      </c>
      <c r="X1696" s="13">
        <f>IFERROR(__xludf.DUMMYFUNCTION("COUNTUNIQUE(FILTER($B$2:$B$1826,$A$2:$A$1826=A1696))"),2.0)</f>
        <v>2</v>
      </c>
    </row>
    <row r="1697">
      <c r="A1697" s="13" t="s">
        <v>2124</v>
      </c>
      <c r="B1697" s="13" t="s">
        <v>34</v>
      </c>
      <c r="C1697" s="14">
        <v>52.0</v>
      </c>
      <c r="D1697" s="13" t="s">
        <v>85</v>
      </c>
      <c r="E1697" s="13" t="s">
        <v>92</v>
      </c>
      <c r="F1697" s="13" t="s">
        <v>37</v>
      </c>
      <c r="G1697" s="13" t="s">
        <v>120</v>
      </c>
      <c r="H1697" s="16">
        <v>45278.0</v>
      </c>
      <c r="I1697" s="14">
        <v>26.0</v>
      </c>
      <c r="J1697" s="13" t="s">
        <v>40</v>
      </c>
      <c r="K1697" s="13" t="s">
        <v>41</v>
      </c>
      <c r="L1697" s="14">
        <v>1415.0</v>
      </c>
      <c r="M1697" s="18" t="s">
        <v>43</v>
      </c>
      <c r="N1697" s="18" t="s">
        <v>43</v>
      </c>
      <c r="O1697" s="18">
        <v>13.6</v>
      </c>
      <c r="P1697" s="18" t="s">
        <v>116</v>
      </c>
      <c r="Q1697" s="16">
        <v>45329.0</v>
      </c>
      <c r="R1697" s="16" t="s">
        <v>38</v>
      </c>
      <c r="S1697" s="13" t="s">
        <v>55</v>
      </c>
      <c r="T1697" s="13" t="s">
        <v>72</v>
      </c>
      <c r="U1697" s="13">
        <f t="shared" si="1"/>
        <v>1</v>
      </c>
      <c r="V1697" s="13" t="str">
        <f t="shared" si="2"/>
        <v>C00222|Meera Das|52|West|Ahmedabad|Standard|Email|12/18/2023|26|Monthly|Upi|1,415|2|2|13.60|3.4|2/7/2024||Active|Collaboration</v>
      </c>
      <c r="W1697" s="13">
        <f t="shared" si="3"/>
        <v>1</v>
      </c>
      <c r="X1697" s="13">
        <f>IFERROR(__xludf.DUMMYFUNCTION("COUNTUNIQUE(FILTER($B$2:$B$1826,$A$2:$A$1826=A1697))"),1.0)</f>
        <v>1</v>
      </c>
    </row>
    <row r="1698">
      <c r="A1698" s="13" t="s">
        <v>2004</v>
      </c>
      <c r="B1698" s="13" t="s">
        <v>312</v>
      </c>
      <c r="C1698" s="14">
        <v>68.0</v>
      </c>
      <c r="D1698" s="13" t="s">
        <v>60</v>
      </c>
      <c r="E1698" s="13" t="s">
        <v>38</v>
      </c>
      <c r="F1698" s="13" t="s">
        <v>62</v>
      </c>
      <c r="G1698" s="13" t="s">
        <v>52</v>
      </c>
      <c r="H1698" s="16">
        <v>45312.0</v>
      </c>
      <c r="I1698" s="14">
        <v>10.0</v>
      </c>
      <c r="J1698" s="13" t="s">
        <v>53</v>
      </c>
      <c r="K1698" s="13" t="s">
        <v>81</v>
      </c>
      <c r="L1698" s="14">
        <v>643.0</v>
      </c>
      <c r="M1698" s="18" t="s">
        <v>43</v>
      </c>
      <c r="N1698" s="18" t="s">
        <v>43</v>
      </c>
      <c r="O1698" s="18">
        <v>31.1</v>
      </c>
      <c r="P1698" s="18" t="s">
        <v>296</v>
      </c>
      <c r="Q1698" s="16">
        <v>45516.0</v>
      </c>
      <c r="R1698" s="16" t="s">
        <v>38</v>
      </c>
      <c r="S1698" s="13" t="s">
        <v>55</v>
      </c>
      <c r="T1698" s="13" t="s">
        <v>47</v>
      </c>
      <c r="U1698" s="13">
        <f t="shared" si="1"/>
        <v>2</v>
      </c>
      <c r="V1698" s="13" t="str">
        <f t="shared" si="2"/>
        <v>C01596|Anita Singh|68|East||Basic|Facebook|1/21/2024|10|Quarterly|Debit Card|643|2|2|31.10|4.6|8/12/2024||Active|Cloud Storage</v>
      </c>
      <c r="W1698" s="13">
        <f t="shared" si="3"/>
        <v>1</v>
      </c>
      <c r="X1698" s="13">
        <f>IFERROR(__xludf.DUMMYFUNCTION("COUNTUNIQUE(FILTER($B$2:$B$1826,$A$2:$A$1826=A1698))"),2.0)</f>
        <v>2</v>
      </c>
    </row>
    <row r="1699">
      <c r="A1699" s="13" t="s">
        <v>862</v>
      </c>
      <c r="B1699" s="13" t="s">
        <v>295</v>
      </c>
      <c r="C1699" s="14">
        <v>63.0</v>
      </c>
      <c r="D1699" s="13" t="s">
        <v>69</v>
      </c>
      <c r="E1699" s="13" t="s">
        <v>187</v>
      </c>
      <c r="F1699" s="13" t="s">
        <v>37</v>
      </c>
      <c r="G1699" s="13" t="s">
        <v>80</v>
      </c>
      <c r="H1699" s="16">
        <v>44717.0</v>
      </c>
      <c r="I1699" s="14">
        <v>17.0</v>
      </c>
      <c r="J1699" s="13" t="s">
        <v>53</v>
      </c>
      <c r="K1699" s="13" t="s">
        <v>65</v>
      </c>
      <c r="L1699" s="14">
        <v>1719.0</v>
      </c>
      <c r="M1699" s="18" t="s">
        <v>46</v>
      </c>
      <c r="N1699" s="18" t="s">
        <v>46</v>
      </c>
      <c r="O1699" s="18">
        <v>29.4</v>
      </c>
      <c r="P1699" s="18" t="s">
        <v>263</v>
      </c>
      <c r="Q1699" s="16">
        <v>45196.0</v>
      </c>
      <c r="R1699" s="16" t="s">
        <v>38</v>
      </c>
      <c r="S1699" s="13" t="s">
        <v>55</v>
      </c>
      <c r="T1699" s="13" t="s">
        <v>47</v>
      </c>
      <c r="U1699" s="13">
        <f t="shared" si="1"/>
        <v>6</v>
      </c>
      <c r="V1699" s="13" t="str">
        <f t="shared" si="2"/>
        <v>C01423|Arun Reddy|63|South|Chennai|Standard|Organic Search|6/5/2022|17|Quarterly|Credit Card|1,719|0|0|29.40|2.9|9/27/2023||Active|Cloud Storage</v>
      </c>
      <c r="W1699" s="13">
        <f t="shared" si="3"/>
        <v>1</v>
      </c>
      <c r="X1699" s="13">
        <f>IFERROR(__xludf.DUMMYFUNCTION("COUNTUNIQUE(FILTER($B$2:$B$1826,$A$2:$A$1826=A1699))"),6.0)</f>
        <v>6</v>
      </c>
    </row>
    <row r="1700">
      <c r="A1700" s="13" t="s">
        <v>2125</v>
      </c>
      <c r="B1700" s="13" t="s">
        <v>651</v>
      </c>
      <c r="C1700" s="14">
        <v>44.0</v>
      </c>
      <c r="D1700" s="13" t="s">
        <v>35</v>
      </c>
      <c r="E1700" s="13" t="s">
        <v>36</v>
      </c>
      <c r="F1700" s="13" t="s">
        <v>62</v>
      </c>
      <c r="G1700" s="13" t="s">
        <v>128</v>
      </c>
      <c r="H1700" s="16">
        <v>45873.0</v>
      </c>
      <c r="I1700" s="14">
        <v>38.0</v>
      </c>
      <c r="J1700" s="13" t="s">
        <v>64</v>
      </c>
      <c r="K1700" s="13" t="s">
        <v>41</v>
      </c>
      <c r="L1700" s="14">
        <v>667.0</v>
      </c>
      <c r="M1700" s="18" t="s">
        <v>164</v>
      </c>
      <c r="N1700" s="18" t="s">
        <v>98</v>
      </c>
      <c r="O1700" s="18">
        <v>11.4</v>
      </c>
      <c r="P1700" s="18" t="s">
        <v>296</v>
      </c>
      <c r="Q1700" s="16">
        <v>46079.0</v>
      </c>
      <c r="R1700" s="16" t="s">
        <v>38</v>
      </c>
      <c r="S1700" s="13" t="s">
        <v>55</v>
      </c>
      <c r="T1700" s="13" t="s">
        <v>75</v>
      </c>
      <c r="U1700" s="13">
        <f t="shared" si="1"/>
        <v>2</v>
      </c>
      <c r="V1700" s="13" t="str">
        <f t="shared" si="2"/>
        <v>C00863|Arun Sharma|44|North|Delhi|Basic|Youtube|8/4/2025|38|Annual|Upi|667|3|1|11.40|4.6|2/26/2026||Active|Security</v>
      </c>
      <c r="W1700" s="13">
        <f t="shared" si="3"/>
        <v>1</v>
      </c>
      <c r="X1700" s="13">
        <f>IFERROR(__xludf.DUMMYFUNCTION("COUNTUNIQUE(FILTER($B$2:$B$1826,$A$2:$A$1826=A1700))"),2.0)</f>
        <v>2</v>
      </c>
    </row>
    <row r="1701">
      <c r="A1701" s="13" t="s">
        <v>2126</v>
      </c>
      <c r="B1701" s="13" t="s">
        <v>229</v>
      </c>
      <c r="C1701" s="14">
        <v>54.0</v>
      </c>
      <c r="D1701" s="13" t="s">
        <v>35</v>
      </c>
      <c r="E1701" s="13" t="s">
        <v>36</v>
      </c>
      <c r="F1701" s="13" t="s">
        <v>62</v>
      </c>
      <c r="G1701" s="13" t="s">
        <v>210</v>
      </c>
      <c r="H1701" s="16">
        <v>45709.0</v>
      </c>
      <c r="I1701" s="14">
        <v>37.0</v>
      </c>
      <c r="J1701" s="13" t="s">
        <v>40</v>
      </c>
      <c r="K1701" s="13" t="s">
        <v>41</v>
      </c>
      <c r="L1701" s="14">
        <v>841.0</v>
      </c>
      <c r="M1701" s="18" t="s">
        <v>43</v>
      </c>
      <c r="N1701" s="18" t="s">
        <v>98</v>
      </c>
      <c r="O1701" s="18">
        <v>18.9</v>
      </c>
      <c r="P1701" s="18" t="s">
        <v>108</v>
      </c>
      <c r="Q1701" s="16">
        <v>46678.0</v>
      </c>
      <c r="R1701" s="16" t="s">
        <v>38</v>
      </c>
      <c r="S1701" s="13" t="s">
        <v>55</v>
      </c>
      <c r="T1701" s="13" t="s">
        <v>72</v>
      </c>
      <c r="U1701" s="13">
        <f t="shared" si="1"/>
        <v>1</v>
      </c>
      <c r="V1701" s="13" t="str">
        <f t="shared" si="2"/>
        <v>C00019|Anita Nair|54|North|Delhi|Basic|Referral|2/21/2025|37|Monthly|Upi|841|2|1|18.90|2.4|10/18/2027||Active|Collaboration</v>
      </c>
      <c r="W1701" s="13">
        <f t="shared" si="3"/>
        <v>1</v>
      </c>
      <c r="X1701" s="13">
        <f>IFERROR(__xludf.DUMMYFUNCTION("COUNTUNIQUE(FILTER($B$2:$B$1826,$A$2:$A$1826=A1701))"),1.0)</f>
        <v>1</v>
      </c>
    </row>
    <row r="1702">
      <c r="A1702" s="13" t="s">
        <v>2127</v>
      </c>
      <c r="B1702" s="13" t="s">
        <v>736</v>
      </c>
      <c r="C1702" s="14">
        <v>43.0</v>
      </c>
      <c r="D1702" s="13" t="s">
        <v>69</v>
      </c>
      <c r="E1702" s="13" t="s">
        <v>177</v>
      </c>
      <c r="F1702" s="13" t="s">
        <v>37</v>
      </c>
      <c r="G1702" s="13" t="s">
        <v>63</v>
      </c>
      <c r="H1702" s="16">
        <v>45791.0</v>
      </c>
      <c r="I1702" s="14">
        <v>12.0</v>
      </c>
      <c r="J1702" s="13" t="s">
        <v>40</v>
      </c>
      <c r="K1702" s="13" t="s">
        <v>81</v>
      </c>
      <c r="L1702" s="14">
        <v>1411.0</v>
      </c>
      <c r="M1702" s="18" t="s">
        <v>99</v>
      </c>
      <c r="N1702" s="18" t="s">
        <v>43</v>
      </c>
      <c r="O1702" s="18">
        <v>40.4</v>
      </c>
      <c r="P1702" s="18" t="s">
        <v>408</v>
      </c>
      <c r="Q1702" s="16">
        <v>46092.0</v>
      </c>
      <c r="R1702" s="16" t="s">
        <v>38</v>
      </c>
      <c r="S1702" s="13" t="s">
        <v>55</v>
      </c>
      <c r="T1702" s="13" t="s">
        <v>66</v>
      </c>
      <c r="U1702" s="13">
        <f t="shared" si="1"/>
        <v>1</v>
      </c>
      <c r="V1702" s="13" t="str">
        <f t="shared" si="2"/>
        <v>C00592|Priya Iyer|43|South|Hyderabad|Standard|Google Ads|5/14/2025|12|Monthly|Debit Card|1,411|4|2|40.40|4.2|3/11/2026||Active|Automation</v>
      </c>
      <c r="W1702" s="13">
        <f t="shared" si="3"/>
        <v>1</v>
      </c>
      <c r="X1702" s="13">
        <f>IFERROR(__xludf.DUMMYFUNCTION("COUNTUNIQUE(FILTER($B$2:$B$1826,$A$2:$A$1826=A1702))"),1.0)</f>
        <v>1</v>
      </c>
    </row>
    <row r="1703">
      <c r="A1703" s="13" t="s">
        <v>1571</v>
      </c>
      <c r="B1703" s="13" t="s">
        <v>393</v>
      </c>
      <c r="C1703" s="14">
        <v>42.0</v>
      </c>
      <c r="D1703" s="13" t="s">
        <v>85</v>
      </c>
      <c r="E1703" s="13" t="s">
        <v>92</v>
      </c>
      <c r="F1703" s="13" t="s">
        <v>37</v>
      </c>
      <c r="G1703" s="13" t="s">
        <v>39</v>
      </c>
      <c r="H1703" s="16">
        <v>44881.0</v>
      </c>
      <c r="I1703" s="14">
        <v>2.0</v>
      </c>
      <c r="J1703" s="13" t="s">
        <v>40</v>
      </c>
      <c r="K1703" s="13" t="s">
        <v>81</v>
      </c>
      <c r="L1703" s="14">
        <v>1505.0</v>
      </c>
      <c r="M1703" s="18" t="s">
        <v>43</v>
      </c>
      <c r="N1703" s="18" t="s">
        <v>98</v>
      </c>
      <c r="O1703" s="18">
        <v>14.4</v>
      </c>
      <c r="P1703" s="18" t="s">
        <v>48</v>
      </c>
      <c r="Q1703" s="16">
        <v>44908.0</v>
      </c>
      <c r="R1703" s="16">
        <v>45079.0</v>
      </c>
      <c r="S1703" s="13" t="s">
        <v>45</v>
      </c>
      <c r="T1703" s="13" t="s">
        <v>47</v>
      </c>
      <c r="U1703" s="13">
        <f t="shared" si="1"/>
        <v>2</v>
      </c>
      <c r="V1703" s="13" t="str">
        <f t="shared" si="2"/>
        <v>C00847|Karan Das|42|West|Ahmedabad|Standard|Instagram|11/16/2022|2|Monthly|Debit Card|1,505|2|1|14.40|3.6|12/13/2022|6/2/2023|Churned|Cloud Storage</v>
      </c>
      <c r="W1703" s="13">
        <f t="shared" si="3"/>
        <v>1</v>
      </c>
      <c r="X1703" s="13">
        <f>IFERROR(__xludf.DUMMYFUNCTION("COUNTUNIQUE(FILTER($B$2:$B$1826,$A$2:$A$1826=A1703))"),2.0)</f>
        <v>2</v>
      </c>
    </row>
    <row r="1704">
      <c r="A1704" s="13" t="s">
        <v>2130</v>
      </c>
      <c r="B1704" s="13" t="s">
        <v>126</v>
      </c>
      <c r="C1704" s="14">
        <v>20.0</v>
      </c>
      <c r="D1704" s="13" t="s">
        <v>85</v>
      </c>
      <c r="E1704" s="13" t="s">
        <v>92</v>
      </c>
      <c r="F1704" s="13" t="s">
        <v>62</v>
      </c>
      <c r="G1704" s="13" t="s">
        <v>80</v>
      </c>
      <c r="H1704" s="16">
        <v>44902.0</v>
      </c>
      <c r="I1704" s="14">
        <v>47.0</v>
      </c>
      <c r="J1704" s="13" t="s">
        <v>64</v>
      </c>
      <c r="K1704" s="13" t="s">
        <v>65</v>
      </c>
      <c r="L1704" s="14">
        <v>564.0</v>
      </c>
      <c r="M1704" s="18" t="s">
        <v>98</v>
      </c>
      <c r="N1704" s="18" t="s">
        <v>46</v>
      </c>
      <c r="O1704" s="18">
        <v>16.4</v>
      </c>
      <c r="P1704" s="18" t="s">
        <v>173</v>
      </c>
      <c r="Q1704" s="16">
        <v>44992.0</v>
      </c>
      <c r="R1704" s="16" t="s">
        <v>38</v>
      </c>
      <c r="S1704" s="13" t="s">
        <v>55</v>
      </c>
      <c r="T1704" s="13" t="s">
        <v>104</v>
      </c>
      <c r="U1704" s="13">
        <f t="shared" si="1"/>
        <v>1</v>
      </c>
      <c r="V1704" s="13" t="str">
        <f t="shared" si="2"/>
        <v>C00636|Arun Patel|20|West|Ahmedabad|Basic|Organic Search|12/7/2022|47|Annual|Credit Card|564|1|0|16.40|5|3/7/2023||Active|Analytics</v>
      </c>
      <c r="W1704" s="13">
        <f t="shared" si="3"/>
        <v>1</v>
      </c>
      <c r="X1704" s="13">
        <f>IFERROR(__xludf.DUMMYFUNCTION("COUNTUNIQUE(FILTER($B$2:$B$1826,$A$2:$A$1826=A1704))"),1.0)</f>
        <v>1</v>
      </c>
    </row>
    <row r="1705">
      <c r="A1705" s="13" t="s">
        <v>1684</v>
      </c>
      <c r="B1705" s="13" t="s">
        <v>383</v>
      </c>
      <c r="C1705" s="14">
        <v>26.0</v>
      </c>
      <c r="D1705" s="13" t="s">
        <v>60</v>
      </c>
      <c r="E1705" s="13" t="s">
        <v>133</v>
      </c>
      <c r="F1705" s="13" t="s">
        <v>37</v>
      </c>
      <c r="G1705" s="13" t="s">
        <v>210</v>
      </c>
      <c r="H1705" s="16">
        <v>44738.0</v>
      </c>
      <c r="I1705" s="14">
        <v>38.0</v>
      </c>
      <c r="J1705" s="13" t="s">
        <v>53</v>
      </c>
      <c r="K1705" s="13" t="s">
        <v>81</v>
      </c>
      <c r="L1705" s="14">
        <v>1345.0</v>
      </c>
      <c r="M1705" s="18" t="s">
        <v>46</v>
      </c>
      <c r="N1705" s="18" t="s">
        <v>46</v>
      </c>
      <c r="O1705" s="18">
        <v>32.9</v>
      </c>
      <c r="P1705" s="18" t="s">
        <v>173</v>
      </c>
      <c r="Q1705" s="16">
        <v>45174.0</v>
      </c>
      <c r="R1705" s="16" t="s">
        <v>38</v>
      </c>
      <c r="S1705" s="13" t="s">
        <v>55</v>
      </c>
      <c r="T1705" s="13" t="s">
        <v>47</v>
      </c>
      <c r="U1705" s="13">
        <f t="shared" si="1"/>
        <v>2</v>
      </c>
      <c r="V1705" s="13" t="str">
        <f t="shared" si="2"/>
        <v>C00177|Rahul Nair|26|East|Guwahati|Standard|Referral|6/26/2022|38|Quarterly|Debit Card|1,345|0|0|32.90|5|9/5/2023||Active|Cloud Storage</v>
      </c>
      <c r="W1705" s="13">
        <f t="shared" si="3"/>
        <v>1</v>
      </c>
      <c r="X1705" s="13">
        <f>IFERROR(__xludf.DUMMYFUNCTION("COUNTUNIQUE(FILTER($B$2:$B$1826,$A$2:$A$1826=A1705))"),2.0)</f>
        <v>2</v>
      </c>
    </row>
    <row r="1706">
      <c r="A1706" s="13" t="s">
        <v>1191</v>
      </c>
      <c r="B1706" s="13" t="s">
        <v>303</v>
      </c>
      <c r="C1706" s="14">
        <v>22.0</v>
      </c>
      <c r="D1706" s="13" t="s">
        <v>35</v>
      </c>
      <c r="E1706" s="13" t="s">
        <v>51</v>
      </c>
      <c r="F1706" s="13" t="s">
        <v>79</v>
      </c>
      <c r="G1706" s="13" t="s">
        <v>63</v>
      </c>
      <c r="H1706" s="16">
        <v>45423.0</v>
      </c>
      <c r="I1706" s="14">
        <v>42.0</v>
      </c>
      <c r="J1706" s="13" t="s">
        <v>64</v>
      </c>
      <c r="K1706" s="13" t="s">
        <v>41</v>
      </c>
      <c r="L1706" s="14">
        <v>3458.0</v>
      </c>
      <c r="M1706" s="18" t="s">
        <v>98</v>
      </c>
      <c r="N1706" s="18" t="s">
        <v>98</v>
      </c>
      <c r="O1706" s="18">
        <v>39.0</v>
      </c>
      <c r="P1706" s="18" t="s">
        <v>233</v>
      </c>
      <c r="Q1706" s="16">
        <v>45844.0</v>
      </c>
      <c r="R1706" s="16">
        <v>45450.0</v>
      </c>
      <c r="S1706" s="13" t="s">
        <v>45</v>
      </c>
      <c r="T1706" s="13" t="s">
        <v>66</v>
      </c>
      <c r="U1706" s="13">
        <f t="shared" si="1"/>
        <v>3</v>
      </c>
      <c r="V1706" s="13" t="str">
        <f t="shared" si="2"/>
        <v>C01495|Priya Kumar|22|North|Jaipur|Premium|Google Ads|5/11/2024|42|Annual|Upi|3,458|1|1|39.00|3.5|7/6/2025|6/7/2024|Churned|Automation</v>
      </c>
      <c r="W1706" s="13">
        <f t="shared" si="3"/>
        <v>1</v>
      </c>
      <c r="X1706" s="13">
        <f>IFERROR(__xludf.DUMMYFUNCTION("COUNTUNIQUE(FILTER($B$2:$B$1826,$A$2:$A$1826=A1706))"),3.0)</f>
        <v>3</v>
      </c>
    </row>
    <row r="1707">
      <c r="A1707" s="13" t="s">
        <v>1983</v>
      </c>
      <c r="B1707" s="13" t="s">
        <v>160</v>
      </c>
      <c r="C1707" s="14">
        <v>40.0</v>
      </c>
      <c r="D1707" s="13" t="s">
        <v>69</v>
      </c>
      <c r="E1707" s="13" t="s">
        <v>70</v>
      </c>
      <c r="F1707" s="13" t="s">
        <v>37</v>
      </c>
      <c r="G1707" s="13" t="s">
        <v>80</v>
      </c>
      <c r="H1707" s="16">
        <v>44795.0</v>
      </c>
      <c r="I1707" s="14">
        <v>47.0</v>
      </c>
      <c r="J1707" s="13" t="s">
        <v>64</v>
      </c>
      <c r="K1707" s="13" t="s">
        <v>65</v>
      </c>
      <c r="L1707" s="14">
        <v>1543.0</v>
      </c>
      <c r="M1707" s="18" t="s">
        <v>164</v>
      </c>
      <c r="N1707" s="18" t="s">
        <v>46</v>
      </c>
      <c r="O1707" s="18">
        <v>31.6</v>
      </c>
      <c r="P1707" s="18" t="s">
        <v>130</v>
      </c>
      <c r="Q1707" s="16">
        <v>44896.0</v>
      </c>
      <c r="R1707" s="16" t="s">
        <v>38</v>
      </c>
      <c r="S1707" s="13" t="s">
        <v>55</v>
      </c>
      <c r="T1707" s="13" t="s">
        <v>104</v>
      </c>
      <c r="U1707" s="13">
        <f t="shared" si="1"/>
        <v>3</v>
      </c>
      <c r="V1707" s="13" t="str">
        <f t="shared" si="2"/>
        <v>C00108|Rahul Singh|40|South|Bengaluru|Standard|Organic Search|8/22/2022|47|Annual|Credit Card|1,543|3|0|31.60|3.9|12/1/2022||Active|Analytics</v>
      </c>
      <c r="W1707" s="13">
        <f t="shared" si="3"/>
        <v>1</v>
      </c>
      <c r="X1707" s="13">
        <f>IFERROR(__xludf.DUMMYFUNCTION("COUNTUNIQUE(FILTER($B$2:$B$1826,$A$2:$A$1826=A1707))"),3.0)</f>
        <v>3</v>
      </c>
    </row>
    <row r="1708">
      <c r="A1708" s="13" t="s">
        <v>431</v>
      </c>
      <c r="B1708" s="13" t="s">
        <v>349</v>
      </c>
      <c r="C1708" s="14">
        <v>68.0</v>
      </c>
      <c r="D1708" s="13" t="s">
        <v>69</v>
      </c>
      <c r="E1708" s="13" t="s">
        <v>70</v>
      </c>
      <c r="F1708" s="13" t="s">
        <v>37</v>
      </c>
      <c r="G1708" s="13" t="s">
        <v>39</v>
      </c>
      <c r="H1708" s="16">
        <v>44663.0</v>
      </c>
      <c r="I1708" s="14">
        <v>17.0</v>
      </c>
      <c r="J1708" s="13" t="s">
        <v>53</v>
      </c>
      <c r="K1708" s="13" t="s">
        <v>65</v>
      </c>
      <c r="L1708" s="14">
        <v>1453.0</v>
      </c>
      <c r="M1708" s="18" t="s">
        <v>98</v>
      </c>
      <c r="N1708" s="18" t="s">
        <v>98</v>
      </c>
      <c r="O1708" s="18">
        <v>36.8</v>
      </c>
      <c r="P1708" s="18" t="s">
        <v>108</v>
      </c>
      <c r="Q1708" s="16">
        <v>45107.0</v>
      </c>
      <c r="R1708" s="16" t="s">
        <v>38</v>
      </c>
      <c r="S1708" s="13" t="s">
        <v>55</v>
      </c>
      <c r="T1708" s="13" t="s">
        <v>47</v>
      </c>
      <c r="U1708" s="13">
        <f t="shared" si="1"/>
        <v>4</v>
      </c>
      <c r="V1708" s="13" t="str">
        <f t="shared" si="2"/>
        <v>C00687|Priya Singh|68|South|Bengaluru|Standard|Instagram|4/12/2022|17|Quarterly|Credit Card|1,453|1|1|36.80|2.4|6/30/2023||Active|Cloud Storage</v>
      </c>
      <c r="W1708" s="13">
        <f t="shared" si="3"/>
        <v>1</v>
      </c>
      <c r="X1708" s="13">
        <f>IFERROR(__xludf.DUMMYFUNCTION("COUNTUNIQUE(FILTER($B$2:$B$1826,$A$2:$A$1826=A1708))"),4.0)</f>
        <v>4</v>
      </c>
    </row>
    <row r="1709">
      <c r="A1709" s="13" t="s">
        <v>1224</v>
      </c>
      <c r="B1709" s="13" t="s">
        <v>169</v>
      </c>
      <c r="C1709" s="14">
        <v>63.0</v>
      </c>
      <c r="D1709" s="13" t="s">
        <v>35</v>
      </c>
      <c r="E1709" s="13" t="s">
        <v>36</v>
      </c>
      <c r="F1709" s="13" t="s">
        <v>62</v>
      </c>
      <c r="G1709" s="13" t="s">
        <v>39</v>
      </c>
      <c r="H1709" s="16">
        <v>45943.0</v>
      </c>
      <c r="I1709" s="14">
        <v>41.0</v>
      </c>
      <c r="J1709" s="13" t="s">
        <v>53</v>
      </c>
      <c r="K1709" s="13" t="s">
        <v>65</v>
      </c>
      <c r="L1709" s="14">
        <v>533.0</v>
      </c>
      <c r="M1709" s="18" t="s">
        <v>99</v>
      </c>
      <c r="N1709" s="18" t="s">
        <v>98</v>
      </c>
      <c r="O1709" s="18">
        <v>24.0</v>
      </c>
      <c r="P1709" s="18" t="s">
        <v>225</v>
      </c>
      <c r="Q1709" s="16">
        <v>47124.0</v>
      </c>
      <c r="R1709" s="16" t="s">
        <v>38</v>
      </c>
      <c r="S1709" s="13" t="s">
        <v>55</v>
      </c>
      <c r="T1709" s="13" t="s">
        <v>104</v>
      </c>
      <c r="U1709" s="13">
        <f t="shared" si="1"/>
        <v>3</v>
      </c>
      <c r="V1709" s="13" t="str">
        <f t="shared" si="2"/>
        <v>C01094|Vikram Nair|63|North|Delhi|Basic|Instagram|10/13/2025|41|Quarterly|Credit Card|533|4|1|24.00|3.8|1/6/2029||Active|Analytics</v>
      </c>
      <c r="W1709" s="13">
        <f t="shared" si="3"/>
        <v>1</v>
      </c>
      <c r="X1709" s="13">
        <f>IFERROR(__xludf.DUMMYFUNCTION("COUNTUNIQUE(FILTER($B$2:$B$1826,$A$2:$A$1826=A1709))"),3.0)</f>
        <v>3</v>
      </c>
    </row>
    <row r="1710">
      <c r="A1710" s="13" t="s">
        <v>1355</v>
      </c>
      <c r="B1710" s="13" t="s">
        <v>424</v>
      </c>
      <c r="C1710" s="14">
        <v>58.0</v>
      </c>
      <c r="D1710" s="13" t="s">
        <v>69</v>
      </c>
      <c r="E1710" s="13" t="s">
        <v>70</v>
      </c>
      <c r="F1710" s="13" t="s">
        <v>79</v>
      </c>
      <c r="G1710" s="13" t="s">
        <v>128</v>
      </c>
      <c r="H1710" s="16">
        <v>44742.0</v>
      </c>
      <c r="I1710" s="14">
        <v>3.0</v>
      </c>
      <c r="J1710" s="13" t="s">
        <v>53</v>
      </c>
      <c r="K1710" s="13" t="s">
        <v>65</v>
      </c>
      <c r="L1710" s="14">
        <v>3938.0</v>
      </c>
      <c r="M1710" s="18" t="s">
        <v>98</v>
      </c>
      <c r="N1710" s="18" t="s">
        <v>46</v>
      </c>
      <c r="O1710" s="18">
        <v>39.7</v>
      </c>
      <c r="P1710" s="18" t="s">
        <v>116</v>
      </c>
      <c r="Q1710" s="16">
        <v>44779.0</v>
      </c>
      <c r="R1710" s="16" t="s">
        <v>2132</v>
      </c>
      <c r="S1710" s="13" t="s">
        <v>45</v>
      </c>
      <c r="T1710" s="13" t="s">
        <v>47</v>
      </c>
      <c r="U1710" s="13">
        <f t="shared" si="1"/>
        <v>3</v>
      </c>
      <c r="V1710" s="13" t="str">
        <f t="shared" si="2"/>
        <v>C00712|Neha Kumar|58|South|Bengaluru|Premium|Youtube|6/30/2022|3|Quarterly|Credit Card|3,938|1|0|39.70|3.4|8/6/2022|24/10/2022|Churned|Cloud Storage</v>
      </c>
      <c r="W1710" s="13">
        <f t="shared" si="3"/>
        <v>1</v>
      </c>
      <c r="X1710" s="13">
        <f>IFERROR(__xludf.DUMMYFUNCTION("COUNTUNIQUE(FILTER($B$2:$B$1826,$A$2:$A$1826=A1710))"),3.0)</f>
        <v>3</v>
      </c>
    </row>
    <row r="1711">
      <c r="A1711" s="13" t="s">
        <v>670</v>
      </c>
      <c r="B1711" s="13" t="s">
        <v>734</v>
      </c>
      <c r="C1711" s="14">
        <v>65.0</v>
      </c>
      <c r="D1711" s="13" t="s">
        <v>85</v>
      </c>
      <c r="E1711" s="13" t="s">
        <v>92</v>
      </c>
      <c r="F1711" s="13" t="s">
        <v>79</v>
      </c>
      <c r="G1711" s="13" t="s">
        <v>63</v>
      </c>
      <c r="H1711" s="16">
        <v>45704.0</v>
      </c>
      <c r="I1711" s="14">
        <v>38.0</v>
      </c>
      <c r="J1711" s="13" t="s">
        <v>53</v>
      </c>
      <c r="K1711" s="13" t="s">
        <v>81</v>
      </c>
      <c r="L1711" s="14">
        <v>2285.0</v>
      </c>
      <c r="M1711" s="18" t="s">
        <v>46</v>
      </c>
      <c r="N1711" s="18" t="s">
        <v>43</v>
      </c>
      <c r="O1711" s="18">
        <v>36.4</v>
      </c>
      <c r="P1711" s="18" t="s">
        <v>233</v>
      </c>
      <c r="Q1711" s="16">
        <v>46578.0</v>
      </c>
      <c r="R1711" s="16">
        <v>46210.0</v>
      </c>
      <c r="S1711" s="13" t="s">
        <v>45</v>
      </c>
      <c r="T1711" s="13" t="s">
        <v>104</v>
      </c>
      <c r="U1711" s="13">
        <f t="shared" si="1"/>
        <v>4</v>
      </c>
      <c r="V1711" s="13" t="str">
        <f t="shared" si="2"/>
        <v>C01239|Sneha Das|65|West|Ahmedabad|Premium|Google Ads|2/16/2025|38|Quarterly|Debit Card|2,285|0|2|36.40|3.5|7/10/2027|7/7/2026|Churned|Analytics</v>
      </c>
      <c r="W1711" s="13">
        <f t="shared" si="3"/>
        <v>1</v>
      </c>
      <c r="X1711" s="13">
        <f>IFERROR(__xludf.DUMMYFUNCTION("COUNTUNIQUE(FILTER($B$2:$B$1826,$A$2:$A$1826=A1711))"),4.0)</f>
        <v>4</v>
      </c>
    </row>
    <row r="1712">
      <c r="A1712" s="13" t="s">
        <v>1064</v>
      </c>
      <c r="B1712" s="13" t="s">
        <v>395</v>
      </c>
      <c r="C1712" s="14">
        <v>45.0</v>
      </c>
      <c r="D1712" s="13" t="s">
        <v>35</v>
      </c>
      <c r="E1712" s="13" t="s">
        <v>140</v>
      </c>
      <c r="F1712" s="13" t="s">
        <v>37</v>
      </c>
      <c r="G1712" s="13" t="s">
        <v>120</v>
      </c>
      <c r="H1712" s="16">
        <v>45542.0</v>
      </c>
      <c r="I1712" s="14">
        <v>45.0</v>
      </c>
      <c r="J1712" s="13" t="s">
        <v>40</v>
      </c>
      <c r="K1712" s="13" t="s">
        <v>65</v>
      </c>
      <c r="L1712" s="14">
        <v>1506.0</v>
      </c>
      <c r="M1712" s="18" t="s">
        <v>98</v>
      </c>
      <c r="N1712" s="18" t="s">
        <v>98</v>
      </c>
      <c r="O1712" s="18">
        <v>25.7</v>
      </c>
      <c r="P1712" s="18" t="s">
        <v>99</v>
      </c>
      <c r="Q1712" s="16">
        <v>46367.0</v>
      </c>
      <c r="R1712" s="16" t="s">
        <v>1759</v>
      </c>
      <c r="S1712" s="13" t="s">
        <v>45</v>
      </c>
      <c r="T1712" s="13" t="s">
        <v>66</v>
      </c>
      <c r="U1712" s="13">
        <f t="shared" si="1"/>
        <v>2</v>
      </c>
      <c r="V1712" s="13" t="str">
        <f t="shared" si="2"/>
        <v>C01552|Ravi Singh|45|North|Lucknow|Standard|Email|9/7/2024|45|Monthly|Credit Card|1,506|1|1|25.70|4|12/11/2026|20/06/2025|Churned|Automation</v>
      </c>
      <c r="W1712" s="13">
        <f t="shared" si="3"/>
        <v>1</v>
      </c>
      <c r="X1712" s="13">
        <f>IFERROR(__xludf.DUMMYFUNCTION("COUNTUNIQUE(FILTER($B$2:$B$1826,$A$2:$A$1826=A1712))"),2.0)</f>
        <v>2</v>
      </c>
    </row>
    <row r="1713">
      <c r="A1713" s="13" t="s">
        <v>323</v>
      </c>
      <c r="B1713" s="13" t="s">
        <v>50</v>
      </c>
      <c r="C1713" s="14">
        <v>46.0</v>
      </c>
      <c r="D1713" s="13" t="s">
        <v>60</v>
      </c>
      <c r="E1713" s="13" t="s">
        <v>61</v>
      </c>
      <c r="F1713" s="13" t="s">
        <v>62</v>
      </c>
      <c r="G1713" s="13" t="s">
        <v>52</v>
      </c>
      <c r="H1713" s="16">
        <v>45374.0</v>
      </c>
      <c r="I1713" s="14">
        <v>41.0</v>
      </c>
      <c r="J1713" s="13" t="s">
        <v>53</v>
      </c>
      <c r="K1713" s="13" t="s">
        <v>65</v>
      </c>
      <c r="L1713" s="14">
        <v>704.0</v>
      </c>
      <c r="M1713" s="18" t="s">
        <v>164</v>
      </c>
      <c r="N1713" s="18" t="s">
        <v>46</v>
      </c>
      <c r="O1713" s="18">
        <v>29.0</v>
      </c>
      <c r="P1713" s="18" t="s">
        <v>408</v>
      </c>
      <c r="Q1713" s="16">
        <v>45709.0</v>
      </c>
      <c r="R1713" s="16" t="s">
        <v>38</v>
      </c>
      <c r="S1713" s="13" t="s">
        <v>55</v>
      </c>
      <c r="T1713" s="13" t="s">
        <v>66</v>
      </c>
      <c r="U1713" s="13">
        <f t="shared" si="1"/>
        <v>2</v>
      </c>
      <c r="V1713" s="13" t="str">
        <f t="shared" si="2"/>
        <v>C01078|Rahul Das|46|East|Kolkata|Basic|Facebook|3/23/2024|41|Quarterly|Credit Card|704|3|0|29.00|4.2|2/21/2025||Active|Automation</v>
      </c>
      <c r="W1713" s="13">
        <f t="shared" si="3"/>
        <v>1</v>
      </c>
      <c r="X1713" s="13">
        <f>IFERROR(__xludf.DUMMYFUNCTION("COUNTUNIQUE(FILTER($B$2:$B$1826,$A$2:$A$1826=A1713))"),2.0)</f>
        <v>2</v>
      </c>
    </row>
    <row r="1714">
      <c r="A1714" s="13" t="s">
        <v>1834</v>
      </c>
      <c r="B1714" s="13" t="s">
        <v>239</v>
      </c>
      <c r="C1714" s="14">
        <v>48.0</v>
      </c>
      <c r="D1714" s="13" t="s">
        <v>35</v>
      </c>
      <c r="E1714" s="13" t="s">
        <v>51</v>
      </c>
      <c r="F1714" s="13" t="s">
        <v>62</v>
      </c>
      <c r="G1714" s="13" t="s">
        <v>120</v>
      </c>
      <c r="H1714" s="16">
        <v>44737.0</v>
      </c>
      <c r="I1714" s="14">
        <v>26.0</v>
      </c>
      <c r="J1714" s="13" t="s">
        <v>53</v>
      </c>
      <c r="K1714" s="13" t="s">
        <v>81</v>
      </c>
      <c r="L1714" s="14">
        <v>665.0</v>
      </c>
      <c r="M1714" s="18" t="s">
        <v>98</v>
      </c>
      <c r="N1714" s="18" t="s">
        <v>98</v>
      </c>
      <c r="O1714" s="18">
        <v>24.2</v>
      </c>
      <c r="P1714" s="18" t="s">
        <v>173</v>
      </c>
      <c r="Q1714" s="16">
        <v>45310.0</v>
      </c>
      <c r="R1714" s="16">
        <v>45601.0</v>
      </c>
      <c r="S1714" s="13" t="s">
        <v>45</v>
      </c>
      <c r="T1714" s="13" t="s">
        <v>66</v>
      </c>
      <c r="U1714" s="13">
        <f t="shared" si="1"/>
        <v>3</v>
      </c>
      <c r="V1714" s="13" t="str">
        <f t="shared" si="2"/>
        <v>C01416|Meera Kumar|48|North|Jaipur|Basic|Email|6/25/2022|26|Quarterly|Debit Card|665|1|1|24.20|5|1/19/2024|11/5/2024|Churned|Automation</v>
      </c>
      <c r="W1714" s="13">
        <f t="shared" si="3"/>
        <v>1</v>
      </c>
      <c r="X1714" s="13">
        <f>IFERROR(__xludf.DUMMYFUNCTION("COUNTUNIQUE(FILTER($B$2:$B$1826,$A$2:$A$1826=A1714))"),3.0)</f>
        <v>3</v>
      </c>
    </row>
    <row r="1715">
      <c r="A1715" s="13" t="s">
        <v>407</v>
      </c>
      <c r="B1715" s="13" t="s">
        <v>734</v>
      </c>
      <c r="C1715" s="14">
        <v>37.0</v>
      </c>
      <c r="D1715" s="13" t="s">
        <v>60</v>
      </c>
      <c r="E1715" s="13" t="s">
        <v>61</v>
      </c>
      <c r="F1715" s="13" t="s">
        <v>62</v>
      </c>
      <c r="G1715" s="13" t="s">
        <v>210</v>
      </c>
      <c r="H1715" s="16">
        <v>45836.0</v>
      </c>
      <c r="I1715" s="14">
        <v>31.0</v>
      </c>
      <c r="J1715" s="13" t="s">
        <v>40</v>
      </c>
      <c r="K1715" s="13" t="s">
        <v>81</v>
      </c>
      <c r="L1715" s="14">
        <v>576.0</v>
      </c>
      <c r="M1715" s="18" t="s">
        <v>43</v>
      </c>
      <c r="N1715" s="18" t="s">
        <v>46</v>
      </c>
      <c r="O1715" s="18">
        <v>17.1</v>
      </c>
      <c r="P1715" s="18" t="s">
        <v>173</v>
      </c>
      <c r="Q1715" s="16">
        <v>46463.0</v>
      </c>
      <c r="R1715" s="16" t="s">
        <v>38</v>
      </c>
      <c r="S1715" s="13" t="s">
        <v>55</v>
      </c>
      <c r="T1715" s="13" t="s">
        <v>47</v>
      </c>
      <c r="U1715" s="13">
        <f t="shared" si="1"/>
        <v>4</v>
      </c>
      <c r="V1715" s="13" t="str">
        <f t="shared" si="2"/>
        <v>C00496|Sneha Das|37|East|Kolkata|Basic|Referral|6/28/2025|31|Monthly|Debit Card|576|2|0|17.10|5|3/17/2027||Active|Cloud Storage</v>
      </c>
      <c r="W1715" s="13">
        <f t="shared" si="3"/>
        <v>1</v>
      </c>
      <c r="X1715" s="13">
        <f>IFERROR(__xludf.DUMMYFUNCTION("COUNTUNIQUE(FILTER($B$2:$B$1826,$A$2:$A$1826=A1715))"),4.0)</f>
        <v>4</v>
      </c>
    </row>
    <row r="1716">
      <c r="A1716" s="13" t="s">
        <v>2134</v>
      </c>
      <c r="B1716" s="13" t="s">
        <v>395</v>
      </c>
      <c r="C1716" s="14">
        <v>55.0</v>
      </c>
      <c r="D1716" s="13" t="s">
        <v>60</v>
      </c>
      <c r="E1716" s="13" t="s">
        <v>61</v>
      </c>
      <c r="F1716" s="13" t="s">
        <v>62</v>
      </c>
      <c r="G1716" s="13" t="s">
        <v>63</v>
      </c>
      <c r="H1716" s="16">
        <v>45157.0</v>
      </c>
      <c r="I1716" s="14">
        <v>8.0</v>
      </c>
      <c r="J1716" s="13" t="s">
        <v>40</v>
      </c>
      <c r="K1716" s="13" t="s">
        <v>41</v>
      </c>
      <c r="L1716" s="14">
        <v>554.0</v>
      </c>
      <c r="M1716" s="18" t="s">
        <v>46</v>
      </c>
      <c r="N1716" s="18" t="s">
        <v>43</v>
      </c>
      <c r="O1716" s="18">
        <v>29.2</v>
      </c>
      <c r="P1716" s="18" t="s">
        <v>130</v>
      </c>
      <c r="Q1716" s="16">
        <v>45251.0</v>
      </c>
      <c r="R1716" s="16" t="s">
        <v>2135</v>
      </c>
      <c r="S1716" s="13" t="s">
        <v>45</v>
      </c>
      <c r="T1716" s="13" t="s">
        <v>66</v>
      </c>
      <c r="U1716" s="13">
        <f t="shared" si="1"/>
        <v>1</v>
      </c>
      <c r="V1716" s="13" t="str">
        <f t="shared" si="2"/>
        <v>C01141|Ravi Singh|55|East|Kolkata|Basic|Google Ads|8/19/2023|8|Monthly|Upi|554|0|2|29.20|3.9|11/21/2023|19/01/2024|Churned|Automation</v>
      </c>
      <c r="W1716" s="13">
        <f t="shared" si="3"/>
        <v>1</v>
      </c>
      <c r="X1716" s="13">
        <f>IFERROR(__xludf.DUMMYFUNCTION("COUNTUNIQUE(FILTER($B$2:$B$1826,$A$2:$A$1826=A1716))"),1.0)</f>
        <v>1</v>
      </c>
    </row>
    <row r="1717">
      <c r="A1717" s="13" t="s">
        <v>1298</v>
      </c>
      <c r="B1717" s="13" t="s">
        <v>132</v>
      </c>
      <c r="C1717" s="14">
        <v>60.0</v>
      </c>
      <c r="D1717" s="13" t="s">
        <v>85</v>
      </c>
      <c r="E1717" s="13" t="s">
        <v>92</v>
      </c>
      <c r="F1717" s="13" t="s">
        <v>37</v>
      </c>
      <c r="G1717" s="13" t="s">
        <v>80</v>
      </c>
      <c r="H1717" s="16">
        <v>45653.0</v>
      </c>
      <c r="I1717" s="14">
        <v>29.0</v>
      </c>
      <c r="J1717" s="13" t="s">
        <v>53</v>
      </c>
      <c r="K1717" s="13" t="s">
        <v>41</v>
      </c>
      <c r="L1717" s="14">
        <v>1314.0</v>
      </c>
      <c r="M1717" s="18" t="s">
        <v>173</v>
      </c>
      <c r="N1717" s="18" t="s">
        <v>98</v>
      </c>
      <c r="O1717" s="18">
        <v>21.1</v>
      </c>
      <c r="P1717" s="18" t="s">
        <v>185</v>
      </c>
      <c r="Q1717" s="16">
        <v>46101.0</v>
      </c>
      <c r="R1717" s="16" t="s">
        <v>38</v>
      </c>
      <c r="S1717" s="13" t="s">
        <v>55</v>
      </c>
      <c r="T1717" s="13" t="s">
        <v>104</v>
      </c>
      <c r="U1717" s="13">
        <f t="shared" si="1"/>
        <v>2</v>
      </c>
      <c r="V1717" s="13" t="str">
        <f t="shared" si="2"/>
        <v>C00722|Arun Kumar|60|West|Ahmedabad|Standard|Organic Search|12/27/2024|29|Quarterly|Upi|1,314|5|1|21.10|3.2|3/20/2026||Active|Analytics</v>
      </c>
      <c r="W1717" s="13">
        <f t="shared" si="3"/>
        <v>1</v>
      </c>
      <c r="X1717" s="13">
        <f>IFERROR(__xludf.DUMMYFUNCTION("COUNTUNIQUE(FILTER($B$2:$B$1826,$A$2:$A$1826=A1717))"),2.0)</f>
        <v>2</v>
      </c>
    </row>
    <row r="1718">
      <c r="A1718" s="13" t="s">
        <v>433</v>
      </c>
      <c r="B1718" s="13" t="s">
        <v>229</v>
      </c>
      <c r="C1718" s="14">
        <v>22.0</v>
      </c>
      <c r="D1718" s="13" t="s">
        <v>69</v>
      </c>
      <c r="E1718" s="13" t="s">
        <v>177</v>
      </c>
      <c r="F1718" s="13" t="s">
        <v>62</v>
      </c>
      <c r="G1718" s="13" t="s">
        <v>52</v>
      </c>
      <c r="H1718" s="16">
        <v>45869.0</v>
      </c>
      <c r="I1718" s="14">
        <v>12.0</v>
      </c>
      <c r="J1718" s="13" t="s">
        <v>64</v>
      </c>
      <c r="K1718" s="13" t="s">
        <v>41</v>
      </c>
      <c r="L1718" s="14">
        <v>727.0</v>
      </c>
      <c r="M1718" s="18" t="s">
        <v>98</v>
      </c>
      <c r="N1718" s="18" t="s">
        <v>43</v>
      </c>
      <c r="O1718" s="18">
        <v>12.6</v>
      </c>
      <c r="P1718" s="18" t="s">
        <v>225</v>
      </c>
      <c r="Q1718" s="16">
        <v>46130.0</v>
      </c>
      <c r="R1718" s="16" t="s">
        <v>38</v>
      </c>
      <c r="S1718" s="13" t="s">
        <v>55</v>
      </c>
      <c r="T1718" s="13" t="s">
        <v>104</v>
      </c>
      <c r="U1718" s="13">
        <f t="shared" si="1"/>
        <v>3</v>
      </c>
      <c r="V1718" s="13" t="str">
        <f t="shared" si="2"/>
        <v>C01472|Anita Nair|22|South|Hyderabad|Basic|Facebook|7/31/2025|12|Annual|Upi|727|1|2|12.60|3.8|4/18/2026||Active|Analytics</v>
      </c>
      <c r="W1718" s="13">
        <f t="shared" si="3"/>
        <v>1</v>
      </c>
      <c r="X1718" s="13">
        <f>IFERROR(__xludf.DUMMYFUNCTION("COUNTUNIQUE(FILTER($B$2:$B$1826,$A$2:$A$1826=A1718))"),3.0)</f>
        <v>3</v>
      </c>
    </row>
    <row r="1719">
      <c r="A1719" s="13" t="s">
        <v>2108</v>
      </c>
      <c r="B1719" s="13" t="s">
        <v>345</v>
      </c>
      <c r="C1719" s="14">
        <v>36.0</v>
      </c>
      <c r="D1719" s="13" t="s">
        <v>69</v>
      </c>
      <c r="E1719" s="13" t="s">
        <v>187</v>
      </c>
      <c r="F1719" s="13" t="s">
        <v>62</v>
      </c>
      <c r="G1719" s="13" t="s">
        <v>63</v>
      </c>
      <c r="H1719" s="16">
        <v>44869.0</v>
      </c>
      <c r="I1719" s="14">
        <v>22.0</v>
      </c>
      <c r="J1719" s="13" t="s">
        <v>40</v>
      </c>
      <c r="K1719" s="13" t="s">
        <v>81</v>
      </c>
      <c r="L1719" s="14">
        <v>531.0</v>
      </c>
      <c r="M1719" s="18" t="s">
        <v>43</v>
      </c>
      <c r="N1719" s="18" t="s">
        <v>46</v>
      </c>
      <c r="O1719" s="18">
        <v>16.3</v>
      </c>
      <c r="P1719" s="18" t="s">
        <v>916</v>
      </c>
      <c r="Q1719" s="16">
        <v>45279.0</v>
      </c>
      <c r="R1719" s="16" t="s">
        <v>38</v>
      </c>
      <c r="S1719" s="13" t="s">
        <v>55</v>
      </c>
      <c r="T1719" s="13" t="s">
        <v>104</v>
      </c>
      <c r="U1719" s="13">
        <f t="shared" si="1"/>
        <v>2</v>
      </c>
      <c r="V1719" s="13" t="str">
        <f t="shared" si="2"/>
        <v>C01586|Arun Nair|36|South|Chennai|Basic|Google Ads|11/4/2022|22|Monthly|Debit Card|531|2|0|16.30|1.9|12/19/2023||Active|Analytics</v>
      </c>
      <c r="W1719" s="13">
        <f t="shared" si="3"/>
        <v>1</v>
      </c>
      <c r="X1719" s="13">
        <f>IFERROR(__xludf.DUMMYFUNCTION("COUNTUNIQUE(FILTER($B$2:$B$1826,$A$2:$A$1826=A1719))"),2.0)</f>
        <v>2</v>
      </c>
    </row>
    <row r="1720">
      <c r="A1720" s="13" t="s">
        <v>2138</v>
      </c>
      <c r="B1720" s="13" t="s">
        <v>202</v>
      </c>
      <c r="C1720" s="14">
        <v>29.0</v>
      </c>
      <c r="D1720" s="13" t="s">
        <v>60</v>
      </c>
      <c r="E1720" s="13" t="s">
        <v>97</v>
      </c>
      <c r="F1720" s="13" t="s">
        <v>79</v>
      </c>
      <c r="G1720" s="13" t="s">
        <v>39</v>
      </c>
      <c r="H1720" s="16">
        <v>45027.0</v>
      </c>
      <c r="I1720" s="14">
        <v>13.0</v>
      </c>
      <c r="J1720" s="13" t="s">
        <v>40</v>
      </c>
      <c r="K1720" s="13" t="s">
        <v>41</v>
      </c>
      <c r="L1720" s="14">
        <v>3297.0</v>
      </c>
      <c r="M1720" s="18" t="s">
        <v>164</v>
      </c>
      <c r="N1720" s="18" t="s">
        <v>98</v>
      </c>
      <c r="O1720" s="18">
        <v>39.0</v>
      </c>
      <c r="P1720" s="18" t="s">
        <v>233</v>
      </c>
      <c r="Q1720" s="16">
        <v>45324.0</v>
      </c>
      <c r="R1720" s="16" t="s">
        <v>38</v>
      </c>
      <c r="S1720" s="13" t="s">
        <v>55</v>
      </c>
      <c r="T1720" s="13" t="s">
        <v>75</v>
      </c>
      <c r="U1720" s="13">
        <f t="shared" si="1"/>
        <v>1</v>
      </c>
      <c r="V1720" s="13" t="str">
        <f t="shared" si="2"/>
        <v>C00823|Arun Das|29|East|Bhubaneswar|Premium|Instagram|4/11/2023|13|Monthly|Upi|3,297|3|1|39.00|3.5|2/2/2024||Active|Security</v>
      </c>
      <c r="W1720" s="13">
        <f t="shared" si="3"/>
        <v>1</v>
      </c>
      <c r="X1720" s="13">
        <f>IFERROR(__xludf.DUMMYFUNCTION("COUNTUNIQUE(FILTER($B$2:$B$1826,$A$2:$A$1826=A1720))"),1.0)</f>
        <v>1</v>
      </c>
    </row>
    <row r="1721">
      <c r="A1721" s="13" t="s">
        <v>1293</v>
      </c>
      <c r="B1721" s="13" t="s">
        <v>351</v>
      </c>
      <c r="C1721" s="14">
        <v>42.0</v>
      </c>
      <c r="D1721" s="13" t="s">
        <v>69</v>
      </c>
      <c r="E1721" s="13" t="s">
        <v>70</v>
      </c>
      <c r="F1721" s="13" t="s">
        <v>79</v>
      </c>
      <c r="G1721" s="13" t="s">
        <v>128</v>
      </c>
      <c r="H1721" s="16">
        <v>45097.0</v>
      </c>
      <c r="I1721" s="14">
        <v>12.0</v>
      </c>
      <c r="J1721" s="13" t="s">
        <v>40</v>
      </c>
      <c r="K1721" s="13" t="s">
        <v>65</v>
      </c>
      <c r="L1721" s="14">
        <v>2866.0</v>
      </c>
      <c r="M1721" s="18" t="s">
        <v>43</v>
      </c>
      <c r="N1721" s="18" t="s">
        <v>98</v>
      </c>
      <c r="O1721" s="18">
        <v>43.2</v>
      </c>
      <c r="P1721" s="18" t="s">
        <v>225</v>
      </c>
      <c r="Q1721" s="16">
        <v>45178.0</v>
      </c>
      <c r="R1721" s="16" t="s">
        <v>2139</v>
      </c>
      <c r="S1721" s="13" t="s">
        <v>45</v>
      </c>
      <c r="T1721" s="13" t="s">
        <v>72</v>
      </c>
      <c r="U1721" s="13">
        <f t="shared" si="1"/>
        <v>4</v>
      </c>
      <c r="V1721" s="13" t="str">
        <f t="shared" si="2"/>
        <v>C01309|Meera Nair|42|South|Bengaluru|Premium|Youtube|6/20/2023|12|Monthly|Credit Card|2,866|2|1|43.20|3.8|9/9/2023|29/11/2023|Churned|Collaboration</v>
      </c>
      <c r="W1721" s="13">
        <f t="shared" si="3"/>
        <v>1</v>
      </c>
      <c r="X1721" s="13">
        <f>IFERROR(__xludf.DUMMYFUNCTION("COUNTUNIQUE(FILTER($B$2:$B$1826,$A$2:$A$1826=A1721))"),4.0)</f>
        <v>4</v>
      </c>
    </row>
    <row r="1722">
      <c r="A1722" s="13" t="s">
        <v>1830</v>
      </c>
      <c r="B1722" s="13" t="s">
        <v>118</v>
      </c>
      <c r="C1722" s="14">
        <v>35.0</v>
      </c>
      <c r="D1722" s="13" t="s">
        <v>35</v>
      </c>
      <c r="E1722" s="13" t="s">
        <v>133</v>
      </c>
      <c r="F1722" s="13" t="s">
        <v>79</v>
      </c>
      <c r="G1722" s="13" t="s">
        <v>52</v>
      </c>
      <c r="H1722" s="16">
        <v>44750.0</v>
      </c>
      <c r="I1722" s="14">
        <v>42.0</v>
      </c>
      <c r="J1722" s="13" t="s">
        <v>40</v>
      </c>
      <c r="K1722" s="13" t="s">
        <v>81</v>
      </c>
      <c r="L1722" s="14">
        <v>3936.0</v>
      </c>
      <c r="M1722" s="18" t="s">
        <v>43</v>
      </c>
      <c r="N1722" s="18" t="s">
        <v>43</v>
      </c>
      <c r="O1722" s="18">
        <v>29.6</v>
      </c>
      <c r="P1722" s="18" t="s">
        <v>89</v>
      </c>
      <c r="Q1722" s="16">
        <v>45983.0</v>
      </c>
      <c r="R1722" s="16" t="s">
        <v>2140</v>
      </c>
      <c r="S1722" s="13" t="s">
        <v>45</v>
      </c>
      <c r="T1722" s="13" t="s">
        <v>75</v>
      </c>
      <c r="U1722" s="13">
        <f t="shared" si="1"/>
        <v>2</v>
      </c>
      <c r="V1722" s="13" t="str">
        <f t="shared" si="2"/>
        <v>C00051|Karan Nair|35|North|Guwahati|Premium|Facebook|7/8/2022|42|Monthly|Debit Card|3,936|2|2|29.60|3.3|11/22/2025|28/08/2024|Churned|Security</v>
      </c>
      <c r="W1722" s="13">
        <f t="shared" si="3"/>
        <v>1</v>
      </c>
      <c r="X1722" s="13">
        <f>IFERROR(__xludf.DUMMYFUNCTION("COUNTUNIQUE(FILTER($B$2:$B$1826,$A$2:$A$1826=A1722))"),2.0)</f>
        <v>2</v>
      </c>
    </row>
    <row r="1723">
      <c r="A1723" s="13" t="s">
        <v>1251</v>
      </c>
      <c r="B1723" s="13" t="s">
        <v>393</v>
      </c>
      <c r="C1723" s="14">
        <v>54.0</v>
      </c>
      <c r="D1723" s="13" t="s">
        <v>85</v>
      </c>
      <c r="E1723" s="13" t="s">
        <v>111</v>
      </c>
      <c r="F1723" s="13" t="s">
        <v>62</v>
      </c>
      <c r="G1723" s="13" t="s">
        <v>210</v>
      </c>
      <c r="H1723" s="16">
        <v>45080.0</v>
      </c>
      <c r="I1723" s="14">
        <v>24.0</v>
      </c>
      <c r="J1723" s="13" t="s">
        <v>64</v>
      </c>
      <c r="K1723" s="13" t="s">
        <v>81</v>
      </c>
      <c r="L1723" s="14">
        <v>668.0</v>
      </c>
      <c r="M1723" s="18" t="s">
        <v>164</v>
      </c>
      <c r="N1723" s="18" t="s">
        <v>98</v>
      </c>
      <c r="O1723" s="18">
        <v>13.1</v>
      </c>
      <c r="P1723" s="18" t="s">
        <v>164</v>
      </c>
      <c r="Q1723" s="16">
        <v>45377.0</v>
      </c>
      <c r="R1723" s="16" t="s">
        <v>38</v>
      </c>
      <c r="S1723" s="13" t="s">
        <v>55</v>
      </c>
      <c r="T1723" s="13" t="s">
        <v>75</v>
      </c>
      <c r="U1723" s="13">
        <f t="shared" si="1"/>
        <v>2</v>
      </c>
      <c r="V1723" s="13" t="str">
        <f t="shared" si="2"/>
        <v>C01112|Karan Das|54|West|Pune|Basic|Referral|6/3/2023|24|Annual|Debit Card|668|3|1|13.10|3|3/26/2024||Active|Security</v>
      </c>
      <c r="W1723" s="13">
        <f t="shared" si="3"/>
        <v>1</v>
      </c>
      <c r="X1723" s="13">
        <f>IFERROR(__xludf.DUMMYFUNCTION("COUNTUNIQUE(FILTER($B$2:$B$1826,$A$2:$A$1826=A1723))"),2.0)</f>
        <v>2</v>
      </c>
    </row>
    <row r="1724">
      <c r="A1724" s="13" t="s">
        <v>1189</v>
      </c>
      <c r="B1724" s="13" t="s">
        <v>50</v>
      </c>
      <c r="C1724" s="14">
        <v>50.0</v>
      </c>
      <c r="D1724" s="13" t="s">
        <v>69</v>
      </c>
      <c r="E1724" s="13" t="s">
        <v>177</v>
      </c>
      <c r="F1724" s="13" t="s">
        <v>37</v>
      </c>
      <c r="G1724" s="13" t="s">
        <v>128</v>
      </c>
      <c r="H1724" s="16">
        <v>45169.0</v>
      </c>
      <c r="I1724" s="14">
        <v>36.0</v>
      </c>
      <c r="J1724" s="13" t="s">
        <v>40</v>
      </c>
      <c r="K1724" s="13" t="s">
        <v>65</v>
      </c>
      <c r="L1724" s="14">
        <v>1676.0</v>
      </c>
      <c r="M1724" s="18" t="s">
        <v>98</v>
      </c>
      <c r="N1724" s="18" t="s">
        <v>43</v>
      </c>
      <c r="O1724" s="18">
        <v>28.3</v>
      </c>
      <c r="P1724" s="18" t="s">
        <v>263</v>
      </c>
      <c r="Q1724" s="16">
        <v>45902.0</v>
      </c>
      <c r="R1724" s="16" t="s">
        <v>2141</v>
      </c>
      <c r="S1724" s="13" t="s">
        <v>45</v>
      </c>
      <c r="T1724" s="13" t="s">
        <v>75</v>
      </c>
      <c r="U1724" s="13">
        <f t="shared" si="1"/>
        <v>2</v>
      </c>
      <c r="V1724" s="13" t="str">
        <f t="shared" si="2"/>
        <v>C00725|Rahul Das|50|South|Hyderabad|Standard|Youtube|8/31/2023|36|Monthly|Credit Card|1,676|1|2|28.30|2.9|9/2/2025|24/02/2026|Churned|Security</v>
      </c>
      <c r="W1724" s="13">
        <f t="shared" si="3"/>
        <v>1</v>
      </c>
      <c r="X1724" s="13">
        <f>IFERROR(__xludf.DUMMYFUNCTION("COUNTUNIQUE(FILTER($B$2:$B$1826,$A$2:$A$1826=A1724))"),2.0)</f>
        <v>2</v>
      </c>
    </row>
    <row r="1725">
      <c r="A1725" s="13" t="s">
        <v>2142</v>
      </c>
      <c r="B1725" s="13" t="s">
        <v>232</v>
      </c>
      <c r="C1725" s="14">
        <v>34.0</v>
      </c>
      <c r="D1725" s="13" t="s">
        <v>60</v>
      </c>
      <c r="E1725" s="13" t="s">
        <v>97</v>
      </c>
      <c r="F1725" s="13" t="s">
        <v>62</v>
      </c>
      <c r="G1725" s="13" t="s">
        <v>128</v>
      </c>
      <c r="H1725" s="16">
        <v>45919.0</v>
      </c>
      <c r="I1725" s="14">
        <v>30.0</v>
      </c>
      <c r="J1725" s="13" t="s">
        <v>40</v>
      </c>
      <c r="K1725" s="13" t="s">
        <v>81</v>
      </c>
      <c r="L1725" s="14">
        <v>767.0</v>
      </c>
      <c r="M1725" s="18" t="s">
        <v>43</v>
      </c>
      <c r="N1725" s="18" t="s">
        <v>46</v>
      </c>
      <c r="O1725" s="18">
        <v>22.8</v>
      </c>
      <c r="P1725" s="18" t="s">
        <v>185</v>
      </c>
      <c r="Q1725" s="16">
        <v>46449.0</v>
      </c>
      <c r="R1725" s="16" t="s">
        <v>38</v>
      </c>
      <c r="S1725" s="13" t="s">
        <v>55</v>
      </c>
      <c r="T1725" s="13" t="s">
        <v>75</v>
      </c>
      <c r="U1725" s="13">
        <f t="shared" si="1"/>
        <v>1</v>
      </c>
      <c r="V1725" s="13" t="str">
        <f t="shared" si="2"/>
        <v>C00614|Meera Iyer|34|East|Bhubaneswar|Basic|Youtube|9/19/2025|30|Monthly|Debit Card|767|2|0|22.80|3.2|3/3/2027||Active|Security</v>
      </c>
      <c r="W1725" s="13">
        <f t="shared" si="3"/>
        <v>1</v>
      </c>
      <c r="X1725" s="13">
        <f>IFERROR(__xludf.DUMMYFUNCTION("COUNTUNIQUE(FILTER($B$2:$B$1826,$A$2:$A$1826=A1725))"),1.0)</f>
        <v>1</v>
      </c>
    </row>
    <row r="1726">
      <c r="A1726" s="13" t="s">
        <v>2143</v>
      </c>
      <c r="B1726" s="13" t="s">
        <v>184</v>
      </c>
      <c r="C1726" s="14">
        <v>22.0</v>
      </c>
      <c r="D1726" s="13" t="s">
        <v>69</v>
      </c>
      <c r="E1726" s="13" t="s">
        <v>177</v>
      </c>
      <c r="F1726" s="13" t="s">
        <v>62</v>
      </c>
      <c r="G1726" s="13" t="s">
        <v>128</v>
      </c>
      <c r="H1726" s="16">
        <v>45443.0</v>
      </c>
      <c r="I1726" s="14">
        <v>39.0</v>
      </c>
      <c r="J1726" s="13" t="s">
        <v>53</v>
      </c>
      <c r="K1726" s="13" t="s">
        <v>81</v>
      </c>
      <c r="L1726" s="14">
        <v>773.0</v>
      </c>
      <c r="M1726" s="18" t="s">
        <v>164</v>
      </c>
      <c r="N1726" s="18" t="s">
        <v>46</v>
      </c>
      <c r="O1726" s="18">
        <v>18.2</v>
      </c>
      <c r="P1726" s="18" t="s">
        <v>408</v>
      </c>
      <c r="Q1726" s="16">
        <v>45501.0</v>
      </c>
      <c r="R1726" s="16" t="s">
        <v>38</v>
      </c>
      <c r="S1726" s="13" t="s">
        <v>55</v>
      </c>
      <c r="T1726" s="13" t="s">
        <v>104</v>
      </c>
      <c r="U1726" s="13">
        <f t="shared" si="1"/>
        <v>1</v>
      </c>
      <c r="V1726" s="13" t="str">
        <f t="shared" si="2"/>
        <v>C01580|Vikram Reddy|22|South|Hyderabad|Basic|Youtube|5/31/2024|39|Quarterly|Debit Card|773|3|0|18.20|4.2|7/28/2024||Active|Analytics</v>
      </c>
      <c r="W1726" s="13">
        <f t="shared" si="3"/>
        <v>1</v>
      </c>
      <c r="X1726" s="13">
        <f>IFERROR(__xludf.DUMMYFUNCTION("COUNTUNIQUE(FILTER($B$2:$B$1826,$A$2:$A$1826=A1726))"),1.0)</f>
        <v>1</v>
      </c>
    </row>
    <row r="1727">
      <c r="A1727" s="13" t="s">
        <v>90</v>
      </c>
      <c r="B1727" s="13" t="s">
        <v>239</v>
      </c>
      <c r="C1727" s="14">
        <v>63.0</v>
      </c>
      <c r="D1727" s="13" t="s">
        <v>69</v>
      </c>
      <c r="E1727" s="13" t="s">
        <v>177</v>
      </c>
      <c r="F1727" s="13" t="s">
        <v>62</v>
      </c>
      <c r="G1727" s="13" t="s">
        <v>39</v>
      </c>
      <c r="H1727" s="16">
        <v>44578.0</v>
      </c>
      <c r="I1727" s="14">
        <v>120.0</v>
      </c>
      <c r="J1727" s="13" t="s">
        <v>53</v>
      </c>
      <c r="K1727" s="13" t="s">
        <v>65</v>
      </c>
      <c r="L1727" s="14">
        <v>642.0</v>
      </c>
      <c r="M1727" s="18" t="s">
        <v>164</v>
      </c>
      <c r="N1727" s="18" t="s">
        <v>43</v>
      </c>
      <c r="O1727" s="18">
        <v>32.2</v>
      </c>
      <c r="P1727" s="18" t="s">
        <v>150</v>
      </c>
      <c r="Q1727" s="16">
        <v>44638.0</v>
      </c>
      <c r="R1727" s="16" t="s">
        <v>38</v>
      </c>
      <c r="S1727" s="13" t="s">
        <v>55</v>
      </c>
      <c r="T1727" s="13" t="s">
        <v>47</v>
      </c>
      <c r="U1727" s="13">
        <f t="shared" si="1"/>
        <v>2</v>
      </c>
      <c r="V1727" s="13" t="str">
        <f t="shared" si="2"/>
        <v>C01221|Meera Kumar|63|South|Hyderabad|Basic|Instagram|1/17/2022|120|Quarterly|Credit Card|642|3|2|32.20|4.5|3/18/2022||Active|Cloud Storage</v>
      </c>
      <c r="W1727" s="13">
        <f t="shared" si="3"/>
        <v>1</v>
      </c>
      <c r="X1727" s="13">
        <f>IFERROR(__xludf.DUMMYFUNCTION("COUNTUNIQUE(FILTER($B$2:$B$1826,$A$2:$A$1826=A1727))"),2.0)</f>
        <v>2</v>
      </c>
    </row>
    <row r="1728">
      <c r="A1728" s="13" t="s">
        <v>2144</v>
      </c>
      <c r="B1728" s="13" t="s">
        <v>424</v>
      </c>
      <c r="C1728" s="14">
        <v>23.0</v>
      </c>
      <c r="D1728" s="13" t="s">
        <v>85</v>
      </c>
      <c r="E1728" s="13" t="s">
        <v>111</v>
      </c>
      <c r="F1728" s="13" t="s">
        <v>37</v>
      </c>
      <c r="G1728" s="13" t="s">
        <v>80</v>
      </c>
      <c r="H1728" s="16">
        <v>45206.0</v>
      </c>
      <c r="I1728" s="14">
        <v>18.0</v>
      </c>
      <c r="J1728" s="13" t="s">
        <v>53</v>
      </c>
      <c r="K1728" s="13" t="s">
        <v>41</v>
      </c>
      <c r="L1728" s="14">
        <v>1681.0</v>
      </c>
      <c r="M1728" s="18" t="s">
        <v>38</v>
      </c>
      <c r="N1728" s="18" t="s">
        <v>98</v>
      </c>
      <c r="O1728" s="18">
        <v>32.4</v>
      </c>
      <c r="P1728" s="18" t="s">
        <v>173</v>
      </c>
      <c r="Q1728" s="16">
        <v>45220.0</v>
      </c>
      <c r="R1728" s="16" t="s">
        <v>38</v>
      </c>
      <c r="S1728" s="13" t="s">
        <v>55</v>
      </c>
      <c r="T1728" s="13" t="s">
        <v>72</v>
      </c>
      <c r="U1728" s="13">
        <f t="shared" si="1"/>
        <v>1</v>
      </c>
      <c r="V1728" s="13" t="str">
        <f t="shared" si="2"/>
        <v>C01513|Neha Kumar|23|West|Pune|Standard|Organic Search|10/7/2023|18|Quarterly|Upi|1,681||1|32.40|5|10/21/2023||Active|Collaboration</v>
      </c>
      <c r="W1728" s="13">
        <f t="shared" si="3"/>
        <v>1</v>
      </c>
      <c r="X1728" s="13">
        <f>IFERROR(__xludf.DUMMYFUNCTION("COUNTUNIQUE(FILTER($B$2:$B$1826,$A$2:$A$1826=A1728))"),1.0)</f>
        <v>1</v>
      </c>
    </row>
    <row r="1729">
      <c r="A1729" s="13" t="s">
        <v>2145</v>
      </c>
      <c r="B1729" s="13" t="s">
        <v>288</v>
      </c>
      <c r="C1729" s="14">
        <v>38.0</v>
      </c>
      <c r="D1729" s="13" t="s">
        <v>60</v>
      </c>
      <c r="E1729" s="13" t="s">
        <v>61</v>
      </c>
      <c r="F1729" s="13" t="s">
        <v>37</v>
      </c>
      <c r="G1729" s="13" t="s">
        <v>52</v>
      </c>
      <c r="H1729" s="16">
        <v>44833.0</v>
      </c>
      <c r="I1729" s="14">
        <v>45.0</v>
      </c>
      <c r="J1729" s="13" t="s">
        <v>40</v>
      </c>
      <c r="K1729" s="13" t="s">
        <v>65</v>
      </c>
      <c r="L1729" s="14">
        <v>501.0</v>
      </c>
      <c r="M1729" s="18" t="s">
        <v>99</v>
      </c>
      <c r="N1729" s="18" t="s">
        <v>98</v>
      </c>
      <c r="O1729" s="18">
        <v>7.8</v>
      </c>
      <c r="P1729" s="18" t="s">
        <v>449</v>
      </c>
      <c r="Q1729" s="16">
        <v>44890.0</v>
      </c>
      <c r="R1729" s="16" t="s">
        <v>38</v>
      </c>
      <c r="S1729" s="13" t="s">
        <v>55</v>
      </c>
      <c r="T1729" s="13" t="s">
        <v>47</v>
      </c>
      <c r="U1729" s="13">
        <f t="shared" si="1"/>
        <v>2</v>
      </c>
      <c r="V1729" s="13" t="str">
        <f t="shared" si="2"/>
        <v>C01146|Rahul Sharma|38|East|Kolkata|Standard|Facebook|9/29/2022|45|Monthly|Credit Card|501|4|1|7.80|2.7|11/25/2022||Active|Cloud Storage</v>
      </c>
      <c r="W1729" s="13">
        <f t="shared" si="3"/>
        <v>1</v>
      </c>
      <c r="X1729" s="13">
        <f>IFERROR(__xludf.DUMMYFUNCTION("COUNTUNIQUE(FILTER($B$2:$B$1826,$A$2:$A$1826=A1729))"),2.0)</f>
        <v>2</v>
      </c>
    </row>
    <row r="1730">
      <c r="A1730" s="13" t="s">
        <v>1144</v>
      </c>
      <c r="B1730" s="13" t="s">
        <v>448</v>
      </c>
      <c r="C1730" s="14">
        <v>31.0</v>
      </c>
      <c r="D1730" s="13" t="s">
        <v>69</v>
      </c>
      <c r="E1730" s="13" t="s">
        <v>119</v>
      </c>
      <c r="F1730" s="13" t="s">
        <v>37</v>
      </c>
      <c r="G1730" s="13" t="s">
        <v>128</v>
      </c>
      <c r="H1730" s="16">
        <v>45962.0</v>
      </c>
      <c r="I1730" s="14">
        <v>44.0</v>
      </c>
      <c r="J1730" s="13" t="s">
        <v>40</v>
      </c>
      <c r="K1730" s="13" t="s">
        <v>81</v>
      </c>
      <c r="L1730" s="14">
        <v>1228.0</v>
      </c>
      <c r="M1730" s="18" t="s">
        <v>43</v>
      </c>
      <c r="N1730" s="18" t="s">
        <v>98</v>
      </c>
      <c r="O1730" s="18">
        <v>27.9</v>
      </c>
      <c r="P1730" s="18" t="s">
        <v>701</v>
      </c>
      <c r="Q1730" s="16">
        <v>46978.0</v>
      </c>
      <c r="R1730" s="16" t="s">
        <v>38</v>
      </c>
      <c r="S1730" s="13" t="s">
        <v>55</v>
      </c>
      <c r="T1730" s="13" t="s">
        <v>104</v>
      </c>
      <c r="U1730" s="13">
        <f t="shared" si="1"/>
        <v>2</v>
      </c>
      <c r="V1730" s="13" t="str">
        <f t="shared" si="2"/>
        <v>C00133|Meera Reddy|31|South|Kochi|Standard|Youtube|11/1/2025|44|Monthly|Debit Card|1,228|2|1|27.90|2.8|8/13/2028||Active|Analytics</v>
      </c>
      <c r="W1730" s="13">
        <f t="shared" si="3"/>
        <v>1</v>
      </c>
      <c r="X1730" s="13">
        <f>IFERROR(__xludf.DUMMYFUNCTION("COUNTUNIQUE(FILTER($B$2:$B$1826,$A$2:$A$1826=A1730))"),2.0)</f>
        <v>2</v>
      </c>
    </row>
    <row r="1731">
      <c r="A1731" s="13" t="s">
        <v>1783</v>
      </c>
      <c r="B1731" s="13" t="s">
        <v>78</v>
      </c>
      <c r="C1731" s="14">
        <v>54.0</v>
      </c>
      <c r="D1731" s="13" t="s">
        <v>69</v>
      </c>
      <c r="E1731" s="13" t="s">
        <v>187</v>
      </c>
      <c r="F1731" s="13" t="s">
        <v>37</v>
      </c>
      <c r="G1731" s="13" t="s">
        <v>80</v>
      </c>
      <c r="H1731" s="16">
        <v>44621.0</v>
      </c>
      <c r="I1731" s="14">
        <v>18.0</v>
      </c>
      <c r="J1731" s="13" t="s">
        <v>53</v>
      </c>
      <c r="K1731" s="13" t="s">
        <v>81</v>
      </c>
      <c r="L1731" s="14">
        <v>1409.0</v>
      </c>
      <c r="M1731" s="18" t="s">
        <v>1192</v>
      </c>
      <c r="N1731" s="18" t="s">
        <v>43</v>
      </c>
      <c r="O1731" s="18">
        <v>30.2</v>
      </c>
      <c r="P1731" s="18" t="s">
        <v>296</v>
      </c>
      <c r="Q1731" s="16">
        <v>44820.0</v>
      </c>
      <c r="R1731" s="16" t="s">
        <v>1925</v>
      </c>
      <c r="S1731" s="13" t="s">
        <v>45</v>
      </c>
      <c r="T1731" s="13" t="s">
        <v>75</v>
      </c>
      <c r="U1731" s="13">
        <f t="shared" si="1"/>
        <v>2</v>
      </c>
      <c r="V1731" s="13" t="str">
        <f t="shared" si="2"/>
        <v>C00229|Vikram Patel|54|South|Chennai|Standard|Organic Search|3/1/2022|18|Quarterly|Debit Card|1,409|7|2|30.20|4.6|9/16/2022|15/07/2023|Churned|Security</v>
      </c>
      <c r="W1731" s="13">
        <f t="shared" si="3"/>
        <v>1</v>
      </c>
      <c r="X1731" s="13">
        <f>IFERROR(__xludf.DUMMYFUNCTION("COUNTUNIQUE(FILTER($B$2:$B$1826,$A$2:$A$1826=A1731))"),2.0)</f>
        <v>2</v>
      </c>
    </row>
    <row r="1732">
      <c r="A1732" s="13" t="s">
        <v>2146</v>
      </c>
      <c r="B1732" s="13" t="s">
        <v>281</v>
      </c>
      <c r="C1732" s="14">
        <v>37.0</v>
      </c>
      <c r="D1732" s="13" t="s">
        <v>60</v>
      </c>
      <c r="E1732" s="13" t="s">
        <v>61</v>
      </c>
      <c r="F1732" s="13" t="s">
        <v>37</v>
      </c>
      <c r="G1732" s="13" t="s">
        <v>80</v>
      </c>
      <c r="H1732" s="16">
        <v>45306.0</v>
      </c>
      <c r="I1732" s="14">
        <v>32.0</v>
      </c>
      <c r="J1732" s="13" t="s">
        <v>53</v>
      </c>
      <c r="K1732" s="13" t="s">
        <v>41</v>
      </c>
      <c r="L1732" s="14">
        <v>1566.0</v>
      </c>
      <c r="M1732" s="18" t="s">
        <v>43</v>
      </c>
      <c r="N1732" s="18" t="s">
        <v>43</v>
      </c>
      <c r="O1732" s="18">
        <v>23.4</v>
      </c>
      <c r="P1732" s="18" t="s">
        <v>225</v>
      </c>
      <c r="Q1732" s="16">
        <v>46009.0</v>
      </c>
      <c r="R1732" s="16" t="s">
        <v>38</v>
      </c>
      <c r="S1732" s="13" t="s">
        <v>55</v>
      </c>
      <c r="T1732" s="13" t="s">
        <v>72</v>
      </c>
      <c r="U1732" s="13">
        <f t="shared" si="1"/>
        <v>1</v>
      </c>
      <c r="V1732" s="13" t="str">
        <f t="shared" si="2"/>
        <v>C00376|Anita Reddy|37|East|Kolkata|Standard|Organic Search|1/15/2024|32|Quarterly|Upi|1,566|2|2|23.40|3.8|12/18/2025||Active|Collaboration</v>
      </c>
      <c r="W1732" s="13">
        <f t="shared" si="3"/>
        <v>1</v>
      </c>
      <c r="X1732" s="13">
        <f>IFERROR(__xludf.DUMMYFUNCTION("COUNTUNIQUE(FILTER($B$2:$B$1826,$A$2:$A$1826=A1732))"),1.0)</f>
        <v>1</v>
      </c>
    </row>
    <row r="1733">
      <c r="A1733" s="13" t="s">
        <v>2147</v>
      </c>
      <c r="B1733" s="13" t="s">
        <v>184</v>
      </c>
      <c r="C1733" s="14">
        <v>41.0</v>
      </c>
      <c r="D1733" s="13" t="s">
        <v>85</v>
      </c>
      <c r="E1733" s="13" t="s">
        <v>292</v>
      </c>
      <c r="F1733" s="13" t="s">
        <v>37</v>
      </c>
      <c r="G1733" s="13" t="s">
        <v>128</v>
      </c>
      <c r="H1733" s="16">
        <v>45843.0</v>
      </c>
      <c r="I1733" s="14">
        <v>6.0</v>
      </c>
      <c r="J1733" s="13" t="s">
        <v>53</v>
      </c>
      <c r="K1733" s="13" t="s">
        <v>81</v>
      </c>
      <c r="L1733" s="14">
        <v>1095.0</v>
      </c>
      <c r="M1733" s="18" t="s">
        <v>164</v>
      </c>
      <c r="N1733" s="18" t="s">
        <v>43</v>
      </c>
      <c r="O1733" s="18">
        <v>21.3</v>
      </c>
      <c r="P1733" s="18" t="s">
        <v>916</v>
      </c>
      <c r="Q1733" s="16">
        <v>45975.0</v>
      </c>
      <c r="R1733" s="16" t="s">
        <v>38</v>
      </c>
      <c r="S1733" s="13" t="s">
        <v>55</v>
      </c>
      <c r="T1733" s="13" t="s">
        <v>47</v>
      </c>
      <c r="U1733" s="13">
        <f t="shared" si="1"/>
        <v>1</v>
      </c>
      <c r="V1733" s="13" t="str">
        <f t="shared" si="2"/>
        <v>C01295|Vikram Reddy|41|West|Mumbai|Standard|Youtube|7/5/2025|6|Quarterly|Debit Card|1,095|3|2|21.30|1.9|11/14/2025||Active|Cloud Storage</v>
      </c>
      <c r="W1733" s="13">
        <f t="shared" si="3"/>
        <v>1</v>
      </c>
      <c r="X1733" s="13">
        <f>IFERROR(__xludf.DUMMYFUNCTION("COUNTUNIQUE(FILTER($B$2:$B$1826,$A$2:$A$1826=A1733))"),1.0)</f>
        <v>1</v>
      </c>
    </row>
    <row r="1734">
      <c r="A1734" s="13" t="s">
        <v>2148</v>
      </c>
      <c r="B1734" s="13" t="s">
        <v>316</v>
      </c>
      <c r="C1734" s="14">
        <v>35.0</v>
      </c>
      <c r="D1734" s="13" t="s">
        <v>85</v>
      </c>
      <c r="E1734" s="13" t="s">
        <v>292</v>
      </c>
      <c r="F1734" s="13" t="s">
        <v>79</v>
      </c>
      <c r="G1734" s="13" t="s">
        <v>120</v>
      </c>
      <c r="H1734" s="16">
        <v>44839.0</v>
      </c>
      <c r="I1734" s="14">
        <v>31.0</v>
      </c>
      <c r="J1734" s="13" t="s">
        <v>53</v>
      </c>
      <c r="K1734" s="13" t="s">
        <v>41</v>
      </c>
      <c r="L1734" s="14">
        <v>2932.0</v>
      </c>
      <c r="M1734" s="18" t="s">
        <v>98</v>
      </c>
      <c r="N1734" s="18" t="s">
        <v>46</v>
      </c>
      <c r="O1734" s="18">
        <v>48.2</v>
      </c>
      <c r="P1734" s="18" t="s">
        <v>150</v>
      </c>
      <c r="Q1734" s="16">
        <v>45053.0</v>
      </c>
      <c r="R1734" s="16" t="s">
        <v>38</v>
      </c>
      <c r="S1734" s="13" t="s">
        <v>55</v>
      </c>
      <c r="T1734" s="13" t="s">
        <v>47</v>
      </c>
      <c r="U1734" s="13">
        <f t="shared" si="1"/>
        <v>1</v>
      </c>
      <c r="V1734" s="13" t="str">
        <f t="shared" si="2"/>
        <v>C01411|Neha Nair|35|West|Mumbai|Premium|Email|10/5/2022|31|Quarterly|Upi|2,932|1|0|48.20|4.5|5/7/2023||Active|Cloud Storage</v>
      </c>
      <c r="W1734" s="13">
        <f t="shared" si="3"/>
        <v>1</v>
      </c>
      <c r="X1734" s="13">
        <f>IFERROR(__xludf.DUMMYFUNCTION("COUNTUNIQUE(FILTER($B$2:$B$1826,$A$2:$A$1826=A1734))"),1.0)</f>
        <v>1</v>
      </c>
    </row>
    <row r="1735">
      <c r="A1735" s="13" t="s">
        <v>2149</v>
      </c>
      <c r="B1735" s="13" t="s">
        <v>331</v>
      </c>
      <c r="C1735" s="14">
        <v>52.0</v>
      </c>
      <c r="D1735" s="13" t="s">
        <v>60</v>
      </c>
      <c r="E1735" s="13" t="s">
        <v>133</v>
      </c>
      <c r="F1735" s="13" t="s">
        <v>62</v>
      </c>
      <c r="G1735" s="13" t="s">
        <v>120</v>
      </c>
      <c r="H1735" s="16">
        <v>44785.0</v>
      </c>
      <c r="I1735" s="14">
        <v>28.0</v>
      </c>
      <c r="J1735" s="13" t="s">
        <v>40</v>
      </c>
      <c r="K1735" s="13" t="s">
        <v>81</v>
      </c>
      <c r="L1735" s="14">
        <v>550.0</v>
      </c>
      <c r="M1735" s="18" t="s">
        <v>98</v>
      </c>
      <c r="N1735" s="18" t="s">
        <v>98</v>
      </c>
      <c r="O1735" s="18">
        <v>10.0</v>
      </c>
      <c r="P1735" s="18" t="s">
        <v>701</v>
      </c>
      <c r="Q1735" s="16">
        <v>45347.0</v>
      </c>
      <c r="R1735" s="16" t="s">
        <v>38</v>
      </c>
      <c r="S1735" s="13" t="s">
        <v>55</v>
      </c>
      <c r="T1735" s="13" t="s">
        <v>75</v>
      </c>
      <c r="U1735" s="13">
        <f t="shared" si="1"/>
        <v>1</v>
      </c>
      <c r="V1735" s="13" t="str">
        <f t="shared" si="2"/>
        <v>C00178|Arun Iyer|52|East|Guwahati|Basic|Email|8/12/2022|28|Monthly|Debit Card|550|1|1|10.00|2.8|2/25/2024||Active|Security</v>
      </c>
      <c r="W1735" s="13">
        <f t="shared" si="3"/>
        <v>1</v>
      </c>
      <c r="X1735" s="13">
        <f>IFERROR(__xludf.DUMMYFUNCTION("COUNTUNIQUE(FILTER($B$2:$B$1826,$A$2:$A$1826=A1735))"),1.0)</f>
        <v>1</v>
      </c>
    </row>
    <row r="1736">
      <c r="A1736" s="13" t="s">
        <v>1707</v>
      </c>
      <c r="B1736" s="13" t="s">
        <v>636</v>
      </c>
      <c r="C1736" s="14">
        <v>23.0</v>
      </c>
      <c r="D1736" s="13" t="s">
        <v>69</v>
      </c>
      <c r="E1736" s="13" t="s">
        <v>70</v>
      </c>
      <c r="F1736" s="13" t="s">
        <v>37</v>
      </c>
      <c r="G1736" s="13" t="s">
        <v>63</v>
      </c>
      <c r="H1736" s="16">
        <v>45430.0</v>
      </c>
      <c r="I1736" s="14">
        <v>37.0</v>
      </c>
      <c r="J1736" s="13" t="s">
        <v>53</v>
      </c>
      <c r="K1736" s="13" t="s">
        <v>81</v>
      </c>
      <c r="L1736" s="14">
        <v>1440.0</v>
      </c>
      <c r="M1736" s="18" t="s">
        <v>43</v>
      </c>
      <c r="N1736" s="18" t="s">
        <v>43</v>
      </c>
      <c r="O1736" s="18">
        <v>30.3</v>
      </c>
      <c r="P1736" s="18" t="s">
        <v>43</v>
      </c>
      <c r="Q1736" s="16">
        <v>45481.0</v>
      </c>
      <c r="R1736" s="16" t="s">
        <v>38</v>
      </c>
      <c r="S1736" s="13" t="s">
        <v>55</v>
      </c>
      <c r="T1736" s="13" t="s">
        <v>75</v>
      </c>
      <c r="U1736" s="13">
        <f t="shared" si="1"/>
        <v>4</v>
      </c>
      <c r="V1736" s="13" t="str">
        <f t="shared" si="2"/>
        <v>C00804|Neha Reddy|23|South|Bengaluru|Standard|Google Ads|5/18/2024|37|Quarterly|Debit Card|1,440|2|2|30.30|2|7/8/2024||Active|Security</v>
      </c>
      <c r="W1736" s="13">
        <f t="shared" si="3"/>
        <v>1</v>
      </c>
      <c r="X1736" s="13">
        <f>IFERROR(__xludf.DUMMYFUNCTION("COUNTUNIQUE(FILTER($B$2:$B$1826,$A$2:$A$1826=A1736))"),4.0)</f>
        <v>4</v>
      </c>
    </row>
    <row r="1737">
      <c r="A1737" s="13" t="s">
        <v>1814</v>
      </c>
      <c r="B1737" s="13" t="s">
        <v>163</v>
      </c>
      <c r="C1737" s="14">
        <v>62.0</v>
      </c>
      <c r="D1737" s="13" t="s">
        <v>60</v>
      </c>
      <c r="E1737" s="13" t="s">
        <v>107</v>
      </c>
      <c r="F1737" s="13" t="s">
        <v>62</v>
      </c>
      <c r="G1737" s="13" t="s">
        <v>210</v>
      </c>
      <c r="H1737" s="16">
        <v>45822.0</v>
      </c>
      <c r="I1737" s="14">
        <v>38.0</v>
      </c>
      <c r="J1737" s="13" t="s">
        <v>40</v>
      </c>
      <c r="K1737" s="13" t="s">
        <v>41</v>
      </c>
      <c r="L1737" s="14">
        <v>563.0</v>
      </c>
      <c r="M1737" s="18" t="s">
        <v>173</v>
      </c>
      <c r="N1737" s="18" t="s">
        <v>46</v>
      </c>
      <c r="O1737" s="18">
        <v>12.9</v>
      </c>
      <c r="P1737" s="18" t="s">
        <v>568</v>
      </c>
      <c r="Q1737" s="16">
        <v>46689.0</v>
      </c>
      <c r="R1737" s="16" t="s">
        <v>38</v>
      </c>
      <c r="S1737" s="13" t="s">
        <v>55</v>
      </c>
      <c r="T1737" s="13" t="s">
        <v>47</v>
      </c>
      <c r="U1737" s="13">
        <f t="shared" si="1"/>
        <v>4</v>
      </c>
      <c r="V1737" s="13" t="str">
        <f t="shared" si="2"/>
        <v>C00122|Sneha Singh|62|East|Patna|Basic|Referral|6/14/2025|38|Monthly|Upi|563|5|0|12.90|2.2|10/29/2027||Active|Cloud Storage</v>
      </c>
      <c r="W1737" s="13">
        <f t="shared" si="3"/>
        <v>1</v>
      </c>
      <c r="X1737" s="13">
        <f>IFERROR(__xludf.DUMMYFUNCTION("COUNTUNIQUE(FILTER($B$2:$B$1826,$A$2:$A$1826=A1737))"),4.0)</f>
        <v>4</v>
      </c>
    </row>
    <row r="1738">
      <c r="A1738" s="13" t="s">
        <v>2150</v>
      </c>
      <c r="B1738" s="13" t="s">
        <v>172</v>
      </c>
      <c r="C1738" s="14">
        <v>44.0</v>
      </c>
      <c r="D1738" s="13" t="s">
        <v>69</v>
      </c>
      <c r="E1738" s="13" t="s">
        <v>70</v>
      </c>
      <c r="F1738" s="13" t="s">
        <v>62</v>
      </c>
      <c r="G1738" s="13" t="s">
        <v>210</v>
      </c>
      <c r="H1738" s="16">
        <v>44747.0</v>
      </c>
      <c r="I1738" s="14">
        <v>43.0</v>
      </c>
      <c r="J1738" s="13" t="s">
        <v>53</v>
      </c>
      <c r="K1738" s="13" t="s">
        <v>65</v>
      </c>
      <c r="L1738" s="14">
        <v>576.0</v>
      </c>
      <c r="M1738" s="18" t="s">
        <v>46</v>
      </c>
      <c r="N1738" s="18" t="s">
        <v>46</v>
      </c>
      <c r="O1738" s="18">
        <v>14.2</v>
      </c>
      <c r="P1738" s="18" t="s">
        <v>408</v>
      </c>
      <c r="Q1738" s="16">
        <v>45513.0</v>
      </c>
      <c r="R1738" s="16" t="s">
        <v>38</v>
      </c>
      <c r="S1738" s="13" t="s">
        <v>230</v>
      </c>
      <c r="T1738" s="13" t="s">
        <v>104</v>
      </c>
      <c r="U1738" s="13">
        <f t="shared" si="1"/>
        <v>1</v>
      </c>
      <c r="V1738" s="13" t="str">
        <f t="shared" si="2"/>
        <v>C00575|Meera Singh|44|South|Bengaluru|Basic|Referral|7/5/2022|43|Quarterly|Credit Card|576|0|0|14.20|4.2|8/9/2024||Yes|Analytics</v>
      </c>
      <c r="W1738" s="13">
        <f t="shared" si="3"/>
        <v>1</v>
      </c>
      <c r="X1738" s="13">
        <f>IFERROR(__xludf.DUMMYFUNCTION("COUNTUNIQUE(FILTER($B$2:$B$1826,$A$2:$A$1826=A1738))"),1.0)</f>
        <v>1</v>
      </c>
    </row>
    <row r="1739">
      <c r="A1739" s="13" t="s">
        <v>2151</v>
      </c>
      <c r="B1739" s="13" t="s">
        <v>734</v>
      </c>
      <c r="C1739" s="14">
        <v>48.0</v>
      </c>
      <c r="D1739" s="13" t="s">
        <v>69</v>
      </c>
      <c r="E1739" s="13" t="s">
        <v>187</v>
      </c>
      <c r="F1739" s="13" t="s">
        <v>37</v>
      </c>
      <c r="G1739" s="13" t="s">
        <v>39</v>
      </c>
      <c r="H1739" s="16">
        <v>44781.0</v>
      </c>
      <c r="I1739" s="14">
        <v>120.0</v>
      </c>
      <c r="J1739" s="13" t="s">
        <v>40</v>
      </c>
      <c r="K1739" s="13" t="s">
        <v>81</v>
      </c>
      <c r="L1739" s="14">
        <v>1369.0</v>
      </c>
      <c r="M1739" s="18" t="s">
        <v>43</v>
      </c>
      <c r="N1739" s="18" t="s">
        <v>43</v>
      </c>
      <c r="O1739" s="18">
        <v>41.0</v>
      </c>
      <c r="P1739" s="18" t="s">
        <v>185</v>
      </c>
      <c r="Q1739" s="16">
        <v>44980.0</v>
      </c>
      <c r="R1739" s="16" t="s">
        <v>38</v>
      </c>
      <c r="S1739" s="13" t="s">
        <v>55</v>
      </c>
      <c r="T1739" s="13" t="s">
        <v>66</v>
      </c>
      <c r="U1739" s="13">
        <f t="shared" si="1"/>
        <v>1</v>
      </c>
      <c r="V1739" s="13" t="str">
        <f t="shared" si="2"/>
        <v>C01392|Sneha Das|48|South|Chennai|Standard|Instagram|8/8/2022|120|Monthly|Debit Card|1,369|2|2|41.00|3.2|2/23/2023||Active|Automation</v>
      </c>
      <c r="W1739" s="13">
        <f t="shared" si="3"/>
        <v>1</v>
      </c>
      <c r="X1739" s="13">
        <f>IFERROR(__xludf.DUMMYFUNCTION("COUNTUNIQUE(FILTER($B$2:$B$1826,$A$2:$A$1826=A1739))"),1.0)</f>
        <v>1</v>
      </c>
    </row>
    <row r="1740">
      <c r="A1740" s="13" t="s">
        <v>2076</v>
      </c>
      <c r="B1740" s="13" t="s">
        <v>250</v>
      </c>
      <c r="C1740" s="14">
        <v>46.0</v>
      </c>
      <c r="D1740" s="13" t="s">
        <v>35</v>
      </c>
      <c r="E1740" s="13" t="s">
        <v>161</v>
      </c>
      <c r="F1740" s="13" t="s">
        <v>62</v>
      </c>
      <c r="G1740" s="13" t="s">
        <v>63</v>
      </c>
      <c r="H1740" s="16">
        <v>45146.0</v>
      </c>
      <c r="I1740" s="14">
        <v>41.0</v>
      </c>
      <c r="J1740" s="13" t="s">
        <v>64</v>
      </c>
      <c r="K1740" s="13" t="s">
        <v>65</v>
      </c>
      <c r="L1740" s="14">
        <v>542.0</v>
      </c>
      <c r="M1740" s="18" t="s">
        <v>98</v>
      </c>
      <c r="N1740" s="18" t="s">
        <v>46</v>
      </c>
      <c r="O1740" s="18">
        <v>22.2</v>
      </c>
      <c r="P1740" s="18" t="s">
        <v>164</v>
      </c>
      <c r="Q1740" s="16">
        <v>45571.0</v>
      </c>
      <c r="R1740" s="16" t="s">
        <v>38</v>
      </c>
      <c r="S1740" s="13" t="s">
        <v>55</v>
      </c>
      <c r="T1740" s="13" t="s">
        <v>47</v>
      </c>
      <c r="U1740" s="13">
        <f t="shared" si="1"/>
        <v>2</v>
      </c>
      <c r="V1740" s="13" t="str">
        <f t="shared" si="2"/>
        <v>C00131|Vikram Singh|46|North|Chandigarh|Basic|Google Ads|8/8/2023|41|Annual|Credit Card|542|1|0|22.20|3|10/6/2024||Active|Cloud Storage</v>
      </c>
      <c r="W1740" s="13">
        <f t="shared" si="3"/>
        <v>1</v>
      </c>
      <c r="X1740" s="13">
        <f>IFERROR(__xludf.DUMMYFUNCTION("COUNTUNIQUE(FILTER($B$2:$B$1826,$A$2:$A$1826=A1740))"),2.0)</f>
        <v>2</v>
      </c>
    </row>
    <row r="1741">
      <c r="A1741" s="13" t="s">
        <v>1065</v>
      </c>
      <c r="B1741" s="13" t="s">
        <v>206</v>
      </c>
      <c r="C1741" s="14">
        <v>62.0</v>
      </c>
      <c r="D1741" s="13" t="s">
        <v>35</v>
      </c>
      <c r="E1741" s="13" t="s">
        <v>51</v>
      </c>
      <c r="F1741" s="13" t="s">
        <v>37</v>
      </c>
      <c r="G1741" s="13" t="s">
        <v>80</v>
      </c>
      <c r="H1741" s="16">
        <v>45552.0</v>
      </c>
      <c r="I1741" s="14">
        <v>31.0</v>
      </c>
      <c r="J1741" s="13" t="s">
        <v>64</v>
      </c>
      <c r="K1741" s="13" t="s">
        <v>41</v>
      </c>
      <c r="L1741" s="14">
        <v>1108.0</v>
      </c>
      <c r="M1741" s="18" t="s">
        <v>43</v>
      </c>
      <c r="N1741" s="18" t="s">
        <v>98</v>
      </c>
      <c r="O1741" s="18">
        <v>26.2</v>
      </c>
      <c r="P1741" s="18" t="s">
        <v>275</v>
      </c>
      <c r="Q1741" s="16">
        <v>45578.0</v>
      </c>
      <c r="R1741" s="16" t="s">
        <v>38</v>
      </c>
      <c r="S1741" s="13" t="s">
        <v>55</v>
      </c>
      <c r="T1741" s="13" t="s">
        <v>75</v>
      </c>
      <c r="U1741" s="13">
        <f t="shared" si="1"/>
        <v>2</v>
      </c>
      <c r="V1741" s="13" t="str">
        <f t="shared" si="2"/>
        <v>C00174|Karan Patel|62|North|Jaipur|Standard|Organic Search|9/17/2024|31|Annual|Upi|1,108|2|1|26.20|4.3|10/13/2024||Active|Security</v>
      </c>
      <c r="W1741" s="13">
        <f t="shared" si="3"/>
        <v>1</v>
      </c>
      <c r="X1741" s="13">
        <f>IFERROR(__xludf.DUMMYFUNCTION("COUNTUNIQUE(FILTER($B$2:$B$1826,$A$2:$A$1826=A1741))"),2.0)</f>
        <v>2</v>
      </c>
    </row>
    <row r="1742">
      <c r="A1742" s="13" t="s">
        <v>670</v>
      </c>
      <c r="B1742" s="13" t="s">
        <v>206</v>
      </c>
      <c r="C1742" s="14">
        <v>62.0</v>
      </c>
      <c r="D1742" s="13" t="s">
        <v>69</v>
      </c>
      <c r="E1742" s="13" t="s">
        <v>119</v>
      </c>
      <c r="F1742" s="13" t="s">
        <v>79</v>
      </c>
      <c r="G1742" s="13" t="s">
        <v>210</v>
      </c>
      <c r="H1742" s="16">
        <v>44693.0</v>
      </c>
      <c r="I1742" s="14">
        <v>29.0</v>
      </c>
      <c r="J1742" s="13" t="s">
        <v>64</v>
      </c>
      <c r="K1742" s="13" t="s">
        <v>41</v>
      </c>
      <c r="L1742" s="14">
        <v>2227.0</v>
      </c>
      <c r="M1742" s="18" t="s">
        <v>46</v>
      </c>
      <c r="N1742" s="18" t="s">
        <v>46</v>
      </c>
      <c r="O1742" s="18">
        <v>38.3</v>
      </c>
      <c r="P1742" s="18" t="s">
        <v>150</v>
      </c>
      <c r="Q1742" s="16">
        <v>45565.0</v>
      </c>
      <c r="R1742" s="16" t="s">
        <v>38</v>
      </c>
      <c r="S1742" s="13" t="s">
        <v>55</v>
      </c>
      <c r="T1742" s="13" t="s">
        <v>104</v>
      </c>
      <c r="U1742" s="13">
        <f t="shared" si="1"/>
        <v>4</v>
      </c>
      <c r="V1742" s="13" t="str">
        <f t="shared" si="2"/>
        <v>C01239|Karan Patel|62|South|Kochi|Premium|Referral|5/12/2022|29|Annual|Upi|2,227|0|0|38.30|4.5|9/30/2024||Active|Analytics</v>
      </c>
      <c r="W1742" s="13">
        <f t="shared" si="3"/>
        <v>1</v>
      </c>
      <c r="X1742" s="13">
        <f>IFERROR(__xludf.DUMMYFUNCTION("COUNTUNIQUE(FILTER($B$2:$B$1826,$A$2:$A$1826=A1742))"),4.0)</f>
        <v>4</v>
      </c>
    </row>
    <row r="1743">
      <c r="A1743" s="13" t="s">
        <v>1554</v>
      </c>
      <c r="B1743" s="13" t="s">
        <v>229</v>
      </c>
      <c r="C1743" s="14">
        <v>32.0</v>
      </c>
      <c r="D1743" s="13" t="s">
        <v>85</v>
      </c>
      <c r="E1743" s="13" t="s">
        <v>111</v>
      </c>
      <c r="F1743" s="13" t="s">
        <v>37</v>
      </c>
      <c r="G1743" s="13" t="s">
        <v>39</v>
      </c>
      <c r="H1743" s="16">
        <v>44882.0</v>
      </c>
      <c r="I1743" s="14">
        <v>7.0</v>
      </c>
      <c r="J1743" s="13" t="s">
        <v>64</v>
      </c>
      <c r="K1743" s="13" t="s">
        <v>65</v>
      </c>
      <c r="L1743" s="14">
        <v>1405.0</v>
      </c>
      <c r="M1743" s="18" t="s">
        <v>164</v>
      </c>
      <c r="N1743" s="18" t="s">
        <v>98</v>
      </c>
      <c r="O1743" s="18">
        <v>32.7</v>
      </c>
      <c r="P1743" s="18" t="s">
        <v>48</v>
      </c>
      <c r="Q1743" s="16">
        <v>44911.0</v>
      </c>
      <c r="R1743" s="16" t="s">
        <v>38</v>
      </c>
      <c r="S1743" s="13" t="s">
        <v>55</v>
      </c>
      <c r="T1743" s="13" t="s">
        <v>75</v>
      </c>
      <c r="U1743" s="13">
        <f t="shared" si="1"/>
        <v>2</v>
      </c>
      <c r="V1743" s="13" t="str">
        <f t="shared" si="2"/>
        <v>C01498|Anita Nair|32|West|Pune|Standard|Instagram|11/17/2022|7|Annual|Credit Card|1,405|3|1|32.70|3.6|12/16/2022||Active|Security</v>
      </c>
      <c r="W1743" s="13">
        <f t="shared" si="3"/>
        <v>1</v>
      </c>
      <c r="X1743" s="13">
        <f>IFERROR(__xludf.DUMMYFUNCTION("COUNTUNIQUE(FILTER($B$2:$B$1826,$A$2:$A$1826=A1743))"),2.0)</f>
        <v>2</v>
      </c>
    </row>
    <row r="1744">
      <c r="A1744" s="13" t="s">
        <v>2152</v>
      </c>
      <c r="B1744" s="13" t="s">
        <v>184</v>
      </c>
      <c r="C1744" s="14">
        <v>57.0</v>
      </c>
      <c r="D1744" s="13" t="s">
        <v>85</v>
      </c>
      <c r="E1744" s="13" t="s">
        <v>292</v>
      </c>
      <c r="F1744" s="13" t="s">
        <v>37</v>
      </c>
      <c r="G1744" s="13" t="s">
        <v>210</v>
      </c>
      <c r="H1744" s="16">
        <v>44842.0</v>
      </c>
      <c r="I1744" s="14">
        <v>37.0</v>
      </c>
      <c r="J1744" s="13" t="s">
        <v>64</v>
      </c>
      <c r="K1744" s="13" t="s">
        <v>81</v>
      </c>
      <c r="L1744" s="14">
        <v>1498.0</v>
      </c>
      <c r="M1744" s="18" t="s">
        <v>46</v>
      </c>
      <c r="N1744" s="18" t="s">
        <v>164</v>
      </c>
      <c r="O1744" s="18">
        <v>26.8</v>
      </c>
      <c r="P1744" s="18" t="s">
        <v>408</v>
      </c>
      <c r="Q1744" s="16">
        <v>45757.0</v>
      </c>
      <c r="R1744" s="16" t="s">
        <v>38</v>
      </c>
      <c r="S1744" s="13" t="s">
        <v>55</v>
      </c>
      <c r="T1744" s="13" t="s">
        <v>104</v>
      </c>
      <c r="U1744" s="13">
        <f t="shared" si="1"/>
        <v>1</v>
      </c>
      <c r="V1744" s="13" t="str">
        <f t="shared" si="2"/>
        <v>C01594|Vikram Reddy|57|West|Mumbai|Standard|Referral|10/8/2022|37|Annual|Debit Card|1,498|0|3|26.80|4.2|4/10/2025||Active|Analytics</v>
      </c>
      <c r="W1744" s="13">
        <f t="shared" si="3"/>
        <v>1</v>
      </c>
      <c r="X1744" s="13">
        <f>IFERROR(__xludf.DUMMYFUNCTION("COUNTUNIQUE(FILTER($B$2:$B$1826,$A$2:$A$1826=A1744))"),1.0)</f>
        <v>1</v>
      </c>
    </row>
    <row r="1745">
      <c r="A1745" s="13" t="s">
        <v>2153</v>
      </c>
      <c r="B1745" s="13" t="s">
        <v>395</v>
      </c>
      <c r="C1745" s="14">
        <v>54.0</v>
      </c>
      <c r="D1745" s="13" t="s">
        <v>69</v>
      </c>
      <c r="E1745" s="13" t="s">
        <v>70</v>
      </c>
      <c r="F1745" s="13" t="s">
        <v>62</v>
      </c>
      <c r="G1745" s="13" t="s">
        <v>210</v>
      </c>
      <c r="H1745" s="16">
        <v>44666.0</v>
      </c>
      <c r="I1745" s="14">
        <v>1.0</v>
      </c>
      <c r="J1745" s="13" t="s">
        <v>53</v>
      </c>
      <c r="K1745" s="13" t="s">
        <v>81</v>
      </c>
      <c r="L1745" s="14">
        <v>589.0</v>
      </c>
      <c r="M1745" s="18" t="s">
        <v>43</v>
      </c>
      <c r="N1745" s="18" t="s">
        <v>164</v>
      </c>
      <c r="O1745" s="18">
        <v>20.1</v>
      </c>
      <c r="P1745" s="18" t="s">
        <v>456</v>
      </c>
      <c r="Q1745" s="16">
        <v>44700.0</v>
      </c>
      <c r="R1745" s="16">
        <v>44748.0</v>
      </c>
      <c r="S1745" s="13" t="s">
        <v>45</v>
      </c>
      <c r="T1745" s="13" t="s">
        <v>66</v>
      </c>
      <c r="U1745" s="13">
        <f t="shared" si="1"/>
        <v>1</v>
      </c>
      <c r="V1745" s="13" t="str">
        <f t="shared" si="2"/>
        <v>C00765|Ravi Singh|54|South|Bengaluru|Basic|Referral|4/15/2022|1|Quarterly|Debit Card|589|2|3|20.10|2.5|5/19/2022|7/6/2022|Churned|Automation</v>
      </c>
      <c r="W1745" s="13">
        <f t="shared" si="3"/>
        <v>1</v>
      </c>
      <c r="X1745" s="13">
        <f>IFERROR(__xludf.DUMMYFUNCTION("COUNTUNIQUE(FILTER($B$2:$B$1826,$A$2:$A$1826=A1745))"),1.0)</f>
        <v>1</v>
      </c>
    </row>
    <row r="1746">
      <c r="A1746" s="13" t="s">
        <v>2155</v>
      </c>
      <c r="B1746" s="13" t="s">
        <v>470</v>
      </c>
      <c r="C1746" s="14">
        <v>60.0</v>
      </c>
      <c r="D1746" s="13" t="s">
        <v>69</v>
      </c>
      <c r="E1746" s="13" t="s">
        <v>177</v>
      </c>
      <c r="F1746" s="13" t="s">
        <v>37</v>
      </c>
      <c r="G1746" s="13" t="s">
        <v>63</v>
      </c>
      <c r="H1746" s="16">
        <v>44910.0</v>
      </c>
      <c r="I1746" s="14">
        <v>39.0</v>
      </c>
      <c r="J1746" s="13" t="s">
        <v>40</v>
      </c>
      <c r="K1746" s="13" t="s">
        <v>65</v>
      </c>
      <c r="L1746" s="14">
        <v>1462.0</v>
      </c>
      <c r="M1746" s="18" t="s">
        <v>173</v>
      </c>
      <c r="N1746" s="18" t="s">
        <v>46</v>
      </c>
      <c r="O1746" s="18">
        <v>30.8</v>
      </c>
      <c r="P1746" s="18" t="s">
        <v>48</v>
      </c>
      <c r="Q1746" s="16">
        <v>45732.0</v>
      </c>
      <c r="R1746" s="16" t="s">
        <v>38</v>
      </c>
      <c r="S1746" s="13" t="s">
        <v>55</v>
      </c>
      <c r="T1746" s="13" t="s">
        <v>104</v>
      </c>
      <c r="U1746" s="13">
        <f t="shared" si="1"/>
        <v>1</v>
      </c>
      <c r="V1746" s="13" t="str">
        <f t="shared" si="2"/>
        <v>C00071|Arun Singh|60|South|Hyderabad|Standard|Google Ads|12/15/2022|39|Monthly|Credit Card|1,462|5|0|30.80|3.6|3/16/2025||Active|Analytics</v>
      </c>
      <c r="W1746" s="13">
        <f t="shared" si="3"/>
        <v>1</v>
      </c>
      <c r="X1746" s="13">
        <f>IFERROR(__xludf.DUMMYFUNCTION("COUNTUNIQUE(FILTER($B$2:$B$1826,$A$2:$A$1826=A1746))"),1.0)</f>
        <v>1</v>
      </c>
    </row>
    <row r="1747">
      <c r="A1747" s="13" t="s">
        <v>670</v>
      </c>
      <c r="B1747" s="13" t="s">
        <v>333</v>
      </c>
      <c r="C1747" s="14">
        <v>53.0</v>
      </c>
      <c r="D1747" s="13" t="s">
        <v>69</v>
      </c>
      <c r="E1747" s="13" t="s">
        <v>177</v>
      </c>
      <c r="F1747" s="13" t="s">
        <v>62</v>
      </c>
      <c r="G1747" s="13" t="s">
        <v>63</v>
      </c>
      <c r="H1747" s="16">
        <v>45502.0</v>
      </c>
      <c r="I1747" s="14">
        <v>44.0</v>
      </c>
      <c r="J1747" s="13" t="s">
        <v>64</v>
      </c>
      <c r="K1747" s="13" t="s">
        <v>41</v>
      </c>
      <c r="L1747" s="14">
        <v>819.0</v>
      </c>
      <c r="M1747" s="18" t="s">
        <v>98</v>
      </c>
      <c r="N1747" s="18" t="s">
        <v>46</v>
      </c>
      <c r="O1747" s="18">
        <v>13.6</v>
      </c>
      <c r="P1747" s="18" t="s">
        <v>185</v>
      </c>
      <c r="Q1747" s="16">
        <v>45811.0</v>
      </c>
      <c r="R1747" s="16" t="s">
        <v>38</v>
      </c>
      <c r="S1747" s="13" t="s">
        <v>55</v>
      </c>
      <c r="T1747" s="13" t="s">
        <v>104</v>
      </c>
      <c r="U1747" s="13">
        <f t="shared" si="1"/>
        <v>4</v>
      </c>
      <c r="V1747" s="13" t="str">
        <f t="shared" si="2"/>
        <v>C01239|Neha Das|53|South|Hyderabad|Basic|Google Ads|7/29/2024|44|Annual|Upi|819|1|0|13.60|3.2|6/3/2025||Active|Analytics</v>
      </c>
      <c r="W1747" s="13">
        <f t="shared" si="3"/>
        <v>1</v>
      </c>
      <c r="X1747" s="13">
        <f>IFERROR(__xludf.DUMMYFUNCTION("COUNTUNIQUE(FILTER($B$2:$B$1826,$A$2:$A$1826=A1747))"),4.0)</f>
        <v>4</v>
      </c>
    </row>
    <row r="1748">
      <c r="A1748" s="13" t="s">
        <v>2080</v>
      </c>
      <c r="B1748" s="13" t="s">
        <v>736</v>
      </c>
      <c r="C1748" s="14">
        <v>29.0</v>
      </c>
      <c r="D1748" s="13" t="s">
        <v>69</v>
      </c>
      <c r="E1748" s="13" t="s">
        <v>187</v>
      </c>
      <c r="F1748" s="13" t="s">
        <v>62</v>
      </c>
      <c r="G1748" s="13" t="s">
        <v>63</v>
      </c>
      <c r="H1748" s="16">
        <v>44661.0</v>
      </c>
      <c r="I1748" s="14">
        <v>21.0</v>
      </c>
      <c r="J1748" s="13" t="s">
        <v>40</v>
      </c>
      <c r="K1748" s="13" t="s">
        <v>41</v>
      </c>
      <c r="L1748" s="14">
        <v>624.0</v>
      </c>
      <c r="M1748" s="18" t="s">
        <v>46</v>
      </c>
      <c r="N1748" s="18" t="s">
        <v>98</v>
      </c>
      <c r="O1748" s="18">
        <v>11.0</v>
      </c>
      <c r="P1748" s="18" t="s">
        <v>233</v>
      </c>
      <c r="Q1748" s="16">
        <v>44732.0</v>
      </c>
      <c r="R1748" s="16" t="s">
        <v>38</v>
      </c>
      <c r="S1748" s="13" t="s">
        <v>55</v>
      </c>
      <c r="T1748" s="13" t="s">
        <v>104</v>
      </c>
      <c r="U1748" s="13">
        <f t="shared" si="1"/>
        <v>2</v>
      </c>
      <c r="V1748" s="13" t="str">
        <f t="shared" si="2"/>
        <v>C00155|Priya Iyer|29|South|Chennai|Basic|Google Ads|4/10/2022|21|Monthly|Upi|624|0|1|11.00|3.5|6/20/2022||Active|Analytics</v>
      </c>
      <c r="W1748" s="13">
        <f t="shared" si="3"/>
        <v>1</v>
      </c>
      <c r="X1748" s="13">
        <f>IFERROR(__xludf.DUMMYFUNCTION("COUNTUNIQUE(FILTER($B$2:$B$1826,$A$2:$A$1826=A1748))"),2.0)</f>
        <v>2</v>
      </c>
    </row>
    <row r="1749">
      <c r="A1749" s="13" t="s">
        <v>860</v>
      </c>
      <c r="B1749" s="13" t="s">
        <v>59</v>
      </c>
      <c r="C1749" s="14">
        <v>33.0</v>
      </c>
      <c r="D1749" s="13" t="s">
        <v>69</v>
      </c>
      <c r="E1749" s="13" t="s">
        <v>177</v>
      </c>
      <c r="F1749" s="13" t="s">
        <v>37</v>
      </c>
      <c r="G1749" s="13" t="s">
        <v>39</v>
      </c>
      <c r="H1749" s="16">
        <v>44626.0</v>
      </c>
      <c r="I1749" s="14">
        <v>36.0</v>
      </c>
      <c r="J1749" s="13" t="s">
        <v>53</v>
      </c>
      <c r="K1749" s="13" t="s">
        <v>41</v>
      </c>
      <c r="L1749" s="14">
        <v>1747.0</v>
      </c>
      <c r="M1749" s="18" t="s">
        <v>173</v>
      </c>
      <c r="N1749" s="18" t="s">
        <v>98</v>
      </c>
      <c r="O1749" s="18">
        <v>44.4</v>
      </c>
      <c r="P1749" s="18" t="s">
        <v>263</v>
      </c>
      <c r="Q1749" s="16">
        <v>45428.0</v>
      </c>
      <c r="R1749" s="16">
        <v>45964.0</v>
      </c>
      <c r="S1749" s="13" t="s">
        <v>45</v>
      </c>
      <c r="T1749" s="13" t="s">
        <v>47</v>
      </c>
      <c r="U1749" s="13">
        <f t="shared" si="1"/>
        <v>2</v>
      </c>
      <c r="V1749" s="13" t="str">
        <f t="shared" si="2"/>
        <v>C00482|Priya Das|33|South|Hyderabad|Standard|Instagram|3/6/2022|36|Quarterly|Upi|1,747|5|1|44.40|2.9|5/16/2024|11/3/2025|Churned|Cloud Storage</v>
      </c>
      <c r="W1749" s="13">
        <f t="shared" si="3"/>
        <v>1</v>
      </c>
      <c r="X1749" s="13">
        <f>IFERROR(__xludf.DUMMYFUNCTION("COUNTUNIQUE(FILTER($B$2:$B$1826,$A$2:$A$1826=A1749))"),2.0)</f>
        <v>2</v>
      </c>
    </row>
    <row r="1750">
      <c r="A1750" s="13" t="s">
        <v>2157</v>
      </c>
      <c r="B1750" s="13" t="s">
        <v>734</v>
      </c>
      <c r="C1750" s="14">
        <v>49.0</v>
      </c>
      <c r="D1750" s="13" t="s">
        <v>35</v>
      </c>
      <c r="E1750" s="13" t="s">
        <v>140</v>
      </c>
      <c r="F1750" s="13" t="s">
        <v>79</v>
      </c>
      <c r="G1750" s="13" t="s">
        <v>52</v>
      </c>
      <c r="H1750" s="16">
        <v>45341.0</v>
      </c>
      <c r="I1750" s="14">
        <v>39.0</v>
      </c>
      <c r="J1750" s="13" t="s">
        <v>40</v>
      </c>
      <c r="K1750" s="13" t="s">
        <v>41</v>
      </c>
      <c r="L1750" s="14">
        <v>3212.0</v>
      </c>
      <c r="M1750" s="18" t="s">
        <v>99</v>
      </c>
      <c r="N1750" s="18" t="s">
        <v>46</v>
      </c>
      <c r="O1750" s="18">
        <v>40.8</v>
      </c>
      <c r="P1750" s="18" t="s">
        <v>203</v>
      </c>
      <c r="Q1750" s="16">
        <v>45978.0</v>
      </c>
      <c r="R1750" s="16" t="s">
        <v>38</v>
      </c>
      <c r="S1750" s="13" t="s">
        <v>55</v>
      </c>
      <c r="T1750" s="13" t="s">
        <v>104</v>
      </c>
      <c r="U1750" s="13">
        <f t="shared" si="1"/>
        <v>1</v>
      </c>
      <c r="V1750" s="13" t="str">
        <f t="shared" si="2"/>
        <v>C01101|Sneha Das|49|North|Lucknow|Premium|Facebook|2/19/2024|39|Monthly|Upi|3,212|4|0|40.80|3.7|11/17/2025||Active|Analytics</v>
      </c>
      <c r="W1750" s="13">
        <f t="shared" si="3"/>
        <v>1</v>
      </c>
      <c r="X1750" s="13">
        <f>IFERROR(__xludf.DUMMYFUNCTION("COUNTUNIQUE(FILTER($B$2:$B$1826,$A$2:$A$1826=A1750))"),1.0)</f>
        <v>1</v>
      </c>
    </row>
    <row r="1751">
      <c r="A1751" s="13" t="s">
        <v>2190</v>
      </c>
      <c r="B1751" s="13" t="s">
        <v>184</v>
      </c>
      <c r="C1751" s="14">
        <v>20.0</v>
      </c>
      <c r="D1751" s="13" t="s">
        <v>60</v>
      </c>
      <c r="E1751" s="13" t="s">
        <v>97</v>
      </c>
      <c r="F1751" s="13" t="s">
        <v>62</v>
      </c>
      <c r="G1751" s="13" t="s">
        <v>52</v>
      </c>
      <c r="H1751" s="16">
        <v>44766.0</v>
      </c>
      <c r="I1751" s="14">
        <v>4.0</v>
      </c>
      <c r="J1751" s="13" t="s">
        <v>64</v>
      </c>
      <c r="K1751" s="13" t="s">
        <v>65</v>
      </c>
      <c r="L1751" s="14">
        <v>503.0</v>
      </c>
      <c r="M1751" s="18" t="s">
        <v>46</v>
      </c>
      <c r="N1751" s="18" t="s">
        <v>98</v>
      </c>
      <c r="O1751" s="18">
        <v>5.3</v>
      </c>
      <c r="P1751" s="18" t="s">
        <v>275</v>
      </c>
      <c r="Q1751" s="16">
        <v>44887.0</v>
      </c>
      <c r="R1751" s="16" t="s">
        <v>2159</v>
      </c>
      <c r="S1751" s="13" t="s">
        <v>45</v>
      </c>
      <c r="T1751" s="13" t="s">
        <v>66</v>
      </c>
      <c r="U1751" s="13">
        <f t="shared" si="1"/>
        <v>1</v>
      </c>
      <c r="V1751" s="13" t="str">
        <f t="shared" si="2"/>
        <v>C00048|Vikram Reddy|20|East|Bhubaneswar|Basic|Facebook|7/24/2022|4|Annual|Credit Card|503|0|1|5.30|4.3|11/22/2022|22/09/2022|Churned|Automation</v>
      </c>
      <c r="W1751" s="13">
        <f t="shared" si="3"/>
        <v>1</v>
      </c>
      <c r="X1751" s="13">
        <f>IFERROR(__xludf.DUMMYFUNCTION("COUNTUNIQUE(FILTER($B$2:$B$1826,$A$2:$A$1826=A1751))"),1.0)</f>
        <v>1</v>
      </c>
    </row>
    <row r="1752">
      <c r="A1752" s="13" t="s">
        <v>1672</v>
      </c>
      <c r="B1752" s="13" t="s">
        <v>232</v>
      </c>
      <c r="C1752" s="14">
        <v>60.0</v>
      </c>
      <c r="D1752" s="13" t="s">
        <v>60</v>
      </c>
      <c r="E1752" s="13" t="s">
        <v>61</v>
      </c>
      <c r="F1752" s="13" t="s">
        <v>62</v>
      </c>
      <c r="G1752" s="13" t="s">
        <v>120</v>
      </c>
      <c r="H1752" s="16">
        <v>44575.0</v>
      </c>
      <c r="I1752" s="14">
        <v>34.0</v>
      </c>
      <c r="J1752" s="13" t="s">
        <v>53</v>
      </c>
      <c r="K1752" s="13" t="s">
        <v>65</v>
      </c>
      <c r="L1752" s="14">
        <v>890.0</v>
      </c>
      <c r="M1752" s="18" t="s">
        <v>43</v>
      </c>
      <c r="N1752" s="18" t="s">
        <v>98</v>
      </c>
      <c r="O1752" s="18">
        <v>12.8</v>
      </c>
      <c r="P1752" s="18" t="s">
        <v>150</v>
      </c>
      <c r="Q1752" s="16">
        <v>44749.0</v>
      </c>
      <c r="R1752" s="16" t="s">
        <v>38</v>
      </c>
      <c r="S1752" s="13" t="s">
        <v>55</v>
      </c>
      <c r="T1752" s="13" t="s">
        <v>72</v>
      </c>
      <c r="U1752" s="13">
        <f t="shared" si="1"/>
        <v>2</v>
      </c>
      <c r="V1752" s="13" t="str">
        <f t="shared" si="2"/>
        <v>C01243|Meera Iyer|60|East|Kolkata|Basic|Email|1/14/2022|34|Quarterly|Credit Card|890|2|1|12.80|4.5|7/7/2022||Active|Collaboration</v>
      </c>
      <c r="W1752" s="13">
        <f t="shared" si="3"/>
        <v>1</v>
      </c>
      <c r="X1752" s="13">
        <f>IFERROR(__xludf.DUMMYFUNCTION("COUNTUNIQUE(FILTER($B$2:$B$1826,$A$2:$A$1826=A1752))"),2.0)</f>
        <v>2</v>
      </c>
    </row>
    <row r="1753">
      <c r="A1753" s="13" t="s">
        <v>2160</v>
      </c>
      <c r="B1753" s="13" t="s">
        <v>118</v>
      </c>
      <c r="C1753" s="14">
        <v>24.0</v>
      </c>
      <c r="D1753" s="13" t="s">
        <v>85</v>
      </c>
      <c r="E1753" s="13" t="s">
        <v>87</v>
      </c>
      <c r="F1753" s="13" t="s">
        <v>62</v>
      </c>
      <c r="G1753" s="13" t="s">
        <v>120</v>
      </c>
      <c r="H1753" s="16">
        <v>45266.0</v>
      </c>
      <c r="I1753" s="14">
        <v>0.0</v>
      </c>
      <c r="J1753" s="13" t="s">
        <v>40</v>
      </c>
      <c r="K1753" s="13" t="s">
        <v>65</v>
      </c>
      <c r="L1753" s="14">
        <v>557.0</v>
      </c>
      <c r="M1753" s="18" t="s">
        <v>164</v>
      </c>
      <c r="N1753" s="18" t="s">
        <v>43</v>
      </c>
      <c r="O1753" s="18">
        <v>24.7</v>
      </c>
      <c r="P1753" s="18" t="s">
        <v>225</v>
      </c>
      <c r="Q1753" s="16">
        <v>45740.0</v>
      </c>
      <c r="R1753" s="16" t="s">
        <v>38</v>
      </c>
      <c r="S1753" s="13" t="s">
        <v>55</v>
      </c>
      <c r="T1753" s="13" t="s">
        <v>75</v>
      </c>
      <c r="U1753" s="13">
        <f t="shared" si="1"/>
        <v>1</v>
      </c>
      <c r="V1753" s="13" t="str">
        <f t="shared" si="2"/>
        <v>C00745|Karan Nair|24|West|Surat|Basic|Email|12/6/2023|0|Monthly|Credit Card|557|3|2|24.70|3.8|3/24/2025||Active|Security</v>
      </c>
      <c r="W1753" s="13">
        <f t="shared" si="3"/>
        <v>1</v>
      </c>
      <c r="X1753" s="13">
        <f>IFERROR(__xludf.DUMMYFUNCTION("COUNTUNIQUE(FILTER($B$2:$B$1826,$A$2:$A$1826=A1753))"),1.0)</f>
        <v>1</v>
      </c>
    </row>
    <row r="1754">
      <c r="A1754" s="13" t="s">
        <v>822</v>
      </c>
      <c r="B1754" s="13" t="s">
        <v>393</v>
      </c>
      <c r="C1754" s="14">
        <v>68.0</v>
      </c>
      <c r="D1754" s="13" t="s">
        <v>35</v>
      </c>
      <c r="E1754" s="13" t="s">
        <v>140</v>
      </c>
      <c r="F1754" s="13" t="s">
        <v>79</v>
      </c>
      <c r="G1754" s="13" t="s">
        <v>128</v>
      </c>
      <c r="H1754" s="16">
        <v>45433.0</v>
      </c>
      <c r="I1754" s="14">
        <v>16.0</v>
      </c>
      <c r="J1754" s="13" t="s">
        <v>53</v>
      </c>
      <c r="K1754" s="13" t="s">
        <v>81</v>
      </c>
      <c r="L1754" s="14">
        <v>1108.0</v>
      </c>
      <c r="M1754" s="18" t="s">
        <v>164</v>
      </c>
      <c r="N1754" s="18" t="s">
        <v>98</v>
      </c>
      <c r="O1754" s="18">
        <v>32.1</v>
      </c>
      <c r="P1754" s="18" t="s">
        <v>158</v>
      </c>
      <c r="Q1754" s="16">
        <v>45822.0</v>
      </c>
      <c r="R1754" s="16" t="s">
        <v>38</v>
      </c>
      <c r="S1754" s="13" t="s">
        <v>55</v>
      </c>
      <c r="T1754" s="13" t="s">
        <v>47</v>
      </c>
      <c r="U1754" s="13">
        <f t="shared" si="1"/>
        <v>3</v>
      </c>
      <c r="V1754" s="13" t="str">
        <f t="shared" si="2"/>
        <v>C01504|Karan Das|68|North|Lucknow|Premium|Youtube|5/21/2024|16|Quarterly|Debit Card|1,108|3|1|32.10|4.7|6/14/2025||Active|Cloud Storage</v>
      </c>
      <c r="W1754" s="13">
        <f t="shared" si="3"/>
        <v>1</v>
      </c>
      <c r="X1754" s="13">
        <f>IFERROR(__xludf.DUMMYFUNCTION("COUNTUNIQUE(FILTER($B$2:$B$1826,$A$2:$A$1826=A1754))"),3.0)</f>
        <v>3</v>
      </c>
    </row>
    <row r="1755">
      <c r="A1755" s="13" t="s">
        <v>719</v>
      </c>
      <c r="B1755" s="13" t="s">
        <v>126</v>
      </c>
      <c r="C1755" s="14">
        <v>65.0</v>
      </c>
      <c r="D1755" s="13" t="s">
        <v>60</v>
      </c>
      <c r="E1755" s="13" t="s">
        <v>107</v>
      </c>
      <c r="F1755" s="13" t="s">
        <v>37</v>
      </c>
      <c r="G1755" s="13" t="s">
        <v>120</v>
      </c>
      <c r="H1755" s="16">
        <v>44763.0</v>
      </c>
      <c r="I1755" s="14">
        <v>13.0</v>
      </c>
      <c r="J1755" s="13" t="s">
        <v>40</v>
      </c>
      <c r="K1755" s="13" t="s">
        <v>41</v>
      </c>
      <c r="L1755" s="14">
        <v>1488.0</v>
      </c>
      <c r="M1755" s="18" t="s">
        <v>43</v>
      </c>
      <c r="N1755" s="18" t="s">
        <v>46</v>
      </c>
      <c r="O1755" s="18">
        <v>29.6</v>
      </c>
      <c r="P1755" s="18" t="s">
        <v>48</v>
      </c>
      <c r="Q1755" s="16">
        <v>44919.0</v>
      </c>
      <c r="R1755" s="16" t="s">
        <v>38</v>
      </c>
      <c r="S1755" s="13" t="s">
        <v>55</v>
      </c>
      <c r="T1755" s="13" t="s">
        <v>72</v>
      </c>
      <c r="U1755" s="13">
        <f t="shared" si="1"/>
        <v>2</v>
      </c>
      <c r="V1755" s="13" t="str">
        <f t="shared" si="2"/>
        <v>C00052|Arun Patel|65|East|Patna|Standard|Email|7/21/2022|13|Monthly|Upi|1,488|2|0|29.60|3.6|12/24/2022||Active|Collaboration</v>
      </c>
      <c r="W1755" s="13">
        <f t="shared" si="3"/>
        <v>1</v>
      </c>
      <c r="X1755" s="13">
        <f>IFERROR(__xludf.DUMMYFUNCTION("COUNTUNIQUE(FILTER($B$2:$B$1826,$A$2:$A$1826=A1755))"),2.0)</f>
        <v>2</v>
      </c>
    </row>
    <row r="1756">
      <c r="A1756" s="13" t="s">
        <v>1712</v>
      </c>
      <c r="B1756" s="13" t="s">
        <v>331</v>
      </c>
      <c r="C1756" s="14">
        <v>62.0</v>
      </c>
      <c r="D1756" s="13" t="s">
        <v>85</v>
      </c>
      <c r="E1756" s="13" t="s">
        <v>292</v>
      </c>
      <c r="F1756" s="13" t="s">
        <v>62</v>
      </c>
      <c r="G1756" s="13" t="s">
        <v>128</v>
      </c>
      <c r="H1756" s="16">
        <v>45362.0</v>
      </c>
      <c r="I1756" s="14">
        <v>25.0</v>
      </c>
      <c r="J1756" s="13" t="s">
        <v>40</v>
      </c>
      <c r="K1756" s="13" t="s">
        <v>41</v>
      </c>
      <c r="L1756" s="14">
        <v>716.0</v>
      </c>
      <c r="M1756" s="18" t="s">
        <v>98</v>
      </c>
      <c r="N1756" s="18" t="s">
        <v>46</v>
      </c>
      <c r="O1756" s="18">
        <v>14.4</v>
      </c>
      <c r="P1756" s="18" t="s">
        <v>916</v>
      </c>
      <c r="Q1756" s="16">
        <v>45595.0</v>
      </c>
      <c r="R1756" s="16" t="s">
        <v>38</v>
      </c>
      <c r="S1756" s="13" t="s">
        <v>55</v>
      </c>
      <c r="T1756" s="13" t="s">
        <v>75</v>
      </c>
      <c r="U1756" s="13">
        <f t="shared" si="1"/>
        <v>2</v>
      </c>
      <c r="V1756" s="13" t="str">
        <f t="shared" si="2"/>
        <v>C01367|Arun Iyer|62|West|Mumbai|Basic|Youtube|3/11/2024|25|Monthly|Upi|716|1|0|14.40|1.9|10/30/2024||Active|Security</v>
      </c>
      <c r="W1756" s="13">
        <f t="shared" si="3"/>
        <v>1</v>
      </c>
      <c r="X1756" s="13">
        <f>IFERROR(__xludf.DUMMYFUNCTION("COUNTUNIQUE(FILTER($B$2:$B$1826,$A$2:$A$1826=A1756))"),2.0)</f>
        <v>2</v>
      </c>
    </row>
    <row r="1757">
      <c r="A1757" s="13" t="s">
        <v>2161</v>
      </c>
      <c r="B1757" s="13" t="s">
        <v>393</v>
      </c>
      <c r="C1757" s="14">
        <v>32.0</v>
      </c>
      <c r="D1757" s="13" t="s">
        <v>35</v>
      </c>
      <c r="E1757" s="13" t="s">
        <v>161</v>
      </c>
      <c r="F1757" s="13" t="s">
        <v>62</v>
      </c>
      <c r="G1757" s="13" t="s">
        <v>52</v>
      </c>
      <c r="H1757" s="16">
        <v>44771.0</v>
      </c>
      <c r="I1757" s="14">
        <v>24.0</v>
      </c>
      <c r="J1757" s="13" t="s">
        <v>53</v>
      </c>
      <c r="K1757" s="13" t="s">
        <v>65</v>
      </c>
      <c r="L1757" s="14">
        <v>760.0</v>
      </c>
      <c r="M1757" s="18" t="s">
        <v>99</v>
      </c>
      <c r="N1757" s="18" t="s">
        <v>46</v>
      </c>
      <c r="O1757" s="18">
        <v>23.9</v>
      </c>
      <c r="P1757" s="18" t="s">
        <v>296</v>
      </c>
      <c r="Q1757" s="16">
        <v>45396.0</v>
      </c>
      <c r="R1757" s="16" t="s">
        <v>38</v>
      </c>
      <c r="S1757" s="13" t="s">
        <v>55</v>
      </c>
      <c r="T1757" s="13" t="s">
        <v>75</v>
      </c>
      <c r="U1757" s="13">
        <f t="shared" si="1"/>
        <v>1</v>
      </c>
      <c r="V1757" s="13" t="str">
        <f t="shared" si="2"/>
        <v>C00853|Karan Das|32|North|Chandigarh|Basic|Facebook|7/29/2022|24|Quarterly|Credit Card|760|4|0|23.90|4.6|4/14/2024||Active|Security</v>
      </c>
      <c r="W1757" s="13">
        <f t="shared" si="3"/>
        <v>1</v>
      </c>
      <c r="X1757" s="13">
        <f>IFERROR(__xludf.DUMMYFUNCTION("COUNTUNIQUE(FILTER($B$2:$B$1826,$A$2:$A$1826=A1757))"),1.0)</f>
        <v>1</v>
      </c>
    </row>
    <row r="1758">
      <c r="A1758" s="13" t="s">
        <v>2162</v>
      </c>
      <c r="B1758" s="13" t="s">
        <v>395</v>
      </c>
      <c r="C1758" s="14">
        <v>19.0</v>
      </c>
      <c r="D1758" s="13" t="s">
        <v>60</v>
      </c>
      <c r="E1758" s="13" t="s">
        <v>133</v>
      </c>
      <c r="F1758" s="13" t="s">
        <v>62</v>
      </c>
      <c r="G1758" s="13" t="s">
        <v>80</v>
      </c>
      <c r="H1758" s="16">
        <v>45719.0</v>
      </c>
      <c r="I1758" s="14">
        <v>25.0</v>
      </c>
      <c r="J1758" s="13" t="s">
        <v>40</v>
      </c>
      <c r="K1758" s="13" t="s">
        <v>65</v>
      </c>
      <c r="L1758" s="14">
        <v>746.0</v>
      </c>
      <c r="M1758" s="18" t="s">
        <v>43</v>
      </c>
      <c r="N1758" s="18" t="s">
        <v>46</v>
      </c>
      <c r="O1758" s="18">
        <v>10.9</v>
      </c>
      <c r="P1758" s="18" t="s">
        <v>225</v>
      </c>
      <c r="Q1758" s="16">
        <v>46115.0</v>
      </c>
      <c r="R1758" s="16" t="s">
        <v>38</v>
      </c>
      <c r="S1758" s="13" t="s">
        <v>55</v>
      </c>
      <c r="T1758" s="13" t="s">
        <v>66</v>
      </c>
      <c r="U1758" s="13">
        <f t="shared" si="1"/>
        <v>1</v>
      </c>
      <c r="V1758" s="13" t="str">
        <f t="shared" si="2"/>
        <v>C00056|Ravi Singh|19|East|Guwahati|Basic|Organic Search|3/3/2025|25|Monthly|Credit Card|746|2|0|10.90|3.8|4/3/2026||Active|Automation</v>
      </c>
      <c r="W1758" s="13">
        <f t="shared" si="3"/>
        <v>1</v>
      </c>
      <c r="X1758" s="13">
        <f>IFERROR(__xludf.DUMMYFUNCTION("COUNTUNIQUE(FILTER($B$2:$B$1826,$A$2:$A$1826=A1758))"),1.0)</f>
        <v>1</v>
      </c>
    </row>
    <row r="1759">
      <c r="A1759" s="13" t="s">
        <v>727</v>
      </c>
      <c r="B1759" s="13" t="s">
        <v>340</v>
      </c>
      <c r="C1759" s="14">
        <v>61.0</v>
      </c>
      <c r="D1759" s="13" t="s">
        <v>85</v>
      </c>
      <c r="E1759" s="13" t="s">
        <v>111</v>
      </c>
      <c r="F1759" s="13" t="s">
        <v>62</v>
      </c>
      <c r="G1759" s="13" t="s">
        <v>39</v>
      </c>
      <c r="H1759" s="16">
        <v>45975.0</v>
      </c>
      <c r="I1759" s="14">
        <v>6.0</v>
      </c>
      <c r="J1759" s="13" t="s">
        <v>64</v>
      </c>
      <c r="K1759" s="13" t="s">
        <v>41</v>
      </c>
      <c r="L1759" s="14">
        <v>794.0</v>
      </c>
      <c r="M1759" s="18" t="s">
        <v>98</v>
      </c>
      <c r="N1759" s="18" t="s">
        <v>46</v>
      </c>
      <c r="O1759" s="18">
        <v>22.6</v>
      </c>
      <c r="P1759" s="18" t="s">
        <v>203</v>
      </c>
      <c r="Q1759" s="16">
        <v>46022.0</v>
      </c>
      <c r="R1759" s="16">
        <v>46362.0</v>
      </c>
      <c r="S1759" s="13" t="s">
        <v>45</v>
      </c>
      <c r="T1759" s="13" t="s">
        <v>75</v>
      </c>
      <c r="U1759" s="13">
        <f t="shared" si="1"/>
        <v>3</v>
      </c>
      <c r="V1759" s="13" t="str">
        <f t="shared" si="2"/>
        <v>C00451|Meera Sharma|61|West|Pune|Basic|Instagram|11/14/2025|6|Annual|Upi|794|1|0|22.60|3.7|12/31/2025|12/6/2026|Churned|Security</v>
      </c>
      <c r="W1759" s="13">
        <f t="shared" si="3"/>
        <v>1</v>
      </c>
      <c r="X1759" s="13">
        <f>IFERROR(__xludf.DUMMYFUNCTION("COUNTUNIQUE(FILTER($B$2:$B$1826,$A$2:$A$1826=A1759))"),3.0)</f>
        <v>3</v>
      </c>
    </row>
    <row r="1760">
      <c r="A1760" s="13" t="s">
        <v>2163</v>
      </c>
      <c r="B1760" s="13" t="s">
        <v>340</v>
      </c>
      <c r="C1760" s="14">
        <v>24.0</v>
      </c>
      <c r="D1760" s="13" t="s">
        <v>85</v>
      </c>
      <c r="E1760" s="13" t="s">
        <v>92</v>
      </c>
      <c r="F1760" s="13" t="s">
        <v>37</v>
      </c>
      <c r="G1760" s="13" t="s">
        <v>210</v>
      </c>
      <c r="H1760" s="16">
        <v>44693.0</v>
      </c>
      <c r="I1760" s="14">
        <v>3.0</v>
      </c>
      <c r="J1760" s="13" t="s">
        <v>64</v>
      </c>
      <c r="K1760" s="13" t="s">
        <v>65</v>
      </c>
      <c r="L1760" s="14">
        <v>1385.0</v>
      </c>
      <c r="M1760" s="18" t="s">
        <v>46</v>
      </c>
      <c r="N1760" s="18" t="s">
        <v>46</v>
      </c>
      <c r="O1760" s="18">
        <v>28.7</v>
      </c>
      <c r="P1760" s="18" t="s">
        <v>164</v>
      </c>
      <c r="Q1760" s="16">
        <v>44790.0</v>
      </c>
      <c r="R1760" s="16" t="s">
        <v>2164</v>
      </c>
      <c r="S1760" s="13" t="s">
        <v>45</v>
      </c>
      <c r="T1760" s="13" t="s">
        <v>47</v>
      </c>
      <c r="U1760" s="13">
        <f t="shared" si="1"/>
        <v>1</v>
      </c>
      <c r="V1760" s="13" t="str">
        <f t="shared" si="2"/>
        <v>C00119|Meera Sharma|24|West|Ahmedabad|Standard|Referral|5/12/2022|3|Annual|Credit Card|1,385|0|0|28.70|3|8/17/2022|29/06/2022|Churned|Cloud Storage</v>
      </c>
      <c r="W1760" s="13">
        <f t="shared" si="3"/>
        <v>1</v>
      </c>
      <c r="X1760" s="13">
        <f>IFERROR(__xludf.DUMMYFUNCTION("COUNTUNIQUE(FILTER($B$2:$B$1826,$A$2:$A$1826=A1760))"),1.0)</f>
        <v>1</v>
      </c>
    </row>
    <row r="1761">
      <c r="A1761" s="13" t="s">
        <v>2074</v>
      </c>
      <c r="B1761" s="13" t="s">
        <v>345</v>
      </c>
      <c r="C1761" s="14">
        <v>40.0</v>
      </c>
      <c r="D1761" s="13" t="s">
        <v>69</v>
      </c>
      <c r="E1761" s="13" t="s">
        <v>177</v>
      </c>
      <c r="F1761" s="13" t="s">
        <v>37</v>
      </c>
      <c r="G1761" s="13" t="s">
        <v>80</v>
      </c>
      <c r="H1761" s="16">
        <v>44956.0</v>
      </c>
      <c r="I1761" s="14">
        <v>2.0</v>
      </c>
      <c r="J1761" s="13" t="s">
        <v>40</v>
      </c>
      <c r="K1761" s="13" t="s">
        <v>65</v>
      </c>
      <c r="L1761" s="14">
        <v>1456.0</v>
      </c>
      <c r="M1761" s="18" t="s">
        <v>43</v>
      </c>
      <c r="N1761" s="18" t="s">
        <v>46</v>
      </c>
      <c r="O1761" s="18">
        <v>30.0</v>
      </c>
      <c r="P1761" s="18" t="s">
        <v>248</v>
      </c>
      <c r="Q1761" s="16">
        <v>45017.0</v>
      </c>
      <c r="R1761" s="16" t="s">
        <v>38</v>
      </c>
      <c r="S1761" s="13" t="s">
        <v>55</v>
      </c>
      <c r="T1761" s="13" t="s">
        <v>66</v>
      </c>
      <c r="U1761" s="13">
        <f t="shared" si="1"/>
        <v>2</v>
      </c>
      <c r="V1761" s="13" t="str">
        <f t="shared" si="2"/>
        <v>C00263|Arun Nair|40|South|Hyderabad|Standard|Organic Search|1/30/2023|2|Monthly|Credit Card|1,456|2|0|30.00|2.6|4/1/2023||Active|Automation</v>
      </c>
      <c r="W1761" s="13">
        <f t="shared" si="3"/>
        <v>1</v>
      </c>
      <c r="X1761" s="13">
        <f>IFERROR(__xludf.DUMMYFUNCTION("COUNTUNIQUE(FILTER($B$2:$B$1826,$A$2:$A$1826=A1761))"),2.0)</f>
        <v>2</v>
      </c>
    </row>
    <row r="1762">
      <c r="A1762" s="13" t="s">
        <v>2165</v>
      </c>
      <c r="B1762" s="13" t="s">
        <v>639</v>
      </c>
      <c r="C1762" s="14">
        <v>26.0</v>
      </c>
      <c r="D1762" s="13" t="s">
        <v>60</v>
      </c>
      <c r="E1762" s="13" t="s">
        <v>133</v>
      </c>
      <c r="F1762" s="13" t="s">
        <v>79</v>
      </c>
      <c r="G1762" s="13" t="s">
        <v>80</v>
      </c>
      <c r="H1762" s="16">
        <v>45820.0</v>
      </c>
      <c r="I1762" s="14">
        <v>29.0</v>
      </c>
      <c r="J1762" s="13" t="s">
        <v>40</v>
      </c>
      <c r="K1762" s="13" t="s">
        <v>65</v>
      </c>
      <c r="L1762" s="14">
        <v>2329.0</v>
      </c>
      <c r="M1762" s="18" t="s">
        <v>164</v>
      </c>
      <c r="N1762" s="18" t="s">
        <v>98</v>
      </c>
      <c r="O1762" s="18">
        <v>27.0</v>
      </c>
      <c r="P1762" s="18" t="s">
        <v>173</v>
      </c>
      <c r="Q1762" s="16">
        <v>45968.0</v>
      </c>
      <c r="R1762" s="16" t="s">
        <v>38</v>
      </c>
      <c r="S1762" s="13" t="s">
        <v>55</v>
      </c>
      <c r="T1762" s="13" t="s">
        <v>66</v>
      </c>
      <c r="U1762" s="13">
        <f t="shared" si="1"/>
        <v>1</v>
      </c>
      <c r="V1762" s="13" t="str">
        <f t="shared" si="2"/>
        <v>C01256|Priya Nair|26|East|Guwahati|Premium|Organic Search|6/12/2025|29|Monthly|Credit Card|2,329|3|1|27.00|5|11/7/2025||Active|Automation</v>
      </c>
      <c r="W1762" s="13">
        <f t="shared" si="3"/>
        <v>1</v>
      </c>
      <c r="X1762" s="13">
        <f>IFERROR(__xludf.DUMMYFUNCTION("COUNTUNIQUE(FILTER($B$2:$B$1826,$A$2:$A$1826=A1762))"),1.0)</f>
        <v>1</v>
      </c>
    </row>
    <row r="1763">
      <c r="A1763" s="13" t="s">
        <v>1501</v>
      </c>
      <c r="B1763" s="13" t="s">
        <v>135</v>
      </c>
      <c r="C1763" s="14">
        <v>50.0</v>
      </c>
      <c r="D1763" s="13" t="s">
        <v>60</v>
      </c>
      <c r="E1763" s="13" t="s">
        <v>133</v>
      </c>
      <c r="F1763" s="13" t="s">
        <v>62</v>
      </c>
      <c r="G1763" s="13" t="s">
        <v>52</v>
      </c>
      <c r="H1763" s="16">
        <v>44756.0</v>
      </c>
      <c r="I1763" s="14">
        <v>36.0</v>
      </c>
      <c r="J1763" s="13" t="s">
        <v>40</v>
      </c>
      <c r="K1763" s="13" t="s">
        <v>81</v>
      </c>
      <c r="L1763" s="14">
        <v>838.0</v>
      </c>
      <c r="M1763" s="18" t="s">
        <v>46</v>
      </c>
      <c r="N1763" s="18" t="s">
        <v>164</v>
      </c>
      <c r="O1763" s="18">
        <v>11.8</v>
      </c>
      <c r="P1763" s="18" t="s">
        <v>233</v>
      </c>
      <c r="Q1763" s="16">
        <v>44785.0</v>
      </c>
      <c r="R1763" s="16" t="s">
        <v>38</v>
      </c>
      <c r="S1763" s="13" t="s">
        <v>55</v>
      </c>
      <c r="T1763" s="13" t="s">
        <v>72</v>
      </c>
      <c r="U1763" s="13">
        <f t="shared" si="1"/>
        <v>2</v>
      </c>
      <c r="V1763" s="13" t="str">
        <f t="shared" si="2"/>
        <v>C00839|Karan Sharma|50|East|Guwahati|Basic|Facebook|7/14/2022|36|Monthly|Debit Card|838|0|3|11.80|3.5|8/12/2022||Active|Collaboration</v>
      </c>
      <c r="W1763" s="13">
        <f t="shared" si="3"/>
        <v>1</v>
      </c>
      <c r="X1763" s="13">
        <f>IFERROR(__xludf.DUMMYFUNCTION("COUNTUNIQUE(FILTER($B$2:$B$1826,$A$2:$A$1826=A1763))"),2.0)</f>
        <v>2</v>
      </c>
    </row>
    <row r="1764">
      <c r="A1764" s="13" t="s">
        <v>2166</v>
      </c>
      <c r="B1764" s="13" t="s">
        <v>135</v>
      </c>
      <c r="C1764" s="14">
        <v>45.0</v>
      </c>
      <c r="D1764" s="13" t="s">
        <v>69</v>
      </c>
      <c r="E1764" s="13" t="s">
        <v>70</v>
      </c>
      <c r="F1764" s="13" t="s">
        <v>79</v>
      </c>
      <c r="G1764" s="13" t="s">
        <v>39</v>
      </c>
      <c r="H1764" s="16">
        <v>44902.0</v>
      </c>
      <c r="I1764" s="14">
        <v>11.0</v>
      </c>
      <c r="J1764" s="13" t="s">
        <v>64</v>
      </c>
      <c r="K1764" s="13" t="s">
        <v>65</v>
      </c>
      <c r="L1764" s="14">
        <v>2917.0</v>
      </c>
      <c r="M1764" s="18" t="s">
        <v>46</v>
      </c>
      <c r="N1764" s="18" t="s">
        <v>46</v>
      </c>
      <c r="O1764" s="18">
        <v>31.7</v>
      </c>
      <c r="P1764" s="18" t="s">
        <v>150</v>
      </c>
      <c r="Q1764" s="16">
        <v>44855.0</v>
      </c>
      <c r="R1764" s="16" t="s">
        <v>38</v>
      </c>
      <c r="S1764" s="13" t="s">
        <v>55</v>
      </c>
      <c r="T1764" s="13" t="s">
        <v>66</v>
      </c>
      <c r="U1764" s="13">
        <f t="shared" si="1"/>
        <v>1</v>
      </c>
      <c r="V1764" s="13" t="str">
        <f t="shared" si="2"/>
        <v>C00833|Karan Sharma|45|South|Bengaluru|Premium|Instagram|12/7/2022|11|Annual|Credit Card|2,917|0|0|31.70|4.5|10/21/2022||Active|Automation</v>
      </c>
      <c r="W1764" s="13">
        <f t="shared" si="3"/>
        <v>1</v>
      </c>
      <c r="X1764" s="13">
        <f>IFERROR(__xludf.DUMMYFUNCTION("COUNTUNIQUE(FILTER($B$2:$B$1826,$A$2:$A$1826=A1764))"),1.0)</f>
        <v>1</v>
      </c>
    </row>
    <row r="1765">
      <c r="A1765" s="13" t="s">
        <v>1303</v>
      </c>
      <c r="B1765" s="13" t="s">
        <v>239</v>
      </c>
      <c r="C1765" s="14">
        <v>44.0</v>
      </c>
      <c r="D1765" s="13" t="s">
        <v>69</v>
      </c>
      <c r="E1765" s="13" t="s">
        <v>119</v>
      </c>
      <c r="F1765" s="13" t="s">
        <v>79</v>
      </c>
      <c r="G1765" s="13" t="s">
        <v>80</v>
      </c>
      <c r="H1765" s="16">
        <v>44707.0</v>
      </c>
      <c r="I1765" s="14">
        <v>6.0</v>
      </c>
      <c r="J1765" s="13" t="s">
        <v>64</v>
      </c>
      <c r="K1765" s="13" t="s">
        <v>41</v>
      </c>
      <c r="L1765" s="14">
        <v>3745.0</v>
      </c>
      <c r="M1765" s="18" t="s">
        <v>46</v>
      </c>
      <c r="N1765" s="18" t="s">
        <v>46</v>
      </c>
      <c r="O1765" s="18">
        <v>28.1</v>
      </c>
      <c r="P1765" s="18" t="s">
        <v>310</v>
      </c>
      <c r="Q1765" s="16">
        <v>44893.0</v>
      </c>
      <c r="R1765" s="16" t="s">
        <v>38</v>
      </c>
      <c r="S1765" s="13" t="s">
        <v>55</v>
      </c>
      <c r="T1765" s="13" t="s">
        <v>104</v>
      </c>
      <c r="U1765" s="13">
        <f t="shared" si="1"/>
        <v>3</v>
      </c>
      <c r="V1765" s="13" t="str">
        <f t="shared" si="2"/>
        <v>C00841|Meera Kumar|44|South|Kochi|Premium|Organic Search|5/26/2022|6|Annual|Upi|3,745|0|0|28.10|3.1|11/28/2022||Active|Analytics</v>
      </c>
      <c r="W1765" s="13">
        <f t="shared" si="3"/>
        <v>1</v>
      </c>
      <c r="X1765" s="13">
        <f>IFERROR(__xludf.DUMMYFUNCTION("COUNTUNIQUE(FILTER($B$2:$B$1826,$A$2:$A$1826=A1765))"),3.0)</f>
        <v>3</v>
      </c>
    </row>
    <row r="1766">
      <c r="A1766" s="13" t="s">
        <v>2167</v>
      </c>
      <c r="B1766" s="13" t="s">
        <v>801</v>
      </c>
      <c r="C1766" s="14">
        <v>63.0</v>
      </c>
      <c r="D1766" s="13" t="s">
        <v>69</v>
      </c>
      <c r="E1766" s="13" t="s">
        <v>70</v>
      </c>
      <c r="F1766" s="13" t="s">
        <v>37</v>
      </c>
      <c r="G1766" s="13" t="s">
        <v>120</v>
      </c>
      <c r="H1766" s="16">
        <v>45573.0</v>
      </c>
      <c r="I1766" s="14">
        <v>23.0</v>
      </c>
      <c r="J1766" s="13" t="s">
        <v>40</v>
      </c>
      <c r="K1766" s="13" t="s">
        <v>65</v>
      </c>
      <c r="L1766" s="14">
        <v>1711.0</v>
      </c>
      <c r="M1766" s="18" t="s">
        <v>43</v>
      </c>
      <c r="N1766" s="18" t="s">
        <v>46</v>
      </c>
      <c r="O1766" s="18">
        <v>28.9</v>
      </c>
      <c r="P1766" s="18" t="s">
        <v>449</v>
      </c>
      <c r="Q1766" s="16">
        <v>45700.0</v>
      </c>
      <c r="R1766" s="16" t="s">
        <v>38</v>
      </c>
      <c r="S1766" s="13" t="s">
        <v>55</v>
      </c>
      <c r="T1766" s="13" t="s">
        <v>104</v>
      </c>
      <c r="U1766" s="13">
        <f t="shared" si="1"/>
        <v>1</v>
      </c>
      <c r="V1766" s="13" t="str">
        <f t="shared" si="2"/>
        <v>C00234|Karan Singh|63|South|Bengaluru|Standard|Email|10/8/2024|23|Monthly|Credit Card|1,711|2|0|28.90|2.7|2/12/2025||Active|Analytics</v>
      </c>
      <c r="W1766" s="13">
        <f t="shared" si="3"/>
        <v>1</v>
      </c>
      <c r="X1766" s="13">
        <f>IFERROR(__xludf.DUMMYFUNCTION("COUNTUNIQUE(FILTER($B$2:$B$1826,$A$2:$A$1826=A1766))"),1.0)</f>
        <v>1</v>
      </c>
    </row>
    <row r="1767">
      <c r="A1767" s="13" t="s">
        <v>407</v>
      </c>
      <c r="B1767" s="13" t="s">
        <v>316</v>
      </c>
      <c r="C1767" s="14">
        <v>62.0</v>
      </c>
      <c r="D1767" s="13" t="s">
        <v>35</v>
      </c>
      <c r="E1767" s="13" t="s">
        <v>140</v>
      </c>
      <c r="F1767" s="13" t="s">
        <v>37</v>
      </c>
      <c r="G1767" s="13" t="s">
        <v>80</v>
      </c>
      <c r="H1767" s="16">
        <v>45236.0</v>
      </c>
      <c r="I1767" s="14">
        <v>18.0</v>
      </c>
      <c r="J1767" s="13" t="s">
        <v>40</v>
      </c>
      <c r="K1767" s="13" t="s">
        <v>81</v>
      </c>
      <c r="L1767" s="14">
        <v>1045.0</v>
      </c>
      <c r="M1767" s="18" t="s">
        <v>98</v>
      </c>
      <c r="N1767" s="18" t="s">
        <v>43</v>
      </c>
      <c r="O1767" s="18">
        <v>27.0</v>
      </c>
      <c r="P1767" s="18" t="s">
        <v>185</v>
      </c>
      <c r="Q1767" s="16">
        <v>45303.0</v>
      </c>
      <c r="R1767" s="16" t="s">
        <v>38</v>
      </c>
      <c r="S1767" s="13" t="s">
        <v>55</v>
      </c>
      <c r="T1767" s="13" t="s">
        <v>72</v>
      </c>
      <c r="U1767" s="13">
        <f t="shared" si="1"/>
        <v>4</v>
      </c>
      <c r="V1767" s="13" t="str">
        <f t="shared" si="2"/>
        <v>C00496|Neha Nair|62|North|Lucknow|Standard|Organic Search|11/6/2023|18|Monthly|Debit Card|1,045|1|2|27.00|3.2|1/12/2024||Active|Collaboration</v>
      </c>
      <c r="W1767" s="13">
        <f t="shared" si="3"/>
        <v>1</v>
      </c>
      <c r="X1767" s="13">
        <f>IFERROR(__xludf.DUMMYFUNCTION("COUNTUNIQUE(FILTER($B$2:$B$1826,$A$2:$A$1826=A1767))"),4.0)</f>
        <v>4</v>
      </c>
    </row>
    <row r="1768">
      <c r="A1768" s="13" t="s">
        <v>2168</v>
      </c>
      <c r="B1768" s="13" t="s">
        <v>340</v>
      </c>
      <c r="C1768" s="14">
        <v>28.0</v>
      </c>
      <c r="D1768" s="13" t="s">
        <v>60</v>
      </c>
      <c r="E1768" s="13" t="s">
        <v>107</v>
      </c>
      <c r="F1768" s="13" t="s">
        <v>37</v>
      </c>
      <c r="G1768" s="13" t="s">
        <v>210</v>
      </c>
      <c r="H1768" s="16">
        <v>45593.0</v>
      </c>
      <c r="I1768" s="14">
        <v>15.0</v>
      </c>
      <c r="J1768" s="13" t="s">
        <v>53</v>
      </c>
      <c r="K1768" s="13" t="s">
        <v>65</v>
      </c>
      <c r="L1768" s="14">
        <v>1239.0</v>
      </c>
      <c r="M1768" s="18" t="s">
        <v>43</v>
      </c>
      <c r="N1768" s="18" t="s">
        <v>98</v>
      </c>
      <c r="O1768" s="18">
        <v>36.7</v>
      </c>
      <c r="P1768" s="18" t="s">
        <v>116</v>
      </c>
      <c r="Q1768" s="16">
        <v>45909.0</v>
      </c>
      <c r="R1768" s="16" t="s">
        <v>38</v>
      </c>
      <c r="S1768" s="13" t="s">
        <v>55</v>
      </c>
      <c r="T1768" s="13" t="s">
        <v>38</v>
      </c>
      <c r="U1768" s="13">
        <f t="shared" si="1"/>
        <v>1</v>
      </c>
      <c r="V1768" s="13" t="str">
        <f t="shared" si="2"/>
        <v>C01536|Meera Sharma|28|East|Patna|Standard|Referral|10/28/2024|15|Quarterly|Credit Card|1,239|2|1|36.70|3.4|9/9/2025||Active|</v>
      </c>
      <c r="W1768" s="13">
        <f t="shared" si="3"/>
        <v>1</v>
      </c>
      <c r="X1768" s="13">
        <f>IFERROR(__xludf.DUMMYFUNCTION("COUNTUNIQUE(FILTER($B$2:$B$1826,$A$2:$A$1826=A1768))"),1.0)</f>
        <v>1</v>
      </c>
    </row>
    <row r="1769">
      <c r="A1769" s="13" t="s">
        <v>2170</v>
      </c>
      <c r="B1769" s="13" t="s">
        <v>405</v>
      </c>
      <c r="C1769" s="14">
        <v>54.0</v>
      </c>
      <c r="D1769" s="13" t="s">
        <v>69</v>
      </c>
      <c r="E1769" s="13" t="s">
        <v>187</v>
      </c>
      <c r="F1769" s="13" t="s">
        <v>79</v>
      </c>
      <c r="G1769" s="13" t="s">
        <v>80</v>
      </c>
      <c r="H1769" s="16">
        <v>45262.0</v>
      </c>
      <c r="I1769" s="14">
        <v>7.0</v>
      </c>
      <c r="J1769" s="13" t="s">
        <v>40</v>
      </c>
      <c r="K1769" s="13" t="s">
        <v>81</v>
      </c>
      <c r="L1769" s="14">
        <v>3706.0</v>
      </c>
      <c r="M1769" s="18" t="s">
        <v>46</v>
      </c>
      <c r="N1769" s="18" t="s">
        <v>46</v>
      </c>
      <c r="O1769" s="18">
        <v>30.8</v>
      </c>
      <c r="P1769" s="18" t="s">
        <v>48</v>
      </c>
      <c r="Q1769" s="16">
        <v>45425.0</v>
      </c>
      <c r="R1769" s="16" t="s">
        <v>38</v>
      </c>
      <c r="S1769" s="13" t="s">
        <v>55</v>
      </c>
      <c r="T1769" s="13" t="s">
        <v>72</v>
      </c>
      <c r="U1769" s="13">
        <f t="shared" si="1"/>
        <v>1</v>
      </c>
      <c r="V1769" s="13" t="str">
        <f t="shared" si="2"/>
        <v>C01237|Rahul Reddy|54|South|Chennai|Premium|Organic Search|12/2/2023|7|Monthly|Debit Card|3,706|0|0|30.80|3.6|5/13/2024||Active|Collaboration</v>
      </c>
      <c r="W1769" s="13">
        <f t="shared" si="3"/>
        <v>1</v>
      </c>
      <c r="X1769" s="13">
        <f>IFERROR(__xludf.DUMMYFUNCTION("COUNTUNIQUE(FILTER($B$2:$B$1826,$A$2:$A$1826=A1769))"),1.0)</f>
        <v>1</v>
      </c>
    </row>
    <row r="1770">
      <c r="A1770" s="13" t="s">
        <v>806</v>
      </c>
      <c r="B1770" s="13" t="s">
        <v>476</v>
      </c>
      <c r="C1770" s="14">
        <v>33.0</v>
      </c>
      <c r="D1770" s="13" t="s">
        <v>85</v>
      </c>
      <c r="E1770" s="13" t="s">
        <v>111</v>
      </c>
      <c r="F1770" s="13" t="s">
        <v>79</v>
      </c>
      <c r="G1770" s="13" t="s">
        <v>63</v>
      </c>
      <c r="H1770" s="16">
        <v>46002.0</v>
      </c>
      <c r="I1770" s="14">
        <v>12.0</v>
      </c>
      <c r="J1770" s="13" t="s">
        <v>64</v>
      </c>
      <c r="K1770" s="13" t="s">
        <v>81</v>
      </c>
      <c r="L1770" s="14">
        <v>2247.0</v>
      </c>
      <c r="M1770" s="18" t="s">
        <v>376</v>
      </c>
      <c r="N1770" s="18" t="s">
        <v>46</v>
      </c>
      <c r="O1770" s="18">
        <v>38.1</v>
      </c>
      <c r="P1770" s="18" t="s">
        <v>456</v>
      </c>
      <c r="Q1770" s="16">
        <v>46368.0</v>
      </c>
      <c r="R1770" s="16" t="s">
        <v>38</v>
      </c>
      <c r="S1770" s="13" t="s">
        <v>55</v>
      </c>
      <c r="T1770" s="13" t="s">
        <v>72</v>
      </c>
      <c r="U1770" s="13">
        <f t="shared" si="1"/>
        <v>3</v>
      </c>
      <c r="V1770" s="13" t="str">
        <f t="shared" si="2"/>
        <v>C01011|Ravi Das|33|West|Pune|Premium|Google Ads|12/11/2025|12|Annual|Debit Card|2,247|6|0|38.10|2.5|12/12/2026||Active|Collaboration</v>
      </c>
      <c r="W1770" s="13">
        <f t="shared" si="3"/>
        <v>1</v>
      </c>
      <c r="X1770" s="13">
        <f>IFERROR(__xludf.DUMMYFUNCTION("COUNTUNIQUE(FILTER($B$2:$B$1826,$A$2:$A$1826=A1770))"),3.0)</f>
        <v>3</v>
      </c>
    </row>
    <row r="1771">
      <c r="A1771" s="13" t="s">
        <v>1134</v>
      </c>
      <c r="B1771" s="13" t="s">
        <v>470</v>
      </c>
      <c r="C1771" s="14">
        <v>19.0</v>
      </c>
      <c r="D1771" s="13" t="s">
        <v>60</v>
      </c>
      <c r="E1771" s="13" t="s">
        <v>61</v>
      </c>
      <c r="F1771" s="13" t="s">
        <v>37</v>
      </c>
      <c r="G1771" s="13" t="s">
        <v>52</v>
      </c>
      <c r="H1771" s="16">
        <v>45698.0</v>
      </c>
      <c r="I1771" s="14">
        <v>17.0</v>
      </c>
      <c r="J1771" s="13" t="s">
        <v>53</v>
      </c>
      <c r="K1771" s="13" t="s">
        <v>81</v>
      </c>
      <c r="L1771" s="14">
        <v>1320.0</v>
      </c>
      <c r="M1771" s="18" t="s">
        <v>99</v>
      </c>
      <c r="N1771" s="18" t="s">
        <v>46</v>
      </c>
      <c r="O1771" s="18">
        <v>41.6</v>
      </c>
      <c r="P1771" s="18" t="s">
        <v>173</v>
      </c>
      <c r="Q1771" s="16">
        <v>45930.0</v>
      </c>
      <c r="R1771" s="16" t="s">
        <v>38</v>
      </c>
      <c r="S1771" s="13" t="s">
        <v>55</v>
      </c>
      <c r="T1771" s="13" t="s">
        <v>75</v>
      </c>
      <c r="U1771" s="13">
        <f t="shared" si="1"/>
        <v>2</v>
      </c>
      <c r="V1771" s="13" t="str">
        <f t="shared" si="2"/>
        <v>C00734|Arun Singh|19|East|Kolkata|Standard|Facebook|2/10/2025|17|Quarterly|Debit Card|1,320|4|0|41.60|5|9/30/2025||Active|Security</v>
      </c>
      <c r="W1771" s="13">
        <f t="shared" si="3"/>
        <v>1</v>
      </c>
      <c r="X1771" s="13">
        <f>IFERROR(__xludf.DUMMYFUNCTION("COUNTUNIQUE(FILTER($B$2:$B$1826,$A$2:$A$1826=A1771))"),2.0)</f>
        <v>2</v>
      </c>
    </row>
    <row r="1772">
      <c r="A1772" s="13" t="s">
        <v>2171</v>
      </c>
      <c r="B1772" s="13" t="s">
        <v>152</v>
      </c>
      <c r="C1772" s="14">
        <v>54.0</v>
      </c>
      <c r="D1772" s="13" t="s">
        <v>60</v>
      </c>
      <c r="E1772" s="13" t="s">
        <v>61</v>
      </c>
      <c r="F1772" s="13" t="s">
        <v>37</v>
      </c>
      <c r="G1772" s="13" t="s">
        <v>120</v>
      </c>
      <c r="H1772" s="16">
        <v>45986.0</v>
      </c>
      <c r="I1772" s="14">
        <v>43.0</v>
      </c>
      <c r="J1772" s="13" t="s">
        <v>64</v>
      </c>
      <c r="K1772" s="13" t="s">
        <v>81</v>
      </c>
      <c r="L1772" s="14">
        <v>1550.0</v>
      </c>
      <c r="M1772" s="18" t="s">
        <v>173</v>
      </c>
      <c r="N1772" s="18" t="s">
        <v>43</v>
      </c>
      <c r="O1772" s="18">
        <v>51.3</v>
      </c>
      <c r="P1772" s="18" t="s">
        <v>123</v>
      </c>
      <c r="Q1772" s="16">
        <v>46273.0</v>
      </c>
      <c r="R1772" s="16" t="s">
        <v>38</v>
      </c>
      <c r="S1772" s="13" t="s">
        <v>55</v>
      </c>
      <c r="T1772" s="13" t="s">
        <v>66</v>
      </c>
      <c r="U1772" s="13">
        <f t="shared" si="1"/>
        <v>1</v>
      </c>
      <c r="V1772" s="13" t="str">
        <f t="shared" si="2"/>
        <v>C01068|Vikram Kumar|54|East|Kolkata|Standard|Email|11/25/2025|43|Annual|Debit Card|1,550|5|2|51.30|4.1|9/8/2026||Active|Automation</v>
      </c>
      <c r="W1772" s="13">
        <f t="shared" si="3"/>
        <v>1</v>
      </c>
      <c r="X1772" s="13">
        <f>IFERROR(__xludf.DUMMYFUNCTION("COUNTUNIQUE(FILTER($B$2:$B$1826,$A$2:$A$1826=A1772))"),1.0)</f>
        <v>1</v>
      </c>
    </row>
    <row r="1773">
      <c r="A1773" s="13" t="s">
        <v>2172</v>
      </c>
      <c r="B1773" s="13" t="s">
        <v>247</v>
      </c>
      <c r="C1773" s="14">
        <v>23.0</v>
      </c>
      <c r="D1773" s="13" t="s">
        <v>35</v>
      </c>
      <c r="E1773" s="13" t="s">
        <v>140</v>
      </c>
      <c r="F1773" s="13" t="s">
        <v>37</v>
      </c>
      <c r="G1773" s="13" t="s">
        <v>128</v>
      </c>
      <c r="H1773" s="16">
        <v>44947.0</v>
      </c>
      <c r="I1773" s="14">
        <v>22.0</v>
      </c>
      <c r="J1773" s="13" t="s">
        <v>40</v>
      </c>
      <c r="K1773" s="13" t="s">
        <v>41</v>
      </c>
      <c r="L1773" s="14">
        <v>1094.0</v>
      </c>
      <c r="M1773" s="18" t="s">
        <v>164</v>
      </c>
      <c r="N1773" s="18" t="s">
        <v>43</v>
      </c>
      <c r="O1773" s="18">
        <v>27.7</v>
      </c>
      <c r="P1773" s="18" t="s">
        <v>185</v>
      </c>
      <c r="Q1773" s="16">
        <v>45367.0</v>
      </c>
      <c r="R1773" s="16" t="s">
        <v>38</v>
      </c>
      <c r="S1773" s="13" t="s">
        <v>55</v>
      </c>
      <c r="T1773" s="13" t="s">
        <v>66</v>
      </c>
      <c r="U1773" s="13">
        <f t="shared" si="1"/>
        <v>1</v>
      </c>
      <c r="V1773" s="13" t="str">
        <f t="shared" si="2"/>
        <v>C00361|Ravi Sharma|23|North|Lucknow|Standard|Youtube|1/21/2023|22|Monthly|Upi|1,094|3|2|27.70|3.2|3/16/2024||Active|Automation</v>
      </c>
      <c r="W1773" s="13">
        <f t="shared" si="3"/>
        <v>1</v>
      </c>
      <c r="X1773" s="13">
        <f>IFERROR(__xludf.DUMMYFUNCTION("COUNTUNIQUE(FILTER($B$2:$B$1826,$A$2:$A$1826=A1773))"),1.0)</f>
        <v>1</v>
      </c>
    </row>
    <row r="1774">
      <c r="A1774" s="13" t="s">
        <v>2173</v>
      </c>
      <c r="B1774" s="13" t="s">
        <v>126</v>
      </c>
      <c r="C1774" s="14">
        <v>38.0</v>
      </c>
      <c r="D1774" s="13" t="s">
        <v>69</v>
      </c>
      <c r="E1774" s="13" t="s">
        <v>119</v>
      </c>
      <c r="F1774" s="13" t="s">
        <v>37</v>
      </c>
      <c r="G1774" s="13" t="s">
        <v>63</v>
      </c>
      <c r="H1774" s="16">
        <v>45980.0</v>
      </c>
      <c r="I1774" s="14">
        <v>9.0</v>
      </c>
      <c r="J1774" s="13" t="s">
        <v>40</v>
      </c>
      <c r="K1774" s="13" t="s">
        <v>81</v>
      </c>
      <c r="L1774" s="14">
        <v>1230.0</v>
      </c>
      <c r="M1774" s="18" t="s">
        <v>98</v>
      </c>
      <c r="N1774" s="18" t="s">
        <v>98</v>
      </c>
      <c r="O1774" s="18">
        <v>26.9</v>
      </c>
      <c r="P1774" s="18" t="s">
        <v>150</v>
      </c>
      <c r="Q1774" s="16">
        <v>46140.0</v>
      </c>
      <c r="R1774" s="16" t="s">
        <v>38</v>
      </c>
      <c r="S1774" s="13" t="s">
        <v>55</v>
      </c>
      <c r="T1774" s="13" t="s">
        <v>47</v>
      </c>
      <c r="U1774" s="13">
        <f t="shared" si="1"/>
        <v>1</v>
      </c>
      <c r="V1774" s="13" t="str">
        <f t="shared" si="2"/>
        <v>C00964|Arun Patel|38|South|Kochi|Standard|Google Ads|11/19/2025|9|Monthly|Debit Card|1,230|1|1|26.90|4.5|4/28/2026||Active|Cloud Storage</v>
      </c>
      <c r="W1774" s="13">
        <f t="shared" si="3"/>
        <v>1</v>
      </c>
      <c r="X1774" s="13">
        <f>IFERROR(__xludf.DUMMYFUNCTION("COUNTUNIQUE(FILTER($B$2:$B$1826,$A$2:$A$1826=A1774))"),1.0)</f>
        <v>1</v>
      </c>
    </row>
    <row r="1775">
      <c r="A1775" s="13" t="s">
        <v>2174</v>
      </c>
      <c r="B1775" s="13" t="s">
        <v>160</v>
      </c>
      <c r="C1775" s="14">
        <v>46.0</v>
      </c>
      <c r="D1775" s="13" t="s">
        <v>69</v>
      </c>
      <c r="E1775" s="13" t="s">
        <v>177</v>
      </c>
      <c r="F1775" s="13" t="s">
        <v>62</v>
      </c>
      <c r="G1775" s="13" t="s">
        <v>80</v>
      </c>
      <c r="H1775" s="16">
        <v>45637.0</v>
      </c>
      <c r="I1775" s="14">
        <v>47.0</v>
      </c>
      <c r="J1775" s="13" t="s">
        <v>53</v>
      </c>
      <c r="K1775" s="13" t="s">
        <v>65</v>
      </c>
      <c r="L1775" s="14">
        <v>530.0</v>
      </c>
      <c r="M1775" s="18" t="s">
        <v>46</v>
      </c>
      <c r="N1775" s="18" t="s">
        <v>43</v>
      </c>
      <c r="O1775" s="18">
        <v>27.9</v>
      </c>
      <c r="P1775" s="18" t="s">
        <v>233</v>
      </c>
      <c r="Q1775" s="16">
        <v>46150.0</v>
      </c>
      <c r="R1775" s="16" t="s">
        <v>38</v>
      </c>
      <c r="S1775" s="13" t="s">
        <v>55</v>
      </c>
      <c r="T1775" s="13" t="s">
        <v>104</v>
      </c>
      <c r="U1775" s="13">
        <f t="shared" si="1"/>
        <v>1</v>
      </c>
      <c r="V1775" s="13" t="str">
        <f t="shared" si="2"/>
        <v>C01324|Rahul Singh|46|South|Hyderabad|Basic|Organic Search|12/11/2024|47|Quarterly|Credit Card|530|0|2|27.90|3.5|5/8/2026||Active|Analytics</v>
      </c>
      <c r="W1775" s="13">
        <f t="shared" si="3"/>
        <v>1</v>
      </c>
      <c r="X1775" s="13">
        <f>IFERROR(__xludf.DUMMYFUNCTION("COUNTUNIQUE(FILTER($B$2:$B$1826,$A$2:$A$1826=A1775))"),1.0)</f>
        <v>1</v>
      </c>
    </row>
    <row r="1776">
      <c r="A1776" s="13" t="s">
        <v>1808</v>
      </c>
      <c r="B1776" s="13" t="s">
        <v>250</v>
      </c>
      <c r="C1776" s="14">
        <v>67.0</v>
      </c>
      <c r="D1776" s="13" t="s">
        <v>35</v>
      </c>
      <c r="E1776" s="13" t="s">
        <v>161</v>
      </c>
      <c r="F1776" s="13" t="s">
        <v>62</v>
      </c>
      <c r="G1776" s="13" t="s">
        <v>39</v>
      </c>
      <c r="H1776" s="16">
        <v>45169.0</v>
      </c>
      <c r="I1776" s="14">
        <v>36.0</v>
      </c>
      <c r="J1776" s="13" t="s">
        <v>53</v>
      </c>
      <c r="K1776" s="13" t="s">
        <v>41</v>
      </c>
      <c r="L1776" s="14">
        <v>637.0</v>
      </c>
      <c r="M1776" s="18" t="s">
        <v>43</v>
      </c>
      <c r="N1776" s="18" t="s">
        <v>98</v>
      </c>
      <c r="O1776" s="18">
        <v>26.4</v>
      </c>
      <c r="P1776" s="18" t="s">
        <v>150</v>
      </c>
      <c r="Q1776" s="16">
        <v>45242.0</v>
      </c>
      <c r="R1776" s="16" t="s">
        <v>465</v>
      </c>
      <c r="S1776" s="13" t="s">
        <v>45</v>
      </c>
      <c r="T1776" s="13" t="s">
        <v>66</v>
      </c>
      <c r="U1776" s="13">
        <f t="shared" si="1"/>
        <v>2</v>
      </c>
      <c r="V1776" s="13" t="str">
        <f t="shared" si="2"/>
        <v>C00193|Vikram Singh|67|North|Chandigarh|Basic|Instagram|8/31/2023|36|Quarterly|Upi|637|2|1|26.40|4.5|11/12/2023|17/08/2024|Churned|Automation</v>
      </c>
      <c r="W1776" s="13">
        <f t="shared" si="3"/>
        <v>1</v>
      </c>
      <c r="X1776" s="13">
        <f>IFERROR(__xludf.DUMMYFUNCTION("COUNTUNIQUE(FILTER($B$2:$B$1826,$A$2:$A$1826=A1776))"),2.0)</f>
        <v>2</v>
      </c>
    </row>
    <row r="1777">
      <c r="A1777" s="13" t="s">
        <v>1608</v>
      </c>
      <c r="B1777" s="13" t="s">
        <v>152</v>
      </c>
      <c r="C1777" s="14">
        <v>58.0</v>
      </c>
      <c r="D1777" s="13" t="s">
        <v>85</v>
      </c>
      <c r="E1777" s="13" t="s">
        <v>87</v>
      </c>
      <c r="F1777" s="13" t="s">
        <v>62</v>
      </c>
      <c r="G1777" s="13" t="s">
        <v>63</v>
      </c>
      <c r="H1777" s="16">
        <v>44803.0</v>
      </c>
      <c r="I1777" s="14">
        <v>43.0</v>
      </c>
      <c r="J1777" s="13" t="s">
        <v>64</v>
      </c>
      <c r="K1777" s="13" t="s">
        <v>65</v>
      </c>
      <c r="L1777" s="14" t="s">
        <v>38</v>
      </c>
      <c r="M1777" s="18" t="s">
        <v>98</v>
      </c>
      <c r="N1777" s="18" t="s">
        <v>46</v>
      </c>
      <c r="O1777" s="18">
        <v>14.6</v>
      </c>
      <c r="P1777" s="18" t="s">
        <v>173</v>
      </c>
      <c r="Q1777" s="16">
        <v>45501.0</v>
      </c>
      <c r="R1777" s="16" t="s">
        <v>2175</v>
      </c>
      <c r="S1777" s="13" t="s">
        <v>45</v>
      </c>
      <c r="T1777" s="13" t="s">
        <v>104</v>
      </c>
      <c r="U1777" s="13">
        <f t="shared" si="1"/>
        <v>2</v>
      </c>
      <c r="V1777" s="13" t="str">
        <f t="shared" si="2"/>
        <v>C00631|Vikram Kumar|58|West|Surat|Basic|Google Ads|8/30/2022|43|Annual|Credit Card||1|0|14.60|5|7/28/2024|29/01/2025|Churned|Analytics</v>
      </c>
      <c r="W1777" s="13">
        <f t="shared" si="3"/>
        <v>1</v>
      </c>
      <c r="X1777" s="13">
        <f>IFERROR(__xludf.DUMMYFUNCTION("COUNTUNIQUE(FILTER($B$2:$B$1826,$A$2:$A$1826=A1777))"),2.0)</f>
        <v>2</v>
      </c>
    </row>
    <row r="1778">
      <c r="A1778" s="13" t="s">
        <v>2176</v>
      </c>
      <c r="B1778" s="13" t="s">
        <v>78</v>
      </c>
      <c r="C1778" s="14">
        <v>38.0</v>
      </c>
      <c r="D1778" s="13" t="s">
        <v>85</v>
      </c>
      <c r="E1778" s="13" t="s">
        <v>92</v>
      </c>
      <c r="F1778" s="13" t="s">
        <v>62</v>
      </c>
      <c r="G1778" s="13" t="s">
        <v>80</v>
      </c>
      <c r="H1778" s="16">
        <v>45831.0</v>
      </c>
      <c r="I1778" s="14">
        <v>46.0</v>
      </c>
      <c r="J1778" s="13" t="s">
        <v>53</v>
      </c>
      <c r="K1778" s="13" t="s">
        <v>41</v>
      </c>
      <c r="L1778" s="14">
        <v>597.0</v>
      </c>
      <c r="M1778" s="18" t="s">
        <v>98</v>
      </c>
      <c r="N1778" s="18" t="s">
        <v>46</v>
      </c>
      <c r="O1778" s="18">
        <v>14.4</v>
      </c>
      <c r="P1778" s="18" t="s">
        <v>233</v>
      </c>
      <c r="Q1778" s="16">
        <v>46496.0</v>
      </c>
      <c r="R1778" s="16" t="s">
        <v>38</v>
      </c>
      <c r="S1778" s="13" t="s">
        <v>55</v>
      </c>
      <c r="T1778" s="13" t="s">
        <v>66</v>
      </c>
      <c r="U1778" s="13">
        <f t="shared" si="1"/>
        <v>1</v>
      </c>
      <c r="V1778" s="13" t="str">
        <f t="shared" si="2"/>
        <v>C00633|Vikram Patel|38|West|Ahmedabad|Basic|Organic Search|6/23/2025|46|Quarterly|Upi|597|1|0|14.40|3.5|4/19/2027||Active|Automation</v>
      </c>
      <c r="W1778" s="13">
        <f t="shared" si="3"/>
        <v>1</v>
      </c>
      <c r="X1778" s="13">
        <f>IFERROR(__xludf.DUMMYFUNCTION("COUNTUNIQUE(FILTER($B$2:$B$1826,$A$2:$A$1826=A1778))"),1.0)</f>
        <v>1</v>
      </c>
    </row>
    <row r="1779">
      <c r="A1779" s="13" t="s">
        <v>1930</v>
      </c>
      <c r="B1779" s="13" t="s">
        <v>106</v>
      </c>
      <c r="C1779" s="14">
        <v>21.0</v>
      </c>
      <c r="D1779" s="13" t="s">
        <v>69</v>
      </c>
      <c r="E1779" s="13" t="s">
        <v>119</v>
      </c>
      <c r="F1779" s="13" t="s">
        <v>79</v>
      </c>
      <c r="G1779" s="13" t="s">
        <v>52</v>
      </c>
      <c r="H1779" s="16">
        <v>44706.0</v>
      </c>
      <c r="I1779" s="14">
        <v>2.0</v>
      </c>
      <c r="J1779" s="13" t="s">
        <v>64</v>
      </c>
      <c r="K1779" s="13" t="s">
        <v>41</v>
      </c>
      <c r="L1779" s="14">
        <v>2653.0</v>
      </c>
      <c r="M1779" s="18" t="s">
        <v>99</v>
      </c>
      <c r="N1779" s="18" t="s">
        <v>164</v>
      </c>
      <c r="O1779" s="18">
        <v>31.4</v>
      </c>
      <c r="P1779" s="18" t="s">
        <v>158</v>
      </c>
      <c r="Q1779" s="16">
        <v>44750.0</v>
      </c>
      <c r="R1779" s="16" t="s">
        <v>38</v>
      </c>
      <c r="S1779" s="13" t="s">
        <v>55</v>
      </c>
      <c r="T1779" s="13" t="s">
        <v>47</v>
      </c>
      <c r="U1779" s="13">
        <f t="shared" si="1"/>
        <v>2</v>
      </c>
      <c r="V1779" s="13" t="str">
        <f t="shared" si="2"/>
        <v>C00115|Rahul Patel|21|South|Kochi|Premium|Facebook|5/25/2022|2|Annual|Upi|2,653|4|3|31.40|4.7|7/8/2022||Active|Cloud Storage</v>
      </c>
      <c r="W1779" s="13">
        <f t="shared" si="3"/>
        <v>1</v>
      </c>
      <c r="X1779" s="13">
        <f>IFERROR(__xludf.DUMMYFUNCTION("COUNTUNIQUE(FILTER($B$2:$B$1826,$A$2:$A$1826=A1779))"),2.0)</f>
        <v>2</v>
      </c>
    </row>
    <row r="1780">
      <c r="A1780" s="13" t="s">
        <v>660</v>
      </c>
      <c r="B1780" s="13" t="s">
        <v>333</v>
      </c>
      <c r="C1780" s="14">
        <v>24.0</v>
      </c>
      <c r="D1780" s="13" t="s">
        <v>85</v>
      </c>
      <c r="E1780" s="13" t="s">
        <v>87</v>
      </c>
      <c r="F1780" s="13" t="s">
        <v>62</v>
      </c>
      <c r="G1780" s="13" t="s">
        <v>52</v>
      </c>
      <c r="H1780" s="16">
        <v>45429.0</v>
      </c>
      <c r="I1780" s="14">
        <v>39.0</v>
      </c>
      <c r="J1780" s="13" t="s">
        <v>64</v>
      </c>
      <c r="K1780" s="13" t="s">
        <v>65</v>
      </c>
      <c r="L1780" s="14">
        <v>584.0</v>
      </c>
      <c r="M1780" s="18" t="s">
        <v>164</v>
      </c>
      <c r="N1780" s="18" t="s">
        <v>98</v>
      </c>
      <c r="O1780" s="18">
        <v>10.3</v>
      </c>
      <c r="P1780" s="18" t="s">
        <v>185</v>
      </c>
      <c r="Q1780" s="16">
        <v>45917.0</v>
      </c>
      <c r="R1780" s="16" t="s">
        <v>38</v>
      </c>
      <c r="S1780" s="13" t="s">
        <v>55</v>
      </c>
      <c r="T1780" s="13" t="s">
        <v>104</v>
      </c>
      <c r="U1780" s="13">
        <f t="shared" si="1"/>
        <v>6</v>
      </c>
      <c r="V1780" s="13" t="str">
        <f t="shared" si="2"/>
        <v>C00984|Neha Das|24|West|Surat|Basic|Facebook|5/17/2024|39|Annual|Credit Card|584|3|1|10.30|3.2|9/17/2025||Active|Analytics</v>
      </c>
      <c r="W1780" s="13">
        <f t="shared" si="3"/>
        <v>1</v>
      </c>
      <c r="X1780" s="13">
        <f>IFERROR(__xludf.DUMMYFUNCTION("COUNTUNIQUE(FILTER($B$2:$B$1826,$A$2:$A$1826=A1780))"),6.0)</f>
        <v>6</v>
      </c>
    </row>
    <row r="1781">
      <c r="A1781" s="13" t="s">
        <v>1921</v>
      </c>
      <c r="B1781" s="13" t="s">
        <v>152</v>
      </c>
      <c r="C1781" s="14">
        <v>43.0</v>
      </c>
      <c r="D1781" s="13" t="s">
        <v>69</v>
      </c>
      <c r="E1781" s="13" t="s">
        <v>70</v>
      </c>
      <c r="F1781" s="13" t="s">
        <v>37</v>
      </c>
      <c r="G1781" s="13" t="s">
        <v>128</v>
      </c>
      <c r="H1781" s="16">
        <v>45034.0</v>
      </c>
      <c r="I1781" s="14">
        <v>20.0</v>
      </c>
      <c r="J1781" s="13" t="s">
        <v>53</v>
      </c>
      <c r="K1781" s="13" t="s">
        <v>81</v>
      </c>
      <c r="L1781" s="14">
        <v>1645.0</v>
      </c>
      <c r="M1781" s="18" t="s">
        <v>46</v>
      </c>
      <c r="N1781" s="18" t="s">
        <v>98</v>
      </c>
      <c r="O1781" s="18">
        <v>31.3</v>
      </c>
      <c r="P1781" s="18" t="s">
        <v>408</v>
      </c>
      <c r="Q1781" s="16">
        <v>45196.0</v>
      </c>
      <c r="R1781" s="16" t="s">
        <v>38</v>
      </c>
      <c r="S1781" s="13" t="s">
        <v>55</v>
      </c>
      <c r="T1781" s="13" t="s">
        <v>47</v>
      </c>
      <c r="U1781" s="13">
        <f t="shared" si="1"/>
        <v>2</v>
      </c>
      <c r="V1781" s="13" t="str">
        <f t="shared" si="2"/>
        <v>C00134|Vikram Kumar|43|South|Bengaluru|Standard|Youtube|4/18/2023|20|Quarterly|Debit Card|1,645|0|1|31.30|4.2|9/27/2023||Active|Cloud Storage</v>
      </c>
      <c r="W1781" s="13">
        <f t="shared" si="3"/>
        <v>1</v>
      </c>
      <c r="X1781" s="13">
        <f>IFERROR(__xludf.DUMMYFUNCTION("COUNTUNIQUE(FILTER($B$2:$B$1826,$A$2:$A$1826=A1781))"),2.0)</f>
        <v>2</v>
      </c>
    </row>
    <row r="1782">
      <c r="A1782" s="13" t="s">
        <v>2177</v>
      </c>
      <c r="B1782" s="13" t="s">
        <v>250</v>
      </c>
      <c r="C1782" s="14">
        <v>49.0</v>
      </c>
      <c r="D1782" s="13" t="s">
        <v>69</v>
      </c>
      <c r="E1782" s="13" t="s">
        <v>177</v>
      </c>
      <c r="F1782" s="13" t="s">
        <v>62</v>
      </c>
      <c r="G1782" s="13" t="s">
        <v>39</v>
      </c>
      <c r="H1782" s="16">
        <v>45176.0</v>
      </c>
      <c r="I1782" s="14">
        <v>44.0</v>
      </c>
      <c r="J1782" s="13" t="s">
        <v>53</v>
      </c>
      <c r="K1782" s="13" t="s">
        <v>41</v>
      </c>
      <c r="L1782" s="14">
        <v>808.0</v>
      </c>
      <c r="M1782" s="18" t="s">
        <v>43</v>
      </c>
      <c r="N1782" s="18" t="s">
        <v>46</v>
      </c>
      <c r="O1782" s="18">
        <v>22.6</v>
      </c>
      <c r="P1782" s="18" t="s">
        <v>225</v>
      </c>
      <c r="Q1782" s="16">
        <v>45673.0</v>
      </c>
      <c r="R1782" s="16" t="s">
        <v>38</v>
      </c>
      <c r="S1782" s="13" t="s">
        <v>55</v>
      </c>
      <c r="T1782" s="13" t="s">
        <v>66</v>
      </c>
      <c r="U1782" s="13">
        <f t="shared" si="1"/>
        <v>1</v>
      </c>
      <c r="V1782" s="13" t="str">
        <f t="shared" si="2"/>
        <v>C01050|Vikram Singh|49|South|Hyderabad|Basic|Instagram|9/7/2023|44|Quarterly|Upi|808|2|0|22.60|3.8|1/16/2025||Active|Automation</v>
      </c>
      <c r="W1782" s="13">
        <f t="shared" si="3"/>
        <v>1</v>
      </c>
      <c r="X1782" s="13">
        <f>IFERROR(__xludf.DUMMYFUNCTION("COUNTUNIQUE(FILTER($B$2:$B$1826,$A$2:$A$1826=A1782))"),1.0)</f>
        <v>1</v>
      </c>
    </row>
    <row r="1783">
      <c r="A1783" s="13" t="s">
        <v>540</v>
      </c>
      <c r="B1783" s="13" t="s">
        <v>206</v>
      </c>
      <c r="C1783" s="14">
        <v>54.0</v>
      </c>
      <c r="D1783" s="13" t="s">
        <v>85</v>
      </c>
      <c r="E1783" s="13" t="s">
        <v>92</v>
      </c>
      <c r="F1783" s="13" t="s">
        <v>37</v>
      </c>
      <c r="G1783" s="13" t="s">
        <v>80</v>
      </c>
      <c r="H1783" s="16">
        <v>45452.0</v>
      </c>
      <c r="I1783" s="14">
        <v>24.0</v>
      </c>
      <c r="J1783" s="13" t="s">
        <v>53</v>
      </c>
      <c r="K1783" s="13" t="s">
        <v>65</v>
      </c>
      <c r="L1783" s="14">
        <v>1290.0</v>
      </c>
      <c r="M1783" s="18" t="s">
        <v>98</v>
      </c>
      <c r="N1783" s="18" t="s">
        <v>46</v>
      </c>
      <c r="O1783" s="18">
        <v>19.9</v>
      </c>
      <c r="P1783" s="18" t="s">
        <v>225</v>
      </c>
      <c r="Q1783" s="16">
        <v>46037.0</v>
      </c>
      <c r="R1783" s="16">
        <v>45778.0</v>
      </c>
      <c r="S1783" s="13" t="s">
        <v>45</v>
      </c>
      <c r="T1783" s="13" t="s">
        <v>104</v>
      </c>
      <c r="U1783" s="13">
        <f t="shared" si="1"/>
        <v>4</v>
      </c>
      <c r="V1783" s="13" t="str">
        <f t="shared" si="2"/>
        <v>C00781|Karan Patel|54|West|Ahmedabad|Standard|Organic Search|6/9/2024|24|Quarterly|Credit Card|1,290|1|0|19.90|3.8|1/15/2026|5/1/2025|Churned|Analytics</v>
      </c>
      <c r="W1783" s="13">
        <f t="shared" si="3"/>
        <v>2</v>
      </c>
      <c r="X1783" s="13">
        <f>IFERROR(__xludf.DUMMYFUNCTION("COUNTUNIQUE(FILTER($B$2:$B$1826,$A$2:$A$1826=A1783))"),3.0)</f>
        <v>3</v>
      </c>
    </row>
    <row r="1784">
      <c r="A1784" s="13" t="s">
        <v>1525</v>
      </c>
      <c r="B1784" s="13" t="s">
        <v>232</v>
      </c>
      <c r="C1784" s="14">
        <v>49.0</v>
      </c>
      <c r="D1784" s="13" t="s">
        <v>60</v>
      </c>
      <c r="E1784" s="13" t="s">
        <v>97</v>
      </c>
      <c r="F1784" s="13" t="s">
        <v>62</v>
      </c>
      <c r="G1784" s="13" t="s">
        <v>128</v>
      </c>
      <c r="H1784" s="16">
        <v>44606.0</v>
      </c>
      <c r="I1784" s="14">
        <v>37.0</v>
      </c>
      <c r="J1784" s="13" t="s">
        <v>64</v>
      </c>
      <c r="K1784" s="13" t="s">
        <v>41</v>
      </c>
      <c r="L1784" s="14">
        <v>582.0</v>
      </c>
      <c r="M1784" s="18" t="s">
        <v>46</v>
      </c>
      <c r="N1784" s="18" t="s">
        <v>98</v>
      </c>
      <c r="O1784" s="18">
        <v>11.1</v>
      </c>
      <c r="P1784" s="18" t="s">
        <v>368</v>
      </c>
      <c r="Q1784" s="16">
        <v>45687.0</v>
      </c>
      <c r="R1784" s="16" t="s">
        <v>334</v>
      </c>
      <c r="S1784" s="13" t="s">
        <v>45</v>
      </c>
      <c r="T1784" s="13" t="s">
        <v>47</v>
      </c>
      <c r="U1784" s="13">
        <f t="shared" si="1"/>
        <v>2</v>
      </c>
      <c r="V1784" s="13" t="str">
        <f t="shared" si="2"/>
        <v>C00922|Meera Iyer|49|East|Bhubaneswar|Basic|Youtube|2/14/2022|37|Annual|Upi|582|0|1|11.10|4.9|1/30/2025|18/04/2024|Churned|Cloud Storage</v>
      </c>
      <c r="W1784" s="13">
        <f t="shared" si="3"/>
        <v>1</v>
      </c>
      <c r="X1784" s="13">
        <f>IFERROR(__xludf.DUMMYFUNCTION("COUNTUNIQUE(FILTER($B$2:$B$1826,$A$2:$A$1826=A1784))"),2.0)</f>
        <v>2</v>
      </c>
    </row>
    <row r="1785">
      <c r="A1785" s="13" t="s">
        <v>2179</v>
      </c>
      <c r="B1785" s="13" t="s">
        <v>169</v>
      </c>
      <c r="C1785" s="14">
        <v>26.0</v>
      </c>
      <c r="D1785" s="13" t="s">
        <v>60</v>
      </c>
      <c r="E1785" s="13" t="s">
        <v>87</v>
      </c>
      <c r="F1785" s="13" t="s">
        <v>62</v>
      </c>
      <c r="G1785" s="13" t="s">
        <v>39</v>
      </c>
      <c r="H1785" s="16">
        <v>45222.0</v>
      </c>
      <c r="I1785" s="14">
        <v>39.0</v>
      </c>
      <c r="J1785" s="13" t="s">
        <v>64</v>
      </c>
      <c r="K1785" s="13" t="s">
        <v>81</v>
      </c>
      <c r="L1785" s="14">
        <v>739.0</v>
      </c>
      <c r="M1785" s="18" t="s">
        <v>173</v>
      </c>
      <c r="N1785" s="18" t="s">
        <v>46</v>
      </c>
      <c r="O1785" s="18">
        <v>28.0</v>
      </c>
      <c r="P1785" s="18" t="s">
        <v>225</v>
      </c>
      <c r="Q1785" s="16">
        <v>45323.0</v>
      </c>
      <c r="R1785" s="16" t="s">
        <v>38</v>
      </c>
      <c r="S1785" s="13" t="s">
        <v>55</v>
      </c>
      <c r="T1785" s="13" t="s">
        <v>47</v>
      </c>
      <c r="U1785" s="13">
        <f t="shared" si="1"/>
        <v>1</v>
      </c>
      <c r="V1785" s="13" t="str">
        <f t="shared" si="2"/>
        <v>C01166|Vikram Nair|26|East|Surat|Basic|Instagram|10/23/2023|39|Annual|Debit Card|739|5|0|28.00|3.8|2/1/2024||Active|Cloud Storage</v>
      </c>
      <c r="W1785" s="13">
        <f t="shared" si="3"/>
        <v>1</v>
      </c>
      <c r="X1785" s="13">
        <f>IFERROR(__xludf.DUMMYFUNCTION("COUNTUNIQUE(FILTER($B$2:$B$1826,$A$2:$A$1826=A1785))"),1.0)</f>
        <v>1</v>
      </c>
    </row>
    <row r="1786">
      <c r="A1786" s="13" t="s">
        <v>1796</v>
      </c>
      <c r="B1786" s="13" t="s">
        <v>34</v>
      </c>
      <c r="C1786" s="14">
        <v>61.0</v>
      </c>
      <c r="D1786" s="13" t="s">
        <v>35</v>
      </c>
      <c r="E1786" s="13" t="s">
        <v>161</v>
      </c>
      <c r="F1786" s="13" t="s">
        <v>62</v>
      </c>
      <c r="G1786" s="13" t="s">
        <v>80</v>
      </c>
      <c r="H1786" s="16">
        <v>45603.0</v>
      </c>
      <c r="I1786" s="14">
        <v>30.0</v>
      </c>
      <c r="J1786" s="13" t="s">
        <v>53</v>
      </c>
      <c r="K1786" s="13" t="s">
        <v>81</v>
      </c>
      <c r="L1786" s="14">
        <v>639.0</v>
      </c>
      <c r="M1786" s="18" t="s">
        <v>43</v>
      </c>
      <c r="N1786" s="18" t="s">
        <v>46</v>
      </c>
      <c r="O1786" s="18">
        <v>7.3</v>
      </c>
      <c r="P1786" s="18" t="s">
        <v>233</v>
      </c>
      <c r="Q1786" s="16">
        <v>46360.0</v>
      </c>
      <c r="R1786" s="16" t="s">
        <v>38</v>
      </c>
      <c r="S1786" s="13" t="s">
        <v>55</v>
      </c>
      <c r="T1786" s="13" t="s">
        <v>75</v>
      </c>
      <c r="U1786" s="13">
        <f t="shared" si="1"/>
        <v>3</v>
      </c>
      <c r="V1786" s="13" t="str">
        <f t="shared" si="2"/>
        <v>C00010|Meera Das|61|North|Chandigarh|Basic|Organic Search|11/7/2024|30|Quarterly|Debit Card|639|2|0|7.30|3.5|12/4/2026||Active|Security</v>
      </c>
      <c r="W1786" s="13">
        <f t="shared" si="3"/>
        <v>1</v>
      </c>
      <c r="X1786" s="13">
        <f>IFERROR(__xludf.DUMMYFUNCTION("COUNTUNIQUE(FILTER($B$2:$B$1826,$A$2:$A$1826=A1786))"),3.0)</f>
        <v>3</v>
      </c>
    </row>
    <row r="1787">
      <c r="A1787" s="13" t="s">
        <v>1320</v>
      </c>
      <c r="B1787" s="13" t="s">
        <v>308</v>
      </c>
      <c r="C1787" s="14">
        <v>24.0</v>
      </c>
      <c r="D1787" s="13" t="s">
        <v>85</v>
      </c>
      <c r="E1787" s="13" t="s">
        <v>92</v>
      </c>
      <c r="F1787" s="13" t="s">
        <v>37</v>
      </c>
      <c r="G1787" s="13" t="s">
        <v>63</v>
      </c>
      <c r="H1787" s="16">
        <v>45997.0</v>
      </c>
      <c r="I1787" s="14">
        <v>7.0</v>
      </c>
      <c r="J1787" s="13" t="s">
        <v>53</v>
      </c>
      <c r="K1787" s="13" t="s">
        <v>81</v>
      </c>
      <c r="L1787" s="14">
        <v>1021.0</v>
      </c>
      <c r="M1787" s="18" t="s">
        <v>43</v>
      </c>
      <c r="N1787" s="18" t="s">
        <v>98</v>
      </c>
      <c r="O1787" s="18">
        <v>36.0</v>
      </c>
      <c r="P1787" s="18" t="s">
        <v>203</v>
      </c>
      <c r="Q1787" s="16">
        <v>46225.0</v>
      </c>
      <c r="R1787" s="16" t="s">
        <v>38</v>
      </c>
      <c r="S1787" s="13" t="s">
        <v>55</v>
      </c>
      <c r="T1787" s="13" t="s">
        <v>75</v>
      </c>
      <c r="U1787" s="13">
        <f t="shared" si="1"/>
        <v>3</v>
      </c>
      <c r="V1787" s="13" t="str">
        <f t="shared" si="2"/>
        <v>C00881|Karan Kumar|24|West|Ahmedabad|Standard|Google Ads|12/6/2025|7|Quarterly|Debit Card|1,021|2|1|36.00|3.7|7/22/2026||Active|Security</v>
      </c>
      <c r="W1787" s="13">
        <f t="shared" si="3"/>
        <v>1</v>
      </c>
      <c r="X1787" s="13">
        <f>IFERROR(__xludf.DUMMYFUNCTION("COUNTUNIQUE(FILTER($B$2:$B$1826,$A$2:$A$1826=A1787))"),3.0)</f>
        <v>3</v>
      </c>
    </row>
    <row r="1788">
      <c r="A1788" s="13" t="s">
        <v>2180</v>
      </c>
      <c r="B1788" s="13" t="s">
        <v>257</v>
      </c>
      <c r="C1788" s="14">
        <v>45.0</v>
      </c>
      <c r="D1788" s="13" t="s">
        <v>35</v>
      </c>
      <c r="E1788" s="13" t="s">
        <v>36</v>
      </c>
      <c r="F1788" s="13" t="s">
        <v>79</v>
      </c>
      <c r="G1788" s="13" t="s">
        <v>39</v>
      </c>
      <c r="H1788" s="16">
        <v>45634.0</v>
      </c>
      <c r="I1788" s="14">
        <v>17.0</v>
      </c>
      <c r="J1788" s="13" t="s">
        <v>53</v>
      </c>
      <c r="K1788" s="13" t="s">
        <v>81</v>
      </c>
      <c r="L1788" s="14">
        <v>2209.0</v>
      </c>
      <c r="M1788" s="18" t="s">
        <v>43</v>
      </c>
      <c r="N1788" s="18" t="s">
        <v>98</v>
      </c>
      <c r="O1788" s="18">
        <v>34.7</v>
      </c>
      <c r="P1788" s="18" t="s">
        <v>225</v>
      </c>
      <c r="Q1788" s="16">
        <v>45988.0</v>
      </c>
      <c r="R1788" s="16" t="s">
        <v>2181</v>
      </c>
      <c r="S1788" s="13" t="s">
        <v>45</v>
      </c>
      <c r="T1788" s="13" t="s">
        <v>72</v>
      </c>
      <c r="U1788" s="13">
        <f t="shared" si="1"/>
        <v>1</v>
      </c>
      <c r="V1788" s="13" t="str">
        <f t="shared" si="2"/>
        <v>C00169|Sneha Reddy|45|North|Delhi|Premium|Instagram|12/8/2024|17|Quarterly|Debit Card|2,209|2|1|34.70|3.8|11/27/2025|26/07/2025|Churned|Collaboration</v>
      </c>
      <c r="W1788" s="13">
        <f t="shared" si="3"/>
        <v>1</v>
      </c>
      <c r="X1788" s="13">
        <f>IFERROR(__xludf.DUMMYFUNCTION("COUNTUNIQUE(FILTER($B$2:$B$1826,$A$2:$A$1826=A1788))"),1.0)</f>
        <v>1</v>
      </c>
    </row>
    <row r="1789">
      <c r="A1789" s="13" t="s">
        <v>1751</v>
      </c>
      <c r="B1789" s="13" t="s">
        <v>78</v>
      </c>
      <c r="C1789" s="14">
        <v>32.0</v>
      </c>
      <c r="D1789" s="13" t="s">
        <v>60</v>
      </c>
      <c r="E1789" s="13" t="s">
        <v>61</v>
      </c>
      <c r="F1789" s="13" t="s">
        <v>37</v>
      </c>
      <c r="G1789" s="13" t="s">
        <v>80</v>
      </c>
      <c r="H1789" s="16">
        <v>45427.0</v>
      </c>
      <c r="I1789" s="14">
        <v>2.0</v>
      </c>
      <c r="J1789" s="13" t="s">
        <v>53</v>
      </c>
      <c r="K1789" s="13" t="s">
        <v>81</v>
      </c>
      <c r="L1789" s="14">
        <v>1502.0</v>
      </c>
      <c r="M1789" s="18" t="s">
        <v>99</v>
      </c>
      <c r="N1789" s="18" t="s">
        <v>98</v>
      </c>
      <c r="O1789" s="18">
        <v>28.8</v>
      </c>
      <c r="P1789" s="18" t="s">
        <v>916</v>
      </c>
      <c r="Q1789" s="16">
        <v>45474.0</v>
      </c>
      <c r="R1789" s="16" t="s">
        <v>38</v>
      </c>
      <c r="S1789" s="13" t="s">
        <v>55</v>
      </c>
      <c r="T1789" s="13" t="s">
        <v>47</v>
      </c>
      <c r="U1789" s="13">
        <f t="shared" si="1"/>
        <v>2</v>
      </c>
      <c r="V1789" s="13" t="str">
        <f t="shared" si="2"/>
        <v>C00001|Vikram Patel|32|East|Kolkata|Standard|Organic Search|5/15/2024|2|Quarterly|Debit Card|1,502|4|1|28.80|1.9|7/1/2024||Active|Cloud Storage</v>
      </c>
      <c r="W1789" s="13">
        <f t="shared" si="3"/>
        <v>1</v>
      </c>
      <c r="X1789" s="13">
        <f>IFERROR(__xludf.DUMMYFUNCTION("COUNTUNIQUE(FILTER($B$2:$B$1826,$A$2:$A$1826=A1789))"),2.0)</f>
        <v>2</v>
      </c>
    </row>
    <row r="1790">
      <c r="A1790" s="13" t="s">
        <v>1661</v>
      </c>
      <c r="B1790" s="13" t="s">
        <v>257</v>
      </c>
      <c r="C1790" s="14">
        <v>38.0</v>
      </c>
      <c r="D1790" s="13" t="s">
        <v>85</v>
      </c>
      <c r="E1790" s="13" t="s">
        <v>92</v>
      </c>
      <c r="F1790" s="13" t="s">
        <v>62</v>
      </c>
      <c r="G1790" s="13" t="s">
        <v>210</v>
      </c>
      <c r="H1790" s="16">
        <v>45225.0</v>
      </c>
      <c r="I1790" s="14">
        <v>2.0</v>
      </c>
      <c r="J1790" s="13" t="s">
        <v>40</v>
      </c>
      <c r="K1790" s="13" t="s">
        <v>41</v>
      </c>
      <c r="L1790" s="14">
        <v>899.0</v>
      </c>
      <c r="M1790" s="18" t="s">
        <v>43</v>
      </c>
      <c r="N1790" s="18" t="s">
        <v>46</v>
      </c>
      <c r="O1790" s="18">
        <v>26.8</v>
      </c>
      <c r="P1790" s="18" t="s">
        <v>248</v>
      </c>
      <c r="Q1790" s="16">
        <v>45028.0</v>
      </c>
      <c r="R1790" s="16" t="s">
        <v>38</v>
      </c>
      <c r="S1790" s="13" t="s">
        <v>55</v>
      </c>
      <c r="T1790" s="13" t="s">
        <v>72</v>
      </c>
      <c r="U1790" s="13">
        <f t="shared" si="1"/>
        <v>3</v>
      </c>
      <c r="V1790" s="13" t="str">
        <f t="shared" si="2"/>
        <v>C00754|Sneha Reddy|38|West|Ahmedabad|Basic|Referral|10/26/2023|2|Monthly|Upi|899|2|0|26.80|2.6|4/12/2023||Active|Collaboration</v>
      </c>
      <c r="W1790" s="13">
        <f t="shared" si="3"/>
        <v>1</v>
      </c>
      <c r="X1790" s="13">
        <f>IFERROR(__xludf.DUMMYFUNCTION("COUNTUNIQUE(FILTER($B$2:$B$1826,$A$2:$A$1826=A1790))"),3.0)</f>
        <v>3</v>
      </c>
    </row>
    <row r="1791">
      <c r="A1791" s="13" t="s">
        <v>1382</v>
      </c>
      <c r="B1791" s="13" t="s">
        <v>126</v>
      </c>
      <c r="C1791" s="14">
        <v>40.0</v>
      </c>
      <c r="D1791" s="13" t="s">
        <v>85</v>
      </c>
      <c r="E1791" s="13" t="s">
        <v>292</v>
      </c>
      <c r="F1791" s="13" t="s">
        <v>37</v>
      </c>
      <c r="G1791" s="13" t="s">
        <v>80</v>
      </c>
      <c r="H1791" s="16">
        <v>45661.0</v>
      </c>
      <c r="I1791" s="14">
        <v>38.0</v>
      </c>
      <c r="J1791" s="13" t="s">
        <v>40</v>
      </c>
      <c r="K1791" s="13" t="s">
        <v>81</v>
      </c>
      <c r="L1791" s="14">
        <v>1455.0</v>
      </c>
      <c r="M1791" s="18" t="s">
        <v>164</v>
      </c>
      <c r="N1791" s="18" t="s">
        <v>46</v>
      </c>
      <c r="O1791" s="18">
        <v>28.6</v>
      </c>
      <c r="P1791" s="18" t="s">
        <v>1437</v>
      </c>
      <c r="Q1791" s="16">
        <v>46286.0</v>
      </c>
      <c r="R1791" s="16" t="s">
        <v>38</v>
      </c>
      <c r="S1791" s="13" t="s">
        <v>55</v>
      </c>
      <c r="T1791" s="13" t="s">
        <v>47</v>
      </c>
      <c r="U1791" s="13">
        <f t="shared" si="1"/>
        <v>2</v>
      </c>
      <c r="V1791" s="13" t="str">
        <f t="shared" si="2"/>
        <v>C00365|Arun Patel|40|West|Mumbai|Standard|Organic Search|1/4/2025|38|Monthly|Debit Card|1,455|3|0|28.60|1.2|9/21/2026||Active|Cloud Storage</v>
      </c>
      <c r="W1791" s="13">
        <f t="shared" si="3"/>
        <v>1</v>
      </c>
      <c r="X1791" s="13">
        <f>IFERROR(__xludf.DUMMYFUNCTION("COUNTUNIQUE(FILTER($B$2:$B$1826,$A$2:$A$1826=A1791))"),2.0)</f>
        <v>2</v>
      </c>
    </row>
    <row r="1792">
      <c r="A1792" s="13" t="s">
        <v>2182</v>
      </c>
      <c r="B1792" s="13" t="s">
        <v>176</v>
      </c>
      <c r="C1792" s="14">
        <v>55.0</v>
      </c>
      <c r="D1792" s="13" t="s">
        <v>60</v>
      </c>
      <c r="E1792" s="13" t="s">
        <v>133</v>
      </c>
      <c r="F1792" s="13" t="s">
        <v>62</v>
      </c>
      <c r="G1792" s="13" t="s">
        <v>39</v>
      </c>
      <c r="H1792" s="16">
        <v>45332.0</v>
      </c>
      <c r="I1792" s="14">
        <v>20.0</v>
      </c>
      <c r="J1792" s="13" t="s">
        <v>40</v>
      </c>
      <c r="K1792" s="13" t="s">
        <v>81</v>
      </c>
      <c r="L1792" s="14">
        <v>535.0</v>
      </c>
      <c r="M1792" s="18" t="s">
        <v>43</v>
      </c>
      <c r="N1792" s="18" t="s">
        <v>46</v>
      </c>
      <c r="O1792" s="18">
        <v>9.7</v>
      </c>
      <c r="P1792" s="18" t="s">
        <v>263</v>
      </c>
      <c r="Q1792" s="16">
        <v>45597.0</v>
      </c>
      <c r="R1792" s="16" t="s">
        <v>38</v>
      </c>
      <c r="S1792" s="13" t="s">
        <v>55</v>
      </c>
      <c r="T1792" s="13" t="s">
        <v>75</v>
      </c>
      <c r="U1792" s="13">
        <f t="shared" si="1"/>
        <v>1</v>
      </c>
      <c r="V1792" s="13" t="str">
        <f t="shared" si="2"/>
        <v>C01104|Ravi Iyer|55|East|Guwahati|Basic|Instagram|2/10/2024|20|Monthly|Debit Card|535|2|0|9.70|2.9|11/1/2024||Active|Security</v>
      </c>
      <c r="W1792" s="13">
        <f t="shared" si="3"/>
        <v>1</v>
      </c>
      <c r="X1792" s="13">
        <f>IFERROR(__xludf.DUMMYFUNCTION("COUNTUNIQUE(FILTER($B$2:$B$1826,$A$2:$A$1826=A1792))"),1.0)</f>
        <v>1</v>
      </c>
    </row>
    <row r="1793">
      <c r="A1793" s="13" t="s">
        <v>2145</v>
      </c>
      <c r="B1793" s="13" t="s">
        <v>383</v>
      </c>
      <c r="C1793" s="14">
        <v>54.0</v>
      </c>
      <c r="D1793" s="13" t="s">
        <v>35</v>
      </c>
      <c r="E1793" s="13" t="s">
        <v>140</v>
      </c>
      <c r="F1793" s="13" t="s">
        <v>62</v>
      </c>
      <c r="G1793" s="13" t="s">
        <v>80</v>
      </c>
      <c r="H1793" s="16">
        <v>45280.0</v>
      </c>
      <c r="I1793" s="14">
        <v>15.0</v>
      </c>
      <c r="J1793" s="13" t="s">
        <v>64</v>
      </c>
      <c r="K1793" s="13" t="s">
        <v>65</v>
      </c>
      <c r="L1793" s="14">
        <v>542.0</v>
      </c>
      <c r="M1793" s="18" t="s">
        <v>99</v>
      </c>
      <c r="N1793" s="18" t="s">
        <v>46</v>
      </c>
      <c r="O1793" s="18">
        <v>9.3</v>
      </c>
      <c r="P1793" s="18" t="s">
        <v>123</v>
      </c>
      <c r="Q1793" s="16">
        <v>45330.0</v>
      </c>
      <c r="R1793" s="16" t="s">
        <v>38</v>
      </c>
      <c r="S1793" s="13" t="s">
        <v>55</v>
      </c>
      <c r="T1793" s="13" t="s">
        <v>66</v>
      </c>
      <c r="U1793" s="13">
        <f t="shared" si="1"/>
        <v>2</v>
      </c>
      <c r="V1793" s="13" t="str">
        <f t="shared" si="2"/>
        <v>C01146|Rahul Nair|54|North|Lucknow|Basic|Organic Search|12/20/2023|15|Annual|Credit Card|542|4|0|9.30|4.1|2/8/2024||Active|Automation</v>
      </c>
      <c r="W1793" s="13">
        <f t="shared" si="3"/>
        <v>1</v>
      </c>
      <c r="X1793" s="13">
        <f>IFERROR(__xludf.DUMMYFUNCTION("COUNTUNIQUE(FILTER($B$2:$B$1826,$A$2:$A$1826=A1793))"),2.0)</f>
        <v>2</v>
      </c>
    </row>
    <row r="1794">
      <c r="A1794" s="13" t="s">
        <v>2183</v>
      </c>
      <c r="B1794" s="13" t="s">
        <v>476</v>
      </c>
      <c r="C1794" s="14">
        <v>67.0</v>
      </c>
      <c r="D1794" s="13" t="s">
        <v>35</v>
      </c>
      <c r="E1794" s="13" t="s">
        <v>51</v>
      </c>
      <c r="F1794" s="13" t="s">
        <v>62</v>
      </c>
      <c r="G1794" s="13" t="s">
        <v>210</v>
      </c>
      <c r="H1794" s="16">
        <v>45878.0</v>
      </c>
      <c r="I1794" s="14">
        <v>33.0</v>
      </c>
      <c r="J1794" s="13" t="s">
        <v>53</v>
      </c>
      <c r="K1794" s="13" t="s">
        <v>41</v>
      </c>
      <c r="L1794" s="14">
        <v>574.0</v>
      </c>
      <c r="M1794" s="18" t="s">
        <v>173</v>
      </c>
      <c r="N1794" s="18" t="s">
        <v>46</v>
      </c>
      <c r="O1794" s="18">
        <v>11.8</v>
      </c>
      <c r="P1794" s="18" t="s">
        <v>173</v>
      </c>
      <c r="Q1794" s="16">
        <v>46358.0</v>
      </c>
      <c r="R1794" s="16">
        <v>46031.0</v>
      </c>
      <c r="S1794" s="13" t="s">
        <v>45</v>
      </c>
      <c r="T1794" s="13" t="s">
        <v>47</v>
      </c>
      <c r="U1794" s="13">
        <f t="shared" si="1"/>
        <v>1</v>
      </c>
      <c r="V1794" s="13" t="str">
        <f t="shared" si="2"/>
        <v>C00683|Ravi Das|67|North|Jaipur|Basic|Referral|8/9/2025|33|Quarterly|Upi|574|5|0|11.80|5|12/2/2026|1/9/2026|Churned|Cloud Storage</v>
      </c>
      <c r="W1794" s="13">
        <f t="shared" si="3"/>
        <v>1</v>
      </c>
      <c r="X1794" s="13">
        <f>IFERROR(__xludf.DUMMYFUNCTION("COUNTUNIQUE(FILTER($B$2:$B$1826,$A$2:$A$1826=A1794))"),1.0)</f>
        <v>1</v>
      </c>
    </row>
    <row r="1795">
      <c r="A1795" s="13" t="s">
        <v>815</v>
      </c>
      <c r="B1795" s="13" t="s">
        <v>232</v>
      </c>
      <c r="C1795" s="14">
        <v>44.0</v>
      </c>
      <c r="D1795" s="13" t="s">
        <v>60</v>
      </c>
      <c r="E1795" s="13" t="s">
        <v>133</v>
      </c>
      <c r="F1795" s="13" t="s">
        <v>62</v>
      </c>
      <c r="G1795" s="13" t="s">
        <v>39</v>
      </c>
      <c r="H1795" s="16">
        <v>45427.0</v>
      </c>
      <c r="I1795" s="14">
        <v>14.0</v>
      </c>
      <c r="J1795" s="13" t="s">
        <v>64</v>
      </c>
      <c r="K1795" s="13" t="s">
        <v>81</v>
      </c>
      <c r="L1795" s="14">
        <v>847.0</v>
      </c>
      <c r="M1795" s="18" t="s">
        <v>43</v>
      </c>
      <c r="N1795" s="18" t="s">
        <v>46</v>
      </c>
      <c r="O1795" s="18">
        <v>14.2</v>
      </c>
      <c r="P1795" s="18" t="s">
        <v>173</v>
      </c>
      <c r="Q1795" s="16">
        <v>45758.0</v>
      </c>
      <c r="R1795" s="16" t="s">
        <v>38</v>
      </c>
      <c r="S1795" s="13" t="s">
        <v>55</v>
      </c>
      <c r="T1795" s="13" t="s">
        <v>75</v>
      </c>
      <c r="U1795" s="13">
        <f t="shared" si="1"/>
        <v>3</v>
      </c>
      <c r="V1795" s="13" t="str">
        <f t="shared" si="2"/>
        <v>C00794|Meera Iyer|44|East|Guwahati|Basic|Instagram|5/15/2024|14|Annual|Debit Card|847|2|0|14.20|5|4/11/2025||Active|Security</v>
      </c>
      <c r="W1795" s="13">
        <f t="shared" si="3"/>
        <v>1</v>
      </c>
      <c r="X1795" s="13">
        <f>IFERROR(__xludf.DUMMYFUNCTION("COUNTUNIQUE(FILTER($B$2:$B$1826,$A$2:$A$1826=A1795))"),3.0)</f>
        <v>3</v>
      </c>
    </row>
    <row r="1796">
      <c r="A1796" s="13" t="s">
        <v>1754</v>
      </c>
      <c r="B1796" s="13" t="s">
        <v>639</v>
      </c>
      <c r="C1796" s="14">
        <v>64.0</v>
      </c>
      <c r="D1796" s="13" t="s">
        <v>69</v>
      </c>
      <c r="E1796" s="13" t="s">
        <v>187</v>
      </c>
      <c r="F1796" s="13" t="s">
        <v>62</v>
      </c>
      <c r="G1796" s="13" t="s">
        <v>63</v>
      </c>
      <c r="H1796" s="16">
        <v>45942.0</v>
      </c>
      <c r="I1796" s="14">
        <v>10.0</v>
      </c>
      <c r="J1796" s="13" t="s">
        <v>64</v>
      </c>
      <c r="K1796" s="13" t="s">
        <v>41</v>
      </c>
      <c r="L1796" s="14">
        <v>688.0</v>
      </c>
      <c r="M1796" s="18" t="s">
        <v>46</v>
      </c>
      <c r="N1796" s="18" t="s">
        <v>46</v>
      </c>
      <c r="O1796" s="18">
        <v>9.1</v>
      </c>
      <c r="P1796" s="18" t="s">
        <v>123</v>
      </c>
      <c r="Q1796" s="16">
        <v>46167.0</v>
      </c>
      <c r="R1796" s="16" t="s">
        <v>38</v>
      </c>
      <c r="S1796" s="13" t="s">
        <v>55</v>
      </c>
      <c r="T1796" s="13" t="s">
        <v>75</v>
      </c>
      <c r="U1796" s="13">
        <f t="shared" si="1"/>
        <v>2</v>
      </c>
      <c r="V1796" s="13" t="str">
        <f t="shared" si="2"/>
        <v>C01531|Priya Nair|64|South|Chennai|Basic|Google Ads|10/12/2025|10|Annual|Upi|688|0|0|9.10|4.1|5/25/2026||Active|Security</v>
      </c>
      <c r="W1796" s="13">
        <f t="shared" si="3"/>
        <v>1</v>
      </c>
      <c r="X1796" s="13">
        <f>IFERROR(__xludf.DUMMYFUNCTION("COUNTUNIQUE(FILTER($B$2:$B$1826,$A$2:$A$1826=A1796))"),2.0)</f>
        <v>2</v>
      </c>
    </row>
    <row r="1797">
      <c r="A1797" s="13" t="s">
        <v>727</v>
      </c>
      <c r="B1797" s="13" t="s">
        <v>50</v>
      </c>
      <c r="C1797" s="14">
        <v>34.0</v>
      </c>
      <c r="D1797" s="13" t="s">
        <v>35</v>
      </c>
      <c r="E1797" s="13" t="s">
        <v>140</v>
      </c>
      <c r="F1797" s="13" t="s">
        <v>62</v>
      </c>
      <c r="G1797" s="13" t="s">
        <v>128</v>
      </c>
      <c r="H1797" s="16">
        <v>45293.0</v>
      </c>
      <c r="I1797" s="14">
        <v>30.0</v>
      </c>
      <c r="J1797" s="13" t="s">
        <v>53</v>
      </c>
      <c r="K1797" s="13" t="s">
        <v>65</v>
      </c>
      <c r="L1797" s="14">
        <v>718.0</v>
      </c>
      <c r="M1797" s="18" t="s">
        <v>46</v>
      </c>
      <c r="N1797" s="18" t="s">
        <v>46</v>
      </c>
      <c r="O1797" s="18">
        <v>21.1</v>
      </c>
      <c r="P1797" s="18" t="s">
        <v>233</v>
      </c>
      <c r="Q1797" s="16">
        <v>45726.0</v>
      </c>
      <c r="R1797" s="16" t="s">
        <v>38</v>
      </c>
      <c r="S1797" s="13" t="s">
        <v>55</v>
      </c>
      <c r="T1797" s="13" t="s">
        <v>66</v>
      </c>
      <c r="U1797" s="13">
        <f t="shared" si="1"/>
        <v>3</v>
      </c>
      <c r="V1797" s="13" t="str">
        <f t="shared" si="2"/>
        <v>C00451|Rahul Das|34|North|Lucknow|Basic|Youtube|1/2/2024|30|Quarterly|Credit Card|718|0|0|21.10|3.5|3/10/2025||Active|Automation</v>
      </c>
      <c r="W1797" s="13">
        <f t="shared" si="3"/>
        <v>1</v>
      </c>
      <c r="X1797" s="13">
        <f>IFERROR(__xludf.DUMMYFUNCTION("COUNTUNIQUE(FILTER($B$2:$B$1826,$A$2:$A$1826=A1797))"),3.0)</f>
        <v>3</v>
      </c>
    </row>
    <row r="1798">
      <c r="A1798" s="13" t="s">
        <v>901</v>
      </c>
      <c r="B1798" s="13" t="s">
        <v>184</v>
      </c>
      <c r="C1798" s="14">
        <v>27.0</v>
      </c>
      <c r="D1798" s="13" t="s">
        <v>35</v>
      </c>
      <c r="E1798" s="13" t="s">
        <v>140</v>
      </c>
      <c r="F1798" s="13" t="s">
        <v>62</v>
      </c>
      <c r="G1798" s="13" t="s">
        <v>210</v>
      </c>
      <c r="H1798" s="16">
        <v>45577.0</v>
      </c>
      <c r="I1798" s="14">
        <v>24.0</v>
      </c>
      <c r="J1798" s="13" t="s">
        <v>64</v>
      </c>
      <c r="K1798" s="13" t="s">
        <v>65</v>
      </c>
      <c r="L1798" s="14">
        <v>1292.0</v>
      </c>
      <c r="M1798" s="18" t="s">
        <v>46</v>
      </c>
      <c r="N1798" s="18" t="s">
        <v>46</v>
      </c>
      <c r="O1798" s="18">
        <v>19.3</v>
      </c>
      <c r="P1798" s="18" t="s">
        <v>173</v>
      </c>
      <c r="Q1798" s="16">
        <v>45832.0</v>
      </c>
      <c r="R1798" s="16" t="s">
        <v>38</v>
      </c>
      <c r="S1798" s="13" t="s">
        <v>55</v>
      </c>
      <c r="T1798" s="13" t="s">
        <v>47</v>
      </c>
      <c r="U1798" s="13">
        <f t="shared" si="1"/>
        <v>4</v>
      </c>
      <c r="V1798" s="13" t="str">
        <f t="shared" si="2"/>
        <v>C00642|Vikram Reddy|27|North|Lucknow|Basic|Referral|10/12/2024|24|Annual|Credit Card|1,292|0|0|19.30|5|6/24/2025||Active|Cloud Storage</v>
      </c>
      <c r="W1798" s="13">
        <f t="shared" si="3"/>
        <v>1</v>
      </c>
      <c r="X1798" s="13">
        <f>IFERROR(__xludf.DUMMYFUNCTION("COUNTUNIQUE(FILTER($B$2:$B$1826,$A$2:$A$1826=A1798))"),4.0)</f>
        <v>4</v>
      </c>
    </row>
    <row r="1799">
      <c r="A1799" s="13" t="s">
        <v>1159</v>
      </c>
      <c r="B1799" s="13" t="s">
        <v>152</v>
      </c>
      <c r="C1799" s="14">
        <v>35.0</v>
      </c>
      <c r="D1799" s="13" t="s">
        <v>85</v>
      </c>
      <c r="E1799" s="13" t="s">
        <v>92</v>
      </c>
      <c r="F1799" s="13" t="s">
        <v>79</v>
      </c>
      <c r="G1799" s="13" t="s">
        <v>128</v>
      </c>
      <c r="H1799" s="16">
        <v>44618.0</v>
      </c>
      <c r="I1799" s="14">
        <v>16.0</v>
      </c>
      <c r="J1799" s="13" t="s">
        <v>40</v>
      </c>
      <c r="K1799" s="13" t="s">
        <v>41</v>
      </c>
      <c r="L1799" s="14">
        <v>3140.0</v>
      </c>
      <c r="M1799" s="18" t="s">
        <v>98</v>
      </c>
      <c r="N1799" s="18" t="s">
        <v>43</v>
      </c>
      <c r="O1799" s="18">
        <v>34.1</v>
      </c>
      <c r="P1799" s="18" t="s">
        <v>518</v>
      </c>
      <c r="Q1799" s="16">
        <v>44871.0</v>
      </c>
      <c r="R1799" s="16" t="s">
        <v>38</v>
      </c>
      <c r="S1799" s="13" t="s">
        <v>55</v>
      </c>
      <c r="T1799" s="13" t="s">
        <v>75</v>
      </c>
      <c r="U1799" s="13">
        <f t="shared" si="1"/>
        <v>2</v>
      </c>
      <c r="V1799" s="13" t="str">
        <f t="shared" si="2"/>
        <v>C00914|Vikram Kumar|35|West|Ahmedabad|Premium|Youtube|2/26/2022|16|Monthly|Upi|3,140|1|2|34.10|1.7|11/6/2022||Active|Security</v>
      </c>
      <c r="W1799" s="13">
        <f t="shared" si="3"/>
        <v>1</v>
      </c>
      <c r="X1799" s="13">
        <f>IFERROR(__xludf.DUMMYFUNCTION("COUNTUNIQUE(FILTER($B$2:$B$1826,$A$2:$A$1826=A1799))"),2.0)</f>
        <v>2</v>
      </c>
    </row>
    <row r="1800">
      <c r="A1800" s="13" t="s">
        <v>2125</v>
      </c>
      <c r="B1800" s="13" t="s">
        <v>362</v>
      </c>
      <c r="C1800" s="14">
        <v>22.0</v>
      </c>
      <c r="D1800" s="13" t="s">
        <v>85</v>
      </c>
      <c r="E1800" s="13" t="s">
        <v>92</v>
      </c>
      <c r="F1800" s="13" t="s">
        <v>62</v>
      </c>
      <c r="G1800" s="13" t="s">
        <v>80</v>
      </c>
      <c r="H1800" s="16">
        <v>45473.0</v>
      </c>
      <c r="I1800" s="14">
        <v>23.0</v>
      </c>
      <c r="J1800" s="13" t="s">
        <v>64</v>
      </c>
      <c r="K1800" s="13" t="s">
        <v>81</v>
      </c>
      <c r="L1800" s="14">
        <v>544.0</v>
      </c>
      <c r="M1800" s="18" t="s">
        <v>99</v>
      </c>
      <c r="N1800" s="18" t="s">
        <v>99</v>
      </c>
      <c r="O1800" s="18">
        <v>11.5</v>
      </c>
      <c r="P1800" s="18" t="s">
        <v>48</v>
      </c>
      <c r="Q1800" s="16">
        <v>45965.0</v>
      </c>
      <c r="R1800" s="16" t="s">
        <v>38</v>
      </c>
      <c r="S1800" s="13" t="s">
        <v>55</v>
      </c>
      <c r="T1800" s="13" t="s">
        <v>104</v>
      </c>
      <c r="U1800" s="13">
        <f t="shared" si="1"/>
        <v>2</v>
      </c>
      <c r="V1800" s="13" t="str">
        <f t="shared" si="2"/>
        <v>C00863|Neha Singh|22|West|Ahmedabad|Basic|Organic Search|6/30/2024|23|Annual|Debit Card|544|4|4|11.50|3.6|11/4/2025||Active|Analytics</v>
      </c>
      <c r="W1800" s="13">
        <f t="shared" si="3"/>
        <v>1</v>
      </c>
      <c r="X1800" s="13">
        <f>IFERROR(__xludf.DUMMYFUNCTION("COUNTUNIQUE(FILTER($B$2:$B$1826,$A$2:$A$1826=A1800))"),2.0)</f>
        <v>2</v>
      </c>
    </row>
    <row r="1801">
      <c r="A1801" s="13" t="s">
        <v>2185</v>
      </c>
      <c r="B1801" s="13" t="s">
        <v>420</v>
      </c>
      <c r="C1801" s="14">
        <v>40.0</v>
      </c>
      <c r="D1801" s="13" t="s">
        <v>35</v>
      </c>
      <c r="E1801" s="13" t="s">
        <v>161</v>
      </c>
      <c r="F1801" s="13" t="s">
        <v>37</v>
      </c>
      <c r="G1801" s="13" t="s">
        <v>128</v>
      </c>
      <c r="H1801" s="16">
        <v>45399.0</v>
      </c>
      <c r="I1801" s="14">
        <v>24.0</v>
      </c>
      <c r="J1801" s="13" t="s">
        <v>40</v>
      </c>
      <c r="K1801" s="13" t="s">
        <v>81</v>
      </c>
      <c r="L1801" s="14">
        <v>1517.0</v>
      </c>
      <c r="M1801" s="18" t="s">
        <v>98</v>
      </c>
      <c r="N1801" s="18" t="s">
        <v>98</v>
      </c>
      <c r="O1801" s="18">
        <v>22.1</v>
      </c>
      <c r="P1801" s="18" t="s">
        <v>150</v>
      </c>
      <c r="Q1801" s="16">
        <v>45656.0</v>
      </c>
      <c r="R1801" s="16" t="s">
        <v>38</v>
      </c>
      <c r="S1801" s="13" t="s">
        <v>55</v>
      </c>
      <c r="T1801" s="13" t="s">
        <v>72</v>
      </c>
      <c r="U1801" s="13">
        <f t="shared" si="1"/>
        <v>1</v>
      </c>
      <c r="V1801" s="13" t="str">
        <f t="shared" si="2"/>
        <v>C00067|Vikram Iyer|40|North|Chandigarh|Standard|Youtube|4/17/2024|24|Monthly|Debit Card|1,517|1|1|22.10|4.5|12/30/2024||Active|Collaboration</v>
      </c>
      <c r="W1801" s="13">
        <f t="shared" si="3"/>
        <v>1</v>
      </c>
      <c r="X1801" s="13">
        <f>IFERROR(__xludf.DUMMYFUNCTION("COUNTUNIQUE(FILTER($B$2:$B$1826,$A$2:$A$1826=A1801))"),1.0)</f>
        <v>1</v>
      </c>
    </row>
    <row r="1802">
      <c r="A1802" s="13" t="s">
        <v>231</v>
      </c>
      <c r="B1802" s="13" t="s">
        <v>106</v>
      </c>
      <c r="C1802" s="14">
        <v>57.0</v>
      </c>
      <c r="D1802" s="13" t="s">
        <v>85</v>
      </c>
      <c r="E1802" s="13" t="s">
        <v>92</v>
      </c>
      <c r="F1802" s="13" t="s">
        <v>37</v>
      </c>
      <c r="G1802" s="13" t="s">
        <v>80</v>
      </c>
      <c r="H1802" s="16">
        <v>44994.0</v>
      </c>
      <c r="I1802" s="14">
        <v>19.0</v>
      </c>
      <c r="J1802" s="13" t="s">
        <v>64</v>
      </c>
      <c r="K1802" s="13" t="s">
        <v>65</v>
      </c>
      <c r="L1802" s="14">
        <v>1779.0</v>
      </c>
      <c r="M1802" s="18" t="s">
        <v>99</v>
      </c>
      <c r="N1802" s="18" t="s">
        <v>164</v>
      </c>
      <c r="O1802" s="18">
        <v>16.9</v>
      </c>
      <c r="P1802" s="18" t="s">
        <v>48</v>
      </c>
      <c r="Q1802" s="16">
        <v>45411.0</v>
      </c>
      <c r="R1802" s="16" t="s">
        <v>2026</v>
      </c>
      <c r="S1802" s="13" t="s">
        <v>45</v>
      </c>
      <c r="T1802" s="13" t="s">
        <v>47</v>
      </c>
      <c r="U1802" s="13">
        <f t="shared" si="1"/>
        <v>3</v>
      </c>
      <c r="V1802" s="13" t="str">
        <f t="shared" si="2"/>
        <v>C00248|Rahul Patel|57|West|Ahmedabad|Standard|Organic Search|3/9/2023|19|Annual|Credit Card|1,779|4|3|16.90|3.6|4/29/2024|27/05/2024|Churned|Cloud Storage</v>
      </c>
      <c r="W1802" s="13">
        <f t="shared" si="3"/>
        <v>2</v>
      </c>
      <c r="X1802" s="13">
        <f>IFERROR(__xludf.DUMMYFUNCTION("COUNTUNIQUE(FILTER($B$2:$B$1826,$A$2:$A$1826=A1802))"),2.0)</f>
        <v>2</v>
      </c>
    </row>
    <row r="1803">
      <c r="A1803" s="13" t="s">
        <v>530</v>
      </c>
      <c r="B1803" s="13" t="s">
        <v>229</v>
      </c>
      <c r="C1803" s="14">
        <v>33.0</v>
      </c>
      <c r="D1803" s="13" t="s">
        <v>85</v>
      </c>
      <c r="E1803" s="13" t="s">
        <v>87</v>
      </c>
      <c r="F1803" s="13" t="s">
        <v>37</v>
      </c>
      <c r="G1803" s="13" t="s">
        <v>80</v>
      </c>
      <c r="H1803" s="16">
        <v>45642.0</v>
      </c>
      <c r="I1803" s="14">
        <v>16.0</v>
      </c>
      <c r="J1803" s="13" t="s">
        <v>40</v>
      </c>
      <c r="K1803" s="13" t="s">
        <v>65</v>
      </c>
      <c r="L1803" s="14">
        <v>1500.0</v>
      </c>
      <c r="M1803" s="18" t="s">
        <v>46</v>
      </c>
      <c r="N1803" s="18" t="s">
        <v>46</v>
      </c>
      <c r="O1803" s="18">
        <v>32.5</v>
      </c>
      <c r="P1803" s="18" t="s">
        <v>456</v>
      </c>
      <c r="Q1803" s="16">
        <v>45795.0</v>
      </c>
      <c r="R1803" s="16" t="s">
        <v>38</v>
      </c>
      <c r="S1803" s="13" t="s">
        <v>55</v>
      </c>
      <c r="T1803" s="13" t="s">
        <v>72</v>
      </c>
      <c r="U1803" s="13">
        <f t="shared" si="1"/>
        <v>2</v>
      </c>
      <c r="V1803" s="13" t="str">
        <f t="shared" si="2"/>
        <v>C01543|Anita Nair|33|West|Surat|Standard|Organic Search|12/16/2024|16|Monthly|Credit Card|1,500|0|0|32.50|2.5|5/18/2025||Active|Collaboration</v>
      </c>
      <c r="W1803" s="13">
        <f t="shared" si="3"/>
        <v>2</v>
      </c>
      <c r="X1803" s="13">
        <f>IFERROR(__xludf.DUMMYFUNCTION("COUNTUNIQUE(FILTER($B$2:$B$1826,$A$2:$A$1826=A1803))"),1.0)</f>
        <v>1</v>
      </c>
    </row>
    <row r="1804">
      <c r="A1804" s="13" t="s">
        <v>1507</v>
      </c>
      <c r="B1804" s="13" t="s">
        <v>362</v>
      </c>
      <c r="C1804" s="14" t="s">
        <v>38</v>
      </c>
      <c r="D1804" s="13" t="s">
        <v>69</v>
      </c>
      <c r="E1804" s="13" t="s">
        <v>119</v>
      </c>
      <c r="F1804" s="13" t="s">
        <v>62</v>
      </c>
      <c r="G1804" s="13" t="s">
        <v>52</v>
      </c>
      <c r="H1804" s="16">
        <v>44710.0</v>
      </c>
      <c r="I1804" s="14">
        <v>7.0</v>
      </c>
      <c r="J1804" s="13" t="s">
        <v>53</v>
      </c>
      <c r="K1804" s="13" t="s">
        <v>41</v>
      </c>
      <c r="L1804" s="14">
        <v>779.0</v>
      </c>
      <c r="M1804" s="18" t="s">
        <v>164</v>
      </c>
      <c r="N1804" s="18" t="s">
        <v>46</v>
      </c>
      <c r="O1804" s="18">
        <v>16.7</v>
      </c>
      <c r="P1804" s="18" t="s">
        <v>263</v>
      </c>
      <c r="Q1804" s="16">
        <v>44754.0</v>
      </c>
      <c r="R1804" s="16" t="s">
        <v>38</v>
      </c>
      <c r="S1804" s="13" t="s">
        <v>55</v>
      </c>
      <c r="T1804" s="13" t="s">
        <v>104</v>
      </c>
      <c r="U1804" s="13">
        <f t="shared" si="1"/>
        <v>3</v>
      </c>
      <c r="V1804" s="13" t="str">
        <f t="shared" si="2"/>
        <v>C00090|Neha Singh||South|Kochi|Basic|Facebook|5/29/2022|7|Quarterly|Upi|779|3|0|16.70|2.9|7/12/2022||Active|Analytics</v>
      </c>
      <c r="W1804" s="13">
        <f t="shared" si="3"/>
        <v>1</v>
      </c>
      <c r="X1804" s="13">
        <f>IFERROR(__xludf.DUMMYFUNCTION("COUNTUNIQUE(FILTER($B$2:$B$1826,$A$2:$A$1826=A1804))"),2.0)</f>
        <v>2</v>
      </c>
    </row>
    <row r="1805">
      <c r="A1805" s="13" t="s">
        <v>525</v>
      </c>
      <c r="B1805" s="13" t="s">
        <v>68</v>
      </c>
      <c r="C1805" s="14">
        <v>38.0</v>
      </c>
      <c r="D1805" s="13" t="s">
        <v>69</v>
      </c>
      <c r="E1805" s="13" t="s">
        <v>70</v>
      </c>
      <c r="F1805" s="13" t="s">
        <v>62</v>
      </c>
      <c r="G1805" s="13" t="s">
        <v>63</v>
      </c>
      <c r="H1805" s="16">
        <v>44701.0</v>
      </c>
      <c r="I1805" s="14">
        <v>32.0</v>
      </c>
      <c r="J1805" s="13" t="s">
        <v>64</v>
      </c>
      <c r="K1805" s="13" t="s">
        <v>81</v>
      </c>
      <c r="L1805" s="14">
        <v>590.0</v>
      </c>
      <c r="M1805" s="18" t="s">
        <v>164</v>
      </c>
      <c r="N1805" s="18" t="s">
        <v>98</v>
      </c>
      <c r="O1805" s="18">
        <v>10.7</v>
      </c>
      <c r="P1805" s="18" t="s">
        <v>173</v>
      </c>
      <c r="Q1805" s="16">
        <v>45406.0</v>
      </c>
      <c r="R1805" s="16" t="s">
        <v>38</v>
      </c>
      <c r="S1805" s="13" t="s">
        <v>55</v>
      </c>
      <c r="T1805" s="13" t="s">
        <v>104</v>
      </c>
      <c r="U1805" s="13">
        <f t="shared" si="1"/>
        <v>2</v>
      </c>
      <c r="V1805" s="13" t="str">
        <f t="shared" si="2"/>
        <v>C01287|Anita Patel|38|South|Bengaluru|Basic|Google Ads|5/20/2022|32|Annual|Debit Card|590|3|1|10.70|5|4/24/2024||Active|Analytics</v>
      </c>
      <c r="W1805" s="13">
        <f t="shared" si="3"/>
        <v>2</v>
      </c>
      <c r="X1805" s="13">
        <f>IFERROR(__xludf.DUMMYFUNCTION("COUNTUNIQUE(FILTER($B$2:$B$1826,$A$2:$A$1826=A1805))"),1.0)</f>
        <v>1</v>
      </c>
    </row>
    <row r="1806">
      <c r="A1806" s="13" t="s">
        <v>523</v>
      </c>
      <c r="B1806" s="13" t="s">
        <v>333</v>
      </c>
      <c r="C1806" s="14">
        <v>45.0</v>
      </c>
      <c r="D1806" s="13" t="s">
        <v>69</v>
      </c>
      <c r="E1806" s="13" t="s">
        <v>187</v>
      </c>
      <c r="F1806" s="13" t="s">
        <v>37</v>
      </c>
      <c r="G1806" s="13" t="s">
        <v>39</v>
      </c>
      <c r="H1806" s="16">
        <v>44565.0</v>
      </c>
      <c r="I1806" s="14">
        <v>8.0</v>
      </c>
      <c r="J1806" s="13" t="s">
        <v>40</v>
      </c>
      <c r="K1806" s="13" t="s">
        <v>65</v>
      </c>
      <c r="L1806" s="14">
        <v>1119.0</v>
      </c>
      <c r="M1806" s="18" t="s">
        <v>46</v>
      </c>
      <c r="N1806" s="18" t="s">
        <v>46</v>
      </c>
      <c r="O1806" s="18">
        <v>15.2</v>
      </c>
      <c r="P1806" s="18" t="s">
        <v>164</v>
      </c>
      <c r="Q1806" s="16">
        <v>44792.0</v>
      </c>
      <c r="R1806" s="16" t="s">
        <v>38</v>
      </c>
      <c r="S1806" s="13" t="s">
        <v>55</v>
      </c>
      <c r="T1806" s="13" t="s">
        <v>72</v>
      </c>
      <c r="U1806" s="13">
        <f t="shared" si="1"/>
        <v>3</v>
      </c>
      <c r="V1806" s="13" t="str">
        <f t="shared" si="2"/>
        <v>C01009|Neha Das|45|South|Chennai|Standard|Instagram|1/4/2022|8|Monthly|Credit Card|1,119|0|0|15.20|3|8/19/2022||Active|Collaboration</v>
      </c>
      <c r="W1806" s="13">
        <f t="shared" si="3"/>
        <v>2</v>
      </c>
      <c r="X1806" s="13">
        <f>IFERROR(__xludf.DUMMYFUNCTION("COUNTUNIQUE(FILTER($B$2:$B$1826,$A$2:$A$1826=A1806))"),2.0)</f>
        <v>2</v>
      </c>
    </row>
    <row r="1807">
      <c r="A1807" s="13" t="s">
        <v>540</v>
      </c>
      <c r="B1807" s="13" t="s">
        <v>206</v>
      </c>
      <c r="C1807" s="14">
        <v>54.0</v>
      </c>
      <c r="D1807" s="13" t="s">
        <v>85</v>
      </c>
      <c r="E1807" s="13" t="s">
        <v>92</v>
      </c>
      <c r="F1807" s="13" t="s">
        <v>37</v>
      </c>
      <c r="G1807" s="13" t="s">
        <v>80</v>
      </c>
      <c r="H1807" s="16">
        <v>45452.0</v>
      </c>
      <c r="I1807" s="14">
        <v>24.0</v>
      </c>
      <c r="J1807" s="13" t="s">
        <v>53</v>
      </c>
      <c r="K1807" s="13" t="s">
        <v>65</v>
      </c>
      <c r="L1807" s="14">
        <v>1290.0</v>
      </c>
      <c r="M1807" s="18" t="s">
        <v>98</v>
      </c>
      <c r="N1807" s="18" t="s">
        <v>46</v>
      </c>
      <c r="O1807" s="18">
        <v>19.9</v>
      </c>
      <c r="P1807" s="18" t="s">
        <v>225</v>
      </c>
      <c r="Q1807" s="16">
        <v>46037.0</v>
      </c>
      <c r="R1807" s="16">
        <v>45778.0</v>
      </c>
      <c r="S1807" s="13" t="s">
        <v>45</v>
      </c>
      <c r="T1807" s="13" t="s">
        <v>104</v>
      </c>
      <c r="U1807" s="13">
        <f t="shared" si="1"/>
        <v>4</v>
      </c>
      <c r="V1807" s="13" t="str">
        <f t="shared" si="2"/>
        <v>C00781|Karan Patel|54|West|Ahmedabad|Standard|Organic Search|6/9/2024|24|Quarterly|Credit Card|1,290|1|0|19.90|3.8|1/15/2026|5/1/2025|Churned|Analytics</v>
      </c>
      <c r="W1807" s="13">
        <f t="shared" si="3"/>
        <v>2</v>
      </c>
      <c r="X1807" s="13">
        <f>IFERROR(__xludf.DUMMYFUNCTION("COUNTUNIQUE(FILTER($B$2:$B$1826,$A$2:$A$1826=A1807))"),3.0)</f>
        <v>3</v>
      </c>
    </row>
    <row r="1808">
      <c r="A1808" s="13" t="s">
        <v>1623</v>
      </c>
      <c r="B1808" s="13" t="s">
        <v>340</v>
      </c>
      <c r="C1808" s="14">
        <v>66.0</v>
      </c>
      <c r="D1808" s="13" t="s">
        <v>85</v>
      </c>
      <c r="E1808" s="13" t="s">
        <v>87</v>
      </c>
      <c r="F1808" s="13" t="s">
        <v>62</v>
      </c>
      <c r="G1808" s="13" t="s">
        <v>80</v>
      </c>
      <c r="H1808" s="16">
        <v>45386.0</v>
      </c>
      <c r="I1808" s="14">
        <v>14.0</v>
      </c>
      <c r="J1808" s="13" t="s">
        <v>40</v>
      </c>
      <c r="K1808" s="13" t="s">
        <v>81</v>
      </c>
      <c r="L1808" s="14">
        <v>816.0</v>
      </c>
      <c r="M1808" s="18" t="s">
        <v>99</v>
      </c>
      <c r="N1808" s="18" t="s">
        <v>46</v>
      </c>
      <c r="O1808" s="18">
        <v>20.3</v>
      </c>
      <c r="P1808" s="18" t="s">
        <v>248</v>
      </c>
      <c r="Q1808" s="16">
        <v>45792.0</v>
      </c>
      <c r="R1808" s="16" t="s">
        <v>38</v>
      </c>
      <c r="S1808" s="13" t="s">
        <v>55</v>
      </c>
      <c r="T1808" s="13" t="s">
        <v>75</v>
      </c>
      <c r="U1808" s="13">
        <f t="shared" si="1"/>
        <v>2</v>
      </c>
      <c r="V1808" s="13" t="str">
        <f t="shared" si="2"/>
        <v>C00697|Meera Sharma|66|West|Surat|Basic|Organic Search|4/4/2024|14|Monthly|Debit Card|816|4|0|20.30|2.6|5/15/2025||Active|Security</v>
      </c>
      <c r="W1808" s="13">
        <f t="shared" si="3"/>
        <v>1</v>
      </c>
      <c r="X1808" s="13">
        <f>IFERROR(__xludf.DUMMYFUNCTION("COUNTUNIQUE(FILTER($B$2:$B$1826,$A$2:$A$1826=A1808))"),1.0)</f>
        <v>1</v>
      </c>
    </row>
    <row r="1809">
      <c r="A1809" s="13" t="s">
        <v>533</v>
      </c>
      <c r="B1809" s="13" t="s">
        <v>224</v>
      </c>
      <c r="C1809" s="14">
        <v>52.0</v>
      </c>
      <c r="D1809" s="13" t="s">
        <v>35</v>
      </c>
      <c r="E1809" s="13" t="s">
        <v>36</v>
      </c>
      <c r="F1809" s="13" t="s">
        <v>37</v>
      </c>
      <c r="G1809" s="13" t="s">
        <v>63</v>
      </c>
      <c r="H1809" s="16">
        <v>45917.0</v>
      </c>
      <c r="I1809" s="14">
        <v>17.0</v>
      </c>
      <c r="J1809" s="13" t="s">
        <v>40</v>
      </c>
      <c r="K1809" s="13" t="s">
        <v>65</v>
      </c>
      <c r="L1809" s="14">
        <v>1352.0</v>
      </c>
      <c r="M1809" s="18" t="s">
        <v>43</v>
      </c>
      <c r="N1809" s="18" t="s">
        <v>98</v>
      </c>
      <c r="O1809" s="18">
        <v>24.9</v>
      </c>
      <c r="P1809" s="18" t="s">
        <v>456</v>
      </c>
      <c r="Q1809" s="16">
        <v>46276.0</v>
      </c>
      <c r="R1809" s="16">
        <v>45669.0</v>
      </c>
      <c r="S1809" s="13" t="s">
        <v>45</v>
      </c>
      <c r="T1809" s="13" t="s">
        <v>75</v>
      </c>
      <c r="U1809" s="13">
        <f t="shared" si="1"/>
        <v>2</v>
      </c>
      <c r="V1809" s="13" t="str">
        <f t="shared" si="2"/>
        <v>C00958|Anita Iyer|52|North|Delhi|Standard|Google Ads|9/17/2025|17|Monthly|Credit Card|1,352|2|1|24.90|2.5|9/11/2026|1/12/2025|Churned|Security</v>
      </c>
      <c r="W1809" s="13">
        <f t="shared" si="3"/>
        <v>2</v>
      </c>
      <c r="X1809" s="13">
        <f>IFERROR(__xludf.DUMMYFUNCTION("COUNTUNIQUE(FILTER($B$2:$B$1826,$A$2:$A$1826=A1809))"),1.0)</f>
        <v>1</v>
      </c>
    </row>
    <row r="1810">
      <c r="A1810" s="13" t="s">
        <v>539</v>
      </c>
      <c r="B1810" s="13" t="s">
        <v>179</v>
      </c>
      <c r="C1810" s="14">
        <v>62.0</v>
      </c>
      <c r="D1810" s="13" t="s">
        <v>35</v>
      </c>
      <c r="E1810" s="13" t="s">
        <v>161</v>
      </c>
      <c r="F1810" s="13" t="s">
        <v>79</v>
      </c>
      <c r="G1810" s="13" t="s">
        <v>128</v>
      </c>
      <c r="H1810" s="16">
        <v>45071.0</v>
      </c>
      <c r="I1810" s="14">
        <v>39.0</v>
      </c>
      <c r="J1810" s="13" t="s">
        <v>40</v>
      </c>
      <c r="K1810" s="13" t="s">
        <v>81</v>
      </c>
      <c r="L1810" s="14">
        <v>2305.0</v>
      </c>
      <c r="M1810" s="18" t="s">
        <v>98</v>
      </c>
      <c r="N1810" s="18" t="s">
        <v>98</v>
      </c>
      <c r="O1810" s="18">
        <v>36.8</v>
      </c>
      <c r="P1810" s="18" t="s">
        <v>99</v>
      </c>
      <c r="Q1810" s="16">
        <v>45445.0</v>
      </c>
      <c r="R1810" s="16">
        <v>45119.0</v>
      </c>
      <c r="S1810" s="13" t="s">
        <v>45</v>
      </c>
      <c r="T1810" s="13" t="s">
        <v>75</v>
      </c>
      <c r="U1810" s="13">
        <f t="shared" si="1"/>
        <v>3</v>
      </c>
      <c r="V1810" s="13" t="str">
        <f t="shared" si="2"/>
        <v>C00639|Ravi Kumar|62|North|Chandigarh|Premium|Youtube|5/25/2023|39|Monthly|Debit Card|2,305|1|1|36.80|4|6/2/2024|7/12/2023|Churned|Security</v>
      </c>
      <c r="W1810" s="13">
        <f t="shared" si="3"/>
        <v>2</v>
      </c>
      <c r="X1810" s="13">
        <f>IFERROR(__xludf.DUMMYFUNCTION("COUNTUNIQUE(FILTER($B$2:$B$1826,$A$2:$A$1826=A1810))"),2.0)</f>
        <v>2</v>
      </c>
    </row>
    <row r="1811">
      <c r="A1811" s="13" t="s">
        <v>483</v>
      </c>
      <c r="B1811" s="13" t="s">
        <v>139</v>
      </c>
      <c r="C1811" s="14">
        <v>51.0</v>
      </c>
      <c r="D1811" s="13" t="s">
        <v>60</v>
      </c>
      <c r="E1811" s="13" t="s">
        <v>107</v>
      </c>
      <c r="F1811" s="13" t="s">
        <v>37</v>
      </c>
      <c r="G1811" s="13" t="s">
        <v>39</v>
      </c>
      <c r="H1811" s="16">
        <v>44609.0</v>
      </c>
      <c r="I1811" s="14">
        <v>2.0</v>
      </c>
      <c r="J1811" s="13" t="s">
        <v>40</v>
      </c>
      <c r="K1811" s="13" t="s">
        <v>81</v>
      </c>
      <c r="L1811" s="14">
        <v>1605.0</v>
      </c>
      <c r="M1811" s="18" t="s">
        <v>43</v>
      </c>
      <c r="N1811" s="18" t="s">
        <v>46</v>
      </c>
      <c r="O1811" s="18">
        <v>12.7</v>
      </c>
      <c r="P1811" s="18" t="s">
        <v>48</v>
      </c>
      <c r="Q1811" s="16">
        <v>44649.0</v>
      </c>
      <c r="R1811" s="16">
        <v>44870.0</v>
      </c>
      <c r="S1811" s="13" t="s">
        <v>45</v>
      </c>
      <c r="T1811" s="13" t="s">
        <v>104</v>
      </c>
      <c r="U1811" s="13">
        <f t="shared" si="1"/>
        <v>4</v>
      </c>
      <c r="V1811" s="13" t="str">
        <f t="shared" si="2"/>
        <v>C00191|Vikram Das|51|East|Patna|Standard|Instagram|2/17/2022|2|Monthly|Debit Card|1,605|2|0|12.70|3.6|3/29/2022|11/5/2022|Churned|Analytics</v>
      </c>
      <c r="W1811" s="13">
        <f t="shared" si="3"/>
        <v>2</v>
      </c>
      <c r="X1811" s="13">
        <f>IFERROR(__xludf.DUMMYFUNCTION("COUNTUNIQUE(FILTER($B$2:$B$1826,$A$2:$A$1826=A1811))"),3.0)</f>
        <v>3</v>
      </c>
    </row>
    <row r="1812">
      <c r="A1812" s="13" t="s">
        <v>535</v>
      </c>
      <c r="B1812" s="13" t="s">
        <v>167</v>
      </c>
      <c r="C1812" s="14">
        <v>19.0</v>
      </c>
      <c r="D1812" s="13" t="s">
        <v>69</v>
      </c>
      <c r="E1812" s="13" t="s">
        <v>187</v>
      </c>
      <c r="F1812" s="13" t="s">
        <v>37</v>
      </c>
      <c r="G1812" s="13" t="s">
        <v>52</v>
      </c>
      <c r="H1812" s="16">
        <v>45488.0</v>
      </c>
      <c r="I1812" s="14">
        <v>16.0</v>
      </c>
      <c r="J1812" s="13" t="s">
        <v>53</v>
      </c>
      <c r="K1812" s="13" t="s">
        <v>41</v>
      </c>
      <c r="L1812" s="14">
        <v>1073.0</v>
      </c>
      <c r="M1812" s="18" t="s">
        <v>98</v>
      </c>
      <c r="N1812" s="18" t="s">
        <v>43</v>
      </c>
      <c r="O1812" s="18">
        <v>41.0</v>
      </c>
      <c r="P1812" s="18" t="s">
        <v>173</v>
      </c>
      <c r="Q1812" s="16">
        <v>45980.0</v>
      </c>
      <c r="R1812" s="16" t="s">
        <v>38</v>
      </c>
      <c r="S1812" s="13" t="s">
        <v>55</v>
      </c>
      <c r="T1812" s="13" t="s">
        <v>104</v>
      </c>
      <c r="U1812" s="13">
        <f t="shared" si="1"/>
        <v>3</v>
      </c>
      <c r="V1812" s="13" t="str">
        <f t="shared" si="2"/>
        <v>C01066|Ravi Reddy|19|South|Chennai|Standard|Facebook|7/15/2024|16|Quarterly|Upi|1,073|1|2|41.00|5|11/19/2025||Active|Analytics</v>
      </c>
      <c r="W1812" s="13">
        <f t="shared" si="3"/>
        <v>2</v>
      </c>
      <c r="X1812" s="13">
        <f>IFERROR(__xludf.DUMMYFUNCTION("COUNTUNIQUE(FILTER($B$2:$B$1826,$A$2:$A$1826=A1812))"),2.0)</f>
        <v>2</v>
      </c>
    </row>
    <row r="1813">
      <c r="A1813" s="13" t="s">
        <v>1719</v>
      </c>
      <c r="B1813" s="13" t="s">
        <v>383</v>
      </c>
      <c r="C1813" s="14">
        <v>60.0</v>
      </c>
      <c r="D1813" s="13" t="s">
        <v>69</v>
      </c>
      <c r="E1813" s="13" t="s">
        <v>187</v>
      </c>
      <c r="F1813" s="13" t="s">
        <v>62</v>
      </c>
      <c r="G1813" s="13" t="s">
        <v>80</v>
      </c>
      <c r="H1813" s="16">
        <v>44956.0</v>
      </c>
      <c r="I1813" s="14">
        <v>28.0</v>
      </c>
      <c r="J1813" s="13" t="s">
        <v>64</v>
      </c>
      <c r="K1813" s="13" t="s">
        <v>65</v>
      </c>
      <c r="L1813" s="14">
        <v>605.0</v>
      </c>
      <c r="M1813" s="18" t="s">
        <v>46</v>
      </c>
      <c r="N1813" s="18" t="s">
        <v>46</v>
      </c>
      <c r="O1813" s="18">
        <v>6.5</v>
      </c>
      <c r="P1813" s="18" t="s">
        <v>233</v>
      </c>
      <c r="Q1813" s="16" t="s">
        <v>38</v>
      </c>
      <c r="R1813" s="16" t="s">
        <v>38</v>
      </c>
      <c r="S1813" s="13" t="s">
        <v>55</v>
      </c>
      <c r="T1813" s="13" t="s">
        <v>66</v>
      </c>
      <c r="U1813" s="13">
        <f t="shared" si="1"/>
        <v>3</v>
      </c>
      <c r="V1813" s="13" t="str">
        <f t="shared" si="2"/>
        <v>C00510|Rahul Nair|60|South|Chennai|Basic|Organic Search|1/30/2023|28|Annual|Credit Card|605|0|0|6.50|3.5|||Active|Automation</v>
      </c>
      <c r="W1813" s="13">
        <f t="shared" si="3"/>
        <v>1</v>
      </c>
      <c r="X1813" s="13">
        <f>IFERROR(__xludf.DUMMYFUNCTION("COUNTUNIQUE(FILTER($B$2:$B$1826,$A$2:$A$1826=A1813))"),2.0)</f>
        <v>2</v>
      </c>
    </row>
    <row r="1814">
      <c r="A1814" s="13" t="s">
        <v>1230</v>
      </c>
      <c r="B1814" s="13" t="s">
        <v>106</v>
      </c>
      <c r="C1814" s="14">
        <v>28.0</v>
      </c>
      <c r="D1814" s="13" t="s">
        <v>60</v>
      </c>
      <c r="E1814" s="13" t="s">
        <v>107</v>
      </c>
      <c r="F1814" s="13" t="s">
        <v>79</v>
      </c>
      <c r="G1814" s="13" t="s">
        <v>80</v>
      </c>
      <c r="H1814" s="16">
        <v>45724.0</v>
      </c>
      <c r="I1814" s="14">
        <v>41.0</v>
      </c>
      <c r="J1814" s="13" t="s">
        <v>64</v>
      </c>
      <c r="K1814" s="13" t="s">
        <v>65</v>
      </c>
      <c r="L1814" s="14">
        <v>3377.0</v>
      </c>
      <c r="M1814" s="18" t="s">
        <v>98</v>
      </c>
      <c r="N1814" s="18" t="s">
        <v>98</v>
      </c>
      <c r="O1814" s="18">
        <v>40.4</v>
      </c>
      <c r="P1814" s="18" t="s">
        <v>123</v>
      </c>
      <c r="Q1814" s="16">
        <v>46337.0</v>
      </c>
      <c r="R1814" s="16" t="s">
        <v>38</v>
      </c>
      <c r="S1814" s="13" t="s">
        <v>55</v>
      </c>
      <c r="T1814" s="13" t="s">
        <v>75</v>
      </c>
      <c r="U1814" s="13">
        <f t="shared" si="1"/>
        <v>4</v>
      </c>
      <c r="V1814" s="13" t="str">
        <f t="shared" si="2"/>
        <v>C00743|Rahul Patel|28|East|Patna|Premium|Organic Search|3/8/2025|41|Annual|Credit Card|3,377|1|1|40.40|4.1|11/11/2026||Active|Security</v>
      </c>
      <c r="W1814" s="13">
        <f t="shared" si="3"/>
        <v>1</v>
      </c>
      <c r="X1814" s="13">
        <f>IFERROR(__xludf.DUMMYFUNCTION("COUNTUNIQUE(FILTER($B$2:$B$1826,$A$2:$A$1826=A1814))"),3.0)</f>
        <v>3</v>
      </c>
    </row>
    <row r="1815">
      <c r="A1815" s="13" t="s">
        <v>347</v>
      </c>
      <c r="B1815" s="13" t="s">
        <v>239</v>
      </c>
      <c r="C1815" s="14">
        <v>35.0</v>
      </c>
      <c r="D1815" s="13" t="s">
        <v>69</v>
      </c>
      <c r="E1815" s="13" t="s">
        <v>187</v>
      </c>
      <c r="F1815" s="13" t="s">
        <v>37</v>
      </c>
      <c r="G1815" s="13" t="s">
        <v>120</v>
      </c>
      <c r="H1815" s="16">
        <v>44729.0</v>
      </c>
      <c r="I1815" s="14">
        <v>27.0</v>
      </c>
      <c r="J1815" s="13" t="s">
        <v>64</v>
      </c>
      <c r="K1815" s="13" t="s">
        <v>81</v>
      </c>
      <c r="L1815" s="14" t="s">
        <v>38</v>
      </c>
      <c r="M1815" s="18" t="s">
        <v>98</v>
      </c>
      <c r="N1815" s="18" t="s">
        <v>98</v>
      </c>
      <c r="O1815" s="18">
        <v>18.3</v>
      </c>
      <c r="P1815" s="18" t="s">
        <v>203</v>
      </c>
      <c r="Q1815" s="16">
        <v>45271.0</v>
      </c>
      <c r="R1815" s="16" t="s">
        <v>1562</v>
      </c>
      <c r="S1815" s="13" t="s">
        <v>45</v>
      </c>
      <c r="T1815" s="13" t="s">
        <v>47</v>
      </c>
      <c r="U1815" s="13">
        <f t="shared" si="1"/>
        <v>5</v>
      </c>
      <c r="V1815" s="13" t="str">
        <f t="shared" si="2"/>
        <v>C01175|Meera Kumar|35|South|Chennai|Standard|Email|6/17/2022|27|Annual|Debit Card||1|1|18.30|3.7|12/11/2023|31/10/2022|Churned|Cloud Storage</v>
      </c>
      <c r="W1815" s="13">
        <f t="shared" si="3"/>
        <v>1</v>
      </c>
      <c r="X1815" s="13">
        <f>IFERROR(__xludf.DUMMYFUNCTION("COUNTUNIQUE(FILTER($B$2:$B$1826,$A$2:$A$1826=A1815))"),4.0)</f>
        <v>4</v>
      </c>
    </row>
    <row r="1816">
      <c r="A1816" s="13" t="s">
        <v>469</v>
      </c>
      <c r="B1816" s="13" t="s">
        <v>470</v>
      </c>
      <c r="C1816" s="14">
        <v>56.0</v>
      </c>
      <c r="D1816" s="13" t="s">
        <v>85</v>
      </c>
      <c r="E1816" s="13" t="s">
        <v>92</v>
      </c>
      <c r="F1816" s="13" t="s">
        <v>62</v>
      </c>
      <c r="G1816" s="13" t="s">
        <v>63</v>
      </c>
      <c r="H1816" s="16">
        <v>45963.0</v>
      </c>
      <c r="I1816" s="14">
        <v>18.0</v>
      </c>
      <c r="J1816" s="13" t="s">
        <v>40</v>
      </c>
      <c r="K1816" s="13" t="s">
        <v>81</v>
      </c>
      <c r="L1816" s="14">
        <v>787.0</v>
      </c>
      <c r="M1816" s="18" t="s">
        <v>99</v>
      </c>
      <c r="N1816" s="18" t="s">
        <v>98</v>
      </c>
      <c r="O1816" s="18">
        <v>14.2</v>
      </c>
      <c r="P1816" s="18" t="s">
        <v>225</v>
      </c>
      <c r="Q1816" s="16">
        <v>46156.0</v>
      </c>
      <c r="R1816" s="16" t="s">
        <v>472</v>
      </c>
      <c r="S1816" s="13" t="s">
        <v>45</v>
      </c>
      <c r="T1816" s="13" t="s">
        <v>75</v>
      </c>
      <c r="U1816" s="13">
        <f t="shared" si="1"/>
        <v>3</v>
      </c>
      <c r="V1816" s="13" t="str">
        <f t="shared" si="2"/>
        <v>C01418|Arun Singh|56|West|Ahmedabad|Basic|Google Ads|11/2/2025|18|Monthly|Debit Card|787|4|1|14.20|3.8|5/14/2026|20/10/2026|Churned|Security</v>
      </c>
      <c r="W1816" s="13">
        <f t="shared" si="3"/>
        <v>2</v>
      </c>
      <c r="X1816" s="13">
        <f>IFERROR(__xludf.DUMMYFUNCTION("COUNTUNIQUE(FILTER($B$2:$B$1826,$A$2:$A$1826=A1816))"),2.0)</f>
        <v>2</v>
      </c>
    </row>
    <row r="1817">
      <c r="A1817" s="13" t="s">
        <v>534</v>
      </c>
      <c r="B1817" s="13" t="s">
        <v>139</v>
      </c>
      <c r="C1817" s="14">
        <v>24.0</v>
      </c>
      <c r="D1817" s="13" t="s">
        <v>35</v>
      </c>
      <c r="E1817" s="13" t="s">
        <v>140</v>
      </c>
      <c r="F1817" s="13" t="s">
        <v>37</v>
      </c>
      <c r="G1817" s="13" t="s">
        <v>120</v>
      </c>
      <c r="H1817" s="16">
        <v>45927.0</v>
      </c>
      <c r="I1817" s="14">
        <v>6.0</v>
      </c>
      <c r="J1817" s="13" t="s">
        <v>64</v>
      </c>
      <c r="K1817" s="13" t="s">
        <v>81</v>
      </c>
      <c r="L1817" s="14">
        <v>1192.0</v>
      </c>
      <c r="M1817" s="18" t="s">
        <v>98</v>
      </c>
      <c r="N1817" s="18" t="s">
        <v>98</v>
      </c>
      <c r="O1817" s="18">
        <v>15.5</v>
      </c>
      <c r="P1817" s="18" t="s">
        <v>108</v>
      </c>
      <c r="Q1817" s="16">
        <v>46081.0</v>
      </c>
      <c r="R1817" s="16" t="s">
        <v>1742</v>
      </c>
      <c r="S1817" s="13" t="s">
        <v>45</v>
      </c>
      <c r="T1817" s="13" t="s">
        <v>104</v>
      </c>
      <c r="U1817" s="13">
        <f t="shared" si="1"/>
        <v>3</v>
      </c>
      <c r="V1817" s="13" t="str">
        <f t="shared" si="2"/>
        <v>C00532|Vikram Das|24|North|Lucknow|Standard|Email|9/27/2025|6|Annual|Debit Card|1,192|1|1|15.50|2.4|2/28/2026|17/11/2025|Churned|Analytics</v>
      </c>
      <c r="W1817" s="13">
        <f t="shared" si="3"/>
        <v>2</v>
      </c>
      <c r="X1817" s="13">
        <f>IFERROR(__xludf.DUMMYFUNCTION("COUNTUNIQUE(FILTER($B$2:$B$1826,$A$2:$A$1826=A1817))"),2.0)</f>
        <v>2</v>
      </c>
    </row>
    <row r="1818">
      <c r="A1818" s="13" t="s">
        <v>531</v>
      </c>
      <c r="B1818" s="13" t="s">
        <v>167</v>
      </c>
      <c r="C1818" s="14">
        <v>44.0</v>
      </c>
      <c r="D1818" s="13" t="s">
        <v>35</v>
      </c>
      <c r="E1818" s="13" t="s">
        <v>51</v>
      </c>
      <c r="F1818" s="13" t="s">
        <v>62</v>
      </c>
      <c r="G1818" s="13" t="s">
        <v>52</v>
      </c>
      <c r="H1818" s="16">
        <v>45786.0</v>
      </c>
      <c r="I1818" s="14">
        <v>43.0</v>
      </c>
      <c r="J1818" s="13" t="s">
        <v>40</v>
      </c>
      <c r="K1818" s="13" t="s">
        <v>65</v>
      </c>
      <c r="L1818" s="14">
        <v>633.0</v>
      </c>
      <c r="M1818" s="18" t="s">
        <v>98</v>
      </c>
      <c r="N1818" s="18" t="s">
        <v>98</v>
      </c>
      <c r="O1818" s="18">
        <v>23.5</v>
      </c>
      <c r="P1818" s="18" t="s">
        <v>310</v>
      </c>
      <c r="Q1818" s="16">
        <v>46492.0</v>
      </c>
      <c r="R1818" s="16" t="s">
        <v>38</v>
      </c>
      <c r="S1818" s="13" t="s">
        <v>55</v>
      </c>
      <c r="T1818" s="13" t="s">
        <v>104</v>
      </c>
      <c r="U1818" s="13">
        <f t="shared" si="1"/>
        <v>3</v>
      </c>
      <c r="V1818" s="13" t="str">
        <f t="shared" si="2"/>
        <v>C00816|Ravi Reddy|44|North|Jaipur|Basic|Facebook|5/9/2025|43|Monthly|Credit Card|633|1|1|23.50|3.1|4/15/2027||Active|Analytics</v>
      </c>
      <c r="W1818" s="13">
        <f t="shared" si="3"/>
        <v>2</v>
      </c>
      <c r="X1818" s="13">
        <f>IFERROR(__xludf.DUMMYFUNCTION("COUNTUNIQUE(FILTER($B$2:$B$1826,$A$2:$A$1826=A1818))"),2.0)</f>
        <v>2</v>
      </c>
    </row>
    <row r="1819">
      <c r="A1819" s="13" t="s">
        <v>537</v>
      </c>
      <c r="B1819" s="13" t="s">
        <v>476</v>
      </c>
      <c r="C1819" s="14">
        <v>27.0</v>
      </c>
      <c r="D1819" s="13" t="s">
        <v>69</v>
      </c>
      <c r="E1819" s="13" t="s">
        <v>70</v>
      </c>
      <c r="F1819" s="13" t="s">
        <v>37</v>
      </c>
      <c r="G1819" s="13" t="s">
        <v>120</v>
      </c>
      <c r="H1819" s="16">
        <v>45435.0</v>
      </c>
      <c r="I1819" s="14">
        <v>28.0</v>
      </c>
      <c r="J1819" s="13" t="s">
        <v>64</v>
      </c>
      <c r="K1819" s="13" t="s">
        <v>81</v>
      </c>
      <c r="L1819" s="14">
        <v>1636.0</v>
      </c>
      <c r="M1819" s="18" t="s">
        <v>43</v>
      </c>
      <c r="N1819" s="18" t="s">
        <v>46</v>
      </c>
      <c r="O1819" s="18">
        <v>17.7</v>
      </c>
      <c r="P1819" s="18" t="s">
        <v>116</v>
      </c>
      <c r="Q1819" s="16">
        <v>45712.0</v>
      </c>
      <c r="R1819" s="16" t="s">
        <v>38</v>
      </c>
      <c r="S1819" s="13" t="s">
        <v>55</v>
      </c>
      <c r="T1819" s="13" t="s">
        <v>104</v>
      </c>
      <c r="U1819" s="13">
        <f t="shared" si="1"/>
        <v>3</v>
      </c>
      <c r="V1819" s="13" t="str">
        <f t="shared" si="2"/>
        <v>C00690|Ravi Das|27|South|Bengaluru|Standard|Email|5/23/2024|28|Annual|Debit Card|1,636|2|0|17.70|3.4|2/24/2025||Active|Analytics</v>
      </c>
      <c r="W1819" s="13">
        <f t="shared" si="3"/>
        <v>2</v>
      </c>
      <c r="X1819" s="13">
        <f>IFERROR(__xludf.DUMMYFUNCTION("COUNTUNIQUE(FILTER($B$2:$B$1826,$A$2:$A$1826=A1819))"),2.0)</f>
        <v>2</v>
      </c>
    </row>
    <row r="1820">
      <c r="A1820" s="13" t="s">
        <v>1886</v>
      </c>
      <c r="B1820" s="13" t="s">
        <v>380</v>
      </c>
      <c r="C1820" s="14">
        <v>61.0</v>
      </c>
      <c r="D1820" s="13" t="s">
        <v>35</v>
      </c>
      <c r="E1820" s="13" t="s">
        <v>51</v>
      </c>
      <c r="F1820" s="13" t="s">
        <v>79</v>
      </c>
      <c r="G1820" s="13" t="s">
        <v>39</v>
      </c>
      <c r="H1820" s="16">
        <v>45192.0</v>
      </c>
      <c r="I1820" s="14">
        <v>40.0</v>
      </c>
      <c r="J1820" s="13" t="s">
        <v>53</v>
      </c>
      <c r="K1820" s="13" t="s">
        <v>81</v>
      </c>
      <c r="L1820" s="14">
        <v>788.0</v>
      </c>
      <c r="M1820" s="18" t="s">
        <v>173</v>
      </c>
      <c r="N1820" s="18" t="s">
        <v>98</v>
      </c>
      <c r="O1820" s="18">
        <v>24.6</v>
      </c>
      <c r="P1820" s="18" t="s">
        <v>263</v>
      </c>
      <c r="Q1820" s="16">
        <v>45869.0</v>
      </c>
      <c r="R1820" s="16" t="s">
        <v>38</v>
      </c>
      <c r="S1820" s="13" t="s">
        <v>55</v>
      </c>
      <c r="T1820" s="13" t="s">
        <v>104</v>
      </c>
      <c r="U1820" s="13">
        <f t="shared" si="1"/>
        <v>2</v>
      </c>
      <c r="V1820" s="13" t="str">
        <f t="shared" si="2"/>
        <v>C01178|Neha Iyer|61|North|Jaipur|Premium|Instagram|9/23/2023|40|Quarterly|Debit Card|788|5|1|24.60|2.9|7/31/2025||Active|Analytics</v>
      </c>
      <c r="W1820" s="13">
        <f t="shared" si="3"/>
        <v>1</v>
      </c>
      <c r="X1820" s="13">
        <f>IFERROR(__xludf.DUMMYFUNCTION("COUNTUNIQUE(FILTER($B$2:$B$1826,$A$2:$A$1826=A1820))"),1.0)</f>
        <v>1</v>
      </c>
    </row>
    <row r="1821">
      <c r="A1821" s="13" t="s">
        <v>455</v>
      </c>
      <c r="B1821" s="13" t="s">
        <v>257</v>
      </c>
      <c r="C1821" s="14">
        <v>38.0</v>
      </c>
      <c r="D1821" s="13" t="s">
        <v>85</v>
      </c>
      <c r="E1821" s="13" t="s">
        <v>111</v>
      </c>
      <c r="F1821" s="13" t="s">
        <v>37</v>
      </c>
      <c r="G1821" s="13" t="s">
        <v>52</v>
      </c>
      <c r="H1821" s="16">
        <v>44980.0</v>
      </c>
      <c r="I1821" s="14">
        <v>26.0</v>
      </c>
      <c r="J1821" s="13" t="s">
        <v>53</v>
      </c>
      <c r="K1821" s="13" t="s">
        <v>65</v>
      </c>
      <c r="L1821" s="14">
        <v>1328.0</v>
      </c>
      <c r="M1821" s="18" t="s">
        <v>98</v>
      </c>
      <c r="N1821" s="18" t="s">
        <v>46</v>
      </c>
      <c r="O1821" s="18">
        <v>35.1</v>
      </c>
      <c r="P1821" s="18" t="s">
        <v>701</v>
      </c>
      <c r="Q1821" s="16">
        <v>45279.0</v>
      </c>
      <c r="R1821" s="16" t="s">
        <v>457</v>
      </c>
      <c r="S1821" s="13" t="s">
        <v>45</v>
      </c>
      <c r="T1821" s="13" t="s">
        <v>66</v>
      </c>
      <c r="U1821" s="13">
        <f t="shared" si="1"/>
        <v>5</v>
      </c>
      <c r="V1821" s="13" t="str">
        <f t="shared" si="2"/>
        <v>C01530|Sneha Reddy|38|West|Pune|Standard|Facebook|2/23/2023|26|Quarterly|Credit Card|1,328|1|0|35.10|2.8|12/19/2023|17/04/2024|Churned|Automation</v>
      </c>
      <c r="W1821" s="13">
        <f t="shared" si="3"/>
        <v>2</v>
      </c>
      <c r="X1821" s="13">
        <f>IFERROR(__xludf.DUMMYFUNCTION("COUNTUNIQUE(FILTER($B$2:$B$1826,$A$2:$A$1826=A1821))"),4.0)</f>
        <v>4</v>
      </c>
    </row>
    <row r="1822">
      <c r="A1822" s="13" t="s">
        <v>423</v>
      </c>
      <c r="B1822" s="13" t="s">
        <v>424</v>
      </c>
      <c r="C1822" s="14">
        <v>25.0</v>
      </c>
      <c r="D1822" s="13" t="s">
        <v>60</v>
      </c>
      <c r="E1822" s="13" t="s">
        <v>97</v>
      </c>
      <c r="F1822" s="13" t="s">
        <v>62</v>
      </c>
      <c r="G1822" s="13" t="s">
        <v>52</v>
      </c>
      <c r="H1822" s="16">
        <v>45763.0</v>
      </c>
      <c r="I1822" s="14">
        <v>16.0</v>
      </c>
      <c r="J1822" s="13" t="s">
        <v>53</v>
      </c>
      <c r="K1822" s="13" t="s">
        <v>65</v>
      </c>
      <c r="L1822" s="14">
        <v>841.0</v>
      </c>
      <c r="M1822" s="18" t="s">
        <v>43</v>
      </c>
      <c r="N1822" s="18" t="s">
        <v>98</v>
      </c>
      <c r="O1822" s="18">
        <v>13.4</v>
      </c>
      <c r="P1822" s="18" t="s">
        <v>225</v>
      </c>
      <c r="Q1822" s="16">
        <v>46099.0</v>
      </c>
      <c r="R1822" s="16" t="s">
        <v>38</v>
      </c>
      <c r="S1822" s="13" t="s">
        <v>55</v>
      </c>
      <c r="T1822" s="13" t="s">
        <v>75</v>
      </c>
      <c r="U1822" s="13">
        <f t="shared" si="1"/>
        <v>3</v>
      </c>
      <c r="V1822" s="13" t="str">
        <f t="shared" si="2"/>
        <v>C01152|Neha Kumar|25|East|Bhubaneswar|Basic|Facebook|4/16/2025|16|Quarterly|Credit Card|841|2|1|13.40|3.8|3/18/2026||Active|Security</v>
      </c>
      <c r="W1822" s="13">
        <f t="shared" si="3"/>
        <v>2</v>
      </c>
      <c r="X1822" s="13">
        <f>IFERROR(__xludf.DUMMYFUNCTION("COUNTUNIQUE(FILTER($B$2:$B$1826,$A$2:$A$1826=A1822))"),2.0)</f>
        <v>2</v>
      </c>
    </row>
    <row r="1823">
      <c r="A1823" s="13" t="s">
        <v>1629</v>
      </c>
      <c r="B1823" s="13" t="s">
        <v>126</v>
      </c>
      <c r="C1823" s="14">
        <v>23.0</v>
      </c>
      <c r="D1823" s="13" t="s">
        <v>60</v>
      </c>
      <c r="E1823" s="13" t="s">
        <v>107</v>
      </c>
      <c r="F1823" s="13" t="s">
        <v>62</v>
      </c>
      <c r="G1823" s="13" t="s">
        <v>120</v>
      </c>
      <c r="H1823" s="16">
        <v>44645.0</v>
      </c>
      <c r="I1823" s="14">
        <v>20.0</v>
      </c>
      <c r="J1823" s="13" t="s">
        <v>40</v>
      </c>
      <c r="K1823" s="13" t="s">
        <v>81</v>
      </c>
      <c r="L1823" s="14">
        <v>714.0</v>
      </c>
      <c r="M1823" s="18" t="s">
        <v>99</v>
      </c>
      <c r="N1823" s="18" t="s">
        <v>43</v>
      </c>
      <c r="O1823" s="18">
        <v>8.6</v>
      </c>
      <c r="P1823" s="18" t="s">
        <v>130</v>
      </c>
      <c r="Q1823" s="16">
        <v>44996.0</v>
      </c>
      <c r="R1823" s="16" t="s">
        <v>1630</v>
      </c>
      <c r="S1823" s="13" t="s">
        <v>45</v>
      </c>
      <c r="T1823" s="13" t="s">
        <v>104</v>
      </c>
      <c r="U1823" s="13">
        <f t="shared" si="1"/>
        <v>3</v>
      </c>
      <c r="V1823" s="13" t="str">
        <f t="shared" si="2"/>
        <v>C00164|Arun Patel|23|East|Patna|Basic|Email|3/25/2022|20|Monthly|Debit Card|714|4|2|8.60|3.9|3/11/2023|24/01/2023|Churned|Analytics</v>
      </c>
      <c r="W1823" s="13">
        <f t="shared" si="3"/>
        <v>1</v>
      </c>
      <c r="X1823" s="13">
        <f>IFERROR(__xludf.DUMMYFUNCTION("COUNTUNIQUE(FILTER($B$2:$B$1826,$A$2:$A$1826=A1823))"),2.0)</f>
        <v>2</v>
      </c>
    </row>
    <row r="1824">
      <c r="A1824" s="13" t="s">
        <v>1361</v>
      </c>
      <c r="B1824" s="13" t="s">
        <v>74</v>
      </c>
      <c r="C1824" s="14">
        <v>46.0</v>
      </c>
      <c r="D1824" s="13" t="s">
        <v>69</v>
      </c>
      <c r="E1824" s="13" t="s">
        <v>70</v>
      </c>
      <c r="F1824" s="13" t="s">
        <v>79</v>
      </c>
      <c r="G1824" s="13" t="s">
        <v>80</v>
      </c>
      <c r="H1824" s="16">
        <v>45248.0</v>
      </c>
      <c r="I1824" s="14">
        <v>18.0</v>
      </c>
      <c r="J1824" s="13" t="s">
        <v>40</v>
      </c>
      <c r="K1824" s="13" t="s">
        <v>81</v>
      </c>
      <c r="L1824" s="14">
        <v>875.0</v>
      </c>
      <c r="M1824" s="18" t="s">
        <v>43</v>
      </c>
      <c r="N1824" s="18" t="s">
        <v>46</v>
      </c>
      <c r="O1824" s="18">
        <v>24.8</v>
      </c>
      <c r="P1824" s="18" t="s">
        <v>123</v>
      </c>
      <c r="Q1824" s="16">
        <v>45333.0</v>
      </c>
      <c r="R1824" s="16" t="s">
        <v>38</v>
      </c>
      <c r="S1824" s="13" t="s">
        <v>55</v>
      </c>
      <c r="T1824" s="13" t="s">
        <v>66</v>
      </c>
      <c r="U1824" s="13">
        <f t="shared" si="1"/>
        <v>2</v>
      </c>
      <c r="V1824" s="13" t="str">
        <f t="shared" si="2"/>
        <v>C00162|Anita Kumar|46|South|Bengaluru|Premium|Organic Search|11/18/2023|18|Monthly|Debit Card|875|2|0|24.80|4.1|2/11/2024||Active|Automation</v>
      </c>
      <c r="W1824" s="13">
        <f t="shared" si="3"/>
        <v>1</v>
      </c>
      <c r="X1824" s="13">
        <f>IFERROR(__xludf.DUMMYFUNCTION("COUNTUNIQUE(FILTER($B$2:$B$1826,$A$2:$A$1826=A1824))"),1.0)</f>
        <v>1</v>
      </c>
    </row>
    <row r="1825">
      <c r="A1825" s="13" t="s">
        <v>527</v>
      </c>
      <c r="B1825" s="13" t="s">
        <v>229</v>
      </c>
      <c r="C1825" s="14">
        <v>67.0</v>
      </c>
      <c r="D1825" s="13" t="s">
        <v>35</v>
      </c>
      <c r="E1825" s="13" t="s">
        <v>36</v>
      </c>
      <c r="F1825" s="13" t="s">
        <v>37</v>
      </c>
      <c r="G1825" s="13" t="s">
        <v>120</v>
      </c>
      <c r="H1825" s="16">
        <v>44929.0</v>
      </c>
      <c r="I1825" s="14">
        <v>12.0</v>
      </c>
      <c r="J1825" s="13" t="s">
        <v>64</v>
      </c>
      <c r="K1825" s="13" t="s">
        <v>65</v>
      </c>
      <c r="L1825" s="14">
        <v>1084.0</v>
      </c>
      <c r="M1825" s="18" t="s">
        <v>99</v>
      </c>
      <c r="N1825" s="18" t="s">
        <v>98</v>
      </c>
      <c r="O1825" s="18">
        <v>22.8</v>
      </c>
      <c r="P1825" s="18" t="s">
        <v>164</v>
      </c>
      <c r="Q1825" s="16">
        <v>45299.0</v>
      </c>
      <c r="R1825" s="16">
        <v>45023.0</v>
      </c>
      <c r="S1825" s="13" t="s">
        <v>45</v>
      </c>
      <c r="T1825" s="13" t="s">
        <v>66</v>
      </c>
      <c r="U1825" s="13">
        <f t="shared" si="1"/>
        <v>3</v>
      </c>
      <c r="V1825" s="13" t="str">
        <f t="shared" si="2"/>
        <v>C01575|Anita Nair|67|North|Delhi|Standard|Email|1/3/2023|12|Annual|Credit Card|1,084|4|1|22.80|3|1/8/2024|4/7/2023|Churned|Automation</v>
      </c>
      <c r="W1825" s="13">
        <f t="shared" si="3"/>
        <v>2</v>
      </c>
      <c r="X1825" s="13">
        <f>IFERROR(__xludf.DUMMYFUNCTION("COUNTUNIQUE(FILTER($B$2:$B$1826,$A$2:$A$1826=A1825))"),2.0)</f>
        <v>2</v>
      </c>
    </row>
    <row r="1826">
      <c r="A1826" s="13" t="s">
        <v>528</v>
      </c>
      <c r="B1826" s="13" t="s">
        <v>235</v>
      </c>
      <c r="C1826" s="14">
        <v>42.0</v>
      </c>
      <c r="D1826" s="13" t="s">
        <v>35</v>
      </c>
      <c r="E1826" s="13" t="s">
        <v>51</v>
      </c>
      <c r="F1826" s="13" t="s">
        <v>37</v>
      </c>
      <c r="G1826" s="13" t="s">
        <v>128</v>
      </c>
      <c r="H1826" s="16">
        <v>45405.0</v>
      </c>
      <c r="I1826" s="14">
        <v>6.0</v>
      </c>
      <c r="J1826" s="13" t="s">
        <v>64</v>
      </c>
      <c r="K1826" s="13" t="s">
        <v>81</v>
      </c>
      <c r="L1826" s="14">
        <v>1132.0</v>
      </c>
      <c r="M1826" s="18" t="s">
        <v>46</v>
      </c>
      <c r="N1826" s="18" t="s">
        <v>98</v>
      </c>
      <c r="O1826" s="18">
        <v>19.0</v>
      </c>
      <c r="P1826" s="18" t="s">
        <v>173</v>
      </c>
      <c r="Q1826" s="16">
        <v>45469.0</v>
      </c>
      <c r="R1826" s="16" t="s">
        <v>38</v>
      </c>
      <c r="S1826" s="13" t="s">
        <v>55</v>
      </c>
      <c r="T1826" s="13" t="s">
        <v>75</v>
      </c>
      <c r="U1826" s="13">
        <f t="shared" si="1"/>
        <v>6</v>
      </c>
      <c r="V1826" s="13" t="str">
        <f t="shared" si="2"/>
        <v>C00931|Sneha Sharma|42|North|Jaipur|Standard|Youtube|4/23/2024|6|Annual|Debit Card|1,132|0|1|19.00|5|6/26/2024||Active|Security</v>
      </c>
      <c r="W1826" s="13">
        <f t="shared" si="3"/>
        <v>2</v>
      </c>
      <c r="X1826" s="13">
        <f>IFERROR(__xludf.DUMMYFUNCTION("COUNTUNIQUE(FILTER($B$2:$B$1826,$A$2:$A$1826=A1826))"),5.0)</f>
        <v>5</v>
      </c>
    </row>
    <row r="1827" hidden="1">
      <c r="C1827" s="14"/>
      <c r="H1827" s="16"/>
      <c r="I1827" s="14"/>
      <c r="L1827" s="14"/>
      <c r="M1827" s="18"/>
      <c r="N1827" s="18"/>
      <c r="O1827" s="18"/>
      <c r="P1827" s="18"/>
      <c r="Q1827" s="16"/>
      <c r="R1827" s="16"/>
    </row>
    <row r="1828" hidden="1">
      <c r="C1828" s="14"/>
      <c r="H1828" s="16"/>
      <c r="I1828" s="14"/>
      <c r="L1828" s="14"/>
      <c r="M1828" s="18"/>
      <c r="N1828" s="18"/>
      <c r="O1828" s="18"/>
      <c r="P1828" s="18"/>
      <c r="Q1828" s="16"/>
      <c r="R1828" s="16"/>
    </row>
    <row r="1829" hidden="1">
      <c r="C1829" s="14"/>
      <c r="H1829" s="16"/>
      <c r="I1829" s="14"/>
      <c r="L1829" s="14"/>
      <c r="M1829" s="18"/>
      <c r="N1829" s="18"/>
      <c r="O1829" s="18"/>
      <c r="P1829" s="18"/>
      <c r="Q1829" s="16"/>
      <c r="R1829" s="16"/>
    </row>
    <row r="1830" hidden="1">
      <c r="C1830" s="14"/>
      <c r="H1830" s="16"/>
      <c r="I1830" s="14"/>
      <c r="L1830" s="14"/>
      <c r="M1830" s="18"/>
      <c r="N1830" s="18"/>
      <c r="O1830" s="18"/>
      <c r="P1830" s="18"/>
      <c r="Q1830" s="16"/>
      <c r="R1830" s="16"/>
    </row>
    <row r="1831" hidden="1">
      <c r="C1831" s="14"/>
      <c r="H1831" s="16"/>
      <c r="I1831" s="14"/>
      <c r="L1831" s="14"/>
      <c r="M1831" s="18"/>
      <c r="N1831" s="18"/>
      <c r="O1831" s="18"/>
      <c r="P1831" s="18"/>
      <c r="Q1831" s="16"/>
      <c r="R1831" s="16"/>
    </row>
    <row r="1832" hidden="1">
      <c r="C1832" s="14"/>
      <c r="H1832" s="16"/>
      <c r="I1832" s="14"/>
      <c r="L1832" s="14"/>
      <c r="M1832" s="18"/>
      <c r="N1832" s="18"/>
      <c r="O1832" s="18"/>
      <c r="P1832" s="18"/>
      <c r="Q1832" s="16"/>
      <c r="R1832" s="16"/>
    </row>
    <row r="1833" hidden="1">
      <c r="C1833" s="14"/>
      <c r="H1833" s="16"/>
      <c r="I1833" s="14"/>
      <c r="L1833" s="14"/>
      <c r="M1833" s="18"/>
      <c r="N1833" s="18"/>
      <c r="O1833" s="18"/>
      <c r="P1833" s="18"/>
      <c r="Q1833" s="16"/>
      <c r="R1833" s="16"/>
    </row>
    <row r="1834" hidden="1">
      <c r="C1834" s="14"/>
      <c r="H1834" s="16"/>
      <c r="I1834" s="14"/>
      <c r="L1834" s="14"/>
      <c r="M1834" s="18"/>
      <c r="N1834" s="18"/>
      <c r="O1834" s="18"/>
      <c r="P1834" s="18"/>
      <c r="Q1834" s="16"/>
      <c r="R1834" s="16"/>
    </row>
    <row r="1835" hidden="1">
      <c r="C1835" s="14"/>
      <c r="H1835" s="16"/>
      <c r="I1835" s="14"/>
      <c r="L1835" s="14"/>
      <c r="M1835" s="18"/>
      <c r="N1835" s="18"/>
      <c r="O1835" s="18"/>
      <c r="P1835" s="18"/>
      <c r="Q1835" s="16"/>
      <c r="R1835" s="16"/>
    </row>
    <row r="1836" hidden="1">
      <c r="C1836" s="14"/>
      <c r="H1836" s="16"/>
      <c r="I1836" s="14"/>
      <c r="L1836" s="14"/>
      <c r="M1836" s="18"/>
      <c r="N1836" s="18"/>
      <c r="O1836" s="18"/>
      <c r="P1836" s="18"/>
      <c r="Q1836" s="16"/>
      <c r="R1836" s="16"/>
    </row>
    <row r="1837" hidden="1">
      <c r="C1837" s="14"/>
      <c r="H1837" s="16"/>
      <c r="I1837" s="14"/>
      <c r="L1837" s="14"/>
      <c r="M1837" s="18"/>
      <c r="N1837" s="18"/>
      <c r="O1837" s="18"/>
      <c r="P1837" s="18"/>
      <c r="Q1837" s="16"/>
      <c r="R1837" s="16"/>
    </row>
    <row r="1838" hidden="1">
      <c r="C1838" s="14"/>
      <c r="H1838" s="16"/>
      <c r="I1838" s="14"/>
      <c r="L1838" s="14"/>
      <c r="M1838" s="18"/>
      <c r="N1838" s="18"/>
      <c r="O1838" s="18"/>
      <c r="P1838" s="18"/>
      <c r="Q1838" s="16"/>
      <c r="R1838" s="16"/>
    </row>
    <row r="1839" hidden="1">
      <c r="C1839" s="14"/>
      <c r="H1839" s="16"/>
      <c r="I1839" s="14"/>
      <c r="L1839" s="14"/>
      <c r="M1839" s="18"/>
      <c r="N1839" s="18"/>
      <c r="O1839" s="18"/>
      <c r="P1839" s="18"/>
      <c r="Q1839" s="16"/>
      <c r="R1839" s="16"/>
    </row>
    <row r="1840" hidden="1">
      <c r="C1840" s="14"/>
      <c r="H1840" s="16"/>
      <c r="I1840" s="14"/>
      <c r="L1840" s="14"/>
      <c r="M1840" s="18"/>
      <c r="N1840" s="18"/>
      <c r="O1840" s="18"/>
      <c r="P1840" s="18"/>
      <c r="Q1840" s="16"/>
      <c r="R1840" s="16"/>
    </row>
    <row r="1841" hidden="1">
      <c r="C1841" s="14"/>
      <c r="H1841" s="16"/>
      <c r="I1841" s="14"/>
      <c r="L1841" s="14"/>
      <c r="M1841" s="18"/>
      <c r="N1841" s="18"/>
      <c r="O1841" s="18"/>
      <c r="P1841" s="18"/>
      <c r="Q1841" s="16"/>
      <c r="R1841" s="16"/>
    </row>
    <row r="1842" hidden="1">
      <c r="C1842" s="14"/>
      <c r="H1842" s="16"/>
      <c r="I1842" s="14"/>
      <c r="L1842" s="14"/>
      <c r="M1842" s="18"/>
      <c r="N1842" s="18"/>
      <c r="O1842" s="18"/>
      <c r="P1842" s="18"/>
      <c r="Q1842" s="16"/>
      <c r="R1842" s="16"/>
    </row>
    <row r="1843" hidden="1">
      <c r="C1843" s="14"/>
      <c r="H1843" s="16"/>
      <c r="I1843" s="14"/>
      <c r="L1843" s="14"/>
      <c r="M1843" s="18"/>
      <c r="N1843" s="18"/>
      <c r="O1843" s="18"/>
      <c r="P1843" s="18"/>
      <c r="Q1843" s="16"/>
      <c r="R1843" s="16"/>
    </row>
    <row r="1844" hidden="1">
      <c r="C1844" s="14"/>
      <c r="H1844" s="16"/>
      <c r="I1844" s="14"/>
      <c r="L1844" s="14"/>
      <c r="M1844" s="18"/>
      <c r="N1844" s="18"/>
      <c r="O1844" s="18"/>
      <c r="P1844" s="18"/>
      <c r="Q1844" s="16"/>
      <c r="R1844" s="16"/>
    </row>
    <row r="1845" hidden="1">
      <c r="C1845" s="14"/>
      <c r="H1845" s="16"/>
      <c r="I1845" s="14"/>
      <c r="L1845" s="14"/>
      <c r="M1845" s="18"/>
      <c r="N1845" s="18"/>
      <c r="O1845" s="18"/>
      <c r="P1845" s="18"/>
      <c r="Q1845" s="16"/>
      <c r="R1845" s="16"/>
    </row>
    <row r="1846" hidden="1">
      <c r="C1846" s="14"/>
      <c r="H1846" s="16"/>
      <c r="I1846" s="14"/>
      <c r="L1846" s="14"/>
      <c r="M1846" s="18"/>
      <c r="N1846" s="18"/>
      <c r="O1846" s="18"/>
      <c r="P1846" s="18"/>
      <c r="Q1846" s="16"/>
      <c r="R1846" s="16"/>
    </row>
    <row r="1847" hidden="1">
      <c r="C1847" s="14"/>
      <c r="H1847" s="16"/>
      <c r="I1847" s="14"/>
      <c r="L1847" s="14"/>
      <c r="M1847" s="18"/>
      <c r="N1847" s="18"/>
      <c r="O1847" s="18"/>
      <c r="P1847" s="18"/>
      <c r="Q1847" s="16"/>
      <c r="R1847" s="16"/>
    </row>
    <row r="1848" hidden="1">
      <c r="C1848" s="14"/>
      <c r="H1848" s="16"/>
      <c r="I1848" s="14"/>
      <c r="L1848" s="14"/>
      <c r="M1848" s="18"/>
      <c r="N1848" s="18"/>
      <c r="O1848" s="18"/>
      <c r="P1848" s="18"/>
      <c r="Q1848" s="16"/>
      <c r="R1848" s="16"/>
    </row>
    <row r="1849" hidden="1">
      <c r="C1849" s="14"/>
      <c r="H1849" s="16"/>
      <c r="I1849" s="14"/>
      <c r="L1849" s="14"/>
      <c r="M1849" s="18"/>
      <c r="N1849" s="18"/>
      <c r="O1849" s="18"/>
      <c r="P1849" s="18"/>
      <c r="Q1849" s="16"/>
      <c r="R1849" s="16"/>
    </row>
    <row r="1850" hidden="1">
      <c r="C1850" s="14"/>
      <c r="H1850" s="16"/>
      <c r="I1850" s="14"/>
      <c r="L1850" s="14"/>
      <c r="M1850" s="18"/>
      <c r="N1850" s="18"/>
      <c r="O1850" s="18"/>
      <c r="P1850" s="18"/>
      <c r="Q1850" s="16"/>
      <c r="R1850" s="16"/>
    </row>
    <row r="1851" hidden="1">
      <c r="C1851" s="14"/>
      <c r="H1851" s="16"/>
      <c r="I1851" s="14"/>
      <c r="L1851" s="14"/>
      <c r="M1851" s="18"/>
      <c r="N1851" s="18"/>
      <c r="O1851" s="18"/>
      <c r="P1851" s="18"/>
      <c r="Q1851" s="16"/>
      <c r="R1851" s="16"/>
    </row>
    <row r="1852" hidden="1">
      <c r="C1852" s="14"/>
      <c r="H1852" s="16"/>
      <c r="I1852" s="14"/>
      <c r="L1852" s="14"/>
      <c r="M1852" s="18"/>
      <c r="N1852" s="18"/>
      <c r="O1852" s="18"/>
      <c r="P1852" s="18"/>
      <c r="Q1852" s="16"/>
      <c r="R1852" s="16"/>
    </row>
    <row r="1853" hidden="1">
      <c r="C1853" s="14"/>
      <c r="H1853" s="16"/>
      <c r="I1853" s="14"/>
      <c r="L1853" s="14"/>
      <c r="M1853" s="18"/>
      <c r="N1853" s="18"/>
      <c r="O1853" s="18"/>
      <c r="P1853" s="18"/>
      <c r="Q1853" s="16"/>
      <c r="R1853" s="16"/>
    </row>
    <row r="1854" hidden="1">
      <c r="C1854" s="14"/>
      <c r="H1854" s="16"/>
      <c r="I1854" s="14"/>
      <c r="L1854" s="14"/>
      <c r="M1854" s="18"/>
      <c r="N1854" s="18"/>
      <c r="O1854" s="18"/>
      <c r="P1854" s="18"/>
      <c r="Q1854" s="16"/>
      <c r="R1854" s="16"/>
    </row>
    <row r="1855" hidden="1">
      <c r="C1855" s="14"/>
      <c r="H1855" s="16"/>
      <c r="I1855" s="14"/>
      <c r="L1855" s="14"/>
      <c r="M1855" s="18"/>
      <c r="N1855" s="18"/>
      <c r="O1855" s="18"/>
      <c r="P1855" s="18"/>
      <c r="Q1855" s="16"/>
      <c r="R1855" s="16"/>
    </row>
    <row r="1856" hidden="1">
      <c r="C1856" s="14"/>
      <c r="H1856" s="16"/>
      <c r="I1856" s="14"/>
      <c r="L1856" s="14"/>
      <c r="M1856" s="18"/>
      <c r="N1856" s="18"/>
      <c r="O1856" s="18"/>
      <c r="P1856" s="18"/>
      <c r="Q1856" s="16"/>
      <c r="R1856" s="16"/>
    </row>
    <row r="1857" hidden="1">
      <c r="C1857" s="14"/>
      <c r="H1857" s="16"/>
      <c r="I1857" s="14"/>
      <c r="L1857" s="14"/>
      <c r="M1857" s="18"/>
      <c r="N1857" s="18"/>
      <c r="O1857" s="18"/>
      <c r="P1857" s="18"/>
      <c r="Q1857" s="16"/>
      <c r="R1857" s="16"/>
    </row>
    <row r="1858" hidden="1">
      <c r="C1858" s="14"/>
      <c r="H1858" s="16"/>
      <c r="I1858" s="14"/>
      <c r="L1858" s="14"/>
      <c r="M1858" s="18"/>
      <c r="N1858" s="18"/>
      <c r="O1858" s="18"/>
      <c r="P1858" s="18"/>
      <c r="Q1858" s="16"/>
      <c r="R1858" s="16"/>
    </row>
    <row r="1859" hidden="1">
      <c r="C1859" s="14"/>
      <c r="H1859" s="16"/>
      <c r="I1859" s="14"/>
      <c r="L1859" s="14"/>
      <c r="M1859" s="18"/>
      <c r="N1859" s="18"/>
      <c r="O1859" s="18"/>
      <c r="P1859" s="18"/>
      <c r="Q1859" s="16"/>
      <c r="R1859" s="16"/>
    </row>
    <row r="1860" hidden="1">
      <c r="C1860" s="14"/>
      <c r="H1860" s="16"/>
      <c r="I1860" s="14"/>
      <c r="L1860" s="14"/>
      <c r="M1860" s="18"/>
      <c r="N1860" s="18"/>
      <c r="O1860" s="18"/>
      <c r="P1860" s="18"/>
      <c r="Q1860" s="16"/>
      <c r="R1860" s="16"/>
    </row>
    <row r="1861" hidden="1">
      <c r="C1861" s="14"/>
      <c r="H1861" s="16"/>
      <c r="I1861" s="14"/>
      <c r="L1861" s="14"/>
      <c r="M1861" s="18"/>
      <c r="N1861" s="18"/>
      <c r="O1861" s="18"/>
      <c r="P1861" s="18"/>
      <c r="Q1861" s="16"/>
      <c r="R1861" s="16"/>
    </row>
    <row r="1862" hidden="1">
      <c r="C1862" s="14"/>
      <c r="H1862" s="16"/>
      <c r="I1862" s="14"/>
      <c r="L1862" s="14"/>
      <c r="M1862" s="18"/>
      <c r="N1862" s="18"/>
      <c r="O1862" s="18"/>
      <c r="P1862" s="18"/>
      <c r="Q1862" s="16"/>
      <c r="R1862" s="16"/>
    </row>
    <row r="1863" hidden="1">
      <c r="C1863" s="14"/>
      <c r="H1863" s="16"/>
      <c r="I1863" s="14"/>
      <c r="L1863" s="14"/>
      <c r="M1863" s="18"/>
      <c r="N1863" s="18"/>
      <c r="O1863" s="18"/>
      <c r="P1863" s="18"/>
      <c r="Q1863" s="16"/>
      <c r="R1863" s="16"/>
    </row>
    <row r="1864" hidden="1">
      <c r="C1864" s="14"/>
      <c r="H1864" s="16"/>
      <c r="I1864" s="14"/>
      <c r="L1864" s="14"/>
      <c r="M1864" s="18"/>
      <c r="N1864" s="18"/>
      <c r="O1864" s="18"/>
      <c r="P1864" s="18"/>
      <c r="Q1864" s="16"/>
      <c r="R1864" s="16"/>
    </row>
    <row r="1865" hidden="1">
      <c r="C1865" s="14"/>
      <c r="H1865" s="16"/>
      <c r="I1865" s="14"/>
      <c r="L1865" s="14"/>
      <c r="M1865" s="18"/>
      <c r="N1865" s="18"/>
      <c r="O1865" s="18"/>
      <c r="P1865" s="18"/>
      <c r="Q1865" s="16"/>
      <c r="R1865" s="16"/>
    </row>
    <row r="1866" hidden="1">
      <c r="C1866" s="14"/>
      <c r="H1866" s="16"/>
      <c r="I1866" s="14"/>
      <c r="L1866" s="14"/>
      <c r="M1866" s="18"/>
      <c r="N1866" s="18"/>
      <c r="O1866" s="18"/>
      <c r="P1866" s="18"/>
      <c r="Q1866" s="16"/>
      <c r="R1866" s="16"/>
    </row>
    <row r="1867" hidden="1">
      <c r="C1867" s="14"/>
      <c r="H1867" s="16"/>
      <c r="I1867" s="14"/>
      <c r="L1867" s="14"/>
      <c r="M1867" s="18"/>
      <c r="N1867" s="18"/>
      <c r="O1867" s="18"/>
      <c r="P1867" s="18"/>
      <c r="Q1867" s="16"/>
      <c r="R1867" s="16"/>
    </row>
    <row r="1868" hidden="1">
      <c r="C1868" s="14"/>
      <c r="H1868" s="16"/>
      <c r="I1868" s="14"/>
      <c r="L1868" s="14"/>
      <c r="M1868" s="18"/>
      <c r="N1868" s="18"/>
      <c r="O1868" s="18"/>
      <c r="P1868" s="18"/>
      <c r="Q1868" s="16"/>
      <c r="R1868" s="16"/>
    </row>
    <row r="1869" hidden="1">
      <c r="C1869" s="14"/>
      <c r="H1869" s="16"/>
      <c r="I1869" s="14"/>
      <c r="L1869" s="14"/>
      <c r="M1869" s="18"/>
      <c r="N1869" s="18"/>
      <c r="O1869" s="18"/>
      <c r="P1869" s="18"/>
      <c r="Q1869" s="16"/>
      <c r="R1869" s="16"/>
    </row>
    <row r="1870" hidden="1">
      <c r="C1870" s="14"/>
      <c r="H1870" s="16"/>
      <c r="I1870" s="14"/>
      <c r="L1870" s="14"/>
      <c r="M1870" s="18"/>
      <c r="N1870" s="18"/>
      <c r="O1870" s="18"/>
      <c r="P1870" s="18"/>
      <c r="Q1870" s="16"/>
      <c r="R1870" s="16"/>
    </row>
    <row r="1871" hidden="1">
      <c r="C1871" s="14"/>
      <c r="H1871" s="16"/>
      <c r="I1871" s="14"/>
      <c r="L1871" s="14"/>
      <c r="M1871" s="18"/>
      <c r="N1871" s="18"/>
      <c r="O1871" s="18"/>
      <c r="P1871" s="18"/>
      <c r="Q1871" s="16"/>
      <c r="R1871" s="16"/>
    </row>
    <row r="1872" hidden="1">
      <c r="C1872" s="14"/>
      <c r="H1872" s="16"/>
      <c r="I1872" s="14"/>
      <c r="L1872" s="14"/>
      <c r="M1872" s="18"/>
      <c r="N1872" s="18"/>
      <c r="O1872" s="18"/>
      <c r="P1872" s="18"/>
      <c r="Q1872" s="16"/>
      <c r="R1872" s="16"/>
    </row>
    <row r="1873" hidden="1">
      <c r="C1873" s="14"/>
      <c r="H1873" s="16"/>
      <c r="I1873" s="14"/>
      <c r="L1873" s="14"/>
      <c r="M1873" s="18"/>
      <c r="N1873" s="18"/>
      <c r="O1873" s="18"/>
      <c r="P1873" s="18"/>
      <c r="Q1873" s="16"/>
      <c r="R1873" s="16"/>
    </row>
    <row r="1874" hidden="1">
      <c r="C1874" s="14"/>
      <c r="H1874" s="16"/>
      <c r="I1874" s="14"/>
      <c r="L1874" s="14"/>
      <c r="M1874" s="18"/>
      <c r="N1874" s="18"/>
      <c r="O1874" s="18"/>
      <c r="P1874" s="18"/>
      <c r="Q1874" s="16"/>
      <c r="R1874" s="16"/>
    </row>
    <row r="1875" hidden="1">
      <c r="C1875" s="14"/>
      <c r="H1875" s="16"/>
      <c r="I1875" s="14"/>
      <c r="L1875" s="14"/>
      <c r="M1875" s="18"/>
      <c r="N1875" s="18"/>
      <c r="O1875" s="18"/>
      <c r="P1875" s="18"/>
      <c r="Q1875" s="16"/>
      <c r="R1875" s="16"/>
    </row>
    <row r="1876" hidden="1">
      <c r="C1876" s="14"/>
      <c r="H1876" s="16"/>
      <c r="I1876" s="14"/>
      <c r="L1876" s="14"/>
      <c r="M1876" s="18"/>
      <c r="N1876" s="18"/>
      <c r="O1876" s="18"/>
      <c r="P1876" s="18"/>
      <c r="Q1876" s="16"/>
      <c r="R1876" s="16"/>
    </row>
    <row r="1877" hidden="1">
      <c r="C1877" s="14"/>
      <c r="H1877" s="16"/>
      <c r="I1877" s="14"/>
      <c r="L1877" s="14"/>
      <c r="M1877" s="18"/>
      <c r="N1877" s="18"/>
      <c r="O1877" s="18"/>
      <c r="P1877" s="18"/>
      <c r="Q1877" s="16"/>
      <c r="R1877" s="16"/>
    </row>
    <row r="1878" hidden="1">
      <c r="C1878" s="14"/>
      <c r="H1878" s="16"/>
      <c r="I1878" s="14"/>
      <c r="L1878" s="14"/>
      <c r="M1878" s="18"/>
      <c r="N1878" s="18"/>
      <c r="O1878" s="18"/>
      <c r="P1878" s="18"/>
      <c r="Q1878" s="16"/>
      <c r="R1878" s="16"/>
    </row>
    <row r="1879" hidden="1">
      <c r="C1879" s="14"/>
      <c r="H1879" s="16"/>
      <c r="I1879" s="14"/>
      <c r="L1879" s="14"/>
      <c r="M1879" s="18"/>
      <c r="N1879" s="18"/>
      <c r="O1879" s="18"/>
      <c r="P1879" s="18"/>
      <c r="Q1879" s="16"/>
      <c r="R1879" s="16"/>
    </row>
    <row r="1880" hidden="1">
      <c r="C1880" s="14"/>
      <c r="H1880" s="16"/>
      <c r="I1880" s="14"/>
      <c r="L1880" s="14"/>
      <c r="M1880" s="18"/>
      <c r="N1880" s="18"/>
      <c r="O1880" s="18"/>
      <c r="P1880" s="18"/>
      <c r="Q1880" s="16"/>
      <c r="R1880" s="16"/>
    </row>
    <row r="1881" hidden="1">
      <c r="C1881" s="14"/>
      <c r="H1881" s="16"/>
      <c r="I1881" s="14"/>
      <c r="L1881" s="14"/>
      <c r="M1881" s="18"/>
      <c r="N1881" s="18"/>
      <c r="O1881" s="18"/>
      <c r="P1881" s="18"/>
      <c r="Q1881" s="16"/>
      <c r="R1881" s="16"/>
    </row>
    <row r="1882" hidden="1">
      <c r="C1882" s="14"/>
      <c r="H1882" s="16"/>
      <c r="I1882" s="14"/>
      <c r="L1882" s="14"/>
      <c r="M1882" s="18"/>
      <c r="N1882" s="18"/>
      <c r="O1882" s="18"/>
      <c r="P1882" s="18"/>
      <c r="Q1882" s="16"/>
      <c r="R1882" s="16"/>
    </row>
    <row r="1883" hidden="1">
      <c r="C1883" s="14"/>
      <c r="H1883" s="16"/>
      <c r="I1883" s="14"/>
      <c r="L1883" s="14"/>
      <c r="M1883" s="18"/>
      <c r="N1883" s="18"/>
      <c r="O1883" s="18"/>
      <c r="P1883" s="18"/>
      <c r="Q1883" s="16"/>
      <c r="R1883" s="16"/>
    </row>
    <row r="1884" hidden="1">
      <c r="C1884" s="14"/>
      <c r="H1884" s="16"/>
      <c r="I1884" s="14"/>
      <c r="L1884" s="14"/>
      <c r="M1884" s="18"/>
      <c r="N1884" s="18"/>
      <c r="O1884" s="18"/>
      <c r="P1884" s="18"/>
      <c r="Q1884" s="16"/>
      <c r="R1884" s="16"/>
    </row>
    <row r="1885" hidden="1">
      <c r="C1885" s="14"/>
      <c r="H1885" s="16"/>
      <c r="I1885" s="14"/>
      <c r="L1885" s="14"/>
      <c r="M1885" s="18"/>
      <c r="N1885" s="18"/>
      <c r="O1885" s="18"/>
      <c r="P1885" s="18"/>
      <c r="Q1885" s="16"/>
      <c r="R1885" s="16"/>
    </row>
    <row r="1886" hidden="1">
      <c r="C1886" s="14"/>
      <c r="H1886" s="16"/>
      <c r="I1886" s="14"/>
      <c r="L1886" s="14"/>
      <c r="M1886" s="18"/>
      <c r="N1886" s="18"/>
      <c r="O1886" s="18"/>
      <c r="P1886" s="18"/>
      <c r="Q1886" s="16"/>
      <c r="R1886" s="16"/>
    </row>
    <row r="1887" hidden="1">
      <c r="C1887" s="14"/>
      <c r="H1887" s="16"/>
      <c r="I1887" s="14"/>
      <c r="L1887" s="14"/>
      <c r="M1887" s="18"/>
      <c r="N1887" s="18"/>
      <c r="O1887" s="18"/>
      <c r="P1887" s="18"/>
      <c r="Q1887" s="16"/>
      <c r="R1887" s="16"/>
    </row>
    <row r="1888" hidden="1">
      <c r="C1888" s="14"/>
      <c r="H1888" s="16"/>
      <c r="I1888" s="14"/>
      <c r="L1888" s="14"/>
      <c r="M1888" s="18"/>
      <c r="N1888" s="18"/>
      <c r="O1888" s="18"/>
      <c r="P1888" s="18"/>
      <c r="Q1888" s="16"/>
      <c r="R1888" s="16"/>
    </row>
    <row r="1889" hidden="1">
      <c r="C1889" s="14"/>
      <c r="H1889" s="16"/>
      <c r="I1889" s="14"/>
      <c r="L1889" s="14"/>
      <c r="M1889" s="18"/>
      <c r="N1889" s="18"/>
      <c r="O1889" s="18"/>
      <c r="P1889" s="18"/>
      <c r="Q1889" s="16"/>
      <c r="R1889" s="16"/>
    </row>
    <row r="1890" hidden="1">
      <c r="C1890" s="14"/>
      <c r="H1890" s="16"/>
      <c r="I1890" s="14"/>
      <c r="L1890" s="14"/>
      <c r="M1890" s="18"/>
      <c r="N1890" s="18"/>
      <c r="O1890" s="18"/>
      <c r="P1890" s="18"/>
      <c r="Q1890" s="16"/>
      <c r="R1890" s="16"/>
    </row>
    <row r="1891" hidden="1">
      <c r="C1891" s="14"/>
      <c r="H1891" s="16"/>
      <c r="I1891" s="14"/>
      <c r="L1891" s="14"/>
      <c r="M1891" s="18"/>
      <c r="N1891" s="18"/>
      <c r="O1891" s="18"/>
      <c r="P1891" s="18"/>
      <c r="Q1891" s="16"/>
      <c r="R1891" s="16"/>
    </row>
    <row r="1892" hidden="1">
      <c r="C1892" s="14"/>
      <c r="H1892" s="16"/>
      <c r="I1892" s="14"/>
      <c r="L1892" s="14"/>
      <c r="M1892" s="18"/>
      <c r="N1892" s="18"/>
      <c r="O1892" s="18"/>
      <c r="P1892" s="18"/>
      <c r="Q1892" s="16"/>
      <c r="R1892" s="16"/>
    </row>
    <row r="1893" hidden="1">
      <c r="C1893" s="14"/>
      <c r="H1893" s="16"/>
      <c r="I1893" s="14"/>
      <c r="L1893" s="14"/>
      <c r="M1893" s="18"/>
      <c r="N1893" s="18"/>
      <c r="O1893" s="18"/>
      <c r="P1893" s="18"/>
      <c r="Q1893" s="16"/>
      <c r="R1893" s="16"/>
    </row>
    <row r="1894" hidden="1">
      <c r="C1894" s="14"/>
      <c r="H1894" s="16"/>
      <c r="I1894" s="14"/>
      <c r="L1894" s="14"/>
      <c r="M1894" s="18"/>
      <c r="N1894" s="18"/>
      <c r="O1894" s="18"/>
      <c r="P1894" s="18"/>
      <c r="Q1894" s="16"/>
      <c r="R1894" s="16"/>
    </row>
    <row r="1895" hidden="1">
      <c r="C1895" s="14"/>
      <c r="H1895" s="16"/>
      <c r="I1895" s="14"/>
      <c r="L1895" s="14"/>
      <c r="M1895" s="18"/>
      <c r="N1895" s="18"/>
      <c r="O1895" s="18"/>
      <c r="P1895" s="18"/>
      <c r="Q1895" s="16"/>
      <c r="R1895" s="16"/>
    </row>
    <row r="1896" hidden="1">
      <c r="C1896" s="14"/>
      <c r="H1896" s="16"/>
      <c r="I1896" s="14"/>
      <c r="L1896" s="14"/>
      <c r="M1896" s="18"/>
      <c r="N1896" s="18"/>
      <c r="O1896" s="18"/>
      <c r="P1896" s="18"/>
      <c r="Q1896" s="16"/>
      <c r="R1896" s="16"/>
    </row>
    <row r="1897" hidden="1">
      <c r="C1897" s="14"/>
      <c r="H1897" s="16"/>
      <c r="I1897" s="14"/>
      <c r="L1897" s="14"/>
      <c r="M1897" s="18"/>
      <c r="N1897" s="18"/>
      <c r="O1897" s="18"/>
      <c r="P1897" s="18"/>
      <c r="Q1897" s="16"/>
      <c r="R1897" s="16"/>
    </row>
    <row r="1898" hidden="1">
      <c r="C1898" s="14"/>
      <c r="H1898" s="16"/>
      <c r="I1898" s="14"/>
      <c r="L1898" s="14"/>
      <c r="M1898" s="18"/>
      <c r="N1898" s="18"/>
      <c r="O1898" s="18"/>
      <c r="P1898" s="18"/>
      <c r="Q1898" s="16"/>
      <c r="R1898" s="16"/>
    </row>
    <row r="1899" hidden="1">
      <c r="C1899" s="14"/>
      <c r="H1899" s="16"/>
      <c r="I1899" s="14"/>
      <c r="L1899" s="14"/>
      <c r="M1899" s="18"/>
      <c r="N1899" s="18"/>
      <c r="O1899" s="18"/>
      <c r="P1899" s="18"/>
      <c r="Q1899" s="16"/>
      <c r="R1899" s="16"/>
    </row>
    <row r="1900" hidden="1">
      <c r="C1900" s="14"/>
      <c r="H1900" s="16"/>
      <c r="I1900" s="14"/>
      <c r="L1900" s="14"/>
      <c r="M1900" s="18"/>
      <c r="N1900" s="18"/>
      <c r="O1900" s="18"/>
      <c r="P1900" s="18"/>
      <c r="Q1900" s="16"/>
      <c r="R1900" s="16"/>
    </row>
    <row r="1901" hidden="1">
      <c r="C1901" s="14"/>
      <c r="H1901" s="16"/>
      <c r="I1901" s="14"/>
      <c r="L1901" s="14"/>
      <c r="M1901" s="18"/>
      <c r="N1901" s="18"/>
      <c r="O1901" s="18"/>
      <c r="P1901" s="18"/>
      <c r="Q1901" s="16"/>
      <c r="R1901" s="16"/>
    </row>
    <row r="1902" hidden="1">
      <c r="C1902" s="14"/>
      <c r="H1902" s="16"/>
      <c r="I1902" s="14"/>
      <c r="L1902" s="14"/>
      <c r="M1902" s="18"/>
      <c r="N1902" s="18"/>
      <c r="O1902" s="18"/>
      <c r="P1902" s="18"/>
      <c r="Q1902" s="16"/>
      <c r="R1902" s="16"/>
    </row>
    <row r="1903" hidden="1">
      <c r="C1903" s="14"/>
      <c r="H1903" s="16"/>
      <c r="I1903" s="14"/>
      <c r="L1903" s="14"/>
      <c r="M1903" s="18"/>
      <c r="N1903" s="18"/>
      <c r="O1903" s="18"/>
      <c r="P1903" s="18"/>
      <c r="Q1903" s="16"/>
      <c r="R1903" s="16"/>
    </row>
    <row r="1904" hidden="1">
      <c r="C1904" s="14"/>
      <c r="H1904" s="16"/>
      <c r="I1904" s="14"/>
      <c r="L1904" s="14"/>
      <c r="M1904" s="18"/>
      <c r="N1904" s="18"/>
      <c r="O1904" s="18"/>
      <c r="P1904" s="18"/>
      <c r="Q1904" s="16"/>
      <c r="R1904" s="16"/>
    </row>
    <row r="1905" hidden="1">
      <c r="C1905" s="14"/>
      <c r="H1905" s="16"/>
      <c r="I1905" s="14"/>
      <c r="L1905" s="14"/>
      <c r="M1905" s="18"/>
      <c r="N1905" s="18"/>
      <c r="O1905" s="18"/>
      <c r="P1905" s="18"/>
      <c r="Q1905" s="16"/>
      <c r="R1905" s="16"/>
    </row>
    <row r="1906" hidden="1">
      <c r="C1906" s="14"/>
      <c r="H1906" s="16"/>
      <c r="I1906" s="14"/>
      <c r="L1906" s="14"/>
      <c r="M1906" s="18"/>
      <c r="N1906" s="18"/>
      <c r="O1906" s="18"/>
      <c r="P1906" s="18"/>
      <c r="Q1906" s="16"/>
      <c r="R1906" s="16"/>
    </row>
    <row r="1907" hidden="1">
      <c r="C1907" s="14"/>
      <c r="H1907" s="16"/>
      <c r="I1907" s="14"/>
      <c r="L1907" s="14"/>
      <c r="M1907" s="18"/>
      <c r="N1907" s="18"/>
      <c r="O1907" s="18"/>
      <c r="P1907" s="18"/>
      <c r="Q1907" s="16"/>
      <c r="R1907" s="16"/>
    </row>
    <row r="1908" hidden="1">
      <c r="C1908" s="14"/>
      <c r="H1908" s="16"/>
      <c r="I1908" s="14"/>
      <c r="L1908" s="14"/>
      <c r="M1908" s="18"/>
      <c r="N1908" s="18"/>
      <c r="O1908" s="18"/>
      <c r="P1908" s="18"/>
      <c r="Q1908" s="16"/>
      <c r="R1908" s="16"/>
    </row>
    <row r="1909" hidden="1">
      <c r="C1909" s="14"/>
      <c r="H1909" s="16"/>
      <c r="I1909" s="14"/>
      <c r="L1909" s="14"/>
      <c r="M1909" s="18"/>
      <c r="N1909" s="18"/>
      <c r="O1909" s="18"/>
      <c r="P1909" s="18"/>
      <c r="Q1909" s="16"/>
      <c r="R1909" s="16"/>
    </row>
    <row r="1910" hidden="1">
      <c r="C1910" s="14"/>
      <c r="H1910" s="16"/>
      <c r="I1910" s="14"/>
      <c r="L1910" s="14"/>
      <c r="M1910" s="18"/>
      <c r="N1910" s="18"/>
      <c r="O1910" s="18"/>
      <c r="P1910" s="18"/>
      <c r="Q1910" s="16"/>
      <c r="R1910" s="16"/>
    </row>
    <row r="1911" hidden="1">
      <c r="C1911" s="14"/>
      <c r="H1911" s="16"/>
      <c r="I1911" s="14"/>
      <c r="L1911" s="14"/>
      <c r="M1911" s="18"/>
      <c r="N1911" s="18"/>
      <c r="O1911" s="18"/>
      <c r="P1911" s="18"/>
      <c r="Q1911" s="16"/>
      <c r="R1911" s="16"/>
    </row>
    <row r="1912" hidden="1">
      <c r="C1912" s="14"/>
      <c r="H1912" s="16"/>
      <c r="I1912" s="14"/>
      <c r="L1912" s="14"/>
      <c r="M1912" s="18"/>
      <c r="N1912" s="18"/>
      <c r="O1912" s="18"/>
      <c r="P1912" s="18"/>
      <c r="Q1912" s="16"/>
      <c r="R1912" s="16"/>
    </row>
    <row r="1913" hidden="1">
      <c r="C1913" s="14"/>
      <c r="H1913" s="16"/>
      <c r="I1913" s="14"/>
      <c r="L1913" s="14"/>
      <c r="M1913" s="18"/>
      <c r="N1913" s="18"/>
      <c r="O1913" s="18"/>
      <c r="P1913" s="18"/>
      <c r="Q1913" s="16"/>
      <c r="R1913" s="16"/>
    </row>
    <row r="1914" hidden="1">
      <c r="C1914" s="14"/>
      <c r="H1914" s="16"/>
      <c r="I1914" s="14"/>
      <c r="L1914" s="14"/>
      <c r="M1914" s="18"/>
      <c r="N1914" s="18"/>
      <c r="O1914" s="18"/>
      <c r="P1914" s="18"/>
      <c r="Q1914" s="16"/>
      <c r="R1914" s="16"/>
    </row>
    <row r="1915" hidden="1">
      <c r="C1915" s="14"/>
      <c r="H1915" s="16"/>
      <c r="I1915" s="14"/>
      <c r="L1915" s="14"/>
      <c r="M1915" s="18"/>
      <c r="N1915" s="18"/>
      <c r="O1915" s="18"/>
      <c r="P1915" s="18"/>
      <c r="Q1915" s="16"/>
      <c r="R1915" s="16"/>
    </row>
    <row r="1916" hidden="1">
      <c r="C1916" s="14"/>
      <c r="H1916" s="16"/>
      <c r="I1916" s="14"/>
      <c r="L1916" s="14"/>
      <c r="M1916" s="18"/>
      <c r="N1916" s="18"/>
      <c r="O1916" s="18"/>
      <c r="P1916" s="18"/>
      <c r="Q1916" s="16"/>
      <c r="R1916" s="16"/>
    </row>
    <row r="1917" hidden="1">
      <c r="C1917" s="14"/>
      <c r="H1917" s="16"/>
      <c r="I1917" s="14"/>
      <c r="L1917" s="14"/>
      <c r="M1917" s="18"/>
      <c r="N1917" s="18"/>
      <c r="O1917" s="18"/>
      <c r="P1917" s="18"/>
      <c r="Q1917" s="16"/>
      <c r="R1917" s="16"/>
    </row>
    <row r="1918" hidden="1">
      <c r="C1918" s="14"/>
      <c r="H1918" s="16"/>
      <c r="I1918" s="14"/>
      <c r="L1918" s="14"/>
      <c r="M1918" s="18"/>
      <c r="N1918" s="18"/>
      <c r="O1918" s="18"/>
      <c r="P1918" s="18"/>
      <c r="Q1918" s="16"/>
      <c r="R1918" s="16"/>
    </row>
    <row r="1919" hidden="1">
      <c r="C1919" s="14"/>
      <c r="H1919" s="16"/>
      <c r="I1919" s="14"/>
      <c r="L1919" s="14"/>
      <c r="M1919" s="18"/>
      <c r="N1919" s="18"/>
      <c r="O1919" s="18"/>
      <c r="P1919" s="18"/>
      <c r="Q1919" s="16"/>
      <c r="R1919" s="16"/>
    </row>
    <row r="1920" hidden="1">
      <c r="C1920" s="14"/>
      <c r="H1920" s="16"/>
      <c r="I1920" s="14"/>
      <c r="L1920" s="14"/>
      <c r="M1920" s="18"/>
      <c r="N1920" s="18"/>
      <c r="O1920" s="18"/>
      <c r="P1920" s="18"/>
      <c r="Q1920" s="16"/>
      <c r="R1920" s="16"/>
    </row>
    <row r="1921" hidden="1">
      <c r="C1921" s="14"/>
      <c r="H1921" s="16"/>
      <c r="I1921" s="14"/>
      <c r="L1921" s="14"/>
      <c r="M1921" s="18"/>
      <c r="N1921" s="18"/>
      <c r="O1921" s="18"/>
      <c r="P1921" s="18"/>
      <c r="Q1921" s="16"/>
      <c r="R1921" s="16"/>
    </row>
    <row r="1922" hidden="1">
      <c r="C1922" s="14"/>
      <c r="H1922" s="16"/>
      <c r="I1922" s="14"/>
      <c r="L1922" s="14"/>
      <c r="M1922" s="18"/>
      <c r="N1922" s="18"/>
      <c r="O1922" s="18"/>
      <c r="P1922" s="18"/>
      <c r="Q1922" s="16"/>
      <c r="R1922" s="16"/>
    </row>
    <row r="1923" hidden="1">
      <c r="C1923" s="14"/>
      <c r="H1923" s="16"/>
      <c r="I1923" s="14"/>
      <c r="L1923" s="14"/>
      <c r="M1923" s="18"/>
      <c r="N1923" s="18"/>
      <c r="O1923" s="18"/>
      <c r="P1923" s="18"/>
      <c r="Q1923" s="16"/>
      <c r="R1923" s="16"/>
    </row>
    <row r="1924" hidden="1">
      <c r="C1924" s="14"/>
      <c r="H1924" s="16"/>
      <c r="I1924" s="14"/>
      <c r="L1924" s="14"/>
      <c r="M1924" s="18"/>
      <c r="N1924" s="18"/>
      <c r="O1924" s="18"/>
      <c r="P1924" s="18"/>
      <c r="Q1924" s="16"/>
      <c r="R1924" s="16"/>
    </row>
    <row r="1925" hidden="1">
      <c r="C1925" s="14"/>
      <c r="H1925" s="16"/>
      <c r="I1925" s="14"/>
      <c r="L1925" s="14"/>
      <c r="M1925" s="18"/>
      <c r="N1925" s="18"/>
      <c r="O1925" s="18"/>
      <c r="P1925" s="18"/>
      <c r="Q1925" s="16"/>
      <c r="R1925" s="16"/>
    </row>
    <row r="1926" hidden="1">
      <c r="C1926" s="14"/>
      <c r="H1926" s="16"/>
      <c r="I1926" s="14"/>
      <c r="L1926" s="14"/>
      <c r="M1926" s="18"/>
      <c r="N1926" s="18"/>
      <c r="O1926" s="18"/>
      <c r="P1926" s="18"/>
      <c r="Q1926" s="16"/>
      <c r="R1926" s="16"/>
    </row>
    <row r="1927" hidden="1">
      <c r="C1927" s="14"/>
      <c r="H1927" s="16"/>
      <c r="I1927" s="14"/>
      <c r="L1927" s="14"/>
      <c r="M1927" s="18"/>
      <c r="N1927" s="18"/>
      <c r="O1927" s="18"/>
      <c r="P1927" s="18"/>
      <c r="Q1927" s="16"/>
      <c r="R1927" s="16"/>
    </row>
    <row r="1928" hidden="1">
      <c r="C1928" s="14"/>
      <c r="H1928" s="16"/>
      <c r="I1928" s="14"/>
      <c r="L1928" s="14"/>
      <c r="M1928" s="18"/>
      <c r="N1928" s="18"/>
      <c r="O1928" s="18"/>
      <c r="P1928" s="18"/>
      <c r="Q1928" s="16"/>
      <c r="R1928" s="16"/>
    </row>
    <row r="1929" hidden="1">
      <c r="C1929" s="14"/>
      <c r="H1929" s="16"/>
      <c r="I1929" s="14"/>
      <c r="L1929" s="14"/>
      <c r="M1929" s="18"/>
      <c r="N1929" s="18"/>
      <c r="O1929" s="18"/>
      <c r="P1929" s="18"/>
      <c r="Q1929" s="16"/>
      <c r="R1929" s="16"/>
    </row>
    <row r="1930" hidden="1">
      <c r="C1930" s="14"/>
      <c r="H1930" s="16"/>
      <c r="I1930" s="14"/>
      <c r="L1930" s="14"/>
      <c r="M1930" s="18"/>
      <c r="N1930" s="18"/>
      <c r="O1930" s="18"/>
      <c r="P1930" s="18"/>
      <c r="Q1930" s="16"/>
      <c r="R1930" s="16"/>
    </row>
    <row r="1931" hidden="1">
      <c r="C1931" s="14"/>
      <c r="H1931" s="16"/>
      <c r="I1931" s="14"/>
      <c r="L1931" s="14"/>
      <c r="M1931" s="18"/>
      <c r="N1931" s="18"/>
      <c r="O1931" s="18"/>
      <c r="P1931" s="18"/>
      <c r="Q1931" s="16"/>
      <c r="R1931" s="16"/>
    </row>
    <row r="1932" hidden="1">
      <c r="C1932" s="14"/>
      <c r="H1932" s="16"/>
      <c r="I1932" s="14"/>
      <c r="L1932" s="14"/>
      <c r="M1932" s="18"/>
      <c r="N1932" s="18"/>
      <c r="O1932" s="18"/>
      <c r="P1932" s="18"/>
      <c r="Q1932" s="16"/>
      <c r="R1932" s="16"/>
    </row>
    <row r="1933" hidden="1">
      <c r="C1933" s="14"/>
      <c r="H1933" s="16"/>
      <c r="I1933" s="14"/>
      <c r="L1933" s="14"/>
      <c r="M1933" s="18"/>
      <c r="N1933" s="18"/>
      <c r="O1933" s="18"/>
      <c r="P1933" s="18"/>
      <c r="Q1933" s="16"/>
      <c r="R1933" s="16"/>
    </row>
    <row r="1934" hidden="1">
      <c r="C1934" s="14"/>
      <c r="H1934" s="16"/>
      <c r="I1934" s="14"/>
      <c r="L1934" s="14"/>
      <c r="M1934" s="18"/>
      <c r="N1934" s="18"/>
      <c r="O1934" s="18"/>
      <c r="P1934" s="18"/>
      <c r="Q1934" s="16"/>
      <c r="R1934" s="16"/>
    </row>
    <row r="1935" hidden="1">
      <c r="C1935" s="14"/>
      <c r="H1935" s="16"/>
      <c r="I1935" s="14"/>
      <c r="L1935" s="14"/>
      <c r="M1935" s="18"/>
      <c r="N1935" s="18"/>
      <c r="O1935" s="18"/>
      <c r="P1935" s="18"/>
      <c r="Q1935" s="16"/>
      <c r="R1935" s="16"/>
    </row>
    <row r="1936" hidden="1">
      <c r="C1936" s="14"/>
      <c r="H1936" s="16"/>
      <c r="I1936" s="14"/>
      <c r="L1936" s="14"/>
      <c r="M1936" s="18"/>
      <c r="N1936" s="18"/>
      <c r="O1936" s="18"/>
      <c r="P1936" s="18"/>
      <c r="Q1936" s="16"/>
      <c r="R1936" s="16"/>
    </row>
    <row r="1937" hidden="1">
      <c r="C1937" s="14"/>
      <c r="H1937" s="16"/>
      <c r="I1937" s="14"/>
      <c r="L1937" s="14"/>
      <c r="M1937" s="18"/>
      <c r="N1937" s="18"/>
      <c r="O1937" s="18"/>
      <c r="P1937" s="18"/>
      <c r="Q1937" s="16"/>
      <c r="R1937" s="16"/>
    </row>
    <row r="1938" hidden="1">
      <c r="C1938" s="14"/>
      <c r="H1938" s="16"/>
      <c r="I1938" s="14"/>
      <c r="L1938" s="14"/>
      <c r="M1938" s="18"/>
      <c r="N1938" s="18"/>
      <c r="O1938" s="18"/>
      <c r="P1938" s="18"/>
      <c r="Q1938" s="16"/>
      <c r="R1938" s="16"/>
    </row>
    <row r="1939" hidden="1">
      <c r="C1939" s="14"/>
      <c r="H1939" s="16"/>
      <c r="I1939" s="14"/>
      <c r="L1939" s="14"/>
      <c r="M1939" s="18"/>
      <c r="N1939" s="18"/>
      <c r="O1939" s="18"/>
      <c r="P1939" s="18"/>
      <c r="Q1939" s="16"/>
      <c r="R1939" s="16"/>
    </row>
    <row r="1940" hidden="1">
      <c r="C1940" s="14"/>
      <c r="H1940" s="16"/>
      <c r="I1940" s="14"/>
      <c r="L1940" s="14"/>
      <c r="M1940" s="18"/>
      <c r="N1940" s="18"/>
      <c r="O1940" s="18"/>
      <c r="P1940" s="18"/>
      <c r="Q1940" s="16"/>
      <c r="R1940" s="16"/>
    </row>
    <row r="1941" hidden="1">
      <c r="C1941" s="14"/>
      <c r="H1941" s="16"/>
      <c r="I1941" s="14"/>
      <c r="L1941" s="14"/>
      <c r="M1941" s="18"/>
      <c r="N1941" s="18"/>
      <c r="O1941" s="18"/>
      <c r="P1941" s="18"/>
      <c r="Q1941" s="16"/>
      <c r="R1941" s="16"/>
    </row>
    <row r="1942" hidden="1">
      <c r="C1942" s="14"/>
      <c r="H1942" s="16"/>
      <c r="I1942" s="14"/>
      <c r="L1942" s="14"/>
      <c r="M1942" s="18"/>
      <c r="N1942" s="18"/>
      <c r="O1942" s="18"/>
      <c r="P1942" s="18"/>
      <c r="Q1942" s="16"/>
      <c r="R1942" s="16"/>
    </row>
    <row r="1943" hidden="1">
      <c r="C1943" s="14"/>
      <c r="H1943" s="16"/>
      <c r="I1943" s="14"/>
      <c r="L1943" s="14"/>
      <c r="M1943" s="18"/>
      <c r="N1943" s="18"/>
      <c r="O1943" s="18"/>
      <c r="P1943" s="18"/>
      <c r="Q1943" s="16"/>
      <c r="R1943" s="16"/>
    </row>
    <row r="1944" hidden="1">
      <c r="C1944" s="14"/>
      <c r="H1944" s="16"/>
      <c r="I1944" s="14"/>
      <c r="L1944" s="14"/>
      <c r="M1944" s="18"/>
      <c r="N1944" s="18"/>
      <c r="O1944" s="18"/>
      <c r="P1944" s="18"/>
      <c r="Q1944" s="16"/>
      <c r="R1944" s="16"/>
    </row>
    <row r="1945" hidden="1">
      <c r="C1945" s="14"/>
      <c r="H1945" s="16"/>
      <c r="I1945" s="14"/>
      <c r="L1945" s="14"/>
      <c r="M1945" s="18"/>
      <c r="N1945" s="18"/>
      <c r="O1945" s="18"/>
      <c r="P1945" s="18"/>
      <c r="Q1945" s="16"/>
      <c r="R1945" s="16"/>
    </row>
    <row r="1946" hidden="1">
      <c r="C1946" s="14"/>
      <c r="H1946" s="16"/>
      <c r="I1946" s="14"/>
      <c r="L1946" s="14"/>
      <c r="M1946" s="18"/>
      <c r="N1946" s="18"/>
      <c r="O1946" s="18"/>
      <c r="P1946" s="18"/>
      <c r="Q1946" s="16"/>
      <c r="R1946" s="16"/>
    </row>
    <row r="1947" hidden="1">
      <c r="C1947" s="14"/>
      <c r="H1947" s="16"/>
      <c r="I1947" s="14"/>
      <c r="L1947" s="14"/>
      <c r="M1947" s="18"/>
      <c r="N1947" s="18"/>
      <c r="O1947" s="18"/>
      <c r="P1947" s="18"/>
      <c r="Q1947" s="16"/>
      <c r="R1947" s="16"/>
    </row>
    <row r="1948" hidden="1">
      <c r="C1948" s="14"/>
      <c r="H1948" s="16"/>
      <c r="I1948" s="14"/>
      <c r="L1948" s="14"/>
      <c r="M1948" s="18"/>
      <c r="N1948" s="18"/>
      <c r="O1948" s="18"/>
      <c r="P1948" s="18"/>
      <c r="Q1948" s="16"/>
      <c r="R1948" s="16"/>
    </row>
    <row r="1949" hidden="1">
      <c r="C1949" s="14"/>
      <c r="H1949" s="16"/>
      <c r="I1949" s="14"/>
      <c r="L1949" s="14"/>
      <c r="M1949" s="18"/>
      <c r="N1949" s="18"/>
      <c r="O1949" s="18"/>
      <c r="P1949" s="18"/>
      <c r="Q1949" s="16"/>
      <c r="R1949" s="16"/>
    </row>
    <row r="1950" hidden="1">
      <c r="C1950" s="14"/>
      <c r="H1950" s="16"/>
      <c r="I1950" s="14"/>
      <c r="L1950" s="14"/>
      <c r="M1950" s="18"/>
      <c r="N1950" s="18"/>
      <c r="O1950" s="18"/>
      <c r="P1950" s="18"/>
      <c r="Q1950" s="16"/>
      <c r="R1950" s="16"/>
    </row>
    <row r="1951" hidden="1">
      <c r="C1951" s="14"/>
      <c r="H1951" s="16"/>
      <c r="I1951" s="14"/>
      <c r="L1951" s="14"/>
      <c r="M1951" s="18"/>
      <c r="N1951" s="18"/>
      <c r="O1951" s="18"/>
      <c r="P1951" s="18"/>
      <c r="Q1951" s="16"/>
      <c r="R1951" s="16"/>
    </row>
    <row r="1952" hidden="1">
      <c r="C1952" s="14"/>
      <c r="H1952" s="16"/>
      <c r="I1952" s="14"/>
      <c r="L1952" s="14"/>
      <c r="M1952" s="18"/>
      <c r="N1952" s="18"/>
      <c r="O1952" s="18"/>
      <c r="P1952" s="18"/>
      <c r="Q1952" s="16"/>
      <c r="R1952" s="16"/>
    </row>
    <row r="1953" hidden="1">
      <c r="C1953" s="14"/>
      <c r="H1953" s="16"/>
      <c r="I1953" s="14"/>
      <c r="L1953" s="14"/>
      <c r="M1953" s="18"/>
      <c r="N1953" s="18"/>
      <c r="O1953" s="18"/>
      <c r="P1953" s="18"/>
      <c r="Q1953" s="16"/>
      <c r="R1953" s="16"/>
    </row>
    <row r="1954" hidden="1">
      <c r="C1954" s="14"/>
      <c r="H1954" s="16"/>
      <c r="I1954" s="14"/>
      <c r="L1954" s="14"/>
      <c r="M1954" s="18"/>
      <c r="N1954" s="18"/>
      <c r="O1954" s="18"/>
      <c r="P1954" s="18"/>
      <c r="Q1954" s="16"/>
      <c r="R1954" s="16"/>
    </row>
    <row r="1955" hidden="1">
      <c r="C1955" s="14"/>
      <c r="H1955" s="16"/>
      <c r="I1955" s="14"/>
      <c r="L1955" s="14"/>
      <c r="M1955" s="18"/>
      <c r="N1955" s="18"/>
      <c r="O1955" s="18"/>
      <c r="P1955" s="18"/>
      <c r="Q1955" s="16"/>
      <c r="R1955" s="16"/>
    </row>
    <row r="1956" hidden="1">
      <c r="C1956" s="14"/>
      <c r="H1956" s="16"/>
      <c r="I1956" s="14"/>
      <c r="L1956" s="14"/>
      <c r="M1956" s="18"/>
      <c r="N1956" s="18"/>
      <c r="O1956" s="18"/>
      <c r="P1956" s="18"/>
      <c r="Q1956" s="16"/>
      <c r="R1956" s="16"/>
    </row>
    <row r="1957" hidden="1">
      <c r="C1957" s="14"/>
      <c r="H1957" s="16"/>
      <c r="I1957" s="14"/>
      <c r="L1957" s="14"/>
      <c r="M1957" s="18"/>
      <c r="N1957" s="18"/>
      <c r="O1957" s="18"/>
      <c r="P1957" s="18"/>
      <c r="Q1957" s="16"/>
      <c r="R1957" s="16"/>
    </row>
    <row r="1958" hidden="1">
      <c r="C1958" s="14"/>
      <c r="H1958" s="16"/>
      <c r="I1958" s="14"/>
      <c r="L1958" s="14"/>
      <c r="M1958" s="18"/>
      <c r="N1958" s="18"/>
      <c r="O1958" s="18"/>
      <c r="P1958" s="18"/>
      <c r="Q1958" s="16"/>
      <c r="R1958" s="16"/>
    </row>
    <row r="1959" hidden="1">
      <c r="C1959" s="14"/>
      <c r="H1959" s="16"/>
      <c r="I1959" s="14"/>
      <c r="L1959" s="14"/>
      <c r="M1959" s="18"/>
      <c r="N1959" s="18"/>
      <c r="O1959" s="18"/>
      <c r="P1959" s="18"/>
      <c r="Q1959" s="16"/>
      <c r="R1959" s="16"/>
    </row>
    <row r="1960" hidden="1">
      <c r="C1960" s="14"/>
      <c r="H1960" s="16"/>
      <c r="I1960" s="14"/>
      <c r="L1960" s="14"/>
      <c r="M1960" s="18"/>
      <c r="N1960" s="18"/>
      <c r="O1960" s="18"/>
      <c r="P1960" s="18"/>
      <c r="Q1960" s="16"/>
      <c r="R1960" s="16"/>
    </row>
    <row r="1961" hidden="1">
      <c r="C1961" s="14"/>
      <c r="H1961" s="16"/>
      <c r="I1961" s="14"/>
      <c r="L1961" s="14"/>
      <c r="M1961" s="18"/>
      <c r="N1961" s="18"/>
      <c r="O1961" s="18"/>
      <c r="P1961" s="18"/>
      <c r="Q1961" s="16"/>
      <c r="R1961" s="16"/>
    </row>
    <row r="1962" hidden="1">
      <c r="C1962" s="14"/>
      <c r="H1962" s="16"/>
      <c r="I1962" s="14"/>
      <c r="L1962" s="14"/>
      <c r="M1962" s="18"/>
      <c r="N1962" s="18"/>
      <c r="O1962" s="18"/>
      <c r="P1962" s="18"/>
      <c r="Q1962" s="16"/>
      <c r="R1962" s="16"/>
    </row>
    <row r="1963" hidden="1">
      <c r="C1963" s="14"/>
      <c r="H1963" s="16"/>
      <c r="I1963" s="14"/>
      <c r="L1963" s="14"/>
      <c r="M1963" s="18"/>
      <c r="N1963" s="18"/>
      <c r="O1963" s="18"/>
      <c r="P1963" s="18"/>
      <c r="Q1963" s="16"/>
      <c r="R1963" s="16"/>
    </row>
    <row r="1964" hidden="1">
      <c r="C1964" s="14"/>
      <c r="H1964" s="16"/>
      <c r="I1964" s="14"/>
      <c r="L1964" s="14"/>
      <c r="M1964" s="18"/>
      <c r="N1964" s="18"/>
      <c r="O1964" s="18"/>
      <c r="P1964" s="18"/>
      <c r="Q1964" s="16"/>
      <c r="R1964" s="16"/>
    </row>
    <row r="1965" hidden="1">
      <c r="C1965" s="14"/>
      <c r="H1965" s="16"/>
      <c r="I1965" s="14"/>
      <c r="L1965" s="14"/>
      <c r="M1965" s="18"/>
      <c r="N1965" s="18"/>
      <c r="O1965" s="18"/>
      <c r="P1965" s="18"/>
      <c r="Q1965" s="16"/>
      <c r="R1965" s="16"/>
    </row>
    <row r="1966" hidden="1">
      <c r="C1966" s="14"/>
      <c r="H1966" s="16"/>
      <c r="I1966" s="14"/>
      <c r="L1966" s="14"/>
      <c r="M1966" s="18"/>
      <c r="N1966" s="18"/>
      <c r="O1966" s="18"/>
      <c r="P1966" s="18"/>
      <c r="Q1966" s="16"/>
      <c r="R1966" s="16"/>
    </row>
    <row r="1967" hidden="1">
      <c r="C1967" s="14"/>
      <c r="H1967" s="16"/>
      <c r="I1967" s="14"/>
      <c r="L1967" s="14"/>
      <c r="M1967" s="18"/>
      <c r="N1967" s="18"/>
      <c r="O1967" s="18"/>
      <c r="P1967" s="18"/>
      <c r="Q1967" s="16"/>
      <c r="R1967" s="16"/>
    </row>
    <row r="1968" hidden="1">
      <c r="C1968" s="14"/>
      <c r="H1968" s="16"/>
      <c r="I1968" s="14"/>
      <c r="L1968" s="14"/>
      <c r="M1968" s="18"/>
      <c r="N1968" s="18"/>
      <c r="O1968" s="18"/>
      <c r="P1968" s="18"/>
      <c r="Q1968" s="16"/>
      <c r="R1968" s="16"/>
    </row>
    <row r="1969" hidden="1">
      <c r="C1969" s="14"/>
      <c r="H1969" s="16"/>
      <c r="I1969" s="14"/>
      <c r="L1969" s="14"/>
      <c r="M1969" s="18"/>
      <c r="N1969" s="18"/>
      <c r="O1969" s="18"/>
      <c r="P1969" s="18"/>
      <c r="Q1969" s="16"/>
      <c r="R1969" s="16"/>
    </row>
    <row r="1970" hidden="1">
      <c r="C1970" s="14"/>
      <c r="H1970" s="16"/>
      <c r="I1970" s="14"/>
      <c r="L1970" s="14"/>
      <c r="M1970" s="18"/>
      <c r="N1970" s="18"/>
      <c r="O1970" s="18"/>
      <c r="P1970" s="18"/>
      <c r="Q1970" s="16"/>
      <c r="R1970" s="16"/>
    </row>
    <row r="1971" hidden="1">
      <c r="C1971" s="14"/>
      <c r="H1971" s="16"/>
      <c r="I1971" s="14"/>
      <c r="L1971" s="14"/>
      <c r="M1971" s="18"/>
      <c r="N1971" s="18"/>
      <c r="O1971" s="18"/>
      <c r="P1971" s="18"/>
      <c r="Q1971" s="16"/>
      <c r="R1971" s="16"/>
    </row>
    <row r="1972" hidden="1">
      <c r="C1972" s="14"/>
      <c r="H1972" s="16"/>
      <c r="I1972" s="14"/>
      <c r="L1972" s="14"/>
      <c r="M1972" s="18"/>
      <c r="N1972" s="18"/>
      <c r="O1972" s="18"/>
      <c r="P1972" s="18"/>
      <c r="Q1972" s="16"/>
      <c r="R1972" s="16"/>
    </row>
    <row r="1973" hidden="1">
      <c r="C1973" s="14"/>
      <c r="H1973" s="16"/>
      <c r="I1973" s="14"/>
      <c r="L1973" s="14"/>
      <c r="M1973" s="18"/>
      <c r="N1973" s="18"/>
      <c r="O1973" s="18"/>
      <c r="P1973" s="18"/>
      <c r="Q1973" s="16"/>
      <c r="R1973" s="16"/>
    </row>
    <row r="1974" hidden="1">
      <c r="C1974" s="14"/>
      <c r="H1974" s="16"/>
      <c r="I1974" s="14"/>
      <c r="L1974" s="14"/>
      <c r="M1974" s="18"/>
      <c r="N1974" s="18"/>
      <c r="O1974" s="18"/>
      <c r="P1974" s="18"/>
      <c r="Q1974" s="16"/>
      <c r="R1974" s="16"/>
    </row>
    <row r="1975" hidden="1">
      <c r="C1975" s="14"/>
      <c r="H1975" s="16"/>
      <c r="I1975" s="14"/>
      <c r="L1975" s="14"/>
      <c r="M1975" s="18"/>
      <c r="N1975" s="18"/>
      <c r="O1975" s="18"/>
      <c r="P1975" s="18"/>
      <c r="Q1975" s="16"/>
      <c r="R1975" s="16"/>
    </row>
    <row r="1976" hidden="1">
      <c r="C1976" s="14"/>
      <c r="H1976" s="16"/>
      <c r="I1976" s="14"/>
      <c r="L1976" s="14"/>
      <c r="M1976" s="18"/>
      <c r="N1976" s="18"/>
      <c r="O1976" s="18"/>
      <c r="P1976" s="18"/>
      <c r="Q1976" s="16"/>
      <c r="R1976" s="16"/>
    </row>
    <row r="1977" hidden="1">
      <c r="C1977" s="14"/>
      <c r="H1977" s="16"/>
      <c r="I1977" s="14"/>
      <c r="L1977" s="14"/>
      <c r="M1977" s="18"/>
      <c r="N1977" s="18"/>
      <c r="O1977" s="18"/>
      <c r="P1977" s="18"/>
      <c r="Q1977" s="16"/>
      <c r="R1977" s="16"/>
    </row>
    <row r="1978" hidden="1">
      <c r="C1978" s="14"/>
      <c r="H1978" s="16"/>
      <c r="I1978" s="14"/>
      <c r="L1978" s="14"/>
      <c r="M1978" s="18"/>
      <c r="N1978" s="18"/>
      <c r="O1978" s="18"/>
      <c r="P1978" s="18"/>
      <c r="Q1978" s="16"/>
      <c r="R1978" s="16"/>
    </row>
    <row r="1979" hidden="1">
      <c r="C1979" s="14"/>
      <c r="H1979" s="16"/>
      <c r="I1979" s="14"/>
      <c r="L1979" s="14"/>
      <c r="M1979" s="18"/>
      <c r="N1979" s="18"/>
      <c r="O1979" s="18"/>
      <c r="P1979" s="18"/>
      <c r="Q1979" s="16"/>
      <c r="R1979" s="16"/>
    </row>
    <row r="1980" hidden="1">
      <c r="C1980" s="14"/>
      <c r="H1980" s="16"/>
      <c r="I1980" s="14"/>
      <c r="L1980" s="14"/>
      <c r="M1980" s="18"/>
      <c r="N1980" s="18"/>
      <c r="O1980" s="18"/>
      <c r="P1980" s="18"/>
      <c r="Q1980" s="16"/>
      <c r="R1980" s="16"/>
    </row>
    <row r="1981" hidden="1">
      <c r="C1981" s="14"/>
      <c r="H1981" s="16"/>
      <c r="I1981" s="14"/>
      <c r="L1981" s="14"/>
      <c r="M1981" s="18"/>
      <c r="N1981" s="18"/>
      <c r="O1981" s="18"/>
      <c r="P1981" s="18"/>
      <c r="Q1981" s="16"/>
      <c r="R1981" s="16"/>
    </row>
    <row r="1982" hidden="1">
      <c r="C1982" s="14"/>
      <c r="H1982" s="16"/>
      <c r="I1982" s="14"/>
      <c r="L1982" s="14"/>
      <c r="M1982" s="18"/>
      <c r="N1982" s="18"/>
      <c r="O1982" s="18"/>
      <c r="P1982" s="18"/>
      <c r="Q1982" s="16"/>
      <c r="R1982" s="16"/>
    </row>
    <row r="1983" hidden="1">
      <c r="C1983" s="14"/>
      <c r="H1983" s="16"/>
      <c r="I1983" s="14"/>
      <c r="L1983" s="14"/>
      <c r="M1983" s="18"/>
      <c r="N1983" s="18"/>
      <c r="O1983" s="18"/>
      <c r="P1983" s="18"/>
      <c r="Q1983" s="16"/>
      <c r="R1983" s="16"/>
    </row>
    <row r="1984" hidden="1">
      <c r="C1984" s="14"/>
      <c r="H1984" s="16"/>
      <c r="I1984" s="14"/>
      <c r="L1984" s="14"/>
      <c r="M1984" s="18"/>
      <c r="N1984" s="18"/>
      <c r="O1984" s="18"/>
      <c r="P1984" s="18"/>
      <c r="Q1984" s="16"/>
      <c r="R1984" s="16"/>
    </row>
    <row r="1985" hidden="1">
      <c r="C1985" s="14"/>
      <c r="H1985" s="16"/>
      <c r="I1985" s="14"/>
      <c r="L1985" s="14"/>
      <c r="M1985" s="18"/>
      <c r="N1985" s="18"/>
      <c r="O1985" s="18"/>
      <c r="P1985" s="18"/>
      <c r="Q1985" s="16"/>
      <c r="R1985" s="16"/>
    </row>
    <row r="1986" hidden="1">
      <c r="C1986" s="14"/>
      <c r="H1986" s="16"/>
      <c r="I1986" s="14"/>
      <c r="L1986" s="14"/>
      <c r="M1986" s="18"/>
      <c r="N1986" s="18"/>
      <c r="O1986" s="18"/>
      <c r="P1986" s="18"/>
      <c r="Q1986" s="16"/>
      <c r="R1986" s="16"/>
    </row>
    <row r="1987" hidden="1">
      <c r="C1987" s="14"/>
      <c r="H1987" s="16"/>
      <c r="I1987" s="14"/>
      <c r="L1987" s="14"/>
      <c r="M1987" s="18"/>
      <c r="N1987" s="18"/>
      <c r="O1987" s="18"/>
      <c r="P1987" s="18"/>
      <c r="Q1987" s="16"/>
      <c r="R1987" s="16"/>
    </row>
    <row r="1988" hidden="1">
      <c r="C1988" s="14"/>
      <c r="H1988" s="16"/>
      <c r="I1988" s="14"/>
      <c r="L1988" s="14"/>
      <c r="M1988" s="18"/>
      <c r="N1988" s="18"/>
      <c r="O1988" s="18"/>
      <c r="P1988" s="18"/>
      <c r="Q1988" s="16"/>
      <c r="R1988" s="16"/>
    </row>
    <row r="1989" hidden="1">
      <c r="C1989" s="14"/>
      <c r="H1989" s="16"/>
      <c r="I1989" s="14"/>
      <c r="L1989" s="14"/>
      <c r="M1989" s="18"/>
      <c r="N1989" s="18"/>
      <c r="O1989" s="18"/>
      <c r="P1989" s="18"/>
      <c r="Q1989" s="16"/>
      <c r="R1989" s="16"/>
    </row>
    <row r="1990" hidden="1">
      <c r="C1990" s="14"/>
      <c r="H1990" s="16"/>
      <c r="I1990" s="14"/>
      <c r="L1990" s="14"/>
      <c r="M1990" s="18"/>
      <c r="N1990" s="18"/>
      <c r="O1990" s="18"/>
      <c r="P1990" s="18"/>
      <c r="Q1990" s="16"/>
      <c r="R1990" s="16"/>
    </row>
    <row r="1991" hidden="1">
      <c r="C1991" s="14"/>
      <c r="H1991" s="16"/>
      <c r="I1991" s="14"/>
      <c r="L1991" s="14"/>
      <c r="M1991" s="18"/>
      <c r="N1991" s="18"/>
      <c r="O1991" s="18"/>
      <c r="P1991" s="18"/>
      <c r="Q1991" s="16"/>
      <c r="R1991" s="16"/>
    </row>
    <row r="1992" hidden="1">
      <c r="C1992" s="14"/>
      <c r="H1992" s="16"/>
      <c r="I1992" s="14"/>
      <c r="L1992" s="14"/>
      <c r="M1992" s="18"/>
      <c r="N1992" s="18"/>
      <c r="O1992" s="18"/>
      <c r="P1992" s="18"/>
      <c r="Q1992" s="16"/>
      <c r="R1992" s="16"/>
    </row>
    <row r="1993" hidden="1">
      <c r="C1993" s="14"/>
      <c r="H1993" s="16"/>
      <c r="I1993" s="14"/>
      <c r="L1993" s="14"/>
      <c r="M1993" s="18"/>
      <c r="N1993" s="18"/>
      <c r="O1993" s="18"/>
      <c r="P1993" s="18"/>
      <c r="Q1993" s="16"/>
      <c r="R1993" s="16"/>
    </row>
    <row r="1994" hidden="1">
      <c r="C1994" s="14"/>
      <c r="H1994" s="16"/>
      <c r="I1994" s="14"/>
      <c r="L1994" s="14"/>
      <c r="M1994" s="18"/>
      <c r="N1994" s="18"/>
      <c r="O1994" s="18"/>
      <c r="P1994" s="18"/>
      <c r="Q1994" s="16"/>
      <c r="R1994" s="16"/>
    </row>
    <row r="1995" hidden="1">
      <c r="C1995" s="14"/>
      <c r="H1995" s="16"/>
      <c r="I1995" s="14"/>
      <c r="L1995" s="14"/>
      <c r="M1995" s="18"/>
      <c r="N1995" s="18"/>
      <c r="O1995" s="18"/>
      <c r="P1995" s="18"/>
      <c r="Q1995" s="16"/>
      <c r="R1995" s="16"/>
    </row>
    <row r="1996" hidden="1">
      <c r="C1996" s="14"/>
      <c r="H1996" s="16"/>
      <c r="I1996" s="14"/>
      <c r="L1996" s="14"/>
      <c r="M1996" s="18"/>
      <c r="N1996" s="18"/>
      <c r="O1996" s="18"/>
      <c r="P1996" s="18"/>
      <c r="Q1996" s="16"/>
      <c r="R1996" s="16"/>
    </row>
    <row r="1997" hidden="1">
      <c r="C1997" s="14"/>
      <c r="H1997" s="16"/>
      <c r="I1997" s="14"/>
      <c r="L1997" s="14"/>
      <c r="M1997" s="18"/>
      <c r="N1997" s="18"/>
      <c r="O1997" s="18"/>
      <c r="P1997" s="18"/>
      <c r="Q1997" s="16"/>
      <c r="R1997" s="16"/>
    </row>
    <row r="1998" hidden="1">
      <c r="C1998" s="14"/>
      <c r="H1998" s="16"/>
      <c r="I1998" s="14"/>
      <c r="L1998" s="14"/>
      <c r="M1998" s="18"/>
      <c r="N1998" s="18"/>
      <c r="O1998" s="18"/>
      <c r="P1998" s="18"/>
      <c r="Q1998" s="16"/>
      <c r="R1998" s="16"/>
    </row>
    <row r="1999" hidden="1">
      <c r="C1999" s="14"/>
      <c r="H1999" s="16"/>
      <c r="I1999" s="14"/>
      <c r="L1999" s="14"/>
      <c r="M1999" s="18"/>
      <c r="N1999" s="18"/>
      <c r="O1999" s="18"/>
      <c r="P1999" s="18"/>
      <c r="Q1999" s="16"/>
      <c r="R1999" s="16"/>
    </row>
    <row r="2000" hidden="1">
      <c r="C2000" s="14"/>
      <c r="H2000" s="16"/>
      <c r="I2000" s="14"/>
      <c r="L2000" s="14"/>
      <c r="M2000" s="18"/>
      <c r="N2000" s="18"/>
      <c r="O2000" s="18"/>
      <c r="P2000" s="18"/>
      <c r="Q2000" s="16"/>
      <c r="R2000" s="16"/>
    </row>
    <row r="2001" hidden="1">
      <c r="C2001" s="14"/>
      <c r="H2001" s="16"/>
      <c r="I2001" s="14"/>
      <c r="L2001" s="14"/>
      <c r="M2001" s="18"/>
      <c r="N2001" s="18"/>
      <c r="O2001" s="18"/>
      <c r="P2001" s="18"/>
      <c r="Q2001" s="16"/>
      <c r="R2001" s="16"/>
    </row>
    <row r="2002" hidden="1">
      <c r="C2002" s="14"/>
      <c r="H2002" s="16"/>
      <c r="I2002" s="14"/>
      <c r="L2002" s="14"/>
      <c r="M2002" s="18"/>
      <c r="N2002" s="18"/>
      <c r="O2002" s="18"/>
      <c r="P2002" s="18"/>
      <c r="Q2002" s="16"/>
      <c r="R2002" s="16"/>
    </row>
    <row r="2003" hidden="1">
      <c r="C2003" s="14"/>
      <c r="H2003" s="16"/>
      <c r="I2003" s="14"/>
      <c r="L2003" s="14"/>
      <c r="M2003" s="18"/>
      <c r="N2003" s="18"/>
      <c r="O2003" s="18"/>
      <c r="P2003" s="18"/>
      <c r="Q2003" s="16"/>
      <c r="R2003" s="16"/>
    </row>
    <row r="2004" hidden="1">
      <c r="C2004" s="14"/>
      <c r="H2004" s="16"/>
      <c r="I2004" s="14"/>
      <c r="L2004" s="14"/>
      <c r="M2004" s="18"/>
      <c r="N2004" s="18"/>
      <c r="O2004" s="18"/>
      <c r="P2004" s="18"/>
      <c r="Q2004" s="16"/>
      <c r="R2004" s="16"/>
    </row>
    <row r="2005" hidden="1">
      <c r="C2005" s="14"/>
      <c r="H2005" s="16"/>
      <c r="I2005" s="14"/>
      <c r="L2005" s="14"/>
      <c r="M2005" s="18"/>
      <c r="N2005" s="18"/>
      <c r="O2005" s="18"/>
      <c r="P2005" s="18"/>
      <c r="Q2005" s="16"/>
      <c r="R2005" s="16"/>
    </row>
    <row r="2006" hidden="1">
      <c r="C2006" s="14"/>
      <c r="H2006" s="16"/>
      <c r="I2006" s="14"/>
      <c r="L2006" s="14"/>
      <c r="M2006" s="18"/>
      <c r="N2006" s="18"/>
      <c r="O2006" s="18"/>
      <c r="P2006" s="18"/>
      <c r="Q2006" s="16"/>
      <c r="R2006" s="16"/>
    </row>
    <row r="2007" hidden="1">
      <c r="C2007" s="14"/>
      <c r="H2007" s="16"/>
      <c r="I2007" s="14"/>
      <c r="L2007" s="14"/>
      <c r="M2007" s="18"/>
      <c r="N2007" s="18"/>
      <c r="O2007" s="18"/>
      <c r="P2007" s="18"/>
      <c r="Q2007" s="16"/>
      <c r="R2007" s="16"/>
    </row>
    <row r="2008" hidden="1">
      <c r="C2008" s="14"/>
      <c r="H2008" s="16"/>
      <c r="I2008" s="14"/>
      <c r="L2008" s="14"/>
      <c r="M2008" s="18"/>
      <c r="N2008" s="18"/>
      <c r="O2008" s="18"/>
      <c r="P2008" s="18"/>
      <c r="Q2008" s="16"/>
      <c r="R2008" s="16"/>
    </row>
    <row r="2009" hidden="1">
      <c r="C2009" s="14"/>
      <c r="H2009" s="16"/>
      <c r="I2009" s="14"/>
      <c r="L2009" s="14"/>
      <c r="M2009" s="18"/>
      <c r="N2009" s="18"/>
      <c r="O2009" s="18"/>
      <c r="P2009" s="18"/>
      <c r="Q2009" s="16"/>
      <c r="R2009" s="16"/>
    </row>
    <row r="2010" hidden="1">
      <c r="C2010" s="14"/>
      <c r="H2010" s="16"/>
      <c r="I2010" s="14"/>
      <c r="L2010" s="14"/>
      <c r="M2010" s="18"/>
      <c r="N2010" s="18"/>
      <c r="O2010" s="18"/>
      <c r="P2010" s="18"/>
      <c r="Q2010" s="16"/>
      <c r="R2010" s="16"/>
    </row>
    <row r="2011" hidden="1">
      <c r="C2011" s="14"/>
      <c r="H2011" s="16"/>
      <c r="I2011" s="14"/>
      <c r="L2011" s="14"/>
      <c r="M2011" s="18"/>
      <c r="N2011" s="18"/>
      <c r="O2011" s="18"/>
      <c r="P2011" s="18"/>
      <c r="Q2011" s="16"/>
      <c r="R2011" s="16"/>
    </row>
    <row r="2012" hidden="1">
      <c r="C2012" s="14"/>
      <c r="H2012" s="16"/>
      <c r="I2012" s="14"/>
      <c r="L2012" s="14"/>
      <c r="M2012" s="18"/>
      <c r="N2012" s="18"/>
      <c r="O2012" s="18"/>
      <c r="P2012" s="18"/>
      <c r="Q2012" s="16"/>
      <c r="R2012" s="16"/>
    </row>
    <row r="2013" hidden="1">
      <c r="C2013" s="14"/>
      <c r="H2013" s="16"/>
      <c r="I2013" s="14"/>
      <c r="L2013" s="14"/>
      <c r="M2013" s="18"/>
      <c r="N2013" s="18"/>
      <c r="O2013" s="18"/>
      <c r="P2013" s="18"/>
      <c r="Q2013" s="16"/>
      <c r="R2013" s="16"/>
    </row>
    <row r="2014" hidden="1">
      <c r="C2014" s="14"/>
      <c r="H2014" s="16"/>
      <c r="I2014" s="14"/>
      <c r="L2014" s="14"/>
      <c r="M2014" s="18"/>
      <c r="N2014" s="18"/>
      <c r="O2014" s="18"/>
      <c r="P2014" s="18"/>
      <c r="Q2014" s="16"/>
      <c r="R2014" s="16"/>
    </row>
    <row r="2015" hidden="1">
      <c r="C2015" s="14"/>
      <c r="H2015" s="16"/>
      <c r="I2015" s="14"/>
      <c r="L2015" s="14"/>
      <c r="M2015" s="18"/>
      <c r="N2015" s="18"/>
      <c r="O2015" s="18"/>
      <c r="P2015" s="18"/>
      <c r="Q2015" s="16"/>
      <c r="R2015" s="16"/>
    </row>
    <row r="2016" hidden="1">
      <c r="C2016" s="14"/>
      <c r="H2016" s="16"/>
      <c r="I2016" s="14"/>
      <c r="L2016" s="14"/>
      <c r="M2016" s="18"/>
      <c r="N2016" s="18"/>
      <c r="O2016" s="18"/>
      <c r="P2016" s="18"/>
      <c r="Q2016" s="16"/>
      <c r="R2016" s="16"/>
    </row>
    <row r="2017" hidden="1">
      <c r="C2017" s="14"/>
      <c r="H2017" s="16"/>
      <c r="I2017" s="14"/>
      <c r="L2017" s="14"/>
      <c r="M2017" s="18"/>
      <c r="N2017" s="18"/>
      <c r="O2017" s="18"/>
      <c r="P2017" s="18"/>
      <c r="Q2017" s="16"/>
      <c r="R2017" s="16"/>
    </row>
    <row r="2018" hidden="1">
      <c r="C2018" s="14"/>
      <c r="H2018" s="16"/>
      <c r="I2018" s="14"/>
      <c r="L2018" s="14"/>
      <c r="M2018" s="18"/>
      <c r="N2018" s="18"/>
      <c r="O2018" s="18"/>
      <c r="P2018" s="18"/>
      <c r="Q2018" s="16"/>
      <c r="R2018" s="16"/>
    </row>
    <row r="2019" hidden="1">
      <c r="C2019" s="14"/>
      <c r="H2019" s="16"/>
      <c r="I2019" s="14"/>
      <c r="L2019" s="14"/>
      <c r="M2019" s="18"/>
      <c r="N2019" s="18"/>
      <c r="O2019" s="18"/>
      <c r="P2019" s="18"/>
      <c r="Q2019" s="16"/>
      <c r="R2019" s="16"/>
    </row>
    <row r="2020" hidden="1">
      <c r="C2020" s="14"/>
      <c r="H2020" s="16"/>
      <c r="I2020" s="14"/>
      <c r="L2020" s="14"/>
      <c r="M2020" s="18"/>
      <c r="N2020" s="18"/>
      <c r="O2020" s="18"/>
      <c r="P2020" s="18"/>
      <c r="Q2020" s="16"/>
      <c r="R2020" s="16"/>
    </row>
    <row r="2021" hidden="1">
      <c r="C2021" s="14"/>
      <c r="H2021" s="16"/>
      <c r="I2021" s="14"/>
      <c r="L2021" s="14"/>
      <c r="M2021" s="18"/>
      <c r="N2021" s="18"/>
      <c r="O2021" s="18"/>
      <c r="P2021" s="18"/>
      <c r="Q2021" s="16"/>
      <c r="R2021" s="16"/>
    </row>
    <row r="2022" hidden="1">
      <c r="C2022" s="14"/>
      <c r="H2022" s="16"/>
      <c r="I2022" s="14"/>
      <c r="L2022" s="14"/>
      <c r="M2022" s="18"/>
      <c r="N2022" s="18"/>
      <c r="O2022" s="18"/>
      <c r="P2022" s="18"/>
      <c r="Q2022" s="16"/>
      <c r="R2022" s="16"/>
    </row>
    <row r="2023" hidden="1">
      <c r="C2023" s="14"/>
      <c r="H2023" s="16"/>
      <c r="I2023" s="14"/>
      <c r="L2023" s="14"/>
      <c r="M2023" s="18"/>
      <c r="N2023" s="18"/>
      <c r="O2023" s="18"/>
      <c r="P2023" s="18"/>
      <c r="Q2023" s="16"/>
      <c r="R2023" s="16"/>
    </row>
    <row r="2024" hidden="1">
      <c r="C2024" s="14"/>
      <c r="H2024" s="16"/>
      <c r="I2024" s="14"/>
      <c r="L2024" s="14"/>
      <c r="M2024" s="18"/>
      <c r="N2024" s="18"/>
      <c r="O2024" s="18"/>
      <c r="P2024" s="18"/>
      <c r="Q2024" s="16"/>
      <c r="R2024" s="16"/>
    </row>
    <row r="2025" hidden="1">
      <c r="C2025" s="14"/>
      <c r="H2025" s="16"/>
      <c r="I2025" s="14"/>
      <c r="L2025" s="14"/>
      <c r="M2025" s="18"/>
      <c r="N2025" s="18"/>
      <c r="O2025" s="18"/>
      <c r="P2025" s="18"/>
      <c r="Q2025" s="16"/>
      <c r="R2025" s="16"/>
    </row>
    <row r="2026" hidden="1">
      <c r="C2026" s="14"/>
      <c r="H2026" s="16"/>
      <c r="I2026" s="14"/>
      <c r="L2026" s="14"/>
      <c r="M2026" s="18"/>
      <c r="N2026" s="18"/>
      <c r="O2026" s="18"/>
      <c r="P2026" s="18"/>
      <c r="Q2026" s="16"/>
      <c r="R2026" s="16"/>
    </row>
    <row r="2027" hidden="1">
      <c r="C2027" s="14"/>
      <c r="H2027" s="16"/>
      <c r="I2027" s="14"/>
      <c r="L2027" s="14"/>
      <c r="M2027" s="18"/>
      <c r="N2027" s="18"/>
      <c r="O2027" s="18"/>
      <c r="P2027" s="18"/>
      <c r="Q2027" s="16"/>
      <c r="R2027" s="16"/>
    </row>
    <row r="2028" hidden="1">
      <c r="C2028" s="14"/>
      <c r="H2028" s="16"/>
      <c r="I2028" s="14"/>
      <c r="L2028" s="14"/>
      <c r="M2028" s="18"/>
      <c r="N2028" s="18"/>
      <c r="O2028" s="18"/>
      <c r="P2028" s="18"/>
      <c r="Q2028" s="16"/>
      <c r="R2028" s="16"/>
    </row>
    <row r="2029" hidden="1">
      <c r="C2029" s="14"/>
      <c r="H2029" s="16"/>
      <c r="I2029" s="14"/>
      <c r="L2029" s="14"/>
      <c r="M2029" s="18"/>
      <c r="N2029" s="18"/>
      <c r="O2029" s="18"/>
      <c r="P2029" s="18"/>
      <c r="Q2029" s="16"/>
      <c r="R2029" s="16"/>
    </row>
    <row r="2030" hidden="1">
      <c r="C2030" s="14"/>
      <c r="H2030" s="16"/>
      <c r="I2030" s="14"/>
      <c r="L2030" s="14"/>
      <c r="M2030" s="18"/>
      <c r="N2030" s="18"/>
      <c r="O2030" s="18"/>
      <c r="P2030" s="18"/>
      <c r="Q2030" s="16"/>
      <c r="R2030" s="16"/>
    </row>
    <row r="2031" hidden="1">
      <c r="C2031" s="14"/>
      <c r="H2031" s="16"/>
      <c r="I2031" s="14"/>
      <c r="L2031" s="14"/>
      <c r="M2031" s="18"/>
      <c r="N2031" s="18"/>
      <c r="O2031" s="18"/>
      <c r="P2031" s="18"/>
      <c r="Q2031" s="16"/>
      <c r="R2031" s="16"/>
    </row>
    <row r="2032" hidden="1">
      <c r="C2032" s="14"/>
      <c r="H2032" s="16"/>
      <c r="I2032" s="14"/>
      <c r="L2032" s="14"/>
      <c r="M2032" s="18"/>
      <c r="N2032" s="18"/>
      <c r="O2032" s="18"/>
      <c r="P2032" s="18"/>
      <c r="Q2032" s="16"/>
      <c r="R2032" s="16"/>
    </row>
    <row r="2033" hidden="1">
      <c r="C2033" s="14"/>
      <c r="H2033" s="16"/>
      <c r="I2033" s="14"/>
      <c r="L2033" s="14"/>
      <c r="M2033" s="18"/>
      <c r="N2033" s="18"/>
      <c r="O2033" s="18"/>
      <c r="P2033" s="18"/>
      <c r="Q2033" s="16"/>
      <c r="R2033" s="16"/>
    </row>
    <row r="2034" hidden="1">
      <c r="C2034" s="14"/>
      <c r="H2034" s="16"/>
      <c r="I2034" s="14"/>
      <c r="L2034" s="14"/>
      <c r="M2034" s="18"/>
      <c r="N2034" s="18"/>
      <c r="O2034" s="18"/>
      <c r="P2034" s="18"/>
      <c r="Q2034" s="16"/>
      <c r="R2034" s="16"/>
    </row>
    <row r="2035" hidden="1">
      <c r="C2035" s="14"/>
      <c r="H2035" s="16"/>
      <c r="I2035" s="14"/>
      <c r="L2035" s="14"/>
      <c r="M2035" s="18"/>
      <c r="N2035" s="18"/>
      <c r="O2035" s="18"/>
      <c r="P2035" s="18"/>
      <c r="Q2035" s="16"/>
      <c r="R2035" s="16"/>
    </row>
    <row r="2036" hidden="1">
      <c r="C2036" s="14"/>
      <c r="H2036" s="16"/>
      <c r="I2036" s="14"/>
      <c r="L2036" s="14"/>
      <c r="M2036" s="18"/>
      <c r="N2036" s="18"/>
      <c r="O2036" s="18"/>
      <c r="P2036" s="18"/>
      <c r="Q2036" s="16"/>
      <c r="R2036" s="16"/>
    </row>
    <row r="2037" hidden="1">
      <c r="C2037" s="14"/>
      <c r="H2037" s="16"/>
      <c r="I2037" s="14"/>
      <c r="L2037" s="14"/>
      <c r="M2037" s="18"/>
      <c r="N2037" s="18"/>
      <c r="O2037" s="18"/>
      <c r="P2037" s="18"/>
      <c r="Q2037" s="16"/>
      <c r="R2037" s="16"/>
    </row>
    <row r="2038" hidden="1">
      <c r="C2038" s="14"/>
      <c r="H2038" s="16"/>
      <c r="I2038" s="14"/>
      <c r="L2038" s="14"/>
      <c r="M2038" s="18"/>
      <c r="N2038" s="18"/>
      <c r="O2038" s="18"/>
      <c r="P2038" s="18"/>
      <c r="Q2038" s="16"/>
      <c r="R2038" s="16"/>
    </row>
    <row r="2039" hidden="1">
      <c r="C2039" s="14"/>
      <c r="H2039" s="16"/>
      <c r="I2039" s="14"/>
      <c r="L2039" s="14"/>
      <c r="M2039" s="18"/>
      <c r="N2039" s="18"/>
      <c r="O2039" s="18"/>
      <c r="P2039" s="18"/>
      <c r="Q2039" s="16"/>
      <c r="R2039" s="16"/>
    </row>
    <row r="2040" hidden="1">
      <c r="C2040" s="14"/>
      <c r="H2040" s="16"/>
      <c r="I2040" s="14"/>
      <c r="L2040" s="14"/>
      <c r="M2040" s="18"/>
      <c r="N2040" s="18"/>
      <c r="O2040" s="18"/>
      <c r="P2040" s="18"/>
      <c r="Q2040" s="16"/>
      <c r="R2040" s="16"/>
    </row>
    <row r="2041" hidden="1">
      <c r="C2041" s="14"/>
      <c r="H2041" s="16"/>
      <c r="I2041" s="14"/>
      <c r="L2041" s="14"/>
      <c r="M2041" s="18"/>
      <c r="N2041" s="18"/>
      <c r="O2041" s="18"/>
      <c r="P2041" s="18"/>
      <c r="Q2041" s="16"/>
      <c r="R2041" s="16"/>
    </row>
    <row r="2042" hidden="1">
      <c r="C2042" s="14"/>
      <c r="H2042" s="16"/>
      <c r="I2042" s="14"/>
      <c r="L2042" s="14"/>
      <c r="M2042" s="18"/>
      <c r="N2042" s="18"/>
      <c r="O2042" s="18"/>
      <c r="P2042" s="18"/>
      <c r="Q2042" s="16"/>
      <c r="R2042" s="16"/>
    </row>
    <row r="2043" hidden="1">
      <c r="C2043" s="14"/>
      <c r="H2043" s="16"/>
      <c r="I2043" s="14"/>
      <c r="L2043" s="14"/>
      <c r="M2043" s="18"/>
      <c r="N2043" s="18"/>
      <c r="O2043" s="18"/>
      <c r="P2043" s="18"/>
      <c r="Q2043" s="16"/>
      <c r="R2043" s="16"/>
    </row>
    <row r="2044" hidden="1">
      <c r="C2044" s="14"/>
      <c r="H2044" s="16"/>
      <c r="I2044" s="14"/>
      <c r="L2044" s="14"/>
      <c r="M2044" s="18"/>
      <c r="N2044" s="18"/>
      <c r="O2044" s="18"/>
      <c r="P2044" s="18"/>
      <c r="Q2044" s="16"/>
      <c r="R2044" s="16"/>
    </row>
    <row r="2045" hidden="1">
      <c r="C2045" s="14"/>
      <c r="H2045" s="16"/>
      <c r="I2045" s="14"/>
      <c r="L2045" s="14"/>
      <c r="M2045" s="18"/>
      <c r="N2045" s="18"/>
      <c r="O2045" s="18"/>
      <c r="P2045" s="18"/>
      <c r="Q2045" s="16"/>
      <c r="R2045" s="16"/>
    </row>
    <row r="2046" hidden="1">
      <c r="C2046" s="14"/>
      <c r="H2046" s="16"/>
      <c r="I2046" s="14"/>
      <c r="L2046" s="14"/>
      <c r="M2046" s="18"/>
      <c r="N2046" s="18"/>
      <c r="O2046" s="18"/>
      <c r="P2046" s="18"/>
      <c r="Q2046" s="16"/>
      <c r="R2046" s="16"/>
    </row>
    <row r="2047" hidden="1">
      <c r="C2047" s="14"/>
      <c r="H2047" s="16"/>
      <c r="I2047" s="14"/>
      <c r="L2047" s="14"/>
      <c r="M2047" s="18"/>
      <c r="N2047" s="18"/>
      <c r="O2047" s="18"/>
      <c r="P2047" s="18"/>
      <c r="Q2047" s="16"/>
      <c r="R2047" s="16"/>
    </row>
    <row r="2048" hidden="1">
      <c r="C2048" s="14"/>
      <c r="H2048" s="16"/>
      <c r="I2048" s="14"/>
      <c r="L2048" s="14"/>
      <c r="M2048" s="18"/>
      <c r="N2048" s="18"/>
      <c r="O2048" s="18"/>
      <c r="P2048" s="18"/>
      <c r="Q2048" s="16"/>
      <c r="R2048" s="16"/>
    </row>
    <row r="2049" hidden="1">
      <c r="C2049" s="14"/>
      <c r="H2049" s="16"/>
      <c r="I2049" s="14"/>
      <c r="L2049" s="14"/>
      <c r="M2049" s="18"/>
      <c r="N2049" s="18"/>
      <c r="O2049" s="18"/>
      <c r="P2049" s="18"/>
      <c r="Q2049" s="16"/>
      <c r="R2049" s="16"/>
    </row>
    <row r="2050" hidden="1">
      <c r="C2050" s="14"/>
      <c r="H2050" s="16"/>
      <c r="I2050" s="14"/>
      <c r="L2050" s="14"/>
      <c r="M2050" s="18"/>
      <c r="N2050" s="18"/>
      <c r="O2050" s="18"/>
      <c r="P2050" s="18"/>
      <c r="Q2050" s="16"/>
      <c r="R2050" s="16"/>
    </row>
    <row r="2051" hidden="1">
      <c r="C2051" s="14"/>
      <c r="H2051" s="16"/>
      <c r="I2051" s="14"/>
      <c r="L2051" s="14"/>
      <c r="M2051" s="18"/>
      <c r="N2051" s="18"/>
      <c r="O2051" s="18"/>
      <c r="P2051" s="18"/>
      <c r="Q2051" s="16"/>
      <c r="R2051" s="16"/>
    </row>
    <row r="2052" hidden="1">
      <c r="C2052" s="14"/>
      <c r="H2052" s="16"/>
      <c r="I2052" s="14"/>
      <c r="L2052" s="14"/>
      <c r="M2052" s="18"/>
      <c r="N2052" s="18"/>
      <c r="O2052" s="18"/>
      <c r="P2052" s="18"/>
      <c r="Q2052" s="16"/>
      <c r="R2052" s="16"/>
    </row>
    <row r="2053" hidden="1">
      <c r="C2053" s="14"/>
      <c r="H2053" s="16"/>
      <c r="I2053" s="14"/>
      <c r="L2053" s="14"/>
      <c r="M2053" s="18"/>
      <c r="N2053" s="18"/>
      <c r="O2053" s="18"/>
      <c r="P2053" s="18"/>
      <c r="Q2053" s="16"/>
      <c r="R2053" s="16"/>
    </row>
    <row r="2054" hidden="1">
      <c r="C2054" s="14"/>
      <c r="H2054" s="16"/>
      <c r="I2054" s="14"/>
      <c r="L2054" s="14"/>
      <c r="M2054" s="18"/>
      <c r="N2054" s="18"/>
      <c r="O2054" s="18"/>
      <c r="P2054" s="18"/>
      <c r="Q2054" s="16"/>
      <c r="R2054" s="16"/>
    </row>
    <row r="2055" hidden="1">
      <c r="C2055" s="14"/>
      <c r="H2055" s="16"/>
      <c r="I2055" s="14"/>
      <c r="L2055" s="14"/>
      <c r="M2055" s="18"/>
      <c r="N2055" s="18"/>
      <c r="O2055" s="18"/>
      <c r="P2055" s="18"/>
      <c r="Q2055" s="16"/>
      <c r="R2055" s="16"/>
    </row>
    <row r="2056" hidden="1">
      <c r="C2056" s="14"/>
      <c r="H2056" s="16"/>
      <c r="I2056" s="14"/>
      <c r="L2056" s="14"/>
      <c r="M2056" s="18"/>
      <c r="N2056" s="18"/>
      <c r="O2056" s="18"/>
      <c r="P2056" s="18"/>
      <c r="Q2056" s="16"/>
      <c r="R2056" s="16"/>
    </row>
    <row r="2057" hidden="1">
      <c r="C2057" s="14"/>
      <c r="H2057" s="16"/>
      <c r="I2057" s="14"/>
      <c r="L2057" s="14"/>
      <c r="M2057" s="18"/>
      <c r="N2057" s="18"/>
      <c r="O2057" s="18"/>
      <c r="P2057" s="18"/>
      <c r="Q2057" s="16"/>
      <c r="R2057" s="16"/>
    </row>
    <row r="2058" hidden="1">
      <c r="C2058" s="14"/>
      <c r="H2058" s="16"/>
      <c r="I2058" s="14"/>
      <c r="L2058" s="14"/>
      <c r="M2058" s="18"/>
      <c r="N2058" s="18"/>
      <c r="O2058" s="18"/>
      <c r="P2058" s="18"/>
      <c r="Q2058" s="16"/>
      <c r="R2058" s="16"/>
    </row>
    <row r="2059" hidden="1">
      <c r="C2059" s="14"/>
      <c r="H2059" s="16"/>
      <c r="I2059" s="14"/>
      <c r="L2059" s="14"/>
      <c r="M2059" s="18"/>
      <c r="N2059" s="18"/>
      <c r="O2059" s="18"/>
      <c r="P2059" s="18"/>
      <c r="Q2059" s="16"/>
      <c r="R2059" s="16"/>
    </row>
    <row r="2060" hidden="1">
      <c r="C2060" s="14"/>
      <c r="H2060" s="16"/>
      <c r="I2060" s="14"/>
      <c r="L2060" s="14"/>
      <c r="M2060" s="18"/>
      <c r="N2060" s="18"/>
      <c r="O2060" s="18"/>
      <c r="P2060" s="18"/>
      <c r="Q2060" s="16"/>
      <c r="R2060" s="16"/>
    </row>
    <row r="2061" hidden="1">
      <c r="C2061" s="14"/>
      <c r="H2061" s="16"/>
      <c r="I2061" s="14"/>
      <c r="L2061" s="14"/>
      <c r="M2061" s="18"/>
      <c r="N2061" s="18"/>
      <c r="O2061" s="18"/>
      <c r="P2061" s="18"/>
      <c r="Q2061" s="16"/>
      <c r="R2061" s="16"/>
    </row>
    <row r="2062" hidden="1">
      <c r="C2062" s="14"/>
      <c r="H2062" s="16"/>
      <c r="I2062" s="14"/>
      <c r="L2062" s="14"/>
      <c r="M2062" s="18"/>
      <c r="N2062" s="18"/>
      <c r="O2062" s="18"/>
      <c r="P2062" s="18"/>
      <c r="Q2062" s="16"/>
      <c r="R2062" s="16"/>
    </row>
    <row r="2063" hidden="1">
      <c r="C2063" s="14"/>
      <c r="H2063" s="16"/>
      <c r="I2063" s="14"/>
      <c r="L2063" s="14"/>
      <c r="M2063" s="18"/>
      <c r="N2063" s="18"/>
      <c r="O2063" s="18"/>
      <c r="P2063" s="18"/>
      <c r="Q2063" s="16"/>
      <c r="R2063" s="16"/>
    </row>
    <row r="2064" hidden="1">
      <c r="C2064" s="14"/>
      <c r="H2064" s="16"/>
      <c r="I2064" s="14"/>
      <c r="L2064" s="14"/>
      <c r="M2064" s="18"/>
      <c r="N2064" s="18"/>
      <c r="O2064" s="18"/>
      <c r="P2064" s="18"/>
      <c r="Q2064" s="16"/>
      <c r="R2064" s="16"/>
    </row>
    <row r="2065" hidden="1">
      <c r="C2065" s="14"/>
      <c r="H2065" s="16"/>
      <c r="I2065" s="14"/>
      <c r="L2065" s="14"/>
      <c r="M2065" s="18"/>
      <c r="N2065" s="18"/>
      <c r="O2065" s="18"/>
      <c r="P2065" s="18"/>
      <c r="Q2065" s="16"/>
      <c r="R2065" s="16"/>
    </row>
    <row r="2066" hidden="1">
      <c r="C2066" s="14"/>
      <c r="H2066" s="16"/>
      <c r="I2066" s="14"/>
      <c r="L2066" s="14"/>
      <c r="M2066" s="18"/>
      <c r="N2066" s="18"/>
      <c r="O2066" s="18"/>
      <c r="P2066" s="18"/>
      <c r="Q2066" s="16"/>
      <c r="R2066" s="16"/>
    </row>
    <row r="2067" hidden="1">
      <c r="C2067" s="14"/>
      <c r="H2067" s="16"/>
      <c r="I2067" s="14"/>
      <c r="L2067" s="14"/>
      <c r="M2067" s="18"/>
      <c r="N2067" s="18"/>
      <c r="O2067" s="18"/>
      <c r="P2067" s="18"/>
      <c r="Q2067" s="16"/>
      <c r="R2067" s="16"/>
    </row>
    <row r="2068" hidden="1">
      <c r="C2068" s="14"/>
      <c r="H2068" s="16"/>
      <c r="I2068" s="14"/>
      <c r="L2068" s="14"/>
      <c r="M2068" s="18"/>
      <c r="N2068" s="18"/>
      <c r="O2068" s="18"/>
      <c r="P2068" s="18"/>
      <c r="Q2068" s="16"/>
      <c r="R2068" s="16"/>
    </row>
    <row r="2069" hidden="1">
      <c r="C2069" s="14"/>
      <c r="H2069" s="16"/>
      <c r="I2069" s="14"/>
      <c r="L2069" s="14"/>
      <c r="M2069" s="18"/>
      <c r="N2069" s="18"/>
      <c r="O2069" s="18"/>
      <c r="P2069" s="18"/>
      <c r="Q2069" s="16"/>
      <c r="R2069" s="16"/>
    </row>
    <row r="2070" hidden="1">
      <c r="C2070" s="14"/>
      <c r="H2070" s="16"/>
      <c r="I2070" s="14"/>
      <c r="L2070" s="14"/>
      <c r="M2070" s="18"/>
      <c r="N2070" s="18"/>
      <c r="O2070" s="18"/>
      <c r="P2070" s="18"/>
      <c r="Q2070" s="16"/>
      <c r="R2070" s="16"/>
    </row>
    <row r="2071" hidden="1">
      <c r="C2071" s="14"/>
      <c r="H2071" s="16"/>
      <c r="I2071" s="14"/>
      <c r="L2071" s="14"/>
      <c r="M2071" s="18"/>
      <c r="N2071" s="18"/>
      <c r="O2071" s="18"/>
      <c r="P2071" s="18"/>
      <c r="Q2071" s="16"/>
      <c r="R2071" s="16"/>
    </row>
    <row r="2072" hidden="1">
      <c r="C2072" s="14"/>
      <c r="H2072" s="16"/>
      <c r="I2072" s="14"/>
      <c r="L2072" s="14"/>
      <c r="M2072" s="18"/>
      <c r="N2072" s="18"/>
      <c r="O2072" s="18"/>
      <c r="P2072" s="18"/>
      <c r="Q2072" s="16"/>
      <c r="R2072" s="16"/>
    </row>
    <row r="2073" hidden="1">
      <c r="C2073" s="14"/>
      <c r="H2073" s="16"/>
      <c r="I2073" s="14"/>
      <c r="L2073" s="14"/>
      <c r="M2073" s="18"/>
      <c r="N2073" s="18"/>
      <c r="O2073" s="18"/>
      <c r="P2073" s="18"/>
      <c r="Q2073" s="16"/>
      <c r="R2073" s="16"/>
    </row>
    <row r="2074" hidden="1">
      <c r="C2074" s="14"/>
      <c r="H2074" s="16"/>
      <c r="I2074" s="14"/>
      <c r="L2074" s="14"/>
      <c r="M2074" s="18"/>
      <c r="N2074" s="18"/>
      <c r="O2074" s="18"/>
      <c r="P2074" s="18"/>
      <c r="Q2074" s="16"/>
      <c r="R2074" s="16"/>
    </row>
    <row r="2075" hidden="1">
      <c r="C2075" s="14"/>
      <c r="H2075" s="16"/>
      <c r="I2075" s="14"/>
      <c r="L2075" s="14"/>
      <c r="M2075" s="18"/>
      <c r="N2075" s="18"/>
      <c r="O2075" s="18"/>
      <c r="P2075" s="18"/>
      <c r="Q2075" s="16"/>
      <c r="R2075" s="16"/>
    </row>
    <row r="2076" hidden="1">
      <c r="C2076" s="14"/>
      <c r="H2076" s="16"/>
      <c r="I2076" s="14"/>
      <c r="L2076" s="14"/>
      <c r="M2076" s="18"/>
      <c r="N2076" s="18"/>
      <c r="O2076" s="18"/>
      <c r="P2076" s="18"/>
      <c r="Q2076" s="16"/>
      <c r="R2076" s="16"/>
    </row>
    <row r="2077" hidden="1">
      <c r="C2077" s="14"/>
      <c r="H2077" s="16"/>
      <c r="I2077" s="14"/>
      <c r="L2077" s="14"/>
      <c r="M2077" s="18"/>
      <c r="N2077" s="18"/>
      <c r="O2077" s="18"/>
      <c r="P2077" s="18"/>
      <c r="Q2077" s="16"/>
      <c r="R2077" s="16"/>
    </row>
    <row r="2078" hidden="1">
      <c r="C2078" s="14"/>
      <c r="H2078" s="16"/>
      <c r="I2078" s="14"/>
      <c r="L2078" s="14"/>
      <c r="M2078" s="18"/>
      <c r="N2078" s="18"/>
      <c r="O2078" s="18"/>
      <c r="P2078" s="18"/>
      <c r="Q2078" s="16"/>
      <c r="R2078" s="16"/>
    </row>
    <row r="2079" hidden="1">
      <c r="C2079" s="14"/>
      <c r="H2079" s="16"/>
      <c r="I2079" s="14"/>
      <c r="L2079" s="14"/>
      <c r="M2079" s="18"/>
      <c r="N2079" s="18"/>
      <c r="O2079" s="18"/>
      <c r="P2079" s="18"/>
      <c r="Q2079" s="16"/>
      <c r="R2079" s="16"/>
    </row>
    <row r="2080" hidden="1">
      <c r="C2080" s="14"/>
      <c r="H2080" s="16"/>
      <c r="I2080" s="14"/>
      <c r="L2080" s="14"/>
      <c r="M2080" s="18"/>
      <c r="N2080" s="18"/>
      <c r="O2080" s="18"/>
      <c r="P2080" s="18"/>
      <c r="Q2080" s="16"/>
      <c r="R2080" s="16"/>
    </row>
    <row r="2081" hidden="1">
      <c r="C2081" s="14"/>
      <c r="H2081" s="16"/>
      <c r="I2081" s="14"/>
      <c r="L2081" s="14"/>
      <c r="M2081" s="18"/>
      <c r="N2081" s="18"/>
      <c r="O2081" s="18"/>
      <c r="P2081" s="18"/>
      <c r="Q2081" s="16"/>
      <c r="R2081" s="16"/>
    </row>
    <row r="2082" hidden="1">
      <c r="C2082" s="14"/>
      <c r="H2082" s="16"/>
      <c r="I2082" s="14"/>
      <c r="L2082" s="14"/>
      <c r="M2082" s="18"/>
      <c r="N2082" s="18"/>
      <c r="O2082" s="18"/>
      <c r="P2082" s="18"/>
      <c r="Q2082" s="16"/>
      <c r="R2082" s="16"/>
    </row>
    <row r="2083" hidden="1">
      <c r="C2083" s="14"/>
      <c r="H2083" s="16"/>
      <c r="I2083" s="14"/>
      <c r="L2083" s="14"/>
      <c r="M2083" s="18"/>
      <c r="N2083" s="18"/>
      <c r="O2083" s="18"/>
      <c r="P2083" s="18"/>
      <c r="Q2083" s="16"/>
      <c r="R2083" s="16"/>
    </row>
    <row r="2084" hidden="1">
      <c r="C2084" s="14"/>
      <c r="H2084" s="16"/>
      <c r="I2084" s="14"/>
      <c r="L2084" s="14"/>
      <c r="M2084" s="18"/>
      <c r="N2084" s="18"/>
      <c r="O2084" s="18"/>
      <c r="P2084" s="18"/>
      <c r="Q2084" s="16"/>
      <c r="R2084" s="16"/>
    </row>
    <row r="2085" hidden="1">
      <c r="C2085" s="14"/>
      <c r="H2085" s="16"/>
      <c r="I2085" s="14"/>
      <c r="L2085" s="14"/>
      <c r="M2085" s="18"/>
      <c r="N2085" s="18"/>
      <c r="O2085" s="18"/>
      <c r="P2085" s="18"/>
      <c r="Q2085" s="16"/>
      <c r="R2085" s="16"/>
    </row>
    <row r="2086" hidden="1">
      <c r="C2086" s="14"/>
      <c r="H2086" s="16"/>
      <c r="I2086" s="14"/>
      <c r="L2086" s="14"/>
      <c r="M2086" s="18"/>
      <c r="N2086" s="18"/>
      <c r="O2086" s="18"/>
      <c r="P2086" s="18"/>
      <c r="Q2086" s="16"/>
      <c r="R2086" s="16"/>
    </row>
    <row r="2087" hidden="1">
      <c r="C2087" s="14"/>
      <c r="H2087" s="16"/>
      <c r="I2087" s="14"/>
      <c r="L2087" s="14"/>
      <c r="M2087" s="18"/>
      <c r="N2087" s="18"/>
      <c r="O2087" s="18"/>
      <c r="P2087" s="18"/>
      <c r="Q2087" s="16"/>
      <c r="R2087" s="16"/>
    </row>
    <row r="2088" hidden="1">
      <c r="C2088" s="14"/>
      <c r="H2088" s="16"/>
      <c r="I2088" s="14"/>
      <c r="L2088" s="14"/>
      <c r="M2088" s="18"/>
      <c r="N2088" s="18"/>
      <c r="O2088" s="18"/>
      <c r="P2088" s="18"/>
      <c r="Q2088" s="16"/>
      <c r="R2088" s="16"/>
    </row>
    <row r="2089" hidden="1">
      <c r="C2089" s="14"/>
      <c r="H2089" s="16"/>
      <c r="I2089" s="14"/>
      <c r="L2089" s="14"/>
      <c r="M2089" s="18"/>
      <c r="N2089" s="18"/>
      <c r="O2089" s="18"/>
      <c r="P2089" s="18"/>
      <c r="Q2089" s="16"/>
      <c r="R2089" s="16"/>
    </row>
    <row r="2090" hidden="1">
      <c r="C2090" s="14"/>
      <c r="H2090" s="16"/>
      <c r="I2090" s="14"/>
      <c r="L2090" s="14"/>
      <c r="M2090" s="18"/>
      <c r="N2090" s="18"/>
      <c r="O2090" s="18"/>
      <c r="P2090" s="18"/>
      <c r="Q2090" s="16"/>
      <c r="R2090" s="16"/>
    </row>
    <row r="2091" hidden="1">
      <c r="C2091" s="14"/>
      <c r="H2091" s="16"/>
      <c r="I2091" s="14"/>
      <c r="L2091" s="14"/>
      <c r="M2091" s="18"/>
      <c r="N2091" s="18"/>
      <c r="O2091" s="18"/>
      <c r="P2091" s="18"/>
      <c r="Q2091" s="16"/>
      <c r="R2091" s="16"/>
    </row>
    <row r="2092" hidden="1">
      <c r="C2092" s="14"/>
      <c r="H2092" s="16"/>
      <c r="I2092" s="14"/>
      <c r="L2092" s="14"/>
      <c r="M2092" s="18"/>
      <c r="N2092" s="18"/>
      <c r="O2092" s="18"/>
      <c r="P2092" s="18"/>
      <c r="Q2092" s="16"/>
      <c r="R2092" s="16"/>
    </row>
    <row r="2093" hidden="1">
      <c r="C2093" s="14"/>
      <c r="H2093" s="16"/>
      <c r="I2093" s="14"/>
      <c r="L2093" s="14"/>
      <c r="M2093" s="18"/>
      <c r="N2093" s="18"/>
      <c r="O2093" s="18"/>
      <c r="P2093" s="18"/>
      <c r="Q2093" s="16"/>
      <c r="R2093" s="16"/>
    </row>
    <row r="2094" hidden="1">
      <c r="C2094" s="14"/>
      <c r="H2094" s="16"/>
      <c r="I2094" s="14"/>
      <c r="L2094" s="14"/>
      <c r="M2094" s="18"/>
      <c r="N2094" s="18"/>
      <c r="O2094" s="18"/>
      <c r="P2094" s="18"/>
      <c r="Q2094" s="16"/>
      <c r="R2094" s="16"/>
    </row>
    <row r="2095" hidden="1">
      <c r="C2095" s="14"/>
      <c r="H2095" s="16"/>
      <c r="I2095" s="14"/>
      <c r="L2095" s="14"/>
      <c r="M2095" s="18"/>
      <c r="N2095" s="18"/>
      <c r="O2095" s="18"/>
      <c r="P2095" s="18"/>
      <c r="Q2095" s="16"/>
      <c r="R2095" s="16"/>
    </row>
    <row r="2096" hidden="1">
      <c r="C2096" s="14"/>
      <c r="H2096" s="16"/>
      <c r="I2096" s="14"/>
      <c r="L2096" s="14"/>
      <c r="M2096" s="18"/>
      <c r="N2096" s="18"/>
      <c r="O2096" s="18"/>
      <c r="P2096" s="18"/>
      <c r="Q2096" s="16"/>
      <c r="R2096" s="16"/>
    </row>
    <row r="2097" hidden="1">
      <c r="C2097" s="14"/>
      <c r="H2097" s="16"/>
      <c r="I2097" s="14"/>
      <c r="L2097" s="14"/>
      <c r="M2097" s="18"/>
      <c r="N2097" s="18"/>
      <c r="O2097" s="18"/>
      <c r="P2097" s="18"/>
      <c r="Q2097" s="16"/>
      <c r="R2097" s="16"/>
    </row>
    <row r="2098" hidden="1">
      <c r="C2098" s="14"/>
      <c r="H2098" s="16"/>
      <c r="I2098" s="14"/>
      <c r="L2098" s="14"/>
      <c r="M2098" s="18"/>
      <c r="N2098" s="18"/>
      <c r="O2098" s="18"/>
      <c r="P2098" s="18"/>
      <c r="Q2098" s="16"/>
      <c r="R2098" s="16"/>
    </row>
    <row r="2099" hidden="1">
      <c r="C2099" s="14"/>
      <c r="H2099" s="16"/>
      <c r="I2099" s="14"/>
      <c r="L2099" s="14"/>
      <c r="M2099" s="18"/>
      <c r="N2099" s="18"/>
      <c r="O2099" s="18"/>
      <c r="P2099" s="18"/>
      <c r="Q2099" s="16"/>
      <c r="R2099" s="16"/>
    </row>
    <row r="2100" hidden="1">
      <c r="C2100" s="14"/>
      <c r="H2100" s="16"/>
      <c r="I2100" s="14"/>
      <c r="L2100" s="14"/>
      <c r="M2100" s="18"/>
      <c r="N2100" s="18"/>
      <c r="O2100" s="18"/>
      <c r="P2100" s="18"/>
      <c r="Q2100" s="16"/>
      <c r="R2100" s="16"/>
    </row>
    <row r="2101" hidden="1">
      <c r="C2101" s="14"/>
      <c r="H2101" s="16"/>
      <c r="I2101" s="14"/>
      <c r="L2101" s="14"/>
      <c r="M2101" s="18"/>
      <c r="N2101" s="18"/>
      <c r="O2101" s="18"/>
      <c r="P2101" s="18"/>
      <c r="Q2101" s="16"/>
      <c r="R2101" s="16"/>
    </row>
    <row r="2102" hidden="1">
      <c r="C2102" s="14"/>
      <c r="H2102" s="16"/>
      <c r="I2102" s="14"/>
      <c r="L2102" s="14"/>
      <c r="M2102" s="18"/>
      <c r="N2102" s="18"/>
      <c r="O2102" s="18"/>
      <c r="P2102" s="18"/>
      <c r="Q2102" s="16"/>
      <c r="R2102" s="16"/>
    </row>
    <row r="2103" hidden="1">
      <c r="C2103" s="14"/>
      <c r="H2103" s="16"/>
      <c r="I2103" s="14"/>
      <c r="L2103" s="14"/>
      <c r="M2103" s="18"/>
      <c r="N2103" s="18"/>
      <c r="O2103" s="18"/>
      <c r="P2103" s="18"/>
      <c r="Q2103" s="16"/>
      <c r="R2103" s="16"/>
    </row>
    <row r="2104" hidden="1">
      <c r="C2104" s="14"/>
      <c r="H2104" s="16"/>
      <c r="I2104" s="14"/>
      <c r="L2104" s="14"/>
      <c r="M2104" s="18"/>
      <c r="N2104" s="18"/>
      <c r="O2104" s="18"/>
      <c r="P2104" s="18"/>
      <c r="Q2104" s="16"/>
      <c r="R2104" s="16"/>
    </row>
    <row r="2105" hidden="1">
      <c r="C2105" s="14"/>
      <c r="H2105" s="16"/>
      <c r="I2105" s="14"/>
      <c r="L2105" s="14"/>
      <c r="M2105" s="18"/>
      <c r="N2105" s="18"/>
      <c r="O2105" s="18"/>
      <c r="P2105" s="18"/>
      <c r="Q2105" s="16"/>
      <c r="R2105" s="16"/>
    </row>
    <row r="2106" hidden="1">
      <c r="C2106" s="14"/>
      <c r="H2106" s="16"/>
      <c r="I2106" s="14"/>
      <c r="L2106" s="14"/>
      <c r="M2106" s="18"/>
      <c r="N2106" s="18"/>
      <c r="O2106" s="18"/>
      <c r="P2106" s="18"/>
      <c r="Q2106" s="16"/>
      <c r="R2106" s="16"/>
    </row>
    <row r="2107" hidden="1">
      <c r="C2107" s="14"/>
      <c r="H2107" s="16"/>
      <c r="I2107" s="14"/>
      <c r="L2107" s="14"/>
      <c r="M2107" s="18"/>
      <c r="N2107" s="18"/>
      <c r="O2107" s="18"/>
      <c r="P2107" s="18"/>
      <c r="Q2107" s="16"/>
      <c r="R2107" s="16"/>
    </row>
    <row r="2108" hidden="1">
      <c r="C2108" s="14"/>
      <c r="H2108" s="16"/>
      <c r="I2108" s="14"/>
      <c r="L2108" s="14"/>
      <c r="M2108" s="18"/>
      <c r="N2108" s="18"/>
      <c r="O2108" s="18"/>
      <c r="P2108" s="18"/>
      <c r="Q2108" s="16"/>
      <c r="R2108" s="16"/>
    </row>
    <row r="2109" hidden="1">
      <c r="C2109" s="14"/>
      <c r="H2109" s="16"/>
      <c r="I2109" s="14"/>
      <c r="L2109" s="14"/>
      <c r="M2109" s="18"/>
      <c r="N2109" s="18"/>
      <c r="O2109" s="18"/>
      <c r="P2109" s="18"/>
      <c r="Q2109" s="16"/>
      <c r="R2109" s="16"/>
    </row>
    <row r="2110" hidden="1">
      <c r="C2110" s="14"/>
      <c r="H2110" s="16"/>
      <c r="I2110" s="14"/>
      <c r="L2110" s="14"/>
      <c r="M2110" s="18"/>
      <c r="N2110" s="18"/>
      <c r="O2110" s="18"/>
      <c r="P2110" s="18"/>
      <c r="Q2110" s="16"/>
      <c r="R2110" s="16"/>
    </row>
    <row r="2111" hidden="1">
      <c r="C2111" s="14"/>
      <c r="H2111" s="16"/>
      <c r="I2111" s="14"/>
      <c r="L2111" s="14"/>
      <c r="M2111" s="18"/>
      <c r="N2111" s="18"/>
      <c r="O2111" s="18"/>
      <c r="P2111" s="18"/>
      <c r="Q2111" s="16"/>
      <c r="R2111" s="16"/>
    </row>
    <row r="2112" hidden="1">
      <c r="C2112" s="14"/>
      <c r="H2112" s="16"/>
      <c r="I2112" s="14"/>
      <c r="L2112" s="14"/>
      <c r="M2112" s="18"/>
      <c r="N2112" s="18"/>
      <c r="O2112" s="18"/>
      <c r="P2112" s="18"/>
      <c r="Q2112" s="16"/>
      <c r="R2112" s="16"/>
    </row>
    <row r="2113" hidden="1">
      <c r="C2113" s="14"/>
      <c r="H2113" s="16"/>
      <c r="I2113" s="14"/>
      <c r="L2113" s="14"/>
      <c r="M2113" s="18"/>
      <c r="N2113" s="18"/>
      <c r="O2113" s="18"/>
      <c r="P2113" s="18"/>
      <c r="Q2113" s="16"/>
      <c r="R2113" s="16"/>
    </row>
    <row r="2114" hidden="1">
      <c r="C2114" s="14"/>
      <c r="H2114" s="16"/>
      <c r="I2114" s="14"/>
      <c r="L2114" s="14"/>
      <c r="M2114" s="18"/>
      <c r="N2114" s="18"/>
      <c r="O2114" s="18"/>
      <c r="P2114" s="18"/>
      <c r="Q2114" s="16"/>
      <c r="R2114" s="16"/>
    </row>
    <row r="2115" hidden="1">
      <c r="C2115" s="14"/>
      <c r="H2115" s="16"/>
      <c r="I2115" s="14"/>
      <c r="L2115" s="14"/>
      <c r="M2115" s="18"/>
      <c r="N2115" s="18"/>
      <c r="O2115" s="18"/>
      <c r="P2115" s="18"/>
      <c r="Q2115" s="16"/>
      <c r="R2115" s="16"/>
    </row>
    <row r="2116" hidden="1">
      <c r="C2116" s="14"/>
      <c r="H2116" s="16"/>
      <c r="I2116" s="14"/>
      <c r="L2116" s="14"/>
      <c r="M2116" s="18"/>
      <c r="N2116" s="18"/>
      <c r="O2116" s="18"/>
      <c r="P2116" s="18"/>
      <c r="Q2116" s="16"/>
      <c r="R2116" s="16"/>
    </row>
    <row r="2117" hidden="1">
      <c r="C2117" s="14"/>
      <c r="H2117" s="16"/>
      <c r="I2117" s="14"/>
      <c r="L2117" s="14"/>
      <c r="M2117" s="18"/>
      <c r="N2117" s="18"/>
      <c r="O2117" s="18"/>
      <c r="P2117" s="18"/>
      <c r="Q2117" s="16"/>
      <c r="R2117" s="16"/>
    </row>
    <row r="2118" hidden="1">
      <c r="C2118" s="14"/>
      <c r="H2118" s="16"/>
      <c r="I2118" s="14"/>
      <c r="L2118" s="14"/>
      <c r="M2118" s="18"/>
      <c r="N2118" s="18"/>
      <c r="O2118" s="18"/>
      <c r="P2118" s="18"/>
      <c r="Q2118" s="16"/>
      <c r="R2118" s="16"/>
    </row>
    <row r="2119" hidden="1">
      <c r="C2119" s="14"/>
      <c r="H2119" s="16"/>
      <c r="I2119" s="14"/>
      <c r="L2119" s="14"/>
      <c r="M2119" s="18"/>
      <c r="N2119" s="18"/>
      <c r="O2119" s="18"/>
      <c r="P2119" s="18"/>
      <c r="Q2119" s="16"/>
      <c r="R2119" s="16"/>
    </row>
    <row r="2120" hidden="1">
      <c r="C2120" s="14"/>
      <c r="H2120" s="16"/>
      <c r="I2120" s="14"/>
      <c r="L2120" s="14"/>
      <c r="M2120" s="18"/>
      <c r="N2120" s="18"/>
      <c r="O2120" s="18"/>
      <c r="P2120" s="18"/>
      <c r="Q2120" s="16"/>
      <c r="R2120" s="16"/>
    </row>
    <row r="2121" hidden="1">
      <c r="C2121" s="14"/>
      <c r="H2121" s="16"/>
      <c r="I2121" s="14"/>
      <c r="L2121" s="14"/>
      <c r="M2121" s="18"/>
      <c r="N2121" s="18"/>
      <c r="O2121" s="18"/>
      <c r="P2121" s="18"/>
      <c r="Q2121" s="16"/>
      <c r="R2121" s="16"/>
    </row>
    <row r="2122" hidden="1">
      <c r="C2122" s="14"/>
      <c r="H2122" s="16"/>
      <c r="I2122" s="14"/>
      <c r="L2122" s="14"/>
      <c r="M2122" s="18"/>
      <c r="N2122" s="18"/>
      <c r="O2122" s="18"/>
      <c r="P2122" s="18"/>
      <c r="Q2122" s="16"/>
      <c r="R2122" s="16"/>
    </row>
    <row r="2123" hidden="1">
      <c r="C2123" s="14"/>
      <c r="H2123" s="16"/>
      <c r="I2123" s="14"/>
      <c r="L2123" s="14"/>
      <c r="M2123" s="18"/>
      <c r="N2123" s="18"/>
      <c r="O2123" s="18"/>
      <c r="P2123" s="18"/>
      <c r="Q2123" s="16"/>
      <c r="R2123" s="16"/>
    </row>
    <row r="2124" hidden="1">
      <c r="C2124" s="14"/>
      <c r="H2124" s="16"/>
      <c r="I2124" s="14"/>
      <c r="L2124" s="14"/>
      <c r="M2124" s="18"/>
      <c r="N2124" s="18"/>
      <c r="O2124" s="18"/>
      <c r="P2124" s="18"/>
      <c r="Q2124" s="16"/>
      <c r="R2124" s="16"/>
    </row>
    <row r="2125" hidden="1">
      <c r="C2125" s="14"/>
      <c r="H2125" s="16"/>
      <c r="I2125" s="14"/>
      <c r="L2125" s="14"/>
      <c r="M2125" s="18"/>
      <c r="N2125" s="18"/>
      <c r="O2125" s="18"/>
      <c r="P2125" s="18"/>
      <c r="Q2125" s="16"/>
      <c r="R2125" s="16"/>
    </row>
    <row r="2126" hidden="1">
      <c r="C2126" s="14"/>
      <c r="H2126" s="16"/>
      <c r="I2126" s="14"/>
      <c r="L2126" s="14"/>
      <c r="M2126" s="18"/>
      <c r="N2126" s="18"/>
      <c r="O2126" s="18"/>
      <c r="P2126" s="18"/>
      <c r="Q2126" s="16"/>
      <c r="R2126" s="16"/>
    </row>
    <row r="2127" hidden="1">
      <c r="C2127" s="14"/>
      <c r="H2127" s="16"/>
      <c r="I2127" s="14"/>
      <c r="L2127" s="14"/>
      <c r="M2127" s="18"/>
      <c r="N2127" s="18"/>
      <c r="O2127" s="18"/>
      <c r="P2127" s="18"/>
      <c r="Q2127" s="16"/>
      <c r="R2127" s="16"/>
    </row>
    <row r="2128" hidden="1">
      <c r="C2128" s="14"/>
      <c r="H2128" s="16"/>
      <c r="I2128" s="14"/>
      <c r="L2128" s="14"/>
      <c r="M2128" s="18"/>
      <c r="N2128" s="18"/>
      <c r="O2128" s="18"/>
      <c r="P2128" s="18"/>
      <c r="Q2128" s="16"/>
      <c r="R2128" s="16"/>
    </row>
    <row r="2129" hidden="1">
      <c r="C2129" s="14"/>
      <c r="H2129" s="16"/>
      <c r="I2129" s="14"/>
      <c r="L2129" s="14"/>
      <c r="M2129" s="18"/>
      <c r="N2129" s="18"/>
      <c r="O2129" s="18"/>
      <c r="P2129" s="18"/>
      <c r="Q2129" s="16"/>
      <c r="R2129" s="16"/>
    </row>
    <row r="2130" hidden="1">
      <c r="C2130" s="14"/>
      <c r="H2130" s="16"/>
      <c r="I2130" s="14"/>
      <c r="L2130" s="14"/>
      <c r="M2130" s="18"/>
      <c r="N2130" s="18"/>
      <c r="O2130" s="18"/>
      <c r="P2130" s="18"/>
      <c r="Q2130" s="16"/>
      <c r="R2130" s="16"/>
    </row>
    <row r="2131" hidden="1">
      <c r="C2131" s="14"/>
      <c r="H2131" s="16"/>
      <c r="I2131" s="14"/>
      <c r="L2131" s="14"/>
      <c r="M2131" s="18"/>
      <c r="N2131" s="18"/>
      <c r="O2131" s="18"/>
      <c r="P2131" s="18"/>
      <c r="Q2131" s="16"/>
      <c r="R2131" s="16"/>
    </row>
    <row r="2132" hidden="1">
      <c r="C2132" s="14"/>
      <c r="H2132" s="16"/>
      <c r="I2132" s="14"/>
      <c r="L2132" s="14"/>
      <c r="M2132" s="18"/>
      <c r="N2132" s="18"/>
      <c r="O2132" s="18"/>
      <c r="P2132" s="18"/>
      <c r="Q2132" s="16"/>
      <c r="R2132" s="16"/>
    </row>
    <row r="2133" hidden="1">
      <c r="C2133" s="14"/>
      <c r="H2133" s="16"/>
      <c r="I2133" s="14"/>
      <c r="L2133" s="14"/>
      <c r="M2133" s="18"/>
      <c r="N2133" s="18"/>
      <c r="O2133" s="18"/>
      <c r="P2133" s="18"/>
      <c r="Q2133" s="16"/>
      <c r="R2133" s="16"/>
    </row>
    <row r="2134" hidden="1">
      <c r="C2134" s="14"/>
      <c r="H2134" s="16"/>
      <c r="I2134" s="14"/>
      <c r="L2134" s="14"/>
      <c r="M2134" s="18"/>
      <c r="N2134" s="18"/>
      <c r="O2134" s="18"/>
      <c r="P2134" s="18"/>
      <c r="Q2134" s="16"/>
      <c r="R2134" s="16"/>
    </row>
    <row r="2135" hidden="1">
      <c r="C2135" s="14"/>
      <c r="H2135" s="16"/>
      <c r="I2135" s="14"/>
      <c r="L2135" s="14"/>
      <c r="M2135" s="18"/>
      <c r="N2135" s="18"/>
      <c r="O2135" s="18"/>
      <c r="P2135" s="18"/>
      <c r="Q2135" s="16"/>
      <c r="R2135" s="16"/>
    </row>
    <row r="2136" hidden="1">
      <c r="C2136" s="14"/>
      <c r="H2136" s="16"/>
      <c r="I2136" s="14"/>
      <c r="L2136" s="14"/>
      <c r="M2136" s="18"/>
      <c r="N2136" s="18"/>
      <c r="O2136" s="18"/>
      <c r="P2136" s="18"/>
      <c r="Q2136" s="16"/>
      <c r="R2136" s="16"/>
    </row>
    <row r="2137" hidden="1">
      <c r="C2137" s="14"/>
      <c r="H2137" s="16"/>
      <c r="I2137" s="14"/>
      <c r="L2137" s="14"/>
      <c r="M2137" s="18"/>
      <c r="N2137" s="18"/>
      <c r="O2137" s="18"/>
      <c r="P2137" s="18"/>
      <c r="Q2137" s="16"/>
      <c r="R2137" s="16"/>
    </row>
    <row r="2138" hidden="1">
      <c r="C2138" s="14"/>
      <c r="H2138" s="16"/>
      <c r="I2138" s="14"/>
      <c r="L2138" s="14"/>
      <c r="M2138" s="18"/>
      <c r="N2138" s="18"/>
      <c r="O2138" s="18"/>
      <c r="P2138" s="18"/>
      <c r="Q2138" s="16"/>
      <c r="R2138" s="16"/>
    </row>
    <row r="2139" hidden="1">
      <c r="C2139" s="14"/>
      <c r="H2139" s="16"/>
      <c r="I2139" s="14"/>
      <c r="L2139" s="14"/>
      <c r="M2139" s="18"/>
      <c r="N2139" s="18"/>
      <c r="O2139" s="18"/>
      <c r="P2139" s="18"/>
      <c r="Q2139" s="16"/>
      <c r="R2139" s="16"/>
    </row>
    <row r="2140" hidden="1">
      <c r="C2140" s="14"/>
      <c r="H2140" s="16"/>
      <c r="I2140" s="14"/>
      <c r="L2140" s="14"/>
      <c r="M2140" s="18"/>
      <c r="N2140" s="18"/>
      <c r="O2140" s="18"/>
      <c r="P2140" s="18"/>
      <c r="Q2140" s="16"/>
      <c r="R2140" s="16"/>
    </row>
    <row r="2141" hidden="1">
      <c r="C2141" s="14"/>
      <c r="H2141" s="16"/>
      <c r="I2141" s="14"/>
      <c r="L2141" s="14"/>
      <c r="M2141" s="18"/>
      <c r="N2141" s="18"/>
      <c r="O2141" s="18"/>
      <c r="P2141" s="18"/>
      <c r="Q2141" s="16"/>
      <c r="R2141" s="16"/>
    </row>
    <row r="2142" hidden="1">
      <c r="C2142" s="14"/>
      <c r="H2142" s="16"/>
      <c r="I2142" s="14"/>
      <c r="L2142" s="14"/>
      <c r="M2142" s="18"/>
      <c r="N2142" s="18"/>
      <c r="O2142" s="18"/>
      <c r="P2142" s="18"/>
      <c r="Q2142" s="16"/>
      <c r="R2142" s="16"/>
    </row>
    <row r="2143" hidden="1">
      <c r="C2143" s="14"/>
      <c r="H2143" s="16"/>
      <c r="I2143" s="14"/>
      <c r="L2143" s="14"/>
      <c r="M2143" s="18"/>
      <c r="N2143" s="18"/>
      <c r="O2143" s="18"/>
      <c r="P2143" s="18"/>
      <c r="Q2143" s="16"/>
      <c r="R2143" s="16"/>
    </row>
    <row r="2144" hidden="1">
      <c r="C2144" s="14"/>
      <c r="H2144" s="16"/>
      <c r="I2144" s="14"/>
      <c r="L2144" s="14"/>
      <c r="M2144" s="18"/>
      <c r="N2144" s="18"/>
      <c r="O2144" s="18"/>
      <c r="P2144" s="18"/>
      <c r="Q2144" s="16"/>
      <c r="R2144" s="16"/>
    </row>
    <row r="2145" hidden="1">
      <c r="C2145" s="14"/>
      <c r="H2145" s="16"/>
      <c r="I2145" s="14"/>
      <c r="L2145" s="14"/>
      <c r="M2145" s="18"/>
      <c r="N2145" s="18"/>
      <c r="O2145" s="18"/>
      <c r="P2145" s="18"/>
      <c r="Q2145" s="16"/>
      <c r="R2145" s="16"/>
    </row>
    <row r="2146" hidden="1">
      <c r="C2146" s="14"/>
      <c r="H2146" s="16"/>
      <c r="I2146" s="14"/>
      <c r="L2146" s="14"/>
      <c r="M2146" s="18"/>
      <c r="N2146" s="18"/>
      <c r="O2146" s="18"/>
      <c r="P2146" s="18"/>
      <c r="Q2146" s="16"/>
      <c r="R2146" s="16"/>
    </row>
    <row r="2147" hidden="1">
      <c r="C2147" s="14"/>
      <c r="H2147" s="16"/>
      <c r="I2147" s="14"/>
      <c r="L2147" s="14"/>
      <c r="M2147" s="18"/>
      <c r="N2147" s="18"/>
      <c r="O2147" s="18"/>
      <c r="P2147" s="18"/>
      <c r="Q2147" s="16"/>
      <c r="R2147" s="16"/>
    </row>
    <row r="2148" hidden="1">
      <c r="C2148" s="14"/>
      <c r="H2148" s="16"/>
      <c r="I2148" s="14"/>
      <c r="L2148" s="14"/>
      <c r="M2148" s="18"/>
      <c r="N2148" s="18"/>
      <c r="O2148" s="18"/>
      <c r="P2148" s="18"/>
      <c r="Q2148" s="16"/>
      <c r="R2148" s="16"/>
    </row>
    <row r="2149" hidden="1">
      <c r="C2149" s="14"/>
      <c r="H2149" s="16"/>
      <c r="I2149" s="14"/>
      <c r="L2149" s="14"/>
      <c r="M2149" s="18"/>
      <c r="N2149" s="18"/>
      <c r="O2149" s="18"/>
      <c r="P2149" s="18"/>
      <c r="Q2149" s="16"/>
      <c r="R2149" s="16"/>
    </row>
    <row r="2150" hidden="1">
      <c r="C2150" s="14"/>
      <c r="H2150" s="16"/>
      <c r="I2150" s="14"/>
      <c r="L2150" s="14"/>
      <c r="M2150" s="18"/>
      <c r="N2150" s="18"/>
      <c r="O2150" s="18"/>
      <c r="P2150" s="18"/>
      <c r="Q2150" s="16"/>
      <c r="R2150" s="16"/>
    </row>
    <row r="2151" hidden="1">
      <c r="C2151" s="14"/>
      <c r="H2151" s="16"/>
      <c r="I2151" s="14"/>
      <c r="L2151" s="14"/>
      <c r="M2151" s="18"/>
      <c r="N2151" s="18"/>
      <c r="O2151" s="18"/>
      <c r="P2151" s="18"/>
      <c r="Q2151" s="16"/>
      <c r="R2151" s="16"/>
    </row>
    <row r="2152" hidden="1">
      <c r="C2152" s="14"/>
      <c r="H2152" s="16"/>
      <c r="I2152" s="14"/>
      <c r="L2152" s="14"/>
      <c r="M2152" s="18"/>
      <c r="N2152" s="18"/>
      <c r="O2152" s="18"/>
      <c r="P2152" s="18"/>
      <c r="Q2152" s="16"/>
      <c r="R2152" s="16"/>
    </row>
    <row r="2153" hidden="1">
      <c r="C2153" s="14"/>
      <c r="H2153" s="16"/>
      <c r="I2153" s="14"/>
      <c r="L2153" s="14"/>
      <c r="M2153" s="18"/>
      <c r="N2153" s="18"/>
      <c r="O2153" s="18"/>
      <c r="P2153" s="18"/>
      <c r="Q2153" s="16"/>
      <c r="R2153" s="16"/>
    </row>
    <row r="2154" hidden="1">
      <c r="C2154" s="14"/>
      <c r="H2154" s="16"/>
      <c r="I2154" s="14"/>
      <c r="L2154" s="14"/>
      <c r="M2154" s="18"/>
      <c r="N2154" s="18"/>
      <c r="O2154" s="18"/>
      <c r="P2154" s="18"/>
      <c r="Q2154" s="16"/>
      <c r="R2154" s="16"/>
    </row>
    <row r="2155" hidden="1">
      <c r="C2155" s="14"/>
      <c r="H2155" s="16"/>
      <c r="I2155" s="14"/>
      <c r="L2155" s="14"/>
      <c r="M2155" s="18"/>
      <c r="N2155" s="18"/>
      <c r="O2155" s="18"/>
      <c r="P2155" s="18"/>
      <c r="Q2155" s="16"/>
      <c r="R2155" s="16"/>
    </row>
    <row r="2156" hidden="1">
      <c r="C2156" s="14"/>
      <c r="H2156" s="16"/>
      <c r="I2156" s="14"/>
      <c r="L2156" s="14"/>
      <c r="M2156" s="18"/>
      <c r="N2156" s="18"/>
      <c r="O2156" s="18"/>
      <c r="P2156" s="18"/>
      <c r="Q2156" s="16"/>
      <c r="R2156" s="16"/>
    </row>
    <row r="2157" hidden="1">
      <c r="C2157" s="14"/>
      <c r="H2157" s="16"/>
      <c r="I2157" s="14"/>
      <c r="L2157" s="14"/>
      <c r="M2157" s="18"/>
      <c r="N2157" s="18"/>
      <c r="O2157" s="18"/>
      <c r="P2157" s="18"/>
      <c r="Q2157" s="16"/>
      <c r="R2157" s="16"/>
    </row>
    <row r="2158" hidden="1">
      <c r="C2158" s="14"/>
      <c r="H2158" s="16"/>
      <c r="I2158" s="14"/>
      <c r="L2158" s="14"/>
      <c r="M2158" s="18"/>
      <c r="N2158" s="18"/>
      <c r="O2158" s="18"/>
      <c r="P2158" s="18"/>
      <c r="Q2158" s="16"/>
      <c r="R2158" s="16"/>
    </row>
    <row r="2159" hidden="1">
      <c r="C2159" s="14"/>
      <c r="H2159" s="16"/>
      <c r="I2159" s="14"/>
      <c r="L2159" s="14"/>
      <c r="M2159" s="18"/>
      <c r="N2159" s="18"/>
      <c r="O2159" s="18"/>
      <c r="P2159" s="18"/>
      <c r="Q2159" s="16"/>
      <c r="R2159" s="16"/>
    </row>
    <row r="2160" hidden="1">
      <c r="C2160" s="14"/>
      <c r="H2160" s="16"/>
      <c r="I2160" s="14"/>
      <c r="L2160" s="14"/>
      <c r="M2160" s="18"/>
      <c r="N2160" s="18"/>
      <c r="O2160" s="18"/>
      <c r="P2160" s="18"/>
      <c r="Q2160" s="16"/>
      <c r="R2160" s="16"/>
    </row>
    <row r="2161" hidden="1">
      <c r="C2161" s="14"/>
      <c r="H2161" s="16"/>
      <c r="I2161" s="14"/>
      <c r="L2161" s="14"/>
      <c r="M2161" s="18"/>
      <c r="N2161" s="18"/>
      <c r="O2161" s="18"/>
      <c r="P2161" s="18"/>
      <c r="Q2161" s="16"/>
      <c r="R2161" s="16"/>
    </row>
    <row r="2162" hidden="1">
      <c r="C2162" s="14"/>
      <c r="H2162" s="16"/>
      <c r="I2162" s="14"/>
      <c r="L2162" s="14"/>
      <c r="M2162" s="18"/>
      <c r="N2162" s="18"/>
      <c r="O2162" s="18"/>
      <c r="P2162" s="18"/>
      <c r="Q2162" s="16"/>
      <c r="R2162" s="16"/>
    </row>
    <row r="2163" hidden="1">
      <c r="C2163" s="14"/>
      <c r="H2163" s="16"/>
      <c r="I2163" s="14"/>
      <c r="L2163" s="14"/>
      <c r="M2163" s="18"/>
      <c r="N2163" s="18"/>
      <c r="O2163" s="18"/>
      <c r="P2163" s="18"/>
      <c r="Q2163" s="16"/>
      <c r="R2163" s="16"/>
    </row>
    <row r="2164" hidden="1">
      <c r="C2164" s="14"/>
      <c r="H2164" s="16"/>
      <c r="I2164" s="14"/>
      <c r="L2164" s="14"/>
      <c r="M2164" s="18"/>
      <c r="N2164" s="18"/>
      <c r="O2164" s="18"/>
      <c r="P2164" s="18"/>
      <c r="Q2164" s="16"/>
      <c r="R2164" s="16"/>
    </row>
    <row r="2165" hidden="1">
      <c r="C2165" s="14"/>
      <c r="H2165" s="16"/>
      <c r="I2165" s="14"/>
      <c r="L2165" s="14"/>
      <c r="M2165" s="18"/>
      <c r="N2165" s="18"/>
      <c r="O2165" s="18"/>
      <c r="P2165" s="18"/>
      <c r="Q2165" s="16"/>
      <c r="R2165" s="16"/>
    </row>
    <row r="2166" hidden="1">
      <c r="C2166" s="14"/>
      <c r="H2166" s="16"/>
      <c r="I2166" s="14"/>
      <c r="L2166" s="14"/>
      <c r="M2166" s="18"/>
      <c r="N2166" s="18"/>
      <c r="O2166" s="18"/>
      <c r="P2166" s="18"/>
      <c r="Q2166" s="16"/>
      <c r="R2166" s="16"/>
    </row>
    <row r="2167" hidden="1">
      <c r="C2167" s="14"/>
      <c r="H2167" s="16"/>
      <c r="I2167" s="14"/>
      <c r="L2167" s="14"/>
      <c r="M2167" s="18"/>
      <c r="N2167" s="18"/>
      <c r="O2167" s="18"/>
      <c r="P2167" s="18"/>
      <c r="Q2167" s="16"/>
      <c r="R2167" s="16"/>
    </row>
    <row r="2168" hidden="1">
      <c r="C2168" s="14"/>
      <c r="H2168" s="16"/>
      <c r="I2168" s="14"/>
      <c r="L2168" s="14"/>
      <c r="M2168" s="18"/>
      <c r="N2168" s="18"/>
      <c r="O2168" s="18"/>
      <c r="P2168" s="18"/>
      <c r="Q2168" s="16"/>
      <c r="R2168" s="16"/>
    </row>
    <row r="2169" hidden="1">
      <c r="C2169" s="14"/>
      <c r="H2169" s="16"/>
      <c r="I2169" s="14"/>
      <c r="L2169" s="14"/>
      <c r="M2169" s="18"/>
      <c r="N2169" s="18"/>
      <c r="O2169" s="18"/>
      <c r="P2169" s="18"/>
      <c r="Q2169" s="16"/>
      <c r="R2169" s="16"/>
    </row>
    <row r="2170" hidden="1">
      <c r="C2170" s="14"/>
      <c r="H2170" s="16"/>
      <c r="I2170" s="14"/>
      <c r="L2170" s="14"/>
      <c r="M2170" s="18"/>
      <c r="N2170" s="18"/>
      <c r="O2170" s="18"/>
      <c r="P2170" s="18"/>
      <c r="Q2170" s="16"/>
      <c r="R2170" s="16"/>
    </row>
    <row r="2171" hidden="1">
      <c r="C2171" s="14"/>
      <c r="H2171" s="16"/>
      <c r="I2171" s="14"/>
      <c r="L2171" s="14"/>
      <c r="M2171" s="18"/>
      <c r="N2171" s="18"/>
      <c r="O2171" s="18"/>
      <c r="P2171" s="18"/>
      <c r="Q2171" s="16"/>
      <c r="R2171" s="16"/>
    </row>
    <row r="2172" hidden="1">
      <c r="C2172" s="14"/>
      <c r="H2172" s="16"/>
      <c r="I2172" s="14"/>
      <c r="L2172" s="14"/>
      <c r="M2172" s="18"/>
      <c r="N2172" s="18"/>
      <c r="O2172" s="18"/>
      <c r="P2172" s="18"/>
      <c r="Q2172" s="16"/>
      <c r="R2172" s="16"/>
    </row>
    <row r="2173" hidden="1">
      <c r="C2173" s="14"/>
      <c r="H2173" s="16"/>
      <c r="I2173" s="14"/>
      <c r="L2173" s="14"/>
      <c r="M2173" s="18"/>
      <c r="N2173" s="18"/>
      <c r="O2173" s="18"/>
      <c r="P2173" s="18"/>
      <c r="Q2173" s="16"/>
      <c r="R2173" s="16"/>
    </row>
    <row r="2174" hidden="1">
      <c r="C2174" s="14"/>
      <c r="H2174" s="16"/>
      <c r="I2174" s="14"/>
      <c r="L2174" s="14"/>
      <c r="M2174" s="18"/>
      <c r="N2174" s="18"/>
      <c r="O2174" s="18"/>
      <c r="P2174" s="18"/>
      <c r="Q2174" s="16"/>
      <c r="R2174" s="16"/>
    </row>
    <row r="2175" hidden="1">
      <c r="C2175" s="14"/>
      <c r="H2175" s="16"/>
      <c r="I2175" s="14"/>
      <c r="L2175" s="14"/>
      <c r="M2175" s="18"/>
      <c r="N2175" s="18"/>
      <c r="O2175" s="18"/>
      <c r="P2175" s="18"/>
      <c r="Q2175" s="16"/>
      <c r="R2175" s="16"/>
    </row>
    <row r="2176" hidden="1">
      <c r="C2176" s="14"/>
      <c r="H2176" s="16"/>
      <c r="I2176" s="14"/>
      <c r="L2176" s="14"/>
      <c r="M2176" s="18"/>
      <c r="N2176" s="18"/>
      <c r="O2176" s="18"/>
      <c r="P2176" s="18"/>
      <c r="Q2176" s="16"/>
      <c r="R2176" s="16"/>
    </row>
    <row r="2177" hidden="1">
      <c r="C2177" s="14"/>
      <c r="H2177" s="16"/>
      <c r="I2177" s="14"/>
      <c r="L2177" s="14"/>
      <c r="M2177" s="18"/>
      <c r="N2177" s="18"/>
      <c r="O2177" s="18"/>
      <c r="P2177" s="18"/>
      <c r="Q2177" s="16"/>
      <c r="R2177" s="16"/>
    </row>
    <row r="2178" hidden="1">
      <c r="C2178" s="14"/>
      <c r="H2178" s="16"/>
      <c r="I2178" s="14"/>
      <c r="L2178" s="14"/>
      <c r="M2178" s="18"/>
      <c r="N2178" s="18"/>
      <c r="O2178" s="18"/>
      <c r="P2178" s="18"/>
      <c r="Q2178" s="16"/>
      <c r="R2178" s="16"/>
    </row>
    <row r="2179" hidden="1">
      <c r="C2179" s="14"/>
      <c r="H2179" s="16"/>
      <c r="I2179" s="14"/>
      <c r="L2179" s="14"/>
      <c r="M2179" s="18"/>
      <c r="N2179" s="18"/>
      <c r="O2179" s="18"/>
      <c r="P2179" s="18"/>
      <c r="Q2179" s="16"/>
      <c r="R2179" s="16"/>
    </row>
    <row r="2180" hidden="1">
      <c r="C2180" s="14"/>
      <c r="H2180" s="16"/>
      <c r="I2180" s="14"/>
      <c r="L2180" s="14"/>
      <c r="M2180" s="18"/>
      <c r="N2180" s="18"/>
      <c r="O2180" s="18"/>
      <c r="P2180" s="18"/>
      <c r="Q2180" s="16"/>
      <c r="R2180" s="16"/>
    </row>
    <row r="2181" hidden="1">
      <c r="C2181" s="14"/>
      <c r="H2181" s="16"/>
      <c r="I2181" s="14"/>
      <c r="L2181" s="14"/>
      <c r="M2181" s="18"/>
      <c r="N2181" s="18"/>
      <c r="O2181" s="18"/>
      <c r="P2181" s="18"/>
      <c r="Q2181" s="16"/>
      <c r="R2181" s="16"/>
    </row>
    <row r="2182" hidden="1">
      <c r="C2182" s="14"/>
      <c r="H2182" s="16"/>
      <c r="I2182" s="14"/>
      <c r="L2182" s="14"/>
      <c r="M2182" s="18"/>
      <c r="N2182" s="18"/>
      <c r="O2182" s="18"/>
      <c r="P2182" s="18"/>
      <c r="Q2182" s="16"/>
      <c r="R2182" s="16"/>
    </row>
    <row r="2183" hidden="1">
      <c r="C2183" s="14"/>
      <c r="H2183" s="16"/>
      <c r="I2183" s="14"/>
      <c r="L2183" s="14"/>
      <c r="M2183" s="18"/>
      <c r="N2183" s="18"/>
      <c r="O2183" s="18"/>
      <c r="P2183" s="18"/>
      <c r="Q2183" s="16"/>
      <c r="R2183" s="16"/>
    </row>
    <row r="2184" hidden="1">
      <c r="C2184" s="14"/>
      <c r="H2184" s="16"/>
      <c r="I2184" s="14"/>
      <c r="L2184" s="14"/>
      <c r="M2184" s="18"/>
      <c r="N2184" s="18"/>
      <c r="O2184" s="18"/>
      <c r="P2184" s="18"/>
      <c r="Q2184" s="16"/>
      <c r="R2184" s="16"/>
    </row>
    <row r="2185" hidden="1">
      <c r="C2185" s="14"/>
      <c r="H2185" s="16"/>
      <c r="I2185" s="14"/>
      <c r="L2185" s="14"/>
      <c r="M2185" s="18"/>
      <c r="N2185" s="18"/>
      <c r="O2185" s="18"/>
      <c r="P2185" s="18"/>
      <c r="Q2185" s="16"/>
      <c r="R2185" s="16"/>
    </row>
    <row r="2186" hidden="1">
      <c r="C2186" s="14"/>
      <c r="H2186" s="16"/>
      <c r="I2186" s="14"/>
      <c r="L2186" s="14"/>
      <c r="M2186" s="18"/>
      <c r="N2186" s="18"/>
      <c r="O2186" s="18"/>
      <c r="P2186" s="18"/>
      <c r="Q2186" s="16"/>
      <c r="R2186" s="16"/>
    </row>
    <row r="2187" hidden="1">
      <c r="C2187" s="14"/>
      <c r="H2187" s="16"/>
      <c r="I2187" s="14"/>
      <c r="L2187" s="14"/>
      <c r="M2187" s="18"/>
      <c r="N2187" s="18"/>
      <c r="O2187" s="18"/>
      <c r="P2187" s="18"/>
      <c r="Q2187" s="16"/>
      <c r="R2187" s="16"/>
    </row>
    <row r="2188" hidden="1">
      <c r="C2188" s="14"/>
      <c r="H2188" s="16"/>
      <c r="I2188" s="14"/>
      <c r="L2188" s="14"/>
      <c r="M2188" s="18"/>
      <c r="N2188" s="18"/>
      <c r="O2188" s="18"/>
      <c r="P2188" s="18"/>
      <c r="Q2188" s="16"/>
      <c r="R2188" s="16"/>
    </row>
    <row r="2189" hidden="1">
      <c r="C2189" s="14"/>
      <c r="H2189" s="16"/>
      <c r="I2189" s="14"/>
      <c r="L2189" s="14"/>
      <c r="M2189" s="18"/>
      <c r="N2189" s="18"/>
      <c r="O2189" s="18"/>
      <c r="P2189" s="18"/>
      <c r="Q2189" s="16"/>
      <c r="R2189" s="16"/>
    </row>
    <row r="2190" hidden="1">
      <c r="C2190" s="14"/>
      <c r="H2190" s="16"/>
      <c r="I2190" s="14"/>
      <c r="L2190" s="14"/>
      <c r="M2190" s="18"/>
      <c r="N2190" s="18"/>
      <c r="O2190" s="18"/>
      <c r="P2190" s="18"/>
      <c r="Q2190" s="16"/>
      <c r="R2190" s="16"/>
    </row>
    <row r="2191" hidden="1">
      <c r="C2191" s="14"/>
      <c r="H2191" s="16"/>
      <c r="I2191" s="14"/>
      <c r="L2191" s="14"/>
      <c r="M2191" s="18"/>
      <c r="N2191" s="18"/>
      <c r="O2191" s="18"/>
      <c r="P2191" s="18"/>
      <c r="Q2191" s="16"/>
      <c r="R2191" s="16"/>
    </row>
    <row r="2192" hidden="1">
      <c r="C2192" s="14"/>
      <c r="H2192" s="16"/>
      <c r="I2192" s="14"/>
      <c r="L2192" s="14"/>
      <c r="M2192" s="18"/>
      <c r="N2192" s="18"/>
      <c r="O2192" s="18"/>
      <c r="P2192" s="18"/>
      <c r="Q2192" s="16"/>
      <c r="R2192" s="16"/>
    </row>
    <row r="2193" hidden="1">
      <c r="C2193" s="14"/>
      <c r="H2193" s="16"/>
      <c r="I2193" s="14"/>
      <c r="L2193" s="14"/>
      <c r="M2193" s="18"/>
      <c r="N2193" s="18"/>
      <c r="O2193" s="18"/>
      <c r="P2193" s="18"/>
      <c r="Q2193" s="16"/>
      <c r="R2193" s="16"/>
    </row>
    <row r="2194" hidden="1">
      <c r="C2194" s="14"/>
      <c r="H2194" s="16"/>
      <c r="I2194" s="14"/>
      <c r="L2194" s="14"/>
      <c r="M2194" s="18"/>
      <c r="N2194" s="18"/>
      <c r="O2194" s="18"/>
      <c r="P2194" s="18"/>
      <c r="Q2194" s="16"/>
      <c r="R2194" s="16"/>
    </row>
    <row r="2195" hidden="1">
      <c r="C2195" s="14"/>
      <c r="H2195" s="16"/>
      <c r="I2195" s="14"/>
      <c r="L2195" s="14"/>
      <c r="M2195" s="18"/>
      <c r="N2195" s="18"/>
      <c r="O2195" s="18"/>
      <c r="P2195" s="18"/>
      <c r="Q2195" s="16"/>
      <c r="R2195" s="16"/>
    </row>
    <row r="2196" hidden="1">
      <c r="C2196" s="14"/>
      <c r="H2196" s="16"/>
      <c r="I2196" s="14"/>
      <c r="L2196" s="14"/>
      <c r="M2196" s="18"/>
      <c r="N2196" s="18"/>
      <c r="O2196" s="18"/>
      <c r="P2196" s="18"/>
      <c r="Q2196" s="16"/>
      <c r="R2196" s="16"/>
    </row>
    <row r="2197" hidden="1">
      <c r="C2197" s="14"/>
      <c r="H2197" s="16"/>
      <c r="I2197" s="14"/>
      <c r="L2197" s="14"/>
      <c r="M2197" s="18"/>
      <c r="N2197" s="18"/>
      <c r="O2197" s="18"/>
      <c r="P2197" s="18"/>
      <c r="Q2197" s="16"/>
      <c r="R2197" s="16"/>
    </row>
    <row r="2198" hidden="1">
      <c r="C2198" s="14"/>
      <c r="H2198" s="16"/>
      <c r="I2198" s="14"/>
      <c r="L2198" s="14"/>
      <c r="M2198" s="18"/>
      <c r="N2198" s="18"/>
      <c r="O2198" s="18"/>
      <c r="P2198" s="18"/>
      <c r="Q2198" s="16"/>
      <c r="R2198" s="16"/>
    </row>
    <row r="2199" hidden="1">
      <c r="C2199" s="14"/>
      <c r="H2199" s="16"/>
      <c r="I2199" s="14"/>
      <c r="L2199" s="14"/>
      <c r="M2199" s="18"/>
      <c r="N2199" s="18"/>
      <c r="O2199" s="18"/>
      <c r="P2199" s="18"/>
      <c r="Q2199" s="16"/>
      <c r="R2199" s="16"/>
    </row>
    <row r="2200" hidden="1">
      <c r="C2200" s="14"/>
      <c r="H2200" s="16"/>
      <c r="I2200" s="14"/>
      <c r="L2200" s="14"/>
      <c r="M2200" s="18"/>
      <c r="N2200" s="18"/>
      <c r="O2200" s="18"/>
      <c r="P2200" s="18"/>
      <c r="Q2200" s="16"/>
      <c r="R2200" s="16"/>
    </row>
    <row r="2201" hidden="1">
      <c r="C2201" s="14"/>
      <c r="H2201" s="16"/>
      <c r="I2201" s="14"/>
      <c r="L2201" s="14"/>
      <c r="M2201" s="18"/>
      <c r="N2201" s="18"/>
      <c r="O2201" s="18"/>
      <c r="P2201" s="18"/>
      <c r="Q2201" s="16"/>
      <c r="R2201" s="16"/>
    </row>
    <row r="2202" hidden="1">
      <c r="C2202" s="14"/>
      <c r="H2202" s="16"/>
      <c r="I2202" s="14"/>
      <c r="L2202" s="14"/>
      <c r="M2202" s="18"/>
      <c r="N2202" s="18"/>
      <c r="O2202" s="18"/>
      <c r="P2202" s="18"/>
      <c r="Q2202" s="16"/>
      <c r="R2202" s="16"/>
    </row>
    <row r="2203" hidden="1">
      <c r="C2203" s="14"/>
      <c r="H2203" s="16"/>
      <c r="I2203" s="14"/>
      <c r="L2203" s="14"/>
      <c r="M2203" s="18"/>
      <c r="N2203" s="18"/>
      <c r="O2203" s="18"/>
      <c r="P2203" s="18"/>
      <c r="Q2203" s="16"/>
      <c r="R2203" s="16"/>
    </row>
    <row r="2204" hidden="1">
      <c r="C2204" s="14"/>
      <c r="H2204" s="16"/>
      <c r="I2204" s="14"/>
      <c r="L2204" s="14"/>
      <c r="M2204" s="18"/>
      <c r="N2204" s="18"/>
      <c r="O2204" s="18"/>
      <c r="P2204" s="18"/>
      <c r="Q2204" s="16"/>
      <c r="R2204" s="16"/>
    </row>
    <row r="2205" hidden="1">
      <c r="C2205" s="14"/>
      <c r="H2205" s="16"/>
      <c r="I2205" s="14"/>
      <c r="L2205" s="14"/>
      <c r="M2205" s="18"/>
      <c r="N2205" s="18"/>
      <c r="O2205" s="18"/>
      <c r="P2205" s="18"/>
      <c r="Q2205" s="16"/>
      <c r="R2205" s="16"/>
    </row>
    <row r="2206" hidden="1">
      <c r="C2206" s="14"/>
      <c r="H2206" s="16"/>
      <c r="I2206" s="14"/>
      <c r="L2206" s="14"/>
      <c r="M2206" s="18"/>
      <c r="N2206" s="18"/>
      <c r="O2206" s="18"/>
      <c r="P2206" s="18"/>
      <c r="Q2206" s="16"/>
      <c r="R2206" s="16"/>
    </row>
    <row r="2207" hidden="1">
      <c r="C2207" s="14"/>
      <c r="H2207" s="16"/>
      <c r="I2207" s="14"/>
      <c r="L2207" s="14"/>
      <c r="M2207" s="18"/>
      <c r="N2207" s="18"/>
      <c r="O2207" s="18"/>
      <c r="P2207" s="18"/>
      <c r="Q2207" s="16"/>
      <c r="R2207" s="16"/>
    </row>
    <row r="2208" hidden="1">
      <c r="C2208" s="14"/>
      <c r="H2208" s="16"/>
      <c r="I2208" s="14"/>
      <c r="L2208" s="14"/>
      <c r="M2208" s="18"/>
      <c r="N2208" s="18"/>
      <c r="O2208" s="18"/>
      <c r="P2208" s="18"/>
      <c r="Q2208" s="16"/>
      <c r="R2208" s="16"/>
    </row>
    <row r="2209" hidden="1">
      <c r="C2209" s="14"/>
      <c r="H2209" s="16"/>
      <c r="I2209" s="14"/>
      <c r="L2209" s="14"/>
      <c r="M2209" s="18"/>
      <c r="N2209" s="18"/>
      <c r="O2209" s="18"/>
      <c r="P2209" s="18"/>
      <c r="Q2209" s="16"/>
      <c r="R2209" s="16"/>
    </row>
    <row r="2210" hidden="1">
      <c r="C2210" s="14"/>
      <c r="H2210" s="16"/>
      <c r="I2210" s="14"/>
      <c r="L2210" s="14"/>
      <c r="M2210" s="18"/>
      <c r="N2210" s="18"/>
      <c r="O2210" s="18"/>
      <c r="P2210" s="18"/>
      <c r="Q2210" s="16"/>
      <c r="R2210" s="16"/>
    </row>
    <row r="2211" hidden="1">
      <c r="C2211" s="14"/>
      <c r="H2211" s="16"/>
      <c r="I2211" s="14"/>
      <c r="L2211" s="14"/>
      <c r="M2211" s="18"/>
      <c r="N2211" s="18"/>
      <c r="O2211" s="18"/>
      <c r="P2211" s="18"/>
      <c r="Q2211" s="16"/>
      <c r="R2211" s="16"/>
    </row>
    <row r="2212" hidden="1">
      <c r="C2212" s="14"/>
      <c r="H2212" s="16"/>
      <c r="I2212" s="14"/>
      <c r="L2212" s="14"/>
      <c r="M2212" s="18"/>
      <c r="N2212" s="18"/>
      <c r="O2212" s="18"/>
      <c r="P2212" s="18"/>
      <c r="Q2212" s="16"/>
      <c r="R2212" s="16"/>
    </row>
    <row r="2213" hidden="1">
      <c r="C2213" s="14"/>
      <c r="H2213" s="16"/>
      <c r="I2213" s="14"/>
      <c r="L2213" s="14"/>
      <c r="M2213" s="18"/>
      <c r="N2213" s="18"/>
      <c r="O2213" s="18"/>
      <c r="P2213" s="18"/>
      <c r="Q2213" s="16"/>
      <c r="R2213" s="16"/>
    </row>
    <row r="2214" hidden="1">
      <c r="C2214" s="14"/>
      <c r="H2214" s="16"/>
      <c r="I2214" s="14"/>
      <c r="L2214" s="14"/>
      <c r="M2214" s="18"/>
      <c r="N2214" s="18"/>
      <c r="O2214" s="18"/>
      <c r="P2214" s="18"/>
      <c r="Q2214" s="16"/>
      <c r="R2214" s="16"/>
    </row>
    <row r="2215" hidden="1">
      <c r="C2215" s="14"/>
      <c r="H2215" s="16"/>
      <c r="I2215" s="14"/>
      <c r="L2215" s="14"/>
      <c r="M2215" s="18"/>
      <c r="N2215" s="18"/>
      <c r="O2215" s="18"/>
      <c r="P2215" s="18"/>
      <c r="Q2215" s="16"/>
      <c r="R2215" s="16"/>
    </row>
    <row r="2216" hidden="1">
      <c r="C2216" s="14"/>
      <c r="H2216" s="16"/>
      <c r="I2216" s="14"/>
      <c r="L2216" s="14"/>
      <c r="M2216" s="18"/>
      <c r="N2216" s="18"/>
      <c r="O2216" s="18"/>
      <c r="P2216" s="18"/>
      <c r="Q2216" s="16"/>
      <c r="R2216" s="16"/>
    </row>
    <row r="2217" hidden="1">
      <c r="C2217" s="14"/>
      <c r="H2217" s="16"/>
      <c r="I2217" s="14"/>
      <c r="L2217" s="14"/>
      <c r="M2217" s="18"/>
      <c r="N2217" s="18"/>
      <c r="O2217" s="18"/>
      <c r="P2217" s="18"/>
      <c r="Q2217" s="16"/>
      <c r="R2217" s="16"/>
    </row>
    <row r="2218" hidden="1">
      <c r="C2218" s="14"/>
      <c r="H2218" s="16"/>
      <c r="I2218" s="14"/>
      <c r="L2218" s="14"/>
      <c r="M2218" s="18"/>
      <c r="N2218" s="18"/>
      <c r="O2218" s="18"/>
      <c r="P2218" s="18"/>
      <c r="Q2218" s="16"/>
      <c r="R2218" s="16"/>
    </row>
    <row r="2219" hidden="1">
      <c r="C2219" s="14"/>
      <c r="H2219" s="16"/>
      <c r="I2219" s="14"/>
      <c r="L2219" s="14"/>
      <c r="M2219" s="18"/>
      <c r="N2219" s="18"/>
      <c r="O2219" s="18"/>
      <c r="P2219" s="18"/>
      <c r="Q2219" s="16"/>
      <c r="R2219" s="16"/>
    </row>
    <row r="2220" hidden="1">
      <c r="C2220" s="14"/>
      <c r="H2220" s="16"/>
      <c r="I2220" s="14"/>
      <c r="L2220" s="14"/>
      <c r="M2220" s="18"/>
      <c r="N2220" s="18"/>
      <c r="O2220" s="18"/>
      <c r="P2220" s="18"/>
      <c r="Q2220" s="16"/>
      <c r="R2220" s="16"/>
    </row>
    <row r="2221" hidden="1">
      <c r="C2221" s="14"/>
      <c r="H2221" s="16"/>
      <c r="I2221" s="14"/>
      <c r="L2221" s="14"/>
      <c r="M2221" s="18"/>
      <c r="N2221" s="18"/>
      <c r="O2221" s="18"/>
      <c r="P2221" s="18"/>
      <c r="Q2221" s="16"/>
      <c r="R2221" s="16"/>
    </row>
    <row r="2222" hidden="1">
      <c r="C2222" s="14"/>
      <c r="H2222" s="16"/>
      <c r="I2222" s="14"/>
      <c r="L2222" s="14"/>
      <c r="M2222" s="18"/>
      <c r="N2222" s="18"/>
      <c r="O2222" s="18"/>
      <c r="P2222" s="18"/>
      <c r="Q2222" s="16"/>
      <c r="R2222" s="16"/>
    </row>
    <row r="2223" hidden="1">
      <c r="C2223" s="14"/>
      <c r="H2223" s="16"/>
      <c r="I2223" s="14"/>
      <c r="L2223" s="14"/>
      <c r="M2223" s="18"/>
      <c r="N2223" s="18"/>
      <c r="O2223" s="18"/>
      <c r="P2223" s="18"/>
      <c r="Q2223" s="16"/>
      <c r="R2223" s="16"/>
    </row>
    <row r="2224" hidden="1">
      <c r="C2224" s="14"/>
      <c r="H2224" s="16"/>
      <c r="I2224" s="14"/>
      <c r="L2224" s="14"/>
      <c r="M2224" s="18"/>
      <c r="N2224" s="18"/>
      <c r="O2224" s="18"/>
      <c r="P2224" s="18"/>
      <c r="Q2224" s="16"/>
      <c r="R2224" s="16"/>
    </row>
    <row r="2225" hidden="1">
      <c r="C2225" s="14"/>
      <c r="H2225" s="16"/>
      <c r="I2225" s="14"/>
      <c r="L2225" s="14"/>
      <c r="M2225" s="18"/>
      <c r="N2225" s="18"/>
      <c r="O2225" s="18"/>
      <c r="P2225" s="18"/>
      <c r="Q2225" s="16"/>
      <c r="R2225" s="16"/>
    </row>
    <row r="2226" hidden="1">
      <c r="C2226" s="14"/>
      <c r="H2226" s="16"/>
      <c r="I2226" s="14"/>
      <c r="L2226" s="14"/>
      <c r="M2226" s="18"/>
      <c r="N2226" s="18"/>
      <c r="O2226" s="18"/>
      <c r="P2226" s="18"/>
      <c r="Q2226" s="16"/>
      <c r="R2226" s="16"/>
    </row>
    <row r="2227" hidden="1">
      <c r="C2227" s="14"/>
      <c r="H2227" s="16"/>
      <c r="I2227" s="14"/>
      <c r="L2227" s="14"/>
      <c r="M2227" s="18"/>
      <c r="N2227" s="18"/>
      <c r="O2227" s="18"/>
      <c r="P2227" s="18"/>
      <c r="Q2227" s="16"/>
      <c r="R2227" s="16"/>
    </row>
    <row r="2228" hidden="1">
      <c r="C2228" s="14"/>
      <c r="H2228" s="16"/>
      <c r="I2228" s="14"/>
      <c r="L2228" s="14"/>
      <c r="M2228" s="18"/>
      <c r="N2228" s="18"/>
      <c r="O2228" s="18"/>
      <c r="P2228" s="18"/>
      <c r="Q2228" s="16"/>
      <c r="R2228" s="16"/>
    </row>
    <row r="2229" hidden="1">
      <c r="C2229" s="14"/>
      <c r="H2229" s="16"/>
      <c r="I2229" s="14"/>
      <c r="L2229" s="14"/>
      <c r="M2229" s="18"/>
      <c r="N2229" s="18"/>
      <c r="O2229" s="18"/>
      <c r="P2229" s="18"/>
      <c r="Q2229" s="16"/>
      <c r="R2229" s="16"/>
    </row>
    <row r="2230" hidden="1">
      <c r="C2230" s="14"/>
      <c r="H2230" s="16"/>
      <c r="I2230" s="14"/>
      <c r="L2230" s="14"/>
      <c r="M2230" s="18"/>
      <c r="N2230" s="18"/>
      <c r="O2230" s="18"/>
      <c r="P2230" s="18"/>
      <c r="Q2230" s="16"/>
      <c r="R2230" s="16"/>
    </row>
    <row r="2231" hidden="1">
      <c r="C2231" s="14"/>
      <c r="H2231" s="16"/>
      <c r="I2231" s="14"/>
      <c r="L2231" s="14"/>
      <c r="M2231" s="18"/>
      <c r="N2231" s="18"/>
      <c r="O2231" s="18"/>
      <c r="P2231" s="18"/>
      <c r="Q2231" s="16"/>
      <c r="R2231" s="16"/>
    </row>
    <row r="2232" hidden="1">
      <c r="C2232" s="14"/>
      <c r="H2232" s="16"/>
      <c r="I2232" s="14"/>
      <c r="L2232" s="14"/>
      <c r="M2232" s="18"/>
      <c r="N2232" s="18"/>
      <c r="O2232" s="18"/>
      <c r="P2232" s="18"/>
      <c r="Q2232" s="16"/>
      <c r="R2232" s="16"/>
    </row>
    <row r="2233" hidden="1">
      <c r="C2233" s="14"/>
      <c r="H2233" s="16"/>
      <c r="I2233" s="14"/>
      <c r="L2233" s="14"/>
      <c r="M2233" s="18"/>
      <c r="N2233" s="18"/>
      <c r="O2233" s="18"/>
      <c r="P2233" s="18"/>
      <c r="Q2233" s="16"/>
      <c r="R2233" s="16"/>
    </row>
    <row r="2234" hidden="1">
      <c r="C2234" s="14"/>
      <c r="H2234" s="16"/>
      <c r="I2234" s="14"/>
      <c r="L2234" s="14"/>
      <c r="M2234" s="18"/>
      <c r="N2234" s="18"/>
      <c r="O2234" s="18"/>
      <c r="P2234" s="18"/>
      <c r="Q2234" s="16"/>
      <c r="R2234" s="16"/>
    </row>
    <row r="2235" hidden="1">
      <c r="C2235" s="14"/>
      <c r="H2235" s="16"/>
      <c r="I2235" s="14"/>
      <c r="L2235" s="14"/>
      <c r="M2235" s="18"/>
      <c r="N2235" s="18"/>
      <c r="O2235" s="18"/>
      <c r="P2235" s="18"/>
      <c r="Q2235" s="16"/>
      <c r="R2235" s="16"/>
    </row>
    <row r="2236" hidden="1">
      <c r="C2236" s="14"/>
      <c r="H2236" s="16"/>
      <c r="I2236" s="14"/>
      <c r="L2236" s="14"/>
      <c r="M2236" s="18"/>
      <c r="N2236" s="18"/>
      <c r="O2236" s="18"/>
      <c r="P2236" s="18"/>
      <c r="Q2236" s="16"/>
      <c r="R2236" s="16"/>
    </row>
    <row r="2237" hidden="1">
      <c r="C2237" s="14"/>
      <c r="H2237" s="16"/>
      <c r="I2237" s="14"/>
      <c r="L2237" s="14"/>
      <c r="M2237" s="18"/>
      <c r="N2237" s="18"/>
      <c r="O2237" s="18"/>
      <c r="P2237" s="18"/>
      <c r="Q2237" s="16"/>
      <c r="R2237" s="16"/>
    </row>
    <row r="2238" hidden="1">
      <c r="C2238" s="14"/>
      <c r="H2238" s="16"/>
      <c r="I2238" s="14"/>
      <c r="L2238" s="14"/>
      <c r="M2238" s="18"/>
      <c r="N2238" s="18"/>
      <c r="O2238" s="18"/>
      <c r="P2238" s="18"/>
      <c r="Q2238" s="16"/>
      <c r="R2238" s="16"/>
    </row>
    <row r="2239" hidden="1">
      <c r="C2239" s="14"/>
      <c r="H2239" s="16"/>
      <c r="I2239" s="14"/>
      <c r="L2239" s="14"/>
      <c r="M2239" s="18"/>
      <c r="N2239" s="18"/>
      <c r="O2239" s="18"/>
      <c r="P2239" s="18"/>
      <c r="Q2239" s="16"/>
      <c r="R2239" s="16"/>
    </row>
    <row r="2240" hidden="1">
      <c r="C2240" s="14"/>
      <c r="H2240" s="16"/>
      <c r="I2240" s="14"/>
      <c r="L2240" s="14"/>
      <c r="M2240" s="18"/>
      <c r="N2240" s="18"/>
      <c r="O2240" s="18"/>
      <c r="P2240" s="18"/>
      <c r="Q2240" s="16"/>
      <c r="R2240" s="16"/>
    </row>
    <row r="2241" hidden="1">
      <c r="C2241" s="14"/>
      <c r="H2241" s="16"/>
      <c r="I2241" s="14"/>
      <c r="L2241" s="14"/>
      <c r="M2241" s="18"/>
      <c r="N2241" s="18"/>
      <c r="O2241" s="18"/>
      <c r="P2241" s="18"/>
      <c r="Q2241" s="16"/>
      <c r="R2241" s="16"/>
    </row>
    <row r="2242" hidden="1">
      <c r="C2242" s="14"/>
      <c r="H2242" s="16"/>
      <c r="I2242" s="14"/>
      <c r="L2242" s="14"/>
      <c r="M2242" s="18"/>
      <c r="N2242" s="18"/>
      <c r="O2242" s="18"/>
      <c r="P2242" s="18"/>
      <c r="Q2242" s="16"/>
      <c r="R2242" s="16"/>
    </row>
    <row r="2243" hidden="1">
      <c r="C2243" s="14"/>
      <c r="H2243" s="16"/>
      <c r="I2243" s="14"/>
      <c r="L2243" s="14"/>
      <c r="M2243" s="18"/>
      <c r="N2243" s="18"/>
      <c r="O2243" s="18"/>
      <c r="P2243" s="18"/>
      <c r="Q2243" s="16"/>
      <c r="R2243" s="16"/>
    </row>
    <row r="2244" hidden="1">
      <c r="C2244" s="14"/>
      <c r="H2244" s="16"/>
      <c r="I2244" s="14"/>
      <c r="L2244" s="14"/>
      <c r="M2244" s="18"/>
      <c r="N2244" s="18"/>
      <c r="O2244" s="18"/>
      <c r="P2244" s="18"/>
      <c r="Q2244" s="16"/>
      <c r="R2244" s="16"/>
    </row>
    <row r="2245" hidden="1">
      <c r="C2245" s="14"/>
      <c r="H2245" s="16"/>
      <c r="I2245" s="14"/>
      <c r="L2245" s="14"/>
      <c r="M2245" s="18"/>
      <c r="N2245" s="18"/>
      <c r="O2245" s="18"/>
      <c r="P2245" s="18"/>
      <c r="Q2245" s="16"/>
      <c r="R2245" s="16"/>
    </row>
    <row r="2246" hidden="1">
      <c r="C2246" s="14"/>
      <c r="H2246" s="16"/>
      <c r="I2246" s="14"/>
      <c r="L2246" s="14"/>
      <c r="M2246" s="18"/>
      <c r="N2246" s="18"/>
      <c r="O2246" s="18"/>
      <c r="P2246" s="18"/>
      <c r="Q2246" s="16"/>
      <c r="R2246" s="16"/>
    </row>
    <row r="2247" hidden="1">
      <c r="C2247" s="14"/>
      <c r="H2247" s="16"/>
      <c r="I2247" s="14"/>
      <c r="L2247" s="14"/>
      <c r="M2247" s="18"/>
      <c r="N2247" s="18"/>
      <c r="O2247" s="18"/>
      <c r="P2247" s="18"/>
      <c r="Q2247" s="16"/>
      <c r="R2247" s="16"/>
    </row>
    <row r="2248" hidden="1">
      <c r="C2248" s="14"/>
      <c r="H2248" s="16"/>
      <c r="I2248" s="14"/>
      <c r="L2248" s="14"/>
      <c r="M2248" s="18"/>
      <c r="N2248" s="18"/>
      <c r="O2248" s="18"/>
      <c r="P2248" s="18"/>
      <c r="Q2248" s="16"/>
      <c r="R2248" s="16"/>
    </row>
    <row r="2249" hidden="1">
      <c r="C2249" s="14"/>
      <c r="H2249" s="16"/>
      <c r="I2249" s="14"/>
      <c r="L2249" s="14"/>
      <c r="M2249" s="18"/>
      <c r="N2249" s="18"/>
      <c r="O2249" s="18"/>
      <c r="P2249" s="18"/>
      <c r="Q2249" s="16"/>
      <c r="R2249" s="16"/>
    </row>
    <row r="2250" hidden="1">
      <c r="C2250" s="14"/>
      <c r="H2250" s="16"/>
      <c r="I2250" s="14"/>
      <c r="L2250" s="14"/>
      <c r="M2250" s="18"/>
      <c r="N2250" s="18"/>
      <c r="O2250" s="18"/>
      <c r="P2250" s="18"/>
      <c r="Q2250" s="16"/>
      <c r="R2250" s="16"/>
    </row>
    <row r="2251" hidden="1">
      <c r="C2251" s="14"/>
      <c r="H2251" s="16"/>
      <c r="I2251" s="14"/>
      <c r="L2251" s="14"/>
      <c r="M2251" s="18"/>
      <c r="N2251" s="18"/>
      <c r="O2251" s="18"/>
      <c r="P2251" s="18"/>
      <c r="Q2251" s="16"/>
      <c r="R2251" s="16"/>
    </row>
    <row r="2252" hidden="1">
      <c r="C2252" s="14"/>
      <c r="H2252" s="16"/>
      <c r="I2252" s="14"/>
      <c r="L2252" s="14"/>
      <c r="M2252" s="18"/>
      <c r="N2252" s="18"/>
      <c r="O2252" s="18"/>
      <c r="P2252" s="18"/>
      <c r="Q2252" s="16"/>
      <c r="R2252" s="16"/>
    </row>
    <row r="2253" hidden="1">
      <c r="C2253" s="14"/>
      <c r="H2253" s="16"/>
      <c r="I2253" s="14"/>
      <c r="L2253" s="14"/>
      <c r="M2253" s="18"/>
      <c r="N2253" s="18"/>
      <c r="O2253" s="18"/>
      <c r="P2253" s="18"/>
      <c r="Q2253" s="16"/>
      <c r="R2253" s="16"/>
    </row>
    <row r="2254" hidden="1">
      <c r="C2254" s="14"/>
      <c r="H2254" s="16"/>
      <c r="I2254" s="14"/>
      <c r="L2254" s="14"/>
      <c r="M2254" s="18"/>
      <c r="N2254" s="18"/>
      <c r="O2254" s="18"/>
      <c r="P2254" s="18"/>
      <c r="Q2254" s="16"/>
      <c r="R2254" s="16"/>
    </row>
    <row r="2255" hidden="1">
      <c r="C2255" s="14"/>
      <c r="H2255" s="16"/>
      <c r="I2255" s="14"/>
      <c r="L2255" s="14"/>
      <c r="M2255" s="18"/>
      <c r="N2255" s="18"/>
      <c r="O2255" s="18"/>
      <c r="P2255" s="18"/>
      <c r="Q2255" s="16"/>
      <c r="R2255" s="16"/>
    </row>
    <row r="2256" hidden="1">
      <c r="C2256" s="14"/>
      <c r="H2256" s="16"/>
      <c r="I2256" s="14"/>
      <c r="L2256" s="14"/>
      <c r="M2256" s="18"/>
      <c r="N2256" s="18"/>
      <c r="O2256" s="18"/>
      <c r="P2256" s="18"/>
      <c r="Q2256" s="16"/>
      <c r="R2256" s="16"/>
    </row>
    <row r="2257" hidden="1">
      <c r="C2257" s="14"/>
      <c r="H2257" s="16"/>
      <c r="I2257" s="14"/>
      <c r="L2257" s="14"/>
      <c r="M2257" s="18"/>
      <c r="N2257" s="18"/>
      <c r="O2257" s="18"/>
      <c r="P2257" s="18"/>
      <c r="Q2257" s="16"/>
      <c r="R2257" s="16"/>
    </row>
    <row r="2258" hidden="1">
      <c r="C2258" s="14"/>
      <c r="H2258" s="16"/>
      <c r="I2258" s="14"/>
      <c r="L2258" s="14"/>
      <c r="M2258" s="18"/>
      <c r="N2258" s="18"/>
      <c r="O2258" s="18"/>
      <c r="P2258" s="18"/>
      <c r="Q2258" s="16"/>
      <c r="R2258" s="16"/>
    </row>
    <row r="2259" hidden="1">
      <c r="C2259" s="14"/>
      <c r="H2259" s="16"/>
      <c r="I2259" s="14"/>
      <c r="L2259" s="14"/>
      <c r="M2259" s="18"/>
      <c r="N2259" s="18"/>
      <c r="O2259" s="18"/>
      <c r="P2259" s="18"/>
      <c r="Q2259" s="16"/>
      <c r="R2259" s="16"/>
    </row>
    <row r="2260" hidden="1">
      <c r="C2260" s="14"/>
      <c r="H2260" s="16"/>
      <c r="I2260" s="14"/>
      <c r="L2260" s="14"/>
      <c r="M2260" s="18"/>
      <c r="N2260" s="18"/>
      <c r="O2260" s="18"/>
      <c r="P2260" s="18"/>
      <c r="Q2260" s="16"/>
      <c r="R2260" s="16"/>
    </row>
    <row r="2261" hidden="1">
      <c r="C2261" s="14"/>
      <c r="H2261" s="16"/>
      <c r="I2261" s="14"/>
      <c r="L2261" s="14"/>
      <c r="M2261" s="18"/>
      <c r="N2261" s="18"/>
      <c r="O2261" s="18"/>
      <c r="P2261" s="18"/>
      <c r="Q2261" s="16"/>
      <c r="R2261" s="16"/>
    </row>
    <row r="2262" hidden="1">
      <c r="C2262" s="14"/>
      <c r="H2262" s="16"/>
      <c r="I2262" s="14"/>
      <c r="L2262" s="14"/>
      <c r="M2262" s="18"/>
      <c r="N2262" s="18"/>
      <c r="O2262" s="18"/>
      <c r="P2262" s="18"/>
      <c r="Q2262" s="16"/>
      <c r="R2262" s="16"/>
    </row>
    <row r="2263" hidden="1">
      <c r="C2263" s="14"/>
      <c r="H2263" s="16"/>
      <c r="I2263" s="14"/>
      <c r="L2263" s="14"/>
      <c r="M2263" s="18"/>
      <c r="N2263" s="18"/>
      <c r="O2263" s="18"/>
      <c r="P2263" s="18"/>
      <c r="Q2263" s="16"/>
      <c r="R2263" s="16"/>
    </row>
    <row r="2264" hidden="1">
      <c r="C2264" s="14"/>
      <c r="H2264" s="16"/>
      <c r="I2264" s="14"/>
      <c r="L2264" s="14"/>
      <c r="M2264" s="18"/>
      <c r="N2264" s="18"/>
      <c r="O2264" s="18"/>
      <c r="P2264" s="18"/>
      <c r="Q2264" s="16"/>
      <c r="R2264" s="16"/>
    </row>
    <row r="2265" hidden="1">
      <c r="C2265" s="14"/>
      <c r="H2265" s="16"/>
      <c r="I2265" s="14"/>
      <c r="L2265" s="14"/>
      <c r="M2265" s="18"/>
      <c r="N2265" s="18"/>
      <c r="O2265" s="18"/>
      <c r="P2265" s="18"/>
      <c r="Q2265" s="16"/>
      <c r="R2265" s="16"/>
    </row>
    <row r="2266" hidden="1">
      <c r="C2266" s="14"/>
      <c r="H2266" s="16"/>
      <c r="I2266" s="14"/>
      <c r="L2266" s="14"/>
      <c r="M2266" s="18"/>
      <c r="N2266" s="18"/>
      <c r="O2266" s="18"/>
      <c r="P2266" s="18"/>
      <c r="Q2266" s="16"/>
      <c r="R2266" s="16"/>
    </row>
    <row r="2267" hidden="1">
      <c r="C2267" s="14"/>
      <c r="H2267" s="16"/>
      <c r="I2267" s="14"/>
      <c r="L2267" s="14"/>
      <c r="M2267" s="18"/>
      <c r="N2267" s="18"/>
      <c r="O2267" s="18"/>
      <c r="P2267" s="18"/>
      <c r="Q2267" s="16"/>
      <c r="R2267" s="16"/>
    </row>
    <row r="2268" hidden="1">
      <c r="C2268" s="14"/>
      <c r="H2268" s="16"/>
      <c r="I2268" s="14"/>
      <c r="L2268" s="14"/>
      <c r="M2268" s="18"/>
      <c r="N2268" s="18"/>
      <c r="O2268" s="18"/>
      <c r="P2268" s="18"/>
      <c r="Q2268" s="16"/>
      <c r="R2268" s="16"/>
    </row>
    <row r="2269" hidden="1">
      <c r="C2269" s="14"/>
      <c r="H2269" s="16"/>
      <c r="I2269" s="14"/>
      <c r="L2269" s="14"/>
      <c r="M2269" s="18"/>
      <c r="N2269" s="18"/>
      <c r="O2269" s="18"/>
      <c r="P2269" s="18"/>
      <c r="Q2269" s="16"/>
      <c r="R2269" s="16"/>
    </row>
    <row r="2270" hidden="1">
      <c r="C2270" s="14"/>
      <c r="H2270" s="16"/>
      <c r="I2270" s="14"/>
      <c r="L2270" s="14"/>
      <c r="M2270" s="18"/>
      <c r="N2270" s="18"/>
      <c r="O2270" s="18"/>
      <c r="P2270" s="18"/>
      <c r="Q2270" s="16"/>
      <c r="R2270" s="16"/>
    </row>
    <row r="2271" hidden="1">
      <c r="C2271" s="14"/>
      <c r="H2271" s="16"/>
      <c r="I2271" s="14"/>
      <c r="L2271" s="14"/>
      <c r="M2271" s="18"/>
      <c r="N2271" s="18"/>
      <c r="O2271" s="18"/>
      <c r="P2271" s="18"/>
      <c r="Q2271" s="16"/>
      <c r="R2271" s="16"/>
    </row>
    <row r="2272" hidden="1">
      <c r="C2272" s="14"/>
      <c r="H2272" s="16"/>
      <c r="I2272" s="14"/>
      <c r="L2272" s="14"/>
      <c r="M2272" s="18"/>
      <c r="N2272" s="18"/>
      <c r="O2272" s="18"/>
      <c r="P2272" s="18"/>
      <c r="Q2272" s="16"/>
      <c r="R2272" s="16"/>
    </row>
    <row r="2273" hidden="1">
      <c r="C2273" s="14"/>
      <c r="H2273" s="16"/>
      <c r="I2273" s="14"/>
      <c r="L2273" s="14"/>
      <c r="M2273" s="18"/>
      <c r="N2273" s="18"/>
      <c r="O2273" s="18"/>
      <c r="P2273" s="18"/>
      <c r="Q2273" s="16"/>
      <c r="R2273" s="16"/>
    </row>
    <row r="2274" hidden="1">
      <c r="C2274" s="14"/>
      <c r="H2274" s="16"/>
      <c r="I2274" s="14"/>
      <c r="L2274" s="14"/>
      <c r="M2274" s="18"/>
      <c r="N2274" s="18"/>
      <c r="O2274" s="18"/>
      <c r="P2274" s="18"/>
      <c r="Q2274" s="16"/>
      <c r="R2274" s="16"/>
    </row>
    <row r="2275" hidden="1">
      <c r="C2275" s="14"/>
      <c r="H2275" s="16"/>
      <c r="I2275" s="14"/>
      <c r="L2275" s="14"/>
      <c r="M2275" s="18"/>
      <c r="N2275" s="18"/>
      <c r="O2275" s="18"/>
      <c r="P2275" s="18"/>
      <c r="Q2275" s="16"/>
      <c r="R2275" s="16"/>
    </row>
    <row r="2276" hidden="1">
      <c r="C2276" s="14"/>
      <c r="H2276" s="16"/>
      <c r="I2276" s="14"/>
      <c r="L2276" s="14"/>
      <c r="M2276" s="18"/>
      <c r="N2276" s="18"/>
      <c r="O2276" s="18"/>
      <c r="P2276" s="18"/>
      <c r="Q2276" s="16"/>
      <c r="R2276" s="16"/>
    </row>
    <row r="2277" hidden="1">
      <c r="C2277" s="14"/>
      <c r="H2277" s="16"/>
      <c r="I2277" s="14"/>
      <c r="L2277" s="14"/>
      <c r="M2277" s="18"/>
      <c r="N2277" s="18"/>
      <c r="O2277" s="18"/>
      <c r="P2277" s="18"/>
      <c r="Q2277" s="16"/>
      <c r="R2277" s="16"/>
    </row>
    <row r="2278" hidden="1">
      <c r="C2278" s="14"/>
      <c r="H2278" s="16"/>
      <c r="I2278" s="14"/>
      <c r="L2278" s="14"/>
      <c r="M2278" s="18"/>
      <c r="N2278" s="18"/>
      <c r="O2278" s="18"/>
      <c r="P2278" s="18"/>
      <c r="Q2278" s="16"/>
      <c r="R2278" s="16"/>
    </row>
    <row r="2279" hidden="1">
      <c r="C2279" s="14"/>
      <c r="H2279" s="16"/>
      <c r="I2279" s="14"/>
      <c r="L2279" s="14"/>
      <c r="M2279" s="18"/>
      <c r="N2279" s="18"/>
      <c r="O2279" s="18"/>
      <c r="P2279" s="18"/>
      <c r="Q2279" s="16"/>
      <c r="R2279" s="16"/>
    </row>
    <row r="2280" hidden="1">
      <c r="C2280" s="14"/>
      <c r="H2280" s="16"/>
      <c r="I2280" s="14"/>
      <c r="L2280" s="14"/>
      <c r="M2280" s="18"/>
      <c r="N2280" s="18"/>
      <c r="O2280" s="18"/>
      <c r="P2280" s="18"/>
      <c r="Q2280" s="16"/>
      <c r="R2280" s="16"/>
    </row>
    <row r="2281" hidden="1">
      <c r="C2281" s="14"/>
      <c r="H2281" s="16"/>
      <c r="I2281" s="14"/>
      <c r="L2281" s="14"/>
      <c r="M2281" s="18"/>
      <c r="N2281" s="18"/>
      <c r="O2281" s="18"/>
      <c r="P2281" s="18"/>
      <c r="Q2281" s="16"/>
      <c r="R2281" s="16"/>
    </row>
    <row r="2282" hidden="1">
      <c r="C2282" s="14"/>
      <c r="H2282" s="16"/>
      <c r="I2282" s="14"/>
      <c r="L2282" s="14"/>
      <c r="M2282" s="18"/>
      <c r="N2282" s="18"/>
      <c r="O2282" s="18"/>
      <c r="P2282" s="18"/>
      <c r="Q2282" s="16"/>
      <c r="R2282" s="16"/>
    </row>
    <row r="2283" hidden="1">
      <c r="C2283" s="14"/>
      <c r="H2283" s="16"/>
      <c r="I2283" s="14"/>
      <c r="L2283" s="14"/>
      <c r="M2283" s="18"/>
      <c r="N2283" s="18"/>
      <c r="O2283" s="18"/>
      <c r="P2283" s="18"/>
      <c r="Q2283" s="16"/>
      <c r="R2283" s="16"/>
    </row>
    <row r="2284" hidden="1">
      <c r="C2284" s="14"/>
      <c r="H2284" s="16"/>
      <c r="I2284" s="14"/>
      <c r="L2284" s="14"/>
      <c r="M2284" s="18"/>
      <c r="N2284" s="18"/>
      <c r="O2284" s="18"/>
      <c r="P2284" s="18"/>
      <c r="Q2284" s="16"/>
      <c r="R2284" s="16"/>
    </row>
    <row r="2285" hidden="1">
      <c r="C2285" s="14"/>
      <c r="H2285" s="16"/>
      <c r="I2285" s="14"/>
      <c r="L2285" s="14"/>
      <c r="M2285" s="18"/>
      <c r="N2285" s="18"/>
      <c r="O2285" s="18"/>
      <c r="P2285" s="18"/>
      <c r="Q2285" s="16"/>
      <c r="R2285" s="16"/>
    </row>
    <row r="2286" hidden="1">
      <c r="C2286" s="14"/>
      <c r="H2286" s="16"/>
      <c r="I2286" s="14"/>
      <c r="L2286" s="14"/>
      <c r="M2286" s="18"/>
      <c r="N2286" s="18"/>
      <c r="O2286" s="18"/>
      <c r="P2286" s="18"/>
      <c r="Q2286" s="16"/>
      <c r="R2286" s="16"/>
    </row>
    <row r="2287" hidden="1">
      <c r="C2287" s="14"/>
      <c r="H2287" s="16"/>
      <c r="I2287" s="14"/>
      <c r="L2287" s="14"/>
      <c r="M2287" s="18"/>
      <c r="N2287" s="18"/>
      <c r="O2287" s="18"/>
      <c r="P2287" s="18"/>
      <c r="Q2287" s="16"/>
      <c r="R2287" s="16"/>
    </row>
    <row r="2288" hidden="1">
      <c r="C2288" s="14"/>
      <c r="H2288" s="16"/>
      <c r="I2288" s="14"/>
      <c r="L2288" s="14"/>
      <c r="M2288" s="18"/>
      <c r="N2288" s="18"/>
      <c r="O2288" s="18"/>
      <c r="P2288" s="18"/>
      <c r="Q2288" s="16"/>
      <c r="R2288" s="16"/>
    </row>
    <row r="2289" hidden="1">
      <c r="C2289" s="14"/>
      <c r="H2289" s="16"/>
      <c r="I2289" s="14"/>
      <c r="L2289" s="14"/>
      <c r="M2289" s="18"/>
      <c r="N2289" s="18"/>
      <c r="O2289" s="18"/>
      <c r="P2289" s="18"/>
      <c r="Q2289" s="16"/>
      <c r="R2289" s="16"/>
    </row>
    <row r="2290" hidden="1">
      <c r="C2290" s="14"/>
      <c r="H2290" s="16"/>
      <c r="I2290" s="14"/>
      <c r="L2290" s="14"/>
      <c r="M2290" s="18"/>
      <c r="N2290" s="18"/>
      <c r="O2290" s="18"/>
      <c r="P2290" s="18"/>
      <c r="Q2290" s="16"/>
      <c r="R2290" s="16"/>
    </row>
    <row r="2291" hidden="1">
      <c r="C2291" s="14"/>
      <c r="H2291" s="16"/>
      <c r="I2291" s="14"/>
      <c r="L2291" s="14"/>
      <c r="M2291" s="18"/>
      <c r="N2291" s="18"/>
      <c r="O2291" s="18"/>
      <c r="P2291" s="18"/>
      <c r="Q2291" s="16"/>
      <c r="R2291" s="16"/>
    </row>
    <row r="2292" hidden="1">
      <c r="C2292" s="14"/>
      <c r="H2292" s="16"/>
      <c r="I2292" s="14"/>
      <c r="L2292" s="14"/>
      <c r="M2292" s="18"/>
      <c r="N2292" s="18"/>
      <c r="O2292" s="18"/>
      <c r="P2292" s="18"/>
      <c r="Q2292" s="16"/>
      <c r="R2292" s="16"/>
    </row>
    <row r="2293" hidden="1">
      <c r="C2293" s="14"/>
      <c r="H2293" s="16"/>
      <c r="I2293" s="14"/>
      <c r="L2293" s="14"/>
      <c r="M2293" s="18"/>
      <c r="N2293" s="18"/>
      <c r="O2293" s="18"/>
      <c r="P2293" s="18"/>
      <c r="Q2293" s="16"/>
      <c r="R2293" s="16"/>
    </row>
    <row r="2294" hidden="1">
      <c r="C2294" s="14"/>
      <c r="H2294" s="16"/>
      <c r="I2294" s="14"/>
      <c r="L2294" s="14"/>
      <c r="M2294" s="18"/>
      <c r="N2294" s="18"/>
      <c r="O2294" s="18"/>
      <c r="P2294" s="18"/>
      <c r="Q2294" s="16"/>
      <c r="R2294" s="16"/>
    </row>
    <row r="2295" hidden="1">
      <c r="C2295" s="14"/>
      <c r="H2295" s="16"/>
      <c r="I2295" s="14"/>
      <c r="L2295" s="14"/>
      <c r="M2295" s="18"/>
      <c r="N2295" s="18"/>
      <c r="O2295" s="18"/>
      <c r="P2295" s="18"/>
      <c r="Q2295" s="16"/>
      <c r="R2295" s="16"/>
    </row>
    <row r="2296" hidden="1">
      <c r="C2296" s="14"/>
      <c r="H2296" s="16"/>
      <c r="I2296" s="14"/>
      <c r="L2296" s="14"/>
      <c r="M2296" s="18"/>
      <c r="N2296" s="18"/>
      <c r="O2296" s="18"/>
      <c r="P2296" s="18"/>
      <c r="Q2296" s="16"/>
      <c r="R2296" s="16"/>
    </row>
    <row r="2297" hidden="1">
      <c r="C2297" s="14"/>
      <c r="H2297" s="16"/>
      <c r="I2297" s="14"/>
      <c r="L2297" s="14"/>
      <c r="M2297" s="18"/>
      <c r="N2297" s="18"/>
      <c r="O2297" s="18"/>
      <c r="P2297" s="18"/>
      <c r="Q2297" s="16"/>
      <c r="R2297" s="16"/>
    </row>
    <row r="2298" hidden="1">
      <c r="C2298" s="14"/>
      <c r="H2298" s="16"/>
      <c r="I2298" s="14"/>
      <c r="L2298" s="14"/>
      <c r="M2298" s="18"/>
      <c r="N2298" s="18"/>
      <c r="O2298" s="18"/>
      <c r="P2298" s="18"/>
      <c r="Q2298" s="16"/>
      <c r="R2298" s="16"/>
    </row>
    <row r="2299" hidden="1">
      <c r="C2299" s="14"/>
      <c r="H2299" s="16"/>
      <c r="I2299" s="14"/>
      <c r="L2299" s="14"/>
      <c r="M2299" s="18"/>
      <c r="N2299" s="18"/>
      <c r="O2299" s="18"/>
      <c r="P2299" s="18"/>
      <c r="Q2299" s="16"/>
      <c r="R2299" s="16"/>
    </row>
    <row r="2300" hidden="1">
      <c r="C2300" s="14"/>
      <c r="H2300" s="16"/>
      <c r="I2300" s="14"/>
      <c r="L2300" s="14"/>
      <c r="M2300" s="18"/>
      <c r="N2300" s="18"/>
      <c r="O2300" s="18"/>
      <c r="P2300" s="18"/>
      <c r="Q2300" s="16"/>
      <c r="R2300" s="16"/>
    </row>
    <row r="2301" hidden="1">
      <c r="C2301" s="14"/>
      <c r="H2301" s="16"/>
      <c r="I2301" s="14"/>
      <c r="L2301" s="14"/>
      <c r="M2301" s="18"/>
      <c r="N2301" s="18"/>
      <c r="O2301" s="18"/>
      <c r="P2301" s="18"/>
      <c r="Q2301" s="16"/>
      <c r="R2301" s="16"/>
    </row>
    <row r="2302" hidden="1">
      <c r="C2302" s="14"/>
      <c r="H2302" s="16"/>
      <c r="I2302" s="14"/>
      <c r="L2302" s="14"/>
      <c r="M2302" s="18"/>
      <c r="N2302" s="18"/>
      <c r="O2302" s="18"/>
      <c r="P2302" s="18"/>
      <c r="Q2302" s="16"/>
      <c r="R2302" s="16"/>
    </row>
    <row r="2303" hidden="1">
      <c r="C2303" s="14"/>
      <c r="H2303" s="16"/>
      <c r="I2303" s="14"/>
      <c r="L2303" s="14"/>
      <c r="M2303" s="18"/>
      <c r="N2303" s="18"/>
      <c r="O2303" s="18"/>
      <c r="P2303" s="18"/>
      <c r="Q2303" s="16"/>
      <c r="R2303" s="16"/>
    </row>
    <row r="2304" hidden="1">
      <c r="C2304" s="14"/>
      <c r="H2304" s="16"/>
      <c r="I2304" s="14"/>
      <c r="L2304" s="14"/>
      <c r="M2304" s="18"/>
      <c r="N2304" s="18"/>
      <c r="O2304" s="18"/>
      <c r="P2304" s="18"/>
      <c r="Q2304" s="16"/>
      <c r="R2304" s="16"/>
    </row>
    <row r="2305" hidden="1">
      <c r="C2305" s="14"/>
      <c r="H2305" s="16"/>
      <c r="I2305" s="14"/>
      <c r="L2305" s="14"/>
      <c r="M2305" s="18"/>
      <c r="N2305" s="18"/>
      <c r="O2305" s="18"/>
      <c r="P2305" s="18"/>
      <c r="Q2305" s="16"/>
      <c r="R2305" s="16"/>
    </row>
    <row r="2306" hidden="1">
      <c r="C2306" s="14"/>
      <c r="H2306" s="16"/>
      <c r="I2306" s="14"/>
      <c r="L2306" s="14"/>
      <c r="M2306" s="18"/>
      <c r="N2306" s="18"/>
      <c r="O2306" s="18"/>
      <c r="P2306" s="18"/>
      <c r="Q2306" s="16"/>
      <c r="R2306" s="16"/>
    </row>
    <row r="2307" hidden="1">
      <c r="C2307" s="14"/>
      <c r="H2307" s="16"/>
      <c r="I2307" s="14"/>
      <c r="L2307" s="14"/>
      <c r="M2307" s="18"/>
      <c r="N2307" s="18"/>
      <c r="O2307" s="18"/>
      <c r="P2307" s="18"/>
      <c r="Q2307" s="16"/>
      <c r="R2307" s="16"/>
    </row>
    <row r="2308" hidden="1">
      <c r="C2308" s="14"/>
      <c r="H2308" s="16"/>
      <c r="I2308" s="14"/>
      <c r="L2308" s="14"/>
      <c r="M2308" s="18"/>
      <c r="N2308" s="18"/>
      <c r="O2308" s="18"/>
      <c r="P2308" s="18"/>
      <c r="Q2308" s="16"/>
      <c r="R2308" s="16"/>
    </row>
    <row r="2309" hidden="1">
      <c r="C2309" s="14"/>
      <c r="H2309" s="16"/>
      <c r="I2309" s="14"/>
      <c r="L2309" s="14"/>
      <c r="M2309" s="18"/>
      <c r="N2309" s="18"/>
      <c r="O2309" s="18"/>
      <c r="P2309" s="18"/>
      <c r="Q2309" s="16"/>
      <c r="R2309" s="16"/>
    </row>
    <row r="2310" hidden="1">
      <c r="C2310" s="14"/>
      <c r="H2310" s="16"/>
      <c r="I2310" s="14"/>
      <c r="L2310" s="14"/>
      <c r="M2310" s="18"/>
      <c r="N2310" s="18"/>
      <c r="O2310" s="18"/>
      <c r="P2310" s="18"/>
      <c r="Q2310" s="16"/>
      <c r="R2310" s="16"/>
    </row>
    <row r="2311" hidden="1">
      <c r="C2311" s="14"/>
      <c r="H2311" s="16"/>
      <c r="I2311" s="14"/>
      <c r="L2311" s="14"/>
      <c r="M2311" s="18"/>
      <c r="N2311" s="18"/>
      <c r="O2311" s="18"/>
      <c r="P2311" s="18"/>
      <c r="Q2311" s="16"/>
      <c r="R2311" s="16"/>
    </row>
    <row r="2312" hidden="1">
      <c r="C2312" s="14"/>
      <c r="H2312" s="16"/>
      <c r="I2312" s="14"/>
      <c r="L2312" s="14"/>
      <c r="M2312" s="18"/>
      <c r="N2312" s="18"/>
      <c r="O2312" s="18"/>
      <c r="P2312" s="18"/>
      <c r="Q2312" s="16"/>
      <c r="R2312" s="16"/>
    </row>
    <row r="2313" hidden="1">
      <c r="C2313" s="14"/>
      <c r="H2313" s="16"/>
      <c r="I2313" s="14"/>
      <c r="L2313" s="14"/>
      <c r="M2313" s="18"/>
      <c r="N2313" s="18"/>
      <c r="O2313" s="18"/>
      <c r="P2313" s="18"/>
      <c r="Q2313" s="16"/>
      <c r="R2313" s="16"/>
    </row>
    <row r="2314" hidden="1">
      <c r="C2314" s="14"/>
      <c r="H2314" s="16"/>
      <c r="I2314" s="14"/>
      <c r="L2314" s="14"/>
      <c r="M2314" s="18"/>
      <c r="N2314" s="18"/>
      <c r="O2314" s="18"/>
      <c r="P2314" s="18"/>
      <c r="Q2314" s="16"/>
      <c r="R2314" s="16"/>
    </row>
    <row r="2315" hidden="1">
      <c r="C2315" s="14"/>
      <c r="H2315" s="16"/>
      <c r="I2315" s="14"/>
      <c r="L2315" s="14"/>
      <c r="M2315" s="18"/>
      <c r="N2315" s="18"/>
      <c r="O2315" s="18"/>
      <c r="P2315" s="18"/>
      <c r="Q2315" s="16"/>
      <c r="R2315" s="16"/>
    </row>
    <row r="2316" hidden="1">
      <c r="C2316" s="14"/>
      <c r="H2316" s="16"/>
      <c r="I2316" s="14"/>
      <c r="L2316" s="14"/>
      <c r="M2316" s="18"/>
      <c r="N2316" s="18"/>
      <c r="O2316" s="18"/>
      <c r="P2316" s="18"/>
      <c r="Q2316" s="16"/>
      <c r="R2316" s="16"/>
    </row>
    <row r="2317" hidden="1">
      <c r="C2317" s="14"/>
      <c r="H2317" s="16"/>
      <c r="I2317" s="14"/>
      <c r="L2317" s="14"/>
      <c r="M2317" s="18"/>
      <c r="N2317" s="18"/>
      <c r="O2317" s="18"/>
      <c r="P2317" s="18"/>
      <c r="Q2317" s="16"/>
      <c r="R2317" s="16"/>
    </row>
    <row r="2318" hidden="1">
      <c r="C2318" s="14"/>
      <c r="H2318" s="16"/>
      <c r="I2318" s="14"/>
      <c r="L2318" s="14"/>
      <c r="M2318" s="18"/>
      <c r="N2318" s="18"/>
      <c r="O2318" s="18"/>
      <c r="P2318" s="18"/>
      <c r="Q2318" s="16"/>
      <c r="R2318" s="16"/>
    </row>
    <row r="2319" hidden="1">
      <c r="C2319" s="14"/>
      <c r="H2319" s="16"/>
      <c r="I2319" s="14"/>
      <c r="L2319" s="14"/>
      <c r="M2319" s="18"/>
      <c r="N2319" s="18"/>
      <c r="O2319" s="18"/>
      <c r="P2319" s="18"/>
      <c r="Q2319" s="16"/>
      <c r="R2319" s="16"/>
    </row>
    <row r="2320" hidden="1">
      <c r="C2320" s="14"/>
      <c r="H2320" s="16"/>
      <c r="I2320" s="14"/>
      <c r="L2320" s="14"/>
      <c r="M2320" s="18"/>
      <c r="N2320" s="18"/>
      <c r="O2320" s="18"/>
      <c r="P2320" s="18"/>
      <c r="Q2320" s="16"/>
      <c r="R2320" s="16"/>
    </row>
    <row r="2321" hidden="1">
      <c r="C2321" s="14"/>
      <c r="H2321" s="16"/>
      <c r="I2321" s="14"/>
      <c r="L2321" s="14"/>
      <c r="M2321" s="18"/>
      <c r="N2321" s="18"/>
      <c r="O2321" s="18"/>
      <c r="P2321" s="18"/>
      <c r="Q2321" s="16"/>
      <c r="R2321" s="16"/>
    </row>
    <row r="2322" hidden="1">
      <c r="C2322" s="14"/>
      <c r="H2322" s="16"/>
      <c r="I2322" s="14"/>
      <c r="L2322" s="14"/>
      <c r="M2322" s="18"/>
      <c r="N2322" s="18"/>
      <c r="O2322" s="18"/>
      <c r="P2322" s="18"/>
      <c r="Q2322" s="16"/>
      <c r="R2322" s="16"/>
    </row>
    <row r="2323" hidden="1">
      <c r="C2323" s="14"/>
      <c r="H2323" s="16"/>
      <c r="I2323" s="14"/>
      <c r="L2323" s="14"/>
      <c r="M2323" s="18"/>
      <c r="N2323" s="18"/>
      <c r="O2323" s="18"/>
      <c r="P2323" s="18"/>
      <c r="Q2323" s="16"/>
      <c r="R2323" s="16"/>
    </row>
    <row r="2324" hidden="1">
      <c r="C2324" s="14"/>
      <c r="H2324" s="16"/>
      <c r="I2324" s="14"/>
      <c r="L2324" s="14"/>
      <c r="M2324" s="18"/>
      <c r="N2324" s="18"/>
      <c r="O2324" s="18"/>
      <c r="P2324" s="18"/>
      <c r="Q2324" s="16"/>
      <c r="R2324" s="16"/>
    </row>
    <row r="2325" hidden="1">
      <c r="C2325" s="14"/>
      <c r="H2325" s="16"/>
      <c r="I2325" s="14"/>
      <c r="L2325" s="14"/>
      <c r="M2325" s="18"/>
      <c r="N2325" s="18"/>
      <c r="O2325" s="18"/>
      <c r="P2325" s="18"/>
      <c r="Q2325" s="16"/>
      <c r="R2325" s="16"/>
    </row>
    <row r="2326" hidden="1">
      <c r="C2326" s="14"/>
      <c r="H2326" s="16"/>
      <c r="I2326" s="14"/>
      <c r="L2326" s="14"/>
      <c r="M2326" s="18"/>
      <c r="N2326" s="18"/>
      <c r="O2326" s="18"/>
      <c r="P2326" s="18"/>
      <c r="Q2326" s="16"/>
      <c r="R2326" s="16"/>
    </row>
    <row r="2327" hidden="1">
      <c r="C2327" s="14"/>
      <c r="H2327" s="16"/>
      <c r="I2327" s="14"/>
      <c r="L2327" s="14"/>
      <c r="M2327" s="18"/>
      <c r="N2327" s="18"/>
      <c r="O2327" s="18"/>
      <c r="P2327" s="18"/>
      <c r="Q2327" s="16"/>
      <c r="R2327" s="16"/>
    </row>
    <row r="2328" hidden="1">
      <c r="C2328" s="14"/>
      <c r="H2328" s="16"/>
      <c r="I2328" s="14"/>
      <c r="L2328" s="14"/>
      <c r="M2328" s="18"/>
      <c r="N2328" s="18"/>
      <c r="O2328" s="18"/>
      <c r="P2328" s="18"/>
      <c r="Q2328" s="16"/>
      <c r="R2328" s="16"/>
    </row>
    <row r="2329" hidden="1">
      <c r="C2329" s="14"/>
      <c r="H2329" s="16"/>
      <c r="I2329" s="14"/>
      <c r="L2329" s="14"/>
      <c r="M2329" s="18"/>
      <c r="N2329" s="18"/>
      <c r="O2329" s="18"/>
      <c r="P2329" s="18"/>
      <c r="Q2329" s="16"/>
      <c r="R2329" s="16"/>
    </row>
    <row r="2330" hidden="1">
      <c r="C2330" s="14"/>
      <c r="H2330" s="16"/>
      <c r="I2330" s="14"/>
      <c r="L2330" s="14"/>
      <c r="M2330" s="18"/>
      <c r="N2330" s="18"/>
      <c r="O2330" s="18"/>
      <c r="P2330" s="18"/>
      <c r="Q2330" s="16"/>
      <c r="R2330" s="16"/>
    </row>
    <row r="2331" hidden="1">
      <c r="C2331" s="14"/>
      <c r="H2331" s="16"/>
      <c r="I2331" s="14"/>
      <c r="L2331" s="14"/>
      <c r="M2331" s="18"/>
      <c r="N2331" s="18"/>
      <c r="O2331" s="18"/>
      <c r="P2331" s="18"/>
      <c r="Q2331" s="16"/>
      <c r="R2331" s="16"/>
    </row>
    <row r="2332" hidden="1">
      <c r="C2332" s="14"/>
      <c r="H2332" s="16"/>
      <c r="I2332" s="14"/>
      <c r="L2332" s="14"/>
      <c r="M2332" s="18"/>
      <c r="N2332" s="18"/>
      <c r="O2332" s="18"/>
      <c r="P2332" s="18"/>
      <c r="Q2332" s="16"/>
      <c r="R2332" s="16"/>
    </row>
    <row r="2333" hidden="1">
      <c r="C2333" s="14"/>
      <c r="H2333" s="16"/>
      <c r="I2333" s="14"/>
      <c r="L2333" s="14"/>
      <c r="M2333" s="18"/>
      <c r="N2333" s="18"/>
      <c r="O2333" s="18"/>
      <c r="P2333" s="18"/>
      <c r="Q2333" s="16"/>
      <c r="R2333" s="16"/>
    </row>
    <row r="2334" hidden="1">
      <c r="C2334" s="14"/>
      <c r="H2334" s="16"/>
      <c r="I2334" s="14"/>
      <c r="L2334" s="14"/>
      <c r="M2334" s="18"/>
      <c r="N2334" s="18"/>
      <c r="O2334" s="18"/>
      <c r="P2334" s="18"/>
      <c r="Q2334" s="16"/>
      <c r="R2334" s="16"/>
    </row>
    <row r="2335" hidden="1">
      <c r="C2335" s="14"/>
      <c r="H2335" s="16"/>
      <c r="I2335" s="14"/>
      <c r="L2335" s="14"/>
      <c r="M2335" s="18"/>
      <c r="N2335" s="18"/>
      <c r="O2335" s="18"/>
      <c r="P2335" s="18"/>
      <c r="Q2335" s="16"/>
      <c r="R2335" s="16"/>
    </row>
    <row r="2336" hidden="1">
      <c r="C2336" s="14"/>
      <c r="H2336" s="16"/>
      <c r="I2336" s="14"/>
      <c r="L2336" s="14"/>
      <c r="M2336" s="18"/>
      <c r="N2336" s="18"/>
      <c r="O2336" s="18"/>
      <c r="P2336" s="18"/>
      <c r="Q2336" s="16"/>
      <c r="R2336" s="16"/>
    </row>
    <row r="2337" hidden="1">
      <c r="C2337" s="14"/>
      <c r="H2337" s="16"/>
      <c r="I2337" s="14"/>
      <c r="L2337" s="14"/>
      <c r="M2337" s="18"/>
      <c r="N2337" s="18"/>
      <c r="O2337" s="18"/>
      <c r="P2337" s="18"/>
      <c r="Q2337" s="16"/>
      <c r="R2337" s="16"/>
    </row>
    <row r="2338" hidden="1">
      <c r="C2338" s="14"/>
      <c r="H2338" s="16"/>
      <c r="I2338" s="14"/>
      <c r="L2338" s="14"/>
      <c r="M2338" s="18"/>
      <c r="N2338" s="18"/>
      <c r="O2338" s="18"/>
      <c r="P2338" s="18"/>
      <c r="Q2338" s="16"/>
      <c r="R2338" s="16"/>
    </row>
    <row r="2339" hidden="1">
      <c r="C2339" s="14"/>
      <c r="H2339" s="16"/>
      <c r="I2339" s="14"/>
      <c r="L2339" s="14"/>
      <c r="M2339" s="18"/>
      <c r="N2339" s="18"/>
      <c r="O2339" s="18"/>
      <c r="P2339" s="18"/>
      <c r="Q2339" s="16"/>
      <c r="R2339" s="16"/>
    </row>
    <row r="2340" hidden="1">
      <c r="C2340" s="14"/>
      <c r="H2340" s="16"/>
      <c r="I2340" s="14"/>
      <c r="L2340" s="14"/>
      <c r="M2340" s="18"/>
      <c r="N2340" s="18"/>
      <c r="O2340" s="18"/>
      <c r="P2340" s="18"/>
      <c r="Q2340" s="16"/>
      <c r="R2340" s="16"/>
    </row>
    <row r="2341" hidden="1">
      <c r="C2341" s="14"/>
      <c r="H2341" s="16"/>
      <c r="I2341" s="14"/>
      <c r="L2341" s="14"/>
      <c r="M2341" s="18"/>
      <c r="N2341" s="18"/>
      <c r="O2341" s="18"/>
      <c r="P2341" s="18"/>
      <c r="Q2341" s="16"/>
      <c r="R2341" s="16"/>
    </row>
    <row r="2342" hidden="1">
      <c r="C2342" s="14"/>
      <c r="H2342" s="16"/>
      <c r="I2342" s="14"/>
      <c r="L2342" s="14"/>
      <c r="M2342" s="18"/>
      <c r="N2342" s="18"/>
      <c r="O2342" s="18"/>
      <c r="P2342" s="18"/>
      <c r="Q2342" s="16"/>
      <c r="R2342" s="16"/>
    </row>
    <row r="2343" hidden="1">
      <c r="C2343" s="14"/>
      <c r="H2343" s="16"/>
      <c r="I2343" s="14"/>
      <c r="L2343" s="14"/>
      <c r="M2343" s="18"/>
      <c r="N2343" s="18"/>
      <c r="O2343" s="18"/>
      <c r="P2343" s="18"/>
      <c r="Q2343" s="16"/>
      <c r="R2343" s="16"/>
    </row>
    <row r="2344" hidden="1">
      <c r="C2344" s="14"/>
      <c r="H2344" s="16"/>
      <c r="I2344" s="14"/>
      <c r="L2344" s="14"/>
      <c r="M2344" s="18"/>
      <c r="N2344" s="18"/>
      <c r="O2344" s="18"/>
      <c r="P2344" s="18"/>
      <c r="Q2344" s="16"/>
      <c r="R2344" s="16"/>
    </row>
    <row r="2345" hidden="1">
      <c r="C2345" s="14"/>
      <c r="H2345" s="16"/>
      <c r="I2345" s="14"/>
      <c r="L2345" s="14"/>
      <c r="M2345" s="18"/>
      <c r="N2345" s="18"/>
      <c r="O2345" s="18"/>
      <c r="P2345" s="18"/>
      <c r="Q2345" s="16"/>
      <c r="R2345" s="16"/>
    </row>
    <row r="2346" hidden="1">
      <c r="C2346" s="14"/>
      <c r="H2346" s="16"/>
      <c r="I2346" s="14"/>
      <c r="L2346" s="14"/>
      <c r="M2346" s="18"/>
      <c r="N2346" s="18"/>
      <c r="O2346" s="18"/>
      <c r="P2346" s="18"/>
      <c r="Q2346" s="16"/>
      <c r="R2346" s="16"/>
    </row>
    <row r="2347" hidden="1">
      <c r="C2347" s="14"/>
      <c r="H2347" s="16"/>
      <c r="I2347" s="14"/>
      <c r="L2347" s="14"/>
      <c r="M2347" s="18"/>
      <c r="N2347" s="18"/>
      <c r="O2347" s="18"/>
      <c r="P2347" s="18"/>
      <c r="Q2347" s="16"/>
      <c r="R2347" s="16"/>
    </row>
    <row r="2348" hidden="1">
      <c r="C2348" s="14"/>
      <c r="H2348" s="16"/>
      <c r="I2348" s="14"/>
      <c r="L2348" s="14"/>
      <c r="M2348" s="18"/>
      <c r="N2348" s="18"/>
      <c r="O2348" s="18"/>
      <c r="P2348" s="18"/>
      <c r="Q2348" s="16"/>
      <c r="R2348" s="16"/>
    </row>
    <row r="2349" hidden="1">
      <c r="C2349" s="14"/>
      <c r="H2349" s="16"/>
      <c r="I2349" s="14"/>
      <c r="L2349" s="14"/>
      <c r="M2349" s="18"/>
      <c r="N2349" s="18"/>
      <c r="O2349" s="18"/>
      <c r="P2349" s="18"/>
      <c r="Q2349" s="16"/>
      <c r="R2349" s="16"/>
    </row>
    <row r="2350" hidden="1">
      <c r="C2350" s="14"/>
      <c r="H2350" s="16"/>
      <c r="I2350" s="14"/>
      <c r="L2350" s="14"/>
      <c r="M2350" s="18"/>
      <c r="N2350" s="18"/>
      <c r="O2350" s="18"/>
      <c r="P2350" s="18"/>
      <c r="Q2350" s="16"/>
      <c r="R2350" s="16"/>
    </row>
    <row r="2351" hidden="1">
      <c r="C2351" s="14"/>
      <c r="H2351" s="16"/>
      <c r="I2351" s="14"/>
      <c r="L2351" s="14"/>
      <c r="M2351" s="18"/>
      <c r="N2351" s="18"/>
      <c r="O2351" s="18"/>
      <c r="P2351" s="18"/>
      <c r="Q2351" s="16"/>
      <c r="R2351" s="16"/>
    </row>
    <row r="2352" hidden="1">
      <c r="C2352" s="14"/>
      <c r="H2352" s="16"/>
      <c r="I2352" s="14"/>
      <c r="L2352" s="14"/>
      <c r="M2352" s="18"/>
      <c r="N2352" s="18"/>
      <c r="O2352" s="18"/>
      <c r="P2352" s="18"/>
      <c r="Q2352" s="16"/>
      <c r="R2352" s="16"/>
    </row>
    <row r="2353" hidden="1">
      <c r="C2353" s="14"/>
      <c r="H2353" s="16"/>
      <c r="I2353" s="14"/>
      <c r="L2353" s="14"/>
      <c r="M2353" s="18"/>
      <c r="N2353" s="18"/>
      <c r="O2353" s="18"/>
      <c r="P2353" s="18"/>
      <c r="Q2353" s="16"/>
      <c r="R2353" s="16"/>
    </row>
    <row r="2354" hidden="1">
      <c r="C2354" s="14"/>
      <c r="H2354" s="16"/>
      <c r="I2354" s="14"/>
      <c r="L2354" s="14"/>
      <c r="M2354" s="18"/>
      <c r="N2354" s="18"/>
      <c r="O2354" s="18"/>
      <c r="P2354" s="18"/>
      <c r="Q2354" s="16"/>
      <c r="R2354" s="16"/>
    </row>
    <row r="2355" hidden="1">
      <c r="C2355" s="14"/>
      <c r="H2355" s="16"/>
      <c r="I2355" s="14"/>
      <c r="L2355" s="14"/>
      <c r="M2355" s="18"/>
      <c r="N2355" s="18"/>
      <c r="O2355" s="18"/>
      <c r="P2355" s="18"/>
      <c r="Q2355" s="16"/>
      <c r="R2355" s="16"/>
    </row>
    <row r="2356" hidden="1">
      <c r="C2356" s="14"/>
      <c r="H2356" s="16"/>
      <c r="I2356" s="14"/>
      <c r="L2356" s="14"/>
      <c r="M2356" s="18"/>
      <c r="N2356" s="18"/>
      <c r="O2356" s="18"/>
      <c r="P2356" s="18"/>
      <c r="Q2356" s="16"/>
      <c r="R2356" s="16"/>
    </row>
    <row r="2357" hidden="1">
      <c r="C2357" s="14"/>
      <c r="H2357" s="16"/>
      <c r="I2357" s="14"/>
      <c r="L2357" s="14"/>
      <c r="M2357" s="18"/>
      <c r="N2357" s="18"/>
      <c r="O2357" s="18"/>
      <c r="P2357" s="18"/>
      <c r="Q2357" s="16"/>
      <c r="R2357" s="16"/>
    </row>
    <row r="2358" hidden="1">
      <c r="C2358" s="14"/>
      <c r="H2358" s="16"/>
      <c r="I2358" s="14"/>
      <c r="L2358" s="14"/>
      <c r="M2358" s="18"/>
      <c r="N2358" s="18"/>
      <c r="O2358" s="18"/>
      <c r="P2358" s="18"/>
      <c r="Q2358" s="16"/>
      <c r="R2358" s="16"/>
    </row>
    <row r="2359" hidden="1">
      <c r="C2359" s="14"/>
      <c r="H2359" s="16"/>
      <c r="I2359" s="14"/>
      <c r="L2359" s="14"/>
      <c r="M2359" s="18"/>
      <c r="N2359" s="18"/>
      <c r="O2359" s="18"/>
      <c r="P2359" s="18"/>
      <c r="Q2359" s="16"/>
      <c r="R2359" s="16"/>
    </row>
    <row r="2360" hidden="1">
      <c r="C2360" s="14"/>
      <c r="H2360" s="16"/>
      <c r="I2360" s="14"/>
      <c r="L2360" s="14"/>
      <c r="M2360" s="18"/>
      <c r="N2360" s="18"/>
      <c r="O2360" s="18"/>
      <c r="P2360" s="18"/>
      <c r="Q2360" s="16"/>
      <c r="R2360" s="16"/>
    </row>
    <row r="2361" hidden="1">
      <c r="C2361" s="14"/>
      <c r="H2361" s="16"/>
      <c r="I2361" s="14"/>
      <c r="L2361" s="14"/>
      <c r="M2361" s="18"/>
      <c r="N2361" s="18"/>
      <c r="O2361" s="18"/>
      <c r="P2361" s="18"/>
      <c r="Q2361" s="16"/>
      <c r="R2361" s="16"/>
    </row>
    <row r="2362" hidden="1">
      <c r="C2362" s="14"/>
      <c r="H2362" s="16"/>
      <c r="I2362" s="14"/>
      <c r="L2362" s="14"/>
      <c r="M2362" s="18"/>
      <c r="N2362" s="18"/>
      <c r="O2362" s="18"/>
      <c r="P2362" s="18"/>
      <c r="Q2362" s="16"/>
      <c r="R2362" s="16"/>
    </row>
    <row r="2363" hidden="1">
      <c r="C2363" s="14"/>
      <c r="H2363" s="16"/>
      <c r="I2363" s="14"/>
      <c r="L2363" s="14"/>
      <c r="M2363" s="18"/>
      <c r="N2363" s="18"/>
      <c r="O2363" s="18"/>
      <c r="P2363" s="18"/>
      <c r="Q2363" s="16"/>
      <c r="R2363" s="16"/>
    </row>
    <row r="2364" hidden="1">
      <c r="C2364" s="14"/>
      <c r="H2364" s="16"/>
      <c r="I2364" s="14"/>
      <c r="L2364" s="14"/>
      <c r="M2364" s="18"/>
      <c r="N2364" s="18"/>
      <c r="O2364" s="18"/>
      <c r="P2364" s="18"/>
      <c r="Q2364" s="16"/>
      <c r="R2364" s="16"/>
    </row>
  </sheetData>
  <autoFilter ref="$A$1:$Z$1826"/>
  <conditionalFormatting sqref="A1">
    <cfRule type="expression" dxfId="0" priority="1">
      <formula>COUNTIF($A$2:$A$3190, A2)&gt;1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3" t="s">
        <v>4</v>
      </c>
      <c r="D1" s="1" t="s">
        <v>6</v>
      </c>
      <c r="E1" s="1" t="s">
        <v>7</v>
      </c>
      <c r="F1" s="1" t="s">
        <v>8</v>
      </c>
      <c r="G1" s="1" t="s">
        <v>10</v>
      </c>
      <c r="H1" s="5" t="s">
        <v>12</v>
      </c>
      <c r="I1" s="3" t="s">
        <v>14</v>
      </c>
      <c r="J1" s="1" t="s">
        <v>17</v>
      </c>
      <c r="K1" s="1" t="s">
        <v>18</v>
      </c>
      <c r="L1" s="7" t="s">
        <v>19</v>
      </c>
      <c r="M1" s="8" t="s">
        <v>20</v>
      </c>
      <c r="N1" s="9" t="s">
        <v>21</v>
      </c>
      <c r="O1" s="8" t="s">
        <v>22</v>
      </c>
      <c r="P1" s="9" t="s">
        <v>23</v>
      </c>
      <c r="Q1" s="5" t="s">
        <v>24</v>
      </c>
      <c r="R1" s="5" t="s">
        <v>25</v>
      </c>
      <c r="S1" s="1" t="s">
        <v>26</v>
      </c>
      <c r="T1" s="1" t="s">
        <v>27</v>
      </c>
      <c r="U1" s="11" t="s">
        <v>29</v>
      </c>
      <c r="V1" s="11" t="s">
        <v>32</v>
      </c>
      <c r="W1" s="11" t="s">
        <v>33</v>
      </c>
    </row>
    <row r="2" hidden="1">
      <c r="A2" s="13" t="s">
        <v>30</v>
      </c>
      <c r="B2" s="13" t="s">
        <v>34</v>
      </c>
      <c r="C2" s="14" t="s">
        <v>38</v>
      </c>
      <c r="D2" s="13" t="s">
        <v>35</v>
      </c>
      <c r="E2" s="13" t="s">
        <v>36</v>
      </c>
      <c r="F2" s="13" t="s">
        <v>37</v>
      </c>
      <c r="G2" s="13" t="s">
        <v>39</v>
      </c>
      <c r="H2" s="16">
        <v>45019.0</v>
      </c>
      <c r="I2" s="14">
        <v>9.0</v>
      </c>
      <c r="J2" s="13" t="s">
        <v>40</v>
      </c>
      <c r="K2" s="13" t="s">
        <v>41</v>
      </c>
      <c r="L2" s="14">
        <v>1757.0</v>
      </c>
      <c r="M2" s="18" t="s">
        <v>43</v>
      </c>
      <c r="N2" s="20">
        <v>0.0</v>
      </c>
      <c r="O2" s="18">
        <v>32.0</v>
      </c>
      <c r="P2" s="20">
        <v>3.6</v>
      </c>
      <c r="Q2" s="16">
        <v>45308.0</v>
      </c>
      <c r="R2" s="16" t="s">
        <v>44</v>
      </c>
      <c r="S2" s="13" t="s">
        <v>45</v>
      </c>
      <c r="T2" s="13" t="s">
        <v>47</v>
      </c>
      <c r="U2" s="13" t="str">
        <f t="shared" ref="U2:U1809" si="1">IF(P2="","",IFS(P2&lt;3,"Low",P2&lt;5,"Moderate",P2&lt;7,"High",P2&lt;=9,"Very High",TRUE,"Check Score"))</f>
        <v>Moderate</v>
      </c>
      <c r="V2" s="13" t="str">
        <f t="shared" ref="V2:V1809" si="2">IF(O2="","",IF(O2&lt;24, "Below Median", "Median or Above"))</f>
        <v>Median or Above</v>
      </c>
      <c r="W2" s="13" t="str">
        <f t="shared" ref="W2:W1809" si="3">IF(I2="","",IFS(I2&lt;0,"Invalid Tenure",I2&lt;=12,"0–12 Months",I2&lt;=24,"13–24 Months",I2&lt;=48,"25–48 Months",TRUE,"49+ Months"))</f>
        <v>0–12 Months</v>
      </c>
    </row>
    <row r="3" hidden="1">
      <c r="A3" s="13" t="s">
        <v>49</v>
      </c>
      <c r="B3" s="13" t="s">
        <v>50</v>
      </c>
      <c r="C3" s="14">
        <v>40.0</v>
      </c>
      <c r="D3" s="13" t="s">
        <v>35</v>
      </c>
      <c r="E3" s="13" t="s">
        <v>51</v>
      </c>
      <c r="F3" s="13" t="s">
        <v>37</v>
      </c>
      <c r="G3" s="13" t="s">
        <v>52</v>
      </c>
      <c r="H3" s="16">
        <v>45678.0</v>
      </c>
      <c r="I3" s="14">
        <v>27.0</v>
      </c>
      <c r="J3" s="13" t="s">
        <v>53</v>
      </c>
      <c r="K3" s="13" t="s">
        <v>41</v>
      </c>
      <c r="L3" s="14">
        <v>1283.0</v>
      </c>
      <c r="M3" s="18" t="s">
        <v>46</v>
      </c>
      <c r="N3" s="20">
        <v>2.0</v>
      </c>
      <c r="O3" s="18">
        <v>40.6</v>
      </c>
      <c r="P3" s="20">
        <v>4.4</v>
      </c>
      <c r="Q3" s="16">
        <v>45694.0</v>
      </c>
      <c r="R3" s="16" t="s">
        <v>38</v>
      </c>
      <c r="S3" s="13" t="s">
        <v>55</v>
      </c>
      <c r="T3" s="13" t="s">
        <v>47</v>
      </c>
      <c r="U3" s="13" t="str">
        <f t="shared" si="1"/>
        <v>Moderate</v>
      </c>
      <c r="V3" s="13" t="str">
        <f t="shared" si="2"/>
        <v>Median or Above</v>
      </c>
      <c r="W3" s="13" t="str">
        <f t="shared" si="3"/>
        <v>25–48 Months</v>
      </c>
    </row>
    <row r="4" hidden="1">
      <c r="A4" s="13" t="s">
        <v>58</v>
      </c>
      <c r="B4" s="13" t="s">
        <v>59</v>
      </c>
      <c r="C4" s="14">
        <v>24.0</v>
      </c>
      <c r="D4" s="13" t="s">
        <v>60</v>
      </c>
      <c r="E4" s="13" t="s">
        <v>61</v>
      </c>
      <c r="F4" s="13" t="s">
        <v>62</v>
      </c>
      <c r="G4" s="13" t="s">
        <v>63</v>
      </c>
      <c r="H4" s="16">
        <v>45297.0</v>
      </c>
      <c r="I4" s="14">
        <v>23.0</v>
      </c>
      <c r="J4" s="13" t="s">
        <v>64</v>
      </c>
      <c r="K4" s="13" t="s">
        <v>65</v>
      </c>
      <c r="L4" s="14">
        <v>521.0</v>
      </c>
      <c r="M4" s="18" t="s">
        <v>43</v>
      </c>
      <c r="N4" s="20">
        <v>0.0</v>
      </c>
      <c r="O4" s="18">
        <v>14.3</v>
      </c>
      <c r="P4" s="20">
        <v>3.3</v>
      </c>
      <c r="Q4" s="16">
        <v>45856.0</v>
      </c>
      <c r="R4" s="16" t="s">
        <v>38</v>
      </c>
      <c r="S4" s="13" t="s">
        <v>55</v>
      </c>
      <c r="T4" s="13" t="s">
        <v>66</v>
      </c>
      <c r="U4" s="13" t="str">
        <f t="shared" si="1"/>
        <v>Moderate</v>
      </c>
      <c r="V4" s="13" t="str">
        <f t="shared" si="2"/>
        <v>Below Median</v>
      </c>
      <c r="W4" s="13" t="str">
        <f t="shared" si="3"/>
        <v>13–24 Months</v>
      </c>
    </row>
    <row r="5" hidden="1">
      <c r="A5" s="13" t="s">
        <v>67</v>
      </c>
      <c r="B5" s="13" t="s">
        <v>68</v>
      </c>
      <c r="C5" s="14">
        <v>42.0</v>
      </c>
      <c r="D5" s="13" t="s">
        <v>69</v>
      </c>
      <c r="E5" s="13" t="s">
        <v>70</v>
      </c>
      <c r="F5" s="13" t="s">
        <v>62</v>
      </c>
      <c r="G5" s="13" t="s">
        <v>39</v>
      </c>
      <c r="H5" s="16">
        <v>45154.0</v>
      </c>
      <c r="I5" s="14">
        <v>6.0</v>
      </c>
      <c r="J5" s="13" t="s">
        <v>53</v>
      </c>
      <c r="K5" s="13" t="s">
        <v>41</v>
      </c>
      <c r="L5" s="14">
        <v>550.0</v>
      </c>
      <c r="M5" s="18" t="s">
        <v>98</v>
      </c>
      <c r="N5" s="20">
        <v>1.0</v>
      </c>
      <c r="O5" s="18">
        <v>9.9</v>
      </c>
      <c r="P5" s="20">
        <v>4.0</v>
      </c>
      <c r="Q5" s="16">
        <v>45280.0</v>
      </c>
      <c r="R5" s="16" t="s">
        <v>71</v>
      </c>
      <c r="S5" s="13" t="s">
        <v>45</v>
      </c>
      <c r="T5" s="13" t="s">
        <v>72</v>
      </c>
      <c r="U5" s="13" t="str">
        <f t="shared" si="1"/>
        <v>Moderate</v>
      </c>
      <c r="V5" s="13" t="str">
        <f t="shared" si="2"/>
        <v>Below Median</v>
      </c>
      <c r="W5" s="13" t="str">
        <f t="shared" si="3"/>
        <v>0–12 Months</v>
      </c>
    </row>
    <row r="6" hidden="1">
      <c r="A6" s="13" t="s">
        <v>73</v>
      </c>
      <c r="B6" s="13" t="s">
        <v>74</v>
      </c>
      <c r="C6" s="14">
        <v>33.0</v>
      </c>
      <c r="D6" s="13" t="s">
        <v>35</v>
      </c>
      <c r="E6" s="13" t="s">
        <v>51</v>
      </c>
      <c r="F6" s="13" t="s">
        <v>37</v>
      </c>
      <c r="G6" s="13" t="s">
        <v>39</v>
      </c>
      <c r="H6" s="16">
        <v>44896.0</v>
      </c>
      <c r="I6" s="14">
        <v>30.0</v>
      </c>
      <c r="J6" s="13" t="s">
        <v>40</v>
      </c>
      <c r="K6" s="13" t="s">
        <v>65</v>
      </c>
      <c r="L6" s="14">
        <v>1703.0</v>
      </c>
      <c r="M6" s="18" t="s">
        <v>98</v>
      </c>
      <c r="N6" s="20">
        <v>1.0</v>
      </c>
      <c r="O6" s="18">
        <v>28.5</v>
      </c>
      <c r="P6" s="20">
        <v>2.4</v>
      </c>
      <c r="Q6" s="16">
        <v>45130.0</v>
      </c>
      <c r="R6" s="16" t="s">
        <v>38</v>
      </c>
      <c r="S6" s="13" t="s">
        <v>55</v>
      </c>
      <c r="T6" s="13" t="s">
        <v>75</v>
      </c>
      <c r="U6" s="13" t="str">
        <f t="shared" si="1"/>
        <v>Low</v>
      </c>
      <c r="V6" s="13" t="str">
        <f t="shared" si="2"/>
        <v>Median or Above</v>
      </c>
      <c r="W6" s="13" t="str">
        <f t="shared" si="3"/>
        <v>25–48 Months</v>
      </c>
    </row>
    <row r="7" hidden="1">
      <c r="A7" s="13" t="s">
        <v>77</v>
      </c>
      <c r="B7" s="13" t="s">
        <v>78</v>
      </c>
      <c r="C7" s="14">
        <v>34.0</v>
      </c>
      <c r="D7" s="13" t="s">
        <v>35</v>
      </c>
      <c r="E7" s="13" t="s">
        <v>51</v>
      </c>
      <c r="F7" s="13" t="s">
        <v>79</v>
      </c>
      <c r="G7" s="13" t="s">
        <v>80</v>
      </c>
      <c r="H7" s="16">
        <v>45206.0</v>
      </c>
      <c r="I7" s="14">
        <v>14.0</v>
      </c>
      <c r="J7" s="13" t="s">
        <v>64</v>
      </c>
      <c r="K7" s="13" t="s">
        <v>81</v>
      </c>
      <c r="L7" s="14">
        <v>2938.0</v>
      </c>
      <c r="M7" s="18" t="s">
        <v>43</v>
      </c>
      <c r="N7" s="20">
        <v>1.0</v>
      </c>
      <c r="O7" s="18">
        <v>33.2</v>
      </c>
      <c r="P7" s="20">
        <v>3.4</v>
      </c>
      <c r="Q7" s="16">
        <v>45289.0</v>
      </c>
      <c r="R7" s="16" t="s">
        <v>38</v>
      </c>
      <c r="S7" s="13" t="s">
        <v>55</v>
      </c>
      <c r="T7" s="13" t="s">
        <v>66</v>
      </c>
      <c r="U7" s="13" t="str">
        <f t="shared" si="1"/>
        <v>Moderate</v>
      </c>
      <c r="V7" s="13" t="str">
        <f t="shared" si="2"/>
        <v>Median or Above</v>
      </c>
      <c r="W7" s="13" t="str">
        <f t="shared" si="3"/>
        <v>13–24 Months</v>
      </c>
    </row>
    <row r="8" hidden="1">
      <c r="A8" s="13" t="s">
        <v>82</v>
      </c>
      <c r="B8" s="13" t="s">
        <v>50</v>
      </c>
      <c r="C8" s="14">
        <v>57.0</v>
      </c>
      <c r="D8" s="13" t="s">
        <v>85</v>
      </c>
      <c r="E8" s="13" t="s">
        <v>87</v>
      </c>
      <c r="F8" s="13" t="s">
        <v>62</v>
      </c>
      <c r="G8" s="13" t="s">
        <v>39</v>
      </c>
      <c r="H8" s="16">
        <v>45605.0</v>
      </c>
      <c r="I8" s="14">
        <v>32.0</v>
      </c>
      <c r="J8" s="13" t="s">
        <v>40</v>
      </c>
      <c r="K8" s="13" t="s">
        <v>65</v>
      </c>
      <c r="L8" s="14">
        <v>523.0</v>
      </c>
      <c r="M8" s="18" t="s">
        <v>43</v>
      </c>
      <c r="N8" s="20">
        <v>1.0</v>
      </c>
      <c r="O8" s="18">
        <v>16.2</v>
      </c>
      <c r="P8" s="20">
        <v>4.1</v>
      </c>
      <c r="Q8" s="16">
        <v>46257.0</v>
      </c>
      <c r="R8" s="16" t="s">
        <v>38</v>
      </c>
      <c r="S8" s="13" t="s">
        <v>55</v>
      </c>
      <c r="T8" s="13" t="s">
        <v>75</v>
      </c>
      <c r="U8" s="13" t="str">
        <f t="shared" si="1"/>
        <v>Moderate</v>
      </c>
      <c r="V8" s="13" t="str">
        <f t="shared" si="2"/>
        <v>Below Median</v>
      </c>
      <c r="W8" s="13" t="str">
        <f t="shared" si="3"/>
        <v>25–48 Months</v>
      </c>
    </row>
    <row r="9" hidden="1">
      <c r="A9" s="13" t="s">
        <v>90</v>
      </c>
      <c r="B9" s="13" t="s">
        <v>91</v>
      </c>
      <c r="C9" s="14">
        <v>37.0</v>
      </c>
      <c r="D9" s="13" t="s">
        <v>85</v>
      </c>
      <c r="E9" s="13" t="s">
        <v>92</v>
      </c>
      <c r="F9" s="13" t="s">
        <v>79</v>
      </c>
      <c r="G9" s="13" t="s">
        <v>128</v>
      </c>
      <c r="H9" s="16">
        <v>44585.0</v>
      </c>
      <c r="I9" s="14">
        <v>44.0</v>
      </c>
      <c r="J9" s="13" t="s">
        <v>53</v>
      </c>
      <c r="K9" s="13" t="s">
        <v>41</v>
      </c>
      <c r="L9" s="14">
        <v>3536.0</v>
      </c>
      <c r="M9" s="18" t="s">
        <v>46</v>
      </c>
      <c r="N9" s="20">
        <v>0.0</v>
      </c>
      <c r="O9" s="18">
        <v>43.9</v>
      </c>
      <c r="P9" s="20">
        <v>3.9</v>
      </c>
      <c r="Q9" s="16">
        <v>45141.0</v>
      </c>
      <c r="R9" s="16" t="s">
        <v>94</v>
      </c>
      <c r="S9" s="13" t="s">
        <v>45</v>
      </c>
      <c r="T9" s="13" t="s">
        <v>75</v>
      </c>
      <c r="U9" s="13" t="str">
        <f t="shared" si="1"/>
        <v>Moderate</v>
      </c>
      <c r="V9" s="13" t="str">
        <f t="shared" si="2"/>
        <v>Median or Above</v>
      </c>
      <c r="W9" s="13" t="str">
        <f t="shared" si="3"/>
        <v>25–48 Months</v>
      </c>
    </row>
    <row r="10" hidden="1">
      <c r="A10" s="13" t="s">
        <v>95</v>
      </c>
      <c r="B10" s="13" t="s">
        <v>96</v>
      </c>
      <c r="C10" s="14">
        <v>57.0</v>
      </c>
      <c r="D10" s="13" t="s">
        <v>60</v>
      </c>
      <c r="E10" s="13" t="s">
        <v>97</v>
      </c>
      <c r="F10" s="13" t="s">
        <v>37</v>
      </c>
      <c r="G10" s="13" t="s">
        <v>63</v>
      </c>
      <c r="H10" s="16">
        <v>45842.0</v>
      </c>
      <c r="I10" s="14">
        <v>20.0</v>
      </c>
      <c r="J10" s="13" t="s">
        <v>53</v>
      </c>
      <c r="K10" s="13" t="s">
        <v>65</v>
      </c>
      <c r="L10" s="14">
        <v>1622.0</v>
      </c>
      <c r="M10" s="18" t="s">
        <v>98</v>
      </c>
      <c r="N10" s="20">
        <v>1.0</v>
      </c>
      <c r="O10" s="18">
        <v>27.1</v>
      </c>
      <c r="P10" s="20">
        <v>3.4</v>
      </c>
      <c r="Q10" s="16">
        <v>46008.0</v>
      </c>
      <c r="R10" s="16" t="s">
        <v>101</v>
      </c>
      <c r="S10" s="13" t="s">
        <v>45</v>
      </c>
      <c r="T10" s="13" t="s">
        <v>104</v>
      </c>
      <c r="U10" s="13" t="str">
        <f t="shared" si="1"/>
        <v>Moderate</v>
      </c>
      <c r="V10" s="13" t="str">
        <f t="shared" si="2"/>
        <v>Median or Above</v>
      </c>
      <c r="W10" s="13" t="str">
        <f t="shared" si="3"/>
        <v>13–24 Months</v>
      </c>
    </row>
    <row r="11" hidden="1">
      <c r="A11" s="13" t="s">
        <v>105</v>
      </c>
      <c r="B11" s="13" t="s">
        <v>106</v>
      </c>
      <c r="C11" s="14">
        <v>61.0</v>
      </c>
      <c r="D11" s="13" t="s">
        <v>60</v>
      </c>
      <c r="E11" s="13" t="s">
        <v>107</v>
      </c>
      <c r="F11" s="13" t="s">
        <v>62</v>
      </c>
      <c r="G11" s="13" t="s">
        <v>39</v>
      </c>
      <c r="H11" s="16">
        <v>45723.0</v>
      </c>
      <c r="I11" s="14">
        <v>6.0</v>
      </c>
      <c r="J11" s="13" t="s">
        <v>53</v>
      </c>
      <c r="K11" s="13" t="s">
        <v>81</v>
      </c>
      <c r="L11" s="14">
        <v>747.0</v>
      </c>
      <c r="M11" s="18" t="s">
        <v>98</v>
      </c>
      <c r="N11" s="20">
        <v>0.0</v>
      </c>
      <c r="O11" s="18">
        <v>20.7</v>
      </c>
      <c r="P11" s="20">
        <v>2.1</v>
      </c>
      <c r="Q11" s="16">
        <v>45869.0</v>
      </c>
      <c r="R11" s="16" t="s">
        <v>38</v>
      </c>
      <c r="S11" s="13" t="s">
        <v>55</v>
      </c>
      <c r="T11" s="13" t="s">
        <v>47</v>
      </c>
      <c r="U11" s="13" t="str">
        <f t="shared" si="1"/>
        <v>Low</v>
      </c>
      <c r="V11" s="13" t="str">
        <f t="shared" si="2"/>
        <v>Below Median</v>
      </c>
      <c r="W11" s="13" t="str">
        <f t="shared" si="3"/>
        <v>0–12 Months</v>
      </c>
    </row>
    <row r="12" hidden="1">
      <c r="A12" s="13" t="s">
        <v>109</v>
      </c>
      <c r="B12" s="13" t="s">
        <v>110</v>
      </c>
      <c r="C12" s="14">
        <v>26.0</v>
      </c>
      <c r="D12" s="13" t="s">
        <v>85</v>
      </c>
      <c r="E12" s="13" t="s">
        <v>111</v>
      </c>
      <c r="F12" s="13" t="s">
        <v>79</v>
      </c>
      <c r="G12" s="13" t="s">
        <v>128</v>
      </c>
      <c r="H12" s="16">
        <v>45974.0</v>
      </c>
      <c r="I12" s="14">
        <v>13.0</v>
      </c>
      <c r="J12" s="13" t="s">
        <v>40</v>
      </c>
      <c r="K12" s="13" t="s">
        <v>41</v>
      </c>
      <c r="L12" s="14">
        <v>3329.0</v>
      </c>
      <c r="M12" s="18" t="s">
        <v>43</v>
      </c>
      <c r="N12" s="20">
        <v>0.0</v>
      </c>
      <c r="O12" s="18">
        <v>42.7</v>
      </c>
      <c r="P12" s="20">
        <v>4.5</v>
      </c>
      <c r="Q12" s="16">
        <v>46175.0</v>
      </c>
      <c r="R12" s="16" t="s">
        <v>38</v>
      </c>
      <c r="S12" s="13" t="s">
        <v>55</v>
      </c>
      <c r="T12" s="13" t="s">
        <v>104</v>
      </c>
      <c r="U12" s="13" t="str">
        <f t="shared" si="1"/>
        <v>Moderate</v>
      </c>
      <c r="V12" s="13" t="str">
        <f t="shared" si="2"/>
        <v>Median or Above</v>
      </c>
      <c r="W12" s="13" t="str">
        <f t="shared" si="3"/>
        <v>13–24 Months</v>
      </c>
    </row>
    <row r="13" hidden="1">
      <c r="A13" s="13" t="s">
        <v>113</v>
      </c>
      <c r="B13" s="13" t="s">
        <v>91</v>
      </c>
      <c r="C13" s="14">
        <v>51.0</v>
      </c>
      <c r="D13" s="13" t="s">
        <v>35</v>
      </c>
      <c r="E13" s="13" t="s">
        <v>51</v>
      </c>
      <c r="F13" s="13" t="s">
        <v>37</v>
      </c>
      <c r="G13" s="13" t="s">
        <v>63</v>
      </c>
      <c r="H13" s="16">
        <v>44707.0</v>
      </c>
      <c r="I13" s="14">
        <v>46.0</v>
      </c>
      <c r="J13" s="13" t="s">
        <v>40</v>
      </c>
      <c r="K13" s="13" t="s">
        <v>65</v>
      </c>
      <c r="L13" s="14">
        <v>1068.0</v>
      </c>
      <c r="M13" s="18" t="s">
        <v>46</v>
      </c>
      <c r="N13" s="20">
        <v>0.0</v>
      </c>
      <c r="O13" s="18">
        <v>15.9</v>
      </c>
      <c r="P13" s="20">
        <v>4.7</v>
      </c>
      <c r="Q13" s="16">
        <v>44781.0</v>
      </c>
      <c r="R13" s="16" t="s">
        <v>38</v>
      </c>
      <c r="S13" s="13" t="s">
        <v>55</v>
      </c>
      <c r="T13" s="13" t="s">
        <v>75</v>
      </c>
      <c r="U13" s="13" t="str">
        <f t="shared" si="1"/>
        <v>Moderate</v>
      </c>
      <c r="V13" s="13" t="str">
        <f t="shared" si="2"/>
        <v>Below Median</v>
      </c>
      <c r="W13" s="13" t="str">
        <f t="shared" si="3"/>
        <v>25–48 Months</v>
      </c>
    </row>
    <row r="14" hidden="1">
      <c r="A14" s="13" t="s">
        <v>117</v>
      </c>
      <c r="B14" s="13" t="s">
        <v>118</v>
      </c>
      <c r="C14" s="14">
        <v>65.0</v>
      </c>
      <c r="D14" s="13" t="s">
        <v>69</v>
      </c>
      <c r="E14" s="13" t="s">
        <v>119</v>
      </c>
      <c r="F14" s="13" t="s">
        <v>62</v>
      </c>
      <c r="G14" s="13" t="s">
        <v>120</v>
      </c>
      <c r="H14" s="16">
        <v>45395.0</v>
      </c>
      <c r="I14" s="14">
        <v>13.0</v>
      </c>
      <c r="J14" s="13" t="s">
        <v>40</v>
      </c>
      <c r="K14" s="13" t="s">
        <v>81</v>
      </c>
      <c r="L14" s="14">
        <v>836.0</v>
      </c>
      <c r="M14" s="18" t="s">
        <v>164</v>
      </c>
      <c r="N14" s="20">
        <v>2.0</v>
      </c>
      <c r="O14" s="18">
        <v>27.4</v>
      </c>
      <c r="P14" s="20" t="s">
        <v>38</v>
      </c>
      <c r="Q14" s="16">
        <v>45621.0</v>
      </c>
      <c r="R14" s="16" t="s">
        <v>38</v>
      </c>
      <c r="S14" s="13" t="s">
        <v>55</v>
      </c>
      <c r="T14" s="13" t="s">
        <v>104</v>
      </c>
      <c r="U14" s="13" t="str">
        <f t="shared" si="1"/>
        <v/>
      </c>
      <c r="V14" s="13" t="str">
        <f t="shared" si="2"/>
        <v>Median or Above</v>
      </c>
      <c r="W14" s="13" t="str">
        <f t="shared" si="3"/>
        <v>13–24 Months</v>
      </c>
    </row>
    <row r="15" hidden="1">
      <c r="A15" s="13" t="s">
        <v>121</v>
      </c>
      <c r="B15" s="13" t="s">
        <v>169</v>
      </c>
      <c r="C15" s="14">
        <v>34.0</v>
      </c>
      <c r="D15" s="13" t="s">
        <v>85</v>
      </c>
      <c r="E15" s="13" t="s">
        <v>92</v>
      </c>
      <c r="F15" s="13" t="s">
        <v>37</v>
      </c>
      <c r="G15" s="13" t="s">
        <v>63</v>
      </c>
      <c r="H15" s="16">
        <v>45071.0</v>
      </c>
      <c r="I15" s="14">
        <v>13.0</v>
      </c>
      <c r="J15" s="13" t="s">
        <v>40</v>
      </c>
      <c r="K15" s="13" t="s">
        <v>65</v>
      </c>
      <c r="L15" s="14">
        <v>1142.0</v>
      </c>
      <c r="M15" s="18" t="s">
        <v>43</v>
      </c>
      <c r="N15" s="20">
        <v>0.0</v>
      </c>
      <c r="O15" s="18">
        <v>27.7</v>
      </c>
      <c r="P15" s="20">
        <v>5.0</v>
      </c>
      <c r="Q15" s="16">
        <v>45174.0</v>
      </c>
      <c r="R15" s="16" t="s">
        <v>38</v>
      </c>
      <c r="S15" s="13" t="s">
        <v>55</v>
      </c>
      <c r="T15" s="13" t="s">
        <v>66</v>
      </c>
      <c r="U15" s="13" t="str">
        <f t="shared" si="1"/>
        <v>High</v>
      </c>
      <c r="V15" s="13" t="str">
        <f t="shared" si="2"/>
        <v>Median or Above</v>
      </c>
      <c r="W15" s="13" t="str">
        <f t="shared" si="3"/>
        <v>13–24 Months</v>
      </c>
    </row>
    <row r="16" hidden="1">
      <c r="A16" s="13" t="s">
        <v>125</v>
      </c>
      <c r="B16" s="13" t="s">
        <v>126</v>
      </c>
      <c r="C16" s="14">
        <v>43.0</v>
      </c>
      <c r="D16" s="13" t="s">
        <v>35</v>
      </c>
      <c r="E16" s="13" t="s">
        <v>36</v>
      </c>
      <c r="F16" s="13" t="s">
        <v>79</v>
      </c>
      <c r="G16" s="13" t="s">
        <v>128</v>
      </c>
      <c r="H16" s="16">
        <v>45046.0</v>
      </c>
      <c r="I16" s="14">
        <v>11.0</v>
      </c>
      <c r="J16" s="13" t="s">
        <v>40</v>
      </c>
      <c r="K16" s="13" t="s">
        <v>65</v>
      </c>
      <c r="L16" s="14">
        <v>3769.0</v>
      </c>
      <c r="M16" s="18" t="s">
        <v>164</v>
      </c>
      <c r="N16" s="20">
        <v>1.0</v>
      </c>
      <c r="O16" s="18">
        <v>38.7</v>
      </c>
      <c r="P16" s="20">
        <v>3.4</v>
      </c>
      <c r="Q16" s="16">
        <v>45261.0</v>
      </c>
      <c r="R16" s="16" t="s">
        <v>38</v>
      </c>
      <c r="S16" s="13" t="s">
        <v>55</v>
      </c>
      <c r="T16" s="13" t="s">
        <v>72</v>
      </c>
      <c r="U16" s="13" t="str">
        <f t="shared" si="1"/>
        <v>Moderate</v>
      </c>
      <c r="V16" s="13" t="str">
        <f t="shared" si="2"/>
        <v>Median or Above</v>
      </c>
      <c r="W16" s="13" t="str">
        <f t="shared" si="3"/>
        <v>0–12 Months</v>
      </c>
    </row>
    <row r="17" hidden="1">
      <c r="A17" s="13" t="s">
        <v>131</v>
      </c>
      <c r="B17" s="13" t="s">
        <v>132</v>
      </c>
      <c r="C17" s="14">
        <v>66.0</v>
      </c>
      <c r="D17" s="13" t="s">
        <v>60</v>
      </c>
      <c r="E17" s="13" t="s">
        <v>133</v>
      </c>
      <c r="F17" s="13" t="s">
        <v>37</v>
      </c>
      <c r="G17" s="13" t="s">
        <v>52</v>
      </c>
      <c r="H17" s="16">
        <v>45700.0</v>
      </c>
      <c r="I17" s="14">
        <v>43.0</v>
      </c>
      <c r="J17" s="13" t="s">
        <v>53</v>
      </c>
      <c r="K17" s="13" t="s">
        <v>41</v>
      </c>
      <c r="L17" s="14">
        <v>1193.0</v>
      </c>
      <c r="M17" s="18" t="s">
        <v>173</v>
      </c>
      <c r="N17" s="20">
        <v>3.0</v>
      </c>
      <c r="O17" s="18">
        <v>21.5</v>
      </c>
      <c r="P17" s="20">
        <v>3.2</v>
      </c>
      <c r="Q17" s="16">
        <v>46155.0</v>
      </c>
      <c r="R17" s="16" t="s">
        <v>38</v>
      </c>
      <c r="S17" s="13" t="s">
        <v>55</v>
      </c>
      <c r="T17" s="13" t="s">
        <v>104</v>
      </c>
      <c r="U17" s="13" t="str">
        <f t="shared" si="1"/>
        <v>Moderate</v>
      </c>
      <c r="V17" s="13" t="str">
        <f t="shared" si="2"/>
        <v>Below Median</v>
      </c>
      <c r="W17" s="13" t="str">
        <f t="shared" si="3"/>
        <v>25–48 Months</v>
      </c>
    </row>
    <row r="18" hidden="1">
      <c r="A18" s="13" t="s">
        <v>134</v>
      </c>
      <c r="B18" s="13" t="s">
        <v>135</v>
      </c>
      <c r="C18" s="14">
        <v>55.0</v>
      </c>
      <c r="D18" s="13" t="s">
        <v>85</v>
      </c>
      <c r="E18" s="13" t="s">
        <v>111</v>
      </c>
      <c r="F18" s="13" t="s">
        <v>62</v>
      </c>
      <c r="G18" s="13" t="s">
        <v>80</v>
      </c>
      <c r="H18" s="16">
        <v>44726.0</v>
      </c>
      <c r="I18" s="14">
        <v>12.0</v>
      </c>
      <c r="J18" s="13" t="s">
        <v>40</v>
      </c>
      <c r="K18" s="13" t="s">
        <v>81</v>
      </c>
      <c r="L18" s="14">
        <v>533.0</v>
      </c>
      <c r="M18" s="18" t="s">
        <v>98</v>
      </c>
      <c r="N18" s="20">
        <v>2.0</v>
      </c>
      <c r="O18" s="18">
        <v>12.4</v>
      </c>
      <c r="P18" s="20">
        <v>3.4</v>
      </c>
      <c r="Q18" s="16">
        <v>44856.0</v>
      </c>
      <c r="R18" s="16" t="s">
        <v>38</v>
      </c>
      <c r="S18" s="13" t="s">
        <v>55</v>
      </c>
      <c r="T18" s="13" t="s">
        <v>66</v>
      </c>
      <c r="U18" s="13" t="str">
        <f t="shared" si="1"/>
        <v>Moderate</v>
      </c>
      <c r="V18" s="13" t="str">
        <f t="shared" si="2"/>
        <v>Below Median</v>
      </c>
      <c r="W18" s="13" t="str">
        <f t="shared" si="3"/>
        <v>0–12 Months</v>
      </c>
    </row>
    <row r="19" hidden="1">
      <c r="A19" s="13" t="s">
        <v>138</v>
      </c>
      <c r="B19" s="13" t="s">
        <v>139</v>
      </c>
      <c r="C19" s="14">
        <v>27.0</v>
      </c>
      <c r="D19" s="13" t="s">
        <v>35</v>
      </c>
      <c r="E19" s="13" t="s">
        <v>140</v>
      </c>
      <c r="F19" s="13" t="s">
        <v>37</v>
      </c>
      <c r="G19" s="13" t="s">
        <v>80</v>
      </c>
      <c r="H19" s="16">
        <v>45632.0</v>
      </c>
      <c r="I19" s="14">
        <v>21.0</v>
      </c>
      <c r="J19" s="13" t="s">
        <v>64</v>
      </c>
      <c r="K19" s="13" t="s">
        <v>81</v>
      </c>
      <c r="L19" s="14">
        <v>1684.0</v>
      </c>
      <c r="M19" s="18" t="s">
        <v>98</v>
      </c>
      <c r="N19" s="20">
        <v>0.0</v>
      </c>
      <c r="O19" s="18">
        <v>6.8</v>
      </c>
      <c r="P19" s="20">
        <v>4.0</v>
      </c>
      <c r="Q19" s="16">
        <v>45963.0</v>
      </c>
      <c r="R19" s="16">
        <v>45817.0</v>
      </c>
      <c r="S19" s="13" t="s">
        <v>45</v>
      </c>
      <c r="T19" s="13" t="s">
        <v>72</v>
      </c>
      <c r="U19" s="13" t="str">
        <f t="shared" si="1"/>
        <v>Moderate</v>
      </c>
      <c r="V19" s="13" t="str">
        <f t="shared" si="2"/>
        <v>Below Median</v>
      </c>
      <c r="W19" s="13" t="str">
        <f t="shared" si="3"/>
        <v>13–24 Months</v>
      </c>
    </row>
    <row r="20" hidden="1">
      <c r="A20" s="13" t="s">
        <v>142</v>
      </c>
      <c r="B20" s="13" t="s">
        <v>91</v>
      </c>
      <c r="C20" s="14">
        <v>34.0</v>
      </c>
      <c r="D20" s="13" t="s">
        <v>60</v>
      </c>
      <c r="E20" s="13" t="s">
        <v>61</v>
      </c>
      <c r="F20" s="13" t="s">
        <v>62</v>
      </c>
      <c r="G20" s="13" t="s">
        <v>80</v>
      </c>
      <c r="H20" s="16">
        <v>45715.0</v>
      </c>
      <c r="I20" s="14">
        <v>7.0</v>
      </c>
      <c r="J20" s="13" t="s">
        <v>53</v>
      </c>
      <c r="K20" s="13" t="s">
        <v>65</v>
      </c>
      <c r="L20" s="14">
        <v>608.0</v>
      </c>
      <c r="M20" s="18" t="s">
        <v>43</v>
      </c>
      <c r="N20" s="20">
        <v>2.0</v>
      </c>
      <c r="O20" s="18">
        <v>16.7</v>
      </c>
      <c r="P20" s="20">
        <v>4.1</v>
      </c>
      <c r="Q20" s="16">
        <v>45758.0</v>
      </c>
      <c r="R20" s="16" t="s">
        <v>38</v>
      </c>
      <c r="S20" s="13" t="s">
        <v>55</v>
      </c>
      <c r="T20" s="13" t="s">
        <v>47</v>
      </c>
      <c r="U20" s="13" t="str">
        <f t="shared" si="1"/>
        <v>Moderate</v>
      </c>
      <c r="V20" s="13" t="str">
        <f t="shared" si="2"/>
        <v>Below Median</v>
      </c>
      <c r="W20" s="13" t="str">
        <f t="shared" si="3"/>
        <v>0–12 Months</v>
      </c>
    </row>
    <row r="21" hidden="1">
      <c r="A21" s="13" t="s">
        <v>144</v>
      </c>
      <c r="B21" s="13" t="s">
        <v>145</v>
      </c>
      <c r="C21" s="14">
        <v>36.0</v>
      </c>
      <c r="D21" s="13" t="s">
        <v>60</v>
      </c>
      <c r="E21" s="13" t="s">
        <v>61</v>
      </c>
      <c r="F21" s="13" t="s">
        <v>37</v>
      </c>
      <c r="G21" s="13" t="s">
        <v>80</v>
      </c>
      <c r="H21" s="16">
        <v>45175.0</v>
      </c>
      <c r="I21" s="14">
        <v>43.0</v>
      </c>
      <c r="J21" s="13" t="s">
        <v>40</v>
      </c>
      <c r="K21" s="13" t="s">
        <v>81</v>
      </c>
      <c r="L21" s="14">
        <v>1269.0</v>
      </c>
      <c r="M21" s="18" t="s">
        <v>98</v>
      </c>
      <c r="N21" s="20">
        <v>1.0</v>
      </c>
      <c r="O21" s="18">
        <v>12.6</v>
      </c>
      <c r="P21" s="20">
        <v>3.7</v>
      </c>
      <c r="Q21" s="16">
        <v>45404.0</v>
      </c>
      <c r="R21" s="16" t="s">
        <v>38</v>
      </c>
      <c r="S21" s="13" t="s">
        <v>55</v>
      </c>
      <c r="T21" s="13" t="s">
        <v>47</v>
      </c>
      <c r="U21" s="13" t="str">
        <f t="shared" si="1"/>
        <v>Moderate</v>
      </c>
      <c r="V21" s="13" t="str">
        <f t="shared" si="2"/>
        <v>Below Median</v>
      </c>
      <c r="W21" s="13" t="str">
        <f t="shared" si="3"/>
        <v>25–48 Months</v>
      </c>
    </row>
    <row r="22" hidden="1">
      <c r="A22" s="13" t="s">
        <v>151</v>
      </c>
      <c r="B22" s="13" t="s">
        <v>152</v>
      </c>
      <c r="C22" s="14">
        <v>19.0</v>
      </c>
      <c r="D22" s="13" t="s">
        <v>60</v>
      </c>
      <c r="E22" s="13" t="s">
        <v>97</v>
      </c>
      <c r="F22" s="13" t="s">
        <v>37</v>
      </c>
      <c r="G22" s="13" t="s">
        <v>128</v>
      </c>
      <c r="H22" s="16">
        <v>45102.0</v>
      </c>
      <c r="I22" s="14">
        <v>33.0</v>
      </c>
      <c r="J22" s="13" t="s">
        <v>53</v>
      </c>
      <c r="K22" s="13" t="s">
        <v>41</v>
      </c>
      <c r="L22" s="14">
        <v>1093.0</v>
      </c>
      <c r="M22" s="18" t="s">
        <v>98</v>
      </c>
      <c r="N22" s="20">
        <v>1.0</v>
      </c>
      <c r="O22" s="18">
        <v>26.5</v>
      </c>
      <c r="P22" s="20">
        <v>4.0</v>
      </c>
      <c r="Q22" s="16">
        <v>45545.0</v>
      </c>
      <c r="R22" s="16" t="s">
        <v>38</v>
      </c>
      <c r="S22" s="13" t="s">
        <v>55</v>
      </c>
      <c r="T22" s="13" t="s">
        <v>72</v>
      </c>
      <c r="U22" s="13" t="str">
        <f t="shared" si="1"/>
        <v>Moderate</v>
      </c>
      <c r="V22" s="13" t="str">
        <f t="shared" si="2"/>
        <v>Median or Above</v>
      </c>
      <c r="W22" s="13" t="str">
        <f t="shared" si="3"/>
        <v>25–48 Months</v>
      </c>
    </row>
    <row r="23" hidden="1">
      <c r="A23" s="13" t="s">
        <v>153</v>
      </c>
      <c r="B23" s="13" t="s">
        <v>145</v>
      </c>
      <c r="C23" s="14">
        <v>46.0</v>
      </c>
      <c r="D23" s="13" t="s">
        <v>85</v>
      </c>
      <c r="E23" s="13" t="s">
        <v>87</v>
      </c>
      <c r="F23" s="13" t="s">
        <v>37</v>
      </c>
      <c r="G23" s="13" t="s">
        <v>63</v>
      </c>
      <c r="H23" s="16">
        <v>44716.0</v>
      </c>
      <c r="I23" s="14">
        <v>45.0</v>
      </c>
      <c r="J23" s="13" t="s">
        <v>40</v>
      </c>
      <c r="K23" s="13" t="s">
        <v>41</v>
      </c>
      <c r="L23" s="14">
        <v>1035.0</v>
      </c>
      <c r="M23" s="18" t="s">
        <v>43</v>
      </c>
      <c r="N23" s="20">
        <v>2.0</v>
      </c>
      <c r="O23" s="18">
        <v>37.1</v>
      </c>
      <c r="P23" s="20">
        <v>4.4</v>
      </c>
      <c r="Q23" s="16">
        <v>45482.0</v>
      </c>
      <c r="R23" s="16">
        <v>45879.0</v>
      </c>
      <c r="S23" s="13" t="s">
        <v>45</v>
      </c>
      <c r="T23" s="13" t="s">
        <v>72</v>
      </c>
      <c r="U23" s="13" t="str">
        <f t="shared" si="1"/>
        <v>Moderate</v>
      </c>
      <c r="V23" s="13" t="str">
        <f t="shared" si="2"/>
        <v>Median or Above</v>
      </c>
      <c r="W23" s="13" t="str">
        <f t="shared" si="3"/>
        <v>25–48 Months</v>
      </c>
    </row>
    <row r="24" hidden="1">
      <c r="A24" s="13" t="s">
        <v>159</v>
      </c>
      <c r="B24" s="13" t="s">
        <v>160</v>
      </c>
      <c r="C24" s="14">
        <v>29.0</v>
      </c>
      <c r="D24" s="13" t="s">
        <v>35</v>
      </c>
      <c r="E24" s="13" t="s">
        <v>161</v>
      </c>
      <c r="F24" s="13" t="s">
        <v>62</v>
      </c>
      <c r="G24" s="13" t="s">
        <v>39</v>
      </c>
      <c r="H24" s="16">
        <v>45927.0</v>
      </c>
      <c r="I24" s="14">
        <v>7.0</v>
      </c>
      <c r="J24" s="13" t="s">
        <v>40</v>
      </c>
      <c r="K24" s="13" t="s">
        <v>65</v>
      </c>
      <c r="L24" s="14">
        <v>785.0</v>
      </c>
      <c r="M24" s="18" t="s">
        <v>46</v>
      </c>
      <c r="N24" s="20">
        <v>2.0</v>
      </c>
      <c r="O24" s="18">
        <v>10.1</v>
      </c>
      <c r="P24" s="20">
        <v>3.2</v>
      </c>
      <c r="Q24" s="16">
        <v>46095.0</v>
      </c>
      <c r="R24" s="16" t="s">
        <v>38</v>
      </c>
      <c r="S24" s="13" t="s">
        <v>55</v>
      </c>
      <c r="T24" s="13" t="s">
        <v>104</v>
      </c>
      <c r="U24" s="13" t="str">
        <f t="shared" si="1"/>
        <v>Moderate</v>
      </c>
      <c r="V24" s="13" t="str">
        <f t="shared" si="2"/>
        <v>Below Median</v>
      </c>
      <c r="W24" s="13" t="str">
        <f t="shared" si="3"/>
        <v>0–12 Months</v>
      </c>
    </row>
    <row r="25" hidden="1">
      <c r="A25" s="13" t="s">
        <v>162</v>
      </c>
      <c r="B25" s="13" t="s">
        <v>163</v>
      </c>
      <c r="C25" s="14">
        <v>31.0</v>
      </c>
      <c r="D25" s="13" t="s">
        <v>60</v>
      </c>
      <c r="E25" s="13" t="s">
        <v>133</v>
      </c>
      <c r="F25" s="13" t="s">
        <v>37</v>
      </c>
      <c r="G25" s="13" t="s">
        <v>128</v>
      </c>
      <c r="H25" s="16">
        <v>45070.0</v>
      </c>
      <c r="I25" s="14">
        <v>18.0</v>
      </c>
      <c r="J25" s="13" t="s">
        <v>53</v>
      </c>
      <c r="K25" s="13" t="s">
        <v>65</v>
      </c>
      <c r="L25" s="14">
        <v>1109.0</v>
      </c>
      <c r="M25" s="18" t="s">
        <v>98</v>
      </c>
      <c r="N25" s="20">
        <v>1.0</v>
      </c>
      <c r="O25" s="18">
        <v>15.6</v>
      </c>
      <c r="P25" s="20">
        <v>3.8</v>
      </c>
      <c r="Q25" s="16">
        <v>45119.0</v>
      </c>
      <c r="R25" s="16" t="s">
        <v>38</v>
      </c>
      <c r="S25" s="13" t="s">
        <v>55</v>
      </c>
      <c r="T25" s="13" t="s">
        <v>72</v>
      </c>
      <c r="U25" s="13" t="str">
        <f t="shared" si="1"/>
        <v>Moderate</v>
      </c>
      <c r="V25" s="13" t="str">
        <f t="shared" si="2"/>
        <v>Below Median</v>
      </c>
      <c r="W25" s="13" t="str">
        <f t="shared" si="3"/>
        <v>13–24 Months</v>
      </c>
    </row>
    <row r="26" hidden="1">
      <c r="A26" s="13" t="s">
        <v>165</v>
      </c>
      <c r="B26" s="13" t="s">
        <v>167</v>
      </c>
      <c r="C26" s="14">
        <v>20.0</v>
      </c>
      <c r="D26" s="13" t="s">
        <v>69</v>
      </c>
      <c r="E26" s="13" t="s">
        <v>70</v>
      </c>
      <c r="F26" s="13" t="s">
        <v>37</v>
      </c>
      <c r="G26" s="13" t="s">
        <v>120</v>
      </c>
      <c r="H26" s="16">
        <v>45234.0</v>
      </c>
      <c r="I26" s="14">
        <v>18.0</v>
      </c>
      <c r="J26" s="13" t="s">
        <v>40</v>
      </c>
      <c r="K26" s="13" t="s">
        <v>65</v>
      </c>
      <c r="L26" s="14">
        <v>1284.0</v>
      </c>
      <c r="M26" s="18" t="s">
        <v>99</v>
      </c>
      <c r="N26" s="20">
        <v>1.0</v>
      </c>
      <c r="O26" s="18">
        <v>21.7</v>
      </c>
      <c r="P26" s="20">
        <v>3.4</v>
      </c>
      <c r="Q26" s="16">
        <v>45765.0</v>
      </c>
      <c r="R26" s="16" t="s">
        <v>170</v>
      </c>
      <c r="S26" s="13" t="s">
        <v>45</v>
      </c>
      <c r="T26" s="13" t="s">
        <v>47</v>
      </c>
      <c r="U26" s="13" t="str">
        <f t="shared" si="1"/>
        <v>Moderate</v>
      </c>
      <c r="V26" s="13" t="str">
        <f t="shared" si="2"/>
        <v>Below Median</v>
      </c>
      <c r="W26" s="13" t="str">
        <f t="shared" si="3"/>
        <v>13–24 Months</v>
      </c>
    </row>
    <row r="27" hidden="1">
      <c r="A27" s="13" t="s">
        <v>171</v>
      </c>
      <c r="B27" s="13" t="s">
        <v>172</v>
      </c>
      <c r="C27" s="14">
        <v>35.0</v>
      </c>
      <c r="D27" s="13" t="s">
        <v>60</v>
      </c>
      <c r="E27" s="13" t="s">
        <v>61</v>
      </c>
      <c r="F27" s="13" t="s">
        <v>62</v>
      </c>
      <c r="G27" s="13" t="s">
        <v>120</v>
      </c>
      <c r="H27" s="16">
        <v>45269.0</v>
      </c>
      <c r="I27" s="14">
        <v>47.0</v>
      </c>
      <c r="J27" s="13" t="s">
        <v>40</v>
      </c>
      <c r="K27" s="13" t="s">
        <v>81</v>
      </c>
      <c r="L27" s="14">
        <v>722.0</v>
      </c>
      <c r="M27" s="18" t="s">
        <v>38</v>
      </c>
      <c r="N27" s="20">
        <v>4.0</v>
      </c>
      <c r="O27" s="18">
        <v>15.4</v>
      </c>
      <c r="P27" s="20">
        <v>3.5</v>
      </c>
      <c r="Q27" s="16">
        <v>45515.0</v>
      </c>
      <c r="R27" s="16">
        <v>46176.0</v>
      </c>
      <c r="S27" s="13" t="s">
        <v>45</v>
      </c>
      <c r="T27" s="13" t="s">
        <v>75</v>
      </c>
      <c r="U27" s="13" t="str">
        <f t="shared" si="1"/>
        <v>Moderate</v>
      </c>
      <c r="V27" s="13" t="str">
        <f t="shared" si="2"/>
        <v>Below Median</v>
      </c>
      <c r="W27" s="13" t="str">
        <f t="shared" si="3"/>
        <v>25–48 Months</v>
      </c>
    </row>
    <row r="28" hidden="1">
      <c r="A28" s="13" t="s">
        <v>175</v>
      </c>
      <c r="B28" s="13" t="s">
        <v>176</v>
      </c>
      <c r="C28" s="14">
        <v>61.0</v>
      </c>
      <c r="D28" s="13" t="s">
        <v>69</v>
      </c>
      <c r="E28" s="13" t="s">
        <v>177</v>
      </c>
      <c r="F28" s="13" t="s">
        <v>62</v>
      </c>
      <c r="G28" s="13" t="s">
        <v>52</v>
      </c>
      <c r="H28" s="16">
        <v>45238.0</v>
      </c>
      <c r="I28" s="14">
        <v>40.0</v>
      </c>
      <c r="J28" s="13" t="s">
        <v>53</v>
      </c>
      <c r="K28" s="13" t="s">
        <v>65</v>
      </c>
      <c r="L28" s="14">
        <v>562.0</v>
      </c>
      <c r="M28" s="18" t="s">
        <v>46</v>
      </c>
      <c r="N28" s="20">
        <v>0.0</v>
      </c>
      <c r="O28" s="18">
        <v>19.8</v>
      </c>
      <c r="P28" s="20">
        <v>4.5</v>
      </c>
      <c r="Q28" s="16">
        <v>45863.0</v>
      </c>
      <c r="R28" s="16" t="s">
        <v>38</v>
      </c>
      <c r="S28" s="13" t="s">
        <v>55</v>
      </c>
      <c r="T28" s="13" t="s">
        <v>75</v>
      </c>
      <c r="U28" s="13" t="str">
        <f t="shared" si="1"/>
        <v>Moderate</v>
      </c>
      <c r="V28" s="13" t="str">
        <f t="shared" si="2"/>
        <v>Below Median</v>
      </c>
      <c r="W28" s="13" t="str">
        <f t="shared" si="3"/>
        <v>25–48 Months</v>
      </c>
    </row>
    <row r="29" hidden="1">
      <c r="A29" s="13" t="s">
        <v>178</v>
      </c>
      <c r="B29" s="13" t="s">
        <v>179</v>
      </c>
      <c r="C29" s="14">
        <v>38.0</v>
      </c>
      <c r="D29" s="13" t="s">
        <v>60</v>
      </c>
      <c r="E29" s="13" t="s">
        <v>97</v>
      </c>
      <c r="F29" s="13" t="s">
        <v>62</v>
      </c>
      <c r="G29" s="13" t="s">
        <v>52</v>
      </c>
      <c r="H29" s="16">
        <v>45338.0</v>
      </c>
      <c r="I29" s="14">
        <v>44.0</v>
      </c>
      <c r="J29" s="13" t="s">
        <v>53</v>
      </c>
      <c r="K29" s="13" t="s">
        <v>41</v>
      </c>
      <c r="L29" s="14">
        <v>588.0</v>
      </c>
      <c r="M29" s="18" t="s">
        <v>43</v>
      </c>
      <c r="N29" s="20">
        <v>1.0</v>
      </c>
      <c r="O29" s="18">
        <v>19.4</v>
      </c>
      <c r="P29" s="20">
        <v>2.6</v>
      </c>
      <c r="Q29" s="16">
        <v>45964.0</v>
      </c>
      <c r="R29" s="16" t="s">
        <v>182</v>
      </c>
      <c r="S29" s="13" t="s">
        <v>45</v>
      </c>
      <c r="T29" s="13" t="s">
        <v>75</v>
      </c>
      <c r="U29" s="13" t="str">
        <f t="shared" si="1"/>
        <v>Low</v>
      </c>
      <c r="V29" s="13" t="str">
        <f t="shared" si="2"/>
        <v>Below Median</v>
      </c>
      <c r="W29" s="13" t="str">
        <f t="shared" si="3"/>
        <v>25–48 Months</v>
      </c>
    </row>
    <row r="30" hidden="1">
      <c r="A30" s="13" t="s">
        <v>183</v>
      </c>
      <c r="B30" s="13" t="s">
        <v>184</v>
      </c>
      <c r="C30" s="14">
        <v>24.0</v>
      </c>
      <c r="D30" s="13" t="s">
        <v>60</v>
      </c>
      <c r="E30" s="13" t="s">
        <v>133</v>
      </c>
      <c r="F30" s="13" t="s">
        <v>62</v>
      </c>
      <c r="G30" s="13" t="s">
        <v>52</v>
      </c>
      <c r="H30" s="16">
        <v>44999.0</v>
      </c>
      <c r="I30" s="14">
        <v>33.0</v>
      </c>
      <c r="J30" s="13" t="s">
        <v>53</v>
      </c>
      <c r="K30" s="13" t="s">
        <v>81</v>
      </c>
      <c r="L30" s="14">
        <v>875.0</v>
      </c>
      <c r="M30" s="18" t="s">
        <v>99</v>
      </c>
      <c r="N30" s="20">
        <v>0.0</v>
      </c>
      <c r="O30" s="18">
        <v>27.3</v>
      </c>
      <c r="P30" s="20">
        <v>3.0</v>
      </c>
      <c r="Q30" s="16">
        <v>45095.0</v>
      </c>
      <c r="R30" s="16" t="s">
        <v>38</v>
      </c>
      <c r="S30" s="13" t="s">
        <v>55</v>
      </c>
      <c r="T30" s="13" t="s">
        <v>72</v>
      </c>
      <c r="U30" s="13" t="str">
        <f t="shared" si="1"/>
        <v>Moderate</v>
      </c>
      <c r="V30" s="13" t="str">
        <f t="shared" si="2"/>
        <v>Median or Above</v>
      </c>
      <c r="W30" s="13" t="str">
        <f t="shared" si="3"/>
        <v>25–48 Months</v>
      </c>
    </row>
    <row r="31" hidden="1">
      <c r="A31" s="13" t="s">
        <v>186</v>
      </c>
      <c r="B31" s="13" t="s">
        <v>118</v>
      </c>
      <c r="C31" s="14">
        <v>44.0</v>
      </c>
      <c r="D31" s="13" t="s">
        <v>69</v>
      </c>
      <c r="E31" s="13" t="s">
        <v>187</v>
      </c>
      <c r="F31" s="13" t="s">
        <v>62</v>
      </c>
      <c r="G31" s="13" t="s">
        <v>39</v>
      </c>
      <c r="H31" s="16">
        <v>45535.0</v>
      </c>
      <c r="I31" s="14">
        <v>40.0</v>
      </c>
      <c r="J31" s="13" t="s">
        <v>40</v>
      </c>
      <c r="K31" s="13" t="s">
        <v>41</v>
      </c>
      <c r="L31" s="14">
        <v>536.0</v>
      </c>
      <c r="M31" s="18" t="s">
        <v>173</v>
      </c>
      <c r="N31" s="20">
        <v>1.0</v>
      </c>
      <c r="O31" s="18">
        <v>10.9</v>
      </c>
      <c r="P31" s="20">
        <v>3.0</v>
      </c>
      <c r="Q31" s="16">
        <v>46723.0</v>
      </c>
      <c r="R31" s="16">
        <v>45699.0</v>
      </c>
      <c r="S31" s="13" t="s">
        <v>45</v>
      </c>
      <c r="T31" s="13" t="s">
        <v>104</v>
      </c>
      <c r="U31" s="13" t="str">
        <f t="shared" si="1"/>
        <v>Moderate</v>
      </c>
      <c r="V31" s="13" t="str">
        <f t="shared" si="2"/>
        <v>Below Median</v>
      </c>
      <c r="W31" s="13" t="str">
        <f t="shared" si="3"/>
        <v>25–48 Months</v>
      </c>
    </row>
    <row r="32" hidden="1">
      <c r="A32" s="13" t="s">
        <v>189</v>
      </c>
      <c r="B32" s="13" t="s">
        <v>190</v>
      </c>
      <c r="C32" s="14">
        <v>48.0</v>
      </c>
      <c r="D32" s="13" t="s">
        <v>35</v>
      </c>
      <c r="E32" s="13" t="s">
        <v>140</v>
      </c>
      <c r="F32" s="13" t="s">
        <v>62</v>
      </c>
      <c r="G32" s="13" t="s">
        <v>128</v>
      </c>
      <c r="H32" s="16">
        <v>45987.0</v>
      </c>
      <c r="I32" s="14">
        <v>34.0</v>
      </c>
      <c r="J32" s="13" t="s">
        <v>64</v>
      </c>
      <c r="K32" s="13" t="s">
        <v>81</v>
      </c>
      <c r="L32" s="14">
        <v>784.0</v>
      </c>
      <c r="M32" s="18" t="s">
        <v>98</v>
      </c>
      <c r="N32" s="20">
        <v>1.0</v>
      </c>
      <c r="O32" s="18">
        <v>23.0</v>
      </c>
      <c r="P32" s="20">
        <v>2.9</v>
      </c>
      <c r="Q32" s="16">
        <v>46245.0</v>
      </c>
      <c r="R32" s="16" t="s">
        <v>38</v>
      </c>
      <c r="S32" s="13" t="s">
        <v>55</v>
      </c>
      <c r="T32" s="13" t="s">
        <v>66</v>
      </c>
      <c r="U32" s="13" t="str">
        <f t="shared" si="1"/>
        <v>Low</v>
      </c>
      <c r="V32" s="13" t="str">
        <f t="shared" si="2"/>
        <v>Below Median</v>
      </c>
      <c r="W32" s="13" t="str">
        <f t="shared" si="3"/>
        <v>25–48 Months</v>
      </c>
    </row>
    <row r="33" hidden="1">
      <c r="A33" s="13" t="s">
        <v>191</v>
      </c>
      <c r="B33" s="13" t="s">
        <v>110</v>
      </c>
      <c r="C33" s="14">
        <v>35.0</v>
      </c>
      <c r="D33" s="13" t="s">
        <v>60</v>
      </c>
      <c r="E33" s="13" t="s">
        <v>133</v>
      </c>
      <c r="F33" s="13" t="s">
        <v>37</v>
      </c>
      <c r="G33" s="13" t="s">
        <v>52</v>
      </c>
      <c r="H33" s="16">
        <v>45595.0</v>
      </c>
      <c r="I33" s="14">
        <v>28.0</v>
      </c>
      <c r="J33" s="13" t="s">
        <v>40</v>
      </c>
      <c r="K33" s="13" t="s">
        <v>81</v>
      </c>
      <c r="L33" s="14">
        <v>1455.0</v>
      </c>
      <c r="M33" s="18" t="s">
        <v>46</v>
      </c>
      <c r="N33" s="20">
        <v>4.0</v>
      </c>
      <c r="O33" s="18">
        <v>26.2</v>
      </c>
      <c r="P33" s="20">
        <v>4.3</v>
      </c>
      <c r="Q33" s="16">
        <v>45767.0</v>
      </c>
      <c r="R33" s="16" t="s">
        <v>195</v>
      </c>
      <c r="S33" s="13" t="s">
        <v>45</v>
      </c>
      <c r="T33" s="13" t="s">
        <v>72</v>
      </c>
      <c r="U33" s="13" t="str">
        <f t="shared" si="1"/>
        <v>Moderate</v>
      </c>
      <c r="V33" s="13" t="str">
        <f t="shared" si="2"/>
        <v>Median or Above</v>
      </c>
      <c r="W33" s="13" t="str">
        <f t="shared" si="3"/>
        <v>25–48 Months</v>
      </c>
    </row>
    <row r="34" hidden="1">
      <c r="A34" s="13" t="s">
        <v>196</v>
      </c>
      <c r="B34" s="13" t="s">
        <v>160</v>
      </c>
      <c r="C34" s="14">
        <v>43.0</v>
      </c>
      <c r="D34" s="13" t="s">
        <v>85</v>
      </c>
      <c r="E34" s="13" t="s">
        <v>111</v>
      </c>
      <c r="F34" s="13" t="s">
        <v>62</v>
      </c>
      <c r="G34" s="13" t="s">
        <v>63</v>
      </c>
      <c r="H34" s="16">
        <v>45147.0</v>
      </c>
      <c r="I34" s="14">
        <v>16.0</v>
      </c>
      <c r="J34" s="13" t="s">
        <v>64</v>
      </c>
      <c r="K34" s="13" t="s">
        <v>41</v>
      </c>
      <c r="L34" s="14">
        <v>662.0</v>
      </c>
      <c r="M34" s="18" t="s">
        <v>43</v>
      </c>
      <c r="N34" s="20">
        <v>2.0</v>
      </c>
      <c r="O34" s="18">
        <v>11.2</v>
      </c>
      <c r="P34" s="20">
        <v>2.3</v>
      </c>
      <c r="Q34" s="16">
        <v>45227.0</v>
      </c>
      <c r="R34" s="16" t="s">
        <v>38</v>
      </c>
      <c r="S34" s="13" t="s">
        <v>55</v>
      </c>
      <c r="T34" s="13" t="s">
        <v>47</v>
      </c>
      <c r="U34" s="13" t="str">
        <f t="shared" si="1"/>
        <v>Low</v>
      </c>
      <c r="V34" s="13" t="str">
        <f t="shared" si="2"/>
        <v>Below Median</v>
      </c>
      <c r="W34" s="13" t="str">
        <f t="shared" si="3"/>
        <v>13–24 Months</v>
      </c>
    </row>
    <row r="35" hidden="1">
      <c r="A35" s="13" t="s">
        <v>197</v>
      </c>
      <c r="B35" s="13" t="s">
        <v>34</v>
      </c>
      <c r="C35" s="14">
        <v>49.0</v>
      </c>
      <c r="D35" s="13" t="s">
        <v>85</v>
      </c>
      <c r="E35" s="13" t="s">
        <v>87</v>
      </c>
      <c r="F35" s="13" t="s">
        <v>62</v>
      </c>
      <c r="G35" s="13" t="s">
        <v>120</v>
      </c>
      <c r="H35" s="16">
        <v>45413.0</v>
      </c>
      <c r="I35" s="14">
        <v>4.0</v>
      </c>
      <c r="J35" s="13" t="s">
        <v>40</v>
      </c>
      <c r="K35" s="13" t="s">
        <v>65</v>
      </c>
      <c r="L35" s="14">
        <v>714.0</v>
      </c>
      <c r="M35" s="18" t="s">
        <v>43</v>
      </c>
      <c r="N35" s="20">
        <v>2.0</v>
      </c>
      <c r="O35" s="18">
        <v>10.9</v>
      </c>
      <c r="P35" s="20">
        <v>3.8</v>
      </c>
      <c r="Q35" s="16">
        <v>45428.0</v>
      </c>
      <c r="R35" s="16" t="s">
        <v>38</v>
      </c>
      <c r="S35" s="13" t="s">
        <v>55</v>
      </c>
      <c r="T35" s="13" t="s">
        <v>72</v>
      </c>
      <c r="U35" s="13" t="str">
        <f t="shared" si="1"/>
        <v>Moderate</v>
      </c>
      <c r="V35" s="13" t="str">
        <f t="shared" si="2"/>
        <v>Below Median</v>
      </c>
      <c r="W35" s="13" t="str">
        <f t="shared" si="3"/>
        <v>0–12 Months</v>
      </c>
    </row>
    <row r="36" hidden="1">
      <c r="A36" s="13" t="s">
        <v>201</v>
      </c>
      <c r="B36" s="13" t="s">
        <v>202</v>
      </c>
      <c r="C36" s="14">
        <v>40.0</v>
      </c>
      <c r="D36" s="13" t="s">
        <v>85</v>
      </c>
      <c r="E36" s="13" t="s">
        <v>87</v>
      </c>
      <c r="F36" s="13" t="s">
        <v>37</v>
      </c>
      <c r="G36" s="13" t="s">
        <v>52</v>
      </c>
      <c r="H36" s="16">
        <v>45680.0</v>
      </c>
      <c r="I36" s="14">
        <v>39.0</v>
      </c>
      <c r="J36" s="13" t="s">
        <v>64</v>
      </c>
      <c r="K36" s="13" t="s">
        <v>81</v>
      </c>
      <c r="L36" s="14">
        <v>1223.0</v>
      </c>
      <c r="M36" s="18" t="s">
        <v>98</v>
      </c>
      <c r="N36" s="20">
        <v>4.0</v>
      </c>
      <c r="O36" s="18">
        <v>36.7</v>
      </c>
      <c r="P36" s="20">
        <v>4.6</v>
      </c>
      <c r="Q36" s="16">
        <v>46582.0</v>
      </c>
      <c r="R36" s="16" t="s">
        <v>204</v>
      </c>
      <c r="S36" s="13" t="s">
        <v>45</v>
      </c>
      <c r="T36" s="13" t="s">
        <v>75</v>
      </c>
      <c r="U36" s="13" t="str">
        <f t="shared" si="1"/>
        <v>Moderate</v>
      </c>
      <c r="V36" s="13" t="str">
        <f t="shared" si="2"/>
        <v>Median or Above</v>
      </c>
      <c r="W36" s="13" t="str">
        <f t="shared" si="3"/>
        <v>25–48 Months</v>
      </c>
    </row>
    <row r="37" hidden="1">
      <c r="A37" s="13" t="s">
        <v>205</v>
      </c>
      <c r="B37" s="13" t="s">
        <v>206</v>
      </c>
      <c r="C37" s="14">
        <v>48.0</v>
      </c>
      <c r="D37" s="13" t="s">
        <v>69</v>
      </c>
      <c r="E37" s="13" t="s">
        <v>119</v>
      </c>
      <c r="F37" s="13" t="s">
        <v>79</v>
      </c>
      <c r="G37" s="13" t="s">
        <v>80</v>
      </c>
      <c r="H37" s="16">
        <v>45655.0</v>
      </c>
      <c r="I37" s="14">
        <v>2.0</v>
      </c>
      <c r="J37" s="13" t="s">
        <v>40</v>
      </c>
      <c r="K37" s="13" t="s">
        <v>41</v>
      </c>
      <c r="L37" s="14">
        <v>3356.0</v>
      </c>
      <c r="M37" s="18" t="s">
        <v>99</v>
      </c>
      <c r="N37" s="20">
        <v>1.0</v>
      </c>
      <c r="O37" s="18">
        <v>49.5</v>
      </c>
      <c r="P37" s="20">
        <v>3.7</v>
      </c>
      <c r="Q37" s="16">
        <v>45668.0</v>
      </c>
      <c r="R37" s="16">
        <v>45690.0</v>
      </c>
      <c r="S37" s="13" t="s">
        <v>45</v>
      </c>
      <c r="T37" s="13" t="s">
        <v>72</v>
      </c>
      <c r="U37" s="13" t="str">
        <f t="shared" si="1"/>
        <v>Moderate</v>
      </c>
      <c r="V37" s="13" t="str">
        <f t="shared" si="2"/>
        <v>Median or Above</v>
      </c>
      <c r="W37" s="13" t="str">
        <f t="shared" si="3"/>
        <v>0–12 Months</v>
      </c>
    </row>
    <row r="38" hidden="1">
      <c r="A38" s="13" t="s">
        <v>209</v>
      </c>
      <c r="B38" s="13" t="s">
        <v>132</v>
      </c>
      <c r="C38" s="14">
        <v>41.0</v>
      </c>
      <c r="D38" s="13" t="s">
        <v>60</v>
      </c>
      <c r="E38" s="13" t="s">
        <v>97</v>
      </c>
      <c r="F38" s="13" t="s">
        <v>37</v>
      </c>
      <c r="G38" s="13" t="s">
        <v>210</v>
      </c>
      <c r="H38" s="16">
        <v>45338.0</v>
      </c>
      <c r="I38" s="14">
        <v>18.0</v>
      </c>
      <c r="J38" s="13" t="s">
        <v>40</v>
      </c>
      <c r="K38" s="13" t="s">
        <v>81</v>
      </c>
      <c r="L38" s="14">
        <v>1257.0</v>
      </c>
      <c r="M38" s="18" t="s">
        <v>43</v>
      </c>
      <c r="N38" s="20">
        <v>1.0</v>
      </c>
      <c r="O38" s="18">
        <v>24.1</v>
      </c>
      <c r="P38" s="20">
        <v>3.8</v>
      </c>
      <c r="Q38" s="16">
        <v>45431.0</v>
      </c>
      <c r="R38" s="16">
        <v>45968.0</v>
      </c>
      <c r="S38" s="13" t="s">
        <v>45</v>
      </c>
      <c r="T38" s="13" t="s">
        <v>104</v>
      </c>
      <c r="U38" s="13" t="str">
        <f t="shared" si="1"/>
        <v>Moderate</v>
      </c>
      <c r="V38" s="13" t="str">
        <f t="shared" si="2"/>
        <v>Median or Above</v>
      </c>
      <c r="W38" s="13" t="str">
        <f t="shared" si="3"/>
        <v>13–24 Months</v>
      </c>
    </row>
    <row r="39" hidden="1">
      <c r="A39" s="13" t="s">
        <v>212</v>
      </c>
      <c r="B39" s="13" t="s">
        <v>172</v>
      </c>
      <c r="C39" s="14">
        <v>48.0</v>
      </c>
      <c r="D39" s="13" t="s">
        <v>35</v>
      </c>
      <c r="E39" s="13" t="s">
        <v>36</v>
      </c>
      <c r="F39" s="13" t="s">
        <v>79</v>
      </c>
      <c r="G39" s="13" t="s">
        <v>39</v>
      </c>
      <c r="H39" s="16">
        <v>44603.0</v>
      </c>
      <c r="I39" s="14">
        <v>40.0</v>
      </c>
      <c r="J39" s="13" t="s">
        <v>64</v>
      </c>
      <c r="K39" s="13" t="s">
        <v>65</v>
      </c>
      <c r="L39" s="14">
        <v>3370.0</v>
      </c>
      <c r="M39" s="18" t="s">
        <v>43</v>
      </c>
      <c r="N39" s="20">
        <v>1.0</v>
      </c>
      <c r="O39" s="18">
        <v>30.9</v>
      </c>
      <c r="P39" s="20">
        <v>3.4</v>
      </c>
      <c r="Q39" s="16">
        <v>44847.0</v>
      </c>
      <c r="R39" s="16" t="s">
        <v>38</v>
      </c>
      <c r="S39" s="13" t="s">
        <v>55</v>
      </c>
      <c r="T39" s="13" t="s">
        <v>72</v>
      </c>
      <c r="U39" s="13" t="str">
        <f t="shared" si="1"/>
        <v>Moderate</v>
      </c>
      <c r="V39" s="13" t="str">
        <f t="shared" si="2"/>
        <v>Median or Above</v>
      </c>
      <c r="W39" s="13" t="str">
        <f t="shared" si="3"/>
        <v>25–48 Months</v>
      </c>
    </row>
    <row r="40" hidden="1">
      <c r="A40" s="13" t="s">
        <v>214</v>
      </c>
      <c r="B40" s="13" t="s">
        <v>215</v>
      </c>
      <c r="C40" s="14">
        <v>56.0</v>
      </c>
      <c r="D40" s="13" t="s">
        <v>35</v>
      </c>
      <c r="E40" s="13" t="s">
        <v>51</v>
      </c>
      <c r="F40" s="13" t="s">
        <v>79</v>
      </c>
      <c r="G40" s="13" t="s">
        <v>63</v>
      </c>
      <c r="H40" s="16">
        <v>45747.0</v>
      </c>
      <c r="I40" s="14">
        <v>2.0</v>
      </c>
      <c r="J40" s="13" t="s">
        <v>64</v>
      </c>
      <c r="K40" s="13" t="s">
        <v>81</v>
      </c>
      <c r="L40" s="14">
        <v>3858.0</v>
      </c>
      <c r="M40" s="18" t="s">
        <v>99</v>
      </c>
      <c r="N40" s="20">
        <v>0.0</v>
      </c>
      <c r="O40" s="18">
        <v>38.4</v>
      </c>
      <c r="P40" s="20">
        <v>3.1</v>
      </c>
      <c r="Q40" s="16">
        <v>45805.0</v>
      </c>
      <c r="R40" s="16" t="s">
        <v>216</v>
      </c>
      <c r="S40" s="13" t="s">
        <v>45</v>
      </c>
      <c r="T40" s="13" t="s">
        <v>47</v>
      </c>
      <c r="U40" s="13" t="str">
        <f t="shared" si="1"/>
        <v>Moderate</v>
      </c>
      <c r="V40" s="13" t="str">
        <f t="shared" si="2"/>
        <v>Median or Above</v>
      </c>
      <c r="W40" s="13" t="str">
        <f t="shared" si="3"/>
        <v>0–12 Months</v>
      </c>
    </row>
    <row r="41" hidden="1">
      <c r="A41" s="13" t="s">
        <v>218</v>
      </c>
      <c r="B41" s="13" t="s">
        <v>74</v>
      </c>
      <c r="C41" s="14">
        <v>45.0</v>
      </c>
      <c r="D41" s="13" t="s">
        <v>60</v>
      </c>
      <c r="E41" s="13" t="s">
        <v>61</v>
      </c>
      <c r="F41" s="13" t="s">
        <v>37</v>
      </c>
      <c r="G41" s="13" t="s">
        <v>80</v>
      </c>
      <c r="H41" s="16">
        <v>44646.0</v>
      </c>
      <c r="I41" s="14">
        <v>23.0</v>
      </c>
      <c r="J41" s="13" t="s">
        <v>53</v>
      </c>
      <c r="K41" s="13" t="s">
        <v>41</v>
      </c>
      <c r="L41" s="14">
        <v>1378.0</v>
      </c>
      <c r="M41" s="18" t="s">
        <v>98</v>
      </c>
      <c r="N41" s="20">
        <v>0.0</v>
      </c>
      <c r="O41" s="18">
        <v>22.7</v>
      </c>
      <c r="P41" s="20">
        <v>4.5</v>
      </c>
      <c r="Q41" s="16">
        <v>45174.0</v>
      </c>
      <c r="R41" s="16" t="s">
        <v>38</v>
      </c>
      <c r="S41" s="13" t="s">
        <v>55</v>
      </c>
      <c r="T41" s="13" t="s">
        <v>75</v>
      </c>
      <c r="U41" s="13" t="str">
        <f t="shared" si="1"/>
        <v>Moderate</v>
      </c>
      <c r="V41" s="13" t="str">
        <f t="shared" si="2"/>
        <v>Below Median</v>
      </c>
      <c r="W41" s="13" t="str">
        <f t="shared" si="3"/>
        <v>13–24 Months</v>
      </c>
    </row>
    <row r="42" hidden="1">
      <c r="A42" s="13" t="s">
        <v>220</v>
      </c>
      <c r="B42" s="13" t="s">
        <v>222</v>
      </c>
      <c r="C42" s="14">
        <v>39.0</v>
      </c>
      <c r="D42" s="13" t="s">
        <v>85</v>
      </c>
      <c r="E42" s="13" t="s">
        <v>111</v>
      </c>
      <c r="F42" s="13" t="s">
        <v>62</v>
      </c>
      <c r="G42" s="13" t="s">
        <v>52</v>
      </c>
      <c r="H42" s="16">
        <v>45630.0</v>
      </c>
      <c r="I42" s="14">
        <v>42.0</v>
      </c>
      <c r="J42" s="13" t="s">
        <v>40</v>
      </c>
      <c r="K42" s="13" t="s">
        <v>41</v>
      </c>
      <c r="L42" s="14">
        <v>774.0</v>
      </c>
      <c r="M42" s="18" t="s">
        <v>98</v>
      </c>
      <c r="N42" s="20">
        <v>0.0</v>
      </c>
      <c r="O42" s="18">
        <v>11.8</v>
      </c>
      <c r="P42" s="20">
        <v>5.0</v>
      </c>
      <c r="Q42" s="16">
        <v>46592.0</v>
      </c>
      <c r="R42" s="16" t="s">
        <v>38</v>
      </c>
      <c r="S42" s="13" t="s">
        <v>55</v>
      </c>
      <c r="T42" s="13" t="s">
        <v>72</v>
      </c>
      <c r="U42" s="13" t="str">
        <f t="shared" si="1"/>
        <v>High</v>
      </c>
      <c r="V42" s="13" t="str">
        <f t="shared" si="2"/>
        <v>Below Median</v>
      </c>
      <c r="W42" s="13" t="str">
        <f t="shared" si="3"/>
        <v>25–48 Months</v>
      </c>
    </row>
    <row r="43" hidden="1">
      <c r="A43" s="13" t="s">
        <v>223</v>
      </c>
      <c r="B43" s="13" t="s">
        <v>224</v>
      </c>
      <c r="C43" s="14">
        <v>40.0</v>
      </c>
      <c r="D43" s="13" t="s">
        <v>69</v>
      </c>
      <c r="E43" s="13" t="s">
        <v>119</v>
      </c>
      <c r="F43" s="13" t="s">
        <v>37</v>
      </c>
      <c r="G43" s="13" t="s">
        <v>52</v>
      </c>
      <c r="H43" s="16">
        <v>45338.0</v>
      </c>
      <c r="I43" s="14">
        <v>22.0</v>
      </c>
      <c r="J43" s="13" t="s">
        <v>53</v>
      </c>
      <c r="K43" s="13" t="s">
        <v>81</v>
      </c>
      <c r="L43" s="14">
        <v>1185.0</v>
      </c>
      <c r="M43" s="18" t="s">
        <v>164</v>
      </c>
      <c r="N43" s="20">
        <v>1.0</v>
      </c>
      <c r="O43" s="18">
        <v>42.1</v>
      </c>
      <c r="P43" s="20">
        <v>4.1</v>
      </c>
      <c r="Q43" s="16">
        <v>45565.0</v>
      </c>
      <c r="R43" s="16" t="s">
        <v>38</v>
      </c>
      <c r="S43" s="13" t="s">
        <v>55</v>
      </c>
      <c r="T43" s="13" t="s">
        <v>72</v>
      </c>
      <c r="U43" s="13" t="str">
        <f t="shared" si="1"/>
        <v>Moderate</v>
      </c>
      <c r="V43" s="13" t="str">
        <f t="shared" si="2"/>
        <v>Median or Above</v>
      </c>
      <c r="W43" s="13" t="str">
        <f t="shared" si="3"/>
        <v>13–24 Months</v>
      </c>
    </row>
    <row r="44" hidden="1">
      <c r="A44" s="13" t="s">
        <v>226</v>
      </c>
      <c r="B44" s="13" t="s">
        <v>110</v>
      </c>
      <c r="C44" s="14">
        <v>20.0</v>
      </c>
      <c r="D44" s="13" t="s">
        <v>35</v>
      </c>
      <c r="E44" s="13" t="s">
        <v>51</v>
      </c>
      <c r="F44" s="13" t="s">
        <v>62</v>
      </c>
      <c r="G44" s="13" t="s">
        <v>52</v>
      </c>
      <c r="H44" s="16">
        <v>45394.0</v>
      </c>
      <c r="I44" s="14">
        <v>32.0</v>
      </c>
      <c r="J44" s="13" t="s">
        <v>40</v>
      </c>
      <c r="K44" s="13" t="s">
        <v>65</v>
      </c>
      <c r="L44" s="14">
        <v>622.0</v>
      </c>
      <c r="M44" s="18" t="s">
        <v>43</v>
      </c>
      <c r="N44" s="20">
        <v>0.0</v>
      </c>
      <c r="O44" s="18">
        <v>5.8</v>
      </c>
      <c r="P44" s="20">
        <v>3.3</v>
      </c>
      <c r="Q44" s="16">
        <v>46065.0</v>
      </c>
      <c r="R44" s="16" t="s">
        <v>38</v>
      </c>
      <c r="S44" s="13" t="s">
        <v>55</v>
      </c>
      <c r="T44" s="13" t="s">
        <v>47</v>
      </c>
      <c r="U44" s="13" t="str">
        <f t="shared" si="1"/>
        <v>Moderate</v>
      </c>
      <c r="V44" s="13" t="str">
        <f t="shared" si="2"/>
        <v>Below Median</v>
      </c>
      <c r="W44" s="13" t="str">
        <f t="shared" si="3"/>
        <v>25–48 Months</v>
      </c>
    </row>
    <row r="45">
      <c r="A45" s="13" t="s">
        <v>228</v>
      </c>
      <c r="B45" s="13" t="s">
        <v>229</v>
      </c>
      <c r="C45" s="14">
        <v>36.0</v>
      </c>
      <c r="D45" s="13" t="s">
        <v>69</v>
      </c>
      <c r="E45" s="13" t="s">
        <v>177</v>
      </c>
      <c r="F45" s="13" t="s">
        <v>37</v>
      </c>
      <c r="G45" s="13" t="s">
        <v>210</v>
      </c>
      <c r="H45" s="16">
        <v>45531.0</v>
      </c>
      <c r="I45" s="14">
        <v>36.0</v>
      </c>
      <c r="J45" s="13" t="s">
        <v>53</v>
      </c>
      <c r="K45" s="13" t="s">
        <v>65</v>
      </c>
      <c r="L45" s="14">
        <v>1762.0</v>
      </c>
      <c r="M45" s="18" t="s">
        <v>98</v>
      </c>
      <c r="N45" s="20">
        <v>1.0</v>
      </c>
      <c r="O45" s="18">
        <v>31.6</v>
      </c>
      <c r="P45" s="20">
        <v>4.4</v>
      </c>
      <c r="Q45" s="16">
        <v>46218.0</v>
      </c>
      <c r="R45" s="16" t="s">
        <v>38</v>
      </c>
      <c r="S45" s="13" t="s">
        <v>230</v>
      </c>
      <c r="T45" s="13" t="s">
        <v>47</v>
      </c>
      <c r="U45" s="13" t="str">
        <f t="shared" si="1"/>
        <v>Moderate</v>
      </c>
      <c r="V45" s="13" t="str">
        <f t="shared" si="2"/>
        <v>Median or Above</v>
      </c>
      <c r="W45" s="13" t="str">
        <f t="shared" si="3"/>
        <v>25–48 Months</v>
      </c>
    </row>
    <row r="46" hidden="1">
      <c r="A46" s="13" t="s">
        <v>231</v>
      </c>
      <c r="B46" s="13" t="s">
        <v>232</v>
      </c>
      <c r="C46" s="14">
        <v>25.0</v>
      </c>
      <c r="D46" s="13" t="s">
        <v>69</v>
      </c>
      <c r="E46" s="13" t="s">
        <v>177</v>
      </c>
      <c r="F46" s="13" t="s">
        <v>62</v>
      </c>
      <c r="G46" s="13" t="s">
        <v>80</v>
      </c>
      <c r="H46" s="16">
        <v>45975.0</v>
      </c>
      <c r="I46" s="14">
        <v>12.0</v>
      </c>
      <c r="J46" s="13" t="s">
        <v>40</v>
      </c>
      <c r="K46" s="13" t="s">
        <v>81</v>
      </c>
      <c r="L46" s="14">
        <v>877.0</v>
      </c>
      <c r="M46" s="18" t="s">
        <v>164</v>
      </c>
      <c r="N46" s="20">
        <v>1.0</v>
      </c>
      <c r="O46" s="18">
        <v>16.0</v>
      </c>
      <c r="P46" s="20">
        <v>2.6</v>
      </c>
      <c r="Q46" s="16">
        <v>46355.0</v>
      </c>
      <c r="R46" s="16" t="s">
        <v>38</v>
      </c>
      <c r="S46" s="13" t="s">
        <v>55</v>
      </c>
      <c r="T46" s="13" t="s">
        <v>47</v>
      </c>
      <c r="U46" s="13" t="str">
        <f t="shared" si="1"/>
        <v>Low</v>
      </c>
      <c r="V46" s="13" t="str">
        <f t="shared" si="2"/>
        <v>Below Median</v>
      </c>
      <c r="W46" s="13" t="str">
        <f t="shared" si="3"/>
        <v>0–12 Months</v>
      </c>
    </row>
    <row r="47" hidden="1">
      <c r="A47" s="13" t="s">
        <v>234</v>
      </c>
      <c r="B47" s="13" t="s">
        <v>235</v>
      </c>
      <c r="C47" s="14">
        <v>19.0</v>
      </c>
      <c r="D47" s="13" t="s">
        <v>69</v>
      </c>
      <c r="E47" s="13" t="s">
        <v>177</v>
      </c>
      <c r="F47" s="13" t="s">
        <v>62</v>
      </c>
      <c r="G47" s="13" t="s">
        <v>80</v>
      </c>
      <c r="H47" s="16">
        <v>44821.0</v>
      </c>
      <c r="I47" s="14">
        <v>18.0</v>
      </c>
      <c r="J47" s="13" t="s">
        <v>64</v>
      </c>
      <c r="K47" s="13" t="s">
        <v>65</v>
      </c>
      <c r="L47" s="14">
        <v>526.0</v>
      </c>
      <c r="M47" s="18" t="s">
        <v>98</v>
      </c>
      <c r="N47" s="20">
        <v>0.0</v>
      </c>
      <c r="O47" s="18">
        <v>27.3</v>
      </c>
      <c r="P47" s="20">
        <v>3.7</v>
      </c>
      <c r="Q47" s="16">
        <v>44960.0</v>
      </c>
      <c r="R47" s="16" t="s">
        <v>38</v>
      </c>
      <c r="S47" s="13" t="s">
        <v>55</v>
      </c>
      <c r="T47" s="13" t="s">
        <v>75</v>
      </c>
      <c r="U47" s="13" t="str">
        <f t="shared" si="1"/>
        <v>Moderate</v>
      </c>
      <c r="V47" s="13" t="str">
        <f t="shared" si="2"/>
        <v>Median or Above</v>
      </c>
      <c r="W47" s="13" t="str">
        <f t="shared" si="3"/>
        <v>13–24 Months</v>
      </c>
    </row>
    <row r="48" hidden="1">
      <c r="A48" s="13" t="s">
        <v>318</v>
      </c>
      <c r="B48" s="13" t="s">
        <v>239</v>
      </c>
      <c r="C48" s="14">
        <v>28.0</v>
      </c>
      <c r="D48" s="13" t="s">
        <v>85</v>
      </c>
      <c r="E48" s="13" t="s">
        <v>92</v>
      </c>
      <c r="F48" s="13" t="s">
        <v>62</v>
      </c>
      <c r="G48" s="13" t="s">
        <v>63</v>
      </c>
      <c r="H48" s="16">
        <v>45079.0</v>
      </c>
      <c r="I48" s="14">
        <v>31.0</v>
      </c>
      <c r="J48" s="13" t="s">
        <v>40</v>
      </c>
      <c r="K48" s="13" t="s">
        <v>81</v>
      </c>
      <c r="L48" s="14">
        <v>532.0</v>
      </c>
      <c r="M48" s="18" t="s">
        <v>164</v>
      </c>
      <c r="N48" s="20">
        <v>1.0</v>
      </c>
      <c r="O48" s="18">
        <v>16.4</v>
      </c>
      <c r="P48" s="20">
        <v>3.8</v>
      </c>
      <c r="Q48" s="16">
        <v>45164.0</v>
      </c>
      <c r="R48" s="16" t="s">
        <v>38</v>
      </c>
      <c r="S48" s="13" t="s">
        <v>55</v>
      </c>
      <c r="T48" s="13" t="s">
        <v>72</v>
      </c>
      <c r="U48" s="13" t="str">
        <f t="shared" si="1"/>
        <v>Moderate</v>
      </c>
      <c r="V48" s="13" t="str">
        <f t="shared" si="2"/>
        <v>Below Median</v>
      </c>
      <c r="W48" s="13" t="str">
        <f t="shared" si="3"/>
        <v>25–48 Months</v>
      </c>
    </row>
    <row r="49" hidden="1">
      <c r="A49" s="13" t="s">
        <v>240</v>
      </c>
      <c r="B49" s="13" t="s">
        <v>241</v>
      </c>
      <c r="C49" s="14">
        <v>56.0</v>
      </c>
      <c r="D49" s="13" t="s">
        <v>69</v>
      </c>
      <c r="E49" s="13" t="s">
        <v>70</v>
      </c>
      <c r="F49" s="13" t="s">
        <v>37</v>
      </c>
      <c r="G49" s="13" t="s">
        <v>120</v>
      </c>
      <c r="H49" s="16">
        <v>45803.0</v>
      </c>
      <c r="I49" s="14">
        <v>39.0</v>
      </c>
      <c r="J49" s="13" t="s">
        <v>53</v>
      </c>
      <c r="K49" s="13" t="s">
        <v>65</v>
      </c>
      <c r="L49" s="14">
        <v>1793.0</v>
      </c>
      <c r="M49" s="18" t="s">
        <v>164</v>
      </c>
      <c r="N49" s="20">
        <v>0.0</v>
      </c>
      <c r="O49" s="18">
        <v>33.5</v>
      </c>
      <c r="P49" s="20">
        <v>3.8</v>
      </c>
      <c r="Q49" s="16">
        <v>46592.0</v>
      </c>
      <c r="R49" s="16">
        <v>46813.0</v>
      </c>
      <c r="S49" s="13" t="s">
        <v>45</v>
      </c>
      <c r="T49" s="13" t="s">
        <v>66</v>
      </c>
      <c r="U49" s="13" t="str">
        <f t="shared" si="1"/>
        <v>Moderate</v>
      </c>
      <c r="V49" s="13" t="str">
        <f t="shared" si="2"/>
        <v>Median or Above</v>
      </c>
      <c r="W49" s="13" t="str">
        <f t="shared" si="3"/>
        <v>25–48 Months</v>
      </c>
    </row>
    <row r="50" hidden="1">
      <c r="A50" s="13" t="s">
        <v>245</v>
      </c>
      <c r="B50" s="13" t="s">
        <v>247</v>
      </c>
      <c r="C50" s="14">
        <v>29.0</v>
      </c>
      <c r="D50" s="13" t="s">
        <v>35</v>
      </c>
      <c r="E50" s="13" t="s">
        <v>36</v>
      </c>
      <c r="F50" s="13" t="s">
        <v>79</v>
      </c>
      <c r="G50" s="13" t="s">
        <v>39</v>
      </c>
      <c r="H50" s="16">
        <v>45843.0</v>
      </c>
      <c r="I50" s="14">
        <v>14.0</v>
      </c>
      <c r="J50" s="13" t="s">
        <v>40</v>
      </c>
      <c r="K50" s="13" t="s">
        <v>65</v>
      </c>
      <c r="L50" s="14">
        <v>2490.0</v>
      </c>
      <c r="M50" s="18" t="s">
        <v>46</v>
      </c>
      <c r="N50" s="20">
        <v>0.0</v>
      </c>
      <c r="O50" s="18">
        <v>40.2</v>
      </c>
      <c r="P50" s="20">
        <v>3.1</v>
      </c>
      <c r="Q50" s="16">
        <v>45941.0</v>
      </c>
      <c r="R50" s="16" t="s">
        <v>38</v>
      </c>
      <c r="S50" s="13" t="s">
        <v>55</v>
      </c>
      <c r="T50" s="13" t="s">
        <v>75</v>
      </c>
      <c r="U50" s="13" t="str">
        <f t="shared" si="1"/>
        <v>Moderate</v>
      </c>
      <c r="V50" s="13" t="str">
        <f t="shared" si="2"/>
        <v>Median or Above</v>
      </c>
      <c r="W50" s="13" t="str">
        <f t="shared" si="3"/>
        <v>13–24 Months</v>
      </c>
    </row>
    <row r="51" hidden="1">
      <c r="A51" s="13" t="s">
        <v>249</v>
      </c>
      <c r="B51" s="13" t="s">
        <v>250</v>
      </c>
      <c r="C51" s="14">
        <v>46.0</v>
      </c>
      <c r="D51" s="13" t="s">
        <v>85</v>
      </c>
      <c r="E51" s="13" t="s">
        <v>92</v>
      </c>
      <c r="F51" s="13" t="s">
        <v>62</v>
      </c>
      <c r="G51" s="13" t="s">
        <v>210</v>
      </c>
      <c r="H51" s="16">
        <v>46009.0</v>
      </c>
      <c r="I51" s="14">
        <v>19.0</v>
      </c>
      <c r="J51" s="13" t="s">
        <v>40</v>
      </c>
      <c r="K51" s="13" t="s">
        <v>81</v>
      </c>
      <c r="L51" s="14">
        <v>731.0</v>
      </c>
      <c r="M51" s="18" t="s">
        <v>46</v>
      </c>
      <c r="N51" s="20">
        <v>3.0</v>
      </c>
      <c r="O51" s="18">
        <v>13.3</v>
      </c>
      <c r="P51" s="20">
        <v>4.5</v>
      </c>
      <c r="Q51" s="16">
        <v>46258.0</v>
      </c>
      <c r="R51" s="16" t="s">
        <v>38</v>
      </c>
      <c r="S51" s="13" t="s">
        <v>55</v>
      </c>
      <c r="T51" s="13" t="s">
        <v>47</v>
      </c>
      <c r="U51" s="13" t="str">
        <f t="shared" si="1"/>
        <v>Moderate</v>
      </c>
      <c r="V51" s="13" t="str">
        <f t="shared" si="2"/>
        <v>Below Median</v>
      </c>
      <c r="W51" s="13" t="str">
        <f t="shared" si="3"/>
        <v>13–24 Months</v>
      </c>
    </row>
    <row r="52" hidden="1">
      <c r="A52" s="13" t="s">
        <v>251</v>
      </c>
      <c r="B52" s="13" t="s">
        <v>235</v>
      </c>
      <c r="C52" s="14">
        <v>48.0</v>
      </c>
      <c r="D52" s="13" t="s">
        <v>69</v>
      </c>
      <c r="E52" s="13" t="s">
        <v>177</v>
      </c>
      <c r="F52" s="13" t="s">
        <v>37</v>
      </c>
      <c r="G52" s="13" t="s">
        <v>63</v>
      </c>
      <c r="H52" s="16">
        <v>44684.0</v>
      </c>
      <c r="I52" s="14">
        <v>11.0</v>
      </c>
      <c r="J52" s="13" t="s">
        <v>64</v>
      </c>
      <c r="K52" s="13" t="s">
        <v>65</v>
      </c>
      <c r="L52" s="14">
        <v>1765.0</v>
      </c>
      <c r="M52" s="18" t="s">
        <v>98</v>
      </c>
      <c r="N52" s="20">
        <v>2.0</v>
      </c>
      <c r="O52" s="18">
        <v>23.0</v>
      </c>
      <c r="P52" s="20">
        <v>4.5</v>
      </c>
      <c r="Q52" s="16">
        <v>44985.0</v>
      </c>
      <c r="R52" s="16" t="s">
        <v>252</v>
      </c>
      <c r="S52" s="13" t="s">
        <v>45</v>
      </c>
      <c r="T52" s="13" t="s">
        <v>75</v>
      </c>
      <c r="U52" s="13" t="str">
        <f t="shared" si="1"/>
        <v>Moderate</v>
      </c>
      <c r="V52" s="13" t="str">
        <f t="shared" si="2"/>
        <v>Below Median</v>
      </c>
      <c r="W52" s="13" t="str">
        <f t="shared" si="3"/>
        <v>0–12 Months</v>
      </c>
    </row>
    <row r="53" hidden="1">
      <c r="A53" s="13" t="s">
        <v>253</v>
      </c>
      <c r="B53" s="13" t="s">
        <v>239</v>
      </c>
      <c r="C53" s="14">
        <v>67.0</v>
      </c>
      <c r="D53" s="13" t="s">
        <v>85</v>
      </c>
      <c r="E53" s="13" t="s">
        <v>87</v>
      </c>
      <c r="F53" s="13" t="s">
        <v>62</v>
      </c>
      <c r="G53" s="13" t="s">
        <v>63</v>
      </c>
      <c r="H53" s="16">
        <v>45446.0</v>
      </c>
      <c r="I53" s="14">
        <v>48.0</v>
      </c>
      <c r="J53" s="13" t="s">
        <v>64</v>
      </c>
      <c r="K53" s="13" t="s">
        <v>65</v>
      </c>
      <c r="L53" s="14">
        <v>627.0</v>
      </c>
      <c r="M53" s="18" t="s">
        <v>164</v>
      </c>
      <c r="N53" s="20">
        <v>2.0</v>
      </c>
      <c r="O53" s="18">
        <v>28.2</v>
      </c>
      <c r="P53" s="20">
        <v>3.2</v>
      </c>
      <c r="Q53" s="16">
        <v>45924.0</v>
      </c>
      <c r="R53" s="16" t="s">
        <v>38</v>
      </c>
      <c r="S53" s="13" t="s">
        <v>55</v>
      </c>
      <c r="T53" s="13" t="s">
        <v>38</v>
      </c>
      <c r="U53" s="13" t="str">
        <f t="shared" si="1"/>
        <v>Moderate</v>
      </c>
      <c r="V53" s="13" t="str">
        <f t="shared" si="2"/>
        <v>Median or Above</v>
      </c>
      <c r="W53" s="13" t="str">
        <f t="shared" si="3"/>
        <v>25–48 Months</v>
      </c>
    </row>
    <row r="54" hidden="1">
      <c r="A54" s="13" t="s">
        <v>256</v>
      </c>
      <c r="B54" s="13" t="s">
        <v>257</v>
      </c>
      <c r="C54" s="14">
        <v>45.0</v>
      </c>
      <c r="D54" s="13" t="s">
        <v>69</v>
      </c>
      <c r="E54" s="13" t="s">
        <v>119</v>
      </c>
      <c r="F54" s="13" t="s">
        <v>37</v>
      </c>
      <c r="G54" s="13" t="s">
        <v>120</v>
      </c>
      <c r="H54" s="16">
        <v>45131.0</v>
      </c>
      <c r="I54" s="14">
        <v>12.0</v>
      </c>
      <c r="J54" s="13" t="s">
        <v>53</v>
      </c>
      <c r="K54" s="13" t="s">
        <v>65</v>
      </c>
      <c r="L54" s="14">
        <v>1649.0</v>
      </c>
      <c r="M54" s="18" t="s">
        <v>164</v>
      </c>
      <c r="N54" s="20">
        <v>0.0</v>
      </c>
      <c r="O54" s="18">
        <v>28.1</v>
      </c>
      <c r="P54" s="20">
        <v>4.5</v>
      </c>
      <c r="Q54" s="16">
        <v>45392.0</v>
      </c>
      <c r="R54" s="16">
        <v>45148.0</v>
      </c>
      <c r="S54" s="13" t="s">
        <v>45</v>
      </c>
      <c r="T54" s="13" t="s">
        <v>104</v>
      </c>
      <c r="U54" s="13" t="str">
        <f t="shared" si="1"/>
        <v>Moderate</v>
      </c>
      <c r="V54" s="13" t="str">
        <f t="shared" si="2"/>
        <v>Median or Above</v>
      </c>
      <c r="W54" s="13" t="str">
        <f t="shared" si="3"/>
        <v>0–12 Months</v>
      </c>
    </row>
    <row r="55" hidden="1">
      <c r="A55" s="13" t="s">
        <v>259</v>
      </c>
      <c r="B55" s="13" t="s">
        <v>184</v>
      </c>
      <c r="C55" s="14">
        <v>26.0</v>
      </c>
      <c r="D55" s="13" t="s">
        <v>60</v>
      </c>
      <c r="E55" s="13" t="s">
        <v>133</v>
      </c>
      <c r="F55" s="13" t="s">
        <v>37</v>
      </c>
      <c r="G55" s="13" t="s">
        <v>210</v>
      </c>
      <c r="H55" s="16">
        <v>45918.0</v>
      </c>
      <c r="I55" s="14">
        <v>26.0</v>
      </c>
      <c r="J55" s="13" t="s">
        <v>53</v>
      </c>
      <c r="K55" s="13" t="s">
        <v>81</v>
      </c>
      <c r="L55" s="14">
        <v>1036.0</v>
      </c>
      <c r="M55" s="18" t="s">
        <v>99</v>
      </c>
      <c r="N55" s="20">
        <v>0.0</v>
      </c>
      <c r="O55" s="18">
        <v>30.6</v>
      </c>
      <c r="P55" s="20">
        <v>3.6</v>
      </c>
      <c r="Q55" s="16">
        <v>46018.0</v>
      </c>
      <c r="R55" s="16">
        <v>46151.0</v>
      </c>
      <c r="S55" s="13" t="s">
        <v>45</v>
      </c>
      <c r="T55" s="13" t="s">
        <v>104</v>
      </c>
      <c r="U55" s="13" t="str">
        <f t="shared" si="1"/>
        <v>Moderate</v>
      </c>
      <c r="V55" s="13" t="str">
        <f t="shared" si="2"/>
        <v>Median or Above</v>
      </c>
      <c r="W55" s="13" t="str">
        <f t="shared" si="3"/>
        <v>25–48 Months</v>
      </c>
    </row>
    <row r="56" hidden="1">
      <c r="A56" s="13" t="s">
        <v>262</v>
      </c>
      <c r="B56" s="13" t="s">
        <v>78</v>
      </c>
      <c r="C56" s="14">
        <v>37.0</v>
      </c>
      <c r="D56" s="13" t="s">
        <v>85</v>
      </c>
      <c r="E56" s="13" t="s">
        <v>87</v>
      </c>
      <c r="F56" s="13" t="s">
        <v>62</v>
      </c>
      <c r="G56" s="13" t="s">
        <v>80</v>
      </c>
      <c r="H56" s="16">
        <v>45302.0</v>
      </c>
      <c r="I56" s="14">
        <v>40.0</v>
      </c>
      <c r="J56" s="13" t="s">
        <v>53</v>
      </c>
      <c r="K56" s="13" t="s">
        <v>81</v>
      </c>
      <c r="L56" s="14">
        <v>819.0</v>
      </c>
      <c r="M56" s="18" t="s">
        <v>43</v>
      </c>
      <c r="N56" s="20">
        <v>1.0</v>
      </c>
      <c r="O56" s="18">
        <v>27.3</v>
      </c>
      <c r="P56" s="20">
        <v>4.4</v>
      </c>
      <c r="Q56" s="16">
        <v>45417.0</v>
      </c>
      <c r="R56" s="16">
        <v>45661.0</v>
      </c>
      <c r="S56" s="13" t="s">
        <v>45</v>
      </c>
      <c r="T56" s="13" t="s">
        <v>75</v>
      </c>
      <c r="U56" s="13" t="str">
        <f t="shared" si="1"/>
        <v>Moderate</v>
      </c>
      <c r="V56" s="13" t="str">
        <f t="shared" si="2"/>
        <v>Median or Above</v>
      </c>
      <c r="W56" s="13" t="str">
        <f t="shared" si="3"/>
        <v>25–48 Months</v>
      </c>
    </row>
    <row r="57" hidden="1">
      <c r="A57" s="13" t="s">
        <v>265</v>
      </c>
      <c r="B57" s="13" t="s">
        <v>235</v>
      </c>
      <c r="C57" s="14">
        <v>60.0</v>
      </c>
      <c r="D57" s="13" t="s">
        <v>85</v>
      </c>
      <c r="E57" s="13" t="s">
        <v>51</v>
      </c>
      <c r="F57" s="13" t="s">
        <v>37</v>
      </c>
      <c r="G57" s="13" t="s">
        <v>210</v>
      </c>
      <c r="H57" s="16">
        <v>45690.0</v>
      </c>
      <c r="I57" s="14">
        <v>1.0</v>
      </c>
      <c r="J57" s="13" t="s">
        <v>40</v>
      </c>
      <c r="K57" s="13" t="s">
        <v>81</v>
      </c>
      <c r="L57" s="14">
        <v>1229.0</v>
      </c>
      <c r="M57" s="18" t="s">
        <v>43</v>
      </c>
      <c r="N57" s="20">
        <v>0.0</v>
      </c>
      <c r="O57" s="18">
        <v>11.3</v>
      </c>
      <c r="P57" s="20">
        <v>5.0</v>
      </c>
      <c r="Q57" s="16">
        <v>45707.0</v>
      </c>
      <c r="R57" s="16" t="s">
        <v>38</v>
      </c>
      <c r="S57" s="13" t="s">
        <v>55</v>
      </c>
      <c r="T57" s="13" t="s">
        <v>72</v>
      </c>
      <c r="U57" s="13" t="str">
        <f t="shared" si="1"/>
        <v>High</v>
      </c>
      <c r="V57" s="13" t="str">
        <f t="shared" si="2"/>
        <v>Below Median</v>
      </c>
      <c r="W57" s="13" t="str">
        <f t="shared" si="3"/>
        <v>0–12 Months</v>
      </c>
    </row>
    <row r="58" hidden="1">
      <c r="A58" s="13" t="s">
        <v>272</v>
      </c>
      <c r="B58" s="13" t="s">
        <v>145</v>
      </c>
      <c r="C58" s="14">
        <v>23.0</v>
      </c>
      <c r="D58" s="13" t="s">
        <v>60</v>
      </c>
      <c r="E58" s="13" t="s">
        <v>38</v>
      </c>
      <c r="F58" s="13" t="s">
        <v>37</v>
      </c>
      <c r="G58" s="13" t="s">
        <v>120</v>
      </c>
      <c r="H58" s="16">
        <v>45061.0</v>
      </c>
      <c r="I58" s="14">
        <v>30.0</v>
      </c>
      <c r="J58" s="13" t="s">
        <v>53</v>
      </c>
      <c r="K58" s="13" t="s">
        <v>65</v>
      </c>
      <c r="L58" s="14">
        <v>1194.0</v>
      </c>
      <c r="M58" s="18" t="s">
        <v>46</v>
      </c>
      <c r="N58" s="20">
        <v>0.0</v>
      </c>
      <c r="O58" s="18">
        <v>32.9</v>
      </c>
      <c r="P58" s="20">
        <v>4.9</v>
      </c>
      <c r="Q58" s="16">
        <v>45684.0</v>
      </c>
      <c r="R58" s="16" t="s">
        <v>38</v>
      </c>
      <c r="S58" s="13" t="s">
        <v>55</v>
      </c>
      <c r="T58" s="13" t="s">
        <v>72</v>
      </c>
      <c r="U58" s="13" t="str">
        <f t="shared" si="1"/>
        <v>Moderate</v>
      </c>
      <c r="V58" s="13" t="str">
        <f t="shared" si="2"/>
        <v>Median or Above</v>
      </c>
      <c r="W58" s="13" t="str">
        <f t="shared" si="3"/>
        <v>25–48 Months</v>
      </c>
    </row>
    <row r="59" hidden="1">
      <c r="A59" s="13" t="s">
        <v>279</v>
      </c>
      <c r="B59" s="13" t="s">
        <v>281</v>
      </c>
      <c r="C59" s="14">
        <v>54.0</v>
      </c>
      <c r="D59" s="13" t="s">
        <v>60</v>
      </c>
      <c r="E59" s="13" t="s">
        <v>61</v>
      </c>
      <c r="F59" s="13" t="s">
        <v>62</v>
      </c>
      <c r="G59" s="13" t="s">
        <v>210</v>
      </c>
      <c r="H59" s="16">
        <v>45764.0</v>
      </c>
      <c r="I59" s="14">
        <v>38.0</v>
      </c>
      <c r="J59" s="13" t="s">
        <v>64</v>
      </c>
      <c r="K59" s="13" t="s">
        <v>65</v>
      </c>
      <c r="L59" s="14">
        <v>749.0</v>
      </c>
      <c r="M59" s="18" t="s">
        <v>43</v>
      </c>
      <c r="N59" s="20">
        <v>0.0</v>
      </c>
      <c r="O59" s="18">
        <v>14.5</v>
      </c>
      <c r="P59" s="20">
        <v>3.9</v>
      </c>
      <c r="Q59" s="16">
        <v>46877.0</v>
      </c>
      <c r="R59" s="16">
        <v>46785.0</v>
      </c>
      <c r="S59" s="13" t="s">
        <v>45</v>
      </c>
      <c r="T59" s="13" t="s">
        <v>75</v>
      </c>
      <c r="U59" s="13" t="str">
        <f t="shared" si="1"/>
        <v>Moderate</v>
      </c>
      <c r="V59" s="13" t="str">
        <f t="shared" si="2"/>
        <v>Below Median</v>
      </c>
      <c r="W59" s="13" t="str">
        <f t="shared" si="3"/>
        <v>25–48 Months</v>
      </c>
    </row>
    <row r="60" hidden="1">
      <c r="A60" s="13" t="s">
        <v>286</v>
      </c>
      <c r="B60" s="13" t="s">
        <v>206</v>
      </c>
      <c r="C60" s="14">
        <v>50.0</v>
      </c>
      <c r="D60" s="13" t="s">
        <v>69</v>
      </c>
      <c r="E60" s="13" t="s">
        <v>187</v>
      </c>
      <c r="F60" s="13" t="s">
        <v>37</v>
      </c>
      <c r="G60" s="13" t="s">
        <v>39</v>
      </c>
      <c r="H60" s="16">
        <v>45403.0</v>
      </c>
      <c r="I60" s="14">
        <v>3.0</v>
      </c>
      <c r="J60" s="13" t="s">
        <v>40</v>
      </c>
      <c r="K60" s="13" t="s">
        <v>41</v>
      </c>
      <c r="L60" s="14">
        <v>1721.0</v>
      </c>
      <c r="M60" s="18" t="s">
        <v>99</v>
      </c>
      <c r="N60" s="20">
        <v>2.0</v>
      </c>
      <c r="O60" s="18">
        <v>37.2</v>
      </c>
      <c r="P60" s="20">
        <v>3.3</v>
      </c>
      <c r="Q60" s="16">
        <v>45461.0</v>
      </c>
      <c r="R60" s="16" t="s">
        <v>38</v>
      </c>
      <c r="S60" s="13" t="s">
        <v>55</v>
      </c>
      <c r="T60" s="13" t="s">
        <v>66</v>
      </c>
      <c r="U60" s="13" t="str">
        <f t="shared" si="1"/>
        <v>Moderate</v>
      </c>
      <c r="V60" s="13" t="str">
        <f t="shared" si="2"/>
        <v>Median or Above</v>
      </c>
      <c r="W60" s="13" t="str">
        <f t="shared" si="3"/>
        <v>0–12 Months</v>
      </c>
    </row>
    <row r="61" hidden="1">
      <c r="A61" s="13" t="s">
        <v>287</v>
      </c>
      <c r="B61" s="13" t="s">
        <v>288</v>
      </c>
      <c r="C61" s="14">
        <v>49.0</v>
      </c>
      <c r="D61" s="13" t="s">
        <v>60</v>
      </c>
      <c r="E61" s="13" t="s">
        <v>61</v>
      </c>
      <c r="F61" s="13" t="s">
        <v>79</v>
      </c>
      <c r="G61" s="13" t="s">
        <v>120</v>
      </c>
      <c r="H61" s="16">
        <v>44766.0</v>
      </c>
      <c r="I61" s="14">
        <v>34.0</v>
      </c>
      <c r="J61" s="13" t="s">
        <v>53</v>
      </c>
      <c r="K61" s="13" t="s">
        <v>65</v>
      </c>
      <c r="L61" s="14">
        <v>2294.0</v>
      </c>
      <c r="M61" s="18" t="s">
        <v>98</v>
      </c>
      <c r="N61" s="20">
        <v>0.0</v>
      </c>
      <c r="O61" s="18">
        <v>35.6</v>
      </c>
      <c r="P61" s="20">
        <v>3.7</v>
      </c>
      <c r="Q61" s="16">
        <v>45615.0</v>
      </c>
      <c r="R61" s="16" t="s">
        <v>290</v>
      </c>
      <c r="S61" s="13" t="s">
        <v>45</v>
      </c>
      <c r="T61" s="13" t="s">
        <v>66</v>
      </c>
      <c r="U61" s="13" t="str">
        <f t="shared" si="1"/>
        <v>Moderate</v>
      </c>
      <c r="V61" s="13" t="str">
        <f t="shared" si="2"/>
        <v>Median or Above</v>
      </c>
      <c r="W61" s="13" t="str">
        <f t="shared" si="3"/>
        <v>25–48 Months</v>
      </c>
    </row>
    <row r="62" hidden="1">
      <c r="A62" s="13" t="s">
        <v>291</v>
      </c>
      <c r="B62" s="13" t="s">
        <v>179</v>
      </c>
      <c r="C62" s="14">
        <v>58.0</v>
      </c>
      <c r="D62" s="13" t="s">
        <v>85</v>
      </c>
      <c r="E62" s="13" t="s">
        <v>292</v>
      </c>
      <c r="F62" s="13" t="s">
        <v>79</v>
      </c>
      <c r="G62" s="13" t="s">
        <v>128</v>
      </c>
      <c r="H62" s="16">
        <v>45943.0</v>
      </c>
      <c r="I62" s="14">
        <v>35.0</v>
      </c>
      <c r="J62" s="13" t="s">
        <v>40</v>
      </c>
      <c r="K62" s="13" t="s">
        <v>41</v>
      </c>
      <c r="L62" s="14">
        <v>3470.0</v>
      </c>
      <c r="M62" s="18" t="s">
        <v>99</v>
      </c>
      <c r="N62" s="20">
        <v>1.0</v>
      </c>
      <c r="O62" s="18">
        <v>40.6</v>
      </c>
      <c r="P62" s="20">
        <v>3.0</v>
      </c>
      <c r="Q62" s="16">
        <v>46952.0</v>
      </c>
      <c r="R62" s="16" t="s">
        <v>38</v>
      </c>
      <c r="S62" s="13" t="s">
        <v>55</v>
      </c>
      <c r="T62" s="13" t="s">
        <v>72</v>
      </c>
      <c r="U62" s="13" t="str">
        <f t="shared" si="1"/>
        <v>Moderate</v>
      </c>
      <c r="V62" s="13" t="str">
        <f t="shared" si="2"/>
        <v>Median or Above</v>
      </c>
      <c r="W62" s="13" t="str">
        <f t="shared" si="3"/>
        <v>25–48 Months</v>
      </c>
    </row>
    <row r="63" hidden="1">
      <c r="A63" s="13" t="s">
        <v>294</v>
      </c>
      <c r="B63" s="13" t="s">
        <v>295</v>
      </c>
      <c r="C63" s="14">
        <v>22.0</v>
      </c>
      <c r="D63" s="13" t="s">
        <v>35</v>
      </c>
      <c r="E63" s="13" t="s">
        <v>140</v>
      </c>
      <c r="F63" s="13" t="s">
        <v>79</v>
      </c>
      <c r="G63" s="13" t="s">
        <v>128</v>
      </c>
      <c r="H63" s="16">
        <v>45859.0</v>
      </c>
      <c r="I63" s="14">
        <v>46.0</v>
      </c>
      <c r="J63" s="13" t="s">
        <v>53</v>
      </c>
      <c r="K63" s="13" t="s">
        <v>65</v>
      </c>
      <c r="L63" s="14">
        <v>3420.0</v>
      </c>
      <c r="M63" s="18" t="s">
        <v>98</v>
      </c>
      <c r="N63" s="20">
        <v>2.0</v>
      </c>
      <c r="O63" s="18">
        <v>38.6</v>
      </c>
      <c r="P63" s="20">
        <v>4.6</v>
      </c>
      <c r="Q63" s="16">
        <v>46482.0</v>
      </c>
      <c r="R63" s="16" t="s">
        <v>297</v>
      </c>
      <c r="S63" s="13" t="s">
        <v>45</v>
      </c>
      <c r="T63" s="13" t="s">
        <v>72</v>
      </c>
      <c r="U63" s="13" t="str">
        <f t="shared" si="1"/>
        <v>Moderate</v>
      </c>
      <c r="V63" s="13" t="str">
        <f t="shared" si="2"/>
        <v>Median or Above</v>
      </c>
      <c r="W63" s="13" t="str">
        <f t="shared" si="3"/>
        <v>25–48 Months</v>
      </c>
    </row>
    <row r="64" hidden="1">
      <c r="A64" s="13" t="s">
        <v>298</v>
      </c>
      <c r="B64" s="13" t="s">
        <v>172</v>
      </c>
      <c r="C64" s="14">
        <v>50.0</v>
      </c>
      <c r="D64" s="13" t="s">
        <v>69</v>
      </c>
      <c r="E64" s="13" t="s">
        <v>187</v>
      </c>
      <c r="F64" s="13" t="s">
        <v>37</v>
      </c>
      <c r="G64" s="13" t="s">
        <v>80</v>
      </c>
      <c r="H64" s="16">
        <v>45958.0</v>
      </c>
      <c r="I64" s="14">
        <v>12.0</v>
      </c>
      <c r="J64" s="13" t="s">
        <v>64</v>
      </c>
      <c r="K64" s="13" t="s">
        <v>41</v>
      </c>
      <c r="L64" s="14">
        <v>1623.0</v>
      </c>
      <c r="M64" s="18" t="s">
        <v>99</v>
      </c>
      <c r="N64" s="20">
        <v>0.0</v>
      </c>
      <c r="O64" s="18">
        <v>39.6</v>
      </c>
      <c r="P64" s="20">
        <v>4.6</v>
      </c>
      <c r="Q64" s="16">
        <v>46163.0</v>
      </c>
      <c r="R64" s="16" t="s">
        <v>38</v>
      </c>
      <c r="S64" s="13" t="s">
        <v>55</v>
      </c>
      <c r="T64" s="13" t="s">
        <v>47</v>
      </c>
      <c r="U64" s="13" t="str">
        <f t="shared" si="1"/>
        <v>Moderate</v>
      </c>
      <c r="V64" s="13" t="str">
        <f t="shared" si="2"/>
        <v>Median or Above</v>
      </c>
      <c r="W64" s="13" t="str">
        <f t="shared" si="3"/>
        <v>0–12 Months</v>
      </c>
    </row>
    <row r="65" hidden="1">
      <c r="A65" s="13" t="s">
        <v>299</v>
      </c>
      <c r="B65" s="13" t="s">
        <v>232</v>
      </c>
      <c r="C65" s="14">
        <v>59.0</v>
      </c>
      <c r="D65" s="13" t="s">
        <v>35</v>
      </c>
      <c r="E65" s="13" t="s">
        <v>133</v>
      </c>
      <c r="F65" s="13" t="s">
        <v>62</v>
      </c>
      <c r="G65" s="13" t="s">
        <v>63</v>
      </c>
      <c r="H65" s="16">
        <v>45514.0</v>
      </c>
      <c r="I65" s="14">
        <v>19.0</v>
      </c>
      <c r="J65" s="13" t="s">
        <v>53</v>
      </c>
      <c r="K65" s="13" t="s">
        <v>81</v>
      </c>
      <c r="L65" s="14">
        <v>579.0</v>
      </c>
      <c r="M65" s="18" t="s">
        <v>98</v>
      </c>
      <c r="N65" s="20">
        <v>1.0</v>
      </c>
      <c r="O65" s="18">
        <v>35.5</v>
      </c>
      <c r="P65" s="20">
        <v>3.0</v>
      </c>
      <c r="Q65" s="16">
        <v>45877.0</v>
      </c>
      <c r="R65" s="16" t="s">
        <v>38</v>
      </c>
      <c r="S65" s="13" t="s">
        <v>55</v>
      </c>
      <c r="T65" s="13" t="s">
        <v>72</v>
      </c>
      <c r="U65" s="13" t="str">
        <f t="shared" si="1"/>
        <v>Moderate</v>
      </c>
      <c r="V65" s="13" t="str">
        <f t="shared" si="2"/>
        <v>Median or Above</v>
      </c>
      <c r="W65" s="13" t="str">
        <f t="shared" si="3"/>
        <v>13–24 Months</v>
      </c>
    </row>
    <row r="66" hidden="1">
      <c r="A66" s="13" t="s">
        <v>301</v>
      </c>
      <c r="B66" s="13" t="s">
        <v>152</v>
      </c>
      <c r="C66" s="14">
        <v>61.0</v>
      </c>
      <c r="D66" s="13" t="s">
        <v>60</v>
      </c>
      <c r="E66" s="13" t="s">
        <v>97</v>
      </c>
      <c r="F66" s="13" t="s">
        <v>79</v>
      </c>
      <c r="G66" s="13" t="s">
        <v>128</v>
      </c>
      <c r="H66" s="16">
        <v>45551.0</v>
      </c>
      <c r="I66" s="14">
        <v>7.0</v>
      </c>
      <c r="J66" s="13" t="s">
        <v>53</v>
      </c>
      <c r="K66" s="13" t="s">
        <v>65</v>
      </c>
      <c r="L66" s="14">
        <v>3176.0</v>
      </c>
      <c r="M66" s="18" t="s">
        <v>99</v>
      </c>
      <c r="N66" s="20">
        <v>2.0</v>
      </c>
      <c r="O66" s="18">
        <v>31.9</v>
      </c>
      <c r="P66" s="20">
        <v>3.8</v>
      </c>
      <c r="Q66" s="16">
        <v>45636.0</v>
      </c>
      <c r="R66" s="16" t="s">
        <v>38</v>
      </c>
      <c r="S66" s="13" t="s">
        <v>55</v>
      </c>
      <c r="T66" s="13" t="s">
        <v>104</v>
      </c>
      <c r="U66" s="13" t="str">
        <f t="shared" si="1"/>
        <v>Moderate</v>
      </c>
      <c r="V66" s="13" t="str">
        <f t="shared" si="2"/>
        <v>Median or Above</v>
      </c>
      <c r="W66" s="13" t="str">
        <f t="shared" si="3"/>
        <v>0–12 Months</v>
      </c>
    </row>
    <row r="67" hidden="1">
      <c r="A67" s="13" t="s">
        <v>302</v>
      </c>
      <c r="B67" s="13" t="s">
        <v>303</v>
      </c>
      <c r="C67" s="14">
        <v>38.0</v>
      </c>
      <c r="D67" s="13" t="s">
        <v>35</v>
      </c>
      <c r="E67" s="13" t="s">
        <v>140</v>
      </c>
      <c r="F67" s="13" t="s">
        <v>37</v>
      </c>
      <c r="G67" s="13" t="s">
        <v>210</v>
      </c>
      <c r="H67" s="16">
        <v>45033.0</v>
      </c>
      <c r="I67" s="14">
        <v>120.0</v>
      </c>
      <c r="J67" s="13" t="s">
        <v>53</v>
      </c>
      <c r="K67" s="13" t="s">
        <v>41</v>
      </c>
      <c r="L67" s="14">
        <v>1650.0</v>
      </c>
      <c r="M67" s="18" t="s">
        <v>43</v>
      </c>
      <c r="N67" s="20">
        <v>0.0</v>
      </c>
      <c r="O67" s="18">
        <v>17.4</v>
      </c>
      <c r="P67" s="20">
        <v>5.0</v>
      </c>
      <c r="Q67" s="16">
        <v>45556.0</v>
      </c>
      <c r="R67" s="16" t="s">
        <v>304</v>
      </c>
      <c r="S67" s="13" t="s">
        <v>45</v>
      </c>
      <c r="T67" s="13" t="s">
        <v>66</v>
      </c>
      <c r="U67" s="13" t="str">
        <f t="shared" si="1"/>
        <v>High</v>
      </c>
      <c r="V67" s="13" t="str">
        <f t="shared" si="2"/>
        <v>Below Median</v>
      </c>
      <c r="W67" s="13" t="str">
        <f t="shared" si="3"/>
        <v>49+ Months</v>
      </c>
    </row>
    <row r="68" hidden="1">
      <c r="A68" s="13" t="s">
        <v>305</v>
      </c>
      <c r="B68" s="13" t="s">
        <v>78</v>
      </c>
      <c r="C68" s="14">
        <v>35.0</v>
      </c>
      <c r="D68" s="13" t="s">
        <v>69</v>
      </c>
      <c r="E68" s="13" t="s">
        <v>70</v>
      </c>
      <c r="F68" s="13" t="s">
        <v>79</v>
      </c>
      <c r="G68" s="13" t="s">
        <v>210</v>
      </c>
      <c r="H68" s="16">
        <v>45412.0</v>
      </c>
      <c r="I68" s="14">
        <v>12.0</v>
      </c>
      <c r="J68" s="13" t="s">
        <v>53</v>
      </c>
      <c r="K68" s="13" t="s">
        <v>65</v>
      </c>
      <c r="L68" s="14">
        <v>3086.0</v>
      </c>
      <c r="M68" s="18" t="s">
        <v>43</v>
      </c>
      <c r="N68" s="20">
        <v>2.0</v>
      </c>
      <c r="O68" s="18">
        <v>47.4</v>
      </c>
      <c r="P68" s="20">
        <v>3.3</v>
      </c>
      <c r="Q68" s="16">
        <v>45678.0</v>
      </c>
      <c r="R68" s="16" t="s">
        <v>38</v>
      </c>
      <c r="S68" s="13" t="s">
        <v>55</v>
      </c>
      <c r="T68" s="13" t="s">
        <v>72</v>
      </c>
      <c r="U68" s="13" t="str">
        <f t="shared" si="1"/>
        <v>Moderate</v>
      </c>
      <c r="V68" s="13" t="str">
        <f t="shared" si="2"/>
        <v>Median or Above</v>
      </c>
      <c r="W68" s="13" t="str">
        <f t="shared" si="3"/>
        <v>0–12 Months</v>
      </c>
    </row>
    <row r="69" hidden="1">
      <c r="A69" s="13" t="s">
        <v>307</v>
      </c>
      <c r="B69" s="13" t="s">
        <v>308</v>
      </c>
      <c r="C69" s="14">
        <v>35.0</v>
      </c>
      <c r="D69" s="13" t="s">
        <v>69</v>
      </c>
      <c r="E69" s="13" t="s">
        <v>292</v>
      </c>
      <c r="F69" s="13" t="s">
        <v>62</v>
      </c>
      <c r="G69" s="13" t="s">
        <v>39</v>
      </c>
      <c r="H69" s="16">
        <v>45947.0</v>
      </c>
      <c r="I69" s="14">
        <v>47.0</v>
      </c>
      <c r="J69" s="13" t="s">
        <v>64</v>
      </c>
      <c r="K69" s="13" t="s">
        <v>41</v>
      </c>
      <c r="L69" s="14">
        <v>702.0</v>
      </c>
      <c r="M69" s="18" t="s">
        <v>98</v>
      </c>
      <c r="N69" s="20">
        <v>0.0</v>
      </c>
      <c r="O69" s="18">
        <v>17.1</v>
      </c>
      <c r="P69" s="20">
        <v>4.8</v>
      </c>
      <c r="Q69" s="16">
        <v>46141.0</v>
      </c>
      <c r="R69" s="16" t="s">
        <v>38</v>
      </c>
      <c r="S69" s="13" t="s">
        <v>55</v>
      </c>
      <c r="T69" s="13" t="s">
        <v>75</v>
      </c>
      <c r="U69" s="13" t="str">
        <f t="shared" si="1"/>
        <v>Moderate</v>
      </c>
      <c r="V69" s="13" t="str">
        <f t="shared" si="2"/>
        <v>Below Median</v>
      </c>
      <c r="W69" s="13" t="str">
        <f t="shared" si="3"/>
        <v>25–48 Months</v>
      </c>
    </row>
    <row r="70" hidden="1">
      <c r="A70" s="13" t="s">
        <v>311</v>
      </c>
      <c r="B70" s="13" t="s">
        <v>312</v>
      </c>
      <c r="C70" s="14">
        <v>60.0</v>
      </c>
      <c r="D70" s="13" t="s">
        <v>60</v>
      </c>
      <c r="E70" s="13" t="s">
        <v>133</v>
      </c>
      <c r="F70" s="13" t="s">
        <v>37</v>
      </c>
      <c r="G70" s="13" t="s">
        <v>210</v>
      </c>
      <c r="H70" s="16">
        <v>44783.0</v>
      </c>
      <c r="I70" s="14">
        <v>44.0</v>
      </c>
      <c r="J70" s="13" t="s">
        <v>40</v>
      </c>
      <c r="K70" s="13" t="s">
        <v>81</v>
      </c>
      <c r="L70" s="14">
        <v>1633.0</v>
      </c>
      <c r="M70" s="18" t="s">
        <v>376</v>
      </c>
      <c r="N70" s="20">
        <v>1.0</v>
      </c>
      <c r="O70" s="18">
        <v>30.1</v>
      </c>
      <c r="P70" s="20">
        <v>4.0</v>
      </c>
      <c r="Q70" s="16">
        <v>45942.0</v>
      </c>
      <c r="R70" s="16" t="s">
        <v>38</v>
      </c>
      <c r="S70" s="13" t="s">
        <v>55</v>
      </c>
      <c r="T70" s="13" t="s">
        <v>75</v>
      </c>
      <c r="U70" s="13" t="str">
        <f t="shared" si="1"/>
        <v>Moderate</v>
      </c>
      <c r="V70" s="13" t="str">
        <f t="shared" si="2"/>
        <v>Median or Above</v>
      </c>
      <c r="W70" s="13" t="str">
        <f t="shared" si="3"/>
        <v>25–48 Months</v>
      </c>
    </row>
    <row r="71" hidden="1">
      <c r="A71" s="13" t="s">
        <v>313</v>
      </c>
      <c r="B71" s="13" t="s">
        <v>118</v>
      </c>
      <c r="C71" s="14">
        <v>42.0</v>
      </c>
      <c r="D71" s="13" t="s">
        <v>60</v>
      </c>
      <c r="E71" s="13" t="s">
        <v>133</v>
      </c>
      <c r="F71" s="13" t="s">
        <v>62</v>
      </c>
      <c r="G71" s="13" t="s">
        <v>63</v>
      </c>
      <c r="H71" s="16">
        <v>44638.0</v>
      </c>
      <c r="I71" s="14">
        <v>20.0</v>
      </c>
      <c r="J71" s="13" t="s">
        <v>64</v>
      </c>
      <c r="K71" s="13" t="s">
        <v>81</v>
      </c>
      <c r="L71" s="14">
        <v>558.0</v>
      </c>
      <c r="M71" s="18" t="s">
        <v>43</v>
      </c>
      <c r="N71" s="20">
        <v>0.0</v>
      </c>
      <c r="O71" s="18">
        <v>19.0</v>
      </c>
      <c r="P71" s="20">
        <v>4.2</v>
      </c>
      <c r="Q71" s="16">
        <v>45198.0</v>
      </c>
      <c r="R71" s="16">
        <v>44601.0</v>
      </c>
      <c r="S71" s="13" t="s">
        <v>45</v>
      </c>
      <c r="T71" s="13" t="s">
        <v>66</v>
      </c>
      <c r="U71" s="13" t="str">
        <f t="shared" si="1"/>
        <v>Moderate</v>
      </c>
      <c r="V71" s="13" t="str">
        <f t="shared" si="2"/>
        <v>Below Median</v>
      </c>
      <c r="W71" s="13" t="str">
        <f t="shared" si="3"/>
        <v>13–24 Months</v>
      </c>
    </row>
    <row r="72" hidden="1">
      <c r="A72" s="13" t="s">
        <v>315</v>
      </c>
      <c r="B72" s="13" t="s">
        <v>316</v>
      </c>
      <c r="C72" s="14">
        <v>47.0</v>
      </c>
      <c r="D72" s="13" t="s">
        <v>69</v>
      </c>
      <c r="E72" s="13" t="s">
        <v>119</v>
      </c>
      <c r="F72" s="13" t="s">
        <v>37</v>
      </c>
      <c r="G72" s="13" t="s">
        <v>128</v>
      </c>
      <c r="H72" s="16">
        <v>45564.0</v>
      </c>
      <c r="I72" s="14">
        <v>40.0</v>
      </c>
      <c r="J72" s="13" t="s">
        <v>40</v>
      </c>
      <c r="K72" s="13" t="s">
        <v>65</v>
      </c>
      <c r="L72" s="14">
        <v>1032.0</v>
      </c>
      <c r="M72" s="18" t="s">
        <v>99</v>
      </c>
      <c r="N72" s="20">
        <v>2.0</v>
      </c>
      <c r="O72" s="18">
        <v>30.7</v>
      </c>
      <c r="P72" s="20">
        <v>3.0</v>
      </c>
      <c r="Q72" s="16">
        <v>46332.0</v>
      </c>
      <c r="R72" s="16" t="s">
        <v>38</v>
      </c>
      <c r="S72" s="13" t="s">
        <v>55</v>
      </c>
      <c r="T72" s="13" t="s">
        <v>104</v>
      </c>
      <c r="U72" s="13" t="str">
        <f t="shared" si="1"/>
        <v>Moderate</v>
      </c>
      <c r="V72" s="13" t="str">
        <f t="shared" si="2"/>
        <v>Median or Above</v>
      </c>
      <c r="W72" s="13" t="str">
        <f t="shared" si="3"/>
        <v>25–48 Months</v>
      </c>
    </row>
    <row r="73" hidden="1">
      <c r="A73" s="13" t="s">
        <v>317</v>
      </c>
      <c r="B73" s="13" t="s">
        <v>239</v>
      </c>
      <c r="C73" s="14">
        <v>22.0</v>
      </c>
      <c r="D73" s="13" t="s">
        <v>60</v>
      </c>
      <c r="E73" s="13" t="s">
        <v>107</v>
      </c>
      <c r="F73" s="13" t="s">
        <v>62</v>
      </c>
      <c r="G73" s="13" t="s">
        <v>210</v>
      </c>
      <c r="H73" s="16">
        <v>44950.0</v>
      </c>
      <c r="I73" s="14">
        <v>8.0</v>
      </c>
      <c r="J73" s="13" t="s">
        <v>53</v>
      </c>
      <c r="K73" s="13" t="s">
        <v>41</v>
      </c>
      <c r="L73" s="14">
        <v>731.0</v>
      </c>
      <c r="M73" s="18" t="s">
        <v>43</v>
      </c>
      <c r="N73" s="20">
        <v>0.0</v>
      </c>
      <c r="O73" s="18">
        <v>23.2</v>
      </c>
      <c r="P73" s="20">
        <v>4.9</v>
      </c>
      <c r="Q73" s="16">
        <v>45014.0</v>
      </c>
      <c r="R73" s="16">
        <v>45085.0</v>
      </c>
      <c r="S73" s="13" t="s">
        <v>45</v>
      </c>
      <c r="T73" s="13" t="s">
        <v>47</v>
      </c>
      <c r="U73" s="13" t="str">
        <f t="shared" si="1"/>
        <v>Moderate</v>
      </c>
      <c r="V73" s="13" t="str">
        <f t="shared" si="2"/>
        <v>Below Median</v>
      </c>
      <c r="W73" s="13" t="str">
        <f t="shared" si="3"/>
        <v>0–12 Months</v>
      </c>
    </row>
    <row r="74" hidden="1">
      <c r="A74" s="13" t="s">
        <v>320</v>
      </c>
      <c r="B74" s="13" t="s">
        <v>239</v>
      </c>
      <c r="C74" s="14">
        <v>36.0</v>
      </c>
      <c r="D74" s="13" t="s">
        <v>69</v>
      </c>
      <c r="E74" s="13" t="s">
        <v>70</v>
      </c>
      <c r="F74" s="13" t="s">
        <v>37</v>
      </c>
      <c r="G74" s="13" t="s">
        <v>80</v>
      </c>
      <c r="H74" s="16">
        <v>44986.0</v>
      </c>
      <c r="I74" s="14">
        <v>38.0</v>
      </c>
      <c r="J74" s="13" t="s">
        <v>40</v>
      </c>
      <c r="K74" s="13" t="s">
        <v>41</v>
      </c>
      <c r="L74" s="14">
        <v>1335.0</v>
      </c>
      <c r="M74" s="18" t="s">
        <v>164</v>
      </c>
      <c r="N74" s="20">
        <v>2.0</v>
      </c>
      <c r="O74" s="18">
        <v>36.5</v>
      </c>
      <c r="P74" s="20">
        <v>2.1</v>
      </c>
      <c r="Q74" s="16">
        <v>45298.0</v>
      </c>
      <c r="R74" s="16" t="s">
        <v>38</v>
      </c>
      <c r="S74" s="13" t="s">
        <v>55</v>
      </c>
      <c r="T74" s="13" t="s">
        <v>66</v>
      </c>
      <c r="U74" s="13" t="str">
        <f t="shared" si="1"/>
        <v>Low</v>
      </c>
      <c r="V74" s="13" t="str">
        <f t="shared" si="2"/>
        <v>Median or Above</v>
      </c>
      <c r="W74" s="13" t="str">
        <f t="shared" si="3"/>
        <v>25–48 Months</v>
      </c>
    </row>
    <row r="75" hidden="1">
      <c r="A75" s="13" t="s">
        <v>321</v>
      </c>
      <c r="B75" s="13" t="s">
        <v>322</v>
      </c>
      <c r="C75" s="14">
        <v>22.0</v>
      </c>
      <c r="D75" s="13" t="s">
        <v>69</v>
      </c>
      <c r="E75" s="13" t="s">
        <v>70</v>
      </c>
      <c r="F75" s="13" t="s">
        <v>37</v>
      </c>
      <c r="G75" s="13" t="s">
        <v>63</v>
      </c>
      <c r="H75" s="16">
        <v>44831.0</v>
      </c>
      <c r="I75" s="14">
        <v>1.0</v>
      </c>
      <c r="J75" s="13" t="s">
        <v>40</v>
      </c>
      <c r="K75" s="13" t="s">
        <v>81</v>
      </c>
      <c r="L75" s="14">
        <v>1601.0</v>
      </c>
      <c r="M75" s="18" t="s">
        <v>43</v>
      </c>
      <c r="N75" s="20">
        <v>1.0</v>
      </c>
      <c r="O75" s="18">
        <v>35.9</v>
      </c>
      <c r="P75" s="20">
        <v>4.0</v>
      </c>
      <c r="Q75" s="16">
        <v>44842.0</v>
      </c>
      <c r="R75" s="16" t="s">
        <v>38</v>
      </c>
      <c r="S75" s="13" t="s">
        <v>55</v>
      </c>
      <c r="T75" s="13" t="s">
        <v>75</v>
      </c>
      <c r="U75" s="13" t="str">
        <f t="shared" si="1"/>
        <v>Moderate</v>
      </c>
      <c r="V75" s="13" t="str">
        <f t="shared" si="2"/>
        <v>Median or Above</v>
      </c>
      <c r="W75" s="13" t="str">
        <f t="shared" si="3"/>
        <v>0–12 Months</v>
      </c>
    </row>
    <row r="76" hidden="1">
      <c r="A76" s="13" t="s">
        <v>323</v>
      </c>
      <c r="B76" s="13" t="s">
        <v>239</v>
      </c>
      <c r="C76" s="14">
        <v>65.0</v>
      </c>
      <c r="D76" s="13" t="s">
        <v>35</v>
      </c>
      <c r="E76" s="13" t="s">
        <v>36</v>
      </c>
      <c r="F76" s="13" t="s">
        <v>37</v>
      </c>
      <c r="G76" s="13" t="s">
        <v>128</v>
      </c>
      <c r="H76" s="16">
        <v>45303.0</v>
      </c>
      <c r="I76" s="14">
        <v>33.0</v>
      </c>
      <c r="J76" s="13" t="s">
        <v>64</v>
      </c>
      <c r="K76" s="13" t="s">
        <v>81</v>
      </c>
      <c r="L76" s="14">
        <v>1514.0</v>
      </c>
      <c r="M76" s="18" t="s">
        <v>43</v>
      </c>
      <c r="N76" s="20">
        <v>0.0</v>
      </c>
      <c r="O76" s="18">
        <v>31.1</v>
      </c>
      <c r="P76" s="20">
        <v>3.7</v>
      </c>
      <c r="Q76" s="16">
        <v>46281.0</v>
      </c>
      <c r="R76" s="16" t="s">
        <v>38</v>
      </c>
      <c r="S76" s="13" t="s">
        <v>55</v>
      </c>
      <c r="T76" s="13" t="s">
        <v>72</v>
      </c>
      <c r="U76" s="13" t="str">
        <f t="shared" si="1"/>
        <v>Moderate</v>
      </c>
      <c r="V76" s="13" t="str">
        <f t="shared" si="2"/>
        <v>Median or Above</v>
      </c>
      <c r="W76" s="13" t="str">
        <f t="shared" si="3"/>
        <v>25–48 Months</v>
      </c>
    </row>
    <row r="77" hidden="1">
      <c r="A77" s="13" t="s">
        <v>391</v>
      </c>
      <c r="B77" s="13" t="s">
        <v>325</v>
      </c>
      <c r="C77" s="14">
        <v>39.0</v>
      </c>
      <c r="D77" s="13" t="s">
        <v>35</v>
      </c>
      <c r="E77" s="13" t="s">
        <v>36</v>
      </c>
      <c r="F77" s="13" t="s">
        <v>79</v>
      </c>
      <c r="G77" s="13" t="s">
        <v>128</v>
      </c>
      <c r="H77" s="16">
        <v>45384.0</v>
      </c>
      <c r="I77" s="14">
        <v>28.0</v>
      </c>
      <c r="J77" s="13" t="s">
        <v>64</v>
      </c>
      <c r="K77" s="13" t="s">
        <v>41</v>
      </c>
      <c r="L77" s="14">
        <v>3862.0</v>
      </c>
      <c r="M77" s="18" t="s">
        <v>98</v>
      </c>
      <c r="N77" s="20">
        <v>2.0</v>
      </c>
      <c r="O77" s="18">
        <v>40.9</v>
      </c>
      <c r="P77" s="20">
        <v>2.9</v>
      </c>
      <c r="Q77" s="16">
        <v>45848.0</v>
      </c>
      <c r="R77" s="16" t="s">
        <v>38</v>
      </c>
      <c r="S77" s="13" t="s">
        <v>55</v>
      </c>
      <c r="T77" s="13" t="s">
        <v>104</v>
      </c>
      <c r="U77" s="13" t="str">
        <f t="shared" si="1"/>
        <v>Low</v>
      </c>
      <c r="V77" s="13" t="str">
        <f t="shared" si="2"/>
        <v>Median or Above</v>
      </c>
      <c r="W77" s="13" t="str">
        <f t="shared" si="3"/>
        <v>25–48 Months</v>
      </c>
    </row>
    <row r="78" hidden="1">
      <c r="A78" s="13" t="s">
        <v>327</v>
      </c>
      <c r="B78" s="13" t="s">
        <v>395</v>
      </c>
      <c r="C78" s="14">
        <v>46.0</v>
      </c>
      <c r="D78" s="13" t="s">
        <v>60</v>
      </c>
      <c r="E78" s="13" t="s">
        <v>107</v>
      </c>
      <c r="F78" s="13" t="s">
        <v>62</v>
      </c>
      <c r="G78" s="13" t="s">
        <v>80</v>
      </c>
      <c r="H78" s="16">
        <v>45648.0</v>
      </c>
      <c r="I78" s="14">
        <v>19.0</v>
      </c>
      <c r="J78" s="13" t="s">
        <v>53</v>
      </c>
      <c r="K78" s="13" t="s">
        <v>41</v>
      </c>
      <c r="L78" s="14">
        <v>808.0</v>
      </c>
      <c r="M78" s="18" t="s">
        <v>46</v>
      </c>
      <c r="N78" s="20">
        <v>0.0</v>
      </c>
      <c r="O78" s="18">
        <v>14.4</v>
      </c>
      <c r="P78" s="20">
        <v>3.3</v>
      </c>
      <c r="Q78" s="16">
        <v>45775.0</v>
      </c>
      <c r="R78" s="16" t="s">
        <v>38</v>
      </c>
      <c r="S78" s="13" t="s">
        <v>55</v>
      </c>
      <c r="T78" s="13" t="s">
        <v>75</v>
      </c>
      <c r="U78" s="13" t="str">
        <f t="shared" si="1"/>
        <v>Moderate</v>
      </c>
      <c r="V78" s="13" t="str">
        <f t="shared" si="2"/>
        <v>Below Median</v>
      </c>
      <c r="W78" s="13" t="str">
        <f t="shared" si="3"/>
        <v>13–24 Months</v>
      </c>
    </row>
    <row r="79" hidden="1">
      <c r="A79" s="13" t="s">
        <v>329</v>
      </c>
      <c r="B79" s="13" t="s">
        <v>235</v>
      </c>
      <c r="C79" s="14">
        <v>24.0</v>
      </c>
      <c r="D79" s="13" t="s">
        <v>85</v>
      </c>
      <c r="E79" s="13" t="s">
        <v>87</v>
      </c>
      <c r="F79" s="13" t="s">
        <v>62</v>
      </c>
      <c r="G79" s="13" t="s">
        <v>63</v>
      </c>
      <c r="H79" s="16">
        <v>45202.0</v>
      </c>
      <c r="I79" s="14">
        <v>28.0</v>
      </c>
      <c r="J79" s="13" t="s">
        <v>40</v>
      </c>
      <c r="K79" s="13" t="s">
        <v>41</v>
      </c>
      <c r="L79" s="14">
        <v>629.0</v>
      </c>
      <c r="M79" s="18" t="s">
        <v>46</v>
      </c>
      <c r="N79" s="20">
        <v>0.0</v>
      </c>
      <c r="O79" s="18">
        <v>11.5</v>
      </c>
      <c r="P79" s="20">
        <v>3.2</v>
      </c>
      <c r="Q79" s="16">
        <v>45368.0</v>
      </c>
      <c r="R79" s="16" t="s">
        <v>38</v>
      </c>
      <c r="S79" s="13" t="s">
        <v>55</v>
      </c>
      <c r="T79" s="13" t="s">
        <v>75</v>
      </c>
      <c r="U79" s="13" t="str">
        <f t="shared" si="1"/>
        <v>Moderate</v>
      </c>
      <c r="V79" s="13" t="str">
        <f t="shared" si="2"/>
        <v>Below Median</v>
      </c>
      <c r="W79" s="13" t="str">
        <f t="shared" si="3"/>
        <v>25–48 Months</v>
      </c>
    </row>
    <row r="80" hidden="1">
      <c r="A80" s="13" t="s">
        <v>330</v>
      </c>
      <c r="B80" s="13" t="s">
        <v>331</v>
      </c>
      <c r="C80" s="14">
        <v>57.0</v>
      </c>
      <c r="D80" s="13" t="s">
        <v>60</v>
      </c>
      <c r="E80" s="13" t="s">
        <v>97</v>
      </c>
      <c r="F80" s="13" t="s">
        <v>37</v>
      </c>
      <c r="G80" s="13" t="s">
        <v>80</v>
      </c>
      <c r="H80" s="16">
        <v>45712.0</v>
      </c>
      <c r="I80" s="14">
        <v>36.0</v>
      </c>
      <c r="J80" s="13" t="s">
        <v>53</v>
      </c>
      <c r="K80" s="13" t="s">
        <v>65</v>
      </c>
      <c r="L80" s="14">
        <v>1419.0</v>
      </c>
      <c r="M80" s="18" t="s">
        <v>43</v>
      </c>
      <c r="N80" s="20">
        <v>0.0</v>
      </c>
      <c r="O80" s="18">
        <v>16.5</v>
      </c>
      <c r="P80" s="20">
        <v>3.5</v>
      </c>
      <c r="Q80" s="16">
        <v>46588.0</v>
      </c>
      <c r="R80" s="16" t="s">
        <v>38</v>
      </c>
      <c r="S80" s="13" t="s">
        <v>55</v>
      </c>
      <c r="T80" s="13" t="s">
        <v>104</v>
      </c>
      <c r="U80" s="13" t="str">
        <f t="shared" si="1"/>
        <v>Moderate</v>
      </c>
      <c r="V80" s="13" t="str">
        <f t="shared" si="2"/>
        <v>Below Median</v>
      </c>
      <c r="W80" s="13" t="str">
        <f t="shared" si="3"/>
        <v>25–48 Months</v>
      </c>
    </row>
    <row r="81" hidden="1">
      <c r="A81" s="13" t="s">
        <v>332</v>
      </c>
      <c r="B81" s="13" t="s">
        <v>333</v>
      </c>
      <c r="C81" s="14">
        <v>54.0</v>
      </c>
      <c r="D81" s="13" t="s">
        <v>69</v>
      </c>
      <c r="E81" s="13" t="s">
        <v>187</v>
      </c>
      <c r="F81" s="13" t="s">
        <v>37</v>
      </c>
      <c r="G81" s="13" t="s">
        <v>39</v>
      </c>
      <c r="H81" s="16">
        <v>44783.0</v>
      </c>
      <c r="I81" s="14">
        <v>23.0</v>
      </c>
      <c r="J81" s="13" t="s">
        <v>64</v>
      </c>
      <c r="K81" s="13" t="s">
        <v>81</v>
      </c>
      <c r="L81" s="14">
        <v>1116.0</v>
      </c>
      <c r="M81" s="18" t="s">
        <v>46</v>
      </c>
      <c r="N81" s="20">
        <v>2.0</v>
      </c>
      <c r="O81" s="18">
        <v>32.1</v>
      </c>
      <c r="P81" s="20">
        <v>4.8</v>
      </c>
      <c r="Q81" s="16">
        <v>45078.0</v>
      </c>
      <c r="R81" s="16" t="s">
        <v>334</v>
      </c>
      <c r="S81" s="13" t="s">
        <v>45</v>
      </c>
      <c r="T81" s="13" t="s">
        <v>66</v>
      </c>
      <c r="U81" s="13" t="str">
        <f t="shared" si="1"/>
        <v>Moderate</v>
      </c>
      <c r="V81" s="13" t="str">
        <f t="shared" si="2"/>
        <v>Median or Above</v>
      </c>
      <c r="W81" s="13" t="str">
        <f t="shared" si="3"/>
        <v>13–24 Months</v>
      </c>
    </row>
    <row r="82" hidden="1">
      <c r="A82" s="13" t="s">
        <v>335</v>
      </c>
      <c r="B82" s="13" t="s">
        <v>336</v>
      </c>
      <c r="C82" s="14">
        <v>66.0</v>
      </c>
      <c r="D82" s="13" t="s">
        <v>60</v>
      </c>
      <c r="E82" s="13" t="s">
        <v>61</v>
      </c>
      <c r="F82" s="13" t="s">
        <v>62</v>
      </c>
      <c r="G82" s="13" t="s">
        <v>52</v>
      </c>
      <c r="H82" s="16">
        <v>45194.0</v>
      </c>
      <c r="I82" s="14">
        <v>22.0</v>
      </c>
      <c r="J82" s="13" t="s">
        <v>64</v>
      </c>
      <c r="K82" s="13" t="s">
        <v>65</v>
      </c>
      <c r="L82" s="14">
        <v>591.0</v>
      </c>
      <c r="M82" s="18" t="s">
        <v>43</v>
      </c>
      <c r="N82" s="20">
        <v>1.0</v>
      </c>
      <c r="O82" s="18">
        <v>24.8</v>
      </c>
      <c r="P82" s="20">
        <v>3.1</v>
      </c>
      <c r="Q82" s="16">
        <v>45614.0</v>
      </c>
      <c r="R82" s="16" t="s">
        <v>38</v>
      </c>
      <c r="S82" s="13" t="s">
        <v>55</v>
      </c>
      <c r="T82" s="13" t="s">
        <v>104</v>
      </c>
      <c r="U82" s="13" t="str">
        <f t="shared" si="1"/>
        <v>Moderate</v>
      </c>
      <c r="V82" s="13" t="str">
        <f t="shared" si="2"/>
        <v>Median or Above</v>
      </c>
      <c r="W82" s="13" t="str">
        <f t="shared" si="3"/>
        <v>13–24 Months</v>
      </c>
    </row>
    <row r="83" hidden="1">
      <c r="A83" s="13" t="s">
        <v>339</v>
      </c>
      <c r="B83" s="13" t="s">
        <v>340</v>
      </c>
      <c r="C83" s="14">
        <v>22.0</v>
      </c>
      <c r="D83" s="13" t="s">
        <v>69</v>
      </c>
      <c r="E83" s="13" t="s">
        <v>119</v>
      </c>
      <c r="F83" s="13" t="s">
        <v>62</v>
      </c>
      <c r="G83" s="13" t="s">
        <v>210</v>
      </c>
      <c r="H83" s="16">
        <v>44884.0</v>
      </c>
      <c r="I83" s="14">
        <v>24.0</v>
      </c>
      <c r="J83" s="13" t="s">
        <v>40</v>
      </c>
      <c r="K83" s="13" t="s">
        <v>41</v>
      </c>
      <c r="L83" s="14">
        <v>665.0</v>
      </c>
      <c r="M83" s="18" t="s">
        <v>43</v>
      </c>
      <c r="N83" s="20">
        <v>0.0</v>
      </c>
      <c r="O83" s="18">
        <v>5.9</v>
      </c>
      <c r="P83" s="20">
        <v>4.9</v>
      </c>
      <c r="Q83" s="16">
        <v>45475.0</v>
      </c>
      <c r="R83" s="16" t="s">
        <v>38</v>
      </c>
      <c r="S83" s="13" t="s">
        <v>55</v>
      </c>
      <c r="T83" s="13" t="s">
        <v>66</v>
      </c>
      <c r="U83" s="13" t="str">
        <f t="shared" si="1"/>
        <v>Moderate</v>
      </c>
      <c r="V83" s="13" t="str">
        <f t="shared" si="2"/>
        <v>Below Median</v>
      </c>
      <c r="W83" s="13" t="str">
        <f t="shared" si="3"/>
        <v>13–24 Months</v>
      </c>
    </row>
    <row r="84" hidden="1">
      <c r="A84" s="13" t="s">
        <v>341</v>
      </c>
      <c r="B84" s="13" t="s">
        <v>342</v>
      </c>
      <c r="C84" s="14">
        <v>46.0</v>
      </c>
      <c r="D84" s="13" t="s">
        <v>35</v>
      </c>
      <c r="E84" s="13" t="s">
        <v>161</v>
      </c>
      <c r="F84" s="13" t="s">
        <v>62</v>
      </c>
      <c r="G84" s="13" t="s">
        <v>120</v>
      </c>
      <c r="H84" s="16">
        <v>45556.0</v>
      </c>
      <c r="I84" s="14">
        <v>120.0</v>
      </c>
      <c r="J84" s="13" t="s">
        <v>40</v>
      </c>
      <c r="K84" s="13" t="s">
        <v>65</v>
      </c>
      <c r="L84" s="14">
        <v>638.0</v>
      </c>
      <c r="M84" s="18" t="s">
        <v>43</v>
      </c>
      <c r="N84" s="20">
        <v>1.0</v>
      </c>
      <c r="O84" s="18">
        <v>22.6</v>
      </c>
      <c r="P84" s="20">
        <v>4.0</v>
      </c>
      <c r="Q84" s="16">
        <v>46615.0</v>
      </c>
      <c r="R84" s="16" t="s">
        <v>38</v>
      </c>
      <c r="S84" s="13" t="s">
        <v>55</v>
      </c>
      <c r="T84" s="13" t="s">
        <v>66</v>
      </c>
      <c r="U84" s="13" t="str">
        <f t="shared" si="1"/>
        <v>Moderate</v>
      </c>
      <c r="V84" s="13" t="str">
        <f t="shared" si="2"/>
        <v>Below Median</v>
      </c>
      <c r="W84" s="13" t="str">
        <f t="shared" si="3"/>
        <v>49+ Months</v>
      </c>
    </row>
    <row r="85" hidden="1">
      <c r="A85" s="13" t="s">
        <v>343</v>
      </c>
      <c r="B85" s="13" t="s">
        <v>184</v>
      </c>
      <c r="C85" s="14">
        <v>26.0</v>
      </c>
      <c r="D85" s="13" t="s">
        <v>60</v>
      </c>
      <c r="E85" s="13" t="s">
        <v>61</v>
      </c>
      <c r="F85" s="13" t="s">
        <v>62</v>
      </c>
      <c r="G85" s="13" t="s">
        <v>80</v>
      </c>
      <c r="H85" s="16">
        <v>44674.0</v>
      </c>
      <c r="I85" s="14">
        <v>1.0</v>
      </c>
      <c r="J85" s="13" t="s">
        <v>40</v>
      </c>
      <c r="K85" s="13" t="s">
        <v>65</v>
      </c>
      <c r="L85" s="14">
        <v>607.0</v>
      </c>
      <c r="M85" s="18" t="s">
        <v>98</v>
      </c>
      <c r="N85" s="20">
        <v>0.0</v>
      </c>
      <c r="O85" s="18">
        <v>11.5</v>
      </c>
      <c r="P85" s="20">
        <v>2.9</v>
      </c>
      <c r="Q85" s="16">
        <v>44700.0</v>
      </c>
      <c r="R85" s="16" t="s">
        <v>38</v>
      </c>
      <c r="S85" s="13" t="s">
        <v>55</v>
      </c>
      <c r="T85" s="13" t="s">
        <v>75</v>
      </c>
      <c r="U85" s="13" t="str">
        <f t="shared" si="1"/>
        <v>Low</v>
      </c>
      <c r="V85" s="13" t="str">
        <f t="shared" si="2"/>
        <v>Below Median</v>
      </c>
      <c r="W85" s="13" t="str">
        <f t="shared" si="3"/>
        <v>0–12 Months</v>
      </c>
    </row>
    <row r="86" hidden="1">
      <c r="A86" s="13" t="s">
        <v>344</v>
      </c>
      <c r="B86" s="13" t="s">
        <v>345</v>
      </c>
      <c r="C86" s="14">
        <v>23.0</v>
      </c>
      <c r="D86" s="13" t="s">
        <v>69</v>
      </c>
      <c r="E86" s="13" t="s">
        <v>119</v>
      </c>
      <c r="F86" s="13" t="s">
        <v>37</v>
      </c>
      <c r="G86" s="13" t="s">
        <v>39</v>
      </c>
      <c r="H86" s="16">
        <v>45586.0</v>
      </c>
      <c r="I86" s="14">
        <v>36.0</v>
      </c>
      <c r="J86" s="13" t="s">
        <v>53</v>
      </c>
      <c r="K86" s="13" t="s">
        <v>81</v>
      </c>
      <c r="L86" s="14">
        <v>1072.0</v>
      </c>
      <c r="M86" s="18" t="s">
        <v>46</v>
      </c>
      <c r="N86" s="20">
        <v>2.0</v>
      </c>
      <c r="O86" s="18">
        <v>22.8</v>
      </c>
      <c r="P86" s="20">
        <v>2.7</v>
      </c>
      <c r="Q86" s="16">
        <v>45682.0</v>
      </c>
      <c r="R86" s="16">
        <v>46423.0</v>
      </c>
      <c r="S86" s="13" t="s">
        <v>45</v>
      </c>
      <c r="T86" s="13" t="s">
        <v>75</v>
      </c>
      <c r="U86" s="13" t="str">
        <f t="shared" si="1"/>
        <v>Low</v>
      </c>
      <c r="V86" s="13" t="str">
        <f t="shared" si="2"/>
        <v>Below Median</v>
      </c>
      <c r="W86" s="13" t="str">
        <f t="shared" si="3"/>
        <v>25–48 Months</v>
      </c>
    </row>
    <row r="87" hidden="1">
      <c r="A87" s="13" t="s">
        <v>347</v>
      </c>
      <c r="B87" s="13" t="s">
        <v>59</v>
      </c>
      <c r="C87" s="14">
        <v>25.0</v>
      </c>
      <c r="D87" s="13" t="s">
        <v>85</v>
      </c>
      <c r="E87" s="13" t="s">
        <v>87</v>
      </c>
      <c r="F87" s="13" t="s">
        <v>62</v>
      </c>
      <c r="G87" s="13" t="s">
        <v>120</v>
      </c>
      <c r="H87" s="16">
        <v>44604.0</v>
      </c>
      <c r="I87" s="14">
        <v>21.0</v>
      </c>
      <c r="J87" s="13" t="s">
        <v>40</v>
      </c>
      <c r="K87" s="13" t="s">
        <v>65</v>
      </c>
      <c r="L87" s="14">
        <v>815.0</v>
      </c>
      <c r="M87" s="18" t="s">
        <v>46</v>
      </c>
      <c r="N87" s="20">
        <v>1.0</v>
      </c>
      <c r="O87" s="18">
        <v>17.9</v>
      </c>
      <c r="P87" s="20">
        <v>5.0</v>
      </c>
      <c r="Q87" s="16">
        <v>44984.0</v>
      </c>
      <c r="R87" s="16" t="s">
        <v>38</v>
      </c>
      <c r="S87" s="13" t="s">
        <v>55</v>
      </c>
      <c r="T87" s="13" t="s">
        <v>66</v>
      </c>
      <c r="U87" s="13" t="str">
        <f t="shared" si="1"/>
        <v>High</v>
      </c>
      <c r="V87" s="13" t="str">
        <f t="shared" si="2"/>
        <v>Below Median</v>
      </c>
      <c r="W87" s="13" t="str">
        <f t="shared" si="3"/>
        <v>13–24 Months</v>
      </c>
    </row>
    <row r="88" hidden="1">
      <c r="A88" s="13" t="s">
        <v>348</v>
      </c>
      <c r="B88" s="13" t="s">
        <v>349</v>
      </c>
      <c r="C88" s="14">
        <v>68.0</v>
      </c>
      <c r="D88" s="13" t="s">
        <v>35</v>
      </c>
      <c r="E88" s="13" t="s">
        <v>140</v>
      </c>
      <c r="F88" s="13" t="s">
        <v>79</v>
      </c>
      <c r="G88" s="13" t="s">
        <v>52</v>
      </c>
      <c r="H88" s="16">
        <v>45257.0</v>
      </c>
      <c r="I88" s="14">
        <v>15.0</v>
      </c>
      <c r="J88" s="13" t="s">
        <v>53</v>
      </c>
      <c r="K88" s="13" t="s">
        <v>65</v>
      </c>
      <c r="L88" s="14">
        <v>3044.0</v>
      </c>
      <c r="M88" s="18" t="s">
        <v>46</v>
      </c>
      <c r="N88" s="20">
        <v>0.0</v>
      </c>
      <c r="O88" s="18">
        <v>34.5</v>
      </c>
      <c r="P88" s="20">
        <v>5.0</v>
      </c>
      <c r="Q88" s="16">
        <v>45591.0</v>
      </c>
      <c r="R88" s="16" t="s">
        <v>38</v>
      </c>
      <c r="S88" s="13" t="s">
        <v>55</v>
      </c>
      <c r="T88" s="13" t="s">
        <v>47</v>
      </c>
      <c r="U88" s="13" t="str">
        <f t="shared" si="1"/>
        <v>High</v>
      </c>
      <c r="V88" s="13" t="str">
        <f t="shared" si="2"/>
        <v>Median or Above</v>
      </c>
      <c r="W88" s="13" t="str">
        <f t="shared" si="3"/>
        <v>13–24 Months</v>
      </c>
    </row>
    <row r="89" hidden="1">
      <c r="A89" s="13" t="s">
        <v>350</v>
      </c>
      <c r="B89" s="13" t="s">
        <v>351</v>
      </c>
      <c r="C89" s="14">
        <v>62.0</v>
      </c>
      <c r="D89" s="13" t="s">
        <v>35</v>
      </c>
      <c r="E89" s="13" t="s">
        <v>51</v>
      </c>
      <c r="F89" s="13" t="s">
        <v>62</v>
      </c>
      <c r="G89" s="13" t="s">
        <v>39</v>
      </c>
      <c r="H89" s="16">
        <v>45795.0</v>
      </c>
      <c r="I89" s="14">
        <v>10.0</v>
      </c>
      <c r="J89" s="13" t="s">
        <v>64</v>
      </c>
      <c r="K89" s="13" t="s">
        <v>81</v>
      </c>
      <c r="L89" s="14">
        <v>834.0</v>
      </c>
      <c r="M89" s="18" t="s">
        <v>164</v>
      </c>
      <c r="N89" s="20">
        <v>0.0</v>
      </c>
      <c r="O89" s="18">
        <v>29.2</v>
      </c>
      <c r="P89" s="20">
        <v>2.5</v>
      </c>
      <c r="Q89" s="16">
        <v>46057.0</v>
      </c>
      <c r="R89" s="16">
        <v>46267.0</v>
      </c>
      <c r="S89" s="13" t="s">
        <v>45</v>
      </c>
      <c r="T89" s="13" t="s">
        <v>66</v>
      </c>
      <c r="U89" s="13" t="str">
        <f t="shared" si="1"/>
        <v>Low</v>
      </c>
      <c r="V89" s="13" t="str">
        <f t="shared" si="2"/>
        <v>Median or Above</v>
      </c>
      <c r="W89" s="13" t="str">
        <f t="shared" si="3"/>
        <v>0–12 Months</v>
      </c>
    </row>
    <row r="90" hidden="1">
      <c r="A90" s="13" t="s">
        <v>353</v>
      </c>
      <c r="B90" s="13" t="s">
        <v>247</v>
      </c>
      <c r="C90" s="14">
        <v>38.0</v>
      </c>
      <c r="D90" s="13" t="s">
        <v>60</v>
      </c>
      <c r="E90" s="13" t="s">
        <v>97</v>
      </c>
      <c r="F90" s="13" t="s">
        <v>62</v>
      </c>
      <c r="G90" s="13" t="s">
        <v>120</v>
      </c>
      <c r="H90" s="16">
        <v>45467.0</v>
      </c>
      <c r="I90" s="14">
        <v>41.0</v>
      </c>
      <c r="J90" s="13" t="s">
        <v>53</v>
      </c>
      <c r="K90" s="13" t="s">
        <v>65</v>
      </c>
      <c r="L90" s="14">
        <v>639.0</v>
      </c>
      <c r="M90" s="18" t="s">
        <v>98</v>
      </c>
      <c r="N90" s="20">
        <v>0.0</v>
      </c>
      <c r="O90" s="18">
        <v>12.8</v>
      </c>
      <c r="P90" s="20">
        <v>3.3</v>
      </c>
      <c r="Q90" s="16">
        <v>46197.0</v>
      </c>
      <c r="R90" s="16" t="s">
        <v>38</v>
      </c>
      <c r="S90" s="13" t="s">
        <v>55</v>
      </c>
      <c r="T90" s="13" t="s">
        <v>104</v>
      </c>
      <c r="U90" s="13" t="str">
        <f t="shared" si="1"/>
        <v>Moderate</v>
      </c>
      <c r="V90" s="13" t="str">
        <f t="shared" si="2"/>
        <v>Below Median</v>
      </c>
      <c r="W90" s="13" t="str">
        <f t="shared" si="3"/>
        <v>25–48 Months</v>
      </c>
    </row>
    <row r="91" hidden="1">
      <c r="A91" s="13" t="s">
        <v>354</v>
      </c>
      <c r="B91" s="13" t="s">
        <v>345</v>
      </c>
      <c r="C91" s="14">
        <v>55.0</v>
      </c>
      <c r="D91" s="13" t="s">
        <v>60</v>
      </c>
      <c r="E91" s="13" t="s">
        <v>107</v>
      </c>
      <c r="F91" s="13" t="s">
        <v>62</v>
      </c>
      <c r="G91" s="13" t="s">
        <v>128</v>
      </c>
      <c r="H91" s="16">
        <v>44746.0</v>
      </c>
      <c r="I91" s="14">
        <v>40.0</v>
      </c>
      <c r="J91" s="13" t="s">
        <v>64</v>
      </c>
      <c r="K91" s="13" t="s">
        <v>41</v>
      </c>
      <c r="L91" s="14" t="s">
        <v>38</v>
      </c>
      <c r="M91" s="18" t="s">
        <v>98</v>
      </c>
      <c r="N91" s="20">
        <v>2.0</v>
      </c>
      <c r="O91" s="18">
        <v>1.0</v>
      </c>
      <c r="P91" s="20">
        <v>4.3</v>
      </c>
      <c r="Q91" s="16">
        <v>45891.0</v>
      </c>
      <c r="R91" s="16" t="s">
        <v>38</v>
      </c>
      <c r="S91" s="13" t="s">
        <v>55</v>
      </c>
      <c r="T91" s="13" t="s">
        <v>72</v>
      </c>
      <c r="U91" s="13" t="str">
        <f t="shared" si="1"/>
        <v>Moderate</v>
      </c>
      <c r="V91" s="13" t="str">
        <f t="shared" si="2"/>
        <v>Below Median</v>
      </c>
      <c r="W91" s="13" t="str">
        <f t="shared" si="3"/>
        <v>25–48 Months</v>
      </c>
    </row>
    <row r="92" hidden="1">
      <c r="A92" s="13" t="s">
        <v>428</v>
      </c>
      <c r="B92" s="13" t="s">
        <v>316</v>
      </c>
      <c r="C92" s="14">
        <v>47.0</v>
      </c>
      <c r="D92" s="13" t="s">
        <v>85</v>
      </c>
      <c r="E92" s="13" t="s">
        <v>111</v>
      </c>
      <c r="F92" s="13" t="s">
        <v>79</v>
      </c>
      <c r="G92" s="13" t="s">
        <v>120</v>
      </c>
      <c r="H92" s="16">
        <v>44773.0</v>
      </c>
      <c r="I92" s="14">
        <v>22.0</v>
      </c>
      <c r="J92" s="13" t="s">
        <v>64</v>
      </c>
      <c r="K92" s="13" t="s">
        <v>81</v>
      </c>
      <c r="L92" s="14">
        <v>3322.0</v>
      </c>
      <c r="M92" s="18" t="s">
        <v>98</v>
      </c>
      <c r="N92" s="20">
        <v>2.0</v>
      </c>
      <c r="O92" s="18">
        <v>33.4</v>
      </c>
      <c r="P92" s="20">
        <v>4.4</v>
      </c>
      <c r="Q92" s="16">
        <v>44959.0</v>
      </c>
      <c r="R92" s="16">
        <v>44814.0</v>
      </c>
      <c r="S92" s="13" t="s">
        <v>45</v>
      </c>
      <c r="T92" s="13" t="s">
        <v>66</v>
      </c>
      <c r="U92" s="13" t="str">
        <f t="shared" si="1"/>
        <v>Moderate</v>
      </c>
      <c r="V92" s="13" t="str">
        <f t="shared" si="2"/>
        <v>Median or Above</v>
      </c>
      <c r="W92" s="13" t="str">
        <f t="shared" si="3"/>
        <v>13–24 Months</v>
      </c>
    </row>
    <row r="93" hidden="1">
      <c r="A93" s="13" t="s">
        <v>358</v>
      </c>
      <c r="B93" s="13" t="s">
        <v>342</v>
      </c>
      <c r="C93" s="14">
        <v>25.0</v>
      </c>
      <c r="D93" s="13" t="s">
        <v>60</v>
      </c>
      <c r="E93" s="13" t="s">
        <v>107</v>
      </c>
      <c r="F93" s="13" t="s">
        <v>37</v>
      </c>
      <c r="G93" s="13" t="s">
        <v>120</v>
      </c>
      <c r="H93" s="16">
        <v>45399.0</v>
      </c>
      <c r="I93" s="14">
        <v>22.0</v>
      </c>
      <c r="J93" s="13" t="s">
        <v>64</v>
      </c>
      <c r="K93" s="13" t="s">
        <v>81</v>
      </c>
      <c r="L93" s="14">
        <v>3324.0</v>
      </c>
      <c r="M93" s="18" t="s">
        <v>98</v>
      </c>
      <c r="N93" s="20">
        <v>1.0</v>
      </c>
      <c r="O93" s="18">
        <v>45.5</v>
      </c>
      <c r="P93" s="20">
        <v>3.0</v>
      </c>
      <c r="Q93" s="16">
        <v>45751.0</v>
      </c>
      <c r="R93" s="16" t="s">
        <v>38</v>
      </c>
      <c r="S93" s="13" t="s">
        <v>55</v>
      </c>
      <c r="T93" s="13" t="s">
        <v>75</v>
      </c>
      <c r="U93" s="13" t="str">
        <f t="shared" si="1"/>
        <v>Moderate</v>
      </c>
      <c r="V93" s="13" t="str">
        <f t="shared" si="2"/>
        <v>Median or Above</v>
      </c>
      <c r="W93" s="13" t="str">
        <f t="shared" si="3"/>
        <v>13–24 Months</v>
      </c>
    </row>
    <row r="94" hidden="1">
      <c r="A94" s="13" t="s">
        <v>359</v>
      </c>
      <c r="B94" s="13" t="s">
        <v>340</v>
      </c>
      <c r="C94" s="14">
        <v>38.0</v>
      </c>
      <c r="D94" s="13" t="s">
        <v>60</v>
      </c>
      <c r="E94" s="13" t="s">
        <v>97</v>
      </c>
      <c r="F94" s="13" t="s">
        <v>62</v>
      </c>
      <c r="G94" s="13" t="s">
        <v>80</v>
      </c>
      <c r="H94" s="16">
        <v>45921.0</v>
      </c>
      <c r="I94" s="14">
        <v>10.0</v>
      </c>
      <c r="J94" s="13" t="s">
        <v>64</v>
      </c>
      <c r="K94" s="13" t="s">
        <v>65</v>
      </c>
      <c r="L94" s="14">
        <v>657.0</v>
      </c>
      <c r="M94" s="18" t="s">
        <v>43</v>
      </c>
      <c r="N94" s="20">
        <v>0.0</v>
      </c>
      <c r="O94" s="18">
        <v>14.3</v>
      </c>
      <c r="P94" s="20">
        <v>3.4</v>
      </c>
      <c r="Q94" s="16">
        <v>46131.0</v>
      </c>
      <c r="R94" s="16" t="s">
        <v>360</v>
      </c>
      <c r="S94" s="13" t="s">
        <v>45</v>
      </c>
      <c r="T94" s="13" t="s">
        <v>72</v>
      </c>
      <c r="U94" s="13" t="str">
        <f t="shared" si="1"/>
        <v>Moderate</v>
      </c>
      <c r="V94" s="13" t="str">
        <f t="shared" si="2"/>
        <v>Below Median</v>
      </c>
      <c r="W94" s="13" t="str">
        <f t="shared" si="3"/>
        <v>0–12 Months</v>
      </c>
    </row>
    <row r="95" hidden="1">
      <c r="A95" s="13" t="s">
        <v>361</v>
      </c>
      <c r="B95" s="13" t="s">
        <v>362</v>
      </c>
      <c r="C95" s="14">
        <v>27.0</v>
      </c>
      <c r="D95" s="13" t="s">
        <v>35</v>
      </c>
      <c r="E95" s="13" t="s">
        <v>140</v>
      </c>
      <c r="F95" s="13" t="s">
        <v>37</v>
      </c>
      <c r="G95" s="13" t="s">
        <v>63</v>
      </c>
      <c r="H95" s="16">
        <v>45304.0</v>
      </c>
      <c r="I95" s="14">
        <v>20.0</v>
      </c>
      <c r="J95" s="13" t="s">
        <v>40</v>
      </c>
      <c r="K95" s="13" t="s">
        <v>41</v>
      </c>
      <c r="L95" s="14">
        <v>1348.0</v>
      </c>
      <c r="M95" s="18" t="s">
        <v>46</v>
      </c>
      <c r="N95" s="20">
        <v>0.0</v>
      </c>
      <c r="O95" s="18">
        <v>50.3</v>
      </c>
      <c r="P95" s="20">
        <v>2.3</v>
      </c>
      <c r="Q95" s="16">
        <v>45811.0</v>
      </c>
      <c r="R95" s="16" t="s">
        <v>38</v>
      </c>
      <c r="S95" s="13" t="s">
        <v>55</v>
      </c>
      <c r="T95" s="13" t="s">
        <v>72</v>
      </c>
      <c r="U95" s="13" t="str">
        <f t="shared" si="1"/>
        <v>Low</v>
      </c>
      <c r="V95" s="13" t="str">
        <f t="shared" si="2"/>
        <v>Median or Above</v>
      </c>
      <c r="W95" s="13" t="str">
        <f t="shared" si="3"/>
        <v>13–24 Months</v>
      </c>
    </row>
    <row r="96">
      <c r="A96" s="13" t="s">
        <v>363</v>
      </c>
      <c r="B96" s="13" t="s">
        <v>364</v>
      </c>
      <c r="C96" s="14">
        <v>45.0</v>
      </c>
      <c r="D96" s="13" t="s">
        <v>35</v>
      </c>
      <c r="E96" s="13" t="s">
        <v>161</v>
      </c>
      <c r="F96" s="13" t="s">
        <v>79</v>
      </c>
      <c r="G96" s="13" t="s">
        <v>80</v>
      </c>
      <c r="H96" s="16">
        <v>44830.0</v>
      </c>
      <c r="I96" s="14">
        <v>39.0</v>
      </c>
      <c r="J96" s="13" t="s">
        <v>53</v>
      </c>
      <c r="K96" s="13" t="s">
        <v>81</v>
      </c>
      <c r="L96" s="14">
        <v>3701.0</v>
      </c>
      <c r="M96" s="18" t="s">
        <v>99</v>
      </c>
      <c r="N96" s="20">
        <v>0.0</v>
      </c>
      <c r="O96" s="18">
        <v>33.2</v>
      </c>
      <c r="P96" s="20">
        <v>4.4</v>
      </c>
      <c r="Q96" s="16">
        <v>45179.0</v>
      </c>
      <c r="R96" s="16" t="s">
        <v>38</v>
      </c>
      <c r="S96" s="13" t="s">
        <v>230</v>
      </c>
      <c r="T96" s="13" t="s">
        <v>47</v>
      </c>
      <c r="U96" s="13" t="str">
        <f t="shared" si="1"/>
        <v>Moderate</v>
      </c>
      <c r="V96" s="13" t="str">
        <f t="shared" si="2"/>
        <v>Median or Above</v>
      </c>
      <c r="W96" s="13" t="str">
        <f t="shared" si="3"/>
        <v>25–48 Months</v>
      </c>
    </row>
    <row r="97" hidden="1">
      <c r="A97" s="13" t="s">
        <v>365</v>
      </c>
      <c r="B97" s="13" t="s">
        <v>241</v>
      </c>
      <c r="C97" s="14">
        <v>68.0</v>
      </c>
      <c r="D97" s="13" t="s">
        <v>60</v>
      </c>
      <c r="E97" s="13" t="s">
        <v>133</v>
      </c>
      <c r="F97" s="13" t="s">
        <v>62</v>
      </c>
      <c r="G97" s="13" t="s">
        <v>39</v>
      </c>
      <c r="H97" s="16">
        <v>45195.0</v>
      </c>
      <c r="I97" s="14">
        <v>31.0</v>
      </c>
      <c r="J97" s="13" t="s">
        <v>53</v>
      </c>
      <c r="K97" s="13" t="s">
        <v>81</v>
      </c>
      <c r="L97" s="14">
        <v>598.0</v>
      </c>
      <c r="M97" s="18" t="s">
        <v>98</v>
      </c>
      <c r="N97" s="20">
        <v>2.0</v>
      </c>
      <c r="O97" s="18">
        <v>19.4</v>
      </c>
      <c r="P97" s="20">
        <v>3.8</v>
      </c>
      <c r="Q97" s="16">
        <v>45789.0</v>
      </c>
      <c r="R97" s="16" t="s">
        <v>366</v>
      </c>
      <c r="S97" s="13" t="s">
        <v>45</v>
      </c>
      <c r="T97" s="13" t="s">
        <v>66</v>
      </c>
      <c r="U97" s="13" t="str">
        <f t="shared" si="1"/>
        <v>Moderate</v>
      </c>
      <c r="V97" s="13" t="str">
        <f t="shared" si="2"/>
        <v>Below Median</v>
      </c>
      <c r="W97" s="13" t="str">
        <f t="shared" si="3"/>
        <v>25–48 Months</v>
      </c>
    </row>
    <row r="98" hidden="1">
      <c r="A98" s="13" t="s">
        <v>367</v>
      </c>
      <c r="B98" s="13" t="s">
        <v>247</v>
      </c>
      <c r="C98" s="14">
        <v>37.0</v>
      </c>
      <c r="D98" s="13" t="s">
        <v>69</v>
      </c>
      <c r="E98" s="13" t="s">
        <v>187</v>
      </c>
      <c r="F98" s="13" t="s">
        <v>37</v>
      </c>
      <c r="G98" s="13" t="s">
        <v>39</v>
      </c>
      <c r="H98" s="16">
        <v>45074.0</v>
      </c>
      <c r="I98" s="14">
        <v>4.0</v>
      </c>
      <c r="J98" s="13" t="s">
        <v>40</v>
      </c>
      <c r="K98" s="13" t="s">
        <v>41</v>
      </c>
      <c r="L98" s="14">
        <v>1566.0</v>
      </c>
      <c r="M98" s="18" t="s">
        <v>98</v>
      </c>
      <c r="N98" s="20">
        <v>0.0</v>
      </c>
      <c r="O98" s="18">
        <v>30.7</v>
      </c>
      <c r="P98" s="20">
        <v>3.3</v>
      </c>
      <c r="Q98" s="16">
        <v>45110.0</v>
      </c>
      <c r="R98" s="16" t="s">
        <v>38</v>
      </c>
      <c r="S98" s="13" t="s">
        <v>55</v>
      </c>
      <c r="T98" s="13" t="s">
        <v>72</v>
      </c>
      <c r="U98" s="13" t="str">
        <f t="shared" si="1"/>
        <v>Moderate</v>
      </c>
      <c r="V98" s="13" t="str">
        <f t="shared" si="2"/>
        <v>Median or Above</v>
      </c>
      <c r="W98" s="13" t="str">
        <f t="shared" si="3"/>
        <v>0–12 Months</v>
      </c>
    </row>
    <row r="99" hidden="1">
      <c r="A99" s="13" t="s">
        <v>369</v>
      </c>
      <c r="B99" s="13" t="s">
        <v>333</v>
      </c>
      <c r="C99" s="14">
        <v>24.0</v>
      </c>
      <c r="D99" s="13" t="s">
        <v>69</v>
      </c>
      <c r="E99" s="13" t="s">
        <v>119</v>
      </c>
      <c r="F99" s="13" t="s">
        <v>62</v>
      </c>
      <c r="G99" s="13" t="s">
        <v>39</v>
      </c>
      <c r="H99" s="16">
        <v>45485.0</v>
      </c>
      <c r="I99" s="14">
        <v>23.0</v>
      </c>
      <c r="J99" s="13" t="s">
        <v>53</v>
      </c>
      <c r="K99" s="13" t="s">
        <v>41</v>
      </c>
      <c r="L99" s="14">
        <v>711.0</v>
      </c>
      <c r="M99" s="18" t="s">
        <v>164</v>
      </c>
      <c r="N99" s="20">
        <v>1.0</v>
      </c>
      <c r="O99" s="18">
        <v>22.3</v>
      </c>
      <c r="P99" s="20">
        <v>4.6</v>
      </c>
      <c r="Q99" s="16">
        <v>46009.0</v>
      </c>
      <c r="R99" s="16" t="s">
        <v>370</v>
      </c>
      <c r="S99" s="13" t="s">
        <v>45</v>
      </c>
      <c r="T99" s="13" t="s">
        <v>104</v>
      </c>
      <c r="U99" s="13" t="str">
        <f t="shared" si="1"/>
        <v>Moderate</v>
      </c>
      <c r="V99" s="13" t="str">
        <f t="shared" si="2"/>
        <v>Below Median</v>
      </c>
      <c r="W99" s="13" t="str">
        <f t="shared" si="3"/>
        <v>13–24 Months</v>
      </c>
    </row>
    <row r="100" hidden="1">
      <c r="A100" s="13" t="s">
        <v>371</v>
      </c>
      <c r="B100" s="13" t="s">
        <v>364</v>
      </c>
      <c r="C100" s="14">
        <v>24.0</v>
      </c>
      <c r="D100" s="13" t="s">
        <v>35</v>
      </c>
      <c r="E100" s="13" t="s">
        <v>161</v>
      </c>
      <c r="F100" s="13" t="s">
        <v>62</v>
      </c>
      <c r="G100" s="13" t="s">
        <v>39</v>
      </c>
      <c r="H100" s="16">
        <v>44640.0</v>
      </c>
      <c r="I100" s="14">
        <v>19.0</v>
      </c>
      <c r="J100" s="13" t="s">
        <v>40</v>
      </c>
      <c r="K100" s="13" t="s">
        <v>65</v>
      </c>
      <c r="L100" s="14">
        <v>1711.0</v>
      </c>
      <c r="M100" s="18" t="s">
        <v>43</v>
      </c>
      <c r="N100" s="20">
        <v>0.0</v>
      </c>
      <c r="O100" s="18">
        <v>22.6</v>
      </c>
      <c r="P100" s="20">
        <v>1.7</v>
      </c>
      <c r="Q100" s="16">
        <v>44792.0</v>
      </c>
      <c r="R100" s="16">
        <v>45268.0</v>
      </c>
      <c r="S100" s="13" t="s">
        <v>45</v>
      </c>
      <c r="T100" s="13" t="s">
        <v>47</v>
      </c>
      <c r="U100" s="13" t="str">
        <f t="shared" si="1"/>
        <v>Low</v>
      </c>
      <c r="V100" s="13" t="str">
        <f t="shared" si="2"/>
        <v>Below Median</v>
      </c>
      <c r="W100" s="13" t="str">
        <f t="shared" si="3"/>
        <v>13–24 Months</v>
      </c>
    </row>
    <row r="101" hidden="1">
      <c r="A101" s="13" t="s">
        <v>374</v>
      </c>
      <c r="B101" s="13" t="s">
        <v>235</v>
      </c>
      <c r="C101" s="14">
        <v>26.0</v>
      </c>
      <c r="D101" s="13" t="s">
        <v>85</v>
      </c>
      <c r="E101" s="13" t="s">
        <v>292</v>
      </c>
      <c r="F101" s="13" t="s">
        <v>37</v>
      </c>
      <c r="G101" s="13" t="s">
        <v>39</v>
      </c>
      <c r="H101" s="16">
        <v>45178.0</v>
      </c>
      <c r="I101" s="14">
        <v>8.0</v>
      </c>
      <c r="J101" s="13" t="s">
        <v>53</v>
      </c>
      <c r="K101" s="13" t="s">
        <v>81</v>
      </c>
      <c r="L101" s="14">
        <v>1653.0</v>
      </c>
      <c r="M101" s="18" t="s">
        <v>38</v>
      </c>
      <c r="N101" s="20">
        <v>2.0</v>
      </c>
      <c r="O101" s="18">
        <v>26.1</v>
      </c>
      <c r="P101" s="20">
        <v>4.4</v>
      </c>
      <c r="Q101" s="16">
        <v>45347.0</v>
      </c>
      <c r="R101" s="16" t="s">
        <v>38</v>
      </c>
      <c r="S101" s="13" t="s">
        <v>55</v>
      </c>
      <c r="T101" s="13" t="s">
        <v>66</v>
      </c>
      <c r="U101" s="13" t="str">
        <f t="shared" si="1"/>
        <v>Moderate</v>
      </c>
      <c r="V101" s="13" t="str">
        <f t="shared" si="2"/>
        <v>Median or Above</v>
      </c>
      <c r="W101" s="13" t="str">
        <f t="shared" si="3"/>
        <v>0–12 Months</v>
      </c>
    </row>
    <row r="102" hidden="1">
      <c r="A102" s="13" t="s">
        <v>375</v>
      </c>
      <c r="B102" s="13" t="s">
        <v>342</v>
      </c>
      <c r="C102" s="14">
        <v>23.0</v>
      </c>
      <c r="D102" s="13" t="s">
        <v>69</v>
      </c>
      <c r="E102" s="13" t="s">
        <v>187</v>
      </c>
      <c r="F102" s="13" t="s">
        <v>62</v>
      </c>
      <c r="G102" s="13" t="s">
        <v>63</v>
      </c>
      <c r="H102" s="16">
        <v>45821.0</v>
      </c>
      <c r="I102" s="14">
        <v>23.0</v>
      </c>
      <c r="J102" s="13" t="s">
        <v>64</v>
      </c>
      <c r="K102" s="13" t="s">
        <v>81</v>
      </c>
      <c r="L102" s="14">
        <v>712.0</v>
      </c>
      <c r="M102" s="18" t="s">
        <v>99</v>
      </c>
      <c r="N102" s="20">
        <v>0.0</v>
      </c>
      <c r="O102" s="18">
        <v>20.7</v>
      </c>
      <c r="P102" s="20">
        <v>3.3</v>
      </c>
      <c r="Q102" s="16">
        <v>46515.0</v>
      </c>
      <c r="R102" s="16" t="s">
        <v>38</v>
      </c>
      <c r="S102" s="13" t="s">
        <v>55</v>
      </c>
      <c r="T102" s="13" t="s">
        <v>66</v>
      </c>
      <c r="U102" s="13" t="str">
        <f t="shared" si="1"/>
        <v>Moderate</v>
      </c>
      <c r="V102" s="13" t="str">
        <f t="shared" si="2"/>
        <v>Below Median</v>
      </c>
      <c r="W102" s="13" t="str">
        <f t="shared" si="3"/>
        <v>13–24 Months</v>
      </c>
    </row>
    <row r="103" hidden="1">
      <c r="A103" s="13" t="s">
        <v>279</v>
      </c>
      <c r="B103" s="13" t="s">
        <v>312</v>
      </c>
      <c r="C103" s="14">
        <v>65.0</v>
      </c>
      <c r="D103" s="13" t="s">
        <v>35</v>
      </c>
      <c r="E103" s="13" t="s">
        <v>140</v>
      </c>
      <c r="F103" s="13" t="s">
        <v>79</v>
      </c>
      <c r="G103" s="13" t="s">
        <v>63</v>
      </c>
      <c r="H103" s="16">
        <v>45863.0</v>
      </c>
      <c r="I103" s="14">
        <v>25.0</v>
      </c>
      <c r="J103" s="13" t="s">
        <v>64</v>
      </c>
      <c r="K103" s="13" t="s">
        <v>81</v>
      </c>
      <c r="L103" s="14">
        <v>2032.0</v>
      </c>
      <c r="M103" s="18" t="s">
        <v>46</v>
      </c>
      <c r="N103" s="20">
        <v>3.0</v>
      </c>
      <c r="O103" s="18">
        <v>44.6</v>
      </c>
      <c r="P103" s="20">
        <v>2.9</v>
      </c>
      <c r="Q103" s="16">
        <v>46238.0</v>
      </c>
      <c r="R103" s="16">
        <v>45668.0</v>
      </c>
      <c r="S103" s="13" t="s">
        <v>45</v>
      </c>
      <c r="T103" s="13" t="s">
        <v>104</v>
      </c>
      <c r="U103" s="13" t="str">
        <f t="shared" si="1"/>
        <v>Low</v>
      </c>
      <c r="V103" s="13" t="str">
        <f t="shared" si="2"/>
        <v>Median or Above</v>
      </c>
      <c r="W103" s="13" t="str">
        <f t="shared" si="3"/>
        <v>25–48 Months</v>
      </c>
    </row>
    <row r="104" hidden="1">
      <c r="A104" s="13" t="s">
        <v>378</v>
      </c>
      <c r="B104" s="13" t="s">
        <v>106</v>
      </c>
      <c r="C104" s="14">
        <v>23.0</v>
      </c>
      <c r="D104" s="13" t="s">
        <v>60</v>
      </c>
      <c r="E104" s="13" t="s">
        <v>97</v>
      </c>
      <c r="F104" s="13" t="s">
        <v>62</v>
      </c>
      <c r="G104" s="13" t="s">
        <v>80</v>
      </c>
      <c r="H104" s="16">
        <v>45255.0</v>
      </c>
      <c r="I104" s="14">
        <v>42.0</v>
      </c>
      <c r="J104" s="13" t="s">
        <v>64</v>
      </c>
      <c r="K104" s="13" t="s">
        <v>65</v>
      </c>
      <c r="L104" s="14">
        <v>897.0</v>
      </c>
      <c r="M104" s="18" t="s">
        <v>98</v>
      </c>
      <c r="N104" s="20">
        <v>2.0</v>
      </c>
      <c r="O104" s="18">
        <v>28.3</v>
      </c>
      <c r="P104" s="20">
        <v>3.3</v>
      </c>
      <c r="Q104" s="16">
        <v>46245.0</v>
      </c>
      <c r="R104" s="16" t="s">
        <v>38</v>
      </c>
      <c r="S104" s="13" t="s">
        <v>55</v>
      </c>
      <c r="T104" s="13" t="s">
        <v>104</v>
      </c>
      <c r="U104" s="13" t="str">
        <f t="shared" si="1"/>
        <v>Moderate</v>
      </c>
      <c r="V104" s="13" t="str">
        <f t="shared" si="2"/>
        <v>Median or Above</v>
      </c>
      <c r="W104" s="13" t="str">
        <f t="shared" si="3"/>
        <v>25–48 Months</v>
      </c>
    </row>
    <row r="105" hidden="1">
      <c r="A105" s="13" t="s">
        <v>379</v>
      </c>
      <c r="B105" s="13" t="s">
        <v>380</v>
      </c>
      <c r="C105" s="14">
        <v>41.0</v>
      </c>
      <c r="D105" s="13" t="s">
        <v>69</v>
      </c>
      <c r="E105" s="13" t="s">
        <v>70</v>
      </c>
      <c r="F105" s="13" t="s">
        <v>37</v>
      </c>
      <c r="G105" s="13" t="s">
        <v>63</v>
      </c>
      <c r="H105" s="16">
        <v>45208.0</v>
      </c>
      <c r="I105" s="14">
        <v>20.0</v>
      </c>
      <c r="J105" s="13" t="s">
        <v>40</v>
      </c>
      <c r="K105" s="13" t="s">
        <v>81</v>
      </c>
      <c r="L105" s="14">
        <v>1483.0</v>
      </c>
      <c r="M105" s="18" t="s">
        <v>98</v>
      </c>
      <c r="N105" s="20">
        <v>0.0</v>
      </c>
      <c r="O105" s="18">
        <v>31.3</v>
      </c>
      <c r="P105" s="20">
        <v>5.0</v>
      </c>
      <c r="Q105" s="16">
        <v>45255.0</v>
      </c>
      <c r="R105" s="16" t="s">
        <v>38</v>
      </c>
      <c r="S105" s="13" t="s">
        <v>55</v>
      </c>
      <c r="T105" s="13" t="s">
        <v>72</v>
      </c>
      <c r="U105" s="13" t="str">
        <f t="shared" si="1"/>
        <v>High</v>
      </c>
      <c r="V105" s="13" t="str">
        <f t="shared" si="2"/>
        <v>Median or Above</v>
      </c>
      <c r="W105" s="13" t="str">
        <f t="shared" si="3"/>
        <v>13–24 Months</v>
      </c>
    </row>
    <row r="106" hidden="1">
      <c r="A106" s="13" t="s">
        <v>381</v>
      </c>
      <c r="B106" s="13" t="s">
        <v>224</v>
      </c>
      <c r="C106" s="14">
        <v>24.0</v>
      </c>
      <c r="D106" s="13" t="s">
        <v>35</v>
      </c>
      <c r="E106" s="13" t="s">
        <v>161</v>
      </c>
      <c r="F106" s="13" t="s">
        <v>62</v>
      </c>
      <c r="G106" s="13" t="s">
        <v>120</v>
      </c>
      <c r="H106" s="16">
        <v>45462.0</v>
      </c>
      <c r="I106" s="14">
        <v>25.0</v>
      </c>
      <c r="J106" s="13" t="s">
        <v>64</v>
      </c>
      <c r="K106" s="13" t="s">
        <v>65</v>
      </c>
      <c r="L106" s="14">
        <v>594.0</v>
      </c>
      <c r="M106" s="18" t="s">
        <v>164</v>
      </c>
      <c r="N106" s="20">
        <v>1.0</v>
      </c>
      <c r="O106" s="18">
        <v>19.4</v>
      </c>
      <c r="P106" s="20">
        <v>4.5</v>
      </c>
      <c r="Q106" s="16">
        <v>45981.0</v>
      </c>
      <c r="R106" s="16" t="s">
        <v>38</v>
      </c>
      <c r="S106" s="13" t="s">
        <v>55</v>
      </c>
      <c r="T106" s="13" t="s">
        <v>104</v>
      </c>
      <c r="U106" s="13" t="str">
        <f t="shared" si="1"/>
        <v>Moderate</v>
      </c>
      <c r="V106" s="13" t="str">
        <f t="shared" si="2"/>
        <v>Below Median</v>
      </c>
      <c r="W106" s="13" t="str">
        <f t="shared" si="3"/>
        <v>25–48 Months</v>
      </c>
    </row>
    <row r="107" hidden="1">
      <c r="A107" s="13" t="s">
        <v>382</v>
      </c>
      <c r="B107" s="13" t="s">
        <v>383</v>
      </c>
      <c r="C107" s="14">
        <v>41.0</v>
      </c>
      <c r="D107" s="13" t="s">
        <v>69</v>
      </c>
      <c r="E107" s="13" t="s">
        <v>177</v>
      </c>
      <c r="F107" s="13" t="s">
        <v>62</v>
      </c>
      <c r="G107" s="13" t="s">
        <v>63</v>
      </c>
      <c r="H107" s="16">
        <v>45233.0</v>
      </c>
      <c r="I107" s="14">
        <v>43.0</v>
      </c>
      <c r="J107" s="13" t="s">
        <v>53</v>
      </c>
      <c r="K107" s="13" t="s">
        <v>41</v>
      </c>
      <c r="L107" s="14">
        <v>727.0</v>
      </c>
      <c r="M107" s="18" t="s">
        <v>376</v>
      </c>
      <c r="N107" s="20">
        <v>1.0</v>
      </c>
      <c r="O107" s="18">
        <v>16.4</v>
      </c>
      <c r="P107" s="20">
        <v>3.7</v>
      </c>
      <c r="Q107" s="16">
        <v>46115.0</v>
      </c>
      <c r="R107" s="16" t="s">
        <v>38</v>
      </c>
      <c r="S107" s="13" t="s">
        <v>55</v>
      </c>
      <c r="T107" s="13" t="s">
        <v>72</v>
      </c>
      <c r="U107" s="13" t="str">
        <f t="shared" si="1"/>
        <v>Moderate</v>
      </c>
      <c r="V107" s="13" t="str">
        <f t="shared" si="2"/>
        <v>Below Median</v>
      </c>
      <c r="W107" s="13" t="str">
        <f t="shared" si="3"/>
        <v>25–48 Months</v>
      </c>
    </row>
    <row r="108" hidden="1">
      <c r="A108" s="13" t="s">
        <v>385</v>
      </c>
      <c r="B108" s="13" t="s">
        <v>126</v>
      </c>
      <c r="C108" s="14">
        <v>57.0</v>
      </c>
      <c r="D108" s="13" t="s">
        <v>85</v>
      </c>
      <c r="E108" s="13" t="s">
        <v>92</v>
      </c>
      <c r="F108" s="13" t="s">
        <v>37</v>
      </c>
      <c r="G108" s="13" t="s">
        <v>128</v>
      </c>
      <c r="H108" s="16">
        <v>44679.0</v>
      </c>
      <c r="I108" s="14">
        <v>5.0</v>
      </c>
      <c r="J108" s="13" t="s">
        <v>64</v>
      </c>
      <c r="K108" s="13" t="s">
        <v>65</v>
      </c>
      <c r="L108" s="14">
        <v>1371.0</v>
      </c>
      <c r="M108" s="18" t="s">
        <v>164</v>
      </c>
      <c r="N108" s="20">
        <v>2.0</v>
      </c>
      <c r="O108" s="18">
        <v>40.7</v>
      </c>
      <c r="P108" s="20">
        <v>3.2</v>
      </c>
      <c r="Q108" s="16">
        <v>44729.0</v>
      </c>
      <c r="R108" s="16" t="s">
        <v>38</v>
      </c>
      <c r="S108" s="13" t="s">
        <v>55</v>
      </c>
      <c r="T108" s="13" t="s">
        <v>104</v>
      </c>
      <c r="U108" s="13" t="str">
        <f t="shared" si="1"/>
        <v>Moderate</v>
      </c>
      <c r="V108" s="13" t="str">
        <f t="shared" si="2"/>
        <v>Median or Above</v>
      </c>
      <c r="W108" s="13" t="str">
        <f t="shared" si="3"/>
        <v>0–12 Months</v>
      </c>
    </row>
    <row r="109" hidden="1">
      <c r="A109" s="13" t="s">
        <v>327</v>
      </c>
      <c r="B109" s="13" t="s">
        <v>281</v>
      </c>
      <c r="C109" s="14">
        <v>47.0</v>
      </c>
      <c r="D109" s="13" t="s">
        <v>35</v>
      </c>
      <c r="E109" s="13" t="s">
        <v>51</v>
      </c>
      <c r="F109" s="13" t="s">
        <v>37</v>
      </c>
      <c r="G109" s="13" t="s">
        <v>210</v>
      </c>
      <c r="H109" s="16">
        <v>45303.0</v>
      </c>
      <c r="I109" s="14">
        <v>25.0</v>
      </c>
      <c r="J109" s="13" t="s">
        <v>40</v>
      </c>
      <c r="K109" s="13" t="s">
        <v>81</v>
      </c>
      <c r="L109" s="14">
        <v>1618.0</v>
      </c>
      <c r="M109" s="18" t="s">
        <v>98</v>
      </c>
      <c r="N109" s="20">
        <v>0.0</v>
      </c>
      <c r="O109" s="18">
        <v>48.3</v>
      </c>
      <c r="P109" s="20">
        <v>4.2</v>
      </c>
      <c r="Q109" s="16">
        <v>46008.0</v>
      </c>
      <c r="R109" s="16" t="s">
        <v>386</v>
      </c>
      <c r="S109" s="13" t="s">
        <v>45</v>
      </c>
      <c r="T109" s="13" t="s">
        <v>47</v>
      </c>
      <c r="U109" s="13" t="str">
        <f t="shared" si="1"/>
        <v>Moderate</v>
      </c>
      <c r="V109" s="13" t="str">
        <f t="shared" si="2"/>
        <v>Median or Above</v>
      </c>
      <c r="W109" s="13" t="str">
        <f t="shared" si="3"/>
        <v>25–48 Months</v>
      </c>
    </row>
    <row r="110" hidden="1">
      <c r="A110" s="13" t="s">
        <v>471</v>
      </c>
      <c r="B110" s="13" t="s">
        <v>247</v>
      </c>
      <c r="C110" s="14">
        <v>35.0</v>
      </c>
      <c r="D110" s="13" t="s">
        <v>60</v>
      </c>
      <c r="E110" s="13" t="s">
        <v>133</v>
      </c>
      <c r="F110" s="13" t="s">
        <v>62</v>
      </c>
      <c r="G110" s="13" t="s">
        <v>210</v>
      </c>
      <c r="H110" s="16">
        <v>45073.0</v>
      </c>
      <c r="I110" s="14">
        <v>8.0</v>
      </c>
      <c r="J110" s="13" t="s">
        <v>53</v>
      </c>
      <c r="K110" s="13" t="s">
        <v>81</v>
      </c>
      <c r="L110" s="14">
        <v>594.0</v>
      </c>
      <c r="M110" s="18" t="s">
        <v>164</v>
      </c>
      <c r="N110" s="20">
        <v>1.0</v>
      </c>
      <c r="O110" s="18">
        <v>9.9</v>
      </c>
      <c r="P110" s="20">
        <v>2.2</v>
      </c>
      <c r="Q110" s="16">
        <v>45182.0</v>
      </c>
      <c r="R110" s="16" t="s">
        <v>38</v>
      </c>
      <c r="S110" s="13" t="s">
        <v>55</v>
      </c>
      <c r="T110" s="13" t="s">
        <v>75</v>
      </c>
      <c r="U110" s="13" t="str">
        <f t="shared" si="1"/>
        <v>Low</v>
      </c>
      <c r="V110" s="13" t="str">
        <f t="shared" si="2"/>
        <v>Below Median</v>
      </c>
      <c r="W110" s="13" t="str">
        <f t="shared" si="3"/>
        <v>0–12 Months</v>
      </c>
    </row>
    <row r="111" hidden="1">
      <c r="A111" s="13" t="s">
        <v>388</v>
      </c>
      <c r="B111" s="13" t="s">
        <v>281</v>
      </c>
      <c r="C111" s="14">
        <v>64.0</v>
      </c>
      <c r="D111" s="13" t="s">
        <v>60</v>
      </c>
      <c r="E111" s="13" t="s">
        <v>133</v>
      </c>
      <c r="F111" s="13" t="s">
        <v>62</v>
      </c>
      <c r="G111" s="13" t="s">
        <v>39</v>
      </c>
      <c r="H111" s="16">
        <v>44713.0</v>
      </c>
      <c r="I111" s="14">
        <v>29.0</v>
      </c>
      <c r="J111" s="13" t="s">
        <v>40</v>
      </c>
      <c r="K111" s="13" t="s">
        <v>81</v>
      </c>
      <c r="L111" s="14">
        <v>864.0</v>
      </c>
      <c r="M111" s="18" t="s">
        <v>98</v>
      </c>
      <c r="N111" s="20">
        <v>1.0</v>
      </c>
      <c r="O111" s="18">
        <v>15.9</v>
      </c>
      <c r="P111" s="20">
        <v>2.3</v>
      </c>
      <c r="Q111" s="16">
        <v>45552.0</v>
      </c>
      <c r="R111" s="16" t="s">
        <v>38</v>
      </c>
      <c r="S111" s="13" t="s">
        <v>55</v>
      </c>
      <c r="T111" s="13" t="s">
        <v>66</v>
      </c>
      <c r="U111" s="13" t="str">
        <f t="shared" si="1"/>
        <v>Low</v>
      </c>
      <c r="V111" s="13" t="str">
        <f t="shared" si="2"/>
        <v>Below Median</v>
      </c>
      <c r="W111" s="13" t="str">
        <f t="shared" si="3"/>
        <v>25–48 Months</v>
      </c>
    </row>
    <row r="112" hidden="1">
      <c r="A112" s="13" t="s">
        <v>389</v>
      </c>
      <c r="B112" s="13" t="s">
        <v>316</v>
      </c>
      <c r="C112" s="14">
        <v>20.0</v>
      </c>
      <c r="D112" s="13" t="s">
        <v>60</v>
      </c>
      <c r="E112" s="13" t="s">
        <v>97</v>
      </c>
      <c r="F112" s="13" t="s">
        <v>37</v>
      </c>
      <c r="G112" s="13" t="s">
        <v>52</v>
      </c>
      <c r="H112" s="16">
        <v>45868.0</v>
      </c>
      <c r="I112" s="14">
        <v>12.0</v>
      </c>
      <c r="J112" s="13" t="s">
        <v>53</v>
      </c>
      <c r="K112" s="13" t="s">
        <v>81</v>
      </c>
      <c r="L112" s="14">
        <v>1228.0</v>
      </c>
      <c r="M112" s="18" t="s">
        <v>43</v>
      </c>
      <c r="N112" s="20">
        <v>1.0</v>
      </c>
      <c r="O112" s="18">
        <v>26.2</v>
      </c>
      <c r="P112" s="20">
        <v>4.3</v>
      </c>
      <c r="Q112" s="16">
        <v>45980.0</v>
      </c>
      <c r="R112" s="16">
        <v>45880.0</v>
      </c>
      <c r="S112" s="13" t="s">
        <v>45</v>
      </c>
      <c r="T112" s="13" t="s">
        <v>66</v>
      </c>
      <c r="U112" s="13" t="str">
        <f t="shared" si="1"/>
        <v>Moderate</v>
      </c>
      <c r="V112" s="13" t="str">
        <f t="shared" si="2"/>
        <v>Median or Above</v>
      </c>
      <c r="W112" s="13" t="str">
        <f t="shared" si="3"/>
        <v>0–12 Months</v>
      </c>
    </row>
    <row r="113" hidden="1">
      <c r="A113" s="13" t="s">
        <v>392</v>
      </c>
      <c r="B113" s="13" t="s">
        <v>393</v>
      </c>
      <c r="C113" s="14">
        <v>55.0</v>
      </c>
      <c r="D113" s="13" t="s">
        <v>85</v>
      </c>
      <c r="E113" s="13" t="s">
        <v>111</v>
      </c>
      <c r="F113" s="13" t="s">
        <v>37</v>
      </c>
      <c r="G113" s="13" t="s">
        <v>63</v>
      </c>
      <c r="H113" s="16">
        <v>44696.0</v>
      </c>
      <c r="I113" s="14">
        <v>20.0</v>
      </c>
      <c r="J113" s="13" t="s">
        <v>40</v>
      </c>
      <c r="K113" s="13" t="s">
        <v>41</v>
      </c>
      <c r="L113" s="14">
        <v>1735.0</v>
      </c>
      <c r="M113" s="18" t="s">
        <v>164</v>
      </c>
      <c r="N113" s="20">
        <v>1.0</v>
      </c>
      <c r="O113" s="18">
        <v>21.6</v>
      </c>
      <c r="P113" s="20">
        <v>3.6</v>
      </c>
      <c r="Q113" s="16">
        <v>45244.0</v>
      </c>
      <c r="R113" s="16" t="s">
        <v>38</v>
      </c>
      <c r="S113" s="13" t="s">
        <v>55</v>
      </c>
      <c r="T113" s="13" t="s">
        <v>72</v>
      </c>
      <c r="U113" s="13" t="str">
        <f t="shared" si="1"/>
        <v>Moderate</v>
      </c>
      <c r="V113" s="13" t="str">
        <f t="shared" si="2"/>
        <v>Below Median</v>
      </c>
      <c r="W113" s="13" t="str">
        <f t="shared" si="3"/>
        <v>13–24 Months</v>
      </c>
    </row>
    <row r="114" hidden="1">
      <c r="A114" s="13" t="s">
        <v>394</v>
      </c>
      <c r="B114" s="13" t="s">
        <v>308</v>
      </c>
      <c r="C114" s="14">
        <v>26.0</v>
      </c>
      <c r="D114" s="13" t="s">
        <v>35</v>
      </c>
      <c r="E114" s="13" t="s">
        <v>140</v>
      </c>
      <c r="F114" s="13" t="s">
        <v>37</v>
      </c>
      <c r="G114" s="13" t="s">
        <v>80</v>
      </c>
      <c r="H114" s="16">
        <v>45267.0</v>
      </c>
      <c r="I114" s="14">
        <v>9.0</v>
      </c>
      <c r="J114" s="13" t="s">
        <v>64</v>
      </c>
      <c r="K114" s="13" t="s">
        <v>41</v>
      </c>
      <c r="L114" s="14">
        <v>1563.0</v>
      </c>
      <c r="M114" s="18" t="s">
        <v>98</v>
      </c>
      <c r="N114" s="20">
        <v>1.0</v>
      </c>
      <c r="O114" s="18">
        <v>27.1</v>
      </c>
      <c r="P114" s="20">
        <v>3.8</v>
      </c>
      <c r="Q114" s="16">
        <v>45370.0</v>
      </c>
      <c r="R114" s="16">
        <v>45629.0</v>
      </c>
      <c r="S114" s="13" t="s">
        <v>45</v>
      </c>
      <c r="T114" s="13" t="s">
        <v>72</v>
      </c>
      <c r="U114" s="13" t="str">
        <f t="shared" si="1"/>
        <v>Moderate</v>
      </c>
      <c r="V114" s="13" t="str">
        <f t="shared" si="2"/>
        <v>Median or Above</v>
      </c>
      <c r="W114" s="13" t="str">
        <f t="shared" si="3"/>
        <v>0–12 Months</v>
      </c>
    </row>
    <row r="115" hidden="1">
      <c r="A115" s="13" t="s">
        <v>505</v>
      </c>
      <c r="B115" s="13" t="s">
        <v>398</v>
      </c>
      <c r="C115" s="14">
        <v>51.0</v>
      </c>
      <c r="D115" s="13" t="s">
        <v>69</v>
      </c>
      <c r="E115" s="13" t="s">
        <v>177</v>
      </c>
      <c r="F115" s="13" t="s">
        <v>79</v>
      </c>
      <c r="G115" s="13" t="s">
        <v>39</v>
      </c>
      <c r="H115" s="16">
        <v>45270.0</v>
      </c>
      <c r="I115" s="14">
        <v>34.0</v>
      </c>
      <c r="J115" s="13" t="s">
        <v>64</v>
      </c>
      <c r="K115" s="13" t="s">
        <v>41</v>
      </c>
      <c r="L115" s="14">
        <v>2401.0</v>
      </c>
      <c r="M115" s="18" t="s">
        <v>43</v>
      </c>
      <c r="N115" s="20">
        <v>0.0</v>
      </c>
      <c r="O115" s="18">
        <v>49.1</v>
      </c>
      <c r="P115" s="20" t="s">
        <v>38</v>
      </c>
      <c r="Q115" s="16">
        <v>45842.0</v>
      </c>
      <c r="R115" s="16" t="s">
        <v>399</v>
      </c>
      <c r="S115" s="13" t="s">
        <v>45</v>
      </c>
      <c r="T115" s="13" t="s">
        <v>66</v>
      </c>
      <c r="U115" s="13" t="str">
        <f t="shared" si="1"/>
        <v/>
      </c>
      <c r="V115" s="13" t="str">
        <f t="shared" si="2"/>
        <v>Median or Above</v>
      </c>
      <c r="W115" s="13" t="str">
        <f t="shared" si="3"/>
        <v>25–48 Months</v>
      </c>
    </row>
    <row r="116" hidden="1">
      <c r="A116" s="13" t="s">
        <v>171</v>
      </c>
      <c r="B116" s="13" t="s">
        <v>331</v>
      </c>
      <c r="C116" s="14">
        <v>60.0</v>
      </c>
      <c r="D116" s="13" t="s">
        <v>69</v>
      </c>
      <c r="E116" s="13" t="s">
        <v>187</v>
      </c>
      <c r="F116" s="13" t="s">
        <v>37</v>
      </c>
      <c r="G116" s="13" t="s">
        <v>52</v>
      </c>
      <c r="H116" s="16">
        <v>45801.0</v>
      </c>
      <c r="I116" s="14">
        <v>22.0</v>
      </c>
      <c r="J116" s="13" t="s">
        <v>40</v>
      </c>
      <c r="K116" s="13" t="s">
        <v>81</v>
      </c>
      <c r="L116" s="14">
        <v>1041.0</v>
      </c>
      <c r="M116" s="18" t="s">
        <v>43</v>
      </c>
      <c r="N116" s="20">
        <v>1.0</v>
      </c>
      <c r="O116" s="18">
        <v>30.3</v>
      </c>
      <c r="P116" s="20">
        <v>3.5</v>
      </c>
      <c r="Q116" s="16">
        <v>45840.0</v>
      </c>
      <c r="R116" s="16" t="s">
        <v>401</v>
      </c>
      <c r="S116" s="13" t="s">
        <v>45</v>
      </c>
      <c r="T116" s="13" t="s">
        <v>75</v>
      </c>
      <c r="U116" s="13" t="str">
        <f t="shared" si="1"/>
        <v>Moderate</v>
      </c>
      <c r="V116" s="13" t="str">
        <f t="shared" si="2"/>
        <v>Median or Above</v>
      </c>
      <c r="W116" s="13" t="str">
        <f t="shared" si="3"/>
        <v>13–24 Months</v>
      </c>
    </row>
    <row r="117" hidden="1">
      <c r="A117" s="13" t="s">
        <v>402</v>
      </c>
      <c r="B117" s="13" t="s">
        <v>235</v>
      </c>
      <c r="C117" s="14">
        <v>63.0</v>
      </c>
      <c r="D117" s="13" t="s">
        <v>35</v>
      </c>
      <c r="E117" s="13" t="s">
        <v>140</v>
      </c>
      <c r="F117" s="13" t="s">
        <v>79</v>
      </c>
      <c r="G117" s="13" t="s">
        <v>80</v>
      </c>
      <c r="H117" s="16">
        <v>45155.0</v>
      </c>
      <c r="I117" s="14">
        <v>42.0</v>
      </c>
      <c r="J117" s="13" t="s">
        <v>40</v>
      </c>
      <c r="K117" s="13" t="s">
        <v>41</v>
      </c>
      <c r="L117" s="14">
        <v>3647.0</v>
      </c>
      <c r="M117" s="18" t="s">
        <v>46</v>
      </c>
      <c r="N117" s="20">
        <v>0.0</v>
      </c>
      <c r="O117" s="18">
        <v>45.5</v>
      </c>
      <c r="P117" s="20">
        <v>4.8</v>
      </c>
      <c r="Q117" s="16">
        <v>45996.0</v>
      </c>
      <c r="R117" s="16" t="s">
        <v>403</v>
      </c>
      <c r="S117" s="13" t="s">
        <v>45</v>
      </c>
      <c r="T117" s="13" t="s">
        <v>75</v>
      </c>
      <c r="U117" s="13" t="str">
        <f t="shared" si="1"/>
        <v>Moderate</v>
      </c>
      <c r="V117" s="13" t="str">
        <f t="shared" si="2"/>
        <v>Median or Above</v>
      </c>
      <c r="W117" s="13" t="str">
        <f t="shared" si="3"/>
        <v>25–48 Months</v>
      </c>
    </row>
    <row r="118" hidden="1">
      <c r="A118" s="13" t="s">
        <v>404</v>
      </c>
      <c r="B118" s="13" t="s">
        <v>405</v>
      </c>
      <c r="C118" s="14">
        <v>51.0</v>
      </c>
      <c r="D118" s="13" t="s">
        <v>85</v>
      </c>
      <c r="E118" s="13" t="s">
        <v>87</v>
      </c>
      <c r="F118" s="13" t="s">
        <v>62</v>
      </c>
      <c r="G118" s="13" t="s">
        <v>80</v>
      </c>
      <c r="H118" s="16">
        <v>44856.0</v>
      </c>
      <c r="I118" s="14">
        <v>21.0</v>
      </c>
      <c r="J118" s="13" t="s">
        <v>64</v>
      </c>
      <c r="K118" s="13" t="s">
        <v>41</v>
      </c>
      <c r="L118" s="14">
        <v>662.0</v>
      </c>
      <c r="M118" s="18" t="s">
        <v>46</v>
      </c>
      <c r="N118" s="20">
        <v>0.0</v>
      </c>
      <c r="O118" s="18">
        <v>23.8</v>
      </c>
      <c r="P118" s="20">
        <v>2.7</v>
      </c>
      <c r="Q118" s="16">
        <v>45219.0</v>
      </c>
      <c r="R118" s="16">
        <v>45352.0</v>
      </c>
      <c r="S118" s="13" t="s">
        <v>45</v>
      </c>
      <c r="T118" s="13" t="s">
        <v>72</v>
      </c>
      <c r="U118" s="13" t="str">
        <f t="shared" si="1"/>
        <v>Low</v>
      </c>
      <c r="V118" s="13" t="str">
        <f t="shared" si="2"/>
        <v>Below Median</v>
      </c>
      <c r="W118" s="13" t="str">
        <f t="shared" si="3"/>
        <v>13–24 Months</v>
      </c>
    </row>
    <row r="119" hidden="1">
      <c r="A119" s="13" t="s">
        <v>407</v>
      </c>
      <c r="B119" s="13" t="s">
        <v>405</v>
      </c>
      <c r="C119" s="14">
        <v>55.0</v>
      </c>
      <c r="D119" s="13" t="s">
        <v>85</v>
      </c>
      <c r="E119" s="13" t="s">
        <v>292</v>
      </c>
      <c r="F119" s="13" t="s">
        <v>62</v>
      </c>
      <c r="G119" s="13" t="s">
        <v>39</v>
      </c>
      <c r="H119" s="16">
        <v>44850.0</v>
      </c>
      <c r="I119" s="14">
        <v>7.0</v>
      </c>
      <c r="J119" s="13" t="s">
        <v>64</v>
      </c>
      <c r="K119" s="13" t="s">
        <v>65</v>
      </c>
      <c r="L119" s="14">
        <v>695.0</v>
      </c>
      <c r="M119" s="18" t="s">
        <v>43</v>
      </c>
      <c r="N119" s="20">
        <v>0.0</v>
      </c>
      <c r="O119" s="18">
        <v>13.8</v>
      </c>
      <c r="P119" s="20">
        <v>4.1</v>
      </c>
      <c r="Q119" s="16">
        <v>44923.0</v>
      </c>
      <c r="R119" s="16" t="s">
        <v>38</v>
      </c>
      <c r="S119" s="13" t="s">
        <v>55</v>
      </c>
      <c r="T119" s="13" t="s">
        <v>47</v>
      </c>
      <c r="U119" s="13" t="str">
        <f t="shared" si="1"/>
        <v>Moderate</v>
      </c>
      <c r="V119" s="13" t="str">
        <f t="shared" si="2"/>
        <v>Below Median</v>
      </c>
      <c r="W119" s="13" t="str">
        <f t="shared" si="3"/>
        <v>0–12 Months</v>
      </c>
    </row>
    <row r="120" hidden="1">
      <c r="A120" s="13" t="s">
        <v>409</v>
      </c>
      <c r="B120" s="13" t="s">
        <v>362</v>
      </c>
      <c r="C120" s="14">
        <v>56.0</v>
      </c>
      <c r="D120" s="13" t="s">
        <v>69</v>
      </c>
      <c r="E120" s="13" t="s">
        <v>119</v>
      </c>
      <c r="F120" s="13" t="s">
        <v>79</v>
      </c>
      <c r="G120" s="13" t="s">
        <v>120</v>
      </c>
      <c r="H120" s="16">
        <v>45583.0</v>
      </c>
      <c r="I120" s="14">
        <v>20.0</v>
      </c>
      <c r="J120" s="13" t="s">
        <v>53</v>
      </c>
      <c r="K120" s="13" t="s">
        <v>41</v>
      </c>
      <c r="L120" s="14">
        <v>3034.0</v>
      </c>
      <c r="M120" s="18" t="s">
        <v>164</v>
      </c>
      <c r="N120" s="20">
        <v>0.0</v>
      </c>
      <c r="O120" s="18">
        <v>43.7</v>
      </c>
      <c r="P120" s="20">
        <v>4.1</v>
      </c>
      <c r="Q120" s="16">
        <v>46061.0</v>
      </c>
      <c r="R120" s="16" t="s">
        <v>38</v>
      </c>
      <c r="S120" s="13" t="s">
        <v>55</v>
      </c>
      <c r="T120" s="13" t="s">
        <v>104</v>
      </c>
      <c r="U120" s="13" t="str">
        <f t="shared" si="1"/>
        <v>Moderate</v>
      </c>
      <c r="V120" s="13" t="str">
        <f t="shared" si="2"/>
        <v>Median or Above</v>
      </c>
      <c r="W120" s="13" t="str">
        <f t="shared" si="3"/>
        <v>13–24 Months</v>
      </c>
    </row>
    <row r="121" hidden="1">
      <c r="A121" s="13" t="s">
        <v>410</v>
      </c>
      <c r="B121" s="13" t="s">
        <v>411</v>
      </c>
      <c r="C121" s="14">
        <v>21.0</v>
      </c>
      <c r="D121" s="13" t="s">
        <v>85</v>
      </c>
      <c r="E121" s="13" t="s">
        <v>87</v>
      </c>
      <c r="F121" s="13" t="s">
        <v>62</v>
      </c>
      <c r="G121" s="13" t="s">
        <v>63</v>
      </c>
      <c r="H121" s="16">
        <v>44782.0</v>
      </c>
      <c r="I121" s="14">
        <v>28.0</v>
      </c>
      <c r="J121" s="13" t="s">
        <v>53</v>
      </c>
      <c r="K121" s="13" t="s">
        <v>41</v>
      </c>
      <c r="L121" s="14">
        <v>634.0</v>
      </c>
      <c r="M121" s="18" t="s">
        <v>164</v>
      </c>
      <c r="N121" s="20">
        <v>1.0</v>
      </c>
      <c r="O121" s="18">
        <v>4.6</v>
      </c>
      <c r="P121" s="20">
        <v>5.0</v>
      </c>
      <c r="Q121" s="16">
        <v>45574.0</v>
      </c>
      <c r="R121" s="16" t="s">
        <v>38</v>
      </c>
      <c r="S121" s="13" t="s">
        <v>55</v>
      </c>
      <c r="T121" s="13" t="s">
        <v>66</v>
      </c>
      <c r="U121" s="13" t="str">
        <f t="shared" si="1"/>
        <v>High</v>
      </c>
      <c r="V121" s="13" t="str">
        <f t="shared" si="2"/>
        <v>Below Median</v>
      </c>
      <c r="W121" s="13" t="str">
        <f t="shared" si="3"/>
        <v>25–48 Months</v>
      </c>
    </row>
    <row r="122" hidden="1">
      <c r="A122" s="13" t="s">
        <v>412</v>
      </c>
      <c r="B122" s="13" t="s">
        <v>340</v>
      </c>
      <c r="C122" s="14">
        <v>27.0</v>
      </c>
      <c r="D122" s="13" t="s">
        <v>69</v>
      </c>
      <c r="E122" s="13" t="s">
        <v>177</v>
      </c>
      <c r="F122" s="13" t="s">
        <v>79</v>
      </c>
      <c r="G122" s="13" t="s">
        <v>63</v>
      </c>
      <c r="H122" s="16">
        <v>45353.0</v>
      </c>
      <c r="I122" s="14">
        <v>33.0</v>
      </c>
      <c r="J122" s="13" t="s">
        <v>40</v>
      </c>
      <c r="K122" s="13" t="s">
        <v>65</v>
      </c>
      <c r="L122" s="14">
        <v>1285.0</v>
      </c>
      <c r="M122" s="18" t="s">
        <v>43</v>
      </c>
      <c r="N122" s="20">
        <v>0.0</v>
      </c>
      <c r="O122" s="18">
        <v>34.1</v>
      </c>
      <c r="P122" s="20">
        <v>2.4</v>
      </c>
      <c r="Q122" s="16">
        <v>46001.0</v>
      </c>
      <c r="R122" s="16" t="s">
        <v>38</v>
      </c>
      <c r="S122" s="13" t="s">
        <v>55</v>
      </c>
      <c r="T122" s="13" t="s">
        <v>72</v>
      </c>
      <c r="U122" s="13" t="str">
        <f t="shared" si="1"/>
        <v>Low</v>
      </c>
      <c r="V122" s="13" t="str">
        <f t="shared" si="2"/>
        <v>Median or Above</v>
      </c>
      <c r="W122" s="13" t="str">
        <f t="shared" si="3"/>
        <v>25–48 Months</v>
      </c>
    </row>
    <row r="123" hidden="1">
      <c r="A123" s="13" t="s">
        <v>329</v>
      </c>
      <c r="B123" s="13" t="s">
        <v>110</v>
      </c>
      <c r="C123" s="14">
        <v>28.0</v>
      </c>
      <c r="D123" s="13" t="s">
        <v>60</v>
      </c>
      <c r="E123" s="13" t="s">
        <v>97</v>
      </c>
      <c r="F123" s="13" t="s">
        <v>62</v>
      </c>
      <c r="G123" s="13" t="s">
        <v>80</v>
      </c>
      <c r="H123" s="16">
        <v>45384.0</v>
      </c>
      <c r="I123" s="14">
        <v>33.0</v>
      </c>
      <c r="J123" s="13" t="s">
        <v>64</v>
      </c>
      <c r="K123" s="13" t="s">
        <v>81</v>
      </c>
      <c r="L123" s="14">
        <v>518.0</v>
      </c>
      <c r="M123" s="18" t="s">
        <v>43</v>
      </c>
      <c r="N123" s="20">
        <v>0.0</v>
      </c>
      <c r="O123" s="18">
        <v>25.8</v>
      </c>
      <c r="P123" s="20">
        <v>3.7</v>
      </c>
      <c r="Q123" s="16">
        <v>45735.0</v>
      </c>
      <c r="R123" s="16" t="s">
        <v>38</v>
      </c>
      <c r="S123" s="13" t="s">
        <v>55</v>
      </c>
      <c r="T123" s="13" t="s">
        <v>47</v>
      </c>
      <c r="U123" s="13" t="str">
        <f t="shared" si="1"/>
        <v>Moderate</v>
      </c>
      <c r="V123" s="13" t="str">
        <f t="shared" si="2"/>
        <v>Median or Above</v>
      </c>
      <c r="W123" s="13" t="str">
        <f t="shared" si="3"/>
        <v>25–48 Months</v>
      </c>
    </row>
    <row r="124" hidden="1">
      <c r="A124" s="13" t="s">
        <v>414</v>
      </c>
      <c r="B124" s="13" t="s">
        <v>364</v>
      </c>
      <c r="C124" s="14">
        <v>42.0</v>
      </c>
      <c r="D124" s="13" t="s">
        <v>60</v>
      </c>
      <c r="E124" s="13" t="s">
        <v>97</v>
      </c>
      <c r="F124" s="13" t="s">
        <v>62</v>
      </c>
      <c r="G124" s="13" t="s">
        <v>80</v>
      </c>
      <c r="H124" s="16">
        <v>45174.0</v>
      </c>
      <c r="I124" s="14">
        <v>38.0</v>
      </c>
      <c r="J124" s="13" t="s">
        <v>53</v>
      </c>
      <c r="K124" s="13" t="s">
        <v>81</v>
      </c>
      <c r="L124" s="14">
        <v>759.0</v>
      </c>
      <c r="M124" s="18" t="s">
        <v>98</v>
      </c>
      <c r="N124" s="20">
        <v>3.0</v>
      </c>
      <c r="O124" s="18">
        <v>35.2</v>
      </c>
      <c r="P124" s="20">
        <v>4.3</v>
      </c>
      <c r="Q124" s="16">
        <v>45797.0</v>
      </c>
      <c r="R124" s="16" t="s">
        <v>38</v>
      </c>
      <c r="S124" s="13" t="s">
        <v>55</v>
      </c>
      <c r="T124" s="13" t="s">
        <v>104</v>
      </c>
      <c r="U124" s="13" t="str">
        <f t="shared" si="1"/>
        <v>Moderate</v>
      </c>
      <c r="V124" s="13" t="str">
        <f t="shared" si="2"/>
        <v>Median or Above</v>
      </c>
      <c r="W124" s="13" t="str">
        <f t="shared" si="3"/>
        <v>25–48 Months</v>
      </c>
    </row>
    <row r="125" hidden="1">
      <c r="A125" s="13" t="s">
        <v>415</v>
      </c>
      <c r="B125" s="13" t="s">
        <v>50</v>
      </c>
      <c r="C125" s="14">
        <v>28.0</v>
      </c>
      <c r="D125" s="13" t="s">
        <v>60</v>
      </c>
      <c r="E125" s="13" t="s">
        <v>61</v>
      </c>
      <c r="F125" s="13" t="s">
        <v>37</v>
      </c>
      <c r="G125" s="13" t="s">
        <v>210</v>
      </c>
      <c r="H125" s="16">
        <v>45904.0</v>
      </c>
      <c r="I125" s="14">
        <v>38.0</v>
      </c>
      <c r="J125" s="13" t="s">
        <v>64</v>
      </c>
      <c r="K125" s="13" t="s">
        <v>41</v>
      </c>
      <c r="L125" s="14">
        <v>1051.0</v>
      </c>
      <c r="M125" s="18" t="s">
        <v>164</v>
      </c>
      <c r="N125" s="20">
        <v>0.0</v>
      </c>
      <c r="O125" s="18">
        <v>15.0</v>
      </c>
      <c r="P125" s="20">
        <v>4.2</v>
      </c>
      <c r="Q125" s="16">
        <v>46897.0</v>
      </c>
      <c r="R125" s="16" t="s">
        <v>38</v>
      </c>
      <c r="S125" s="13" t="s">
        <v>55</v>
      </c>
      <c r="T125" s="13" t="s">
        <v>104</v>
      </c>
      <c r="U125" s="13" t="str">
        <f t="shared" si="1"/>
        <v>Moderate</v>
      </c>
      <c r="V125" s="13" t="str">
        <f t="shared" si="2"/>
        <v>Below Median</v>
      </c>
      <c r="W125" s="13" t="str">
        <f t="shared" si="3"/>
        <v>25–48 Months</v>
      </c>
    </row>
    <row r="126" hidden="1">
      <c r="A126" s="13" t="s">
        <v>546</v>
      </c>
      <c r="B126" s="13" t="s">
        <v>126</v>
      </c>
      <c r="C126" s="14">
        <v>52.0</v>
      </c>
      <c r="D126" s="13" t="s">
        <v>35</v>
      </c>
      <c r="E126" s="13" t="s">
        <v>51</v>
      </c>
      <c r="F126" s="13" t="s">
        <v>62</v>
      </c>
      <c r="G126" s="13" t="s">
        <v>210</v>
      </c>
      <c r="H126" s="16">
        <v>45419.0</v>
      </c>
      <c r="I126" s="14">
        <v>10.0</v>
      </c>
      <c r="J126" s="13" t="s">
        <v>40</v>
      </c>
      <c r="K126" s="13" t="s">
        <v>81</v>
      </c>
      <c r="L126" s="14">
        <v>603.0</v>
      </c>
      <c r="M126" s="18" t="s">
        <v>43</v>
      </c>
      <c r="N126" s="20">
        <v>2.0</v>
      </c>
      <c r="O126" s="18">
        <v>20.0</v>
      </c>
      <c r="P126" s="20">
        <v>4.6</v>
      </c>
      <c r="Q126" s="16">
        <v>45670.0</v>
      </c>
      <c r="R126" s="16" t="s">
        <v>38</v>
      </c>
      <c r="S126" s="13" t="s">
        <v>55</v>
      </c>
      <c r="T126" s="13" t="s">
        <v>72</v>
      </c>
      <c r="U126" s="13" t="str">
        <f t="shared" si="1"/>
        <v>Moderate</v>
      </c>
      <c r="V126" s="13" t="str">
        <f t="shared" si="2"/>
        <v>Below Median</v>
      </c>
      <c r="W126" s="13" t="str">
        <f t="shared" si="3"/>
        <v>0–12 Months</v>
      </c>
    </row>
    <row r="127" hidden="1">
      <c r="A127" s="13" t="s">
        <v>417</v>
      </c>
      <c r="B127" s="13" t="s">
        <v>351</v>
      </c>
      <c r="C127" s="14">
        <v>31.0</v>
      </c>
      <c r="D127" s="13" t="s">
        <v>85</v>
      </c>
      <c r="E127" s="13" t="s">
        <v>87</v>
      </c>
      <c r="F127" s="13" t="s">
        <v>62</v>
      </c>
      <c r="G127" s="13" t="s">
        <v>39</v>
      </c>
      <c r="H127" s="16">
        <v>45503.0</v>
      </c>
      <c r="I127" s="14">
        <v>35.0</v>
      </c>
      <c r="J127" s="13" t="s">
        <v>40</v>
      </c>
      <c r="K127" s="13" t="s">
        <v>65</v>
      </c>
      <c r="L127" s="14">
        <v>680.0</v>
      </c>
      <c r="M127" s="18" t="s">
        <v>98</v>
      </c>
      <c r="N127" s="20">
        <v>0.0</v>
      </c>
      <c r="O127" s="18">
        <v>13.0</v>
      </c>
      <c r="P127" s="20">
        <v>3.7</v>
      </c>
      <c r="Q127" s="16">
        <v>46054.0</v>
      </c>
      <c r="R127" s="16" t="s">
        <v>38</v>
      </c>
      <c r="S127" s="13" t="s">
        <v>55</v>
      </c>
      <c r="T127" s="13" t="s">
        <v>66</v>
      </c>
      <c r="U127" s="13" t="str">
        <f t="shared" si="1"/>
        <v>Moderate</v>
      </c>
      <c r="V127" s="13" t="str">
        <f t="shared" si="2"/>
        <v>Below Median</v>
      </c>
      <c r="W127" s="13" t="str">
        <f t="shared" si="3"/>
        <v>25–48 Months</v>
      </c>
    </row>
    <row r="128" hidden="1">
      <c r="A128" s="13" t="s">
        <v>419</v>
      </c>
      <c r="B128" s="13" t="s">
        <v>420</v>
      </c>
      <c r="C128" s="14">
        <v>26.0</v>
      </c>
      <c r="D128" s="13" t="s">
        <v>69</v>
      </c>
      <c r="E128" s="13" t="s">
        <v>177</v>
      </c>
      <c r="F128" s="13" t="s">
        <v>37</v>
      </c>
      <c r="G128" s="13" t="s">
        <v>39</v>
      </c>
      <c r="H128" s="16">
        <v>44986.0</v>
      </c>
      <c r="I128" s="14">
        <v>45.0</v>
      </c>
      <c r="J128" s="13" t="s">
        <v>64</v>
      </c>
      <c r="K128" s="13" t="s">
        <v>81</v>
      </c>
      <c r="L128" s="14">
        <v>1490.0</v>
      </c>
      <c r="M128" s="18" t="s">
        <v>98</v>
      </c>
      <c r="N128" s="20">
        <v>0.0</v>
      </c>
      <c r="O128" s="18">
        <v>16.5</v>
      </c>
      <c r="P128" s="20">
        <v>4.2</v>
      </c>
      <c r="Q128" s="16">
        <v>46143.0</v>
      </c>
      <c r="R128" s="16" t="s">
        <v>38</v>
      </c>
      <c r="S128" s="13" t="s">
        <v>55</v>
      </c>
      <c r="T128" s="13" t="s">
        <v>66</v>
      </c>
      <c r="U128" s="13" t="str">
        <f t="shared" si="1"/>
        <v>Moderate</v>
      </c>
      <c r="V128" s="13" t="str">
        <f t="shared" si="2"/>
        <v>Below Median</v>
      </c>
      <c r="W128" s="13" t="str">
        <f t="shared" si="3"/>
        <v>25–48 Months</v>
      </c>
    </row>
    <row r="129" hidden="1">
      <c r="A129" s="13" t="s">
        <v>422</v>
      </c>
      <c r="B129" s="13" t="s">
        <v>169</v>
      </c>
      <c r="C129" s="14">
        <v>32.0</v>
      </c>
      <c r="D129" s="13" t="s">
        <v>85</v>
      </c>
      <c r="E129" s="13" t="s">
        <v>92</v>
      </c>
      <c r="F129" s="13" t="s">
        <v>79</v>
      </c>
      <c r="G129" s="13" t="s">
        <v>128</v>
      </c>
      <c r="H129" s="16">
        <v>44861.0</v>
      </c>
      <c r="I129" s="14">
        <v>19.0</v>
      </c>
      <c r="J129" s="13" t="s">
        <v>40</v>
      </c>
      <c r="K129" s="13" t="s">
        <v>81</v>
      </c>
      <c r="L129" s="14">
        <v>2708.0</v>
      </c>
      <c r="M129" s="18" t="s">
        <v>99</v>
      </c>
      <c r="N129" s="20">
        <v>0.0</v>
      </c>
      <c r="O129" s="18">
        <v>30.2</v>
      </c>
      <c r="P129" s="20">
        <v>4.6</v>
      </c>
      <c r="Q129" s="16">
        <v>45323.0</v>
      </c>
      <c r="R129" s="16" t="s">
        <v>38</v>
      </c>
      <c r="S129" s="13" t="s">
        <v>55</v>
      </c>
      <c r="T129" s="13" t="s">
        <v>72</v>
      </c>
      <c r="U129" s="13" t="str">
        <f t="shared" si="1"/>
        <v>Moderate</v>
      </c>
      <c r="V129" s="13" t="str">
        <f t="shared" si="2"/>
        <v>Median or Above</v>
      </c>
      <c r="W129" s="13" t="str">
        <f t="shared" si="3"/>
        <v>13–24 Months</v>
      </c>
    </row>
    <row r="130" hidden="1">
      <c r="A130" s="13" t="s">
        <v>423</v>
      </c>
      <c r="B130" s="13" t="s">
        <v>424</v>
      </c>
      <c r="C130" s="14">
        <v>25.0</v>
      </c>
      <c r="D130" s="13" t="s">
        <v>60</v>
      </c>
      <c r="E130" s="13" t="s">
        <v>97</v>
      </c>
      <c r="F130" s="13" t="s">
        <v>62</v>
      </c>
      <c r="G130" s="13" t="s">
        <v>52</v>
      </c>
      <c r="H130" s="16">
        <v>45763.0</v>
      </c>
      <c r="I130" s="14">
        <v>16.0</v>
      </c>
      <c r="J130" s="13" t="s">
        <v>53</v>
      </c>
      <c r="K130" s="13" t="s">
        <v>65</v>
      </c>
      <c r="L130" s="14">
        <v>841.0</v>
      </c>
      <c r="M130" s="18" t="s">
        <v>43</v>
      </c>
      <c r="N130" s="20">
        <v>1.0</v>
      </c>
      <c r="O130" s="18">
        <v>13.4</v>
      </c>
      <c r="P130" s="20">
        <v>3.8</v>
      </c>
      <c r="Q130" s="16">
        <v>46099.0</v>
      </c>
      <c r="R130" s="16" t="s">
        <v>38</v>
      </c>
      <c r="S130" s="13" t="s">
        <v>55</v>
      </c>
      <c r="T130" s="13" t="s">
        <v>75</v>
      </c>
      <c r="U130" s="13" t="str">
        <f t="shared" si="1"/>
        <v>Moderate</v>
      </c>
      <c r="V130" s="13" t="str">
        <f t="shared" si="2"/>
        <v>Below Median</v>
      </c>
      <c r="W130" s="13" t="str">
        <f t="shared" si="3"/>
        <v>13–24 Months</v>
      </c>
    </row>
    <row r="131" hidden="1">
      <c r="A131" s="13" t="s">
        <v>425</v>
      </c>
      <c r="B131" s="13" t="s">
        <v>224</v>
      </c>
      <c r="C131" s="14">
        <v>60.0</v>
      </c>
      <c r="D131" s="13" t="s">
        <v>69</v>
      </c>
      <c r="E131" s="13" t="s">
        <v>70</v>
      </c>
      <c r="F131" s="13" t="s">
        <v>79</v>
      </c>
      <c r="G131" s="13" t="s">
        <v>39</v>
      </c>
      <c r="H131" s="16">
        <v>45395.0</v>
      </c>
      <c r="I131" s="14">
        <v>42.0</v>
      </c>
      <c r="J131" s="13" t="s">
        <v>40</v>
      </c>
      <c r="K131" s="13" t="s">
        <v>41</v>
      </c>
      <c r="L131" s="14">
        <v>3331.0</v>
      </c>
      <c r="M131" s="18" t="s">
        <v>164</v>
      </c>
      <c r="N131" s="20">
        <v>3.0</v>
      </c>
      <c r="O131" s="18">
        <v>39.4</v>
      </c>
      <c r="P131" s="20">
        <v>3.4</v>
      </c>
      <c r="Q131" s="16">
        <v>45813.0</v>
      </c>
      <c r="R131" s="16" t="s">
        <v>426</v>
      </c>
      <c r="S131" s="13" t="s">
        <v>45</v>
      </c>
      <c r="T131" s="13" t="s">
        <v>66</v>
      </c>
      <c r="U131" s="13" t="str">
        <f t="shared" si="1"/>
        <v>Moderate</v>
      </c>
      <c r="V131" s="13" t="str">
        <f t="shared" si="2"/>
        <v>Median or Above</v>
      </c>
      <c r="W131" s="13" t="str">
        <f t="shared" si="3"/>
        <v>25–48 Months</v>
      </c>
    </row>
    <row r="132" hidden="1">
      <c r="A132" s="13" t="s">
        <v>427</v>
      </c>
      <c r="B132" s="13" t="s">
        <v>132</v>
      </c>
      <c r="C132" s="14">
        <v>38.0</v>
      </c>
      <c r="D132" s="13" t="s">
        <v>35</v>
      </c>
      <c r="E132" s="13" t="s">
        <v>51</v>
      </c>
      <c r="F132" s="13" t="s">
        <v>62</v>
      </c>
      <c r="G132" s="13" t="s">
        <v>128</v>
      </c>
      <c r="H132" s="16">
        <v>44922.0</v>
      </c>
      <c r="I132" s="14">
        <v>3.0</v>
      </c>
      <c r="J132" s="13" t="s">
        <v>40</v>
      </c>
      <c r="K132" s="13" t="s">
        <v>81</v>
      </c>
      <c r="L132" s="14">
        <v>702.0</v>
      </c>
      <c r="M132" s="18" t="s">
        <v>46</v>
      </c>
      <c r="N132" s="20">
        <v>1.0</v>
      </c>
      <c r="O132" s="18">
        <v>3.9</v>
      </c>
      <c r="P132" s="20">
        <v>4.7</v>
      </c>
      <c r="Q132" s="16">
        <v>45027.0</v>
      </c>
      <c r="R132" s="16">
        <v>45019.0</v>
      </c>
      <c r="S132" s="13" t="s">
        <v>45</v>
      </c>
      <c r="T132" s="13" t="s">
        <v>104</v>
      </c>
      <c r="U132" s="13" t="str">
        <f t="shared" si="1"/>
        <v>Moderate</v>
      </c>
      <c r="V132" s="13" t="str">
        <f t="shared" si="2"/>
        <v>Below Median</v>
      </c>
      <c r="W132" s="13" t="str">
        <f t="shared" si="3"/>
        <v>0–12 Months</v>
      </c>
    </row>
    <row r="133" hidden="1">
      <c r="A133" s="13" t="s">
        <v>431</v>
      </c>
      <c r="B133" s="13" t="s">
        <v>342</v>
      </c>
      <c r="C133" s="14">
        <v>29.0</v>
      </c>
      <c r="D133" s="13" t="s">
        <v>60</v>
      </c>
      <c r="E133" s="13" t="s">
        <v>133</v>
      </c>
      <c r="F133" s="13" t="s">
        <v>79</v>
      </c>
      <c r="G133" s="13" t="s">
        <v>80</v>
      </c>
      <c r="H133" s="16">
        <v>45635.0</v>
      </c>
      <c r="I133" s="14">
        <v>32.0</v>
      </c>
      <c r="J133" s="13" t="s">
        <v>64</v>
      </c>
      <c r="K133" s="13" t="s">
        <v>65</v>
      </c>
      <c r="L133" s="14">
        <v>2957.0</v>
      </c>
      <c r="M133" s="18" t="s">
        <v>98</v>
      </c>
      <c r="N133" s="20">
        <v>3.0</v>
      </c>
      <c r="O133" s="18">
        <v>37.4</v>
      </c>
      <c r="P133" s="20">
        <v>4.3</v>
      </c>
      <c r="Q133" s="16">
        <v>45924.0</v>
      </c>
      <c r="R133" s="16" t="s">
        <v>432</v>
      </c>
      <c r="S133" s="13" t="s">
        <v>45</v>
      </c>
      <c r="T133" s="13" t="s">
        <v>72</v>
      </c>
      <c r="U133" s="13" t="str">
        <f t="shared" si="1"/>
        <v>Moderate</v>
      </c>
      <c r="V133" s="13" t="str">
        <f t="shared" si="2"/>
        <v>Median or Above</v>
      </c>
      <c r="W133" s="13" t="str">
        <f t="shared" si="3"/>
        <v>25–48 Months</v>
      </c>
    </row>
    <row r="134" hidden="1">
      <c r="A134" s="13" t="s">
        <v>433</v>
      </c>
      <c r="B134" s="13" t="s">
        <v>411</v>
      </c>
      <c r="C134" s="14">
        <v>24.0</v>
      </c>
      <c r="D134" s="13" t="s">
        <v>69</v>
      </c>
      <c r="E134" s="13" t="s">
        <v>70</v>
      </c>
      <c r="F134" s="13" t="s">
        <v>37</v>
      </c>
      <c r="G134" s="13" t="s">
        <v>128</v>
      </c>
      <c r="H134" s="16">
        <v>45166.0</v>
      </c>
      <c r="I134" s="14">
        <v>37.0</v>
      </c>
      <c r="J134" s="13" t="s">
        <v>53</v>
      </c>
      <c r="K134" s="13" t="s">
        <v>81</v>
      </c>
      <c r="L134" s="14">
        <v>1178.0</v>
      </c>
      <c r="M134" s="18" t="s">
        <v>98</v>
      </c>
      <c r="N134" s="20">
        <v>0.0</v>
      </c>
      <c r="O134" s="18">
        <v>34.7</v>
      </c>
      <c r="P134" s="20">
        <v>4.1</v>
      </c>
      <c r="Q134" s="16">
        <v>46006.0</v>
      </c>
      <c r="R134" s="16" t="s">
        <v>38</v>
      </c>
      <c r="S134" s="13" t="s">
        <v>55</v>
      </c>
      <c r="T134" s="13" t="s">
        <v>104</v>
      </c>
      <c r="U134" s="13" t="str">
        <f t="shared" si="1"/>
        <v>Moderate</v>
      </c>
      <c r="V134" s="13" t="str">
        <f t="shared" si="2"/>
        <v>Median or Above</v>
      </c>
      <c r="W134" s="13" t="str">
        <f t="shared" si="3"/>
        <v>25–48 Months</v>
      </c>
    </row>
    <row r="135" hidden="1">
      <c r="A135" s="13" t="s">
        <v>434</v>
      </c>
      <c r="B135" s="13" t="s">
        <v>152</v>
      </c>
      <c r="C135" s="14">
        <v>35.0</v>
      </c>
      <c r="D135" s="13" t="s">
        <v>69</v>
      </c>
      <c r="E135" s="13" t="s">
        <v>119</v>
      </c>
      <c r="F135" s="13" t="s">
        <v>62</v>
      </c>
      <c r="G135" s="13" t="s">
        <v>39</v>
      </c>
      <c r="H135" s="16">
        <v>44575.0</v>
      </c>
      <c r="I135" s="14">
        <v>17.0</v>
      </c>
      <c r="J135" s="13" t="s">
        <v>64</v>
      </c>
      <c r="K135" s="13" t="s">
        <v>65</v>
      </c>
      <c r="L135" s="14">
        <v>727.0</v>
      </c>
      <c r="M135" s="18" t="s">
        <v>46</v>
      </c>
      <c r="N135" s="20">
        <v>1.0</v>
      </c>
      <c r="O135" s="18">
        <v>24.5</v>
      </c>
      <c r="P135" s="20">
        <v>3.8</v>
      </c>
      <c r="Q135" s="16">
        <v>44922.0</v>
      </c>
      <c r="R135" s="16" t="s">
        <v>38</v>
      </c>
      <c r="S135" s="13" t="s">
        <v>55</v>
      </c>
      <c r="T135" s="13" t="s">
        <v>47</v>
      </c>
      <c r="U135" s="13" t="str">
        <f t="shared" si="1"/>
        <v>Moderate</v>
      </c>
      <c r="V135" s="13" t="str">
        <f t="shared" si="2"/>
        <v>Median or Above</v>
      </c>
      <c r="W135" s="13" t="str">
        <f t="shared" si="3"/>
        <v>13–24 Months</v>
      </c>
    </row>
    <row r="136" hidden="1">
      <c r="A136" s="13" t="s">
        <v>435</v>
      </c>
      <c r="B136" s="13" t="s">
        <v>184</v>
      </c>
      <c r="C136" s="14">
        <v>58.0</v>
      </c>
      <c r="D136" s="13" t="s">
        <v>35</v>
      </c>
      <c r="E136" s="13" t="s">
        <v>140</v>
      </c>
      <c r="F136" s="13" t="s">
        <v>62</v>
      </c>
      <c r="G136" s="13" t="s">
        <v>120</v>
      </c>
      <c r="H136" s="16">
        <v>45967.0</v>
      </c>
      <c r="I136" s="14">
        <v>33.0</v>
      </c>
      <c r="J136" s="13" t="s">
        <v>40</v>
      </c>
      <c r="K136" s="13" t="s">
        <v>41</v>
      </c>
      <c r="L136" s="14">
        <v>859.0</v>
      </c>
      <c r="M136" s="18" t="s">
        <v>99</v>
      </c>
      <c r="N136" s="20">
        <v>1.0</v>
      </c>
      <c r="O136" s="18">
        <v>17.7</v>
      </c>
      <c r="P136" s="20">
        <v>4.3</v>
      </c>
      <c r="Q136" s="16">
        <v>46683.0</v>
      </c>
      <c r="R136" s="16">
        <v>46146.0</v>
      </c>
      <c r="S136" s="13" t="s">
        <v>45</v>
      </c>
      <c r="T136" s="13" t="s">
        <v>47</v>
      </c>
      <c r="U136" s="13" t="str">
        <f t="shared" si="1"/>
        <v>Moderate</v>
      </c>
      <c r="V136" s="13" t="str">
        <f t="shared" si="2"/>
        <v>Below Median</v>
      </c>
      <c r="W136" s="13" t="str">
        <f t="shared" si="3"/>
        <v>25–48 Months</v>
      </c>
    </row>
    <row r="137" hidden="1">
      <c r="A137" s="13" t="s">
        <v>437</v>
      </c>
      <c r="B137" s="13" t="s">
        <v>362</v>
      </c>
      <c r="C137" s="14">
        <v>62.0</v>
      </c>
      <c r="D137" s="13" t="s">
        <v>69</v>
      </c>
      <c r="E137" s="13" t="s">
        <v>119</v>
      </c>
      <c r="F137" s="13" t="s">
        <v>37</v>
      </c>
      <c r="G137" s="13" t="s">
        <v>80</v>
      </c>
      <c r="H137" s="16">
        <v>45327.0</v>
      </c>
      <c r="I137" s="14">
        <v>27.0</v>
      </c>
      <c r="J137" s="13" t="s">
        <v>64</v>
      </c>
      <c r="K137" s="13" t="s">
        <v>41</v>
      </c>
      <c r="L137" s="14">
        <v>1774.0</v>
      </c>
      <c r="M137" s="18" t="s">
        <v>98</v>
      </c>
      <c r="N137" s="20">
        <v>0.0</v>
      </c>
      <c r="O137" s="18">
        <v>19.7</v>
      </c>
      <c r="P137" s="20">
        <v>4.9</v>
      </c>
      <c r="Q137" s="16">
        <v>46017.0</v>
      </c>
      <c r="R137" s="16" t="s">
        <v>38</v>
      </c>
      <c r="S137" s="13" t="s">
        <v>55</v>
      </c>
      <c r="T137" s="13" t="s">
        <v>66</v>
      </c>
      <c r="U137" s="13" t="str">
        <f t="shared" si="1"/>
        <v>Moderate</v>
      </c>
      <c r="V137" s="13" t="str">
        <f t="shared" si="2"/>
        <v>Below Median</v>
      </c>
      <c r="W137" s="13" t="str">
        <f t="shared" si="3"/>
        <v>25–48 Months</v>
      </c>
    </row>
    <row r="138" hidden="1">
      <c r="A138" s="13" t="s">
        <v>438</v>
      </c>
      <c r="B138" s="13" t="s">
        <v>229</v>
      </c>
      <c r="C138" s="14">
        <v>26.0</v>
      </c>
      <c r="D138" s="13" t="s">
        <v>60</v>
      </c>
      <c r="E138" s="13" t="s">
        <v>61</v>
      </c>
      <c r="F138" s="13" t="s">
        <v>79</v>
      </c>
      <c r="G138" s="13" t="s">
        <v>63</v>
      </c>
      <c r="H138" s="16">
        <v>44688.0</v>
      </c>
      <c r="I138" s="14">
        <v>36.0</v>
      </c>
      <c r="J138" s="13" t="s">
        <v>64</v>
      </c>
      <c r="K138" s="13" t="s">
        <v>41</v>
      </c>
      <c r="L138" s="14">
        <v>3098.0</v>
      </c>
      <c r="M138" s="18" t="s">
        <v>164</v>
      </c>
      <c r="N138" s="20">
        <v>0.0</v>
      </c>
      <c r="O138" s="18">
        <v>49.6</v>
      </c>
      <c r="P138" s="20">
        <v>3.9</v>
      </c>
      <c r="Q138" s="16">
        <v>45004.0</v>
      </c>
      <c r="R138" s="16">
        <v>45143.0</v>
      </c>
      <c r="S138" s="13" t="s">
        <v>45</v>
      </c>
      <c r="T138" s="13" t="s">
        <v>66</v>
      </c>
      <c r="U138" s="13" t="str">
        <f t="shared" si="1"/>
        <v>Moderate</v>
      </c>
      <c r="V138" s="13" t="str">
        <f t="shared" si="2"/>
        <v>Median or Above</v>
      </c>
      <c r="W138" s="13" t="str">
        <f t="shared" si="3"/>
        <v>25–48 Months</v>
      </c>
    </row>
    <row r="139" hidden="1">
      <c r="A139" s="13" t="s">
        <v>440</v>
      </c>
      <c r="B139" s="13" t="s">
        <v>152</v>
      </c>
      <c r="C139" s="14">
        <v>44.0</v>
      </c>
      <c r="D139" s="13" t="s">
        <v>35</v>
      </c>
      <c r="E139" s="13" t="s">
        <v>140</v>
      </c>
      <c r="F139" s="13" t="s">
        <v>37</v>
      </c>
      <c r="G139" s="13" t="s">
        <v>120</v>
      </c>
      <c r="H139" s="16">
        <v>44832.0</v>
      </c>
      <c r="I139" s="14">
        <v>33.0</v>
      </c>
      <c r="J139" s="13" t="s">
        <v>53</v>
      </c>
      <c r="K139" s="13" t="s">
        <v>41</v>
      </c>
      <c r="L139" s="14">
        <v>1058.0</v>
      </c>
      <c r="M139" s="18" t="s">
        <v>99</v>
      </c>
      <c r="N139" s="20">
        <v>1.0</v>
      </c>
      <c r="O139" s="18">
        <v>33.7</v>
      </c>
      <c r="P139" s="20">
        <v>3.7</v>
      </c>
      <c r="Q139" s="16">
        <v>45315.0</v>
      </c>
      <c r="R139" s="16" t="s">
        <v>38</v>
      </c>
      <c r="S139" s="13" t="s">
        <v>45</v>
      </c>
      <c r="T139" s="13" t="s">
        <v>47</v>
      </c>
      <c r="U139" s="13" t="str">
        <f t="shared" si="1"/>
        <v>Moderate</v>
      </c>
      <c r="V139" s="13" t="str">
        <f t="shared" si="2"/>
        <v>Median or Above</v>
      </c>
      <c r="W139" s="13" t="str">
        <f t="shared" si="3"/>
        <v>25–48 Months</v>
      </c>
    </row>
    <row r="140" hidden="1">
      <c r="A140" s="13" t="s">
        <v>441</v>
      </c>
      <c r="B140" s="13" t="s">
        <v>106</v>
      </c>
      <c r="C140" s="14">
        <v>68.0</v>
      </c>
      <c r="D140" s="13" t="s">
        <v>35</v>
      </c>
      <c r="E140" s="13" t="s">
        <v>36</v>
      </c>
      <c r="F140" s="13" t="s">
        <v>62</v>
      </c>
      <c r="G140" s="13" t="s">
        <v>52</v>
      </c>
      <c r="H140" s="16">
        <v>44692.0</v>
      </c>
      <c r="I140" s="14">
        <v>35.0</v>
      </c>
      <c r="J140" s="13" t="s">
        <v>64</v>
      </c>
      <c r="K140" s="13" t="s">
        <v>81</v>
      </c>
      <c r="L140" s="14">
        <v>534.0</v>
      </c>
      <c r="M140" s="18" t="s">
        <v>43</v>
      </c>
      <c r="N140" s="20">
        <v>0.0</v>
      </c>
      <c r="O140" s="18">
        <v>14.4</v>
      </c>
      <c r="P140" s="20">
        <v>5.0</v>
      </c>
      <c r="Q140" s="16">
        <v>45289.0</v>
      </c>
      <c r="R140" s="16" t="s">
        <v>442</v>
      </c>
      <c r="S140" s="13" t="s">
        <v>45</v>
      </c>
      <c r="T140" s="13" t="s">
        <v>75</v>
      </c>
      <c r="U140" s="13" t="str">
        <f t="shared" si="1"/>
        <v>High</v>
      </c>
      <c r="V140" s="13" t="str">
        <f t="shared" si="2"/>
        <v>Below Median</v>
      </c>
      <c r="W140" s="13" t="str">
        <f t="shared" si="3"/>
        <v>25–48 Months</v>
      </c>
    </row>
    <row r="141" hidden="1">
      <c r="A141" s="13" t="s">
        <v>443</v>
      </c>
      <c r="B141" s="13" t="s">
        <v>91</v>
      </c>
      <c r="C141" s="14">
        <v>30.0</v>
      </c>
      <c r="D141" s="13" t="s">
        <v>85</v>
      </c>
      <c r="E141" s="13" t="s">
        <v>87</v>
      </c>
      <c r="F141" s="13" t="s">
        <v>79</v>
      </c>
      <c r="G141" s="13" t="s">
        <v>120</v>
      </c>
      <c r="H141" s="16">
        <v>45331.0</v>
      </c>
      <c r="I141" s="14">
        <v>6.0</v>
      </c>
      <c r="J141" s="13" t="s">
        <v>64</v>
      </c>
      <c r="K141" s="13" t="s">
        <v>65</v>
      </c>
      <c r="L141" s="14">
        <v>2271.0</v>
      </c>
      <c r="M141" s="18" t="s">
        <v>98</v>
      </c>
      <c r="N141" s="20">
        <v>0.0</v>
      </c>
      <c r="O141" s="18">
        <v>27.2</v>
      </c>
      <c r="P141" s="20">
        <v>2.9</v>
      </c>
      <c r="Q141" s="16">
        <v>45508.0</v>
      </c>
      <c r="R141" s="16" t="s">
        <v>38</v>
      </c>
      <c r="S141" s="13" t="s">
        <v>55</v>
      </c>
      <c r="T141" s="13" t="s">
        <v>66</v>
      </c>
      <c r="U141" s="13" t="str">
        <f t="shared" si="1"/>
        <v>Low</v>
      </c>
      <c r="V141" s="13" t="str">
        <f t="shared" si="2"/>
        <v>Median or Above</v>
      </c>
      <c r="W141" s="13" t="str">
        <f t="shared" si="3"/>
        <v>0–12 Months</v>
      </c>
    </row>
    <row r="142" hidden="1">
      <c r="A142" s="13" t="s">
        <v>444</v>
      </c>
      <c r="B142" s="13" t="s">
        <v>316</v>
      </c>
      <c r="C142" s="14">
        <v>41.0</v>
      </c>
      <c r="D142" s="13" t="s">
        <v>35</v>
      </c>
      <c r="E142" s="13" t="s">
        <v>70</v>
      </c>
      <c r="F142" s="13" t="s">
        <v>37</v>
      </c>
      <c r="G142" s="13" t="s">
        <v>210</v>
      </c>
      <c r="H142" s="16">
        <v>45510.0</v>
      </c>
      <c r="I142" s="14">
        <v>44.0</v>
      </c>
      <c r="J142" s="13" t="s">
        <v>40</v>
      </c>
      <c r="K142" s="13" t="s">
        <v>65</v>
      </c>
      <c r="L142" s="14">
        <v>1543.0</v>
      </c>
      <c r="M142" s="18" t="s">
        <v>164</v>
      </c>
      <c r="N142" s="20">
        <v>0.0</v>
      </c>
      <c r="O142" s="18">
        <v>12.5</v>
      </c>
      <c r="P142" s="20">
        <v>2.6</v>
      </c>
      <c r="Q142" s="16">
        <v>45990.0</v>
      </c>
      <c r="R142" s="16" t="s">
        <v>38</v>
      </c>
      <c r="S142" s="13" t="s">
        <v>55</v>
      </c>
      <c r="T142" s="13" t="s">
        <v>47</v>
      </c>
      <c r="U142" s="13" t="str">
        <f t="shared" si="1"/>
        <v>Low</v>
      </c>
      <c r="V142" s="13" t="str">
        <f t="shared" si="2"/>
        <v>Below Median</v>
      </c>
      <c r="W142" s="13" t="str">
        <f t="shared" si="3"/>
        <v>25–48 Months</v>
      </c>
    </row>
    <row r="143" hidden="1">
      <c r="A143" s="13" t="s">
        <v>446</v>
      </c>
      <c r="B143" s="13" t="s">
        <v>364</v>
      </c>
      <c r="C143" s="14">
        <v>34.0</v>
      </c>
      <c r="D143" s="13" t="s">
        <v>35</v>
      </c>
      <c r="E143" s="13" t="s">
        <v>36</v>
      </c>
      <c r="F143" s="13" t="s">
        <v>37</v>
      </c>
      <c r="G143" s="13" t="s">
        <v>120</v>
      </c>
      <c r="H143" s="16">
        <v>45821.0</v>
      </c>
      <c r="I143" s="14">
        <v>2.0</v>
      </c>
      <c r="J143" s="13" t="s">
        <v>64</v>
      </c>
      <c r="K143" s="13" t="s">
        <v>41</v>
      </c>
      <c r="L143" s="14">
        <v>1102.0</v>
      </c>
      <c r="M143" s="18" t="s">
        <v>164</v>
      </c>
      <c r="N143" s="20">
        <v>1.0</v>
      </c>
      <c r="O143" s="18">
        <v>35.9</v>
      </c>
      <c r="P143" s="20">
        <v>3.5</v>
      </c>
      <c r="Q143" s="16">
        <v>45835.0</v>
      </c>
      <c r="R143" s="16" t="s">
        <v>38</v>
      </c>
      <c r="S143" s="13" t="s">
        <v>55</v>
      </c>
      <c r="T143" s="13" t="s">
        <v>75</v>
      </c>
      <c r="U143" s="13" t="str">
        <f t="shared" si="1"/>
        <v>Moderate</v>
      </c>
      <c r="V143" s="13" t="str">
        <f t="shared" si="2"/>
        <v>Median or Above</v>
      </c>
      <c r="W143" s="13" t="str">
        <f t="shared" si="3"/>
        <v>0–12 Months</v>
      </c>
    </row>
    <row r="144" hidden="1">
      <c r="A144" s="13" t="s">
        <v>447</v>
      </c>
      <c r="B144" s="13" t="s">
        <v>448</v>
      </c>
      <c r="C144" s="14">
        <v>34.0</v>
      </c>
      <c r="D144" s="13" t="s">
        <v>69</v>
      </c>
      <c r="E144" s="13" t="s">
        <v>187</v>
      </c>
      <c r="F144" s="13" t="s">
        <v>37</v>
      </c>
      <c r="G144" s="13" t="s">
        <v>128</v>
      </c>
      <c r="H144" s="16">
        <v>44677.0</v>
      </c>
      <c r="I144" s="14">
        <v>9.0</v>
      </c>
      <c r="J144" s="13" t="s">
        <v>53</v>
      </c>
      <c r="K144" s="13" t="s">
        <v>41</v>
      </c>
      <c r="L144" s="14">
        <v>1238.0</v>
      </c>
      <c r="M144" s="18" t="s">
        <v>43</v>
      </c>
      <c r="N144" s="20">
        <v>0.0</v>
      </c>
      <c r="O144" s="18">
        <v>29.3</v>
      </c>
      <c r="P144" s="20">
        <v>4.1</v>
      </c>
      <c r="Q144" s="16">
        <v>44850.0</v>
      </c>
      <c r="R144" s="16" t="s">
        <v>38</v>
      </c>
      <c r="S144" s="13" t="s">
        <v>55</v>
      </c>
      <c r="T144" s="13" t="s">
        <v>66</v>
      </c>
      <c r="U144" s="13" t="str">
        <f t="shared" si="1"/>
        <v>Moderate</v>
      </c>
      <c r="V144" s="13" t="str">
        <f t="shared" si="2"/>
        <v>Median or Above</v>
      </c>
      <c r="W144" s="13" t="str">
        <f t="shared" si="3"/>
        <v>0–12 Months</v>
      </c>
    </row>
    <row r="145" hidden="1">
      <c r="A145" s="13" t="s">
        <v>450</v>
      </c>
      <c r="B145" s="13" t="s">
        <v>295</v>
      </c>
      <c r="C145" s="14">
        <v>60.0</v>
      </c>
      <c r="D145" s="13" t="s">
        <v>85</v>
      </c>
      <c r="E145" s="13" t="s">
        <v>92</v>
      </c>
      <c r="F145" s="13" t="s">
        <v>62</v>
      </c>
      <c r="G145" s="13" t="s">
        <v>80</v>
      </c>
      <c r="H145" s="16">
        <v>45773.0</v>
      </c>
      <c r="I145" s="14">
        <v>48.0</v>
      </c>
      <c r="J145" s="13" t="s">
        <v>64</v>
      </c>
      <c r="K145" s="13" t="s">
        <v>65</v>
      </c>
      <c r="L145" s="14">
        <v>819.0</v>
      </c>
      <c r="M145" s="18" t="s">
        <v>43</v>
      </c>
      <c r="N145" s="20">
        <v>4.0</v>
      </c>
      <c r="O145" s="18">
        <v>13.0</v>
      </c>
      <c r="P145" s="20">
        <v>3.2</v>
      </c>
      <c r="Q145" s="16">
        <v>46921.0</v>
      </c>
      <c r="R145" s="16">
        <v>46907.0</v>
      </c>
      <c r="S145" s="13" t="s">
        <v>45</v>
      </c>
      <c r="T145" s="13" t="s">
        <v>66</v>
      </c>
      <c r="U145" s="13" t="str">
        <f t="shared" si="1"/>
        <v>Moderate</v>
      </c>
      <c r="V145" s="13" t="str">
        <f t="shared" si="2"/>
        <v>Below Median</v>
      </c>
      <c r="W145" s="13" t="str">
        <f t="shared" si="3"/>
        <v>25–48 Months</v>
      </c>
    </row>
    <row r="146" hidden="1">
      <c r="A146" s="13" t="s">
        <v>371</v>
      </c>
      <c r="B146" s="13" t="s">
        <v>364</v>
      </c>
      <c r="C146" s="14">
        <v>54.0</v>
      </c>
      <c r="D146" s="13" t="s">
        <v>85</v>
      </c>
      <c r="E146" s="13" t="s">
        <v>87</v>
      </c>
      <c r="F146" s="13" t="s">
        <v>62</v>
      </c>
      <c r="G146" s="13" t="s">
        <v>120</v>
      </c>
      <c r="H146" s="16">
        <v>44938.0</v>
      </c>
      <c r="I146" s="14">
        <v>35.0</v>
      </c>
      <c r="J146" s="13" t="s">
        <v>53</v>
      </c>
      <c r="K146" s="13" t="s">
        <v>65</v>
      </c>
      <c r="L146" s="14">
        <v>614.0</v>
      </c>
      <c r="M146" s="18" t="s">
        <v>98</v>
      </c>
      <c r="N146" s="20">
        <v>1.0</v>
      </c>
      <c r="O146" s="18">
        <v>29.4</v>
      </c>
      <c r="P146" s="20">
        <v>3.2</v>
      </c>
      <c r="Q146" s="16">
        <v>45243.0</v>
      </c>
      <c r="R146" s="16" t="s">
        <v>38</v>
      </c>
      <c r="S146" s="13" t="s">
        <v>55</v>
      </c>
      <c r="T146" s="13" t="s">
        <v>66</v>
      </c>
      <c r="U146" s="13" t="str">
        <f t="shared" si="1"/>
        <v>Moderate</v>
      </c>
      <c r="V146" s="13" t="str">
        <f t="shared" si="2"/>
        <v>Median or Above</v>
      </c>
      <c r="W146" s="13" t="str">
        <f t="shared" si="3"/>
        <v>25–48 Months</v>
      </c>
    </row>
    <row r="147" hidden="1">
      <c r="A147" s="13" t="s">
        <v>452</v>
      </c>
      <c r="B147" s="13" t="s">
        <v>424</v>
      </c>
      <c r="C147" s="14">
        <v>36.0</v>
      </c>
      <c r="D147" s="13" t="s">
        <v>69</v>
      </c>
      <c r="E147" s="13" t="s">
        <v>119</v>
      </c>
      <c r="F147" s="13" t="s">
        <v>62</v>
      </c>
      <c r="G147" s="13" t="s">
        <v>39</v>
      </c>
      <c r="H147" s="16">
        <v>45238.0</v>
      </c>
      <c r="I147" s="14">
        <v>42.0</v>
      </c>
      <c r="J147" s="13" t="s">
        <v>53</v>
      </c>
      <c r="K147" s="13" t="s">
        <v>81</v>
      </c>
      <c r="L147" s="14">
        <v>729.0</v>
      </c>
      <c r="M147" s="18" t="s">
        <v>43</v>
      </c>
      <c r="N147" s="20">
        <v>1.0</v>
      </c>
      <c r="O147" s="18">
        <v>19.6</v>
      </c>
      <c r="P147" s="20">
        <v>2.3</v>
      </c>
      <c r="Q147" s="16">
        <v>46344.0</v>
      </c>
      <c r="R147" s="16" t="s">
        <v>38</v>
      </c>
      <c r="S147" s="13" t="s">
        <v>55</v>
      </c>
      <c r="T147" s="13" t="s">
        <v>66</v>
      </c>
      <c r="U147" s="13" t="str">
        <f t="shared" si="1"/>
        <v>Low</v>
      </c>
      <c r="V147" s="13" t="str">
        <f t="shared" si="2"/>
        <v>Below Median</v>
      </c>
      <c r="W147" s="13" t="str">
        <f t="shared" si="3"/>
        <v>25–48 Months</v>
      </c>
    </row>
    <row r="148" hidden="1">
      <c r="A148" s="13" t="s">
        <v>453</v>
      </c>
      <c r="B148" s="13" t="s">
        <v>152</v>
      </c>
      <c r="C148" s="14">
        <v>32.0</v>
      </c>
      <c r="D148" s="13" t="s">
        <v>35</v>
      </c>
      <c r="E148" s="13" t="s">
        <v>36</v>
      </c>
      <c r="F148" s="13" t="s">
        <v>62</v>
      </c>
      <c r="G148" s="13" t="s">
        <v>128</v>
      </c>
      <c r="H148" s="16">
        <v>45765.0</v>
      </c>
      <c r="I148" s="14">
        <v>47.0</v>
      </c>
      <c r="J148" s="13" t="s">
        <v>40</v>
      </c>
      <c r="K148" s="13" t="s">
        <v>41</v>
      </c>
      <c r="L148" s="14">
        <v>610.0</v>
      </c>
      <c r="M148" s="18" t="s">
        <v>98</v>
      </c>
      <c r="N148" s="20">
        <v>1.0</v>
      </c>
      <c r="O148" s="18">
        <v>22.3</v>
      </c>
      <c r="P148" s="20">
        <v>4.7</v>
      </c>
      <c r="Q148" s="16">
        <v>46456.0</v>
      </c>
      <c r="R148" s="16" t="s">
        <v>38</v>
      </c>
      <c r="S148" s="13" t="s">
        <v>55</v>
      </c>
      <c r="T148" s="13" t="s">
        <v>104</v>
      </c>
      <c r="U148" s="13" t="str">
        <f t="shared" si="1"/>
        <v>Moderate</v>
      </c>
      <c r="V148" s="13" t="str">
        <f t="shared" si="2"/>
        <v>Below Median</v>
      </c>
      <c r="W148" s="13" t="str">
        <f t="shared" si="3"/>
        <v>25–48 Months</v>
      </c>
    </row>
    <row r="149" hidden="1">
      <c r="A149" s="13" t="s">
        <v>455</v>
      </c>
      <c r="B149" s="13" t="s">
        <v>257</v>
      </c>
      <c r="C149" s="14">
        <v>38.0</v>
      </c>
      <c r="D149" s="13" t="s">
        <v>85</v>
      </c>
      <c r="E149" s="13" t="s">
        <v>111</v>
      </c>
      <c r="F149" s="13" t="s">
        <v>37</v>
      </c>
      <c r="G149" s="13" t="s">
        <v>52</v>
      </c>
      <c r="H149" s="16">
        <v>44980.0</v>
      </c>
      <c r="I149" s="14">
        <v>26.0</v>
      </c>
      <c r="J149" s="13" t="s">
        <v>53</v>
      </c>
      <c r="K149" s="13" t="s">
        <v>65</v>
      </c>
      <c r="L149" s="14">
        <v>1328.0</v>
      </c>
      <c r="M149" s="18" t="s">
        <v>98</v>
      </c>
      <c r="N149" s="20">
        <v>0.0</v>
      </c>
      <c r="O149" s="18">
        <v>35.1</v>
      </c>
      <c r="P149" s="20">
        <v>2.8</v>
      </c>
      <c r="Q149" s="16">
        <v>45279.0</v>
      </c>
      <c r="R149" s="16" t="s">
        <v>457</v>
      </c>
      <c r="S149" s="13" t="s">
        <v>45</v>
      </c>
      <c r="T149" s="13" t="s">
        <v>66</v>
      </c>
      <c r="U149" s="13" t="str">
        <f t="shared" si="1"/>
        <v>Low</v>
      </c>
      <c r="V149" s="13" t="str">
        <f t="shared" si="2"/>
        <v>Median or Above</v>
      </c>
      <c r="W149" s="13" t="str">
        <f t="shared" si="3"/>
        <v>25–48 Months</v>
      </c>
    </row>
    <row r="150" hidden="1">
      <c r="A150" s="13" t="s">
        <v>458</v>
      </c>
      <c r="B150" s="13" t="s">
        <v>459</v>
      </c>
      <c r="C150" s="14">
        <v>20.0</v>
      </c>
      <c r="D150" s="13" t="s">
        <v>85</v>
      </c>
      <c r="E150" s="13" t="s">
        <v>292</v>
      </c>
      <c r="F150" s="13" t="s">
        <v>37</v>
      </c>
      <c r="G150" s="13" t="s">
        <v>52</v>
      </c>
      <c r="H150" s="16">
        <v>45523.0</v>
      </c>
      <c r="I150" s="14">
        <v>21.0</v>
      </c>
      <c r="J150" s="13" t="s">
        <v>53</v>
      </c>
      <c r="K150" s="13" t="s">
        <v>81</v>
      </c>
      <c r="L150" s="14">
        <v>1319.0</v>
      </c>
      <c r="M150" s="18" t="s">
        <v>164</v>
      </c>
      <c r="N150" s="20">
        <v>1.0</v>
      </c>
      <c r="O150" s="18">
        <v>23.9</v>
      </c>
      <c r="P150" s="20">
        <v>3.9</v>
      </c>
      <c r="Q150" s="16">
        <v>45579.0</v>
      </c>
      <c r="R150" s="16" t="s">
        <v>460</v>
      </c>
      <c r="S150" s="13" t="s">
        <v>45</v>
      </c>
      <c r="T150" s="13" t="s">
        <v>66</v>
      </c>
      <c r="U150" s="13" t="str">
        <f t="shared" si="1"/>
        <v>Moderate</v>
      </c>
      <c r="V150" s="13" t="str">
        <f t="shared" si="2"/>
        <v>Below Median</v>
      </c>
      <c r="W150" s="13" t="str">
        <f t="shared" si="3"/>
        <v>13–24 Months</v>
      </c>
    </row>
    <row r="151" hidden="1">
      <c r="A151" s="13" t="s">
        <v>461</v>
      </c>
      <c r="B151" s="13" t="s">
        <v>224</v>
      </c>
      <c r="C151" s="14">
        <v>67.0</v>
      </c>
      <c r="D151" s="13" t="s">
        <v>85</v>
      </c>
      <c r="E151" s="13" t="s">
        <v>92</v>
      </c>
      <c r="F151" s="13" t="s">
        <v>62</v>
      </c>
      <c r="G151" s="13" t="s">
        <v>210</v>
      </c>
      <c r="H151" s="16">
        <v>45033.0</v>
      </c>
      <c r="I151" s="14">
        <v>25.0</v>
      </c>
      <c r="J151" s="13" t="s">
        <v>53</v>
      </c>
      <c r="K151" s="13" t="s">
        <v>81</v>
      </c>
      <c r="L151" s="14">
        <v>624.0</v>
      </c>
      <c r="M151" s="18" t="s">
        <v>164</v>
      </c>
      <c r="N151" s="20">
        <v>4.0</v>
      </c>
      <c r="O151" s="18">
        <v>23.5</v>
      </c>
      <c r="P151" s="20">
        <v>5.0</v>
      </c>
      <c r="Q151" s="16">
        <v>45713.0</v>
      </c>
      <c r="R151" s="16" t="s">
        <v>38</v>
      </c>
      <c r="S151" s="13" t="s">
        <v>55</v>
      </c>
      <c r="T151" s="13" t="s">
        <v>75</v>
      </c>
      <c r="U151" s="13" t="str">
        <f t="shared" si="1"/>
        <v>High</v>
      </c>
      <c r="V151" s="13" t="str">
        <f t="shared" si="2"/>
        <v>Below Median</v>
      </c>
      <c r="W151" s="13" t="str">
        <f t="shared" si="3"/>
        <v>25–48 Months</v>
      </c>
    </row>
    <row r="152" hidden="1">
      <c r="A152" s="13" t="s">
        <v>462</v>
      </c>
      <c r="B152" s="13" t="s">
        <v>179</v>
      </c>
      <c r="C152" s="14">
        <v>23.0</v>
      </c>
      <c r="D152" s="13" t="s">
        <v>69</v>
      </c>
      <c r="E152" s="13" t="s">
        <v>177</v>
      </c>
      <c r="F152" s="13" t="s">
        <v>62</v>
      </c>
      <c r="G152" s="13" t="s">
        <v>52</v>
      </c>
      <c r="H152" s="16">
        <v>45681.0</v>
      </c>
      <c r="I152" s="14">
        <v>32.0</v>
      </c>
      <c r="J152" s="13" t="s">
        <v>64</v>
      </c>
      <c r="K152" s="13" t="s">
        <v>41</v>
      </c>
      <c r="L152" s="14">
        <v>776.0</v>
      </c>
      <c r="M152" s="18" t="s">
        <v>98</v>
      </c>
      <c r="N152" s="20">
        <v>2.0</v>
      </c>
      <c r="O152" s="18">
        <v>26.1</v>
      </c>
      <c r="P152" s="20">
        <v>5.0</v>
      </c>
      <c r="Q152" s="16">
        <v>45751.0</v>
      </c>
      <c r="R152" s="16" t="s">
        <v>38</v>
      </c>
      <c r="S152" s="13" t="s">
        <v>55</v>
      </c>
      <c r="T152" s="13" t="s">
        <v>104</v>
      </c>
      <c r="U152" s="13" t="str">
        <f t="shared" si="1"/>
        <v>High</v>
      </c>
      <c r="V152" s="13" t="str">
        <f t="shared" si="2"/>
        <v>Median or Above</v>
      </c>
      <c r="W152" s="13" t="str">
        <f t="shared" si="3"/>
        <v>25–48 Months</v>
      </c>
    </row>
    <row r="153" hidden="1">
      <c r="A153" s="13" t="s">
        <v>463</v>
      </c>
      <c r="B153" s="13" t="s">
        <v>351</v>
      </c>
      <c r="C153" s="14">
        <v>61.0</v>
      </c>
      <c r="D153" s="13" t="s">
        <v>69</v>
      </c>
      <c r="E153" s="13" t="s">
        <v>187</v>
      </c>
      <c r="F153" s="13" t="s">
        <v>62</v>
      </c>
      <c r="G153" s="13" t="s">
        <v>39</v>
      </c>
      <c r="H153" s="16">
        <v>44580.0</v>
      </c>
      <c r="I153" s="14">
        <v>14.0</v>
      </c>
      <c r="J153" s="13" t="s">
        <v>53</v>
      </c>
      <c r="K153" s="13" t="s">
        <v>41</v>
      </c>
      <c r="L153" s="14">
        <v>690.0</v>
      </c>
      <c r="M153" s="18" t="s">
        <v>43</v>
      </c>
      <c r="N153" s="20">
        <v>2.0</v>
      </c>
      <c r="O153" s="18">
        <v>16.7</v>
      </c>
      <c r="P153" s="20">
        <v>3.8</v>
      </c>
      <c r="Q153" s="16">
        <v>44916.0</v>
      </c>
      <c r="R153" s="16" t="s">
        <v>38</v>
      </c>
      <c r="S153" s="13" t="s">
        <v>55</v>
      </c>
      <c r="T153" s="13" t="s">
        <v>104</v>
      </c>
      <c r="U153" s="13" t="str">
        <f t="shared" si="1"/>
        <v>Moderate</v>
      </c>
      <c r="V153" s="13" t="str">
        <f t="shared" si="2"/>
        <v>Below Median</v>
      </c>
      <c r="W153" s="13" t="str">
        <f t="shared" si="3"/>
        <v>13–24 Months</v>
      </c>
    </row>
    <row r="154" hidden="1">
      <c r="A154" s="13" t="s">
        <v>464</v>
      </c>
      <c r="B154" s="13" t="s">
        <v>325</v>
      </c>
      <c r="C154" s="14">
        <v>52.0</v>
      </c>
      <c r="D154" s="13" t="s">
        <v>85</v>
      </c>
      <c r="E154" s="13" t="s">
        <v>292</v>
      </c>
      <c r="F154" s="13" t="s">
        <v>62</v>
      </c>
      <c r="G154" s="13" t="s">
        <v>52</v>
      </c>
      <c r="H154" s="16">
        <v>45124.0</v>
      </c>
      <c r="I154" s="14">
        <v>35.0</v>
      </c>
      <c r="J154" s="13" t="s">
        <v>40</v>
      </c>
      <c r="K154" s="13" t="s">
        <v>41</v>
      </c>
      <c r="L154" s="14">
        <v>507.0</v>
      </c>
      <c r="M154" s="18" t="s">
        <v>43</v>
      </c>
      <c r="N154" s="20">
        <v>2.0</v>
      </c>
      <c r="O154" s="18">
        <v>19.5</v>
      </c>
      <c r="P154" s="20">
        <v>3.7</v>
      </c>
      <c r="Q154" s="16">
        <v>46015.0</v>
      </c>
      <c r="R154" s="16" t="s">
        <v>465</v>
      </c>
      <c r="S154" s="13" t="s">
        <v>45</v>
      </c>
      <c r="T154" s="13" t="s">
        <v>47</v>
      </c>
      <c r="U154" s="13" t="str">
        <f t="shared" si="1"/>
        <v>Moderate</v>
      </c>
      <c r="V154" s="13" t="str">
        <f t="shared" si="2"/>
        <v>Below Median</v>
      </c>
      <c r="W154" s="13" t="str">
        <f t="shared" si="3"/>
        <v>25–48 Months</v>
      </c>
    </row>
    <row r="155" hidden="1">
      <c r="A155" s="13" t="s">
        <v>466</v>
      </c>
      <c r="B155" s="13" t="s">
        <v>398</v>
      </c>
      <c r="C155" s="14">
        <v>60.0</v>
      </c>
      <c r="D155" s="13" t="s">
        <v>60</v>
      </c>
      <c r="E155" s="13" t="s">
        <v>107</v>
      </c>
      <c r="F155" s="13" t="s">
        <v>62</v>
      </c>
      <c r="G155" s="13" t="s">
        <v>120</v>
      </c>
      <c r="H155" s="16">
        <v>44723.0</v>
      </c>
      <c r="I155" s="14">
        <v>24.0</v>
      </c>
      <c r="J155" s="13" t="s">
        <v>64</v>
      </c>
      <c r="K155" s="13" t="s">
        <v>41</v>
      </c>
      <c r="L155" s="14">
        <v>734.0</v>
      </c>
      <c r="M155" s="18" t="s">
        <v>99</v>
      </c>
      <c r="N155" s="20">
        <v>2.0</v>
      </c>
      <c r="O155" s="18">
        <v>20.0</v>
      </c>
      <c r="P155" s="20">
        <v>5.0</v>
      </c>
      <c r="Q155" s="16">
        <v>45446.0</v>
      </c>
      <c r="R155" s="16" t="s">
        <v>467</v>
      </c>
      <c r="S155" s="13" t="s">
        <v>45</v>
      </c>
      <c r="T155" s="13" t="s">
        <v>104</v>
      </c>
      <c r="U155" s="13" t="str">
        <f t="shared" si="1"/>
        <v>High</v>
      </c>
      <c r="V155" s="13" t="str">
        <f t="shared" si="2"/>
        <v>Below Median</v>
      </c>
      <c r="W155" s="13" t="str">
        <f t="shared" si="3"/>
        <v>13–24 Months</v>
      </c>
    </row>
    <row r="156" hidden="1">
      <c r="A156" s="13" t="s">
        <v>468</v>
      </c>
      <c r="B156" s="13" t="s">
        <v>91</v>
      </c>
      <c r="C156" s="14">
        <v>52.0</v>
      </c>
      <c r="D156" s="13" t="s">
        <v>85</v>
      </c>
      <c r="E156" s="13" t="s">
        <v>87</v>
      </c>
      <c r="F156" s="13" t="s">
        <v>37</v>
      </c>
      <c r="G156" s="13" t="s">
        <v>63</v>
      </c>
      <c r="H156" s="16">
        <v>45866.0</v>
      </c>
      <c r="I156" s="14">
        <v>1.0</v>
      </c>
      <c r="J156" s="13" t="s">
        <v>40</v>
      </c>
      <c r="K156" s="13" t="s">
        <v>41</v>
      </c>
      <c r="L156" s="14">
        <v>1510.0</v>
      </c>
      <c r="M156" s="18" t="s">
        <v>46</v>
      </c>
      <c r="N156" s="20">
        <v>1.0</v>
      </c>
      <c r="O156" s="18">
        <v>36.6</v>
      </c>
      <c r="P156" s="20">
        <v>2.8</v>
      </c>
      <c r="Q156" s="16">
        <v>45903.0</v>
      </c>
      <c r="R156" s="16" t="s">
        <v>38</v>
      </c>
      <c r="S156" s="13" t="s">
        <v>55</v>
      </c>
      <c r="T156" s="13" t="s">
        <v>47</v>
      </c>
      <c r="U156" s="13" t="str">
        <f t="shared" si="1"/>
        <v>Low</v>
      </c>
      <c r="V156" s="13" t="str">
        <f t="shared" si="2"/>
        <v>Median or Above</v>
      </c>
      <c r="W156" s="13" t="str">
        <f t="shared" si="3"/>
        <v>0–12 Months</v>
      </c>
    </row>
    <row r="157" hidden="1">
      <c r="A157" s="13" t="s">
        <v>469</v>
      </c>
      <c r="B157" s="13" t="s">
        <v>470</v>
      </c>
      <c r="C157" s="14">
        <v>56.0</v>
      </c>
      <c r="D157" s="13" t="s">
        <v>85</v>
      </c>
      <c r="E157" s="13" t="s">
        <v>92</v>
      </c>
      <c r="F157" s="13" t="s">
        <v>62</v>
      </c>
      <c r="G157" s="13" t="s">
        <v>63</v>
      </c>
      <c r="H157" s="16">
        <v>45963.0</v>
      </c>
      <c r="I157" s="14">
        <v>18.0</v>
      </c>
      <c r="J157" s="13" t="s">
        <v>40</v>
      </c>
      <c r="K157" s="13" t="s">
        <v>81</v>
      </c>
      <c r="L157" s="14">
        <v>787.0</v>
      </c>
      <c r="M157" s="18" t="s">
        <v>99</v>
      </c>
      <c r="N157" s="20">
        <v>1.0</v>
      </c>
      <c r="O157" s="18">
        <v>14.2</v>
      </c>
      <c r="P157" s="20">
        <v>3.8</v>
      </c>
      <c r="Q157" s="16">
        <v>46156.0</v>
      </c>
      <c r="R157" s="16" t="s">
        <v>472</v>
      </c>
      <c r="S157" s="13" t="s">
        <v>45</v>
      </c>
      <c r="T157" s="13" t="s">
        <v>75</v>
      </c>
      <c r="U157" s="13" t="str">
        <f t="shared" si="1"/>
        <v>Moderate</v>
      </c>
      <c r="V157" s="13" t="str">
        <f t="shared" si="2"/>
        <v>Below Median</v>
      </c>
      <c r="W157" s="13" t="str">
        <f t="shared" si="3"/>
        <v>13–24 Months</v>
      </c>
    </row>
    <row r="158" hidden="1">
      <c r="A158" s="13" t="s">
        <v>473</v>
      </c>
      <c r="B158" s="13" t="s">
        <v>167</v>
      </c>
      <c r="C158" s="14">
        <v>22.0</v>
      </c>
      <c r="D158" s="13" t="s">
        <v>60</v>
      </c>
      <c r="E158" s="13" t="s">
        <v>97</v>
      </c>
      <c r="F158" s="13" t="s">
        <v>37</v>
      </c>
      <c r="G158" s="13" t="s">
        <v>80</v>
      </c>
      <c r="H158" s="16">
        <v>45358.0</v>
      </c>
      <c r="I158" s="14">
        <v>44.0</v>
      </c>
      <c r="J158" s="13" t="s">
        <v>40</v>
      </c>
      <c r="K158" s="13" t="s">
        <v>65</v>
      </c>
      <c r="L158" s="14">
        <v>1392.0</v>
      </c>
      <c r="M158" s="18" t="s">
        <v>43</v>
      </c>
      <c r="N158" s="20">
        <v>2.0</v>
      </c>
      <c r="O158" s="18">
        <v>40.5</v>
      </c>
      <c r="P158" s="20">
        <v>3.6</v>
      </c>
      <c r="Q158" s="16">
        <v>45654.0</v>
      </c>
      <c r="R158" s="16" t="s">
        <v>474</v>
      </c>
      <c r="S158" s="13" t="s">
        <v>45</v>
      </c>
      <c r="T158" s="13" t="s">
        <v>47</v>
      </c>
      <c r="U158" s="13" t="str">
        <f t="shared" si="1"/>
        <v>Moderate</v>
      </c>
      <c r="V158" s="13" t="str">
        <f t="shared" si="2"/>
        <v>Median or Above</v>
      </c>
      <c r="W158" s="13" t="str">
        <f t="shared" si="3"/>
        <v>25–48 Months</v>
      </c>
    </row>
    <row r="159" hidden="1">
      <c r="A159" s="13" t="s">
        <v>475</v>
      </c>
      <c r="B159" s="13" t="s">
        <v>476</v>
      </c>
      <c r="C159" s="14">
        <v>46.0</v>
      </c>
      <c r="D159" s="13" t="s">
        <v>60</v>
      </c>
      <c r="E159" s="13" t="s">
        <v>133</v>
      </c>
      <c r="F159" s="13" t="s">
        <v>79</v>
      </c>
      <c r="G159" s="13" t="s">
        <v>210</v>
      </c>
      <c r="H159" s="16">
        <v>44622.0</v>
      </c>
      <c r="I159" s="14">
        <v>41.0</v>
      </c>
      <c r="J159" s="13" t="s">
        <v>40</v>
      </c>
      <c r="K159" s="13" t="s">
        <v>81</v>
      </c>
      <c r="L159" s="14">
        <v>2466.0</v>
      </c>
      <c r="M159" s="18" t="s">
        <v>43</v>
      </c>
      <c r="N159" s="20">
        <v>2.0</v>
      </c>
      <c r="O159" s="18">
        <v>41.5</v>
      </c>
      <c r="P159" s="20">
        <v>3.2</v>
      </c>
      <c r="Q159" s="16">
        <v>45360.0</v>
      </c>
      <c r="R159" s="16" t="s">
        <v>38</v>
      </c>
      <c r="S159" s="13" t="s">
        <v>55</v>
      </c>
      <c r="T159" s="13" t="s">
        <v>66</v>
      </c>
      <c r="U159" s="13" t="str">
        <f t="shared" si="1"/>
        <v>Moderate</v>
      </c>
      <c r="V159" s="13" t="str">
        <f t="shared" si="2"/>
        <v>Median or Above</v>
      </c>
      <c r="W159" s="13" t="str">
        <f t="shared" si="3"/>
        <v>25–48 Months</v>
      </c>
    </row>
    <row r="160" hidden="1">
      <c r="A160" s="13" t="s">
        <v>478</v>
      </c>
      <c r="B160" s="13" t="s">
        <v>50</v>
      </c>
      <c r="C160" s="14">
        <v>39.0</v>
      </c>
      <c r="D160" s="13" t="s">
        <v>85</v>
      </c>
      <c r="E160" s="13" t="s">
        <v>292</v>
      </c>
      <c r="F160" s="13" t="s">
        <v>37</v>
      </c>
      <c r="G160" s="13" t="s">
        <v>39</v>
      </c>
      <c r="H160" s="16">
        <v>45066.0</v>
      </c>
      <c r="I160" s="14">
        <v>46.0</v>
      </c>
      <c r="J160" s="13" t="s">
        <v>53</v>
      </c>
      <c r="K160" s="13" t="s">
        <v>41</v>
      </c>
      <c r="L160" s="14">
        <v>1156.0</v>
      </c>
      <c r="M160" s="18" t="s">
        <v>43</v>
      </c>
      <c r="N160" s="20">
        <v>0.0</v>
      </c>
      <c r="O160" s="18">
        <v>33.2</v>
      </c>
      <c r="P160" s="20">
        <v>3.6</v>
      </c>
      <c r="Q160" s="16">
        <v>46374.0</v>
      </c>
      <c r="R160" s="16" t="s">
        <v>38</v>
      </c>
      <c r="S160" s="13" t="s">
        <v>55</v>
      </c>
      <c r="T160" s="13" t="s">
        <v>104</v>
      </c>
      <c r="U160" s="13" t="str">
        <f t="shared" si="1"/>
        <v>Moderate</v>
      </c>
      <c r="V160" s="13" t="str">
        <f t="shared" si="2"/>
        <v>Median or Above</v>
      </c>
      <c r="W160" s="13" t="str">
        <f t="shared" si="3"/>
        <v>25–48 Months</v>
      </c>
    </row>
    <row r="161" hidden="1">
      <c r="A161" s="13" t="s">
        <v>479</v>
      </c>
      <c r="B161" s="13" t="s">
        <v>135</v>
      </c>
      <c r="C161" s="14">
        <v>20.0</v>
      </c>
      <c r="D161" s="13" t="s">
        <v>60</v>
      </c>
      <c r="E161" s="13" t="s">
        <v>133</v>
      </c>
      <c r="F161" s="13" t="s">
        <v>62</v>
      </c>
      <c r="G161" s="13" t="s">
        <v>210</v>
      </c>
      <c r="H161" s="16">
        <v>44771.0</v>
      </c>
      <c r="I161" s="14">
        <v>9.0</v>
      </c>
      <c r="J161" s="13" t="s">
        <v>40</v>
      </c>
      <c r="K161" s="13" t="s">
        <v>65</v>
      </c>
      <c r="L161" s="14">
        <v>719.0</v>
      </c>
      <c r="M161" s="18" t="s">
        <v>43</v>
      </c>
      <c r="N161" s="20">
        <v>0.0</v>
      </c>
      <c r="O161" s="18">
        <v>17.6</v>
      </c>
      <c r="P161" s="20">
        <v>3.9</v>
      </c>
      <c r="Q161" s="16">
        <v>45043.0</v>
      </c>
      <c r="R161" s="16" t="s">
        <v>38</v>
      </c>
      <c r="S161" s="13" t="s">
        <v>55</v>
      </c>
      <c r="T161" s="13" t="s">
        <v>66</v>
      </c>
      <c r="U161" s="13" t="str">
        <f t="shared" si="1"/>
        <v>Moderate</v>
      </c>
      <c r="V161" s="13" t="str">
        <f t="shared" si="2"/>
        <v>Below Median</v>
      </c>
      <c r="W161" s="13" t="str">
        <f t="shared" si="3"/>
        <v>0–12 Months</v>
      </c>
    </row>
    <row r="162" hidden="1">
      <c r="A162" s="13" t="s">
        <v>483</v>
      </c>
      <c r="B162" s="13" t="s">
        <v>206</v>
      </c>
      <c r="C162" s="14" t="s">
        <v>38</v>
      </c>
      <c r="D162" s="13" t="s">
        <v>60</v>
      </c>
      <c r="E162" s="13" t="s">
        <v>133</v>
      </c>
      <c r="F162" s="13" t="s">
        <v>62</v>
      </c>
      <c r="G162" s="13" t="s">
        <v>120</v>
      </c>
      <c r="H162" s="16">
        <v>45356.0</v>
      </c>
      <c r="I162" s="14">
        <v>6.0</v>
      </c>
      <c r="J162" s="13" t="s">
        <v>53</v>
      </c>
      <c r="K162" s="13" t="s">
        <v>65</v>
      </c>
      <c r="L162" s="14">
        <v>785.0</v>
      </c>
      <c r="M162" s="18" t="s">
        <v>164</v>
      </c>
      <c r="N162" s="20">
        <v>4.0</v>
      </c>
      <c r="O162" s="18">
        <v>8.0</v>
      </c>
      <c r="P162" s="20">
        <v>5.0</v>
      </c>
      <c r="Q162" s="16">
        <v>45499.0</v>
      </c>
      <c r="R162" s="16" t="s">
        <v>487</v>
      </c>
      <c r="S162" s="13" t="s">
        <v>45</v>
      </c>
      <c r="T162" s="13" t="s">
        <v>72</v>
      </c>
      <c r="U162" s="13" t="str">
        <f t="shared" si="1"/>
        <v>High</v>
      </c>
      <c r="V162" s="13" t="str">
        <f t="shared" si="2"/>
        <v>Below Median</v>
      </c>
      <c r="W162" s="13" t="str">
        <f t="shared" si="3"/>
        <v>0–12 Months</v>
      </c>
    </row>
    <row r="163" hidden="1">
      <c r="A163" s="13" t="s">
        <v>490</v>
      </c>
      <c r="B163" s="13" t="s">
        <v>163</v>
      </c>
      <c r="C163" s="14">
        <v>48.0</v>
      </c>
      <c r="D163" s="13" t="s">
        <v>69</v>
      </c>
      <c r="E163" s="13" t="s">
        <v>70</v>
      </c>
      <c r="F163" s="13" t="s">
        <v>62</v>
      </c>
      <c r="G163" s="13" t="s">
        <v>210</v>
      </c>
      <c r="H163" s="16">
        <v>45424.0</v>
      </c>
      <c r="I163" s="14">
        <v>20.0</v>
      </c>
      <c r="J163" s="13" t="s">
        <v>40</v>
      </c>
      <c r="K163" s="13" t="s">
        <v>41</v>
      </c>
      <c r="L163" s="14">
        <v>538.0</v>
      </c>
      <c r="M163" s="18" t="s">
        <v>46</v>
      </c>
      <c r="N163" s="20">
        <v>3.0</v>
      </c>
      <c r="O163" s="18">
        <v>10.4</v>
      </c>
      <c r="P163" s="20">
        <v>4.0</v>
      </c>
      <c r="Q163" s="16">
        <v>45686.0</v>
      </c>
      <c r="R163" s="16" t="s">
        <v>38</v>
      </c>
      <c r="S163" s="13" t="s">
        <v>55</v>
      </c>
      <c r="T163" s="13" t="s">
        <v>72</v>
      </c>
      <c r="U163" s="13" t="str">
        <f t="shared" si="1"/>
        <v>Moderate</v>
      </c>
      <c r="V163" s="13" t="str">
        <f t="shared" si="2"/>
        <v>Below Median</v>
      </c>
      <c r="W163" s="13" t="str">
        <f t="shared" si="3"/>
        <v>13–24 Months</v>
      </c>
    </row>
    <row r="164" hidden="1">
      <c r="A164" s="13" t="s">
        <v>495</v>
      </c>
      <c r="B164" s="13" t="s">
        <v>312</v>
      </c>
      <c r="C164" s="14">
        <v>49.0</v>
      </c>
      <c r="D164" s="13" t="s">
        <v>85</v>
      </c>
      <c r="E164" s="13" t="s">
        <v>92</v>
      </c>
      <c r="F164" s="13" t="s">
        <v>37</v>
      </c>
      <c r="G164" s="13" t="s">
        <v>120</v>
      </c>
      <c r="H164" s="16">
        <v>45236.0</v>
      </c>
      <c r="I164" s="14">
        <v>29.0</v>
      </c>
      <c r="J164" s="13" t="s">
        <v>53</v>
      </c>
      <c r="K164" s="13" t="s">
        <v>41</v>
      </c>
      <c r="L164" s="14">
        <v>1607.0</v>
      </c>
      <c r="M164" s="18" t="s">
        <v>98</v>
      </c>
      <c r="N164" s="20">
        <v>0.0</v>
      </c>
      <c r="O164" s="18">
        <v>22.6</v>
      </c>
      <c r="P164" s="20">
        <v>5.0</v>
      </c>
      <c r="Q164" s="16">
        <v>45553.0</v>
      </c>
      <c r="R164" s="16" t="s">
        <v>38</v>
      </c>
      <c r="S164" s="13" t="s">
        <v>55</v>
      </c>
      <c r="T164" s="13" t="s">
        <v>75</v>
      </c>
      <c r="U164" s="13" t="str">
        <f t="shared" si="1"/>
        <v>High</v>
      </c>
      <c r="V164" s="13" t="str">
        <f t="shared" si="2"/>
        <v>Below Median</v>
      </c>
      <c r="W164" s="13" t="str">
        <f t="shared" si="3"/>
        <v>25–48 Months</v>
      </c>
    </row>
    <row r="165" hidden="1">
      <c r="A165" s="13" t="s">
        <v>502</v>
      </c>
      <c r="B165" s="13" t="s">
        <v>459</v>
      </c>
      <c r="C165" s="14">
        <v>62.0</v>
      </c>
      <c r="D165" s="13" t="s">
        <v>60</v>
      </c>
      <c r="E165" s="13" t="s">
        <v>133</v>
      </c>
      <c r="F165" s="13" t="s">
        <v>79</v>
      </c>
      <c r="G165" s="13" t="s">
        <v>128</v>
      </c>
      <c r="H165" s="16">
        <v>45058.0</v>
      </c>
      <c r="I165" s="14">
        <v>21.0</v>
      </c>
      <c r="J165" s="13" t="s">
        <v>64</v>
      </c>
      <c r="K165" s="13" t="s">
        <v>41</v>
      </c>
      <c r="L165" s="14">
        <v>2232.0</v>
      </c>
      <c r="M165" s="18" t="s">
        <v>43</v>
      </c>
      <c r="N165" s="20">
        <v>0.0</v>
      </c>
      <c r="O165" s="18">
        <v>25.3</v>
      </c>
      <c r="P165" s="20">
        <v>4.2</v>
      </c>
      <c r="Q165" s="16">
        <v>45645.0</v>
      </c>
      <c r="R165" s="16" t="s">
        <v>38</v>
      </c>
      <c r="S165" s="13" t="s">
        <v>55</v>
      </c>
      <c r="T165" s="13" t="s">
        <v>75</v>
      </c>
      <c r="U165" s="13" t="str">
        <f t="shared" si="1"/>
        <v>Moderate</v>
      </c>
      <c r="V165" s="13" t="str">
        <f t="shared" si="2"/>
        <v>Median or Above</v>
      </c>
      <c r="W165" s="13" t="str">
        <f t="shared" si="3"/>
        <v>13–24 Months</v>
      </c>
    </row>
    <row r="166" hidden="1">
      <c r="A166" s="13" t="s">
        <v>506</v>
      </c>
      <c r="B166" s="13" t="s">
        <v>380</v>
      </c>
      <c r="C166" s="14">
        <v>61.0</v>
      </c>
      <c r="D166" s="13" t="s">
        <v>35</v>
      </c>
      <c r="E166" s="13" t="s">
        <v>119</v>
      </c>
      <c r="F166" s="13" t="s">
        <v>37</v>
      </c>
      <c r="G166" s="13" t="s">
        <v>128</v>
      </c>
      <c r="H166" s="16">
        <v>45980.0</v>
      </c>
      <c r="I166" s="14">
        <v>5.0</v>
      </c>
      <c r="J166" s="13" t="s">
        <v>40</v>
      </c>
      <c r="K166" s="13" t="s">
        <v>81</v>
      </c>
      <c r="L166" s="14">
        <v>1688.0</v>
      </c>
      <c r="M166" s="18" t="s">
        <v>43</v>
      </c>
      <c r="N166" s="20">
        <v>3.0</v>
      </c>
      <c r="O166" s="18">
        <v>26.6</v>
      </c>
      <c r="P166" s="20">
        <v>3.1</v>
      </c>
      <c r="Q166" s="16">
        <v>46025.0</v>
      </c>
      <c r="R166" s="16">
        <v>46176.0</v>
      </c>
      <c r="S166" s="13" t="s">
        <v>45</v>
      </c>
      <c r="T166" s="13" t="s">
        <v>75</v>
      </c>
      <c r="U166" s="13" t="str">
        <f t="shared" si="1"/>
        <v>Moderate</v>
      </c>
      <c r="V166" s="13" t="str">
        <f t="shared" si="2"/>
        <v>Median or Above</v>
      </c>
      <c r="W166" s="13" t="str">
        <f t="shared" si="3"/>
        <v>0–12 Months</v>
      </c>
    </row>
    <row r="167" hidden="1">
      <c r="A167" s="13" t="s">
        <v>512</v>
      </c>
      <c r="B167" s="13" t="s">
        <v>91</v>
      </c>
      <c r="C167" s="14">
        <v>25.0</v>
      </c>
      <c r="D167" s="13" t="s">
        <v>35</v>
      </c>
      <c r="E167" s="13" t="s">
        <v>140</v>
      </c>
      <c r="F167" s="13" t="s">
        <v>79</v>
      </c>
      <c r="G167" s="13" t="s">
        <v>120</v>
      </c>
      <c r="H167" s="16">
        <v>45754.0</v>
      </c>
      <c r="I167" s="14">
        <v>26.0</v>
      </c>
      <c r="J167" s="13" t="s">
        <v>64</v>
      </c>
      <c r="K167" s="13" t="s">
        <v>81</v>
      </c>
      <c r="L167" s="14">
        <v>3112.0</v>
      </c>
      <c r="M167" s="18" t="s">
        <v>43</v>
      </c>
      <c r="N167" s="20">
        <v>1.0</v>
      </c>
      <c r="O167" s="18">
        <v>30.3</v>
      </c>
      <c r="P167" s="20">
        <v>3.7</v>
      </c>
      <c r="Q167" s="16" t="s">
        <v>38</v>
      </c>
      <c r="R167" s="16" t="s">
        <v>38</v>
      </c>
      <c r="S167" s="13" t="s">
        <v>55</v>
      </c>
      <c r="T167" s="13" t="s">
        <v>72</v>
      </c>
      <c r="U167" s="13" t="str">
        <f t="shared" si="1"/>
        <v>Moderate</v>
      </c>
      <c r="V167" s="13" t="str">
        <f t="shared" si="2"/>
        <v>Median or Above</v>
      </c>
      <c r="W167" s="13" t="str">
        <f t="shared" si="3"/>
        <v>25–48 Months</v>
      </c>
    </row>
    <row r="168" hidden="1">
      <c r="A168" s="13" t="s">
        <v>517</v>
      </c>
      <c r="B168" s="13" t="s">
        <v>395</v>
      </c>
      <c r="C168" s="14">
        <v>47.0</v>
      </c>
      <c r="D168" s="13" t="s">
        <v>35</v>
      </c>
      <c r="E168" s="13" t="s">
        <v>140</v>
      </c>
      <c r="F168" s="13" t="s">
        <v>79</v>
      </c>
      <c r="G168" s="13" t="s">
        <v>210</v>
      </c>
      <c r="H168" s="16">
        <v>45443.0</v>
      </c>
      <c r="I168" s="14">
        <v>7.0</v>
      </c>
      <c r="J168" s="13" t="s">
        <v>53</v>
      </c>
      <c r="K168" s="13" t="s">
        <v>65</v>
      </c>
      <c r="L168" s="14">
        <v>3044.0</v>
      </c>
      <c r="M168" s="18" t="s">
        <v>46</v>
      </c>
      <c r="N168" s="20">
        <v>0.0</v>
      </c>
      <c r="O168" s="18">
        <v>42.2</v>
      </c>
      <c r="P168" s="20">
        <v>5.0</v>
      </c>
      <c r="Q168" s="16">
        <v>45644.0</v>
      </c>
      <c r="R168" s="16" t="s">
        <v>38</v>
      </c>
      <c r="S168" s="13" t="s">
        <v>55</v>
      </c>
      <c r="T168" s="13" t="s">
        <v>75</v>
      </c>
      <c r="U168" s="13" t="str">
        <f t="shared" si="1"/>
        <v>High</v>
      </c>
      <c r="V168" s="13" t="str">
        <f t="shared" si="2"/>
        <v>Median or Above</v>
      </c>
      <c r="W168" s="13" t="str">
        <f t="shared" si="3"/>
        <v>0–12 Months</v>
      </c>
    </row>
    <row r="169" hidden="1">
      <c r="A169" s="13" t="s">
        <v>519</v>
      </c>
      <c r="B169" s="13" t="s">
        <v>224</v>
      </c>
      <c r="C169" s="14">
        <v>40.0</v>
      </c>
      <c r="D169" s="13" t="s">
        <v>69</v>
      </c>
      <c r="E169" s="13" t="s">
        <v>177</v>
      </c>
      <c r="F169" s="13" t="s">
        <v>79</v>
      </c>
      <c r="G169" s="13" t="s">
        <v>120</v>
      </c>
      <c r="H169" s="16">
        <v>44776.0</v>
      </c>
      <c r="I169" s="14">
        <v>19.0</v>
      </c>
      <c r="J169" s="13" t="s">
        <v>53</v>
      </c>
      <c r="K169" s="13" t="s">
        <v>41</v>
      </c>
      <c r="L169" s="14">
        <v>3701.0</v>
      </c>
      <c r="M169" s="18" t="s">
        <v>98</v>
      </c>
      <c r="N169" s="20">
        <v>0.0</v>
      </c>
      <c r="O169" s="18">
        <v>31.0</v>
      </c>
      <c r="P169" s="20">
        <v>3.7</v>
      </c>
      <c r="Q169" s="16">
        <v>44931.0</v>
      </c>
      <c r="R169" s="16" t="s">
        <v>38</v>
      </c>
      <c r="S169" s="13" t="s">
        <v>55</v>
      </c>
      <c r="T169" s="13" t="s">
        <v>66</v>
      </c>
      <c r="U169" s="13" t="str">
        <f t="shared" si="1"/>
        <v>Moderate</v>
      </c>
      <c r="V169" s="13" t="str">
        <f t="shared" si="2"/>
        <v>Median or Above</v>
      </c>
      <c r="W169" s="13" t="str">
        <f t="shared" si="3"/>
        <v>13–24 Months</v>
      </c>
    </row>
    <row r="170" hidden="1">
      <c r="A170" s="13" t="s">
        <v>520</v>
      </c>
      <c r="B170" s="13" t="s">
        <v>303</v>
      </c>
      <c r="C170" s="14">
        <v>40.0</v>
      </c>
      <c r="D170" s="13" t="s">
        <v>60</v>
      </c>
      <c r="E170" s="13" t="s">
        <v>133</v>
      </c>
      <c r="F170" s="13" t="s">
        <v>62</v>
      </c>
      <c r="G170" s="13" t="s">
        <v>52</v>
      </c>
      <c r="H170" s="16">
        <v>45988.0</v>
      </c>
      <c r="I170" s="14">
        <v>29.0</v>
      </c>
      <c r="J170" s="13" t="s">
        <v>64</v>
      </c>
      <c r="K170" s="13" t="s">
        <v>41</v>
      </c>
      <c r="L170" s="14">
        <v>652.0</v>
      </c>
      <c r="M170" s="18" t="s">
        <v>164</v>
      </c>
      <c r="N170" s="20">
        <v>0.0</v>
      </c>
      <c r="O170" s="18">
        <v>10.0</v>
      </c>
      <c r="P170" s="20">
        <v>3.4</v>
      </c>
      <c r="Q170" s="16">
        <v>46725.0</v>
      </c>
      <c r="R170" s="16" t="s">
        <v>38</v>
      </c>
      <c r="S170" s="13" t="s">
        <v>55</v>
      </c>
      <c r="T170" s="13" t="s">
        <v>47</v>
      </c>
      <c r="U170" s="13" t="str">
        <f t="shared" si="1"/>
        <v>Moderate</v>
      </c>
      <c r="V170" s="13" t="str">
        <f t="shared" si="2"/>
        <v>Below Median</v>
      </c>
      <c r="W170" s="13" t="str">
        <f t="shared" si="3"/>
        <v>25–48 Months</v>
      </c>
    </row>
    <row r="171" hidden="1">
      <c r="A171" s="13" t="s">
        <v>521</v>
      </c>
      <c r="B171" s="13" t="s">
        <v>393</v>
      </c>
      <c r="C171" s="14">
        <v>20.0</v>
      </c>
      <c r="D171" s="13" t="s">
        <v>69</v>
      </c>
      <c r="E171" s="13" t="s">
        <v>187</v>
      </c>
      <c r="F171" s="13" t="s">
        <v>37</v>
      </c>
      <c r="G171" s="13" t="s">
        <v>210</v>
      </c>
      <c r="H171" s="16">
        <v>45708.0</v>
      </c>
      <c r="I171" s="14">
        <v>28.0</v>
      </c>
      <c r="J171" s="13" t="s">
        <v>64</v>
      </c>
      <c r="K171" s="13" t="s">
        <v>81</v>
      </c>
      <c r="L171" s="14">
        <v>1413.0</v>
      </c>
      <c r="M171" s="18" t="s">
        <v>98</v>
      </c>
      <c r="N171" s="20">
        <v>1.0</v>
      </c>
      <c r="O171" s="18">
        <v>30.2</v>
      </c>
      <c r="P171" s="20">
        <v>3.0</v>
      </c>
      <c r="Q171" s="16">
        <v>45906.0</v>
      </c>
      <c r="R171" s="16" t="s">
        <v>522</v>
      </c>
      <c r="S171" s="13" t="s">
        <v>45</v>
      </c>
      <c r="T171" s="13" t="s">
        <v>47</v>
      </c>
      <c r="U171" s="13" t="str">
        <f t="shared" si="1"/>
        <v>Moderate</v>
      </c>
      <c r="V171" s="13" t="str">
        <f t="shared" si="2"/>
        <v>Median or Above</v>
      </c>
      <c r="W171" s="13" t="str">
        <f t="shared" si="3"/>
        <v>25–48 Months</v>
      </c>
    </row>
    <row r="172" hidden="1">
      <c r="A172" s="13" t="s">
        <v>369</v>
      </c>
      <c r="B172" s="13" t="s">
        <v>281</v>
      </c>
      <c r="C172" s="14">
        <v>31.0</v>
      </c>
      <c r="D172" s="13" t="s">
        <v>85</v>
      </c>
      <c r="E172" s="13" t="s">
        <v>87</v>
      </c>
      <c r="F172" s="13" t="s">
        <v>62</v>
      </c>
      <c r="G172" s="13" t="s">
        <v>39</v>
      </c>
      <c r="H172" s="16">
        <v>44983.0</v>
      </c>
      <c r="I172" s="14">
        <v>18.0</v>
      </c>
      <c r="J172" s="13" t="s">
        <v>53</v>
      </c>
      <c r="K172" s="13" t="s">
        <v>41</v>
      </c>
      <c r="L172" s="14">
        <v>531.0</v>
      </c>
      <c r="M172" s="18" t="s">
        <v>173</v>
      </c>
      <c r="N172" s="20">
        <v>3.0</v>
      </c>
      <c r="O172" s="18">
        <v>32.5</v>
      </c>
      <c r="P172" s="20">
        <v>4.0</v>
      </c>
      <c r="Q172" s="16">
        <v>45542.0</v>
      </c>
      <c r="R172" s="16">
        <v>45056.0</v>
      </c>
      <c r="S172" s="13" t="s">
        <v>45</v>
      </c>
      <c r="T172" s="13" t="s">
        <v>72</v>
      </c>
      <c r="U172" s="13" t="str">
        <f t="shared" si="1"/>
        <v>Moderate</v>
      </c>
      <c r="V172" s="13" t="str">
        <f t="shared" si="2"/>
        <v>Median or Above</v>
      </c>
      <c r="W172" s="13" t="str">
        <f t="shared" si="3"/>
        <v>13–24 Months</v>
      </c>
    </row>
    <row r="173">
      <c r="A173" s="13" t="s">
        <v>526</v>
      </c>
      <c r="B173" s="13" t="s">
        <v>398</v>
      </c>
      <c r="C173" s="14">
        <v>62.0</v>
      </c>
      <c r="D173" s="13" t="s">
        <v>85</v>
      </c>
      <c r="E173" s="13" t="s">
        <v>92</v>
      </c>
      <c r="F173" s="13" t="s">
        <v>37</v>
      </c>
      <c r="G173" s="13" t="s">
        <v>80</v>
      </c>
      <c r="H173" s="16">
        <v>45365.0</v>
      </c>
      <c r="I173" s="14">
        <v>38.0</v>
      </c>
      <c r="J173" s="13" t="s">
        <v>40</v>
      </c>
      <c r="K173" s="13" t="s">
        <v>65</v>
      </c>
      <c r="L173" s="14">
        <v>1467.0</v>
      </c>
      <c r="M173" s="18" t="s">
        <v>98</v>
      </c>
      <c r="N173" s="20">
        <v>0.0</v>
      </c>
      <c r="O173" s="18">
        <v>31.2</v>
      </c>
      <c r="P173" s="20">
        <v>5.0</v>
      </c>
      <c r="Q173" s="16">
        <v>45994.0</v>
      </c>
      <c r="R173" s="16" t="s">
        <v>38</v>
      </c>
      <c r="S173" s="13" t="s">
        <v>529</v>
      </c>
      <c r="T173" s="13" t="s">
        <v>104</v>
      </c>
      <c r="U173" s="13" t="str">
        <f t="shared" si="1"/>
        <v>High</v>
      </c>
      <c r="V173" s="13" t="str">
        <f t="shared" si="2"/>
        <v>Median or Above</v>
      </c>
      <c r="W173" s="13" t="str">
        <f t="shared" si="3"/>
        <v>25–48 Months</v>
      </c>
    </row>
    <row r="174" hidden="1">
      <c r="A174" s="13" t="s">
        <v>532</v>
      </c>
      <c r="B174" s="13" t="s">
        <v>206</v>
      </c>
      <c r="C174" s="14">
        <v>50.0</v>
      </c>
      <c r="D174" s="13" t="s">
        <v>60</v>
      </c>
      <c r="E174" s="13" t="s">
        <v>61</v>
      </c>
      <c r="F174" s="13" t="s">
        <v>62</v>
      </c>
      <c r="G174" s="13" t="s">
        <v>52</v>
      </c>
      <c r="H174" s="16">
        <v>44851.0</v>
      </c>
      <c r="I174" s="14">
        <v>33.0</v>
      </c>
      <c r="J174" s="13" t="s">
        <v>64</v>
      </c>
      <c r="K174" s="13" t="s">
        <v>81</v>
      </c>
      <c r="L174" s="14">
        <v>804.0</v>
      </c>
      <c r="M174" s="18" t="s">
        <v>164</v>
      </c>
      <c r="N174" s="20">
        <v>0.0</v>
      </c>
      <c r="O174" s="18">
        <v>12.8</v>
      </c>
      <c r="P174" s="20">
        <v>3.3</v>
      </c>
      <c r="Q174" s="16">
        <v>45253.0</v>
      </c>
      <c r="R174" s="16" t="s">
        <v>38</v>
      </c>
      <c r="S174" s="13" t="s">
        <v>55</v>
      </c>
      <c r="T174" s="13" t="s">
        <v>47</v>
      </c>
      <c r="U174" s="13" t="str">
        <f t="shared" si="1"/>
        <v>Moderate</v>
      </c>
      <c r="V174" s="13" t="str">
        <f t="shared" si="2"/>
        <v>Below Median</v>
      </c>
      <c r="W174" s="13" t="str">
        <f t="shared" si="3"/>
        <v>25–48 Months</v>
      </c>
    </row>
    <row r="175" hidden="1">
      <c r="A175" s="13" t="s">
        <v>536</v>
      </c>
      <c r="B175" s="13" t="s">
        <v>333</v>
      </c>
      <c r="C175" s="14">
        <v>54.0</v>
      </c>
      <c r="D175" s="13" t="s">
        <v>69</v>
      </c>
      <c r="E175" s="13" t="s">
        <v>119</v>
      </c>
      <c r="F175" s="13" t="s">
        <v>62</v>
      </c>
      <c r="G175" s="13" t="s">
        <v>39</v>
      </c>
      <c r="H175" s="16">
        <v>45206.0</v>
      </c>
      <c r="I175" s="14">
        <v>29.0</v>
      </c>
      <c r="J175" s="13" t="s">
        <v>64</v>
      </c>
      <c r="K175" s="13" t="s">
        <v>81</v>
      </c>
      <c r="L175" s="14">
        <v>682.0</v>
      </c>
      <c r="M175" s="18" t="s">
        <v>164</v>
      </c>
      <c r="N175" s="20">
        <v>3.0</v>
      </c>
      <c r="O175" s="18">
        <v>22.9</v>
      </c>
      <c r="P175" s="20">
        <v>4.7</v>
      </c>
      <c r="Q175" s="16">
        <v>45355.0</v>
      </c>
      <c r="R175" s="16" t="s">
        <v>38</v>
      </c>
      <c r="S175" s="13" t="s">
        <v>55</v>
      </c>
      <c r="T175" s="13" t="s">
        <v>75</v>
      </c>
      <c r="U175" s="13" t="str">
        <f t="shared" si="1"/>
        <v>Moderate</v>
      </c>
      <c r="V175" s="13" t="str">
        <f t="shared" si="2"/>
        <v>Below Median</v>
      </c>
      <c r="W175" s="13" t="str">
        <f t="shared" si="3"/>
        <v>25–48 Months</v>
      </c>
    </row>
    <row r="176" hidden="1">
      <c r="A176" s="13" t="s">
        <v>541</v>
      </c>
      <c r="B176" s="13" t="s">
        <v>331</v>
      </c>
      <c r="C176" s="14">
        <v>33.0</v>
      </c>
      <c r="D176" s="13" t="s">
        <v>85</v>
      </c>
      <c r="E176" s="13" t="s">
        <v>87</v>
      </c>
      <c r="F176" s="13" t="s">
        <v>37</v>
      </c>
      <c r="G176" s="13" t="s">
        <v>120</v>
      </c>
      <c r="H176" s="16">
        <v>45562.0</v>
      </c>
      <c r="I176" s="14">
        <v>11.0</v>
      </c>
      <c r="J176" s="13" t="s">
        <v>64</v>
      </c>
      <c r="K176" s="13" t="s">
        <v>65</v>
      </c>
      <c r="L176" s="14">
        <v>1778.0</v>
      </c>
      <c r="M176" s="18" t="s">
        <v>46</v>
      </c>
      <c r="N176" s="20">
        <v>0.0</v>
      </c>
      <c r="O176" s="18">
        <v>24.0</v>
      </c>
      <c r="P176" s="20">
        <v>3.9</v>
      </c>
      <c r="Q176" s="16">
        <v>45721.0</v>
      </c>
      <c r="R176" s="16" t="s">
        <v>38</v>
      </c>
      <c r="S176" s="13" t="s">
        <v>55</v>
      </c>
      <c r="T176" s="13" t="s">
        <v>47</v>
      </c>
      <c r="U176" s="13" t="str">
        <f t="shared" si="1"/>
        <v>Moderate</v>
      </c>
      <c r="V176" s="13" t="str">
        <f t="shared" si="2"/>
        <v>Median or Above</v>
      </c>
      <c r="W176" s="13" t="str">
        <f t="shared" si="3"/>
        <v>0–12 Months</v>
      </c>
    </row>
    <row r="177" hidden="1">
      <c r="A177" s="13" t="s">
        <v>542</v>
      </c>
      <c r="B177" s="13" t="s">
        <v>345</v>
      </c>
      <c r="C177" s="14">
        <v>53.0</v>
      </c>
      <c r="D177" s="13" t="s">
        <v>85</v>
      </c>
      <c r="E177" s="13" t="s">
        <v>87</v>
      </c>
      <c r="F177" s="13" t="s">
        <v>37</v>
      </c>
      <c r="G177" s="13" t="s">
        <v>63</v>
      </c>
      <c r="H177" s="16">
        <v>45734.0</v>
      </c>
      <c r="I177" s="14">
        <v>8.0</v>
      </c>
      <c r="J177" s="13" t="s">
        <v>40</v>
      </c>
      <c r="K177" s="13" t="s">
        <v>65</v>
      </c>
      <c r="L177" s="14">
        <v>1374.0</v>
      </c>
      <c r="M177" s="18" t="s">
        <v>164</v>
      </c>
      <c r="N177" s="20">
        <v>1.0</v>
      </c>
      <c r="O177" s="18">
        <v>36.7</v>
      </c>
      <c r="P177" s="20">
        <v>3.6</v>
      </c>
      <c r="Q177" s="16">
        <v>45954.0</v>
      </c>
      <c r="R177" s="16" t="s">
        <v>38</v>
      </c>
      <c r="S177" s="13" t="s">
        <v>55</v>
      </c>
      <c r="T177" s="13" t="s">
        <v>104</v>
      </c>
      <c r="U177" s="13" t="str">
        <f t="shared" si="1"/>
        <v>Moderate</v>
      </c>
      <c r="V177" s="13" t="str">
        <f t="shared" si="2"/>
        <v>Median or Above</v>
      </c>
      <c r="W177" s="13" t="str">
        <f t="shared" si="3"/>
        <v>0–12 Months</v>
      </c>
    </row>
    <row r="178" hidden="1">
      <c r="A178" s="13" t="s">
        <v>543</v>
      </c>
      <c r="B178" s="13" t="s">
        <v>362</v>
      </c>
      <c r="C178" s="14">
        <v>66.0</v>
      </c>
      <c r="D178" s="13" t="s">
        <v>69</v>
      </c>
      <c r="E178" s="13" t="s">
        <v>177</v>
      </c>
      <c r="F178" s="13" t="s">
        <v>79</v>
      </c>
      <c r="G178" s="13" t="s">
        <v>63</v>
      </c>
      <c r="H178" s="16">
        <v>45483.0</v>
      </c>
      <c r="I178" s="14">
        <v>17.0</v>
      </c>
      <c r="J178" s="13" t="s">
        <v>64</v>
      </c>
      <c r="K178" s="13" t="s">
        <v>81</v>
      </c>
      <c r="L178" s="14">
        <v>3771.0</v>
      </c>
      <c r="M178" s="18" t="s">
        <v>99</v>
      </c>
      <c r="N178" s="20">
        <v>0.0</v>
      </c>
      <c r="O178" s="18">
        <v>25.5</v>
      </c>
      <c r="P178" s="20">
        <v>5.0</v>
      </c>
      <c r="Q178" s="16">
        <v>45613.0</v>
      </c>
      <c r="R178" s="16" t="s">
        <v>38</v>
      </c>
      <c r="S178" s="13" t="s">
        <v>55</v>
      </c>
      <c r="T178" s="13" t="s">
        <v>72</v>
      </c>
      <c r="U178" s="13" t="str">
        <f t="shared" si="1"/>
        <v>High</v>
      </c>
      <c r="V178" s="13" t="str">
        <f t="shared" si="2"/>
        <v>Median or Above</v>
      </c>
      <c r="W178" s="13" t="str">
        <f t="shared" si="3"/>
        <v>13–24 Months</v>
      </c>
    </row>
    <row r="179" hidden="1">
      <c r="A179" s="13" t="s">
        <v>544</v>
      </c>
      <c r="B179" s="13" t="s">
        <v>145</v>
      </c>
      <c r="C179" s="14">
        <v>39.0</v>
      </c>
      <c r="D179" s="13" t="s">
        <v>85</v>
      </c>
      <c r="E179" s="13" t="s">
        <v>111</v>
      </c>
      <c r="F179" s="13" t="s">
        <v>79</v>
      </c>
      <c r="G179" s="13" t="s">
        <v>128</v>
      </c>
      <c r="H179" s="16">
        <v>44985.0</v>
      </c>
      <c r="I179" s="14">
        <v>14.0</v>
      </c>
      <c r="J179" s="13" t="s">
        <v>64</v>
      </c>
      <c r="K179" s="13" t="s">
        <v>65</v>
      </c>
      <c r="L179" s="14">
        <v>1358.0</v>
      </c>
      <c r="M179" s="18" t="s">
        <v>98</v>
      </c>
      <c r="N179" s="20">
        <v>2.0</v>
      </c>
      <c r="O179" s="18">
        <v>34.4</v>
      </c>
      <c r="P179" s="20">
        <v>3.9</v>
      </c>
      <c r="Q179" s="16">
        <v>45138.0</v>
      </c>
      <c r="R179" s="16" t="s">
        <v>545</v>
      </c>
      <c r="S179" s="13" t="s">
        <v>45</v>
      </c>
      <c r="T179" s="13" t="s">
        <v>72</v>
      </c>
      <c r="U179" s="13" t="str">
        <f t="shared" si="1"/>
        <v>Moderate</v>
      </c>
      <c r="V179" s="13" t="str">
        <f t="shared" si="2"/>
        <v>Median or Above</v>
      </c>
      <c r="W179" s="13" t="str">
        <f t="shared" si="3"/>
        <v>13–24 Months</v>
      </c>
    </row>
    <row r="180" hidden="1">
      <c r="A180" s="13" t="s">
        <v>546</v>
      </c>
      <c r="B180" s="13" t="s">
        <v>405</v>
      </c>
      <c r="C180" s="14">
        <v>34.0</v>
      </c>
      <c r="D180" s="13" t="s">
        <v>60</v>
      </c>
      <c r="E180" s="13" t="s">
        <v>61</v>
      </c>
      <c r="F180" s="13" t="s">
        <v>62</v>
      </c>
      <c r="G180" s="13" t="s">
        <v>128</v>
      </c>
      <c r="H180" s="16">
        <v>45404.0</v>
      </c>
      <c r="I180" s="14">
        <v>4.0</v>
      </c>
      <c r="J180" s="13" t="s">
        <v>64</v>
      </c>
      <c r="K180" s="13" t="s">
        <v>65</v>
      </c>
      <c r="L180" s="14">
        <v>834.0</v>
      </c>
      <c r="M180" s="18" t="s">
        <v>98</v>
      </c>
      <c r="N180" s="20">
        <v>1.0</v>
      </c>
      <c r="O180" s="18">
        <v>22.0</v>
      </c>
      <c r="P180" s="20">
        <v>3.9</v>
      </c>
      <c r="Q180" s="16">
        <v>45447.0</v>
      </c>
      <c r="R180" s="16" t="s">
        <v>548</v>
      </c>
      <c r="S180" s="13" t="s">
        <v>45</v>
      </c>
      <c r="T180" s="13" t="s">
        <v>75</v>
      </c>
      <c r="U180" s="13" t="str">
        <f t="shared" si="1"/>
        <v>Moderate</v>
      </c>
      <c r="V180" s="13" t="str">
        <f t="shared" si="2"/>
        <v>Below Median</v>
      </c>
      <c r="W180" s="13" t="str">
        <f t="shared" si="3"/>
        <v>0–12 Months</v>
      </c>
    </row>
    <row r="181" hidden="1">
      <c r="A181" s="13" t="s">
        <v>549</v>
      </c>
      <c r="B181" s="13" t="s">
        <v>110</v>
      </c>
      <c r="C181" s="14">
        <v>39.0</v>
      </c>
      <c r="D181" s="13" t="s">
        <v>60</v>
      </c>
      <c r="E181" s="13" t="s">
        <v>133</v>
      </c>
      <c r="F181" s="13" t="s">
        <v>62</v>
      </c>
      <c r="G181" s="13" t="s">
        <v>63</v>
      </c>
      <c r="H181" s="16">
        <v>45859.0</v>
      </c>
      <c r="I181" s="14">
        <v>6.0</v>
      </c>
      <c r="J181" s="13" t="s">
        <v>64</v>
      </c>
      <c r="K181" s="13" t="s">
        <v>41</v>
      </c>
      <c r="L181" s="14">
        <v>882.0</v>
      </c>
      <c r="M181" s="18" t="s">
        <v>43</v>
      </c>
      <c r="N181" s="20">
        <v>1.0</v>
      </c>
      <c r="O181" s="18">
        <v>17.8</v>
      </c>
      <c r="P181" s="20">
        <v>4.8</v>
      </c>
      <c r="Q181" s="16">
        <v>45963.0</v>
      </c>
      <c r="R181" s="16" t="s">
        <v>38</v>
      </c>
      <c r="S181" s="13" t="s">
        <v>55</v>
      </c>
      <c r="T181" s="13" t="s">
        <v>104</v>
      </c>
      <c r="U181" s="13" t="str">
        <f t="shared" si="1"/>
        <v>Moderate</v>
      </c>
      <c r="V181" s="13" t="str">
        <f t="shared" si="2"/>
        <v>Below Median</v>
      </c>
      <c r="W181" s="13" t="str">
        <f t="shared" si="3"/>
        <v>0–12 Months</v>
      </c>
    </row>
    <row r="182" hidden="1">
      <c r="A182" s="13" t="s">
        <v>553</v>
      </c>
      <c r="B182" s="13" t="s">
        <v>224</v>
      </c>
      <c r="C182" s="14">
        <v>40.0</v>
      </c>
      <c r="D182" s="13" t="s">
        <v>85</v>
      </c>
      <c r="E182" s="13" t="s">
        <v>92</v>
      </c>
      <c r="F182" s="13" t="s">
        <v>79</v>
      </c>
      <c r="G182" s="13" t="s">
        <v>128</v>
      </c>
      <c r="H182" s="16">
        <v>45656.0</v>
      </c>
      <c r="I182" s="14">
        <v>26.0</v>
      </c>
      <c r="J182" s="13" t="s">
        <v>40</v>
      </c>
      <c r="K182" s="13" t="s">
        <v>81</v>
      </c>
      <c r="L182" s="14">
        <v>3012.0</v>
      </c>
      <c r="M182" s="18" t="s">
        <v>43</v>
      </c>
      <c r="N182" s="20">
        <v>1.0</v>
      </c>
      <c r="O182" s="18">
        <v>28.8</v>
      </c>
      <c r="P182" s="20">
        <v>4.0</v>
      </c>
      <c r="Q182" s="16">
        <v>45940.0</v>
      </c>
      <c r="R182" s="16" t="s">
        <v>38</v>
      </c>
      <c r="S182" s="13" t="s">
        <v>55</v>
      </c>
      <c r="T182" s="13" t="s">
        <v>47</v>
      </c>
      <c r="U182" s="13" t="str">
        <f t="shared" si="1"/>
        <v>Moderate</v>
      </c>
      <c r="V182" s="13" t="str">
        <f t="shared" si="2"/>
        <v>Median or Above</v>
      </c>
      <c r="W182" s="13" t="str">
        <f t="shared" si="3"/>
        <v>25–48 Months</v>
      </c>
    </row>
    <row r="183" hidden="1">
      <c r="A183" s="13" t="s">
        <v>302</v>
      </c>
      <c r="B183" s="13" t="s">
        <v>110</v>
      </c>
      <c r="C183" s="14">
        <v>19.0</v>
      </c>
      <c r="D183" s="13" t="s">
        <v>85</v>
      </c>
      <c r="E183" s="13" t="s">
        <v>92</v>
      </c>
      <c r="F183" s="13" t="s">
        <v>79</v>
      </c>
      <c r="G183" s="13" t="s">
        <v>128</v>
      </c>
      <c r="H183" s="16">
        <v>44661.0</v>
      </c>
      <c r="I183" s="14">
        <v>3.0</v>
      </c>
      <c r="J183" s="13" t="s">
        <v>53</v>
      </c>
      <c r="K183" s="13" t="s">
        <v>41</v>
      </c>
      <c r="L183" s="14">
        <v>2253.0</v>
      </c>
      <c r="M183" s="18" t="s">
        <v>43</v>
      </c>
      <c r="N183" s="20">
        <v>0.0</v>
      </c>
      <c r="O183" s="18">
        <v>34.3</v>
      </c>
      <c r="P183" s="20">
        <v>4.0</v>
      </c>
      <c r="Q183" s="16">
        <v>44691.0</v>
      </c>
      <c r="R183" s="16" t="s">
        <v>38</v>
      </c>
      <c r="S183" s="13" t="s">
        <v>55</v>
      </c>
      <c r="T183" s="13" t="s">
        <v>47</v>
      </c>
      <c r="U183" s="13" t="str">
        <f t="shared" si="1"/>
        <v>Moderate</v>
      </c>
      <c r="V183" s="13" t="str">
        <f t="shared" si="2"/>
        <v>Median or Above</v>
      </c>
      <c r="W183" s="13" t="str">
        <f t="shared" si="3"/>
        <v>0–12 Months</v>
      </c>
    </row>
    <row r="184" hidden="1">
      <c r="A184" s="13" t="s">
        <v>567</v>
      </c>
      <c r="B184" s="13" t="s">
        <v>202</v>
      </c>
      <c r="C184" s="14">
        <v>59.0</v>
      </c>
      <c r="D184" s="13" t="s">
        <v>60</v>
      </c>
      <c r="E184" s="13" t="s">
        <v>97</v>
      </c>
      <c r="F184" s="13" t="s">
        <v>79</v>
      </c>
      <c r="G184" s="13" t="s">
        <v>80</v>
      </c>
      <c r="H184" s="16">
        <v>44753.0</v>
      </c>
      <c r="I184" s="14">
        <v>42.0</v>
      </c>
      <c r="J184" s="13" t="s">
        <v>53</v>
      </c>
      <c r="K184" s="13" t="s">
        <v>81</v>
      </c>
      <c r="L184" s="14">
        <v>3359.0</v>
      </c>
      <c r="M184" s="18" t="s">
        <v>43</v>
      </c>
      <c r="N184" s="20">
        <v>0.0</v>
      </c>
      <c r="O184" s="18">
        <v>38.6</v>
      </c>
      <c r="P184" s="20">
        <v>2.5</v>
      </c>
      <c r="Q184" s="16">
        <v>45101.0</v>
      </c>
      <c r="R184" s="16" t="s">
        <v>38</v>
      </c>
      <c r="S184" s="13" t="s">
        <v>55</v>
      </c>
      <c r="T184" s="13" t="s">
        <v>47</v>
      </c>
      <c r="U184" s="13" t="str">
        <f t="shared" si="1"/>
        <v>Low</v>
      </c>
      <c r="V184" s="13" t="str">
        <f t="shared" si="2"/>
        <v>Median or Above</v>
      </c>
      <c r="W184" s="13" t="str">
        <f t="shared" si="3"/>
        <v>25–48 Months</v>
      </c>
    </row>
    <row r="185" hidden="1">
      <c r="A185" s="13" t="s">
        <v>579</v>
      </c>
      <c r="B185" s="13" t="s">
        <v>295</v>
      </c>
      <c r="C185" s="14">
        <v>26.0</v>
      </c>
      <c r="D185" s="13" t="s">
        <v>35</v>
      </c>
      <c r="E185" s="13" t="s">
        <v>36</v>
      </c>
      <c r="F185" s="13" t="s">
        <v>62</v>
      </c>
      <c r="G185" s="13" t="s">
        <v>120</v>
      </c>
      <c r="H185" s="16">
        <v>44721.0</v>
      </c>
      <c r="I185" s="14">
        <v>9.0</v>
      </c>
      <c r="J185" s="13" t="s">
        <v>53</v>
      </c>
      <c r="K185" s="13" t="s">
        <v>81</v>
      </c>
      <c r="L185" s="14">
        <v>764.0</v>
      </c>
      <c r="M185" s="18" t="s">
        <v>98</v>
      </c>
      <c r="N185" s="20">
        <v>0.0</v>
      </c>
      <c r="O185" s="18">
        <v>30.0</v>
      </c>
      <c r="P185" s="20">
        <v>4.5</v>
      </c>
      <c r="Q185" s="16">
        <v>44735.0</v>
      </c>
      <c r="R185" s="16" t="s">
        <v>38</v>
      </c>
      <c r="S185" s="13" t="s">
        <v>55</v>
      </c>
      <c r="T185" s="13" t="s">
        <v>47</v>
      </c>
      <c r="U185" s="13" t="str">
        <f t="shared" si="1"/>
        <v>Moderate</v>
      </c>
      <c r="V185" s="13" t="str">
        <f t="shared" si="2"/>
        <v>Median or Above</v>
      </c>
      <c r="W185" s="13" t="str">
        <f t="shared" si="3"/>
        <v>0–12 Months</v>
      </c>
    </row>
    <row r="186" hidden="1">
      <c r="A186" s="13" t="s">
        <v>581</v>
      </c>
      <c r="B186" s="13" t="s">
        <v>106</v>
      </c>
      <c r="C186" s="14">
        <v>23.0</v>
      </c>
      <c r="D186" s="13" t="s">
        <v>35</v>
      </c>
      <c r="E186" s="13" t="s">
        <v>51</v>
      </c>
      <c r="F186" s="13" t="s">
        <v>62</v>
      </c>
      <c r="G186" s="13" t="s">
        <v>52</v>
      </c>
      <c r="H186" s="16">
        <v>44771.0</v>
      </c>
      <c r="I186" s="14">
        <v>7.0</v>
      </c>
      <c r="J186" s="13" t="s">
        <v>64</v>
      </c>
      <c r="K186" s="13" t="s">
        <v>81</v>
      </c>
      <c r="L186" s="14">
        <v>652.0</v>
      </c>
      <c r="M186" s="18" t="s">
        <v>173</v>
      </c>
      <c r="N186" s="20">
        <v>0.0</v>
      </c>
      <c r="O186" s="18">
        <v>24.8</v>
      </c>
      <c r="P186" s="20">
        <v>4.8</v>
      </c>
      <c r="Q186" s="16">
        <v>44979.0</v>
      </c>
      <c r="R186" s="16" t="s">
        <v>38</v>
      </c>
      <c r="S186" s="13" t="s">
        <v>55</v>
      </c>
      <c r="T186" s="13" t="s">
        <v>104</v>
      </c>
      <c r="U186" s="13" t="str">
        <f t="shared" si="1"/>
        <v>Moderate</v>
      </c>
      <c r="V186" s="13" t="str">
        <f t="shared" si="2"/>
        <v>Median or Above</v>
      </c>
      <c r="W186" s="13" t="str">
        <f t="shared" si="3"/>
        <v>0–12 Months</v>
      </c>
    </row>
    <row r="187" hidden="1">
      <c r="A187" s="13" t="s">
        <v>582</v>
      </c>
      <c r="B187" s="13" t="s">
        <v>215</v>
      </c>
      <c r="C187" s="14">
        <v>25.0</v>
      </c>
      <c r="D187" s="13" t="s">
        <v>69</v>
      </c>
      <c r="E187" s="13" t="s">
        <v>119</v>
      </c>
      <c r="F187" s="13" t="s">
        <v>62</v>
      </c>
      <c r="G187" s="13" t="s">
        <v>39</v>
      </c>
      <c r="H187" s="16">
        <v>45848.0</v>
      </c>
      <c r="I187" s="14">
        <v>48.0</v>
      </c>
      <c r="J187" s="13" t="s">
        <v>40</v>
      </c>
      <c r="K187" s="13" t="s">
        <v>41</v>
      </c>
      <c r="L187" s="14">
        <v>709.0</v>
      </c>
      <c r="M187" s="18" t="s">
        <v>43</v>
      </c>
      <c r="N187" s="20">
        <v>0.0</v>
      </c>
      <c r="O187" s="18">
        <v>17.4</v>
      </c>
      <c r="P187" s="20">
        <v>3.7</v>
      </c>
      <c r="Q187" s="16">
        <v>46764.0</v>
      </c>
      <c r="R187" s="16" t="s">
        <v>38</v>
      </c>
      <c r="S187" s="13" t="s">
        <v>55</v>
      </c>
      <c r="T187" s="13" t="s">
        <v>66</v>
      </c>
      <c r="U187" s="13" t="str">
        <f t="shared" si="1"/>
        <v>Moderate</v>
      </c>
      <c r="V187" s="13" t="str">
        <f t="shared" si="2"/>
        <v>Below Median</v>
      </c>
      <c r="W187" s="13" t="str">
        <f t="shared" si="3"/>
        <v>25–48 Months</v>
      </c>
    </row>
    <row r="188" hidden="1">
      <c r="A188" s="13" t="s">
        <v>725</v>
      </c>
      <c r="B188" s="13" t="s">
        <v>232</v>
      </c>
      <c r="C188" s="14">
        <v>68.0</v>
      </c>
      <c r="D188" s="13" t="s">
        <v>85</v>
      </c>
      <c r="E188" s="13" t="s">
        <v>92</v>
      </c>
      <c r="F188" s="13" t="s">
        <v>79</v>
      </c>
      <c r="G188" s="13" t="s">
        <v>210</v>
      </c>
      <c r="H188" s="16">
        <v>44848.0</v>
      </c>
      <c r="I188" s="14">
        <v>16.0</v>
      </c>
      <c r="J188" s="13" t="s">
        <v>64</v>
      </c>
      <c r="K188" s="13" t="s">
        <v>41</v>
      </c>
      <c r="L188" s="14">
        <v>3132.0</v>
      </c>
      <c r="M188" s="18" t="s">
        <v>43</v>
      </c>
      <c r="N188" s="20">
        <v>0.0</v>
      </c>
      <c r="O188" s="18">
        <v>43.9</v>
      </c>
      <c r="P188" s="20">
        <v>3.6</v>
      </c>
      <c r="Q188" s="16">
        <v>45165.0</v>
      </c>
      <c r="R188" s="16" t="s">
        <v>38</v>
      </c>
      <c r="S188" s="13" t="s">
        <v>55</v>
      </c>
      <c r="T188" s="13" t="s">
        <v>72</v>
      </c>
      <c r="U188" s="13" t="str">
        <f t="shared" si="1"/>
        <v>Moderate</v>
      </c>
      <c r="V188" s="13" t="str">
        <f t="shared" si="2"/>
        <v>Median or Above</v>
      </c>
      <c r="W188" s="13" t="str">
        <f t="shared" si="3"/>
        <v>13–24 Months</v>
      </c>
    </row>
    <row r="189">
      <c r="A189" s="13" t="s">
        <v>585</v>
      </c>
      <c r="B189" s="13" t="s">
        <v>303</v>
      </c>
      <c r="C189" s="14">
        <v>42.0</v>
      </c>
      <c r="D189" s="13" t="s">
        <v>69</v>
      </c>
      <c r="E189" s="13" t="s">
        <v>119</v>
      </c>
      <c r="F189" s="13" t="s">
        <v>62</v>
      </c>
      <c r="G189" s="13" t="s">
        <v>63</v>
      </c>
      <c r="H189" s="16">
        <v>45052.0</v>
      </c>
      <c r="I189" s="14">
        <v>32.0</v>
      </c>
      <c r="J189" s="13" t="s">
        <v>53</v>
      </c>
      <c r="K189" s="13" t="s">
        <v>41</v>
      </c>
      <c r="L189" s="14">
        <v>622.0</v>
      </c>
      <c r="M189" s="18" t="s">
        <v>43</v>
      </c>
      <c r="N189" s="20">
        <v>1.0</v>
      </c>
      <c r="O189" s="18">
        <v>25.3</v>
      </c>
      <c r="P189" s="20">
        <v>4.0</v>
      </c>
      <c r="Q189" s="16">
        <v>45670.0</v>
      </c>
      <c r="R189" s="16" t="s">
        <v>38</v>
      </c>
      <c r="S189" s="13" t="s">
        <v>529</v>
      </c>
      <c r="T189" s="13" t="s">
        <v>75</v>
      </c>
      <c r="U189" s="13" t="str">
        <f t="shared" si="1"/>
        <v>Moderate</v>
      </c>
      <c r="V189" s="13" t="str">
        <f t="shared" si="2"/>
        <v>Median or Above</v>
      </c>
      <c r="W189" s="13" t="str">
        <f t="shared" si="3"/>
        <v>25–48 Months</v>
      </c>
    </row>
    <row r="190" hidden="1">
      <c r="A190" s="13" t="s">
        <v>588</v>
      </c>
      <c r="B190" s="13" t="s">
        <v>132</v>
      </c>
      <c r="C190" s="14">
        <v>44.0</v>
      </c>
      <c r="D190" s="13" t="s">
        <v>85</v>
      </c>
      <c r="E190" s="13" t="s">
        <v>92</v>
      </c>
      <c r="F190" s="13" t="s">
        <v>79</v>
      </c>
      <c r="G190" s="13" t="s">
        <v>39</v>
      </c>
      <c r="H190" s="16">
        <v>45526.0</v>
      </c>
      <c r="I190" s="14">
        <v>5.0</v>
      </c>
      <c r="J190" s="13" t="s">
        <v>64</v>
      </c>
      <c r="K190" s="13" t="s">
        <v>65</v>
      </c>
      <c r="L190" s="14">
        <v>1013.0</v>
      </c>
      <c r="M190" s="18" t="s">
        <v>43</v>
      </c>
      <c r="N190" s="20">
        <v>1.0</v>
      </c>
      <c r="O190" s="18">
        <v>20.5</v>
      </c>
      <c r="P190" s="20">
        <v>4.3</v>
      </c>
      <c r="Q190" s="16">
        <v>45591.0</v>
      </c>
      <c r="R190" s="16" t="s">
        <v>38</v>
      </c>
      <c r="S190" s="13" t="s">
        <v>55</v>
      </c>
      <c r="T190" s="13" t="s">
        <v>66</v>
      </c>
      <c r="U190" s="13" t="str">
        <f t="shared" si="1"/>
        <v>Moderate</v>
      </c>
      <c r="V190" s="13" t="str">
        <f t="shared" si="2"/>
        <v>Below Median</v>
      </c>
      <c r="W190" s="13" t="str">
        <f t="shared" si="3"/>
        <v>0–12 Months</v>
      </c>
    </row>
    <row r="191" hidden="1">
      <c r="A191" s="13" t="s">
        <v>590</v>
      </c>
      <c r="B191" s="13" t="s">
        <v>349</v>
      </c>
      <c r="C191" s="14">
        <v>28.0</v>
      </c>
      <c r="D191" s="13" t="s">
        <v>85</v>
      </c>
      <c r="E191" s="13" t="s">
        <v>87</v>
      </c>
      <c r="F191" s="13" t="s">
        <v>37</v>
      </c>
      <c r="G191" s="13" t="s">
        <v>63</v>
      </c>
      <c r="H191" s="16">
        <v>45873.0</v>
      </c>
      <c r="I191" s="14">
        <v>35.0</v>
      </c>
      <c r="J191" s="13" t="s">
        <v>64</v>
      </c>
      <c r="K191" s="13" t="s">
        <v>65</v>
      </c>
      <c r="L191" s="14">
        <v>1283.0</v>
      </c>
      <c r="M191" s="18" t="s">
        <v>173</v>
      </c>
      <c r="N191" s="20">
        <v>2.0</v>
      </c>
      <c r="O191" s="18">
        <v>26.5</v>
      </c>
      <c r="P191" s="20">
        <v>3.9</v>
      </c>
      <c r="Q191" s="16">
        <v>46517.0</v>
      </c>
      <c r="R191" s="16" t="s">
        <v>38</v>
      </c>
      <c r="S191" s="13" t="s">
        <v>55</v>
      </c>
      <c r="T191" s="13" t="s">
        <v>75</v>
      </c>
      <c r="U191" s="13" t="str">
        <f t="shared" si="1"/>
        <v>Moderate</v>
      </c>
      <c r="V191" s="13" t="str">
        <f t="shared" si="2"/>
        <v>Median or Above</v>
      </c>
      <c r="W191" s="13" t="str">
        <f t="shared" si="3"/>
        <v>25–48 Months</v>
      </c>
    </row>
    <row r="192" hidden="1">
      <c r="A192" s="13" t="s">
        <v>591</v>
      </c>
      <c r="B192" s="13" t="s">
        <v>78</v>
      </c>
      <c r="C192" s="14">
        <v>26.0</v>
      </c>
      <c r="D192" s="13" t="s">
        <v>35</v>
      </c>
      <c r="E192" s="13" t="s">
        <v>161</v>
      </c>
      <c r="F192" s="13" t="s">
        <v>37</v>
      </c>
      <c r="G192" s="13" t="s">
        <v>52</v>
      </c>
      <c r="H192" s="16">
        <v>45050.0</v>
      </c>
      <c r="I192" s="14">
        <v>4.0</v>
      </c>
      <c r="J192" s="13" t="s">
        <v>40</v>
      </c>
      <c r="K192" s="13" t="s">
        <v>81</v>
      </c>
      <c r="L192" s="14">
        <v>1117.0</v>
      </c>
      <c r="M192" s="18" t="s">
        <v>43</v>
      </c>
      <c r="N192" s="20">
        <v>1.0</v>
      </c>
      <c r="O192" s="18">
        <v>29.6</v>
      </c>
      <c r="P192" s="20">
        <v>4.1</v>
      </c>
      <c r="Q192" s="16">
        <v>45074.0</v>
      </c>
      <c r="R192" s="16" t="s">
        <v>38</v>
      </c>
      <c r="S192" s="13" t="s">
        <v>55</v>
      </c>
      <c r="T192" s="13" t="s">
        <v>47</v>
      </c>
      <c r="U192" s="13" t="str">
        <f t="shared" si="1"/>
        <v>Moderate</v>
      </c>
      <c r="V192" s="13" t="str">
        <f t="shared" si="2"/>
        <v>Median or Above</v>
      </c>
      <c r="W192" s="13" t="str">
        <f t="shared" si="3"/>
        <v>0–12 Months</v>
      </c>
    </row>
    <row r="193" hidden="1">
      <c r="A193" s="13" t="s">
        <v>595</v>
      </c>
      <c r="B193" s="13" t="s">
        <v>398</v>
      </c>
      <c r="C193" s="14">
        <v>68.0</v>
      </c>
      <c r="D193" s="13" t="s">
        <v>60</v>
      </c>
      <c r="E193" s="13" t="s">
        <v>51</v>
      </c>
      <c r="F193" s="13" t="s">
        <v>37</v>
      </c>
      <c r="G193" s="13" t="s">
        <v>210</v>
      </c>
      <c r="H193" s="16">
        <v>45633.0</v>
      </c>
      <c r="I193" s="14">
        <v>34.0</v>
      </c>
      <c r="J193" s="13" t="s">
        <v>40</v>
      </c>
      <c r="K193" s="13" t="s">
        <v>65</v>
      </c>
      <c r="L193" s="14">
        <v>1264.0</v>
      </c>
      <c r="M193" s="18" t="s">
        <v>98</v>
      </c>
      <c r="N193" s="20">
        <v>2.0</v>
      </c>
      <c r="O193" s="18">
        <v>30.4</v>
      </c>
      <c r="P193" s="20">
        <v>3.0</v>
      </c>
      <c r="Q193" s="16">
        <v>46404.0</v>
      </c>
      <c r="R193" s="16" t="s">
        <v>601</v>
      </c>
      <c r="S193" s="13" t="s">
        <v>55</v>
      </c>
      <c r="T193" s="13" t="s">
        <v>75</v>
      </c>
      <c r="U193" s="13" t="str">
        <f t="shared" si="1"/>
        <v>Moderate</v>
      </c>
      <c r="V193" s="13" t="str">
        <f t="shared" si="2"/>
        <v>Median or Above</v>
      </c>
      <c r="W193" s="13" t="str">
        <f t="shared" si="3"/>
        <v>25–48 Months</v>
      </c>
    </row>
    <row r="194" hidden="1">
      <c r="A194" s="13" t="s">
        <v>253</v>
      </c>
      <c r="B194" s="13" t="s">
        <v>605</v>
      </c>
      <c r="C194" s="14">
        <v>42.0</v>
      </c>
      <c r="D194" s="13" t="s">
        <v>35</v>
      </c>
      <c r="E194" s="13" t="s">
        <v>161</v>
      </c>
      <c r="F194" s="13" t="s">
        <v>37</v>
      </c>
      <c r="G194" s="13" t="s">
        <v>80</v>
      </c>
      <c r="H194" s="16">
        <v>45847.0</v>
      </c>
      <c r="I194" s="14">
        <v>5.0</v>
      </c>
      <c r="J194" s="13" t="s">
        <v>40</v>
      </c>
      <c r="K194" s="13" t="s">
        <v>65</v>
      </c>
      <c r="L194" s="14">
        <v>1367.0</v>
      </c>
      <c r="M194" s="18" t="s">
        <v>164</v>
      </c>
      <c r="N194" s="20">
        <v>3.0</v>
      </c>
      <c r="O194" s="18">
        <v>30.7</v>
      </c>
      <c r="P194" s="20">
        <v>5.0</v>
      </c>
      <c r="Q194" s="16">
        <v>45984.0</v>
      </c>
      <c r="R194" s="16" t="s">
        <v>38</v>
      </c>
      <c r="S194" s="13" t="s">
        <v>55</v>
      </c>
      <c r="T194" s="13" t="s">
        <v>104</v>
      </c>
      <c r="U194" s="13" t="str">
        <f t="shared" si="1"/>
        <v>High</v>
      </c>
      <c r="V194" s="13" t="str">
        <f t="shared" si="2"/>
        <v>Median or Above</v>
      </c>
      <c r="W194" s="13" t="str">
        <f t="shared" si="3"/>
        <v>0–12 Months</v>
      </c>
    </row>
    <row r="195" hidden="1">
      <c r="A195" s="13" t="s">
        <v>609</v>
      </c>
      <c r="B195" s="13" t="s">
        <v>96</v>
      </c>
      <c r="C195" s="14">
        <v>54.0</v>
      </c>
      <c r="D195" s="13" t="s">
        <v>60</v>
      </c>
      <c r="E195" s="13" t="s">
        <v>51</v>
      </c>
      <c r="F195" s="13" t="s">
        <v>37</v>
      </c>
      <c r="G195" s="13" t="s">
        <v>63</v>
      </c>
      <c r="H195" s="16">
        <v>44652.0</v>
      </c>
      <c r="I195" s="14">
        <v>1.0</v>
      </c>
      <c r="J195" s="13" t="s">
        <v>64</v>
      </c>
      <c r="K195" s="13" t="s">
        <v>81</v>
      </c>
      <c r="L195" s="14">
        <v>1371.0</v>
      </c>
      <c r="M195" s="18" t="s">
        <v>46</v>
      </c>
      <c r="N195" s="20">
        <v>1.0</v>
      </c>
      <c r="O195" s="18">
        <v>38.3</v>
      </c>
      <c r="P195" s="20">
        <v>3.5</v>
      </c>
      <c r="Q195" s="16">
        <v>44671.0</v>
      </c>
      <c r="R195" s="16" t="s">
        <v>38</v>
      </c>
      <c r="S195" s="13" t="s">
        <v>55</v>
      </c>
      <c r="T195" s="13" t="s">
        <v>75</v>
      </c>
      <c r="U195" s="13" t="str">
        <f t="shared" si="1"/>
        <v>Moderate</v>
      </c>
      <c r="V195" s="13" t="str">
        <f t="shared" si="2"/>
        <v>Median or Above</v>
      </c>
      <c r="W195" s="13" t="str">
        <f t="shared" si="3"/>
        <v>0–12 Months</v>
      </c>
    </row>
    <row r="196" hidden="1">
      <c r="A196" s="13" t="s">
        <v>613</v>
      </c>
      <c r="B196" s="13" t="s">
        <v>160</v>
      </c>
      <c r="C196" s="14">
        <v>52.0</v>
      </c>
      <c r="D196" s="13" t="s">
        <v>60</v>
      </c>
      <c r="E196" s="13" t="s">
        <v>97</v>
      </c>
      <c r="F196" s="13" t="s">
        <v>62</v>
      </c>
      <c r="G196" s="13" t="s">
        <v>52</v>
      </c>
      <c r="H196" s="16">
        <v>45217.0</v>
      </c>
      <c r="I196" s="14">
        <v>18.0</v>
      </c>
      <c r="J196" s="13" t="s">
        <v>64</v>
      </c>
      <c r="K196" s="13" t="s">
        <v>65</v>
      </c>
      <c r="L196" s="14">
        <v>791.0</v>
      </c>
      <c r="M196" s="18" t="s">
        <v>43</v>
      </c>
      <c r="N196" s="20">
        <v>1.0</v>
      </c>
      <c r="O196" s="18">
        <v>9.2</v>
      </c>
      <c r="P196" s="20">
        <v>2.4</v>
      </c>
      <c r="Q196" s="16">
        <v>45741.0</v>
      </c>
      <c r="R196" s="16">
        <v>45536.0</v>
      </c>
      <c r="S196" s="13" t="s">
        <v>45</v>
      </c>
      <c r="T196" s="13" t="s">
        <v>104</v>
      </c>
      <c r="U196" s="13" t="str">
        <f t="shared" si="1"/>
        <v>Low</v>
      </c>
      <c r="V196" s="13" t="str">
        <f t="shared" si="2"/>
        <v>Below Median</v>
      </c>
      <c r="W196" s="13" t="str">
        <f t="shared" si="3"/>
        <v>13–24 Months</v>
      </c>
    </row>
    <row r="197" hidden="1">
      <c r="A197" s="13" t="s">
        <v>624</v>
      </c>
      <c r="B197" s="13" t="s">
        <v>172</v>
      </c>
      <c r="C197" s="14">
        <v>48.0</v>
      </c>
      <c r="D197" s="13" t="s">
        <v>60</v>
      </c>
      <c r="E197" s="13" t="s">
        <v>107</v>
      </c>
      <c r="F197" s="13" t="s">
        <v>62</v>
      </c>
      <c r="G197" s="13" t="s">
        <v>80</v>
      </c>
      <c r="H197" s="16">
        <v>45497.0</v>
      </c>
      <c r="I197" s="14">
        <v>1.0</v>
      </c>
      <c r="J197" s="13" t="s">
        <v>53</v>
      </c>
      <c r="K197" s="13" t="s">
        <v>81</v>
      </c>
      <c r="L197" s="14">
        <v>648.0</v>
      </c>
      <c r="M197" s="18" t="s">
        <v>46</v>
      </c>
      <c r="N197" s="20">
        <v>2.0</v>
      </c>
      <c r="O197" s="18">
        <v>7.7</v>
      </c>
      <c r="P197" s="20">
        <v>3.2</v>
      </c>
      <c r="Q197" s="16">
        <v>45526.0</v>
      </c>
      <c r="R197" s="16" t="s">
        <v>38</v>
      </c>
      <c r="S197" s="13" t="s">
        <v>55</v>
      </c>
      <c r="T197" s="13" t="s">
        <v>75</v>
      </c>
      <c r="U197" s="13" t="str">
        <f t="shared" si="1"/>
        <v>Moderate</v>
      </c>
      <c r="V197" s="13" t="str">
        <f t="shared" si="2"/>
        <v>Below Median</v>
      </c>
      <c r="W197" s="13" t="str">
        <f t="shared" si="3"/>
        <v>0–12 Months</v>
      </c>
    </row>
    <row r="198" hidden="1">
      <c r="A198" s="13" t="s">
        <v>629</v>
      </c>
      <c r="B198" s="13" t="s">
        <v>74</v>
      </c>
      <c r="C198" s="14">
        <v>67.0</v>
      </c>
      <c r="D198" s="13" t="s">
        <v>69</v>
      </c>
      <c r="E198" s="13" t="s">
        <v>187</v>
      </c>
      <c r="F198" s="13" t="s">
        <v>62</v>
      </c>
      <c r="G198" s="13" t="s">
        <v>63</v>
      </c>
      <c r="H198" s="16">
        <v>44610.0</v>
      </c>
      <c r="I198" s="14">
        <v>15.0</v>
      </c>
      <c r="J198" s="13" t="s">
        <v>64</v>
      </c>
      <c r="K198" s="13" t="s">
        <v>65</v>
      </c>
      <c r="L198" s="14">
        <v>824.0</v>
      </c>
      <c r="M198" s="18" t="s">
        <v>164</v>
      </c>
      <c r="N198" s="20">
        <v>0.0</v>
      </c>
      <c r="O198" s="18">
        <v>1.0</v>
      </c>
      <c r="P198" s="20">
        <v>3.1</v>
      </c>
      <c r="Q198" s="16">
        <v>44624.0</v>
      </c>
      <c r="R198" s="16" t="s">
        <v>38</v>
      </c>
      <c r="S198" s="13" t="s">
        <v>55</v>
      </c>
      <c r="T198" s="13" t="s">
        <v>72</v>
      </c>
      <c r="U198" s="13" t="str">
        <f t="shared" si="1"/>
        <v>Moderate</v>
      </c>
      <c r="V198" s="13" t="str">
        <f t="shared" si="2"/>
        <v>Below Median</v>
      </c>
      <c r="W198" s="13" t="str">
        <f t="shared" si="3"/>
        <v>13–24 Months</v>
      </c>
    </row>
    <row r="199" hidden="1">
      <c r="A199" s="13" t="s">
        <v>631</v>
      </c>
      <c r="B199" s="13" t="s">
        <v>411</v>
      </c>
      <c r="C199" s="14">
        <v>48.0</v>
      </c>
      <c r="D199" s="13" t="s">
        <v>69</v>
      </c>
      <c r="E199" s="13" t="s">
        <v>187</v>
      </c>
      <c r="F199" s="13" t="s">
        <v>62</v>
      </c>
      <c r="G199" s="13" t="s">
        <v>63</v>
      </c>
      <c r="H199" s="16">
        <v>44853.0</v>
      </c>
      <c r="I199" s="14">
        <v>46.0</v>
      </c>
      <c r="J199" s="13" t="s">
        <v>64</v>
      </c>
      <c r="K199" s="13" t="s">
        <v>41</v>
      </c>
      <c r="L199" s="14">
        <v>521.0</v>
      </c>
      <c r="M199" s="18" t="s">
        <v>99</v>
      </c>
      <c r="N199" s="20">
        <v>2.0</v>
      </c>
      <c r="O199" s="18">
        <v>6.9</v>
      </c>
      <c r="P199" s="20">
        <v>2.2</v>
      </c>
      <c r="Q199" s="16">
        <v>45927.0</v>
      </c>
      <c r="R199" s="16" t="s">
        <v>38</v>
      </c>
      <c r="S199" s="13" t="s">
        <v>55</v>
      </c>
      <c r="T199" s="13" t="s">
        <v>66</v>
      </c>
      <c r="U199" s="13" t="str">
        <f t="shared" si="1"/>
        <v>Low</v>
      </c>
      <c r="V199" s="13" t="str">
        <f t="shared" si="2"/>
        <v>Below Median</v>
      </c>
      <c r="W199" s="13" t="str">
        <f t="shared" si="3"/>
        <v>25–48 Months</v>
      </c>
    </row>
    <row r="200" hidden="1">
      <c r="A200" s="13" t="s">
        <v>632</v>
      </c>
      <c r="B200" s="13" t="s">
        <v>633</v>
      </c>
      <c r="C200" s="14">
        <v>63.0</v>
      </c>
      <c r="D200" s="13" t="s">
        <v>69</v>
      </c>
      <c r="E200" s="13" t="s">
        <v>38</v>
      </c>
      <c r="F200" s="13" t="s">
        <v>62</v>
      </c>
      <c r="G200" s="13" t="s">
        <v>80</v>
      </c>
      <c r="H200" s="16">
        <v>44689.0</v>
      </c>
      <c r="I200" s="14">
        <v>28.0</v>
      </c>
      <c r="J200" s="13" t="s">
        <v>64</v>
      </c>
      <c r="K200" s="13" t="s">
        <v>65</v>
      </c>
      <c r="L200" s="14">
        <v>565.0</v>
      </c>
      <c r="M200" s="18" t="s">
        <v>43</v>
      </c>
      <c r="N200" s="20">
        <v>1.0</v>
      </c>
      <c r="O200" s="18">
        <v>24.1</v>
      </c>
      <c r="P200" s="20">
        <v>4.0</v>
      </c>
      <c r="Q200" s="16">
        <v>44966.0</v>
      </c>
      <c r="R200" s="16" t="s">
        <v>38</v>
      </c>
      <c r="S200" s="13" t="s">
        <v>55</v>
      </c>
      <c r="T200" s="13" t="s">
        <v>72</v>
      </c>
      <c r="U200" s="13" t="str">
        <f t="shared" si="1"/>
        <v>Moderate</v>
      </c>
      <c r="V200" s="13" t="str">
        <f t="shared" si="2"/>
        <v>Median or Above</v>
      </c>
      <c r="W200" s="13" t="str">
        <f t="shared" si="3"/>
        <v>25–48 Months</v>
      </c>
    </row>
    <row r="201" hidden="1">
      <c r="A201" s="13" t="s">
        <v>634</v>
      </c>
      <c r="B201" s="13" t="s">
        <v>633</v>
      </c>
      <c r="C201" s="14">
        <v>26.0</v>
      </c>
      <c r="D201" s="13" t="s">
        <v>60</v>
      </c>
      <c r="E201" s="13" t="s">
        <v>97</v>
      </c>
      <c r="F201" s="13" t="s">
        <v>37</v>
      </c>
      <c r="G201" s="13" t="s">
        <v>39</v>
      </c>
      <c r="H201" s="16">
        <v>44840.0</v>
      </c>
      <c r="I201" s="14">
        <v>38.0</v>
      </c>
      <c r="J201" s="13" t="s">
        <v>64</v>
      </c>
      <c r="K201" s="13" t="s">
        <v>65</v>
      </c>
      <c r="L201" s="14">
        <v>553.0</v>
      </c>
      <c r="M201" s="18" t="s">
        <v>98</v>
      </c>
      <c r="N201" s="20">
        <v>0.0</v>
      </c>
      <c r="O201" s="18">
        <v>17.7</v>
      </c>
      <c r="P201" s="20">
        <v>2.8</v>
      </c>
      <c r="Q201" s="16">
        <v>45804.0</v>
      </c>
      <c r="R201" s="16" t="s">
        <v>38</v>
      </c>
      <c r="S201" s="13" t="s">
        <v>55</v>
      </c>
      <c r="T201" s="13" t="s">
        <v>47</v>
      </c>
      <c r="U201" s="13" t="str">
        <f t="shared" si="1"/>
        <v>Low</v>
      </c>
      <c r="V201" s="13" t="str">
        <f t="shared" si="2"/>
        <v>Below Median</v>
      </c>
      <c r="W201" s="13" t="str">
        <f t="shared" si="3"/>
        <v>25–48 Months</v>
      </c>
    </row>
    <row r="202" hidden="1">
      <c r="A202" s="13" t="s">
        <v>635</v>
      </c>
      <c r="B202" s="13" t="s">
        <v>636</v>
      </c>
      <c r="C202" s="14">
        <v>28.0</v>
      </c>
      <c r="D202" s="13" t="s">
        <v>60</v>
      </c>
      <c r="E202" s="13" t="s">
        <v>133</v>
      </c>
      <c r="F202" s="13" t="s">
        <v>62</v>
      </c>
      <c r="G202" s="13" t="s">
        <v>63</v>
      </c>
      <c r="H202" s="16">
        <v>44747.0</v>
      </c>
      <c r="I202" s="14">
        <v>11.0</v>
      </c>
      <c r="J202" s="13" t="s">
        <v>40</v>
      </c>
      <c r="K202" s="13" t="s">
        <v>81</v>
      </c>
      <c r="L202" s="14">
        <v>654.0</v>
      </c>
      <c r="M202" s="18" t="s">
        <v>164</v>
      </c>
      <c r="N202" s="20">
        <v>1.0</v>
      </c>
      <c r="O202" s="18">
        <v>19.4</v>
      </c>
      <c r="P202" s="20">
        <v>5.0</v>
      </c>
      <c r="Q202" s="16">
        <v>45065.0</v>
      </c>
      <c r="R202" s="16" t="s">
        <v>637</v>
      </c>
      <c r="S202" s="13" t="s">
        <v>45</v>
      </c>
      <c r="T202" s="13" t="s">
        <v>47</v>
      </c>
      <c r="U202" s="13" t="str">
        <f t="shared" si="1"/>
        <v>High</v>
      </c>
      <c r="V202" s="13" t="str">
        <f t="shared" si="2"/>
        <v>Below Median</v>
      </c>
      <c r="W202" s="13" t="str">
        <f t="shared" si="3"/>
        <v>0–12 Months</v>
      </c>
    </row>
    <row r="203" hidden="1">
      <c r="A203" s="13" t="s">
        <v>638</v>
      </c>
      <c r="B203" s="13" t="s">
        <v>639</v>
      </c>
      <c r="C203" s="14">
        <v>25.0</v>
      </c>
      <c r="D203" s="13" t="s">
        <v>85</v>
      </c>
      <c r="E203" s="13" t="s">
        <v>292</v>
      </c>
      <c r="F203" s="13" t="s">
        <v>37</v>
      </c>
      <c r="G203" s="13" t="s">
        <v>210</v>
      </c>
      <c r="H203" s="16">
        <v>44918.0</v>
      </c>
      <c r="I203" s="14">
        <v>2.0</v>
      </c>
      <c r="J203" s="13" t="s">
        <v>40</v>
      </c>
      <c r="K203" s="13" t="s">
        <v>41</v>
      </c>
      <c r="L203" s="14">
        <v>1568.0</v>
      </c>
      <c r="M203" s="18" t="s">
        <v>98</v>
      </c>
      <c r="N203" s="20">
        <v>1.0</v>
      </c>
      <c r="O203" s="18">
        <v>32.4</v>
      </c>
      <c r="P203" s="20">
        <v>2.8</v>
      </c>
      <c r="Q203" s="16">
        <v>44998.0</v>
      </c>
      <c r="R203" s="16">
        <v>45079.0</v>
      </c>
      <c r="S203" s="13" t="s">
        <v>45</v>
      </c>
      <c r="T203" s="13" t="s">
        <v>104</v>
      </c>
      <c r="U203" s="13" t="str">
        <f t="shared" si="1"/>
        <v>Low</v>
      </c>
      <c r="V203" s="13" t="str">
        <f t="shared" si="2"/>
        <v>Median or Above</v>
      </c>
      <c r="W203" s="13" t="str">
        <f t="shared" si="3"/>
        <v>0–12 Months</v>
      </c>
    </row>
    <row r="204" hidden="1">
      <c r="A204" s="13" t="s">
        <v>641</v>
      </c>
      <c r="B204" s="13" t="s">
        <v>398</v>
      </c>
      <c r="C204" s="14">
        <v>20.0</v>
      </c>
      <c r="D204" s="13" t="s">
        <v>69</v>
      </c>
      <c r="E204" s="13" t="s">
        <v>187</v>
      </c>
      <c r="F204" s="13" t="s">
        <v>62</v>
      </c>
      <c r="G204" s="13" t="s">
        <v>120</v>
      </c>
      <c r="H204" s="16">
        <v>45324.0</v>
      </c>
      <c r="I204" s="14">
        <v>44.0</v>
      </c>
      <c r="J204" s="13" t="s">
        <v>40</v>
      </c>
      <c r="K204" s="13" t="s">
        <v>41</v>
      </c>
      <c r="L204" s="14">
        <v>829.0</v>
      </c>
      <c r="M204" s="18" t="s">
        <v>99</v>
      </c>
      <c r="N204" s="20">
        <v>2.0</v>
      </c>
      <c r="O204" s="18">
        <v>5.3</v>
      </c>
      <c r="P204" s="20">
        <v>4.1</v>
      </c>
      <c r="Q204" s="16">
        <v>46534.0</v>
      </c>
      <c r="R204" s="16" t="s">
        <v>38</v>
      </c>
      <c r="S204" s="13" t="s">
        <v>55</v>
      </c>
      <c r="T204" s="13" t="s">
        <v>75</v>
      </c>
      <c r="U204" s="13" t="str">
        <f t="shared" si="1"/>
        <v>Moderate</v>
      </c>
      <c r="V204" s="13" t="str">
        <f t="shared" si="2"/>
        <v>Below Median</v>
      </c>
      <c r="W204" s="13" t="str">
        <f t="shared" si="3"/>
        <v>25–48 Months</v>
      </c>
    </row>
    <row r="205" hidden="1">
      <c r="A205" s="13" t="s">
        <v>642</v>
      </c>
      <c r="B205" s="13" t="s">
        <v>393</v>
      </c>
      <c r="C205" s="14">
        <v>30.0</v>
      </c>
      <c r="D205" s="13" t="s">
        <v>35</v>
      </c>
      <c r="E205" s="13" t="s">
        <v>161</v>
      </c>
      <c r="F205" s="13" t="s">
        <v>62</v>
      </c>
      <c r="G205" s="13" t="s">
        <v>120</v>
      </c>
      <c r="H205" s="16">
        <v>44665.0</v>
      </c>
      <c r="I205" s="14">
        <v>11.0</v>
      </c>
      <c r="J205" s="13" t="s">
        <v>53</v>
      </c>
      <c r="K205" s="13" t="s">
        <v>41</v>
      </c>
      <c r="L205" s="14">
        <v>720.0</v>
      </c>
      <c r="M205" s="18" t="s">
        <v>98</v>
      </c>
      <c r="N205" s="20">
        <v>1.0</v>
      </c>
      <c r="O205" s="18">
        <v>18.4</v>
      </c>
      <c r="P205" s="20">
        <v>3.7</v>
      </c>
      <c r="Q205" s="16">
        <v>44929.0</v>
      </c>
      <c r="R205" s="16" t="s">
        <v>643</v>
      </c>
      <c r="S205" s="13" t="s">
        <v>45</v>
      </c>
      <c r="T205" s="13" t="s">
        <v>47</v>
      </c>
      <c r="U205" s="13" t="str">
        <f t="shared" si="1"/>
        <v>Moderate</v>
      </c>
      <c r="V205" s="13" t="str">
        <f t="shared" si="2"/>
        <v>Below Median</v>
      </c>
      <c r="W205" s="13" t="str">
        <f t="shared" si="3"/>
        <v>0–12 Months</v>
      </c>
    </row>
    <row r="206" hidden="1">
      <c r="A206" s="13" t="s">
        <v>644</v>
      </c>
      <c r="B206" s="13" t="s">
        <v>645</v>
      </c>
      <c r="C206" s="14">
        <v>22.0</v>
      </c>
      <c r="D206" s="13" t="s">
        <v>60</v>
      </c>
      <c r="E206" s="13" t="s">
        <v>133</v>
      </c>
      <c r="F206" s="13" t="s">
        <v>79</v>
      </c>
      <c r="G206" s="13" t="s">
        <v>63</v>
      </c>
      <c r="H206" s="16">
        <v>45819.0</v>
      </c>
      <c r="I206" s="14">
        <v>40.0</v>
      </c>
      <c r="J206" s="13" t="s">
        <v>40</v>
      </c>
      <c r="K206" s="13" t="s">
        <v>65</v>
      </c>
      <c r="L206" s="14">
        <v>3020.0</v>
      </c>
      <c r="M206" s="18" t="s">
        <v>164</v>
      </c>
      <c r="N206" s="20">
        <v>1.0</v>
      </c>
      <c r="O206" s="18">
        <v>28.0</v>
      </c>
      <c r="P206" s="20">
        <v>3.1</v>
      </c>
      <c r="Q206" s="16" t="s">
        <v>38</v>
      </c>
      <c r="R206" s="16" t="s">
        <v>38</v>
      </c>
      <c r="S206" s="13" t="s">
        <v>55</v>
      </c>
      <c r="T206" s="13" t="s">
        <v>75</v>
      </c>
      <c r="U206" s="13" t="str">
        <f t="shared" si="1"/>
        <v>Moderate</v>
      </c>
      <c r="V206" s="13" t="str">
        <f t="shared" si="2"/>
        <v>Median or Above</v>
      </c>
      <c r="W206" s="13" t="str">
        <f t="shared" si="3"/>
        <v>25–48 Months</v>
      </c>
    </row>
    <row r="207" hidden="1">
      <c r="A207" s="13" t="s">
        <v>646</v>
      </c>
      <c r="B207" s="13" t="s">
        <v>229</v>
      </c>
      <c r="C207" s="14">
        <v>53.0</v>
      </c>
      <c r="D207" s="13" t="s">
        <v>85</v>
      </c>
      <c r="E207" s="13" t="s">
        <v>111</v>
      </c>
      <c r="F207" s="13" t="s">
        <v>37</v>
      </c>
      <c r="G207" s="13" t="s">
        <v>63</v>
      </c>
      <c r="H207" s="16">
        <v>45638.0</v>
      </c>
      <c r="I207" s="14">
        <v>16.0</v>
      </c>
      <c r="J207" s="13" t="s">
        <v>53</v>
      </c>
      <c r="K207" s="13" t="s">
        <v>65</v>
      </c>
      <c r="L207" s="14">
        <v>1018.0</v>
      </c>
      <c r="M207" s="18" t="s">
        <v>98</v>
      </c>
      <c r="N207" s="20">
        <v>2.0</v>
      </c>
      <c r="O207" s="18">
        <v>21.3</v>
      </c>
      <c r="P207" s="20">
        <v>5.0</v>
      </c>
      <c r="Q207" s="16">
        <v>46048.0</v>
      </c>
      <c r="R207" s="16" t="s">
        <v>38</v>
      </c>
      <c r="S207" s="13" t="s">
        <v>55</v>
      </c>
      <c r="T207" s="13" t="s">
        <v>66</v>
      </c>
      <c r="U207" s="13" t="str">
        <f t="shared" si="1"/>
        <v>High</v>
      </c>
      <c r="V207" s="13" t="str">
        <f t="shared" si="2"/>
        <v>Below Median</v>
      </c>
      <c r="W207" s="13" t="str">
        <f t="shared" si="3"/>
        <v>13–24 Months</v>
      </c>
    </row>
    <row r="208" hidden="1">
      <c r="A208" s="13" t="s">
        <v>648</v>
      </c>
      <c r="B208" s="13" t="s">
        <v>167</v>
      </c>
      <c r="C208" s="14">
        <v>68.0</v>
      </c>
      <c r="D208" s="13" t="s">
        <v>60</v>
      </c>
      <c r="E208" s="13" t="s">
        <v>133</v>
      </c>
      <c r="F208" s="13" t="s">
        <v>62</v>
      </c>
      <c r="G208" s="13" t="s">
        <v>63</v>
      </c>
      <c r="H208" s="16">
        <v>45215.0</v>
      </c>
      <c r="I208" s="14">
        <v>39.0</v>
      </c>
      <c r="J208" s="13" t="s">
        <v>64</v>
      </c>
      <c r="K208" s="13" t="s">
        <v>41</v>
      </c>
      <c r="L208" s="14">
        <v>897.0</v>
      </c>
      <c r="M208" s="18" t="s">
        <v>98</v>
      </c>
      <c r="N208" s="20">
        <v>1.0</v>
      </c>
      <c r="O208" s="18">
        <v>27.8</v>
      </c>
      <c r="P208" s="20">
        <v>5.0</v>
      </c>
      <c r="Q208" s="16">
        <v>46191.0</v>
      </c>
      <c r="R208" s="16" t="s">
        <v>38</v>
      </c>
      <c r="S208" s="13" t="s">
        <v>55</v>
      </c>
      <c r="T208" s="13" t="s">
        <v>47</v>
      </c>
      <c r="U208" s="13" t="str">
        <f t="shared" si="1"/>
        <v>High</v>
      </c>
      <c r="V208" s="13" t="str">
        <f t="shared" si="2"/>
        <v>Median or Above</v>
      </c>
      <c r="W208" s="13" t="str">
        <f t="shared" si="3"/>
        <v>25–48 Months</v>
      </c>
    </row>
    <row r="209" hidden="1">
      <c r="A209" s="13" t="s">
        <v>425</v>
      </c>
      <c r="B209" s="13" t="s">
        <v>106</v>
      </c>
      <c r="C209" s="14">
        <v>34.0</v>
      </c>
      <c r="D209" s="13" t="s">
        <v>69</v>
      </c>
      <c r="E209" s="13" t="s">
        <v>187</v>
      </c>
      <c r="F209" s="13" t="s">
        <v>62</v>
      </c>
      <c r="G209" s="13" t="s">
        <v>128</v>
      </c>
      <c r="H209" s="16">
        <v>44676.0</v>
      </c>
      <c r="I209" s="14">
        <v>15.0</v>
      </c>
      <c r="J209" s="13" t="s">
        <v>64</v>
      </c>
      <c r="K209" s="13" t="s">
        <v>65</v>
      </c>
      <c r="L209" s="14">
        <v>697.0</v>
      </c>
      <c r="M209" s="18" t="s">
        <v>98</v>
      </c>
      <c r="N209" s="20">
        <v>1.0</v>
      </c>
      <c r="O209" s="18">
        <v>20.5</v>
      </c>
      <c r="P209" s="20">
        <v>9.0</v>
      </c>
      <c r="Q209" s="16">
        <v>45115.0</v>
      </c>
      <c r="R209" s="16" t="s">
        <v>38</v>
      </c>
      <c r="S209" s="13" t="s">
        <v>55</v>
      </c>
      <c r="T209" s="13" t="s">
        <v>72</v>
      </c>
      <c r="U209" s="13" t="str">
        <f t="shared" si="1"/>
        <v>Very High</v>
      </c>
      <c r="V209" s="13" t="str">
        <f t="shared" si="2"/>
        <v>Below Median</v>
      </c>
      <c r="W209" s="13" t="str">
        <f t="shared" si="3"/>
        <v>13–24 Months</v>
      </c>
    </row>
    <row r="210" hidden="1">
      <c r="A210" s="13" t="s">
        <v>650</v>
      </c>
      <c r="B210" s="13" t="s">
        <v>651</v>
      </c>
      <c r="C210" s="14">
        <v>22.0</v>
      </c>
      <c r="D210" s="13" t="s">
        <v>35</v>
      </c>
      <c r="E210" s="13" t="s">
        <v>161</v>
      </c>
      <c r="F210" s="13" t="s">
        <v>79</v>
      </c>
      <c r="G210" s="13" t="s">
        <v>80</v>
      </c>
      <c r="H210" s="16">
        <v>44853.0</v>
      </c>
      <c r="I210" s="14">
        <v>37.0</v>
      </c>
      <c r="J210" s="13" t="s">
        <v>40</v>
      </c>
      <c r="K210" s="13" t="s">
        <v>81</v>
      </c>
      <c r="L210" s="14">
        <v>2631.0</v>
      </c>
      <c r="M210" s="18" t="s">
        <v>98</v>
      </c>
      <c r="N210" s="20">
        <v>0.0</v>
      </c>
      <c r="O210" s="18">
        <v>45.8</v>
      </c>
      <c r="P210" s="20">
        <v>4.7</v>
      </c>
      <c r="Q210" s="16">
        <v>45222.0</v>
      </c>
      <c r="R210" s="16" t="s">
        <v>652</v>
      </c>
      <c r="S210" s="13" t="s">
        <v>45</v>
      </c>
      <c r="T210" s="13" t="s">
        <v>47</v>
      </c>
      <c r="U210" s="13" t="str">
        <f t="shared" si="1"/>
        <v>Moderate</v>
      </c>
      <c r="V210" s="13" t="str">
        <f t="shared" si="2"/>
        <v>Median or Above</v>
      </c>
      <c r="W210" s="13" t="str">
        <f t="shared" si="3"/>
        <v>25–48 Months</v>
      </c>
    </row>
    <row r="211" hidden="1">
      <c r="A211" s="13" t="s">
        <v>653</v>
      </c>
      <c r="B211" s="13" t="s">
        <v>106</v>
      </c>
      <c r="C211" s="14">
        <v>68.0</v>
      </c>
      <c r="D211" s="13" t="s">
        <v>85</v>
      </c>
      <c r="E211" s="13" t="s">
        <v>292</v>
      </c>
      <c r="F211" s="13" t="s">
        <v>62</v>
      </c>
      <c r="G211" s="13" t="s">
        <v>80</v>
      </c>
      <c r="H211" s="16">
        <v>44974.0</v>
      </c>
      <c r="I211" s="14">
        <v>9.0</v>
      </c>
      <c r="J211" s="13" t="s">
        <v>40</v>
      </c>
      <c r="K211" s="13" t="s">
        <v>81</v>
      </c>
      <c r="L211" s="14">
        <v>589.0</v>
      </c>
      <c r="M211" s="18" t="s">
        <v>98</v>
      </c>
      <c r="N211" s="20">
        <v>0.0</v>
      </c>
      <c r="O211" s="18">
        <v>22.6</v>
      </c>
      <c r="P211" s="20">
        <v>5.0</v>
      </c>
      <c r="Q211" s="16">
        <v>44995.0</v>
      </c>
      <c r="R211" s="16" t="s">
        <v>38</v>
      </c>
      <c r="S211" s="13" t="s">
        <v>55</v>
      </c>
      <c r="T211" s="13" t="s">
        <v>72</v>
      </c>
      <c r="U211" s="13" t="str">
        <f t="shared" si="1"/>
        <v>High</v>
      </c>
      <c r="V211" s="13" t="str">
        <f t="shared" si="2"/>
        <v>Below Median</v>
      </c>
      <c r="W211" s="13" t="str">
        <f t="shared" si="3"/>
        <v>0–12 Months</v>
      </c>
    </row>
    <row r="212" hidden="1">
      <c r="A212" s="13" t="s">
        <v>654</v>
      </c>
      <c r="B212" s="13" t="s">
        <v>257</v>
      </c>
      <c r="C212" s="14">
        <v>30.0</v>
      </c>
      <c r="D212" s="13" t="s">
        <v>60</v>
      </c>
      <c r="E212" s="13" t="s">
        <v>133</v>
      </c>
      <c r="F212" s="13" t="s">
        <v>37</v>
      </c>
      <c r="G212" s="13" t="s">
        <v>63</v>
      </c>
      <c r="H212" s="16">
        <v>45180.0</v>
      </c>
      <c r="I212" s="14">
        <v>21.0</v>
      </c>
      <c r="J212" s="13" t="s">
        <v>64</v>
      </c>
      <c r="K212" s="13" t="s">
        <v>81</v>
      </c>
      <c r="L212" s="14">
        <v>1748.0</v>
      </c>
      <c r="M212" s="18" t="s">
        <v>98</v>
      </c>
      <c r="N212" s="20">
        <v>1.0</v>
      </c>
      <c r="O212" s="18">
        <v>19.2</v>
      </c>
      <c r="P212" s="20">
        <v>3.1</v>
      </c>
      <c r="Q212" s="16">
        <v>45637.0</v>
      </c>
      <c r="R212" s="16" t="s">
        <v>38</v>
      </c>
      <c r="S212" s="13" t="s">
        <v>55</v>
      </c>
      <c r="T212" s="13" t="s">
        <v>66</v>
      </c>
      <c r="U212" s="13" t="str">
        <f t="shared" si="1"/>
        <v>Moderate</v>
      </c>
      <c r="V212" s="13" t="str">
        <f t="shared" si="2"/>
        <v>Below Median</v>
      </c>
      <c r="W212" s="13" t="str">
        <f t="shared" si="3"/>
        <v>13–24 Months</v>
      </c>
    </row>
    <row r="213" hidden="1">
      <c r="A213" s="13" t="s">
        <v>656</v>
      </c>
      <c r="B213" s="13" t="s">
        <v>239</v>
      </c>
      <c r="C213" s="14">
        <v>30.0</v>
      </c>
      <c r="D213" s="13" t="s">
        <v>69</v>
      </c>
      <c r="E213" s="13" t="s">
        <v>187</v>
      </c>
      <c r="F213" s="13" t="s">
        <v>62</v>
      </c>
      <c r="G213" s="13" t="s">
        <v>52</v>
      </c>
      <c r="H213" s="16">
        <v>45972.0</v>
      </c>
      <c r="I213" s="14">
        <v>19.0</v>
      </c>
      <c r="J213" s="13" t="s">
        <v>64</v>
      </c>
      <c r="K213" s="13" t="s">
        <v>65</v>
      </c>
      <c r="L213" s="14">
        <v>872.0</v>
      </c>
      <c r="M213" s="18" t="s">
        <v>99</v>
      </c>
      <c r="N213" s="20">
        <v>0.0</v>
      </c>
      <c r="O213" s="18">
        <v>13.0</v>
      </c>
      <c r="P213" s="20">
        <v>4.3</v>
      </c>
      <c r="Q213" s="16">
        <v>46382.0</v>
      </c>
      <c r="R213" s="16" t="s">
        <v>38</v>
      </c>
      <c r="S213" s="13" t="s">
        <v>55</v>
      </c>
      <c r="T213" s="13" t="s">
        <v>66</v>
      </c>
      <c r="U213" s="13" t="str">
        <f t="shared" si="1"/>
        <v>Moderate</v>
      </c>
      <c r="V213" s="13" t="str">
        <f t="shared" si="2"/>
        <v>Below Median</v>
      </c>
      <c r="W213" s="13" t="str">
        <f t="shared" si="3"/>
        <v>13–24 Months</v>
      </c>
    </row>
    <row r="214" hidden="1">
      <c r="A214" s="13" t="s">
        <v>450</v>
      </c>
      <c r="B214" s="13" t="s">
        <v>342</v>
      </c>
      <c r="C214" s="14">
        <v>47.0</v>
      </c>
      <c r="D214" s="13" t="s">
        <v>35</v>
      </c>
      <c r="E214" s="13" t="s">
        <v>140</v>
      </c>
      <c r="F214" s="13" t="s">
        <v>37</v>
      </c>
      <c r="G214" s="13" t="s">
        <v>52</v>
      </c>
      <c r="H214" s="16">
        <v>44721.0</v>
      </c>
      <c r="I214" s="14">
        <v>16.0</v>
      </c>
      <c r="J214" s="13" t="s">
        <v>40</v>
      </c>
      <c r="K214" s="13" t="s">
        <v>65</v>
      </c>
      <c r="L214" s="14">
        <v>662.0</v>
      </c>
      <c r="M214" s="18" t="s">
        <v>43</v>
      </c>
      <c r="N214" s="20">
        <v>2.0</v>
      </c>
      <c r="O214" s="18">
        <v>23.6</v>
      </c>
      <c r="P214" s="20">
        <v>5.0</v>
      </c>
      <c r="Q214" s="16">
        <v>45184.0</v>
      </c>
      <c r="R214" s="16" t="s">
        <v>38</v>
      </c>
      <c r="S214" s="13" t="s">
        <v>55</v>
      </c>
      <c r="T214" s="13" t="s">
        <v>47</v>
      </c>
      <c r="U214" s="13" t="str">
        <f t="shared" si="1"/>
        <v>High</v>
      </c>
      <c r="V214" s="13" t="str">
        <f t="shared" si="2"/>
        <v>Below Median</v>
      </c>
      <c r="W214" s="13" t="str">
        <f t="shared" si="3"/>
        <v>13–24 Months</v>
      </c>
    </row>
    <row r="215" hidden="1">
      <c r="A215" s="13" t="s">
        <v>657</v>
      </c>
      <c r="B215" s="13" t="s">
        <v>118</v>
      </c>
      <c r="C215" s="14">
        <v>43.0</v>
      </c>
      <c r="D215" s="13" t="s">
        <v>35</v>
      </c>
      <c r="E215" s="13" t="s">
        <v>161</v>
      </c>
      <c r="F215" s="13" t="s">
        <v>62</v>
      </c>
      <c r="G215" s="13" t="s">
        <v>63</v>
      </c>
      <c r="H215" s="16">
        <v>44564.0</v>
      </c>
      <c r="I215" s="14">
        <v>4.0</v>
      </c>
      <c r="J215" s="13" t="s">
        <v>53</v>
      </c>
      <c r="K215" s="13" t="s">
        <v>81</v>
      </c>
      <c r="L215" s="14">
        <v>874.0</v>
      </c>
      <c r="M215" s="18" t="s">
        <v>98</v>
      </c>
      <c r="N215" s="20">
        <v>1.0</v>
      </c>
      <c r="O215" s="18">
        <v>10.1</v>
      </c>
      <c r="P215" s="20">
        <v>4.3</v>
      </c>
      <c r="Q215" s="16">
        <v>44616.0</v>
      </c>
      <c r="R215" s="16" t="s">
        <v>38</v>
      </c>
      <c r="S215" s="13" t="s">
        <v>55</v>
      </c>
      <c r="T215" s="13" t="s">
        <v>75</v>
      </c>
      <c r="U215" s="13" t="str">
        <f t="shared" si="1"/>
        <v>Moderate</v>
      </c>
      <c r="V215" s="13" t="str">
        <f t="shared" si="2"/>
        <v>Below Median</v>
      </c>
      <c r="W215" s="13" t="str">
        <f t="shared" si="3"/>
        <v>0–12 Months</v>
      </c>
    </row>
    <row r="216" hidden="1">
      <c r="A216" s="13" t="s">
        <v>363</v>
      </c>
      <c r="B216" s="13" t="s">
        <v>50</v>
      </c>
      <c r="C216" s="14">
        <v>29.0</v>
      </c>
      <c r="D216" s="13" t="s">
        <v>85</v>
      </c>
      <c r="E216" s="13" t="s">
        <v>111</v>
      </c>
      <c r="F216" s="13" t="s">
        <v>62</v>
      </c>
      <c r="G216" s="13" t="s">
        <v>63</v>
      </c>
      <c r="H216" s="16">
        <v>44630.0</v>
      </c>
      <c r="I216" s="14">
        <v>19.0</v>
      </c>
      <c r="J216" s="13" t="s">
        <v>64</v>
      </c>
      <c r="K216" s="13" t="s">
        <v>41</v>
      </c>
      <c r="L216" s="14">
        <v>632.0</v>
      </c>
      <c r="M216" s="18" t="s">
        <v>164</v>
      </c>
      <c r="N216" s="20">
        <v>0.0</v>
      </c>
      <c r="O216" s="18">
        <v>28.5</v>
      </c>
      <c r="P216" s="20">
        <v>2.6</v>
      </c>
      <c r="Q216" s="16">
        <v>44990.0</v>
      </c>
      <c r="R216" s="16" t="s">
        <v>38</v>
      </c>
      <c r="S216" s="13" t="s">
        <v>55</v>
      </c>
      <c r="T216" s="13" t="s">
        <v>66</v>
      </c>
      <c r="U216" s="13" t="str">
        <f t="shared" si="1"/>
        <v>Low</v>
      </c>
      <c r="V216" s="13" t="str">
        <f t="shared" si="2"/>
        <v>Median or Above</v>
      </c>
      <c r="W216" s="13" t="str">
        <f t="shared" si="3"/>
        <v>13–24 Months</v>
      </c>
    </row>
    <row r="217" hidden="1">
      <c r="A217" s="13" t="s">
        <v>483</v>
      </c>
      <c r="B217" s="13" t="s">
        <v>312</v>
      </c>
      <c r="C217" s="14">
        <v>31.0</v>
      </c>
      <c r="D217" s="13" t="s">
        <v>60</v>
      </c>
      <c r="E217" s="13" t="s">
        <v>133</v>
      </c>
      <c r="F217" s="13" t="s">
        <v>37</v>
      </c>
      <c r="G217" s="13" t="s">
        <v>120</v>
      </c>
      <c r="H217" s="16">
        <v>45900.0</v>
      </c>
      <c r="I217" s="14">
        <v>11.0</v>
      </c>
      <c r="J217" s="13" t="s">
        <v>53</v>
      </c>
      <c r="K217" s="13" t="s">
        <v>81</v>
      </c>
      <c r="L217" s="14">
        <v>1159.0</v>
      </c>
      <c r="M217" s="18" t="s">
        <v>43</v>
      </c>
      <c r="N217" s="20">
        <v>1.0</v>
      </c>
      <c r="O217" s="18">
        <v>37.7</v>
      </c>
      <c r="P217" s="20">
        <v>3.8</v>
      </c>
      <c r="Q217" s="16">
        <v>45961.0</v>
      </c>
      <c r="R217" s="16" t="s">
        <v>38</v>
      </c>
      <c r="S217" s="13" t="s">
        <v>55</v>
      </c>
      <c r="T217" s="13" t="s">
        <v>66</v>
      </c>
      <c r="U217" s="13" t="str">
        <f t="shared" si="1"/>
        <v>Moderate</v>
      </c>
      <c r="V217" s="13" t="str">
        <f t="shared" si="2"/>
        <v>Median or Above</v>
      </c>
      <c r="W217" s="13" t="str">
        <f t="shared" si="3"/>
        <v>0–12 Months</v>
      </c>
    </row>
    <row r="218" hidden="1">
      <c r="A218" s="13" t="s">
        <v>659</v>
      </c>
      <c r="B218" s="13" t="s">
        <v>202</v>
      </c>
      <c r="C218" s="14">
        <v>24.0</v>
      </c>
      <c r="D218" s="13" t="s">
        <v>60</v>
      </c>
      <c r="E218" s="13" t="s">
        <v>107</v>
      </c>
      <c r="F218" s="13" t="s">
        <v>62</v>
      </c>
      <c r="G218" s="13" t="s">
        <v>63</v>
      </c>
      <c r="H218" s="16">
        <v>44663.0</v>
      </c>
      <c r="I218" s="14">
        <v>26.0</v>
      </c>
      <c r="J218" s="13" t="s">
        <v>53</v>
      </c>
      <c r="K218" s="13" t="s">
        <v>81</v>
      </c>
      <c r="L218" s="14">
        <v>750.0</v>
      </c>
      <c r="M218" s="18" t="s">
        <v>98</v>
      </c>
      <c r="N218" s="20">
        <v>0.0</v>
      </c>
      <c r="O218" s="18">
        <v>22.0</v>
      </c>
      <c r="P218" s="20">
        <v>4.2</v>
      </c>
      <c r="Q218" s="16">
        <v>45042.0</v>
      </c>
      <c r="R218" s="16" t="s">
        <v>38</v>
      </c>
      <c r="S218" s="13" t="s">
        <v>55</v>
      </c>
      <c r="T218" s="13" t="s">
        <v>66</v>
      </c>
      <c r="U218" s="13" t="str">
        <f t="shared" si="1"/>
        <v>Moderate</v>
      </c>
      <c r="V218" s="13" t="str">
        <f t="shared" si="2"/>
        <v>Below Median</v>
      </c>
      <c r="W218" s="13" t="str">
        <f t="shared" si="3"/>
        <v>25–48 Months</v>
      </c>
    </row>
    <row r="219" hidden="1">
      <c r="A219" s="13" t="s">
        <v>660</v>
      </c>
      <c r="B219" s="13" t="s">
        <v>241</v>
      </c>
      <c r="C219" s="14">
        <v>24.0</v>
      </c>
      <c r="D219" s="13" t="s">
        <v>69</v>
      </c>
      <c r="E219" s="13" t="s">
        <v>70</v>
      </c>
      <c r="F219" s="13" t="s">
        <v>62</v>
      </c>
      <c r="G219" s="13" t="s">
        <v>39</v>
      </c>
      <c r="H219" s="16">
        <v>45869.0</v>
      </c>
      <c r="I219" s="14">
        <v>19.0</v>
      </c>
      <c r="J219" s="13" t="s">
        <v>40</v>
      </c>
      <c r="K219" s="13" t="s">
        <v>81</v>
      </c>
      <c r="L219" s="14">
        <v>741.0</v>
      </c>
      <c r="M219" s="18" t="s">
        <v>46</v>
      </c>
      <c r="N219" s="20">
        <v>2.0</v>
      </c>
      <c r="O219" s="18">
        <v>11.7</v>
      </c>
      <c r="P219" s="20">
        <v>2.5</v>
      </c>
      <c r="Q219" s="16">
        <v>46286.0</v>
      </c>
      <c r="R219" s="16" t="s">
        <v>661</v>
      </c>
      <c r="S219" s="13" t="s">
        <v>45</v>
      </c>
      <c r="T219" s="13" t="s">
        <v>75</v>
      </c>
      <c r="U219" s="13" t="str">
        <f t="shared" si="1"/>
        <v>Low</v>
      </c>
      <c r="V219" s="13" t="str">
        <f t="shared" si="2"/>
        <v>Below Median</v>
      </c>
      <c r="W219" s="13" t="str">
        <f t="shared" si="3"/>
        <v>13–24 Months</v>
      </c>
    </row>
    <row r="220" hidden="1">
      <c r="A220" s="13" t="s">
        <v>434</v>
      </c>
      <c r="B220" s="13" t="s">
        <v>239</v>
      </c>
      <c r="C220" s="14">
        <v>28.0</v>
      </c>
      <c r="D220" s="13" t="s">
        <v>60</v>
      </c>
      <c r="E220" s="13" t="s">
        <v>133</v>
      </c>
      <c r="F220" s="13" t="s">
        <v>62</v>
      </c>
      <c r="G220" s="13" t="s">
        <v>120</v>
      </c>
      <c r="H220" s="16">
        <v>44653.0</v>
      </c>
      <c r="I220" s="14">
        <v>17.0</v>
      </c>
      <c r="J220" s="13" t="s">
        <v>64</v>
      </c>
      <c r="K220" s="13" t="s">
        <v>81</v>
      </c>
      <c r="L220" s="14">
        <v>633.0</v>
      </c>
      <c r="M220" s="18" t="s">
        <v>173</v>
      </c>
      <c r="N220" s="20">
        <v>0.0</v>
      </c>
      <c r="O220" s="18">
        <v>9.2</v>
      </c>
      <c r="P220" s="20">
        <v>1.8</v>
      </c>
      <c r="Q220" s="16">
        <v>44938.0</v>
      </c>
      <c r="R220" s="16" t="s">
        <v>38</v>
      </c>
      <c r="S220" s="13" t="s">
        <v>55</v>
      </c>
      <c r="T220" s="13" t="s">
        <v>104</v>
      </c>
      <c r="U220" s="13" t="str">
        <f t="shared" si="1"/>
        <v>Low</v>
      </c>
      <c r="V220" s="13" t="str">
        <f t="shared" si="2"/>
        <v>Below Median</v>
      </c>
      <c r="W220" s="13" t="str">
        <f t="shared" si="3"/>
        <v>13–24 Months</v>
      </c>
    </row>
    <row r="221" hidden="1">
      <c r="A221" s="13" t="s">
        <v>662</v>
      </c>
      <c r="B221" s="13" t="s">
        <v>172</v>
      </c>
      <c r="C221" s="14">
        <v>49.0</v>
      </c>
      <c r="D221" s="13" t="s">
        <v>60</v>
      </c>
      <c r="E221" s="13" t="s">
        <v>133</v>
      </c>
      <c r="F221" s="13" t="s">
        <v>79</v>
      </c>
      <c r="G221" s="13" t="s">
        <v>80</v>
      </c>
      <c r="H221" s="16">
        <v>45027.0</v>
      </c>
      <c r="I221" s="14">
        <v>36.0</v>
      </c>
      <c r="J221" s="13" t="s">
        <v>53</v>
      </c>
      <c r="K221" s="13" t="s">
        <v>41</v>
      </c>
      <c r="L221" s="14">
        <v>2856.0</v>
      </c>
      <c r="M221" s="18" t="s">
        <v>173</v>
      </c>
      <c r="N221" s="20">
        <v>1.0</v>
      </c>
      <c r="O221" s="18">
        <v>34.5</v>
      </c>
      <c r="P221" s="20">
        <v>4.7</v>
      </c>
      <c r="Q221" s="16">
        <v>46009.0</v>
      </c>
      <c r="R221" s="16" t="s">
        <v>38</v>
      </c>
      <c r="S221" s="13" t="s">
        <v>55</v>
      </c>
      <c r="T221" s="13" t="s">
        <v>75</v>
      </c>
      <c r="U221" s="13" t="str">
        <f t="shared" si="1"/>
        <v>Moderate</v>
      </c>
      <c r="V221" s="13" t="str">
        <f t="shared" si="2"/>
        <v>Median or Above</v>
      </c>
      <c r="W221" s="13" t="str">
        <f t="shared" si="3"/>
        <v>25–48 Months</v>
      </c>
    </row>
    <row r="222" hidden="1">
      <c r="A222" s="13" t="s">
        <v>663</v>
      </c>
      <c r="B222" s="13" t="s">
        <v>202</v>
      </c>
      <c r="C222" s="14">
        <v>24.0</v>
      </c>
      <c r="D222" s="13" t="s">
        <v>35</v>
      </c>
      <c r="E222" s="13" t="s">
        <v>51</v>
      </c>
      <c r="F222" s="13" t="s">
        <v>62</v>
      </c>
      <c r="G222" s="13" t="s">
        <v>128</v>
      </c>
      <c r="H222" s="16">
        <v>45481.0</v>
      </c>
      <c r="I222" s="14">
        <v>12.0</v>
      </c>
      <c r="J222" s="13" t="s">
        <v>64</v>
      </c>
      <c r="K222" s="13" t="s">
        <v>65</v>
      </c>
      <c r="L222" s="14">
        <v>584.0</v>
      </c>
      <c r="M222" s="18" t="s">
        <v>164</v>
      </c>
      <c r="N222" s="20">
        <v>3.0</v>
      </c>
      <c r="O222" s="18">
        <v>9.7</v>
      </c>
      <c r="P222" s="20">
        <v>4.9</v>
      </c>
      <c r="Q222" s="16">
        <v>45589.0</v>
      </c>
      <c r="R222" s="16">
        <v>45575.0</v>
      </c>
      <c r="S222" s="13" t="s">
        <v>45</v>
      </c>
      <c r="T222" s="13" t="s">
        <v>47</v>
      </c>
      <c r="U222" s="13" t="str">
        <f t="shared" si="1"/>
        <v>Moderate</v>
      </c>
      <c r="V222" s="13" t="str">
        <f t="shared" si="2"/>
        <v>Below Median</v>
      </c>
      <c r="W222" s="13" t="str">
        <f t="shared" si="3"/>
        <v>0–12 Months</v>
      </c>
    </row>
    <row r="223" hidden="1">
      <c r="A223" s="13" t="s">
        <v>665</v>
      </c>
      <c r="B223" s="13" t="s">
        <v>645</v>
      </c>
      <c r="C223" s="14">
        <v>19.0</v>
      </c>
      <c r="D223" s="13" t="s">
        <v>69</v>
      </c>
      <c r="E223" s="13" t="s">
        <v>177</v>
      </c>
      <c r="F223" s="13" t="s">
        <v>62</v>
      </c>
      <c r="G223" s="13" t="s">
        <v>52</v>
      </c>
      <c r="H223" s="16">
        <v>44699.0</v>
      </c>
      <c r="I223" s="14">
        <v>6.0</v>
      </c>
      <c r="J223" s="13" t="s">
        <v>64</v>
      </c>
      <c r="K223" s="13" t="s">
        <v>81</v>
      </c>
      <c r="L223" s="14">
        <v>702.0</v>
      </c>
      <c r="M223" s="18" t="s">
        <v>43</v>
      </c>
      <c r="N223" s="20">
        <v>0.0</v>
      </c>
      <c r="O223" s="18">
        <v>12.8</v>
      </c>
      <c r="P223" s="20">
        <v>4.2</v>
      </c>
      <c r="Q223" s="16">
        <v>44779.0</v>
      </c>
      <c r="R223" s="16" t="s">
        <v>38</v>
      </c>
      <c r="S223" s="13" t="s">
        <v>55</v>
      </c>
      <c r="T223" s="13" t="s">
        <v>66</v>
      </c>
      <c r="U223" s="13" t="str">
        <f t="shared" si="1"/>
        <v>Moderate</v>
      </c>
      <c r="V223" s="13" t="str">
        <f t="shared" si="2"/>
        <v>Below Median</v>
      </c>
      <c r="W223" s="13" t="str">
        <f t="shared" si="3"/>
        <v>0–12 Months</v>
      </c>
    </row>
    <row r="224" hidden="1">
      <c r="A224" s="13" t="s">
        <v>666</v>
      </c>
      <c r="B224" s="13" t="s">
        <v>184</v>
      </c>
      <c r="C224" s="14">
        <v>45.0</v>
      </c>
      <c r="D224" s="13" t="s">
        <v>85</v>
      </c>
      <c r="E224" s="13" t="s">
        <v>292</v>
      </c>
      <c r="F224" s="13" t="s">
        <v>62</v>
      </c>
      <c r="G224" s="13" t="s">
        <v>39</v>
      </c>
      <c r="H224" s="16">
        <v>45722.0</v>
      </c>
      <c r="I224" s="14">
        <v>38.0</v>
      </c>
      <c r="J224" s="13" t="s">
        <v>53</v>
      </c>
      <c r="K224" s="13" t="s">
        <v>65</v>
      </c>
      <c r="L224" s="14">
        <v>550.0</v>
      </c>
      <c r="M224" s="18" t="s">
        <v>98</v>
      </c>
      <c r="N224" s="20">
        <v>1.0</v>
      </c>
      <c r="O224" s="18">
        <v>22.1</v>
      </c>
      <c r="P224" s="20">
        <v>3.7</v>
      </c>
      <c r="Q224" s="16">
        <v>45938.0</v>
      </c>
      <c r="R224" s="16" t="s">
        <v>38</v>
      </c>
      <c r="S224" s="13" t="s">
        <v>55</v>
      </c>
      <c r="T224" s="13" t="s">
        <v>75</v>
      </c>
      <c r="U224" s="13" t="str">
        <f t="shared" si="1"/>
        <v>Moderate</v>
      </c>
      <c r="V224" s="13" t="str">
        <f t="shared" si="2"/>
        <v>Below Median</v>
      </c>
      <c r="W224" s="13" t="str">
        <f t="shared" si="3"/>
        <v>25–48 Months</v>
      </c>
    </row>
    <row r="225" hidden="1">
      <c r="A225" s="13" t="s">
        <v>667</v>
      </c>
      <c r="B225" s="13" t="s">
        <v>312</v>
      </c>
      <c r="C225" s="14">
        <v>22.0</v>
      </c>
      <c r="D225" s="13" t="s">
        <v>85</v>
      </c>
      <c r="E225" s="13" t="s">
        <v>292</v>
      </c>
      <c r="F225" s="13" t="s">
        <v>62</v>
      </c>
      <c r="G225" s="13" t="s">
        <v>120</v>
      </c>
      <c r="H225" s="16">
        <v>44856.0</v>
      </c>
      <c r="I225" s="14">
        <v>40.0</v>
      </c>
      <c r="J225" s="13" t="s">
        <v>64</v>
      </c>
      <c r="K225" s="13" t="s">
        <v>65</v>
      </c>
      <c r="L225" s="14">
        <v>854.0</v>
      </c>
      <c r="M225" s="18" t="s">
        <v>98</v>
      </c>
      <c r="N225" s="20">
        <v>1.0</v>
      </c>
      <c r="O225" s="18">
        <v>20.3</v>
      </c>
      <c r="P225" s="20">
        <v>3.0</v>
      </c>
      <c r="Q225" s="16">
        <v>45676.0</v>
      </c>
      <c r="R225" s="16" t="s">
        <v>38</v>
      </c>
      <c r="S225" s="13" t="s">
        <v>55</v>
      </c>
      <c r="T225" s="13" t="s">
        <v>72</v>
      </c>
      <c r="U225" s="13" t="str">
        <f t="shared" si="1"/>
        <v>Moderate</v>
      </c>
      <c r="V225" s="13" t="str">
        <f t="shared" si="2"/>
        <v>Below Median</v>
      </c>
      <c r="W225" s="13" t="str">
        <f t="shared" si="3"/>
        <v>25–48 Months</v>
      </c>
    </row>
    <row r="226" hidden="1">
      <c r="A226" s="13" t="s">
        <v>668</v>
      </c>
      <c r="B226" s="13" t="s">
        <v>169</v>
      </c>
      <c r="C226" s="14">
        <v>68.0</v>
      </c>
      <c r="D226" s="13" t="s">
        <v>35</v>
      </c>
      <c r="E226" s="13" t="s">
        <v>161</v>
      </c>
      <c r="F226" s="13" t="s">
        <v>37</v>
      </c>
      <c r="G226" s="13" t="s">
        <v>210</v>
      </c>
      <c r="H226" s="16">
        <v>45198.0</v>
      </c>
      <c r="I226" s="14">
        <v>18.0</v>
      </c>
      <c r="J226" s="13" t="s">
        <v>53</v>
      </c>
      <c r="K226" s="13" t="s">
        <v>65</v>
      </c>
      <c r="L226" s="14">
        <v>1700.0</v>
      </c>
      <c r="M226" s="18" t="s">
        <v>98</v>
      </c>
      <c r="N226" s="20">
        <v>2.0</v>
      </c>
      <c r="O226" s="18">
        <v>22.5</v>
      </c>
      <c r="P226" s="20">
        <v>3.6</v>
      </c>
      <c r="Q226" s="16">
        <v>45441.0</v>
      </c>
      <c r="R226" s="16" t="s">
        <v>669</v>
      </c>
      <c r="S226" s="13" t="s">
        <v>45</v>
      </c>
      <c r="T226" s="13" t="s">
        <v>75</v>
      </c>
      <c r="U226" s="13" t="str">
        <f t="shared" si="1"/>
        <v>Moderate</v>
      </c>
      <c r="V226" s="13" t="str">
        <f t="shared" si="2"/>
        <v>Below Median</v>
      </c>
      <c r="W226" s="13" t="str">
        <f t="shared" si="3"/>
        <v>13–24 Months</v>
      </c>
    </row>
    <row r="227" hidden="1">
      <c r="A227" s="13" t="s">
        <v>670</v>
      </c>
      <c r="B227" s="13" t="s">
        <v>145</v>
      </c>
      <c r="C227" s="14">
        <v>23.0</v>
      </c>
      <c r="D227" s="13" t="s">
        <v>35</v>
      </c>
      <c r="E227" s="13" t="s">
        <v>51</v>
      </c>
      <c r="F227" s="13" t="s">
        <v>62</v>
      </c>
      <c r="G227" s="13" t="s">
        <v>128</v>
      </c>
      <c r="H227" s="16">
        <v>45395.0</v>
      </c>
      <c r="I227" s="14">
        <v>48.0</v>
      </c>
      <c r="J227" s="13" t="s">
        <v>40</v>
      </c>
      <c r="K227" s="13" t="s">
        <v>81</v>
      </c>
      <c r="L227" s="14">
        <v>763.0</v>
      </c>
      <c r="M227" s="18" t="s">
        <v>98</v>
      </c>
      <c r="N227" s="20">
        <v>3.0</v>
      </c>
      <c r="O227" s="18">
        <v>13.1</v>
      </c>
      <c r="P227" s="20">
        <v>3.4</v>
      </c>
      <c r="Q227" s="16">
        <v>45520.0</v>
      </c>
      <c r="R227" s="16" t="s">
        <v>38</v>
      </c>
      <c r="S227" s="13" t="s">
        <v>55</v>
      </c>
      <c r="T227" s="13" t="s">
        <v>66</v>
      </c>
      <c r="U227" s="13" t="str">
        <f t="shared" si="1"/>
        <v>Moderate</v>
      </c>
      <c r="V227" s="13" t="str">
        <f t="shared" si="2"/>
        <v>Below Median</v>
      </c>
      <c r="W227" s="13" t="str">
        <f t="shared" si="3"/>
        <v>25–48 Months</v>
      </c>
    </row>
    <row r="228" hidden="1">
      <c r="A228" s="13" t="s">
        <v>671</v>
      </c>
      <c r="B228" s="13" t="s">
        <v>380</v>
      </c>
      <c r="C228" s="14">
        <v>42.0</v>
      </c>
      <c r="D228" s="13" t="s">
        <v>69</v>
      </c>
      <c r="E228" s="13" t="s">
        <v>70</v>
      </c>
      <c r="F228" s="13" t="s">
        <v>62</v>
      </c>
      <c r="G228" s="13" t="s">
        <v>128</v>
      </c>
      <c r="H228" s="16">
        <v>44973.0</v>
      </c>
      <c r="I228" s="14">
        <v>4.0</v>
      </c>
      <c r="J228" s="13" t="s">
        <v>53</v>
      </c>
      <c r="K228" s="13" t="s">
        <v>81</v>
      </c>
      <c r="L228" s="14">
        <v>732.0</v>
      </c>
      <c r="M228" s="18" t="s">
        <v>43</v>
      </c>
      <c r="N228" s="20">
        <v>2.0</v>
      </c>
      <c r="O228" s="18">
        <v>25.6</v>
      </c>
      <c r="P228" s="20">
        <v>2.4</v>
      </c>
      <c r="Q228" s="16">
        <v>45075.0</v>
      </c>
      <c r="R228" s="16" t="s">
        <v>38</v>
      </c>
      <c r="S228" s="13" t="s">
        <v>55</v>
      </c>
      <c r="T228" s="13" t="s">
        <v>75</v>
      </c>
      <c r="U228" s="13" t="str">
        <f t="shared" si="1"/>
        <v>Low</v>
      </c>
      <c r="V228" s="13" t="str">
        <f t="shared" si="2"/>
        <v>Median or Above</v>
      </c>
      <c r="W228" s="13" t="str">
        <f t="shared" si="3"/>
        <v>0–12 Months</v>
      </c>
    </row>
    <row r="229" hidden="1">
      <c r="A229" s="13" t="s">
        <v>672</v>
      </c>
      <c r="B229" s="13" t="s">
        <v>68</v>
      </c>
      <c r="C229" s="14">
        <v>35.0</v>
      </c>
      <c r="D229" s="13" t="s">
        <v>35</v>
      </c>
      <c r="E229" s="13" t="s">
        <v>36</v>
      </c>
      <c r="F229" s="13" t="s">
        <v>62</v>
      </c>
      <c r="G229" s="13" t="s">
        <v>120</v>
      </c>
      <c r="H229" s="16">
        <v>45778.0</v>
      </c>
      <c r="I229" s="14">
        <v>29.0</v>
      </c>
      <c r="J229" s="13" t="s">
        <v>64</v>
      </c>
      <c r="K229" s="13" t="s">
        <v>81</v>
      </c>
      <c r="L229" s="14">
        <v>741.0</v>
      </c>
      <c r="M229" s="18" t="s">
        <v>164</v>
      </c>
      <c r="N229" s="20">
        <v>1.0</v>
      </c>
      <c r="O229" s="18">
        <v>8.6</v>
      </c>
      <c r="P229" s="20">
        <v>2.1</v>
      </c>
      <c r="Q229" s="16">
        <v>46146.0</v>
      </c>
      <c r="R229" s="16" t="s">
        <v>38</v>
      </c>
      <c r="S229" s="13" t="s">
        <v>55</v>
      </c>
      <c r="T229" s="13" t="s">
        <v>104</v>
      </c>
      <c r="U229" s="13" t="str">
        <f t="shared" si="1"/>
        <v>Low</v>
      </c>
      <c r="V229" s="13" t="str">
        <f t="shared" si="2"/>
        <v>Below Median</v>
      </c>
      <c r="W229" s="13" t="str">
        <f t="shared" si="3"/>
        <v>25–48 Months</v>
      </c>
    </row>
    <row r="230" hidden="1">
      <c r="A230" s="13" t="s">
        <v>674</v>
      </c>
      <c r="B230" s="13" t="s">
        <v>308</v>
      </c>
      <c r="C230" s="14">
        <v>68.0</v>
      </c>
      <c r="D230" s="13" t="s">
        <v>35</v>
      </c>
      <c r="E230" s="13" t="s">
        <v>140</v>
      </c>
      <c r="F230" s="13" t="s">
        <v>62</v>
      </c>
      <c r="G230" s="13" t="s">
        <v>128</v>
      </c>
      <c r="H230" s="16">
        <v>45733.0</v>
      </c>
      <c r="I230" s="14">
        <v>14.0</v>
      </c>
      <c r="J230" s="13" t="s">
        <v>64</v>
      </c>
      <c r="K230" s="13" t="s">
        <v>41</v>
      </c>
      <c r="L230" s="14">
        <v>830.0</v>
      </c>
      <c r="M230" s="18" t="s">
        <v>98</v>
      </c>
      <c r="N230" s="20">
        <v>0.0</v>
      </c>
      <c r="O230" s="18">
        <v>13.6</v>
      </c>
      <c r="P230" s="20">
        <v>4.1</v>
      </c>
      <c r="Q230" s="16">
        <v>45848.0</v>
      </c>
      <c r="R230" s="16" t="s">
        <v>676</v>
      </c>
      <c r="S230" s="13" t="s">
        <v>45</v>
      </c>
      <c r="T230" s="13" t="s">
        <v>75</v>
      </c>
      <c r="U230" s="13" t="str">
        <f t="shared" si="1"/>
        <v>Moderate</v>
      </c>
      <c r="V230" s="13" t="str">
        <f t="shared" si="2"/>
        <v>Below Median</v>
      </c>
      <c r="W230" s="13" t="str">
        <f t="shared" si="3"/>
        <v>13–24 Months</v>
      </c>
    </row>
    <row r="231" hidden="1">
      <c r="A231" s="13" t="s">
        <v>677</v>
      </c>
      <c r="B231" s="13" t="s">
        <v>241</v>
      </c>
      <c r="C231" s="14">
        <v>32.0</v>
      </c>
      <c r="D231" s="13" t="s">
        <v>69</v>
      </c>
      <c r="E231" s="13" t="s">
        <v>70</v>
      </c>
      <c r="F231" s="13" t="s">
        <v>62</v>
      </c>
      <c r="G231" s="13" t="s">
        <v>80</v>
      </c>
      <c r="H231" s="16">
        <v>45187.0</v>
      </c>
      <c r="I231" s="14">
        <v>46.0</v>
      </c>
      <c r="J231" s="13" t="s">
        <v>53</v>
      </c>
      <c r="K231" s="13" t="s">
        <v>65</v>
      </c>
      <c r="L231" s="14">
        <v>828.0</v>
      </c>
      <c r="M231" s="18" t="s">
        <v>164</v>
      </c>
      <c r="N231" s="20">
        <v>1.0</v>
      </c>
      <c r="O231" s="18">
        <v>10.0</v>
      </c>
      <c r="P231" s="20">
        <v>3.7</v>
      </c>
      <c r="Q231" s="16">
        <v>45968.0</v>
      </c>
      <c r="R231" s="16">
        <v>45667.0</v>
      </c>
      <c r="S231" s="13" t="s">
        <v>45</v>
      </c>
      <c r="T231" s="13" t="s">
        <v>66</v>
      </c>
      <c r="U231" s="13" t="str">
        <f t="shared" si="1"/>
        <v>Moderate</v>
      </c>
      <c r="V231" s="13" t="str">
        <f t="shared" si="2"/>
        <v>Below Median</v>
      </c>
      <c r="W231" s="13" t="str">
        <f t="shared" si="3"/>
        <v>25–48 Months</v>
      </c>
    </row>
    <row r="232" hidden="1">
      <c r="A232" s="13" t="s">
        <v>680</v>
      </c>
      <c r="B232" s="13" t="s">
        <v>235</v>
      </c>
      <c r="C232" s="14">
        <v>40.0</v>
      </c>
      <c r="D232" s="13" t="s">
        <v>85</v>
      </c>
      <c r="E232" s="13" t="s">
        <v>292</v>
      </c>
      <c r="F232" s="13" t="s">
        <v>62</v>
      </c>
      <c r="G232" s="13" t="s">
        <v>52</v>
      </c>
      <c r="H232" s="16">
        <v>45328.0</v>
      </c>
      <c r="I232" s="14">
        <v>36.0</v>
      </c>
      <c r="J232" s="13" t="s">
        <v>53</v>
      </c>
      <c r="K232" s="13" t="s">
        <v>81</v>
      </c>
      <c r="L232" s="14">
        <v>810.0</v>
      </c>
      <c r="M232" s="18" t="s">
        <v>43</v>
      </c>
      <c r="N232" s="20">
        <v>1.0</v>
      </c>
      <c r="O232" s="18">
        <v>27.3</v>
      </c>
      <c r="P232" s="20">
        <v>2.9</v>
      </c>
      <c r="Q232" s="16">
        <v>45559.0</v>
      </c>
      <c r="R232" s="16" t="s">
        <v>38</v>
      </c>
      <c r="S232" s="13" t="s">
        <v>55</v>
      </c>
      <c r="T232" s="13" t="s">
        <v>72</v>
      </c>
      <c r="U232" s="13" t="str">
        <f t="shared" si="1"/>
        <v>Low</v>
      </c>
      <c r="V232" s="13" t="str">
        <f t="shared" si="2"/>
        <v>Median or Above</v>
      </c>
      <c r="W232" s="13" t="str">
        <f t="shared" si="3"/>
        <v>25–48 Months</v>
      </c>
    </row>
    <row r="233" hidden="1">
      <c r="A233" s="13" t="s">
        <v>681</v>
      </c>
      <c r="B233" s="13" t="s">
        <v>96</v>
      </c>
      <c r="C233" s="14">
        <v>60.0</v>
      </c>
      <c r="D233" s="13" t="s">
        <v>60</v>
      </c>
      <c r="E233" s="13" t="s">
        <v>107</v>
      </c>
      <c r="F233" s="13" t="s">
        <v>62</v>
      </c>
      <c r="G233" s="13" t="s">
        <v>80</v>
      </c>
      <c r="H233" s="16">
        <v>45054.0</v>
      </c>
      <c r="I233" s="14">
        <v>4.0</v>
      </c>
      <c r="J233" s="13" t="s">
        <v>53</v>
      </c>
      <c r="K233" s="13" t="s">
        <v>65</v>
      </c>
      <c r="L233" s="14">
        <v>806.0</v>
      </c>
      <c r="M233" s="18" t="s">
        <v>43</v>
      </c>
      <c r="N233" s="20">
        <v>1.0</v>
      </c>
      <c r="O233" s="18">
        <v>12.6</v>
      </c>
      <c r="P233" s="20">
        <v>4.6</v>
      </c>
      <c r="Q233" s="16">
        <v>45145.0</v>
      </c>
      <c r="R233" s="16">
        <v>44966.0</v>
      </c>
      <c r="S233" s="13" t="s">
        <v>45</v>
      </c>
      <c r="T233" s="13" t="s">
        <v>72</v>
      </c>
      <c r="U233" s="13" t="str">
        <f t="shared" si="1"/>
        <v>Moderate</v>
      </c>
      <c r="V233" s="13" t="str">
        <f t="shared" si="2"/>
        <v>Below Median</v>
      </c>
      <c r="W233" s="13" t="str">
        <f t="shared" si="3"/>
        <v>0–12 Months</v>
      </c>
    </row>
    <row r="234" hidden="1">
      <c r="A234" s="13" t="s">
        <v>367</v>
      </c>
      <c r="B234" s="13" t="s">
        <v>257</v>
      </c>
      <c r="C234" s="14">
        <v>51.0</v>
      </c>
      <c r="D234" s="13" t="s">
        <v>85</v>
      </c>
      <c r="E234" s="13" t="s">
        <v>87</v>
      </c>
      <c r="F234" s="13" t="s">
        <v>37</v>
      </c>
      <c r="G234" s="13" t="s">
        <v>80</v>
      </c>
      <c r="H234" s="16">
        <v>46012.0</v>
      </c>
      <c r="I234" s="14">
        <v>37.0</v>
      </c>
      <c r="J234" s="13" t="s">
        <v>53</v>
      </c>
      <c r="K234" s="13" t="s">
        <v>41</v>
      </c>
      <c r="L234" s="14">
        <v>1742.0</v>
      </c>
      <c r="M234" s="18" t="s">
        <v>173</v>
      </c>
      <c r="N234" s="20">
        <v>1.0</v>
      </c>
      <c r="O234" s="18">
        <v>27.3</v>
      </c>
      <c r="P234" s="20">
        <v>4.5</v>
      </c>
      <c r="Q234" s="16">
        <v>46477.0</v>
      </c>
      <c r="R234" s="16" t="s">
        <v>683</v>
      </c>
      <c r="S234" s="13" t="s">
        <v>45</v>
      </c>
      <c r="T234" s="13" t="s">
        <v>66</v>
      </c>
      <c r="U234" s="13" t="str">
        <f t="shared" si="1"/>
        <v>Moderate</v>
      </c>
      <c r="V234" s="13" t="str">
        <f t="shared" si="2"/>
        <v>Median or Above</v>
      </c>
      <c r="W234" s="13" t="str">
        <f t="shared" si="3"/>
        <v>25–48 Months</v>
      </c>
    </row>
    <row r="235" hidden="1">
      <c r="A235" s="13" t="s">
        <v>684</v>
      </c>
      <c r="B235" s="13" t="s">
        <v>349</v>
      </c>
      <c r="C235" s="14">
        <v>41.0</v>
      </c>
      <c r="D235" s="13" t="s">
        <v>60</v>
      </c>
      <c r="E235" s="13" t="s">
        <v>61</v>
      </c>
      <c r="F235" s="13" t="s">
        <v>37</v>
      </c>
      <c r="G235" s="13" t="s">
        <v>52</v>
      </c>
      <c r="H235" s="16">
        <v>45091.0</v>
      </c>
      <c r="I235" s="14">
        <v>47.0</v>
      </c>
      <c r="J235" s="13" t="s">
        <v>40</v>
      </c>
      <c r="K235" s="13" t="s">
        <v>81</v>
      </c>
      <c r="L235" s="14">
        <v>1186.0</v>
      </c>
      <c r="M235" s="18" t="s">
        <v>98</v>
      </c>
      <c r="N235" s="20">
        <v>0.0</v>
      </c>
      <c r="O235" s="18">
        <v>28.7</v>
      </c>
      <c r="P235" s="20">
        <v>5.0</v>
      </c>
      <c r="Q235" s="16">
        <v>46493.0</v>
      </c>
      <c r="R235" s="16" t="s">
        <v>685</v>
      </c>
      <c r="S235" s="13" t="s">
        <v>45</v>
      </c>
      <c r="T235" s="13" t="s">
        <v>72</v>
      </c>
      <c r="U235" s="13" t="str">
        <f t="shared" si="1"/>
        <v>High</v>
      </c>
      <c r="V235" s="13" t="str">
        <f t="shared" si="2"/>
        <v>Median or Above</v>
      </c>
      <c r="W235" s="13" t="str">
        <f t="shared" si="3"/>
        <v>25–48 Months</v>
      </c>
    </row>
    <row r="236" hidden="1">
      <c r="A236" s="13" t="s">
        <v>686</v>
      </c>
      <c r="B236" s="13" t="s">
        <v>340</v>
      </c>
      <c r="C236" s="14">
        <v>49.0</v>
      </c>
      <c r="D236" s="13" t="s">
        <v>60</v>
      </c>
      <c r="E236" s="13" t="s">
        <v>107</v>
      </c>
      <c r="F236" s="13" t="s">
        <v>62</v>
      </c>
      <c r="G236" s="13" t="s">
        <v>210</v>
      </c>
      <c r="H236" s="16">
        <v>45511.0</v>
      </c>
      <c r="I236" s="14">
        <v>8.0</v>
      </c>
      <c r="J236" s="13" t="s">
        <v>40</v>
      </c>
      <c r="K236" s="13" t="s">
        <v>81</v>
      </c>
      <c r="L236" s="14">
        <v>823.0</v>
      </c>
      <c r="M236" s="18" t="s">
        <v>46</v>
      </c>
      <c r="N236" s="20">
        <v>0.0</v>
      </c>
      <c r="O236" s="18">
        <v>15.1</v>
      </c>
      <c r="P236" s="20">
        <v>3.9</v>
      </c>
      <c r="Q236" s="16">
        <v>45762.0</v>
      </c>
      <c r="R236" s="16" t="s">
        <v>38</v>
      </c>
      <c r="S236" s="13" t="s">
        <v>55</v>
      </c>
      <c r="T236" s="13" t="s">
        <v>104</v>
      </c>
      <c r="U236" s="13" t="str">
        <f t="shared" si="1"/>
        <v>Moderate</v>
      </c>
      <c r="V236" s="13" t="str">
        <f t="shared" si="2"/>
        <v>Below Median</v>
      </c>
      <c r="W236" s="13" t="str">
        <f t="shared" si="3"/>
        <v>0–12 Months</v>
      </c>
    </row>
    <row r="237" hidden="1">
      <c r="A237" s="13" t="s">
        <v>687</v>
      </c>
      <c r="B237" s="13" t="s">
        <v>68</v>
      </c>
      <c r="C237" s="14">
        <v>68.0</v>
      </c>
      <c r="D237" s="13" t="s">
        <v>85</v>
      </c>
      <c r="E237" s="13" t="s">
        <v>92</v>
      </c>
      <c r="F237" s="13" t="s">
        <v>62</v>
      </c>
      <c r="G237" s="13" t="s">
        <v>128</v>
      </c>
      <c r="H237" s="16">
        <v>44870.0</v>
      </c>
      <c r="I237" s="14">
        <v>9.0</v>
      </c>
      <c r="J237" s="13" t="s">
        <v>40</v>
      </c>
      <c r="K237" s="13" t="s">
        <v>65</v>
      </c>
      <c r="L237" s="14">
        <v>674.0</v>
      </c>
      <c r="M237" s="18" t="s">
        <v>164</v>
      </c>
      <c r="N237" s="20">
        <v>0.0</v>
      </c>
      <c r="O237" s="18">
        <v>7.2</v>
      </c>
      <c r="P237" s="20">
        <v>2.8</v>
      </c>
      <c r="Q237" s="16">
        <v>45114.0</v>
      </c>
      <c r="R237" s="16" t="s">
        <v>688</v>
      </c>
      <c r="S237" s="13" t="s">
        <v>45</v>
      </c>
      <c r="T237" s="13" t="s">
        <v>72</v>
      </c>
      <c r="U237" s="13" t="str">
        <f t="shared" si="1"/>
        <v>Low</v>
      </c>
      <c r="V237" s="13" t="str">
        <f t="shared" si="2"/>
        <v>Below Median</v>
      </c>
      <c r="W237" s="13" t="str">
        <f t="shared" si="3"/>
        <v>0–12 Months</v>
      </c>
    </row>
    <row r="238" hidden="1">
      <c r="A238" s="13" t="s">
        <v>689</v>
      </c>
      <c r="B238" s="13" t="s">
        <v>235</v>
      </c>
      <c r="C238" s="14">
        <v>27.0</v>
      </c>
      <c r="D238" s="13" t="s">
        <v>69</v>
      </c>
      <c r="E238" s="13" t="s">
        <v>177</v>
      </c>
      <c r="F238" s="13" t="s">
        <v>37</v>
      </c>
      <c r="G238" s="13" t="s">
        <v>63</v>
      </c>
      <c r="H238" s="16">
        <v>45487.0</v>
      </c>
      <c r="I238" s="14">
        <v>18.0</v>
      </c>
      <c r="J238" s="13" t="s">
        <v>64</v>
      </c>
      <c r="K238" s="13" t="s">
        <v>65</v>
      </c>
      <c r="L238" s="14">
        <v>1171.0</v>
      </c>
      <c r="M238" s="18" t="s">
        <v>43</v>
      </c>
      <c r="N238" s="20">
        <v>0.0</v>
      </c>
      <c r="O238" s="18">
        <v>30.3</v>
      </c>
      <c r="P238" s="20">
        <v>3.1</v>
      </c>
      <c r="Q238" s="16">
        <v>45659.0</v>
      </c>
      <c r="R238" s="16" t="s">
        <v>38</v>
      </c>
      <c r="S238" s="13" t="s">
        <v>55</v>
      </c>
      <c r="T238" s="13" t="s">
        <v>75</v>
      </c>
      <c r="U238" s="13" t="str">
        <f t="shared" si="1"/>
        <v>Moderate</v>
      </c>
      <c r="V238" s="13" t="str">
        <f t="shared" si="2"/>
        <v>Median or Above</v>
      </c>
      <c r="W238" s="13" t="str">
        <f t="shared" si="3"/>
        <v>13–24 Months</v>
      </c>
    </row>
    <row r="239" hidden="1">
      <c r="A239" s="13" t="s">
        <v>671</v>
      </c>
      <c r="B239" s="13" t="s">
        <v>132</v>
      </c>
      <c r="C239" s="14">
        <v>59.0</v>
      </c>
      <c r="D239" s="13" t="s">
        <v>85</v>
      </c>
      <c r="E239" s="13" t="s">
        <v>87</v>
      </c>
      <c r="F239" s="13" t="s">
        <v>62</v>
      </c>
      <c r="G239" s="13" t="s">
        <v>63</v>
      </c>
      <c r="H239" s="16">
        <v>45655.0</v>
      </c>
      <c r="I239" s="14">
        <v>13.0</v>
      </c>
      <c r="J239" s="13" t="s">
        <v>64</v>
      </c>
      <c r="K239" s="13" t="s">
        <v>41</v>
      </c>
      <c r="L239" s="14">
        <v>506.0</v>
      </c>
      <c r="M239" s="18" t="s">
        <v>98</v>
      </c>
      <c r="N239" s="20">
        <v>0.0</v>
      </c>
      <c r="O239" s="18">
        <v>22.9</v>
      </c>
      <c r="P239" s="20">
        <v>4.9</v>
      </c>
      <c r="Q239" s="16">
        <v>45936.0</v>
      </c>
      <c r="R239" s="16">
        <v>45782.0</v>
      </c>
      <c r="S239" s="13" t="s">
        <v>45</v>
      </c>
      <c r="T239" s="13" t="s">
        <v>47</v>
      </c>
      <c r="U239" s="13" t="str">
        <f t="shared" si="1"/>
        <v>Moderate</v>
      </c>
      <c r="V239" s="13" t="str">
        <f t="shared" si="2"/>
        <v>Below Median</v>
      </c>
      <c r="W239" s="13" t="str">
        <f t="shared" si="3"/>
        <v>13–24 Months</v>
      </c>
    </row>
    <row r="240" hidden="1">
      <c r="A240" s="13" t="s">
        <v>691</v>
      </c>
      <c r="B240" s="13" t="s">
        <v>257</v>
      </c>
      <c r="C240" s="14">
        <v>46.0</v>
      </c>
      <c r="D240" s="13" t="s">
        <v>60</v>
      </c>
      <c r="E240" s="13" t="s">
        <v>107</v>
      </c>
      <c r="F240" s="13" t="s">
        <v>62</v>
      </c>
      <c r="G240" s="13" t="s">
        <v>120</v>
      </c>
      <c r="H240" s="16">
        <v>45592.0</v>
      </c>
      <c r="I240" s="14">
        <v>38.0</v>
      </c>
      <c r="J240" s="13" t="s">
        <v>64</v>
      </c>
      <c r="K240" s="13" t="s">
        <v>41</v>
      </c>
      <c r="L240" s="14">
        <v>532.0</v>
      </c>
      <c r="M240" s="18" t="s">
        <v>43</v>
      </c>
      <c r="N240" s="20">
        <v>2.0</v>
      </c>
      <c r="O240" s="18">
        <v>28.6</v>
      </c>
      <c r="P240" s="20">
        <v>4.2</v>
      </c>
      <c r="Q240" s="16">
        <v>46197.0</v>
      </c>
      <c r="R240" s="16" t="s">
        <v>38</v>
      </c>
      <c r="S240" s="13" t="s">
        <v>55</v>
      </c>
      <c r="T240" s="13" t="s">
        <v>72</v>
      </c>
      <c r="U240" s="13" t="str">
        <f t="shared" si="1"/>
        <v>Moderate</v>
      </c>
      <c r="V240" s="13" t="str">
        <f t="shared" si="2"/>
        <v>Median or Above</v>
      </c>
      <c r="W240" s="13" t="str">
        <f t="shared" si="3"/>
        <v>25–48 Months</v>
      </c>
    </row>
    <row r="241" hidden="1">
      <c r="A241" s="13" t="s">
        <v>692</v>
      </c>
      <c r="B241" s="13" t="s">
        <v>605</v>
      </c>
      <c r="C241" s="14">
        <v>26.0</v>
      </c>
      <c r="D241" s="13" t="s">
        <v>60</v>
      </c>
      <c r="E241" s="13" t="s">
        <v>97</v>
      </c>
      <c r="F241" s="13" t="s">
        <v>62</v>
      </c>
      <c r="G241" s="13" t="s">
        <v>128</v>
      </c>
      <c r="H241" s="16">
        <v>45388.0</v>
      </c>
      <c r="I241" s="14">
        <v>2.0</v>
      </c>
      <c r="J241" s="13" t="s">
        <v>53</v>
      </c>
      <c r="K241" s="13" t="s">
        <v>81</v>
      </c>
      <c r="L241" s="14">
        <v>871.0</v>
      </c>
      <c r="M241" s="18" t="s">
        <v>99</v>
      </c>
      <c r="N241" s="20">
        <v>0.0</v>
      </c>
      <c r="O241" s="18">
        <v>18.5</v>
      </c>
      <c r="P241" s="20">
        <v>3.9</v>
      </c>
      <c r="Q241" s="16">
        <v>45400.0</v>
      </c>
      <c r="R241" s="16" t="s">
        <v>38</v>
      </c>
      <c r="S241" s="13" t="s">
        <v>55</v>
      </c>
      <c r="T241" s="13" t="s">
        <v>104</v>
      </c>
      <c r="U241" s="13" t="str">
        <f t="shared" si="1"/>
        <v>Moderate</v>
      </c>
      <c r="V241" s="13" t="str">
        <f t="shared" si="2"/>
        <v>Below Median</v>
      </c>
      <c r="W241" s="13" t="str">
        <f t="shared" si="3"/>
        <v>0–12 Months</v>
      </c>
    </row>
    <row r="242" hidden="1">
      <c r="A242" s="13" t="s">
        <v>693</v>
      </c>
      <c r="B242" s="13" t="s">
        <v>118</v>
      </c>
      <c r="C242" s="14">
        <v>43.0</v>
      </c>
      <c r="D242" s="13" t="s">
        <v>60</v>
      </c>
      <c r="E242" s="13" t="s">
        <v>61</v>
      </c>
      <c r="F242" s="13" t="s">
        <v>37</v>
      </c>
      <c r="G242" s="13" t="s">
        <v>63</v>
      </c>
      <c r="H242" s="16">
        <v>45917.0</v>
      </c>
      <c r="I242" s="14">
        <v>7.0</v>
      </c>
      <c r="J242" s="13" t="s">
        <v>40</v>
      </c>
      <c r="K242" s="13" t="s">
        <v>81</v>
      </c>
      <c r="L242" s="14">
        <v>1048.0</v>
      </c>
      <c r="M242" s="18" t="s">
        <v>164</v>
      </c>
      <c r="N242" s="20">
        <v>0.0</v>
      </c>
      <c r="O242" s="18">
        <v>19.6</v>
      </c>
      <c r="P242" s="20">
        <v>1.9</v>
      </c>
      <c r="Q242" s="16">
        <v>45956.0</v>
      </c>
      <c r="R242" s="16" t="s">
        <v>38</v>
      </c>
      <c r="S242" s="13" t="s">
        <v>55</v>
      </c>
      <c r="T242" s="13" t="s">
        <v>72</v>
      </c>
      <c r="U242" s="13" t="str">
        <f t="shared" si="1"/>
        <v>Low</v>
      </c>
      <c r="V242" s="13" t="str">
        <f t="shared" si="2"/>
        <v>Below Median</v>
      </c>
      <c r="W242" s="13" t="str">
        <f t="shared" si="3"/>
        <v>0–12 Months</v>
      </c>
    </row>
    <row r="243" hidden="1">
      <c r="A243" s="13" t="s">
        <v>695</v>
      </c>
      <c r="B243" s="13" t="s">
        <v>605</v>
      </c>
      <c r="C243" s="14">
        <v>45.0</v>
      </c>
      <c r="D243" s="13" t="s">
        <v>69</v>
      </c>
      <c r="E243" s="13" t="s">
        <v>187</v>
      </c>
      <c r="F243" s="13" t="s">
        <v>37</v>
      </c>
      <c r="G243" s="13" t="s">
        <v>52</v>
      </c>
      <c r="H243" s="16">
        <v>44581.0</v>
      </c>
      <c r="I243" s="14">
        <v>20.0</v>
      </c>
      <c r="J243" s="13" t="s">
        <v>40</v>
      </c>
      <c r="K243" s="13" t="s">
        <v>81</v>
      </c>
      <c r="L243" s="14">
        <v>1677.0</v>
      </c>
      <c r="M243" s="18" t="s">
        <v>164</v>
      </c>
      <c r="N243" s="20">
        <v>2.0</v>
      </c>
      <c r="O243" s="18">
        <v>29.7</v>
      </c>
      <c r="P243" s="20">
        <v>3.6</v>
      </c>
      <c r="Q243" s="16">
        <v>44867.0</v>
      </c>
      <c r="R243" s="16" t="s">
        <v>38</v>
      </c>
      <c r="S243" s="13" t="s">
        <v>55</v>
      </c>
      <c r="T243" s="13" t="s">
        <v>66</v>
      </c>
      <c r="U243" s="13" t="str">
        <f t="shared" si="1"/>
        <v>Moderate</v>
      </c>
      <c r="V243" s="13" t="str">
        <f t="shared" si="2"/>
        <v>Median or Above</v>
      </c>
      <c r="W243" s="13" t="str">
        <f t="shared" si="3"/>
        <v>13–24 Months</v>
      </c>
    </row>
    <row r="244" hidden="1">
      <c r="A244" s="13" t="s">
        <v>696</v>
      </c>
      <c r="B244" s="13" t="s">
        <v>633</v>
      </c>
      <c r="C244" s="14">
        <v>37.0</v>
      </c>
      <c r="D244" s="13" t="s">
        <v>60</v>
      </c>
      <c r="E244" s="13" t="s">
        <v>61</v>
      </c>
      <c r="F244" s="13" t="s">
        <v>62</v>
      </c>
      <c r="G244" s="13" t="s">
        <v>120</v>
      </c>
      <c r="H244" s="16">
        <v>44968.0</v>
      </c>
      <c r="I244" s="14">
        <v>39.0</v>
      </c>
      <c r="J244" s="13" t="s">
        <v>40</v>
      </c>
      <c r="K244" s="13" t="s">
        <v>41</v>
      </c>
      <c r="L244" s="14">
        <v>1534.0</v>
      </c>
      <c r="M244" s="18" t="s">
        <v>99</v>
      </c>
      <c r="N244" s="20">
        <v>3.0</v>
      </c>
      <c r="O244" s="18">
        <v>26.0</v>
      </c>
      <c r="P244" s="20">
        <v>5.0</v>
      </c>
      <c r="Q244" s="16">
        <v>45391.0</v>
      </c>
      <c r="R244" s="16" t="s">
        <v>38</v>
      </c>
      <c r="S244" s="13" t="s">
        <v>55</v>
      </c>
      <c r="T244" s="13" t="s">
        <v>66</v>
      </c>
      <c r="U244" s="13" t="str">
        <f t="shared" si="1"/>
        <v>High</v>
      </c>
      <c r="V244" s="13" t="str">
        <f t="shared" si="2"/>
        <v>Median or Above</v>
      </c>
      <c r="W244" s="13" t="str">
        <f t="shared" si="3"/>
        <v>25–48 Months</v>
      </c>
    </row>
    <row r="245" hidden="1">
      <c r="A245" s="13" t="s">
        <v>697</v>
      </c>
      <c r="B245" s="13" t="s">
        <v>288</v>
      </c>
      <c r="C245" s="14">
        <v>68.0</v>
      </c>
      <c r="D245" s="13" t="s">
        <v>69</v>
      </c>
      <c r="E245" s="13" t="s">
        <v>119</v>
      </c>
      <c r="F245" s="13" t="s">
        <v>62</v>
      </c>
      <c r="G245" s="13" t="s">
        <v>63</v>
      </c>
      <c r="H245" s="16">
        <v>44588.0</v>
      </c>
      <c r="I245" s="14">
        <v>43.0</v>
      </c>
      <c r="J245" s="13" t="s">
        <v>64</v>
      </c>
      <c r="K245" s="13" t="s">
        <v>41</v>
      </c>
      <c r="L245" s="14">
        <v>555.0</v>
      </c>
      <c r="M245" s="18" t="s">
        <v>43</v>
      </c>
      <c r="N245" s="20">
        <v>2.0</v>
      </c>
      <c r="O245" s="18">
        <v>17.2</v>
      </c>
      <c r="P245" s="20">
        <v>3.6</v>
      </c>
      <c r="Q245" s="16">
        <v>45609.0</v>
      </c>
      <c r="R245" s="16" t="s">
        <v>38</v>
      </c>
      <c r="S245" s="13" t="s">
        <v>55</v>
      </c>
      <c r="T245" s="13" t="s">
        <v>104</v>
      </c>
      <c r="U245" s="13" t="str">
        <f t="shared" si="1"/>
        <v>Moderate</v>
      </c>
      <c r="V245" s="13" t="str">
        <f t="shared" si="2"/>
        <v>Below Median</v>
      </c>
      <c r="W245" s="13" t="str">
        <f t="shared" si="3"/>
        <v>25–48 Months</v>
      </c>
    </row>
    <row r="246">
      <c r="A246" s="13" t="s">
        <v>699</v>
      </c>
      <c r="B246" s="13" t="s">
        <v>281</v>
      </c>
      <c r="C246" s="14">
        <v>46.0</v>
      </c>
      <c r="D246" s="13" t="s">
        <v>69</v>
      </c>
      <c r="E246" s="13" t="s">
        <v>119</v>
      </c>
      <c r="F246" s="13" t="s">
        <v>79</v>
      </c>
      <c r="G246" s="13" t="s">
        <v>210</v>
      </c>
      <c r="H246" s="16">
        <v>45102.0</v>
      </c>
      <c r="I246" s="14">
        <v>30.0</v>
      </c>
      <c r="J246" s="13" t="s">
        <v>64</v>
      </c>
      <c r="K246" s="13" t="s">
        <v>41</v>
      </c>
      <c r="L246" s="14">
        <v>3744.0</v>
      </c>
      <c r="M246" s="18" t="s">
        <v>43</v>
      </c>
      <c r="N246" s="20">
        <v>3.0</v>
      </c>
      <c r="O246" s="18">
        <v>56.4</v>
      </c>
      <c r="P246" s="20">
        <v>4.7</v>
      </c>
      <c r="Q246" s="16">
        <v>45409.0</v>
      </c>
      <c r="R246" s="16" t="s">
        <v>38</v>
      </c>
      <c r="S246" s="13" t="s">
        <v>529</v>
      </c>
      <c r="T246" s="13" t="s">
        <v>104</v>
      </c>
      <c r="U246" s="13" t="str">
        <f t="shared" si="1"/>
        <v>Moderate</v>
      </c>
      <c r="V246" s="13" t="str">
        <f t="shared" si="2"/>
        <v>Median or Above</v>
      </c>
      <c r="W246" s="13" t="str">
        <f t="shared" si="3"/>
        <v>25–48 Months</v>
      </c>
    </row>
    <row r="247" hidden="1">
      <c r="A247" s="13" t="s">
        <v>700</v>
      </c>
      <c r="B247" s="13" t="s">
        <v>281</v>
      </c>
      <c r="C247" s="14">
        <v>30.0</v>
      </c>
      <c r="D247" s="13" t="s">
        <v>35</v>
      </c>
      <c r="E247" s="13" t="s">
        <v>36</v>
      </c>
      <c r="F247" s="13" t="s">
        <v>79</v>
      </c>
      <c r="G247" s="13" t="s">
        <v>52</v>
      </c>
      <c r="H247" s="16">
        <v>45887.0</v>
      </c>
      <c r="I247" s="14">
        <v>11.0</v>
      </c>
      <c r="J247" s="13" t="s">
        <v>40</v>
      </c>
      <c r="K247" s="13" t="s">
        <v>65</v>
      </c>
      <c r="L247" s="14">
        <v>2548.0</v>
      </c>
      <c r="M247" s="18" t="s">
        <v>46</v>
      </c>
      <c r="N247" s="20">
        <v>0.0</v>
      </c>
      <c r="O247" s="18">
        <v>36.9</v>
      </c>
      <c r="P247" s="20">
        <v>2.6</v>
      </c>
      <c r="Q247" s="16">
        <v>45944.0</v>
      </c>
      <c r="R247" s="16" t="s">
        <v>38</v>
      </c>
      <c r="S247" s="13" t="s">
        <v>55</v>
      </c>
      <c r="T247" s="13" t="s">
        <v>75</v>
      </c>
      <c r="U247" s="13" t="str">
        <f t="shared" si="1"/>
        <v>Low</v>
      </c>
      <c r="V247" s="13" t="str">
        <f t="shared" si="2"/>
        <v>Median or Above</v>
      </c>
      <c r="W247" s="13" t="str">
        <f t="shared" si="3"/>
        <v>0–12 Months</v>
      </c>
    </row>
    <row r="248" hidden="1">
      <c r="A248" s="13" t="s">
        <v>702</v>
      </c>
      <c r="B248" s="13" t="s">
        <v>59</v>
      </c>
      <c r="C248" s="14">
        <v>56.0</v>
      </c>
      <c r="D248" s="13" t="s">
        <v>60</v>
      </c>
      <c r="E248" s="13" t="s">
        <v>38</v>
      </c>
      <c r="F248" s="13" t="s">
        <v>37</v>
      </c>
      <c r="G248" s="13" t="s">
        <v>120</v>
      </c>
      <c r="H248" s="16">
        <v>45425.0</v>
      </c>
      <c r="I248" s="14">
        <v>42.0</v>
      </c>
      <c r="J248" s="13" t="s">
        <v>53</v>
      </c>
      <c r="K248" s="13" t="s">
        <v>81</v>
      </c>
      <c r="L248" s="14">
        <v>1114.0</v>
      </c>
      <c r="M248" s="18" t="s">
        <v>43</v>
      </c>
      <c r="N248" s="20">
        <v>2.0</v>
      </c>
      <c r="O248" s="18">
        <v>26.3</v>
      </c>
      <c r="P248" s="20">
        <v>2.9</v>
      </c>
      <c r="Q248" s="16">
        <v>45555.0</v>
      </c>
      <c r="R248" s="16">
        <v>45752.0</v>
      </c>
      <c r="S248" s="13" t="s">
        <v>45</v>
      </c>
      <c r="T248" s="13" t="s">
        <v>75</v>
      </c>
      <c r="U248" s="13" t="str">
        <f t="shared" si="1"/>
        <v>Low</v>
      </c>
      <c r="V248" s="13" t="str">
        <f t="shared" si="2"/>
        <v>Median or Above</v>
      </c>
      <c r="W248" s="13" t="str">
        <f t="shared" si="3"/>
        <v>25–48 Months</v>
      </c>
    </row>
    <row r="249" hidden="1">
      <c r="A249" s="13" t="s">
        <v>704</v>
      </c>
      <c r="B249" s="13" t="s">
        <v>118</v>
      </c>
      <c r="C249" s="14">
        <v>21.0</v>
      </c>
      <c r="D249" s="13" t="s">
        <v>85</v>
      </c>
      <c r="E249" s="13" t="s">
        <v>92</v>
      </c>
      <c r="F249" s="13" t="s">
        <v>37</v>
      </c>
      <c r="G249" s="13" t="s">
        <v>128</v>
      </c>
      <c r="H249" s="16">
        <v>45963.0</v>
      </c>
      <c r="I249" s="14">
        <v>47.0</v>
      </c>
      <c r="J249" s="13" t="s">
        <v>40</v>
      </c>
      <c r="K249" s="13" t="s">
        <v>65</v>
      </c>
      <c r="L249" s="14">
        <v>1493.0</v>
      </c>
      <c r="M249" s="18" t="s">
        <v>98</v>
      </c>
      <c r="N249" s="20">
        <v>1.0</v>
      </c>
      <c r="O249" s="18">
        <v>37.6</v>
      </c>
      <c r="P249" s="20">
        <v>3.2</v>
      </c>
      <c r="Q249" s="16">
        <v>46972.0</v>
      </c>
      <c r="R249" s="16" t="s">
        <v>705</v>
      </c>
      <c r="S249" s="13" t="s">
        <v>45</v>
      </c>
      <c r="T249" s="13" t="s">
        <v>72</v>
      </c>
      <c r="U249" s="13" t="str">
        <f t="shared" si="1"/>
        <v>Moderate</v>
      </c>
      <c r="V249" s="13" t="str">
        <f t="shared" si="2"/>
        <v>Median or Above</v>
      </c>
      <c r="W249" s="13" t="str">
        <f t="shared" si="3"/>
        <v>25–48 Months</v>
      </c>
    </row>
    <row r="250" hidden="1">
      <c r="A250" s="13" t="s">
        <v>706</v>
      </c>
      <c r="B250" s="13" t="s">
        <v>633</v>
      </c>
      <c r="C250" s="14">
        <v>28.0</v>
      </c>
      <c r="D250" s="13" t="s">
        <v>69</v>
      </c>
      <c r="E250" s="13" t="s">
        <v>177</v>
      </c>
      <c r="F250" s="13" t="s">
        <v>37</v>
      </c>
      <c r="G250" s="13" t="s">
        <v>52</v>
      </c>
      <c r="H250" s="16">
        <v>45996.0</v>
      </c>
      <c r="I250" s="14">
        <v>40.0</v>
      </c>
      <c r="J250" s="13" t="s">
        <v>64</v>
      </c>
      <c r="K250" s="13" t="s">
        <v>81</v>
      </c>
      <c r="L250" s="14">
        <v>1743.0</v>
      </c>
      <c r="M250" s="18" t="s">
        <v>43</v>
      </c>
      <c r="N250" s="20">
        <v>0.0</v>
      </c>
      <c r="O250" s="18">
        <v>21.7</v>
      </c>
      <c r="P250" s="20">
        <v>4.3</v>
      </c>
      <c r="Q250" s="16">
        <v>46992.0</v>
      </c>
      <c r="R250" s="16" t="s">
        <v>38</v>
      </c>
      <c r="S250" s="13" t="s">
        <v>55</v>
      </c>
      <c r="T250" s="13" t="s">
        <v>104</v>
      </c>
      <c r="U250" s="13" t="str">
        <f t="shared" si="1"/>
        <v>Moderate</v>
      </c>
      <c r="V250" s="13" t="str">
        <f t="shared" si="2"/>
        <v>Below Median</v>
      </c>
      <c r="W250" s="13" t="str">
        <f t="shared" si="3"/>
        <v>25–48 Months</v>
      </c>
    </row>
    <row r="251" hidden="1">
      <c r="A251" s="13" t="s">
        <v>707</v>
      </c>
      <c r="B251" s="13" t="s">
        <v>395</v>
      </c>
      <c r="C251" s="14">
        <v>54.0</v>
      </c>
      <c r="D251" s="13" t="s">
        <v>69</v>
      </c>
      <c r="E251" s="13" t="s">
        <v>119</v>
      </c>
      <c r="F251" s="13" t="s">
        <v>79</v>
      </c>
      <c r="G251" s="13" t="s">
        <v>128</v>
      </c>
      <c r="H251" s="16">
        <v>44900.0</v>
      </c>
      <c r="I251" s="14">
        <v>5.0</v>
      </c>
      <c r="J251" s="13" t="s">
        <v>64</v>
      </c>
      <c r="K251" s="13" t="s">
        <v>65</v>
      </c>
      <c r="L251" s="14">
        <v>2676.0</v>
      </c>
      <c r="M251" s="18" t="s">
        <v>164</v>
      </c>
      <c r="N251" s="20">
        <v>2.0</v>
      </c>
      <c r="O251" s="18">
        <v>43.8</v>
      </c>
      <c r="P251" s="20">
        <v>3.4</v>
      </c>
      <c r="Q251" s="16">
        <v>44981.0</v>
      </c>
      <c r="R251" s="16" t="s">
        <v>708</v>
      </c>
      <c r="S251" s="13" t="s">
        <v>45</v>
      </c>
      <c r="T251" s="13" t="s">
        <v>75</v>
      </c>
      <c r="U251" s="13" t="str">
        <f t="shared" si="1"/>
        <v>Moderate</v>
      </c>
      <c r="V251" s="13" t="str">
        <f t="shared" si="2"/>
        <v>Median or Above</v>
      </c>
      <c r="W251" s="13" t="str">
        <f t="shared" si="3"/>
        <v>0–12 Months</v>
      </c>
    </row>
    <row r="252" hidden="1">
      <c r="A252" s="13" t="s">
        <v>860</v>
      </c>
      <c r="B252" s="13" t="s">
        <v>651</v>
      </c>
      <c r="C252" s="14">
        <v>44.0</v>
      </c>
      <c r="D252" s="13" t="s">
        <v>35</v>
      </c>
      <c r="E252" s="13" t="s">
        <v>140</v>
      </c>
      <c r="F252" s="13" t="s">
        <v>62</v>
      </c>
      <c r="G252" s="13" t="s">
        <v>80</v>
      </c>
      <c r="H252" s="16">
        <v>45479.0</v>
      </c>
      <c r="I252" s="14">
        <v>6.0</v>
      </c>
      <c r="J252" s="13" t="s">
        <v>53</v>
      </c>
      <c r="K252" s="13" t="s">
        <v>41</v>
      </c>
      <c r="L252" s="14">
        <v>727.0</v>
      </c>
      <c r="M252" s="18" t="s">
        <v>46</v>
      </c>
      <c r="N252" s="20">
        <v>1.0</v>
      </c>
      <c r="O252" s="18">
        <v>31.4</v>
      </c>
      <c r="P252" s="20">
        <v>3.0</v>
      </c>
      <c r="Q252" s="16">
        <v>45616.0</v>
      </c>
      <c r="R252" s="16" t="s">
        <v>366</v>
      </c>
      <c r="S252" s="13" t="s">
        <v>45</v>
      </c>
      <c r="T252" s="13" t="s">
        <v>66</v>
      </c>
      <c r="U252" s="13" t="str">
        <f t="shared" si="1"/>
        <v>Moderate</v>
      </c>
      <c r="V252" s="13" t="str">
        <f t="shared" si="2"/>
        <v>Median or Above</v>
      </c>
      <c r="W252" s="13" t="str">
        <f t="shared" si="3"/>
        <v>0–12 Months</v>
      </c>
    </row>
    <row r="253" hidden="1">
      <c r="A253" s="13" t="s">
        <v>710</v>
      </c>
      <c r="B253" s="13" t="s">
        <v>74</v>
      </c>
      <c r="C253" s="14">
        <v>33.0</v>
      </c>
      <c r="D253" s="13" t="s">
        <v>35</v>
      </c>
      <c r="E253" s="13" t="s">
        <v>36</v>
      </c>
      <c r="F253" s="13" t="s">
        <v>37</v>
      </c>
      <c r="G253" s="13" t="s">
        <v>80</v>
      </c>
      <c r="H253" s="16">
        <v>45867.0</v>
      </c>
      <c r="I253" s="14">
        <v>20.0</v>
      </c>
      <c r="J253" s="13" t="s">
        <v>53</v>
      </c>
      <c r="K253" s="13" t="s">
        <v>65</v>
      </c>
      <c r="L253" s="14">
        <v>1210.0</v>
      </c>
      <c r="M253" s="18" t="s">
        <v>98</v>
      </c>
      <c r="N253" s="20">
        <v>1.0</v>
      </c>
      <c r="O253" s="18">
        <v>23.6</v>
      </c>
      <c r="P253" s="20">
        <v>5.0</v>
      </c>
      <c r="Q253" s="16">
        <v>46344.0</v>
      </c>
      <c r="R253" s="16">
        <v>46364.0</v>
      </c>
      <c r="S253" s="13" t="s">
        <v>45</v>
      </c>
      <c r="T253" s="13" t="s">
        <v>66</v>
      </c>
      <c r="U253" s="13" t="str">
        <f t="shared" si="1"/>
        <v>High</v>
      </c>
      <c r="V253" s="13" t="str">
        <f t="shared" si="2"/>
        <v>Below Median</v>
      </c>
      <c r="W253" s="13" t="str">
        <f t="shared" si="3"/>
        <v>13–24 Months</v>
      </c>
    </row>
    <row r="254" hidden="1">
      <c r="A254" s="13" t="s">
        <v>590</v>
      </c>
      <c r="B254" s="13" t="s">
        <v>184</v>
      </c>
      <c r="C254" s="14">
        <v>63.0</v>
      </c>
      <c r="D254" s="13" t="s">
        <v>85</v>
      </c>
      <c r="E254" s="13" t="s">
        <v>92</v>
      </c>
      <c r="F254" s="13" t="s">
        <v>37</v>
      </c>
      <c r="G254" s="13" t="s">
        <v>63</v>
      </c>
      <c r="H254" s="16">
        <v>44761.0</v>
      </c>
      <c r="I254" s="14">
        <v>43.0</v>
      </c>
      <c r="J254" s="13" t="s">
        <v>40</v>
      </c>
      <c r="K254" s="13" t="s">
        <v>41</v>
      </c>
      <c r="L254" s="14">
        <v>1362.0</v>
      </c>
      <c r="M254" s="18" t="s">
        <v>38</v>
      </c>
      <c r="N254" s="20">
        <v>1.0</v>
      </c>
      <c r="O254" s="18">
        <v>44.5</v>
      </c>
      <c r="P254" s="20">
        <v>4.8</v>
      </c>
      <c r="Q254" s="16">
        <v>46068.0</v>
      </c>
      <c r="R254" s="16" t="s">
        <v>38</v>
      </c>
      <c r="S254" s="13" t="s">
        <v>55</v>
      </c>
      <c r="T254" s="13" t="s">
        <v>47</v>
      </c>
      <c r="U254" s="13" t="str">
        <f t="shared" si="1"/>
        <v>Moderate</v>
      </c>
      <c r="V254" s="13" t="str">
        <f t="shared" si="2"/>
        <v>Median or Above</v>
      </c>
      <c r="W254" s="13" t="str">
        <f t="shared" si="3"/>
        <v>25–48 Months</v>
      </c>
    </row>
    <row r="255" hidden="1">
      <c r="A255" s="13" t="s">
        <v>523</v>
      </c>
      <c r="B255" s="13" t="s">
        <v>636</v>
      </c>
      <c r="C255" s="14">
        <v>25.0</v>
      </c>
      <c r="D255" s="13" t="s">
        <v>69</v>
      </c>
      <c r="E255" s="13" t="s">
        <v>119</v>
      </c>
      <c r="F255" s="13" t="s">
        <v>62</v>
      </c>
      <c r="G255" s="13" t="s">
        <v>80</v>
      </c>
      <c r="H255" s="16">
        <v>44963.0</v>
      </c>
      <c r="I255" s="14">
        <v>13.0</v>
      </c>
      <c r="J255" s="13" t="s">
        <v>53</v>
      </c>
      <c r="K255" s="13" t="s">
        <v>41</v>
      </c>
      <c r="L255" s="14">
        <v>700.0</v>
      </c>
      <c r="M255" s="18" t="s">
        <v>99</v>
      </c>
      <c r="N255" s="20">
        <v>0.0</v>
      </c>
      <c r="O255" s="18">
        <v>16.6</v>
      </c>
      <c r="P255" s="20">
        <v>3.3</v>
      </c>
      <c r="Q255" s="16">
        <v>45373.0</v>
      </c>
      <c r="R255" s="16" t="s">
        <v>38</v>
      </c>
      <c r="S255" s="13" t="s">
        <v>55</v>
      </c>
      <c r="T255" s="13" t="s">
        <v>66</v>
      </c>
      <c r="U255" s="13" t="str">
        <f t="shared" si="1"/>
        <v>Moderate</v>
      </c>
      <c r="V255" s="13" t="str">
        <f t="shared" si="2"/>
        <v>Below Median</v>
      </c>
      <c r="W255" s="13" t="str">
        <f t="shared" si="3"/>
        <v>13–24 Months</v>
      </c>
    </row>
    <row r="256" hidden="1">
      <c r="A256" s="13" t="s">
        <v>713</v>
      </c>
      <c r="B256" s="13" t="s">
        <v>118</v>
      </c>
      <c r="C256" s="14">
        <v>51.0</v>
      </c>
      <c r="D256" s="13" t="s">
        <v>85</v>
      </c>
      <c r="E256" s="13" t="s">
        <v>87</v>
      </c>
      <c r="F256" s="13" t="s">
        <v>37</v>
      </c>
      <c r="G256" s="13" t="s">
        <v>80</v>
      </c>
      <c r="H256" s="16">
        <v>44837.0</v>
      </c>
      <c r="I256" s="14">
        <v>32.0</v>
      </c>
      <c r="J256" s="13" t="s">
        <v>40</v>
      </c>
      <c r="K256" s="13" t="s">
        <v>81</v>
      </c>
      <c r="L256" s="14">
        <v>1048.0</v>
      </c>
      <c r="M256" s="18" t="s">
        <v>46</v>
      </c>
      <c r="N256" s="20">
        <v>0.0</v>
      </c>
      <c r="O256" s="18">
        <v>22.3</v>
      </c>
      <c r="P256" s="20">
        <v>2.0</v>
      </c>
      <c r="Q256" s="16">
        <v>45804.0</v>
      </c>
      <c r="R256" s="16" t="s">
        <v>38</v>
      </c>
      <c r="S256" s="13" t="s">
        <v>55</v>
      </c>
      <c r="T256" s="13" t="s">
        <v>66</v>
      </c>
      <c r="U256" s="13" t="str">
        <f t="shared" si="1"/>
        <v>Low</v>
      </c>
      <c r="V256" s="13" t="str">
        <f t="shared" si="2"/>
        <v>Below Median</v>
      </c>
      <c r="W256" s="13" t="str">
        <f t="shared" si="3"/>
        <v>25–48 Months</v>
      </c>
    </row>
    <row r="257" hidden="1">
      <c r="A257" s="13" t="s">
        <v>714</v>
      </c>
      <c r="B257" s="13" t="s">
        <v>139</v>
      </c>
      <c r="C257" s="14">
        <v>40.0</v>
      </c>
      <c r="D257" s="13" t="s">
        <v>69</v>
      </c>
      <c r="E257" s="13" t="s">
        <v>70</v>
      </c>
      <c r="F257" s="13" t="s">
        <v>62</v>
      </c>
      <c r="G257" s="13" t="s">
        <v>80</v>
      </c>
      <c r="H257" s="16">
        <v>45803.0</v>
      </c>
      <c r="I257" s="14">
        <v>21.0</v>
      </c>
      <c r="J257" s="13" t="s">
        <v>53</v>
      </c>
      <c r="K257" s="13" t="s">
        <v>41</v>
      </c>
      <c r="L257" s="14">
        <v>695.0</v>
      </c>
      <c r="M257" s="18" t="s">
        <v>173</v>
      </c>
      <c r="N257" s="20">
        <v>0.0</v>
      </c>
      <c r="O257" s="18">
        <v>30.1</v>
      </c>
      <c r="P257" s="20">
        <v>4.3</v>
      </c>
      <c r="Q257" s="16">
        <v>46067.0</v>
      </c>
      <c r="R257" s="16" t="s">
        <v>38</v>
      </c>
      <c r="S257" s="13" t="s">
        <v>55</v>
      </c>
      <c r="T257" s="13" t="s">
        <v>47</v>
      </c>
      <c r="U257" s="13" t="str">
        <f t="shared" si="1"/>
        <v>Moderate</v>
      </c>
      <c r="V257" s="13" t="str">
        <f t="shared" si="2"/>
        <v>Median or Above</v>
      </c>
      <c r="W257" s="13" t="str">
        <f t="shared" si="3"/>
        <v>13–24 Months</v>
      </c>
    </row>
    <row r="258" hidden="1">
      <c r="A258" s="13" t="s">
        <v>871</v>
      </c>
      <c r="B258" s="13" t="s">
        <v>232</v>
      </c>
      <c r="C258" s="14">
        <v>62.0</v>
      </c>
      <c r="D258" s="13" t="s">
        <v>85</v>
      </c>
      <c r="E258" s="13" t="s">
        <v>92</v>
      </c>
      <c r="F258" s="13" t="s">
        <v>62</v>
      </c>
      <c r="G258" s="13" t="s">
        <v>80</v>
      </c>
      <c r="H258" s="16">
        <v>45204.0</v>
      </c>
      <c r="I258" s="14">
        <v>46.0</v>
      </c>
      <c r="J258" s="13" t="s">
        <v>53</v>
      </c>
      <c r="K258" s="13" t="s">
        <v>81</v>
      </c>
      <c r="L258" s="14">
        <v>1646.0</v>
      </c>
      <c r="M258" s="18" t="s">
        <v>43</v>
      </c>
      <c r="N258" s="20">
        <v>0.0</v>
      </c>
      <c r="O258" s="18">
        <v>37.2</v>
      </c>
      <c r="P258" s="20">
        <v>3.4</v>
      </c>
      <c r="Q258" s="16">
        <v>45625.0</v>
      </c>
      <c r="R258" s="16">
        <v>45809.0</v>
      </c>
      <c r="S258" s="13" t="s">
        <v>45</v>
      </c>
      <c r="T258" s="13" t="s">
        <v>47</v>
      </c>
      <c r="U258" s="13" t="str">
        <f t="shared" si="1"/>
        <v>Moderate</v>
      </c>
      <c r="V258" s="13" t="str">
        <f t="shared" si="2"/>
        <v>Median or Above</v>
      </c>
      <c r="W258" s="13" t="str">
        <f t="shared" si="3"/>
        <v>25–48 Months</v>
      </c>
    </row>
    <row r="259" hidden="1">
      <c r="A259" s="13" t="s">
        <v>718</v>
      </c>
      <c r="B259" s="13" t="s">
        <v>176</v>
      </c>
      <c r="C259" s="14">
        <v>46.0</v>
      </c>
      <c r="D259" s="13" t="s">
        <v>69</v>
      </c>
      <c r="E259" s="13" t="s">
        <v>177</v>
      </c>
      <c r="F259" s="13" t="s">
        <v>37</v>
      </c>
      <c r="G259" s="13" t="s">
        <v>128</v>
      </c>
      <c r="H259" s="16">
        <v>45283.0</v>
      </c>
      <c r="I259" s="14">
        <v>36.0</v>
      </c>
      <c r="J259" s="13" t="s">
        <v>40</v>
      </c>
      <c r="K259" s="13" t="s">
        <v>81</v>
      </c>
      <c r="L259" s="14">
        <v>1682.0</v>
      </c>
      <c r="M259" s="18" t="s">
        <v>46</v>
      </c>
      <c r="N259" s="20">
        <v>0.0</v>
      </c>
      <c r="O259" s="18">
        <v>16.7</v>
      </c>
      <c r="P259" s="20">
        <v>2.6</v>
      </c>
      <c r="Q259" s="16">
        <v>46147.0</v>
      </c>
      <c r="R259" s="16" t="s">
        <v>38</v>
      </c>
      <c r="S259" s="13" t="s">
        <v>55</v>
      </c>
      <c r="T259" s="13" t="s">
        <v>104</v>
      </c>
      <c r="U259" s="13" t="str">
        <f t="shared" si="1"/>
        <v>Low</v>
      </c>
      <c r="V259" s="13" t="str">
        <f t="shared" si="2"/>
        <v>Below Median</v>
      </c>
      <c r="W259" s="13" t="str">
        <f t="shared" si="3"/>
        <v>25–48 Months</v>
      </c>
    </row>
    <row r="260" hidden="1">
      <c r="A260" s="13" t="s">
        <v>719</v>
      </c>
      <c r="B260" s="13" t="s">
        <v>331</v>
      </c>
      <c r="C260" s="14">
        <v>32.0</v>
      </c>
      <c r="D260" s="13" t="s">
        <v>85</v>
      </c>
      <c r="E260" s="13" t="s">
        <v>111</v>
      </c>
      <c r="F260" s="13" t="s">
        <v>62</v>
      </c>
      <c r="G260" s="13" t="s">
        <v>63</v>
      </c>
      <c r="H260" s="16">
        <v>44971.0</v>
      </c>
      <c r="I260" s="14">
        <v>18.0</v>
      </c>
      <c r="J260" s="13" t="s">
        <v>64</v>
      </c>
      <c r="K260" s="13" t="s">
        <v>41</v>
      </c>
      <c r="L260" s="14">
        <v>581.0</v>
      </c>
      <c r="M260" s="18" t="s">
        <v>164</v>
      </c>
      <c r="N260" s="20">
        <v>2.0</v>
      </c>
      <c r="O260" s="18">
        <v>13.8</v>
      </c>
      <c r="P260" s="20">
        <v>4.4</v>
      </c>
      <c r="Q260" s="16">
        <v>45237.0</v>
      </c>
      <c r="R260" s="16">
        <v>45268.0</v>
      </c>
      <c r="S260" s="13" t="s">
        <v>45</v>
      </c>
      <c r="T260" s="13" t="s">
        <v>72</v>
      </c>
      <c r="U260" s="13" t="str">
        <f t="shared" si="1"/>
        <v>Moderate</v>
      </c>
      <c r="V260" s="13" t="str">
        <f t="shared" si="2"/>
        <v>Below Median</v>
      </c>
      <c r="W260" s="13" t="str">
        <f t="shared" si="3"/>
        <v>13–24 Months</v>
      </c>
    </row>
    <row r="261" hidden="1">
      <c r="A261" s="13" t="s">
        <v>720</v>
      </c>
      <c r="B261" s="13" t="s">
        <v>202</v>
      </c>
      <c r="C261" s="14">
        <v>43.0</v>
      </c>
      <c r="D261" s="13" t="s">
        <v>35</v>
      </c>
      <c r="E261" s="13" t="s">
        <v>51</v>
      </c>
      <c r="F261" s="13" t="s">
        <v>37</v>
      </c>
      <c r="G261" s="13" t="s">
        <v>80</v>
      </c>
      <c r="H261" s="16">
        <v>45358.0</v>
      </c>
      <c r="I261" s="14">
        <v>16.0</v>
      </c>
      <c r="J261" s="13" t="s">
        <v>53</v>
      </c>
      <c r="K261" s="13" t="s">
        <v>81</v>
      </c>
      <c r="L261" s="14">
        <v>1293.0</v>
      </c>
      <c r="M261" s="18" t="s">
        <v>43</v>
      </c>
      <c r="N261" s="20">
        <v>0.0</v>
      </c>
      <c r="O261" s="18">
        <v>32.1</v>
      </c>
      <c r="P261" s="20">
        <v>3.2</v>
      </c>
      <c r="Q261" s="16">
        <v>45708.0</v>
      </c>
      <c r="R261" s="16" t="s">
        <v>38</v>
      </c>
      <c r="S261" s="13" t="s">
        <v>55</v>
      </c>
      <c r="T261" s="13" t="s">
        <v>72</v>
      </c>
      <c r="U261" s="13" t="str">
        <f t="shared" si="1"/>
        <v>Moderate</v>
      </c>
      <c r="V261" s="13" t="str">
        <f t="shared" si="2"/>
        <v>Median or Above</v>
      </c>
      <c r="W261" s="13" t="str">
        <f t="shared" si="3"/>
        <v>13–24 Months</v>
      </c>
    </row>
    <row r="262" hidden="1">
      <c r="A262" s="13" t="s">
        <v>721</v>
      </c>
      <c r="B262" s="13" t="s">
        <v>172</v>
      </c>
      <c r="C262" s="14">
        <v>68.0</v>
      </c>
      <c r="D262" s="13" t="s">
        <v>35</v>
      </c>
      <c r="E262" s="13" t="s">
        <v>36</v>
      </c>
      <c r="F262" s="13" t="s">
        <v>37</v>
      </c>
      <c r="G262" s="13" t="s">
        <v>39</v>
      </c>
      <c r="H262" s="16">
        <v>45832.0</v>
      </c>
      <c r="I262" s="14">
        <v>29.0</v>
      </c>
      <c r="J262" s="13" t="s">
        <v>64</v>
      </c>
      <c r="K262" s="13" t="s">
        <v>41</v>
      </c>
      <c r="L262" s="14">
        <v>1720.0</v>
      </c>
      <c r="M262" s="18" t="s">
        <v>164</v>
      </c>
      <c r="N262" s="20">
        <v>1.0</v>
      </c>
      <c r="O262" s="18">
        <v>27.8</v>
      </c>
      <c r="P262" s="20">
        <v>5.0</v>
      </c>
      <c r="Q262" s="16">
        <v>46505.0</v>
      </c>
      <c r="R262" s="16">
        <v>46120.0</v>
      </c>
      <c r="S262" s="13" t="s">
        <v>45</v>
      </c>
      <c r="T262" s="13" t="s">
        <v>72</v>
      </c>
      <c r="U262" s="13" t="str">
        <f t="shared" si="1"/>
        <v>High</v>
      </c>
      <c r="V262" s="13" t="str">
        <f t="shared" si="2"/>
        <v>Median or Above</v>
      </c>
      <c r="W262" s="13" t="str">
        <f t="shared" si="3"/>
        <v>25–48 Months</v>
      </c>
    </row>
    <row r="263" hidden="1">
      <c r="A263" s="13" t="s">
        <v>723</v>
      </c>
      <c r="B263" s="13" t="s">
        <v>106</v>
      </c>
      <c r="C263" s="14">
        <v>56.0</v>
      </c>
      <c r="D263" s="13" t="s">
        <v>69</v>
      </c>
      <c r="E263" s="13" t="s">
        <v>70</v>
      </c>
      <c r="F263" s="13" t="s">
        <v>62</v>
      </c>
      <c r="G263" s="13" t="s">
        <v>39</v>
      </c>
      <c r="H263" s="16">
        <v>45614.0</v>
      </c>
      <c r="I263" s="14">
        <v>8.0</v>
      </c>
      <c r="J263" s="13" t="s">
        <v>53</v>
      </c>
      <c r="K263" s="13" t="s">
        <v>41</v>
      </c>
      <c r="L263" s="14">
        <v>718.0</v>
      </c>
      <c r="M263" s="18" t="s">
        <v>98</v>
      </c>
      <c r="N263" s="20">
        <v>0.0</v>
      </c>
      <c r="O263" s="18">
        <v>24.1</v>
      </c>
      <c r="P263" s="20">
        <v>4.8</v>
      </c>
      <c r="Q263" s="16">
        <v>45691.0</v>
      </c>
      <c r="R263" s="16" t="s">
        <v>38</v>
      </c>
      <c r="S263" s="13" t="s">
        <v>55</v>
      </c>
      <c r="T263" s="13" t="s">
        <v>72</v>
      </c>
      <c r="U263" s="13" t="str">
        <f t="shared" si="1"/>
        <v>Moderate</v>
      </c>
      <c r="V263" s="13" t="str">
        <f t="shared" si="2"/>
        <v>Median or Above</v>
      </c>
      <c r="W263" s="13" t="str">
        <f t="shared" si="3"/>
        <v>0–12 Months</v>
      </c>
    </row>
    <row r="264" hidden="1">
      <c r="A264" s="13" t="s">
        <v>724</v>
      </c>
      <c r="B264" s="13" t="s">
        <v>448</v>
      </c>
      <c r="C264" s="14">
        <v>23.0</v>
      </c>
      <c r="D264" s="13" t="s">
        <v>69</v>
      </c>
      <c r="E264" s="13" t="s">
        <v>70</v>
      </c>
      <c r="F264" s="13" t="s">
        <v>62</v>
      </c>
      <c r="G264" s="13" t="s">
        <v>210</v>
      </c>
      <c r="H264" s="16">
        <v>45784.0</v>
      </c>
      <c r="I264" s="14">
        <v>4.0</v>
      </c>
      <c r="J264" s="13" t="s">
        <v>64</v>
      </c>
      <c r="K264" s="13" t="s">
        <v>65</v>
      </c>
      <c r="L264" s="14">
        <v>819.0</v>
      </c>
      <c r="M264" s="18" t="s">
        <v>43</v>
      </c>
      <c r="N264" s="20">
        <v>0.0</v>
      </c>
      <c r="O264" s="18">
        <v>10.2</v>
      </c>
      <c r="P264" s="20">
        <v>2.9</v>
      </c>
      <c r="Q264" s="16">
        <v>45871.0</v>
      </c>
      <c r="R264" s="16">
        <v>45846.0</v>
      </c>
      <c r="S264" s="13" t="s">
        <v>45</v>
      </c>
      <c r="T264" s="13" t="s">
        <v>66</v>
      </c>
      <c r="U264" s="13" t="str">
        <f t="shared" si="1"/>
        <v>Low</v>
      </c>
      <c r="V264" s="13" t="str">
        <f t="shared" si="2"/>
        <v>Below Median</v>
      </c>
      <c r="W264" s="13" t="str">
        <f t="shared" si="3"/>
        <v>0–12 Months</v>
      </c>
    </row>
    <row r="265" hidden="1">
      <c r="A265" s="13" t="s">
        <v>727</v>
      </c>
      <c r="B265" s="13" t="s">
        <v>281</v>
      </c>
      <c r="C265" s="14">
        <v>42.0</v>
      </c>
      <c r="D265" s="13" t="s">
        <v>69</v>
      </c>
      <c r="E265" s="13" t="s">
        <v>70</v>
      </c>
      <c r="F265" s="13" t="s">
        <v>37</v>
      </c>
      <c r="G265" s="13" t="s">
        <v>39</v>
      </c>
      <c r="H265" s="16">
        <v>45413.0</v>
      </c>
      <c r="I265" s="14">
        <v>35.0</v>
      </c>
      <c r="J265" s="13" t="s">
        <v>53</v>
      </c>
      <c r="K265" s="13" t="s">
        <v>41</v>
      </c>
      <c r="L265" s="14">
        <v>1356.0</v>
      </c>
      <c r="M265" s="18" t="s">
        <v>98</v>
      </c>
      <c r="N265" s="20">
        <v>1.0</v>
      </c>
      <c r="O265" s="18">
        <v>25.6</v>
      </c>
      <c r="P265" s="20">
        <v>5.0</v>
      </c>
      <c r="Q265" s="16">
        <v>45859.0</v>
      </c>
      <c r="R265" s="16" t="s">
        <v>38</v>
      </c>
      <c r="S265" s="13" t="s">
        <v>55</v>
      </c>
      <c r="T265" s="13" t="s">
        <v>66</v>
      </c>
      <c r="U265" s="13" t="str">
        <f t="shared" si="1"/>
        <v>High</v>
      </c>
      <c r="V265" s="13" t="str">
        <f t="shared" si="2"/>
        <v>Median or Above</v>
      </c>
      <c r="W265" s="13" t="str">
        <f t="shared" si="3"/>
        <v>25–48 Months</v>
      </c>
    </row>
    <row r="266" hidden="1">
      <c r="A266" s="13" t="s">
        <v>728</v>
      </c>
      <c r="B266" s="13" t="s">
        <v>633</v>
      </c>
      <c r="C266" s="14">
        <v>26.0</v>
      </c>
      <c r="D266" s="13" t="s">
        <v>85</v>
      </c>
      <c r="E266" s="13" t="s">
        <v>292</v>
      </c>
      <c r="F266" s="13" t="s">
        <v>62</v>
      </c>
      <c r="G266" s="13" t="s">
        <v>210</v>
      </c>
      <c r="H266" s="16">
        <v>45474.0</v>
      </c>
      <c r="I266" s="14">
        <v>16.0</v>
      </c>
      <c r="J266" s="13" t="s">
        <v>53</v>
      </c>
      <c r="K266" s="13" t="s">
        <v>65</v>
      </c>
      <c r="L266" s="14">
        <v>813.0</v>
      </c>
      <c r="M266" s="18" t="s">
        <v>43</v>
      </c>
      <c r="N266" s="20">
        <v>0.0</v>
      </c>
      <c r="O266" s="18">
        <v>18.8</v>
      </c>
      <c r="P266" s="20">
        <v>2.7</v>
      </c>
      <c r="Q266" s="16">
        <v>45974.0</v>
      </c>
      <c r="R266" s="16" t="s">
        <v>729</v>
      </c>
      <c r="S266" s="13" t="s">
        <v>45</v>
      </c>
      <c r="T266" s="13" t="s">
        <v>66</v>
      </c>
      <c r="U266" s="13" t="str">
        <f t="shared" si="1"/>
        <v>Low</v>
      </c>
      <c r="V266" s="13" t="str">
        <f t="shared" si="2"/>
        <v>Below Median</v>
      </c>
      <c r="W266" s="13" t="str">
        <f t="shared" si="3"/>
        <v>13–24 Months</v>
      </c>
    </row>
    <row r="267" hidden="1">
      <c r="A267" s="13" t="s">
        <v>730</v>
      </c>
      <c r="B267" s="13" t="s">
        <v>636</v>
      </c>
      <c r="C267" s="14">
        <v>51.0</v>
      </c>
      <c r="D267" s="13" t="s">
        <v>60</v>
      </c>
      <c r="E267" s="13" t="s">
        <v>61</v>
      </c>
      <c r="F267" s="13" t="s">
        <v>79</v>
      </c>
      <c r="G267" s="13" t="s">
        <v>128</v>
      </c>
      <c r="H267" s="16">
        <v>45329.0</v>
      </c>
      <c r="I267" s="14">
        <v>33.0</v>
      </c>
      <c r="J267" s="13" t="s">
        <v>40</v>
      </c>
      <c r="K267" s="13" t="s">
        <v>41</v>
      </c>
      <c r="L267" s="14">
        <v>2088.0</v>
      </c>
      <c r="M267" s="18" t="s">
        <v>43</v>
      </c>
      <c r="N267" s="20">
        <v>1.0</v>
      </c>
      <c r="O267" s="18">
        <v>40.0</v>
      </c>
      <c r="P267" s="20">
        <v>3.8</v>
      </c>
      <c r="Q267" s="16">
        <v>45642.0</v>
      </c>
      <c r="R267" s="16" t="s">
        <v>731</v>
      </c>
      <c r="S267" s="13" t="s">
        <v>45</v>
      </c>
      <c r="T267" s="13" t="s">
        <v>47</v>
      </c>
      <c r="U267" s="13" t="str">
        <f t="shared" si="1"/>
        <v>Moderate</v>
      </c>
      <c r="V267" s="13" t="str">
        <f t="shared" si="2"/>
        <v>Median or Above</v>
      </c>
      <c r="W267" s="13" t="str">
        <f t="shared" si="3"/>
        <v>25–48 Months</v>
      </c>
    </row>
    <row r="268" hidden="1">
      <c r="A268" s="13" t="s">
        <v>732</v>
      </c>
      <c r="B268" s="13" t="s">
        <v>336</v>
      </c>
      <c r="C268" s="14">
        <v>20.0</v>
      </c>
      <c r="D268" s="13" t="s">
        <v>35</v>
      </c>
      <c r="E268" s="13" t="s">
        <v>36</v>
      </c>
      <c r="F268" s="13" t="s">
        <v>62</v>
      </c>
      <c r="G268" s="13" t="s">
        <v>52</v>
      </c>
      <c r="H268" s="16">
        <v>44998.0</v>
      </c>
      <c r="I268" s="14">
        <v>44.0</v>
      </c>
      <c r="J268" s="13" t="s">
        <v>53</v>
      </c>
      <c r="K268" s="13" t="s">
        <v>81</v>
      </c>
      <c r="L268" s="14">
        <v>552.0</v>
      </c>
      <c r="M268" s="18" t="s">
        <v>98</v>
      </c>
      <c r="N268" s="20">
        <v>2.0</v>
      </c>
      <c r="O268" s="18">
        <v>24.4</v>
      </c>
      <c r="P268" s="20">
        <v>2.6</v>
      </c>
      <c r="Q268" s="16">
        <v>45899.0</v>
      </c>
      <c r="R268" s="16" t="s">
        <v>38</v>
      </c>
      <c r="S268" s="13" t="s">
        <v>55</v>
      </c>
      <c r="T268" s="13" t="s">
        <v>72</v>
      </c>
      <c r="U268" s="13" t="str">
        <f t="shared" si="1"/>
        <v>Low</v>
      </c>
      <c r="V268" s="13" t="str">
        <f t="shared" si="2"/>
        <v>Median or Above</v>
      </c>
      <c r="W268" s="13" t="str">
        <f t="shared" si="3"/>
        <v>25–48 Months</v>
      </c>
    </row>
    <row r="269" hidden="1">
      <c r="A269" s="13" t="s">
        <v>733</v>
      </c>
      <c r="B269" s="13" t="s">
        <v>734</v>
      </c>
      <c r="C269" s="14">
        <v>46.0</v>
      </c>
      <c r="D269" s="13" t="s">
        <v>35</v>
      </c>
      <c r="E269" s="13" t="s">
        <v>36</v>
      </c>
      <c r="F269" s="13" t="s">
        <v>62</v>
      </c>
      <c r="G269" s="13" t="s">
        <v>128</v>
      </c>
      <c r="H269" s="16">
        <v>45077.0</v>
      </c>
      <c r="I269" s="14">
        <v>36.0</v>
      </c>
      <c r="J269" s="13" t="s">
        <v>53</v>
      </c>
      <c r="K269" s="13" t="s">
        <v>41</v>
      </c>
      <c r="L269" s="14">
        <v>615.0</v>
      </c>
      <c r="M269" s="18" t="s">
        <v>98</v>
      </c>
      <c r="N269" s="20">
        <v>0.0</v>
      </c>
      <c r="O269" s="18">
        <v>11.5</v>
      </c>
      <c r="P269" s="20">
        <v>3.4</v>
      </c>
      <c r="Q269" s="16">
        <v>45881.0</v>
      </c>
      <c r="R269" s="16" t="s">
        <v>38</v>
      </c>
      <c r="S269" s="13" t="s">
        <v>55</v>
      </c>
      <c r="T269" s="13" t="s">
        <v>75</v>
      </c>
      <c r="U269" s="13" t="str">
        <f t="shared" si="1"/>
        <v>Moderate</v>
      </c>
      <c r="V269" s="13" t="str">
        <f t="shared" si="2"/>
        <v>Below Median</v>
      </c>
      <c r="W269" s="13" t="str">
        <f t="shared" si="3"/>
        <v>25–48 Months</v>
      </c>
    </row>
    <row r="270" hidden="1">
      <c r="A270" s="13" t="s">
        <v>735</v>
      </c>
      <c r="B270" s="13" t="s">
        <v>736</v>
      </c>
      <c r="C270" s="14">
        <v>62.0</v>
      </c>
      <c r="D270" s="13" t="s">
        <v>69</v>
      </c>
      <c r="E270" s="13" t="s">
        <v>36</v>
      </c>
      <c r="F270" s="13" t="s">
        <v>37</v>
      </c>
      <c r="G270" s="13" t="s">
        <v>80</v>
      </c>
      <c r="H270" s="16">
        <v>44691.0</v>
      </c>
      <c r="I270" s="14">
        <v>48.0</v>
      </c>
      <c r="J270" s="13" t="s">
        <v>53</v>
      </c>
      <c r="K270" s="13" t="s">
        <v>81</v>
      </c>
      <c r="L270" s="14">
        <v>1073.0</v>
      </c>
      <c r="M270" s="18" t="s">
        <v>98</v>
      </c>
      <c r="N270" s="20">
        <v>2.0</v>
      </c>
      <c r="O270" s="18">
        <v>29.6</v>
      </c>
      <c r="P270" s="20">
        <v>4.7</v>
      </c>
      <c r="Q270" s="16">
        <v>45730.0</v>
      </c>
      <c r="R270" s="16" t="s">
        <v>38</v>
      </c>
      <c r="S270" s="13" t="s">
        <v>55</v>
      </c>
      <c r="T270" s="13" t="s">
        <v>104</v>
      </c>
      <c r="U270" s="13" t="str">
        <f t="shared" si="1"/>
        <v>Moderate</v>
      </c>
      <c r="V270" s="13" t="str">
        <f t="shared" si="2"/>
        <v>Median or Above</v>
      </c>
      <c r="W270" s="13" t="str">
        <f t="shared" si="3"/>
        <v>25–48 Months</v>
      </c>
    </row>
    <row r="271" hidden="1">
      <c r="A271" s="13" t="s">
        <v>410</v>
      </c>
      <c r="B271" s="13" t="s">
        <v>176</v>
      </c>
      <c r="C271" s="14">
        <v>59.0</v>
      </c>
      <c r="D271" s="13" t="s">
        <v>85</v>
      </c>
      <c r="E271" s="13" t="s">
        <v>87</v>
      </c>
      <c r="F271" s="13" t="s">
        <v>62</v>
      </c>
      <c r="G271" s="13" t="s">
        <v>52</v>
      </c>
      <c r="H271" s="16">
        <v>44625.0</v>
      </c>
      <c r="I271" s="14">
        <v>31.0</v>
      </c>
      <c r="J271" s="13" t="s">
        <v>40</v>
      </c>
      <c r="K271" s="13" t="s">
        <v>65</v>
      </c>
      <c r="L271" s="14">
        <v>611.0</v>
      </c>
      <c r="M271" s="18" t="s">
        <v>46</v>
      </c>
      <c r="N271" s="20">
        <v>1.0</v>
      </c>
      <c r="O271" s="18">
        <v>21.0</v>
      </c>
      <c r="P271" s="20">
        <v>5.0</v>
      </c>
      <c r="Q271" s="16">
        <v>45035.0</v>
      </c>
      <c r="R271" s="16" t="s">
        <v>38</v>
      </c>
      <c r="S271" s="13" t="s">
        <v>55</v>
      </c>
      <c r="T271" s="13" t="s">
        <v>72</v>
      </c>
      <c r="U271" s="13" t="str">
        <f t="shared" si="1"/>
        <v>High</v>
      </c>
      <c r="V271" s="13" t="str">
        <f t="shared" si="2"/>
        <v>Below Median</v>
      </c>
      <c r="W271" s="13" t="str">
        <f t="shared" si="3"/>
        <v>25–48 Months</v>
      </c>
    </row>
    <row r="272" hidden="1">
      <c r="A272" s="13" t="s">
        <v>737</v>
      </c>
      <c r="B272" s="13" t="s">
        <v>312</v>
      </c>
      <c r="C272" s="14">
        <v>45.0</v>
      </c>
      <c r="D272" s="13" t="s">
        <v>69</v>
      </c>
      <c r="E272" s="13" t="s">
        <v>70</v>
      </c>
      <c r="F272" s="13" t="s">
        <v>62</v>
      </c>
      <c r="G272" s="13" t="s">
        <v>80</v>
      </c>
      <c r="H272" s="16">
        <v>45783.0</v>
      </c>
      <c r="I272" s="14">
        <v>26.0</v>
      </c>
      <c r="J272" s="13" t="s">
        <v>64</v>
      </c>
      <c r="K272" s="13" t="s">
        <v>81</v>
      </c>
      <c r="L272" s="14">
        <v>542.0</v>
      </c>
      <c r="M272" s="18" t="s">
        <v>43</v>
      </c>
      <c r="N272" s="20">
        <v>1.0</v>
      </c>
      <c r="O272" s="18">
        <v>21.5</v>
      </c>
      <c r="P272" s="20">
        <v>4.5</v>
      </c>
      <c r="Q272" s="16">
        <v>46559.0</v>
      </c>
      <c r="R272" s="16" t="s">
        <v>38</v>
      </c>
      <c r="S272" s="13" t="s">
        <v>55</v>
      </c>
      <c r="T272" s="13" t="s">
        <v>47</v>
      </c>
      <c r="U272" s="13" t="str">
        <f t="shared" si="1"/>
        <v>Moderate</v>
      </c>
      <c r="V272" s="13" t="str">
        <f t="shared" si="2"/>
        <v>Below Median</v>
      </c>
      <c r="W272" s="13" t="str">
        <f t="shared" si="3"/>
        <v>25–48 Months</v>
      </c>
    </row>
    <row r="273" hidden="1">
      <c r="A273" s="13" t="s">
        <v>259</v>
      </c>
      <c r="B273" s="13" t="s">
        <v>645</v>
      </c>
      <c r="C273" s="14">
        <v>60.0</v>
      </c>
      <c r="D273" s="13" t="s">
        <v>69</v>
      </c>
      <c r="E273" s="13" t="s">
        <v>187</v>
      </c>
      <c r="F273" s="13" t="s">
        <v>37</v>
      </c>
      <c r="G273" s="13" t="s">
        <v>210</v>
      </c>
      <c r="H273" s="16">
        <v>44959.0</v>
      </c>
      <c r="I273" s="14">
        <v>8.0</v>
      </c>
      <c r="J273" s="13" t="s">
        <v>64</v>
      </c>
      <c r="K273" s="13" t="s">
        <v>41</v>
      </c>
      <c r="L273" s="14">
        <v>1054.0</v>
      </c>
      <c r="M273" s="18" t="s">
        <v>98</v>
      </c>
      <c r="N273" s="20">
        <v>1.0</v>
      </c>
      <c r="O273" s="18">
        <v>39.2</v>
      </c>
      <c r="P273" s="20">
        <v>3.8</v>
      </c>
      <c r="Q273" s="16">
        <v>45161.0</v>
      </c>
      <c r="R273" s="16" t="s">
        <v>38</v>
      </c>
      <c r="S273" s="13" t="s">
        <v>55</v>
      </c>
      <c r="T273" s="13" t="s">
        <v>72</v>
      </c>
      <c r="U273" s="13" t="str">
        <f t="shared" si="1"/>
        <v>Moderate</v>
      </c>
      <c r="V273" s="13" t="str">
        <f t="shared" si="2"/>
        <v>Median or Above</v>
      </c>
      <c r="W273" s="13" t="str">
        <f t="shared" si="3"/>
        <v>0–12 Months</v>
      </c>
    </row>
    <row r="274" hidden="1">
      <c r="A274" s="13" t="s">
        <v>739</v>
      </c>
      <c r="B274" s="13" t="s">
        <v>736</v>
      </c>
      <c r="C274" s="14">
        <v>58.0</v>
      </c>
      <c r="D274" s="13" t="s">
        <v>35</v>
      </c>
      <c r="E274" s="13" t="s">
        <v>161</v>
      </c>
      <c r="F274" s="13" t="s">
        <v>62</v>
      </c>
      <c r="G274" s="13" t="s">
        <v>52</v>
      </c>
      <c r="H274" s="16">
        <v>45751.0</v>
      </c>
      <c r="I274" s="14">
        <v>32.0</v>
      </c>
      <c r="J274" s="13" t="s">
        <v>40</v>
      </c>
      <c r="K274" s="13" t="s">
        <v>41</v>
      </c>
      <c r="L274" s="14">
        <v>681.0</v>
      </c>
      <c r="M274" s="18" t="s">
        <v>43</v>
      </c>
      <c r="N274" s="20">
        <v>0.0</v>
      </c>
      <c r="O274" s="18">
        <v>12.3</v>
      </c>
      <c r="P274" s="20">
        <v>3.2</v>
      </c>
      <c r="Q274" s="16">
        <v>46432.0</v>
      </c>
      <c r="R274" s="16" t="s">
        <v>740</v>
      </c>
      <c r="S274" s="13" t="s">
        <v>55</v>
      </c>
      <c r="T274" s="13" t="s">
        <v>72</v>
      </c>
      <c r="U274" s="13" t="str">
        <f t="shared" si="1"/>
        <v>Moderate</v>
      </c>
      <c r="V274" s="13" t="str">
        <f t="shared" si="2"/>
        <v>Below Median</v>
      </c>
      <c r="W274" s="13" t="str">
        <f t="shared" si="3"/>
        <v>25–48 Months</v>
      </c>
    </row>
    <row r="275" hidden="1">
      <c r="A275" s="13" t="s">
        <v>741</v>
      </c>
      <c r="B275" s="13" t="s">
        <v>206</v>
      </c>
      <c r="C275" s="14">
        <v>99.0</v>
      </c>
      <c r="D275" s="13" t="s">
        <v>85</v>
      </c>
      <c r="E275" s="13" t="s">
        <v>92</v>
      </c>
      <c r="F275" s="13" t="s">
        <v>37</v>
      </c>
      <c r="G275" s="13" t="s">
        <v>210</v>
      </c>
      <c r="H275" s="16">
        <v>45982.0</v>
      </c>
      <c r="I275" s="14">
        <v>38.0</v>
      </c>
      <c r="J275" s="13" t="s">
        <v>53</v>
      </c>
      <c r="K275" s="13" t="s">
        <v>41</v>
      </c>
      <c r="L275" s="14">
        <v>1372.0</v>
      </c>
      <c r="M275" s="18" t="s">
        <v>164</v>
      </c>
      <c r="N275" s="20">
        <v>0.0</v>
      </c>
      <c r="O275" s="18">
        <v>25.1</v>
      </c>
      <c r="P275" s="20">
        <v>4.2</v>
      </c>
      <c r="Q275" s="16">
        <v>46639.0</v>
      </c>
      <c r="R275" s="16" t="s">
        <v>38</v>
      </c>
      <c r="S275" s="13" t="s">
        <v>45</v>
      </c>
      <c r="T275" s="13" t="s">
        <v>47</v>
      </c>
      <c r="U275" s="13" t="str">
        <f t="shared" si="1"/>
        <v>Moderate</v>
      </c>
      <c r="V275" s="13" t="str">
        <f t="shared" si="2"/>
        <v>Median or Above</v>
      </c>
      <c r="W275" s="13" t="str">
        <f t="shared" si="3"/>
        <v>25–48 Months</v>
      </c>
    </row>
    <row r="276" hidden="1">
      <c r="A276" s="13" t="s">
        <v>742</v>
      </c>
      <c r="B276" s="13" t="s">
        <v>169</v>
      </c>
      <c r="C276" s="14">
        <v>54.0</v>
      </c>
      <c r="D276" s="13" t="s">
        <v>85</v>
      </c>
      <c r="E276" s="13" t="s">
        <v>92</v>
      </c>
      <c r="F276" s="13" t="s">
        <v>37</v>
      </c>
      <c r="G276" s="13" t="s">
        <v>39</v>
      </c>
      <c r="H276" s="16">
        <v>45953.0</v>
      </c>
      <c r="I276" s="14">
        <v>47.0</v>
      </c>
      <c r="J276" s="13" t="s">
        <v>40</v>
      </c>
      <c r="K276" s="13" t="s">
        <v>41</v>
      </c>
      <c r="L276" s="14">
        <v>1472.0</v>
      </c>
      <c r="M276" s="18" t="s">
        <v>43</v>
      </c>
      <c r="N276" s="20">
        <v>2.0</v>
      </c>
      <c r="O276" s="18">
        <v>35.1</v>
      </c>
      <c r="P276" s="20">
        <v>3.6</v>
      </c>
      <c r="Q276" s="16">
        <v>46697.0</v>
      </c>
      <c r="R276" s="16" t="s">
        <v>38</v>
      </c>
      <c r="S276" s="13" t="s">
        <v>55</v>
      </c>
      <c r="T276" s="13" t="s">
        <v>66</v>
      </c>
      <c r="U276" s="13" t="str">
        <f t="shared" si="1"/>
        <v>Moderate</v>
      </c>
      <c r="V276" s="13" t="str">
        <f t="shared" si="2"/>
        <v>Median or Above</v>
      </c>
      <c r="W276" s="13" t="str">
        <f t="shared" si="3"/>
        <v>25–48 Months</v>
      </c>
    </row>
    <row r="277" hidden="1">
      <c r="A277" s="13" t="s">
        <v>743</v>
      </c>
      <c r="B277" s="13" t="s">
        <v>202</v>
      </c>
      <c r="C277" s="14">
        <v>68.0</v>
      </c>
      <c r="D277" s="13" t="s">
        <v>60</v>
      </c>
      <c r="E277" s="13" t="s">
        <v>97</v>
      </c>
      <c r="F277" s="13" t="s">
        <v>79</v>
      </c>
      <c r="G277" s="13" t="s">
        <v>39</v>
      </c>
      <c r="H277" s="16">
        <v>45101.0</v>
      </c>
      <c r="I277" s="14">
        <v>47.0</v>
      </c>
      <c r="J277" s="13" t="s">
        <v>64</v>
      </c>
      <c r="K277" s="13" t="s">
        <v>41</v>
      </c>
      <c r="L277" s="14">
        <v>2153.0</v>
      </c>
      <c r="M277" s="18" t="s">
        <v>43</v>
      </c>
      <c r="N277" s="20">
        <v>2.0</v>
      </c>
      <c r="O277" s="18">
        <v>38.9</v>
      </c>
      <c r="P277" s="20">
        <v>2.4</v>
      </c>
      <c r="Q277" s="16">
        <v>45149.0</v>
      </c>
      <c r="R277" s="16" t="s">
        <v>744</v>
      </c>
      <c r="S277" s="13" t="s">
        <v>45</v>
      </c>
      <c r="T277" s="13" t="s">
        <v>104</v>
      </c>
      <c r="U277" s="13" t="str">
        <f t="shared" si="1"/>
        <v>Low</v>
      </c>
      <c r="V277" s="13" t="str">
        <f t="shared" si="2"/>
        <v>Median or Above</v>
      </c>
      <c r="W277" s="13" t="str">
        <f t="shared" si="3"/>
        <v>25–48 Months</v>
      </c>
    </row>
    <row r="278" hidden="1">
      <c r="A278" s="13" t="s">
        <v>745</v>
      </c>
      <c r="B278" s="13" t="s">
        <v>383</v>
      </c>
      <c r="C278" s="14">
        <v>51.0</v>
      </c>
      <c r="D278" s="13" t="s">
        <v>60</v>
      </c>
      <c r="E278" s="13" t="s">
        <v>133</v>
      </c>
      <c r="F278" s="13" t="s">
        <v>37</v>
      </c>
      <c r="G278" s="13" t="s">
        <v>39</v>
      </c>
      <c r="H278" s="16">
        <v>45311.0</v>
      </c>
      <c r="I278" s="14">
        <v>26.0</v>
      </c>
      <c r="J278" s="13" t="s">
        <v>64</v>
      </c>
      <c r="K278" s="13" t="s">
        <v>41</v>
      </c>
      <c r="L278" s="14">
        <v>1602.0</v>
      </c>
      <c r="M278" s="18" t="s">
        <v>98</v>
      </c>
      <c r="N278" s="20">
        <v>1.0</v>
      </c>
      <c r="O278" s="18">
        <v>28.5</v>
      </c>
      <c r="P278" s="20">
        <v>4.5</v>
      </c>
      <c r="Q278" s="16">
        <v>45618.0</v>
      </c>
      <c r="R278" s="16" t="s">
        <v>38</v>
      </c>
      <c r="S278" s="13" t="s">
        <v>55</v>
      </c>
      <c r="T278" s="13" t="s">
        <v>75</v>
      </c>
      <c r="U278" s="13" t="str">
        <f t="shared" si="1"/>
        <v>Moderate</v>
      </c>
      <c r="V278" s="13" t="str">
        <f t="shared" si="2"/>
        <v>Median or Above</v>
      </c>
      <c r="W278" s="13" t="str">
        <f t="shared" si="3"/>
        <v>25–48 Months</v>
      </c>
    </row>
    <row r="279" hidden="1">
      <c r="A279" s="13" t="s">
        <v>908</v>
      </c>
      <c r="B279" s="13" t="s">
        <v>106</v>
      </c>
      <c r="C279" s="14">
        <v>66.0</v>
      </c>
      <c r="D279" s="13" t="s">
        <v>35</v>
      </c>
      <c r="E279" s="13" t="s">
        <v>51</v>
      </c>
      <c r="F279" s="13" t="s">
        <v>37</v>
      </c>
      <c r="G279" s="13" t="s">
        <v>128</v>
      </c>
      <c r="H279" s="16">
        <v>45819.0</v>
      </c>
      <c r="I279" s="14">
        <v>44.0</v>
      </c>
      <c r="J279" s="13" t="s">
        <v>64</v>
      </c>
      <c r="K279" s="13" t="s">
        <v>65</v>
      </c>
      <c r="L279" s="14">
        <v>1142.0</v>
      </c>
      <c r="M279" s="18" t="s">
        <v>43</v>
      </c>
      <c r="N279" s="20">
        <v>0.0</v>
      </c>
      <c r="O279" s="18">
        <v>25.3</v>
      </c>
      <c r="P279" s="20">
        <v>3.3</v>
      </c>
      <c r="Q279" s="16">
        <v>46155.0</v>
      </c>
      <c r="R279" s="16" t="s">
        <v>38</v>
      </c>
      <c r="S279" s="13" t="s">
        <v>55</v>
      </c>
      <c r="T279" s="13" t="s">
        <v>72</v>
      </c>
      <c r="U279" s="13" t="str">
        <f t="shared" si="1"/>
        <v>Moderate</v>
      </c>
      <c r="V279" s="13" t="str">
        <f t="shared" si="2"/>
        <v>Median or Above</v>
      </c>
      <c r="W279" s="13" t="str">
        <f t="shared" si="3"/>
        <v>25–48 Months</v>
      </c>
    </row>
    <row r="280" hidden="1">
      <c r="A280" s="13" t="s">
        <v>256</v>
      </c>
      <c r="B280" s="13" t="s">
        <v>633</v>
      </c>
      <c r="C280" s="14">
        <v>49.0</v>
      </c>
      <c r="D280" s="13" t="s">
        <v>69</v>
      </c>
      <c r="E280" s="13" t="s">
        <v>119</v>
      </c>
      <c r="F280" s="13" t="s">
        <v>62</v>
      </c>
      <c r="G280" s="13" t="s">
        <v>210</v>
      </c>
      <c r="H280" s="16">
        <v>45318.0</v>
      </c>
      <c r="I280" s="14">
        <v>15.0</v>
      </c>
      <c r="J280" s="13" t="s">
        <v>53</v>
      </c>
      <c r="K280" s="13" t="s">
        <v>41</v>
      </c>
      <c r="L280" s="14">
        <v>604.0</v>
      </c>
      <c r="M280" s="18" t="s">
        <v>46</v>
      </c>
      <c r="N280" s="20">
        <v>2.0</v>
      </c>
      <c r="O280" s="18">
        <v>34.5</v>
      </c>
      <c r="P280" s="20">
        <v>2.7</v>
      </c>
      <c r="Q280" s="16">
        <v>45733.0</v>
      </c>
      <c r="R280" s="16" t="s">
        <v>38</v>
      </c>
      <c r="S280" s="13" t="s">
        <v>55</v>
      </c>
      <c r="T280" s="13" t="s">
        <v>104</v>
      </c>
      <c r="U280" s="13" t="str">
        <f t="shared" si="1"/>
        <v>Low</v>
      </c>
      <c r="V280" s="13" t="str">
        <f t="shared" si="2"/>
        <v>Median or Above</v>
      </c>
      <c r="W280" s="13" t="str">
        <f t="shared" si="3"/>
        <v>13–24 Months</v>
      </c>
    </row>
    <row r="281" hidden="1">
      <c r="A281" s="13" t="s">
        <v>748</v>
      </c>
      <c r="B281" s="13" t="s">
        <v>411</v>
      </c>
      <c r="C281" s="14">
        <v>56.0</v>
      </c>
      <c r="D281" s="13" t="s">
        <v>60</v>
      </c>
      <c r="E281" s="13" t="s">
        <v>61</v>
      </c>
      <c r="F281" s="13" t="s">
        <v>37</v>
      </c>
      <c r="G281" s="13" t="s">
        <v>80</v>
      </c>
      <c r="H281" s="16">
        <v>45859.0</v>
      </c>
      <c r="I281" s="14">
        <v>18.0</v>
      </c>
      <c r="J281" s="13" t="s">
        <v>64</v>
      </c>
      <c r="K281" s="13" t="s">
        <v>41</v>
      </c>
      <c r="L281" s="14">
        <v>1591.0</v>
      </c>
      <c r="M281" s="18" t="s">
        <v>164</v>
      </c>
      <c r="N281" s="20">
        <v>2.0</v>
      </c>
      <c r="O281" s="18">
        <v>27.4</v>
      </c>
      <c r="P281" s="20">
        <v>4.1</v>
      </c>
      <c r="Q281" s="16">
        <v>46047.0</v>
      </c>
      <c r="R281" s="16">
        <v>46274.0</v>
      </c>
      <c r="S281" s="13" t="s">
        <v>45</v>
      </c>
      <c r="T281" s="13" t="s">
        <v>66</v>
      </c>
      <c r="U281" s="13" t="str">
        <f t="shared" si="1"/>
        <v>Moderate</v>
      </c>
      <c r="V281" s="13" t="str">
        <f t="shared" si="2"/>
        <v>Median or Above</v>
      </c>
      <c r="W281" s="13" t="str">
        <f t="shared" si="3"/>
        <v>13–24 Months</v>
      </c>
    </row>
    <row r="282" hidden="1">
      <c r="A282" s="13" t="s">
        <v>750</v>
      </c>
      <c r="B282" s="13" t="s">
        <v>190</v>
      </c>
      <c r="C282" s="14">
        <v>33.0</v>
      </c>
      <c r="D282" s="13" t="s">
        <v>85</v>
      </c>
      <c r="E282" s="13" t="s">
        <v>111</v>
      </c>
      <c r="F282" s="13" t="s">
        <v>37</v>
      </c>
      <c r="G282" s="13" t="s">
        <v>210</v>
      </c>
      <c r="H282" s="16">
        <v>45268.0</v>
      </c>
      <c r="I282" s="14">
        <v>32.0</v>
      </c>
      <c r="J282" s="13" t="s">
        <v>40</v>
      </c>
      <c r="K282" s="13" t="s">
        <v>81</v>
      </c>
      <c r="L282" s="14">
        <v>1005.0</v>
      </c>
      <c r="M282" s="18" t="s">
        <v>164</v>
      </c>
      <c r="N282" s="20">
        <v>1.0</v>
      </c>
      <c r="O282" s="18">
        <v>28.3</v>
      </c>
      <c r="P282" s="20">
        <v>3.5</v>
      </c>
      <c r="Q282" s="16">
        <v>46181.0</v>
      </c>
      <c r="R282" s="16" t="s">
        <v>751</v>
      </c>
      <c r="S282" s="13" t="s">
        <v>45</v>
      </c>
      <c r="T282" s="13" t="s">
        <v>72</v>
      </c>
      <c r="U282" s="13" t="str">
        <f t="shared" si="1"/>
        <v>Moderate</v>
      </c>
      <c r="V282" s="13" t="str">
        <f t="shared" si="2"/>
        <v>Median or Above</v>
      </c>
      <c r="W282" s="13" t="str">
        <f t="shared" si="3"/>
        <v>25–48 Months</v>
      </c>
    </row>
    <row r="283" hidden="1">
      <c r="A283" s="13" t="s">
        <v>752</v>
      </c>
      <c r="B283" s="13" t="s">
        <v>110</v>
      </c>
      <c r="C283" s="14">
        <v>32.0</v>
      </c>
      <c r="D283" s="13" t="s">
        <v>69</v>
      </c>
      <c r="E283" s="13" t="s">
        <v>187</v>
      </c>
      <c r="F283" s="13" t="s">
        <v>62</v>
      </c>
      <c r="G283" s="13" t="s">
        <v>80</v>
      </c>
      <c r="H283" s="16">
        <v>44804.0</v>
      </c>
      <c r="I283" s="14">
        <v>43.0</v>
      </c>
      <c r="J283" s="13" t="s">
        <v>64</v>
      </c>
      <c r="K283" s="13" t="s">
        <v>41</v>
      </c>
      <c r="L283" s="14">
        <v>668.0</v>
      </c>
      <c r="M283" s="18" t="s">
        <v>43</v>
      </c>
      <c r="N283" s="20">
        <v>2.0</v>
      </c>
      <c r="O283" s="18">
        <v>20.2</v>
      </c>
      <c r="P283" s="20">
        <v>4.0</v>
      </c>
      <c r="Q283" s="16">
        <v>45800.0</v>
      </c>
      <c r="R283" s="16" t="s">
        <v>38</v>
      </c>
      <c r="S283" s="13" t="s">
        <v>55</v>
      </c>
      <c r="T283" s="13" t="s">
        <v>75</v>
      </c>
      <c r="U283" s="13" t="str">
        <f t="shared" si="1"/>
        <v>Moderate</v>
      </c>
      <c r="V283" s="13" t="str">
        <f t="shared" si="2"/>
        <v>Below Median</v>
      </c>
      <c r="W283" s="13" t="str">
        <f t="shared" si="3"/>
        <v>25–48 Months</v>
      </c>
    </row>
    <row r="284" hidden="1">
      <c r="A284" s="13" t="s">
        <v>753</v>
      </c>
      <c r="B284" s="13" t="s">
        <v>322</v>
      </c>
      <c r="C284" s="14">
        <v>30.0</v>
      </c>
      <c r="D284" s="13" t="s">
        <v>69</v>
      </c>
      <c r="E284" s="13" t="s">
        <v>70</v>
      </c>
      <c r="F284" s="13" t="s">
        <v>62</v>
      </c>
      <c r="G284" s="13" t="s">
        <v>80</v>
      </c>
      <c r="H284" s="16">
        <v>44891.0</v>
      </c>
      <c r="I284" s="14">
        <v>9.0</v>
      </c>
      <c r="J284" s="13" t="s">
        <v>64</v>
      </c>
      <c r="K284" s="13" t="s">
        <v>65</v>
      </c>
      <c r="L284" s="14">
        <v>519.0</v>
      </c>
      <c r="M284" s="18" t="s">
        <v>43</v>
      </c>
      <c r="N284" s="20">
        <v>2.0</v>
      </c>
      <c r="O284" s="18">
        <v>17.3</v>
      </c>
      <c r="P284" s="20">
        <v>1.7</v>
      </c>
      <c r="Q284" s="16">
        <v>44929.0</v>
      </c>
      <c r="R284" s="16" t="s">
        <v>38</v>
      </c>
      <c r="S284" s="13" t="s">
        <v>55</v>
      </c>
      <c r="T284" s="13" t="s">
        <v>66</v>
      </c>
      <c r="U284" s="13" t="str">
        <f t="shared" si="1"/>
        <v>Low</v>
      </c>
      <c r="V284" s="13" t="str">
        <f t="shared" si="2"/>
        <v>Below Median</v>
      </c>
      <c r="W284" s="13" t="str">
        <f t="shared" si="3"/>
        <v>0–12 Months</v>
      </c>
    </row>
    <row r="285" hidden="1">
      <c r="A285" s="13" t="s">
        <v>754</v>
      </c>
      <c r="B285" s="13" t="s">
        <v>605</v>
      </c>
      <c r="C285" s="14">
        <v>58.0</v>
      </c>
      <c r="D285" s="13" t="s">
        <v>35</v>
      </c>
      <c r="E285" s="13" t="s">
        <v>161</v>
      </c>
      <c r="F285" s="13" t="s">
        <v>79</v>
      </c>
      <c r="G285" s="13" t="s">
        <v>39</v>
      </c>
      <c r="H285" s="16">
        <v>45481.0</v>
      </c>
      <c r="I285" s="14">
        <v>39.0</v>
      </c>
      <c r="J285" s="13" t="s">
        <v>64</v>
      </c>
      <c r="K285" s="13" t="s">
        <v>81</v>
      </c>
      <c r="L285" s="14">
        <v>2448.0</v>
      </c>
      <c r="M285" s="18" t="s">
        <v>43</v>
      </c>
      <c r="N285" s="20">
        <v>2.0</v>
      </c>
      <c r="O285" s="18">
        <v>33.5</v>
      </c>
      <c r="P285" s="20">
        <v>3.3</v>
      </c>
      <c r="Q285" s="16">
        <v>46332.0</v>
      </c>
      <c r="R285" s="16" t="s">
        <v>755</v>
      </c>
      <c r="S285" s="13" t="s">
        <v>45</v>
      </c>
      <c r="T285" s="13" t="s">
        <v>72</v>
      </c>
      <c r="U285" s="13" t="str">
        <f t="shared" si="1"/>
        <v>Moderate</v>
      </c>
      <c r="V285" s="13" t="str">
        <f t="shared" si="2"/>
        <v>Median or Above</v>
      </c>
      <c r="W285" s="13" t="str">
        <f t="shared" si="3"/>
        <v>25–48 Months</v>
      </c>
    </row>
    <row r="286" hidden="1">
      <c r="A286" s="13" t="s">
        <v>214</v>
      </c>
      <c r="B286" s="13" t="s">
        <v>476</v>
      </c>
      <c r="C286" s="14">
        <v>28.0</v>
      </c>
      <c r="D286" s="13" t="s">
        <v>60</v>
      </c>
      <c r="E286" s="13" t="s">
        <v>133</v>
      </c>
      <c r="F286" s="13" t="s">
        <v>37</v>
      </c>
      <c r="G286" s="13" t="s">
        <v>63</v>
      </c>
      <c r="H286" s="16">
        <v>45032.0</v>
      </c>
      <c r="I286" s="14">
        <v>25.0</v>
      </c>
      <c r="J286" s="13" t="s">
        <v>64</v>
      </c>
      <c r="K286" s="13" t="s">
        <v>41</v>
      </c>
      <c r="L286" s="14">
        <v>1015.0</v>
      </c>
      <c r="M286" s="18" t="s">
        <v>43</v>
      </c>
      <c r="N286" s="20">
        <v>1.0</v>
      </c>
      <c r="O286" s="18">
        <v>27.2</v>
      </c>
      <c r="P286" s="20">
        <v>4.8</v>
      </c>
      <c r="Q286" s="16">
        <v>45577.0</v>
      </c>
      <c r="R286" s="16" t="s">
        <v>38</v>
      </c>
      <c r="S286" s="13" t="s">
        <v>55</v>
      </c>
      <c r="T286" s="13" t="s">
        <v>47</v>
      </c>
      <c r="U286" s="13" t="str">
        <f t="shared" si="1"/>
        <v>Moderate</v>
      </c>
      <c r="V286" s="13" t="str">
        <f t="shared" si="2"/>
        <v>Median or Above</v>
      </c>
      <c r="W286" s="13" t="str">
        <f t="shared" si="3"/>
        <v>25–48 Months</v>
      </c>
    </row>
    <row r="287" hidden="1">
      <c r="A287" s="13" t="s">
        <v>756</v>
      </c>
      <c r="B287" s="13" t="s">
        <v>476</v>
      </c>
      <c r="C287" s="14">
        <v>42.0</v>
      </c>
      <c r="D287" s="13" t="s">
        <v>35</v>
      </c>
      <c r="E287" s="13" t="s">
        <v>36</v>
      </c>
      <c r="F287" s="13" t="s">
        <v>62</v>
      </c>
      <c r="G287" s="13" t="s">
        <v>52</v>
      </c>
      <c r="H287" s="16">
        <v>44828.0</v>
      </c>
      <c r="I287" s="14">
        <v>39.0</v>
      </c>
      <c r="J287" s="13" t="s">
        <v>40</v>
      </c>
      <c r="K287" s="13" t="s">
        <v>81</v>
      </c>
      <c r="L287" s="14">
        <v>499.0</v>
      </c>
      <c r="M287" s="18" t="s">
        <v>43</v>
      </c>
      <c r="N287" s="20">
        <v>1.0</v>
      </c>
      <c r="O287" s="18">
        <v>14.3</v>
      </c>
      <c r="P287" s="20">
        <v>3.9</v>
      </c>
      <c r="Q287" s="16">
        <v>45721.0</v>
      </c>
      <c r="R287" s="16" t="s">
        <v>38</v>
      </c>
      <c r="S287" s="13" t="s">
        <v>55</v>
      </c>
      <c r="T287" s="13" t="s">
        <v>66</v>
      </c>
      <c r="U287" s="13" t="str">
        <f t="shared" si="1"/>
        <v>Moderate</v>
      </c>
      <c r="V287" s="13" t="str">
        <f t="shared" si="2"/>
        <v>Below Median</v>
      </c>
      <c r="W287" s="13" t="str">
        <f t="shared" si="3"/>
        <v>25–48 Months</v>
      </c>
    </row>
    <row r="288" hidden="1">
      <c r="A288" s="13" t="s">
        <v>758</v>
      </c>
      <c r="B288" s="13" t="s">
        <v>322</v>
      </c>
      <c r="C288" s="14">
        <v>49.0</v>
      </c>
      <c r="D288" s="13" t="s">
        <v>69</v>
      </c>
      <c r="E288" s="13" t="s">
        <v>119</v>
      </c>
      <c r="F288" s="13" t="s">
        <v>37</v>
      </c>
      <c r="G288" s="13" t="s">
        <v>120</v>
      </c>
      <c r="H288" s="16">
        <v>45279.0</v>
      </c>
      <c r="I288" s="14">
        <v>38.0</v>
      </c>
      <c r="J288" s="13" t="s">
        <v>40</v>
      </c>
      <c r="K288" s="13" t="s">
        <v>41</v>
      </c>
      <c r="L288" s="14">
        <v>1712.0</v>
      </c>
      <c r="M288" s="18" t="s">
        <v>43</v>
      </c>
      <c r="N288" s="20">
        <v>0.0</v>
      </c>
      <c r="O288" s="18">
        <v>39.0</v>
      </c>
      <c r="P288" s="20">
        <v>4.6</v>
      </c>
      <c r="Q288" s="16">
        <v>45489.0</v>
      </c>
      <c r="R288" s="16">
        <v>46209.0</v>
      </c>
      <c r="S288" s="13" t="s">
        <v>45</v>
      </c>
      <c r="T288" s="13" t="s">
        <v>72</v>
      </c>
      <c r="U288" s="13" t="str">
        <f t="shared" si="1"/>
        <v>Moderate</v>
      </c>
      <c r="V288" s="13" t="str">
        <f t="shared" si="2"/>
        <v>Median or Above</v>
      </c>
      <c r="W288" s="13" t="str">
        <f t="shared" si="3"/>
        <v>25–48 Months</v>
      </c>
    </row>
    <row r="289" hidden="1">
      <c r="A289" s="13" t="s">
        <v>921</v>
      </c>
      <c r="B289" s="13" t="s">
        <v>633</v>
      </c>
      <c r="C289" s="14">
        <v>42.0</v>
      </c>
      <c r="D289" s="13" t="s">
        <v>60</v>
      </c>
      <c r="E289" s="13" t="s">
        <v>92</v>
      </c>
      <c r="F289" s="13" t="s">
        <v>62</v>
      </c>
      <c r="G289" s="13" t="s">
        <v>52</v>
      </c>
      <c r="H289" s="16">
        <v>44576.0</v>
      </c>
      <c r="I289" s="14">
        <v>37.0</v>
      </c>
      <c r="J289" s="13" t="s">
        <v>40</v>
      </c>
      <c r="K289" s="13" t="s">
        <v>41</v>
      </c>
      <c r="L289" s="14">
        <v>765.0</v>
      </c>
      <c r="M289" s="18" t="s">
        <v>173</v>
      </c>
      <c r="N289" s="20">
        <v>2.0</v>
      </c>
      <c r="O289" s="18">
        <v>26.2</v>
      </c>
      <c r="P289" s="20">
        <v>2.5</v>
      </c>
      <c r="Q289" s="16">
        <v>45006.0</v>
      </c>
      <c r="R289" s="16" t="s">
        <v>38</v>
      </c>
      <c r="S289" s="13" t="s">
        <v>55</v>
      </c>
      <c r="T289" s="13" t="s">
        <v>75</v>
      </c>
      <c r="U289" s="13" t="str">
        <f t="shared" si="1"/>
        <v>Low</v>
      </c>
      <c r="V289" s="13" t="str">
        <f t="shared" si="2"/>
        <v>Median or Above</v>
      </c>
      <c r="W289" s="13" t="str">
        <f t="shared" si="3"/>
        <v>25–48 Months</v>
      </c>
    </row>
    <row r="290" hidden="1">
      <c r="A290" s="13" t="s">
        <v>761</v>
      </c>
      <c r="B290" s="13" t="s">
        <v>118</v>
      </c>
      <c r="C290" s="14">
        <v>30.0</v>
      </c>
      <c r="D290" s="13" t="s">
        <v>60</v>
      </c>
      <c r="E290" s="13" t="s">
        <v>107</v>
      </c>
      <c r="F290" s="13" t="s">
        <v>79</v>
      </c>
      <c r="G290" s="13" t="s">
        <v>120</v>
      </c>
      <c r="H290" s="16">
        <v>45718.0</v>
      </c>
      <c r="I290" s="14">
        <v>24.0</v>
      </c>
      <c r="J290" s="13" t="s">
        <v>53</v>
      </c>
      <c r="K290" s="13" t="s">
        <v>81</v>
      </c>
      <c r="L290" s="14">
        <v>3545.0</v>
      </c>
      <c r="M290" s="18" t="s">
        <v>164</v>
      </c>
      <c r="N290" s="20">
        <v>1.0</v>
      </c>
      <c r="O290" s="18">
        <v>36.9</v>
      </c>
      <c r="P290" s="20">
        <v>2.8</v>
      </c>
      <c r="Q290" s="16">
        <v>45936.0</v>
      </c>
      <c r="R290" s="16" t="s">
        <v>38</v>
      </c>
      <c r="S290" s="13" t="s">
        <v>55</v>
      </c>
      <c r="T290" s="13" t="s">
        <v>66</v>
      </c>
      <c r="U290" s="13" t="str">
        <f t="shared" si="1"/>
        <v>Low</v>
      </c>
      <c r="V290" s="13" t="str">
        <f t="shared" si="2"/>
        <v>Median or Above</v>
      </c>
      <c r="W290" s="13" t="str">
        <f t="shared" si="3"/>
        <v>13–24 Months</v>
      </c>
    </row>
    <row r="291" hidden="1">
      <c r="A291" s="13" t="s">
        <v>762</v>
      </c>
      <c r="B291" s="13" t="s">
        <v>288</v>
      </c>
      <c r="C291" s="14">
        <v>32.0</v>
      </c>
      <c r="D291" s="13" t="s">
        <v>60</v>
      </c>
      <c r="E291" s="13" t="s">
        <v>107</v>
      </c>
      <c r="F291" s="13" t="s">
        <v>37</v>
      </c>
      <c r="G291" s="13" t="s">
        <v>128</v>
      </c>
      <c r="H291" s="16">
        <v>46006.0</v>
      </c>
      <c r="I291" s="14">
        <v>26.0</v>
      </c>
      <c r="J291" s="13" t="s">
        <v>64</v>
      </c>
      <c r="K291" s="13" t="s">
        <v>65</v>
      </c>
      <c r="L291" s="14">
        <v>1120.0</v>
      </c>
      <c r="M291" s="18" t="s">
        <v>99</v>
      </c>
      <c r="N291" s="20">
        <v>3.0</v>
      </c>
      <c r="O291" s="18">
        <v>23.7</v>
      </c>
      <c r="P291" s="20">
        <v>3.6</v>
      </c>
      <c r="Q291" s="16">
        <v>46251.0</v>
      </c>
      <c r="R291" s="16" t="s">
        <v>763</v>
      </c>
      <c r="S291" s="13" t="s">
        <v>45</v>
      </c>
      <c r="T291" s="13" t="s">
        <v>72</v>
      </c>
      <c r="U291" s="13" t="str">
        <f t="shared" si="1"/>
        <v>Moderate</v>
      </c>
      <c r="V291" s="13" t="str">
        <f t="shared" si="2"/>
        <v>Below Median</v>
      </c>
      <c r="W291" s="13" t="str">
        <f t="shared" si="3"/>
        <v>25–48 Months</v>
      </c>
    </row>
    <row r="292" hidden="1">
      <c r="A292" s="13" t="s">
        <v>764</v>
      </c>
      <c r="B292" s="13" t="s">
        <v>250</v>
      </c>
      <c r="C292" s="14">
        <v>42.0</v>
      </c>
      <c r="D292" s="13" t="s">
        <v>35</v>
      </c>
      <c r="E292" s="13" t="s">
        <v>51</v>
      </c>
      <c r="F292" s="13" t="s">
        <v>62</v>
      </c>
      <c r="G292" s="13" t="s">
        <v>52</v>
      </c>
      <c r="H292" s="16">
        <v>44572.0</v>
      </c>
      <c r="I292" s="14">
        <v>6.0</v>
      </c>
      <c r="J292" s="13" t="s">
        <v>40</v>
      </c>
      <c r="K292" s="13" t="s">
        <v>81</v>
      </c>
      <c r="L292" s="14">
        <v>740.0</v>
      </c>
      <c r="M292" s="18" t="s">
        <v>43</v>
      </c>
      <c r="N292" s="20">
        <v>2.0</v>
      </c>
      <c r="O292" s="18">
        <v>25.1</v>
      </c>
      <c r="P292" s="20">
        <v>3.2</v>
      </c>
      <c r="Q292" s="16">
        <v>44604.0</v>
      </c>
      <c r="R292" s="16" t="s">
        <v>765</v>
      </c>
      <c r="S292" s="13" t="s">
        <v>45</v>
      </c>
      <c r="T292" s="13" t="s">
        <v>104</v>
      </c>
      <c r="U292" s="13" t="str">
        <f t="shared" si="1"/>
        <v>Moderate</v>
      </c>
      <c r="V292" s="13" t="str">
        <f t="shared" si="2"/>
        <v>Median or Above</v>
      </c>
      <c r="W292" s="13" t="str">
        <f t="shared" si="3"/>
        <v>0–12 Months</v>
      </c>
    </row>
    <row r="293" hidden="1">
      <c r="A293" s="13" t="s">
        <v>205</v>
      </c>
      <c r="B293" s="13" t="s">
        <v>110</v>
      </c>
      <c r="C293" s="14">
        <v>19.0</v>
      </c>
      <c r="D293" s="13" t="s">
        <v>85</v>
      </c>
      <c r="E293" s="13" t="s">
        <v>87</v>
      </c>
      <c r="F293" s="13" t="s">
        <v>37</v>
      </c>
      <c r="G293" s="13" t="s">
        <v>80</v>
      </c>
      <c r="H293" s="16">
        <v>45148.0</v>
      </c>
      <c r="I293" s="14">
        <v>46.0</v>
      </c>
      <c r="J293" s="13" t="s">
        <v>40</v>
      </c>
      <c r="K293" s="13" t="s">
        <v>81</v>
      </c>
      <c r="L293" s="14">
        <v>1791.0</v>
      </c>
      <c r="M293" s="18" t="s">
        <v>43</v>
      </c>
      <c r="N293" s="20">
        <v>1.0</v>
      </c>
      <c r="O293" s="18">
        <v>12.9</v>
      </c>
      <c r="P293" s="20">
        <v>3.4</v>
      </c>
      <c r="Q293" s="16">
        <v>45516.0</v>
      </c>
      <c r="R293" s="16">
        <v>46725.0</v>
      </c>
      <c r="S293" s="13" t="s">
        <v>45</v>
      </c>
      <c r="T293" s="13" t="s">
        <v>66</v>
      </c>
      <c r="U293" s="13" t="str">
        <f t="shared" si="1"/>
        <v>Moderate</v>
      </c>
      <c r="V293" s="13" t="str">
        <f t="shared" si="2"/>
        <v>Below Median</v>
      </c>
      <c r="W293" s="13" t="str">
        <f t="shared" si="3"/>
        <v>25–48 Months</v>
      </c>
    </row>
    <row r="294" hidden="1">
      <c r="A294" s="13" t="s">
        <v>768</v>
      </c>
      <c r="B294" s="13" t="s">
        <v>424</v>
      </c>
      <c r="C294" s="14">
        <v>29.0</v>
      </c>
      <c r="D294" s="13" t="s">
        <v>69</v>
      </c>
      <c r="E294" s="13" t="s">
        <v>70</v>
      </c>
      <c r="F294" s="13" t="s">
        <v>37</v>
      </c>
      <c r="G294" s="13" t="s">
        <v>80</v>
      </c>
      <c r="H294" s="16">
        <v>45618.0</v>
      </c>
      <c r="I294" s="14">
        <v>45.0</v>
      </c>
      <c r="J294" s="13" t="s">
        <v>40</v>
      </c>
      <c r="K294" s="13" t="s">
        <v>65</v>
      </c>
      <c r="L294" s="14">
        <v>1689.0</v>
      </c>
      <c r="M294" s="18" t="s">
        <v>43</v>
      </c>
      <c r="N294" s="20">
        <v>0.0</v>
      </c>
      <c r="O294" s="18">
        <v>35.6</v>
      </c>
      <c r="P294" s="20">
        <v>5.0</v>
      </c>
      <c r="Q294" s="16">
        <v>46364.0</v>
      </c>
      <c r="R294" s="16" t="s">
        <v>38</v>
      </c>
      <c r="S294" s="13" t="s">
        <v>55</v>
      </c>
      <c r="T294" s="13" t="s">
        <v>75</v>
      </c>
      <c r="U294" s="13" t="str">
        <f t="shared" si="1"/>
        <v>High</v>
      </c>
      <c r="V294" s="13" t="str">
        <f t="shared" si="2"/>
        <v>Median or Above</v>
      </c>
      <c r="W294" s="13" t="str">
        <f t="shared" si="3"/>
        <v>25–48 Months</v>
      </c>
    </row>
    <row r="295" hidden="1">
      <c r="A295" s="13" t="s">
        <v>769</v>
      </c>
      <c r="B295" s="13" t="s">
        <v>448</v>
      </c>
      <c r="C295" s="14">
        <v>41.0</v>
      </c>
      <c r="D295" s="13" t="s">
        <v>85</v>
      </c>
      <c r="E295" s="13" t="s">
        <v>87</v>
      </c>
      <c r="F295" s="13" t="s">
        <v>37</v>
      </c>
      <c r="G295" s="13" t="s">
        <v>80</v>
      </c>
      <c r="H295" s="16">
        <v>44593.0</v>
      </c>
      <c r="I295" s="14">
        <v>48.0</v>
      </c>
      <c r="J295" s="13" t="s">
        <v>53</v>
      </c>
      <c r="K295" s="13" t="s">
        <v>41</v>
      </c>
      <c r="L295" s="14">
        <v>1561.0</v>
      </c>
      <c r="M295" s="18" t="s">
        <v>46</v>
      </c>
      <c r="N295" s="20">
        <v>2.0</v>
      </c>
      <c r="O295" s="18">
        <v>28.6</v>
      </c>
      <c r="P295" s="20">
        <v>4.7</v>
      </c>
      <c r="Q295" s="16">
        <v>45748.0</v>
      </c>
      <c r="R295" s="16" t="s">
        <v>38</v>
      </c>
      <c r="S295" s="13" t="s">
        <v>55</v>
      </c>
      <c r="T295" s="13" t="s">
        <v>66</v>
      </c>
      <c r="U295" s="13" t="str">
        <f t="shared" si="1"/>
        <v>Moderate</v>
      </c>
      <c r="V295" s="13" t="str">
        <f t="shared" si="2"/>
        <v>Median or Above</v>
      </c>
      <c r="W295" s="13" t="str">
        <f t="shared" si="3"/>
        <v>25–48 Months</v>
      </c>
    </row>
    <row r="296" hidden="1">
      <c r="A296" s="13" t="s">
        <v>771</v>
      </c>
      <c r="B296" s="13" t="s">
        <v>91</v>
      </c>
      <c r="C296" s="14">
        <v>51.0</v>
      </c>
      <c r="D296" s="13" t="s">
        <v>85</v>
      </c>
      <c r="E296" s="13" t="s">
        <v>87</v>
      </c>
      <c r="F296" s="13" t="s">
        <v>37</v>
      </c>
      <c r="G296" s="13" t="s">
        <v>210</v>
      </c>
      <c r="H296" s="16">
        <v>44920.0</v>
      </c>
      <c r="I296" s="14">
        <v>27.0</v>
      </c>
      <c r="J296" s="13" t="s">
        <v>53</v>
      </c>
      <c r="K296" s="13" t="s">
        <v>81</v>
      </c>
      <c r="L296" s="14">
        <v>1073.0</v>
      </c>
      <c r="M296" s="18" t="s">
        <v>164</v>
      </c>
      <c r="N296" s="20">
        <v>0.0</v>
      </c>
      <c r="O296" s="18">
        <v>35.8</v>
      </c>
      <c r="P296" s="20">
        <v>4.2</v>
      </c>
      <c r="Q296" s="16">
        <v>45231.0</v>
      </c>
      <c r="R296" s="16" t="s">
        <v>38</v>
      </c>
      <c r="S296" s="13" t="s">
        <v>55</v>
      </c>
      <c r="T296" s="13" t="s">
        <v>66</v>
      </c>
      <c r="U296" s="13" t="str">
        <f t="shared" si="1"/>
        <v>Moderate</v>
      </c>
      <c r="V296" s="13" t="str">
        <f t="shared" si="2"/>
        <v>Median or Above</v>
      </c>
      <c r="W296" s="13" t="str">
        <f t="shared" si="3"/>
        <v>25–48 Months</v>
      </c>
    </row>
    <row r="297" hidden="1">
      <c r="A297" s="13" t="s">
        <v>772</v>
      </c>
      <c r="B297" s="13" t="s">
        <v>235</v>
      </c>
      <c r="C297" s="14">
        <v>35.0</v>
      </c>
      <c r="D297" s="13" t="s">
        <v>85</v>
      </c>
      <c r="E297" s="13" t="s">
        <v>87</v>
      </c>
      <c r="F297" s="13" t="s">
        <v>37</v>
      </c>
      <c r="G297" s="13" t="s">
        <v>128</v>
      </c>
      <c r="H297" s="16">
        <v>45060.0</v>
      </c>
      <c r="I297" s="14">
        <v>22.0</v>
      </c>
      <c r="J297" s="13" t="s">
        <v>40</v>
      </c>
      <c r="K297" s="13" t="s">
        <v>65</v>
      </c>
      <c r="L297" s="14">
        <v>1696.0</v>
      </c>
      <c r="M297" s="18" t="s">
        <v>99</v>
      </c>
      <c r="N297" s="20">
        <v>2.0</v>
      </c>
      <c r="O297" s="18">
        <v>39.8</v>
      </c>
      <c r="P297" s="20">
        <v>3.4</v>
      </c>
      <c r="Q297" s="16">
        <v>45670.0</v>
      </c>
      <c r="R297" s="16">
        <v>45237.0</v>
      </c>
      <c r="S297" s="13" t="s">
        <v>45</v>
      </c>
      <c r="T297" s="13" t="s">
        <v>47</v>
      </c>
      <c r="U297" s="13" t="str">
        <f t="shared" si="1"/>
        <v>Moderate</v>
      </c>
      <c r="V297" s="13" t="str">
        <f t="shared" si="2"/>
        <v>Median or Above</v>
      </c>
      <c r="W297" s="13" t="str">
        <f t="shared" si="3"/>
        <v>13–24 Months</v>
      </c>
    </row>
    <row r="298" hidden="1">
      <c r="A298" s="13" t="s">
        <v>774</v>
      </c>
      <c r="B298" s="13" t="s">
        <v>411</v>
      </c>
      <c r="C298" s="14">
        <v>23.0</v>
      </c>
      <c r="D298" s="13" t="s">
        <v>69</v>
      </c>
      <c r="E298" s="13" t="s">
        <v>177</v>
      </c>
      <c r="F298" s="13" t="s">
        <v>37</v>
      </c>
      <c r="G298" s="13" t="s">
        <v>210</v>
      </c>
      <c r="H298" s="16">
        <v>45619.0</v>
      </c>
      <c r="I298" s="14">
        <v>35.0</v>
      </c>
      <c r="J298" s="13" t="s">
        <v>64</v>
      </c>
      <c r="K298" s="13" t="s">
        <v>41</v>
      </c>
      <c r="L298" s="14">
        <v>633.0</v>
      </c>
      <c r="M298" s="18" t="s">
        <v>43</v>
      </c>
      <c r="N298" s="20">
        <v>3.0</v>
      </c>
      <c r="O298" s="18">
        <v>10.3</v>
      </c>
      <c r="P298" s="20">
        <v>3.7</v>
      </c>
      <c r="Q298" s="16">
        <v>45819.0</v>
      </c>
      <c r="R298" s="16" t="s">
        <v>38</v>
      </c>
      <c r="S298" s="13" t="s">
        <v>55</v>
      </c>
      <c r="T298" s="13" t="s">
        <v>75</v>
      </c>
      <c r="U298" s="13" t="str">
        <f t="shared" si="1"/>
        <v>Moderate</v>
      </c>
      <c r="V298" s="13" t="str">
        <f t="shared" si="2"/>
        <v>Below Median</v>
      </c>
      <c r="W298" s="13" t="str">
        <f t="shared" si="3"/>
        <v>25–48 Months</v>
      </c>
    </row>
    <row r="299" hidden="1">
      <c r="A299" s="13" t="s">
        <v>775</v>
      </c>
      <c r="B299" s="13" t="s">
        <v>362</v>
      </c>
      <c r="C299" s="14">
        <v>35.0</v>
      </c>
      <c r="D299" s="13" t="s">
        <v>60</v>
      </c>
      <c r="E299" s="13" t="s">
        <v>97</v>
      </c>
      <c r="F299" s="13" t="s">
        <v>79</v>
      </c>
      <c r="G299" s="13" t="s">
        <v>63</v>
      </c>
      <c r="H299" s="16">
        <v>44936.0</v>
      </c>
      <c r="I299" s="14">
        <v>48.0</v>
      </c>
      <c r="J299" s="13" t="s">
        <v>40</v>
      </c>
      <c r="K299" s="13" t="s">
        <v>41</v>
      </c>
      <c r="L299" s="14">
        <v>3508.0</v>
      </c>
      <c r="M299" s="18" t="s">
        <v>98</v>
      </c>
      <c r="N299" s="20">
        <v>1.0</v>
      </c>
      <c r="O299" s="18">
        <v>33.0</v>
      </c>
      <c r="P299" s="20">
        <v>3.9</v>
      </c>
      <c r="Q299" s="16">
        <v>45354.0</v>
      </c>
      <c r="R299" s="16" t="s">
        <v>38</v>
      </c>
      <c r="S299" s="13" t="s">
        <v>55</v>
      </c>
      <c r="T299" s="13" t="s">
        <v>47</v>
      </c>
      <c r="U299" s="13" t="str">
        <f t="shared" si="1"/>
        <v>Moderate</v>
      </c>
      <c r="V299" s="13" t="str">
        <f t="shared" si="2"/>
        <v>Median or Above</v>
      </c>
      <c r="W299" s="13" t="str">
        <f t="shared" si="3"/>
        <v>25–48 Months</v>
      </c>
    </row>
    <row r="300" hidden="1">
      <c r="A300" s="13" t="s">
        <v>657</v>
      </c>
      <c r="B300" s="13" t="s">
        <v>257</v>
      </c>
      <c r="C300" s="14">
        <v>58.0</v>
      </c>
      <c r="D300" s="13" t="s">
        <v>60</v>
      </c>
      <c r="E300" s="13" t="s">
        <v>97</v>
      </c>
      <c r="F300" s="13" t="s">
        <v>37</v>
      </c>
      <c r="G300" s="13" t="s">
        <v>63</v>
      </c>
      <c r="H300" s="16">
        <v>44722.0</v>
      </c>
      <c r="I300" s="14">
        <v>44.0</v>
      </c>
      <c r="J300" s="13" t="s">
        <v>53</v>
      </c>
      <c r="K300" s="13" t="s">
        <v>41</v>
      </c>
      <c r="L300" s="14">
        <v>1627.0</v>
      </c>
      <c r="M300" s="18" t="s">
        <v>164</v>
      </c>
      <c r="N300" s="20">
        <v>1.0</v>
      </c>
      <c r="O300" s="18">
        <v>24.6</v>
      </c>
      <c r="P300" s="20">
        <v>3.1</v>
      </c>
      <c r="Q300" s="16">
        <v>45840.0</v>
      </c>
      <c r="R300" s="16">
        <v>44661.0</v>
      </c>
      <c r="S300" s="13" t="s">
        <v>45</v>
      </c>
      <c r="T300" s="13" t="s">
        <v>66</v>
      </c>
      <c r="U300" s="13" t="str">
        <f t="shared" si="1"/>
        <v>Moderate</v>
      </c>
      <c r="V300" s="13" t="str">
        <f t="shared" si="2"/>
        <v>Median or Above</v>
      </c>
      <c r="W300" s="13" t="str">
        <f t="shared" si="3"/>
        <v>25–48 Months</v>
      </c>
    </row>
    <row r="301" hidden="1">
      <c r="A301" s="13" t="s">
        <v>777</v>
      </c>
      <c r="B301" s="13" t="s">
        <v>118</v>
      </c>
      <c r="C301" s="14">
        <v>53.0</v>
      </c>
      <c r="D301" s="13" t="s">
        <v>85</v>
      </c>
      <c r="E301" s="13" t="s">
        <v>111</v>
      </c>
      <c r="F301" s="13" t="s">
        <v>79</v>
      </c>
      <c r="G301" s="13" t="s">
        <v>80</v>
      </c>
      <c r="H301" s="16">
        <v>45135.0</v>
      </c>
      <c r="I301" s="14">
        <v>26.0</v>
      </c>
      <c r="J301" s="13" t="s">
        <v>40</v>
      </c>
      <c r="K301" s="13" t="s">
        <v>81</v>
      </c>
      <c r="L301" s="14">
        <v>2109.0</v>
      </c>
      <c r="M301" s="18" t="s">
        <v>46</v>
      </c>
      <c r="N301" s="20">
        <v>0.0</v>
      </c>
      <c r="O301" s="18">
        <v>38.7</v>
      </c>
      <c r="P301" s="20">
        <v>2.4</v>
      </c>
      <c r="Q301" s="16">
        <v>45683.0</v>
      </c>
      <c r="R301" s="16" t="s">
        <v>38</v>
      </c>
      <c r="S301" s="13" t="s">
        <v>55</v>
      </c>
      <c r="T301" s="13" t="s">
        <v>72</v>
      </c>
      <c r="U301" s="13" t="str">
        <f t="shared" si="1"/>
        <v>Low</v>
      </c>
      <c r="V301" s="13" t="str">
        <f t="shared" si="2"/>
        <v>Median or Above</v>
      </c>
      <c r="W301" s="13" t="str">
        <f t="shared" si="3"/>
        <v>25–48 Months</v>
      </c>
    </row>
    <row r="302" hidden="1">
      <c r="A302" s="13" t="s">
        <v>778</v>
      </c>
      <c r="B302" s="13" t="s">
        <v>135</v>
      </c>
      <c r="C302" s="14">
        <v>39.0</v>
      </c>
      <c r="D302" s="13" t="s">
        <v>69</v>
      </c>
      <c r="E302" s="13" t="s">
        <v>119</v>
      </c>
      <c r="F302" s="13" t="s">
        <v>79</v>
      </c>
      <c r="G302" s="13" t="s">
        <v>52</v>
      </c>
      <c r="H302" s="16">
        <v>45623.0</v>
      </c>
      <c r="I302" s="14">
        <v>30.0</v>
      </c>
      <c r="J302" s="13" t="s">
        <v>53</v>
      </c>
      <c r="K302" s="13" t="s">
        <v>81</v>
      </c>
      <c r="L302" s="14">
        <v>3379.0</v>
      </c>
      <c r="M302" s="18" t="s">
        <v>164</v>
      </c>
      <c r="N302" s="20">
        <v>2.0</v>
      </c>
      <c r="O302" s="18">
        <v>35.5</v>
      </c>
      <c r="P302" s="20">
        <v>3.0</v>
      </c>
      <c r="Q302" s="16">
        <v>45848.0</v>
      </c>
      <c r="R302" s="16" t="s">
        <v>38</v>
      </c>
      <c r="S302" s="13" t="s">
        <v>55</v>
      </c>
      <c r="T302" s="13" t="s">
        <v>72</v>
      </c>
      <c r="U302" s="13" t="str">
        <f t="shared" si="1"/>
        <v>Moderate</v>
      </c>
      <c r="V302" s="13" t="str">
        <f t="shared" si="2"/>
        <v>Median or Above</v>
      </c>
      <c r="W302" s="13" t="str">
        <f t="shared" si="3"/>
        <v>25–48 Months</v>
      </c>
    </row>
    <row r="303" hidden="1">
      <c r="A303" s="13" t="s">
        <v>780</v>
      </c>
      <c r="B303" s="13" t="s">
        <v>281</v>
      </c>
      <c r="C303" s="14">
        <v>44.0</v>
      </c>
      <c r="D303" s="13" t="s">
        <v>60</v>
      </c>
      <c r="E303" s="13" t="s">
        <v>97</v>
      </c>
      <c r="F303" s="13" t="s">
        <v>62</v>
      </c>
      <c r="G303" s="13" t="s">
        <v>80</v>
      </c>
      <c r="H303" s="16">
        <v>45264.0</v>
      </c>
      <c r="I303" s="14">
        <v>24.0</v>
      </c>
      <c r="J303" s="13" t="s">
        <v>53</v>
      </c>
      <c r="K303" s="13" t="s">
        <v>65</v>
      </c>
      <c r="L303" s="14">
        <v>716.0</v>
      </c>
      <c r="M303" s="18" t="s">
        <v>164</v>
      </c>
      <c r="N303" s="20">
        <v>2.0</v>
      </c>
      <c r="O303" s="18">
        <v>10.9</v>
      </c>
      <c r="P303" s="20">
        <v>3.9</v>
      </c>
      <c r="Q303" s="16">
        <v>45991.0</v>
      </c>
      <c r="R303" s="16" t="s">
        <v>38</v>
      </c>
      <c r="S303" s="13" t="s">
        <v>55</v>
      </c>
      <c r="T303" s="13" t="s">
        <v>47</v>
      </c>
      <c r="U303" s="13" t="str">
        <f t="shared" si="1"/>
        <v>Moderate</v>
      </c>
      <c r="V303" s="13" t="str">
        <f t="shared" si="2"/>
        <v>Below Median</v>
      </c>
      <c r="W303" s="13" t="str">
        <f t="shared" si="3"/>
        <v>13–24 Months</v>
      </c>
    </row>
    <row r="304" hidden="1">
      <c r="A304" s="13" t="s">
        <v>781</v>
      </c>
      <c r="B304" s="13" t="s">
        <v>383</v>
      </c>
      <c r="C304" s="14">
        <v>19.0</v>
      </c>
      <c r="D304" s="13" t="s">
        <v>69</v>
      </c>
      <c r="E304" s="13" t="s">
        <v>187</v>
      </c>
      <c r="F304" s="13" t="s">
        <v>37</v>
      </c>
      <c r="G304" s="13" t="s">
        <v>52</v>
      </c>
      <c r="H304" s="16">
        <v>45114.0</v>
      </c>
      <c r="I304" s="14">
        <v>16.0</v>
      </c>
      <c r="J304" s="13" t="s">
        <v>40</v>
      </c>
      <c r="K304" s="13" t="s">
        <v>65</v>
      </c>
      <c r="L304" s="14">
        <v>1199.0</v>
      </c>
      <c r="M304" s="18" t="s">
        <v>164</v>
      </c>
      <c r="N304" s="20">
        <v>1.0</v>
      </c>
      <c r="O304" s="18">
        <v>22.3</v>
      </c>
      <c r="P304" s="20">
        <v>2.3</v>
      </c>
      <c r="Q304" s="16">
        <v>45533.0</v>
      </c>
      <c r="R304" s="16" t="s">
        <v>38</v>
      </c>
      <c r="S304" s="13" t="s">
        <v>55</v>
      </c>
      <c r="T304" s="13" t="s">
        <v>75</v>
      </c>
      <c r="U304" s="13" t="str">
        <f t="shared" si="1"/>
        <v>Low</v>
      </c>
      <c r="V304" s="13" t="str">
        <f t="shared" si="2"/>
        <v>Below Median</v>
      </c>
      <c r="W304" s="13" t="str">
        <f t="shared" si="3"/>
        <v>13–24 Months</v>
      </c>
    </row>
    <row r="305" hidden="1">
      <c r="A305" s="13" t="s">
        <v>783</v>
      </c>
      <c r="B305" s="13" t="s">
        <v>169</v>
      </c>
      <c r="C305" s="14">
        <v>59.0</v>
      </c>
      <c r="D305" s="13" t="s">
        <v>60</v>
      </c>
      <c r="E305" s="13" t="s">
        <v>133</v>
      </c>
      <c r="F305" s="13" t="s">
        <v>62</v>
      </c>
      <c r="G305" s="13" t="s">
        <v>80</v>
      </c>
      <c r="H305" s="16">
        <v>45724.0</v>
      </c>
      <c r="I305" s="14">
        <v>4.0</v>
      </c>
      <c r="J305" s="13" t="s">
        <v>40</v>
      </c>
      <c r="K305" s="13" t="s">
        <v>65</v>
      </c>
      <c r="L305" s="14">
        <v>852.0</v>
      </c>
      <c r="M305" s="18" t="s">
        <v>98</v>
      </c>
      <c r="N305" s="20">
        <v>2.0</v>
      </c>
      <c r="O305" s="18">
        <v>14.1</v>
      </c>
      <c r="P305" s="20">
        <v>3.8</v>
      </c>
      <c r="Q305" s="16">
        <v>45789.0</v>
      </c>
      <c r="R305" s="16" t="s">
        <v>38</v>
      </c>
      <c r="S305" s="13" t="s">
        <v>55</v>
      </c>
      <c r="T305" s="13" t="s">
        <v>72</v>
      </c>
      <c r="U305" s="13" t="str">
        <f t="shared" si="1"/>
        <v>Moderate</v>
      </c>
      <c r="V305" s="13" t="str">
        <f t="shared" si="2"/>
        <v>Below Median</v>
      </c>
      <c r="W305" s="13" t="str">
        <f t="shared" si="3"/>
        <v>0–12 Months</v>
      </c>
    </row>
    <row r="306" hidden="1">
      <c r="A306" s="13" t="s">
        <v>784</v>
      </c>
      <c r="B306" s="13" t="s">
        <v>172</v>
      </c>
      <c r="C306" s="14">
        <v>55.0</v>
      </c>
      <c r="D306" s="13" t="s">
        <v>60</v>
      </c>
      <c r="E306" s="13" t="s">
        <v>107</v>
      </c>
      <c r="F306" s="13" t="s">
        <v>37</v>
      </c>
      <c r="G306" s="13" t="s">
        <v>128</v>
      </c>
      <c r="H306" s="16">
        <v>45089.0</v>
      </c>
      <c r="I306" s="14">
        <v>23.0</v>
      </c>
      <c r="J306" s="13" t="s">
        <v>64</v>
      </c>
      <c r="K306" s="13" t="s">
        <v>81</v>
      </c>
      <c r="L306" s="14">
        <v>1358.0</v>
      </c>
      <c r="M306" s="18" t="s">
        <v>98</v>
      </c>
      <c r="N306" s="20">
        <v>1.0</v>
      </c>
      <c r="O306" s="18">
        <v>21.3</v>
      </c>
      <c r="P306" s="20">
        <v>1.7</v>
      </c>
      <c r="Q306" s="16">
        <v>45794.0</v>
      </c>
      <c r="R306" s="16" t="s">
        <v>38</v>
      </c>
      <c r="S306" s="13" t="s">
        <v>55</v>
      </c>
      <c r="T306" s="13" t="s">
        <v>66</v>
      </c>
      <c r="U306" s="13" t="str">
        <f t="shared" si="1"/>
        <v>Low</v>
      </c>
      <c r="V306" s="13" t="str">
        <f t="shared" si="2"/>
        <v>Below Median</v>
      </c>
      <c r="W306" s="13" t="str">
        <f t="shared" si="3"/>
        <v>13–24 Months</v>
      </c>
    </row>
    <row r="307" hidden="1">
      <c r="A307" s="13" t="s">
        <v>785</v>
      </c>
      <c r="B307" s="13" t="s">
        <v>190</v>
      </c>
      <c r="C307" s="14">
        <v>29.0</v>
      </c>
      <c r="D307" s="13" t="s">
        <v>60</v>
      </c>
      <c r="E307" s="13" t="s">
        <v>107</v>
      </c>
      <c r="F307" s="13" t="s">
        <v>62</v>
      </c>
      <c r="G307" s="13" t="s">
        <v>80</v>
      </c>
      <c r="H307" s="16">
        <v>45560.0</v>
      </c>
      <c r="I307" s="14">
        <v>48.0</v>
      </c>
      <c r="J307" s="13" t="s">
        <v>64</v>
      </c>
      <c r="K307" s="13" t="s">
        <v>65</v>
      </c>
      <c r="L307" s="14">
        <v>539.0</v>
      </c>
      <c r="M307" s="18" t="s">
        <v>164</v>
      </c>
      <c r="N307" s="20">
        <v>0.0</v>
      </c>
      <c r="O307" s="18">
        <v>22.1</v>
      </c>
      <c r="P307" s="20">
        <v>3.5</v>
      </c>
      <c r="Q307" s="16">
        <v>46156.0</v>
      </c>
      <c r="R307" s="16" t="s">
        <v>38</v>
      </c>
      <c r="S307" s="13" t="s">
        <v>55</v>
      </c>
      <c r="T307" s="13" t="s">
        <v>75</v>
      </c>
      <c r="U307" s="13" t="str">
        <f t="shared" si="1"/>
        <v>Moderate</v>
      </c>
      <c r="V307" s="13" t="str">
        <f t="shared" si="2"/>
        <v>Below Median</v>
      </c>
      <c r="W307" s="13" t="str">
        <f t="shared" si="3"/>
        <v>25–48 Months</v>
      </c>
    </row>
    <row r="308" hidden="1">
      <c r="A308" s="13" t="s">
        <v>689</v>
      </c>
      <c r="B308" s="13" t="s">
        <v>222</v>
      </c>
      <c r="C308" s="14">
        <v>47.0</v>
      </c>
      <c r="D308" s="13" t="s">
        <v>85</v>
      </c>
      <c r="E308" s="13" t="s">
        <v>292</v>
      </c>
      <c r="F308" s="13" t="s">
        <v>62</v>
      </c>
      <c r="G308" s="13" t="s">
        <v>63</v>
      </c>
      <c r="H308" s="16">
        <v>45029.0</v>
      </c>
      <c r="I308" s="14">
        <v>21.0</v>
      </c>
      <c r="J308" s="13" t="s">
        <v>53</v>
      </c>
      <c r="K308" s="13" t="s">
        <v>81</v>
      </c>
      <c r="L308" s="14">
        <v>648.0</v>
      </c>
      <c r="M308" s="18" t="s">
        <v>164</v>
      </c>
      <c r="N308" s="20">
        <v>1.0</v>
      </c>
      <c r="O308" s="18">
        <v>23.7</v>
      </c>
      <c r="P308" s="20">
        <v>3.9</v>
      </c>
      <c r="Q308" s="16">
        <v>45658.0</v>
      </c>
      <c r="R308" s="16" t="s">
        <v>38</v>
      </c>
      <c r="S308" s="13" t="s">
        <v>55</v>
      </c>
      <c r="T308" s="13" t="s">
        <v>66</v>
      </c>
      <c r="U308" s="13" t="str">
        <f t="shared" si="1"/>
        <v>Moderate</v>
      </c>
      <c r="V308" s="13" t="str">
        <f t="shared" si="2"/>
        <v>Below Median</v>
      </c>
      <c r="W308" s="13" t="str">
        <f t="shared" si="3"/>
        <v>13–24 Months</v>
      </c>
    </row>
    <row r="309" hidden="1">
      <c r="A309" s="13" t="s">
        <v>786</v>
      </c>
      <c r="B309" s="13" t="s">
        <v>50</v>
      </c>
      <c r="C309" s="14">
        <v>25.0</v>
      </c>
      <c r="D309" s="13" t="s">
        <v>85</v>
      </c>
      <c r="E309" s="13" t="s">
        <v>87</v>
      </c>
      <c r="F309" s="13" t="s">
        <v>62</v>
      </c>
      <c r="G309" s="13" t="s">
        <v>128</v>
      </c>
      <c r="H309" s="16">
        <v>44609.0</v>
      </c>
      <c r="I309" s="14">
        <v>9.0</v>
      </c>
      <c r="J309" s="13" t="s">
        <v>64</v>
      </c>
      <c r="K309" s="13" t="s">
        <v>41</v>
      </c>
      <c r="L309" s="14">
        <v>837.0</v>
      </c>
      <c r="M309" s="18" t="s">
        <v>46</v>
      </c>
      <c r="N309" s="20">
        <v>1.0</v>
      </c>
      <c r="O309" s="18">
        <v>8.9</v>
      </c>
      <c r="P309" s="20">
        <v>3.8</v>
      </c>
      <c r="Q309" s="16" t="s">
        <v>38</v>
      </c>
      <c r="R309" s="16">
        <v>44658.0</v>
      </c>
      <c r="S309" s="13" t="s">
        <v>45</v>
      </c>
      <c r="T309" s="13" t="s">
        <v>75</v>
      </c>
      <c r="U309" s="13" t="str">
        <f t="shared" si="1"/>
        <v>Moderate</v>
      </c>
      <c r="V309" s="13" t="str">
        <f t="shared" si="2"/>
        <v>Below Median</v>
      </c>
      <c r="W309" s="13" t="str">
        <f t="shared" si="3"/>
        <v>0–12 Months</v>
      </c>
    </row>
    <row r="310" hidden="1">
      <c r="A310" s="13" t="s">
        <v>788</v>
      </c>
      <c r="B310" s="13" t="s">
        <v>250</v>
      </c>
      <c r="C310" s="14">
        <v>34.0</v>
      </c>
      <c r="D310" s="13" t="s">
        <v>35</v>
      </c>
      <c r="E310" s="13" t="s">
        <v>36</v>
      </c>
      <c r="F310" s="13" t="s">
        <v>37</v>
      </c>
      <c r="G310" s="13" t="s">
        <v>80</v>
      </c>
      <c r="H310" s="16">
        <v>44732.0</v>
      </c>
      <c r="I310" s="14">
        <v>7.0</v>
      </c>
      <c r="J310" s="13" t="s">
        <v>64</v>
      </c>
      <c r="K310" s="13" t="s">
        <v>65</v>
      </c>
      <c r="L310" s="14">
        <v>1085.0</v>
      </c>
      <c r="M310" s="18" t="s">
        <v>46</v>
      </c>
      <c r="N310" s="20">
        <v>0.0</v>
      </c>
      <c r="O310" s="18">
        <v>49.4</v>
      </c>
      <c r="P310" s="20">
        <v>9.0</v>
      </c>
      <c r="Q310" s="16">
        <v>44841.0</v>
      </c>
      <c r="R310" s="16" t="s">
        <v>38</v>
      </c>
      <c r="S310" s="13" t="s">
        <v>55</v>
      </c>
      <c r="T310" s="13" t="s">
        <v>75</v>
      </c>
      <c r="U310" s="13" t="str">
        <f t="shared" si="1"/>
        <v>Very High</v>
      </c>
      <c r="V310" s="13" t="str">
        <f t="shared" si="2"/>
        <v>Median or Above</v>
      </c>
      <c r="W310" s="13" t="str">
        <f t="shared" si="3"/>
        <v>0–12 Months</v>
      </c>
    </row>
    <row r="311" hidden="1">
      <c r="A311" s="13" t="s">
        <v>789</v>
      </c>
      <c r="B311" s="13" t="s">
        <v>169</v>
      </c>
      <c r="C311" s="14">
        <v>27.0</v>
      </c>
      <c r="D311" s="13" t="s">
        <v>69</v>
      </c>
      <c r="E311" s="13" t="s">
        <v>187</v>
      </c>
      <c r="F311" s="13" t="s">
        <v>37</v>
      </c>
      <c r="G311" s="13" t="s">
        <v>39</v>
      </c>
      <c r="H311" s="16">
        <v>44620.0</v>
      </c>
      <c r="I311" s="14">
        <v>3.0</v>
      </c>
      <c r="J311" s="13" t="s">
        <v>64</v>
      </c>
      <c r="K311" s="13" t="s">
        <v>81</v>
      </c>
      <c r="L311" s="14">
        <v>1486.0</v>
      </c>
      <c r="M311" s="18" t="s">
        <v>99</v>
      </c>
      <c r="N311" s="20">
        <v>1.0</v>
      </c>
      <c r="O311" s="18">
        <v>12.3</v>
      </c>
      <c r="P311" s="20">
        <v>4.4</v>
      </c>
      <c r="Q311" s="16">
        <v>44699.0</v>
      </c>
      <c r="R311" s="16" t="s">
        <v>38</v>
      </c>
      <c r="S311" s="13" t="s">
        <v>55</v>
      </c>
      <c r="T311" s="13" t="s">
        <v>47</v>
      </c>
      <c r="U311" s="13" t="str">
        <f t="shared" si="1"/>
        <v>Moderate</v>
      </c>
      <c r="V311" s="13" t="str">
        <f t="shared" si="2"/>
        <v>Below Median</v>
      </c>
      <c r="W311" s="13" t="str">
        <f t="shared" si="3"/>
        <v>0–12 Months</v>
      </c>
    </row>
    <row r="312" hidden="1">
      <c r="A312" s="13" t="s">
        <v>792</v>
      </c>
      <c r="B312" s="13" t="s">
        <v>184</v>
      </c>
      <c r="C312" s="14">
        <v>45.0</v>
      </c>
      <c r="D312" s="13" t="s">
        <v>85</v>
      </c>
      <c r="E312" s="13" t="s">
        <v>87</v>
      </c>
      <c r="F312" s="13" t="s">
        <v>37</v>
      </c>
      <c r="G312" s="13" t="s">
        <v>52</v>
      </c>
      <c r="H312" s="16">
        <v>45655.0</v>
      </c>
      <c r="I312" s="14">
        <v>20.0</v>
      </c>
      <c r="J312" s="13" t="s">
        <v>53</v>
      </c>
      <c r="K312" s="13" t="s">
        <v>41</v>
      </c>
      <c r="L312" s="14">
        <v>1551.0</v>
      </c>
      <c r="M312" s="18" t="s">
        <v>173</v>
      </c>
      <c r="N312" s="20">
        <v>0.0</v>
      </c>
      <c r="O312" s="18">
        <v>36.0</v>
      </c>
      <c r="P312" s="20">
        <v>3.1</v>
      </c>
      <c r="Q312" s="16">
        <v>45756.0</v>
      </c>
      <c r="R312" s="16" t="s">
        <v>794</v>
      </c>
      <c r="S312" s="13" t="s">
        <v>45</v>
      </c>
      <c r="T312" s="13" t="s">
        <v>72</v>
      </c>
      <c r="U312" s="13" t="str">
        <f t="shared" si="1"/>
        <v>Moderate</v>
      </c>
      <c r="V312" s="13" t="str">
        <f t="shared" si="2"/>
        <v>Median or Above</v>
      </c>
      <c r="W312" s="13" t="str">
        <f t="shared" si="3"/>
        <v>13–24 Months</v>
      </c>
    </row>
    <row r="313" hidden="1">
      <c r="A313" s="13" t="s">
        <v>797</v>
      </c>
      <c r="B313" s="13" t="s">
        <v>202</v>
      </c>
      <c r="C313" s="14">
        <v>37.0</v>
      </c>
      <c r="D313" s="13" t="s">
        <v>35</v>
      </c>
      <c r="E313" s="13" t="s">
        <v>51</v>
      </c>
      <c r="F313" s="13" t="s">
        <v>62</v>
      </c>
      <c r="G313" s="13" t="s">
        <v>120</v>
      </c>
      <c r="H313" s="16">
        <v>45657.0</v>
      </c>
      <c r="I313" s="14">
        <v>1.0</v>
      </c>
      <c r="J313" s="13" t="s">
        <v>64</v>
      </c>
      <c r="K313" s="13" t="s">
        <v>41</v>
      </c>
      <c r="L313" s="14">
        <v>750.0</v>
      </c>
      <c r="M313" s="18" t="s">
        <v>164</v>
      </c>
      <c r="N313" s="20">
        <v>0.0</v>
      </c>
      <c r="O313" s="18">
        <v>3.3</v>
      </c>
      <c r="P313" s="20">
        <v>4.8</v>
      </c>
      <c r="Q313" s="16">
        <v>45686.0</v>
      </c>
      <c r="R313" s="16" t="s">
        <v>38</v>
      </c>
      <c r="S313" s="13" t="s">
        <v>55</v>
      </c>
      <c r="T313" s="13" t="s">
        <v>104</v>
      </c>
      <c r="U313" s="13" t="str">
        <f t="shared" si="1"/>
        <v>Moderate</v>
      </c>
      <c r="V313" s="13" t="str">
        <f t="shared" si="2"/>
        <v>Below Median</v>
      </c>
      <c r="W313" s="13" t="str">
        <f t="shared" si="3"/>
        <v>0–12 Months</v>
      </c>
    </row>
    <row r="314" hidden="1">
      <c r="A314" s="13" t="s">
        <v>800</v>
      </c>
      <c r="B314" s="13" t="s">
        <v>801</v>
      </c>
      <c r="C314" s="14">
        <v>35.0</v>
      </c>
      <c r="D314" s="13" t="s">
        <v>60</v>
      </c>
      <c r="E314" s="13" t="s">
        <v>97</v>
      </c>
      <c r="F314" s="13" t="s">
        <v>62</v>
      </c>
      <c r="G314" s="13" t="s">
        <v>80</v>
      </c>
      <c r="H314" s="16">
        <v>45457.0</v>
      </c>
      <c r="I314" s="14">
        <v>26.0</v>
      </c>
      <c r="J314" s="13" t="s">
        <v>40</v>
      </c>
      <c r="K314" s="13" t="s">
        <v>65</v>
      </c>
      <c r="L314" s="14">
        <v>865.0</v>
      </c>
      <c r="M314" s="18" t="s">
        <v>43</v>
      </c>
      <c r="N314" s="20">
        <v>0.0</v>
      </c>
      <c r="O314" s="18">
        <v>9.2</v>
      </c>
      <c r="P314" s="20">
        <v>3.5</v>
      </c>
      <c r="Q314" s="16">
        <v>45866.0</v>
      </c>
      <c r="R314" s="16" t="s">
        <v>38</v>
      </c>
      <c r="S314" s="13" t="s">
        <v>55</v>
      </c>
      <c r="T314" s="13" t="s">
        <v>47</v>
      </c>
      <c r="U314" s="13" t="str">
        <f t="shared" si="1"/>
        <v>Moderate</v>
      </c>
      <c r="V314" s="13" t="str">
        <f t="shared" si="2"/>
        <v>Below Median</v>
      </c>
      <c r="W314" s="13" t="str">
        <f t="shared" si="3"/>
        <v>25–48 Months</v>
      </c>
    </row>
    <row r="315" hidden="1">
      <c r="A315" s="13" t="s">
        <v>803</v>
      </c>
      <c r="B315" s="13" t="s">
        <v>639</v>
      </c>
      <c r="C315" s="14">
        <v>58.0</v>
      </c>
      <c r="D315" s="13" t="s">
        <v>60</v>
      </c>
      <c r="E315" s="13" t="s">
        <v>107</v>
      </c>
      <c r="F315" s="13" t="s">
        <v>37</v>
      </c>
      <c r="G315" s="13" t="s">
        <v>80</v>
      </c>
      <c r="H315" s="16">
        <v>45112.0</v>
      </c>
      <c r="I315" s="14">
        <v>27.0</v>
      </c>
      <c r="J315" s="13" t="s">
        <v>53</v>
      </c>
      <c r="K315" s="13" t="s">
        <v>65</v>
      </c>
      <c r="L315" s="14">
        <v>1185.0</v>
      </c>
      <c r="M315" s="18" t="s">
        <v>98</v>
      </c>
      <c r="N315" s="20">
        <v>1.0</v>
      </c>
      <c r="O315" s="18">
        <v>38.5</v>
      </c>
      <c r="P315" s="20">
        <v>5.0</v>
      </c>
      <c r="Q315" s="16">
        <v>45418.0</v>
      </c>
      <c r="R315" s="16" t="s">
        <v>38</v>
      </c>
      <c r="S315" s="13" t="s">
        <v>55</v>
      </c>
      <c r="T315" s="13" t="s">
        <v>66</v>
      </c>
      <c r="U315" s="13" t="str">
        <f t="shared" si="1"/>
        <v>High</v>
      </c>
      <c r="V315" s="13" t="str">
        <f t="shared" si="2"/>
        <v>Median or Above</v>
      </c>
      <c r="W315" s="13" t="str">
        <f t="shared" si="3"/>
        <v>25–48 Months</v>
      </c>
    </row>
    <row r="316" hidden="1">
      <c r="A316" s="13" t="s">
        <v>804</v>
      </c>
      <c r="B316" s="13" t="s">
        <v>364</v>
      </c>
      <c r="C316" s="14">
        <v>33.0</v>
      </c>
      <c r="D316" s="13" t="s">
        <v>69</v>
      </c>
      <c r="E316" s="13" t="s">
        <v>177</v>
      </c>
      <c r="F316" s="13" t="s">
        <v>62</v>
      </c>
      <c r="G316" s="13" t="s">
        <v>63</v>
      </c>
      <c r="H316" s="16">
        <v>45657.0</v>
      </c>
      <c r="I316" s="14">
        <v>2.0</v>
      </c>
      <c r="J316" s="13" t="s">
        <v>40</v>
      </c>
      <c r="K316" s="13" t="s">
        <v>65</v>
      </c>
      <c r="L316" s="14">
        <v>551.0</v>
      </c>
      <c r="M316" s="18" t="s">
        <v>98</v>
      </c>
      <c r="N316" s="20">
        <v>2.0</v>
      </c>
      <c r="O316" s="18">
        <v>25.7</v>
      </c>
      <c r="P316" s="20">
        <v>5.0</v>
      </c>
      <c r="Q316" s="16">
        <v>45683.0</v>
      </c>
      <c r="R316" s="16" t="s">
        <v>38</v>
      </c>
      <c r="S316" s="13" t="s">
        <v>55</v>
      </c>
      <c r="T316" s="13" t="s">
        <v>104</v>
      </c>
      <c r="U316" s="13" t="str">
        <f t="shared" si="1"/>
        <v>High</v>
      </c>
      <c r="V316" s="13" t="str">
        <f t="shared" si="2"/>
        <v>Median or Above</v>
      </c>
      <c r="W316" s="13" t="str">
        <f t="shared" si="3"/>
        <v>0–12 Months</v>
      </c>
    </row>
    <row r="317" hidden="1">
      <c r="A317" s="13" t="s">
        <v>806</v>
      </c>
      <c r="B317" s="13" t="s">
        <v>331</v>
      </c>
      <c r="C317" s="14">
        <v>68.0</v>
      </c>
      <c r="D317" s="13" t="s">
        <v>69</v>
      </c>
      <c r="E317" s="13" t="s">
        <v>177</v>
      </c>
      <c r="F317" s="13" t="s">
        <v>62</v>
      </c>
      <c r="G317" s="13" t="s">
        <v>128</v>
      </c>
      <c r="H317" s="16">
        <v>45582.0</v>
      </c>
      <c r="I317" s="14">
        <v>24.0</v>
      </c>
      <c r="J317" s="13" t="s">
        <v>53</v>
      </c>
      <c r="K317" s="13" t="s">
        <v>41</v>
      </c>
      <c r="L317" s="14">
        <v>515.0</v>
      </c>
      <c r="M317" s="18" t="s">
        <v>46</v>
      </c>
      <c r="N317" s="20">
        <v>2.0</v>
      </c>
      <c r="O317" s="18">
        <v>17.6</v>
      </c>
      <c r="P317" s="20">
        <v>2.7</v>
      </c>
      <c r="Q317" s="16">
        <v>45741.0</v>
      </c>
      <c r="R317" s="16" t="s">
        <v>38</v>
      </c>
      <c r="S317" s="13" t="s">
        <v>55</v>
      </c>
      <c r="T317" s="13" t="s">
        <v>66</v>
      </c>
      <c r="U317" s="13" t="str">
        <f t="shared" si="1"/>
        <v>Low</v>
      </c>
      <c r="V317" s="13" t="str">
        <f t="shared" si="2"/>
        <v>Below Median</v>
      </c>
      <c r="W317" s="13" t="str">
        <f t="shared" si="3"/>
        <v>13–24 Months</v>
      </c>
    </row>
    <row r="318" hidden="1">
      <c r="A318" s="13" t="s">
        <v>807</v>
      </c>
      <c r="B318" s="13" t="s">
        <v>163</v>
      </c>
      <c r="C318" s="14">
        <v>66.0</v>
      </c>
      <c r="D318" s="13" t="s">
        <v>69</v>
      </c>
      <c r="E318" s="13" t="s">
        <v>187</v>
      </c>
      <c r="F318" s="13" t="s">
        <v>79</v>
      </c>
      <c r="G318" s="13" t="s">
        <v>210</v>
      </c>
      <c r="H318" s="16">
        <v>45343.0</v>
      </c>
      <c r="I318" s="14">
        <v>1.0</v>
      </c>
      <c r="J318" s="13" t="s">
        <v>40</v>
      </c>
      <c r="K318" s="13" t="s">
        <v>41</v>
      </c>
      <c r="L318" s="14">
        <v>2508.0</v>
      </c>
      <c r="M318" s="18" t="s">
        <v>46</v>
      </c>
      <c r="N318" s="20">
        <v>1.0</v>
      </c>
      <c r="O318" s="18">
        <v>29.2</v>
      </c>
      <c r="P318" s="20">
        <v>3.4</v>
      </c>
      <c r="Q318" s="16">
        <v>45377.0</v>
      </c>
      <c r="R318" s="16" t="s">
        <v>38</v>
      </c>
      <c r="S318" s="13" t="s">
        <v>55</v>
      </c>
      <c r="T318" s="13" t="s">
        <v>75</v>
      </c>
      <c r="U318" s="13" t="str">
        <f t="shared" si="1"/>
        <v>Moderate</v>
      </c>
      <c r="V318" s="13" t="str">
        <f t="shared" si="2"/>
        <v>Median or Above</v>
      </c>
      <c r="W318" s="13" t="str">
        <f t="shared" si="3"/>
        <v>0–12 Months</v>
      </c>
    </row>
    <row r="319" hidden="1">
      <c r="A319" s="13" t="s">
        <v>808</v>
      </c>
      <c r="B319" s="13" t="s">
        <v>247</v>
      </c>
      <c r="C319" s="14">
        <v>35.0</v>
      </c>
      <c r="D319" s="13" t="s">
        <v>35</v>
      </c>
      <c r="E319" s="13" t="s">
        <v>51</v>
      </c>
      <c r="F319" s="13" t="s">
        <v>37</v>
      </c>
      <c r="G319" s="13" t="s">
        <v>52</v>
      </c>
      <c r="H319" s="16">
        <v>45201.0</v>
      </c>
      <c r="I319" s="14">
        <v>21.0</v>
      </c>
      <c r="J319" s="13" t="s">
        <v>53</v>
      </c>
      <c r="K319" s="13" t="s">
        <v>81</v>
      </c>
      <c r="L319" s="14">
        <v>1042.0</v>
      </c>
      <c r="M319" s="18" t="s">
        <v>46</v>
      </c>
      <c r="N319" s="20">
        <v>1.0</v>
      </c>
      <c r="O319" s="18">
        <v>32.5</v>
      </c>
      <c r="P319" s="20">
        <v>3.4</v>
      </c>
      <c r="Q319" s="16">
        <v>45773.0</v>
      </c>
      <c r="R319" s="16" t="s">
        <v>38</v>
      </c>
      <c r="S319" s="13" t="s">
        <v>55</v>
      </c>
      <c r="T319" s="13" t="s">
        <v>72</v>
      </c>
      <c r="U319" s="13" t="str">
        <f t="shared" si="1"/>
        <v>Moderate</v>
      </c>
      <c r="V319" s="13" t="str">
        <f t="shared" si="2"/>
        <v>Median or Above</v>
      </c>
      <c r="W319" s="13" t="str">
        <f t="shared" si="3"/>
        <v>13–24 Months</v>
      </c>
    </row>
    <row r="320" hidden="1">
      <c r="A320" s="13" t="s">
        <v>809</v>
      </c>
      <c r="B320" s="13" t="s">
        <v>398</v>
      </c>
      <c r="C320" s="14">
        <v>44.0</v>
      </c>
      <c r="D320" s="13" t="s">
        <v>60</v>
      </c>
      <c r="E320" s="13" t="s">
        <v>61</v>
      </c>
      <c r="F320" s="13" t="s">
        <v>37</v>
      </c>
      <c r="G320" s="13" t="s">
        <v>39</v>
      </c>
      <c r="H320" s="16">
        <v>44793.0</v>
      </c>
      <c r="I320" s="14">
        <v>16.0</v>
      </c>
      <c r="J320" s="13" t="s">
        <v>40</v>
      </c>
      <c r="K320" s="13" t="s">
        <v>41</v>
      </c>
      <c r="L320" s="14">
        <v>2341.0</v>
      </c>
      <c r="M320" s="18" t="s">
        <v>99</v>
      </c>
      <c r="N320" s="20">
        <v>1.0</v>
      </c>
      <c r="O320" s="18">
        <v>39.9</v>
      </c>
      <c r="P320" s="20">
        <v>4.5</v>
      </c>
      <c r="Q320" s="16">
        <v>45209.0</v>
      </c>
      <c r="R320" s="16" t="s">
        <v>38</v>
      </c>
      <c r="S320" s="13" t="s">
        <v>55</v>
      </c>
      <c r="T320" s="13" t="s">
        <v>104</v>
      </c>
      <c r="U320" s="13" t="str">
        <f t="shared" si="1"/>
        <v>Moderate</v>
      </c>
      <c r="V320" s="13" t="str">
        <f t="shared" si="2"/>
        <v>Median or Above</v>
      </c>
      <c r="W320" s="13" t="str">
        <f t="shared" si="3"/>
        <v>13–24 Months</v>
      </c>
    </row>
    <row r="321" hidden="1">
      <c r="A321" s="13" t="s">
        <v>810</v>
      </c>
      <c r="B321" s="13" t="s">
        <v>132</v>
      </c>
      <c r="C321" s="14">
        <v>41.0</v>
      </c>
      <c r="D321" s="13" t="s">
        <v>85</v>
      </c>
      <c r="E321" s="13" t="s">
        <v>111</v>
      </c>
      <c r="F321" s="13" t="s">
        <v>62</v>
      </c>
      <c r="G321" s="13" t="s">
        <v>63</v>
      </c>
      <c r="H321" s="16">
        <v>45071.0</v>
      </c>
      <c r="I321" s="14">
        <v>11.0</v>
      </c>
      <c r="J321" s="13" t="s">
        <v>64</v>
      </c>
      <c r="K321" s="13" t="s">
        <v>41</v>
      </c>
      <c r="L321" s="14">
        <v>850.0</v>
      </c>
      <c r="M321" s="18" t="s">
        <v>99</v>
      </c>
      <c r="N321" s="20">
        <v>0.0</v>
      </c>
      <c r="O321" s="18">
        <v>8.4</v>
      </c>
      <c r="P321" s="20">
        <v>3.8</v>
      </c>
      <c r="Q321" s="16">
        <v>45401.0</v>
      </c>
      <c r="R321" s="16" t="s">
        <v>38</v>
      </c>
      <c r="S321" s="13" t="s">
        <v>55</v>
      </c>
      <c r="T321" s="13" t="s">
        <v>66</v>
      </c>
      <c r="U321" s="13" t="str">
        <f t="shared" si="1"/>
        <v>Moderate</v>
      </c>
      <c r="V321" s="13" t="str">
        <f t="shared" si="2"/>
        <v>Below Median</v>
      </c>
      <c r="W321" s="13" t="str">
        <f t="shared" si="3"/>
        <v>0–12 Months</v>
      </c>
    </row>
    <row r="322" hidden="1">
      <c r="A322" s="13" t="s">
        <v>811</v>
      </c>
      <c r="B322" s="13" t="s">
        <v>68</v>
      </c>
      <c r="C322" s="14">
        <v>35.0</v>
      </c>
      <c r="D322" s="13" t="s">
        <v>69</v>
      </c>
      <c r="E322" s="13" t="s">
        <v>119</v>
      </c>
      <c r="F322" s="13" t="s">
        <v>62</v>
      </c>
      <c r="G322" s="13" t="s">
        <v>80</v>
      </c>
      <c r="H322" s="16">
        <v>45882.0</v>
      </c>
      <c r="I322" s="14">
        <v>23.0</v>
      </c>
      <c r="J322" s="13" t="s">
        <v>40</v>
      </c>
      <c r="K322" s="13" t="s">
        <v>65</v>
      </c>
      <c r="L322" s="14">
        <v>723.0</v>
      </c>
      <c r="M322" s="18" t="s">
        <v>46</v>
      </c>
      <c r="N322" s="20">
        <v>0.0</v>
      </c>
      <c r="O322" s="18">
        <v>11.7</v>
      </c>
      <c r="P322" s="20">
        <v>3.1</v>
      </c>
      <c r="Q322" s="16">
        <v>45913.0</v>
      </c>
      <c r="R322" s="16">
        <v>46091.0</v>
      </c>
      <c r="S322" s="13" t="s">
        <v>45</v>
      </c>
      <c r="T322" s="13" t="s">
        <v>75</v>
      </c>
      <c r="U322" s="13" t="str">
        <f t="shared" si="1"/>
        <v>Moderate</v>
      </c>
      <c r="V322" s="13" t="str">
        <f t="shared" si="2"/>
        <v>Below Median</v>
      </c>
      <c r="W322" s="13" t="str">
        <f t="shared" si="3"/>
        <v>13–24 Months</v>
      </c>
    </row>
    <row r="323" hidden="1">
      <c r="A323" s="13" t="s">
        <v>813</v>
      </c>
      <c r="B323" s="13" t="s">
        <v>145</v>
      </c>
      <c r="C323" s="14">
        <v>23.0</v>
      </c>
      <c r="D323" s="13" t="s">
        <v>60</v>
      </c>
      <c r="E323" s="13" t="s">
        <v>133</v>
      </c>
      <c r="F323" s="13" t="s">
        <v>62</v>
      </c>
      <c r="G323" s="13" t="s">
        <v>39</v>
      </c>
      <c r="H323" s="16">
        <v>45675.0</v>
      </c>
      <c r="I323" s="14">
        <v>23.0</v>
      </c>
      <c r="J323" s="13" t="s">
        <v>64</v>
      </c>
      <c r="K323" s="13" t="s">
        <v>41</v>
      </c>
      <c r="L323" s="14">
        <v>738.0</v>
      </c>
      <c r="M323" s="18" t="s">
        <v>98</v>
      </c>
      <c r="N323" s="20">
        <v>1.0</v>
      </c>
      <c r="O323" s="18">
        <v>2.2</v>
      </c>
      <c r="P323" s="20">
        <v>4.4</v>
      </c>
      <c r="Q323" s="16">
        <v>46298.0</v>
      </c>
      <c r="R323" s="16" t="s">
        <v>38</v>
      </c>
      <c r="S323" s="13" t="s">
        <v>55</v>
      </c>
      <c r="T323" s="13" t="s">
        <v>75</v>
      </c>
      <c r="U323" s="13" t="str">
        <f t="shared" si="1"/>
        <v>Moderate</v>
      </c>
      <c r="V323" s="13" t="str">
        <f t="shared" si="2"/>
        <v>Below Median</v>
      </c>
      <c r="W323" s="13" t="str">
        <f t="shared" si="3"/>
        <v>13–24 Months</v>
      </c>
    </row>
    <row r="324" hidden="1">
      <c r="A324" s="13" t="s">
        <v>814</v>
      </c>
      <c r="B324" s="13" t="s">
        <v>312</v>
      </c>
      <c r="C324" s="14">
        <v>39.0</v>
      </c>
      <c r="D324" s="13" t="s">
        <v>60</v>
      </c>
      <c r="E324" s="13" t="s">
        <v>107</v>
      </c>
      <c r="F324" s="13" t="s">
        <v>37</v>
      </c>
      <c r="G324" s="13" t="s">
        <v>128</v>
      </c>
      <c r="H324" s="16">
        <v>45868.0</v>
      </c>
      <c r="I324" s="14">
        <v>33.0</v>
      </c>
      <c r="J324" s="13" t="s">
        <v>64</v>
      </c>
      <c r="K324" s="13" t="s">
        <v>41</v>
      </c>
      <c r="L324" s="14">
        <v>1018.0</v>
      </c>
      <c r="M324" s="18" t="s">
        <v>173</v>
      </c>
      <c r="N324" s="20">
        <v>1.0</v>
      </c>
      <c r="O324" s="18">
        <v>7.8</v>
      </c>
      <c r="P324" s="20">
        <v>3.4</v>
      </c>
      <c r="Q324" s="16">
        <v>46755.0</v>
      </c>
      <c r="R324" s="16" t="s">
        <v>38</v>
      </c>
      <c r="S324" s="13" t="s">
        <v>55</v>
      </c>
      <c r="T324" s="13" t="s">
        <v>66</v>
      </c>
      <c r="U324" s="13" t="str">
        <f t="shared" si="1"/>
        <v>Moderate</v>
      </c>
      <c r="V324" s="13" t="str">
        <f t="shared" si="2"/>
        <v>Below Median</v>
      </c>
      <c r="W324" s="13" t="str">
        <f t="shared" si="3"/>
        <v>25–48 Months</v>
      </c>
    </row>
    <row r="325" hidden="1">
      <c r="A325" s="13" t="s">
        <v>815</v>
      </c>
      <c r="B325" s="13" t="s">
        <v>247</v>
      </c>
      <c r="C325" s="14">
        <v>21.0</v>
      </c>
      <c r="D325" s="13" t="s">
        <v>69</v>
      </c>
      <c r="E325" s="13" t="s">
        <v>119</v>
      </c>
      <c r="F325" s="13" t="s">
        <v>37</v>
      </c>
      <c r="G325" s="13" t="s">
        <v>39</v>
      </c>
      <c r="H325" s="16">
        <v>45817.0</v>
      </c>
      <c r="I325" s="14">
        <v>19.0</v>
      </c>
      <c r="J325" s="13" t="s">
        <v>40</v>
      </c>
      <c r="K325" s="13" t="s">
        <v>41</v>
      </c>
      <c r="L325" s="14">
        <v>1328.0</v>
      </c>
      <c r="M325" s="18" t="s">
        <v>99</v>
      </c>
      <c r="N325" s="20">
        <v>1.0</v>
      </c>
      <c r="O325" s="18">
        <v>49.2</v>
      </c>
      <c r="P325" s="20">
        <v>2.3</v>
      </c>
      <c r="Q325" s="16">
        <v>45925.0</v>
      </c>
      <c r="R325" s="16" t="s">
        <v>38</v>
      </c>
      <c r="S325" s="13" t="s">
        <v>55</v>
      </c>
      <c r="T325" s="13" t="s">
        <v>104</v>
      </c>
      <c r="U325" s="13" t="str">
        <f t="shared" si="1"/>
        <v>Low</v>
      </c>
      <c r="V325" s="13" t="str">
        <f t="shared" si="2"/>
        <v>Median or Above</v>
      </c>
      <c r="W325" s="13" t="str">
        <f t="shared" si="3"/>
        <v>13–24 Months</v>
      </c>
    </row>
    <row r="326" hidden="1">
      <c r="A326" s="13" t="s">
        <v>816</v>
      </c>
      <c r="B326" s="13" t="s">
        <v>295</v>
      </c>
      <c r="C326" s="14">
        <v>33.0</v>
      </c>
      <c r="D326" s="13" t="s">
        <v>85</v>
      </c>
      <c r="E326" s="13" t="s">
        <v>140</v>
      </c>
      <c r="F326" s="13" t="s">
        <v>62</v>
      </c>
      <c r="G326" s="13" t="s">
        <v>63</v>
      </c>
      <c r="H326" s="16">
        <v>45731.0</v>
      </c>
      <c r="I326" s="14">
        <v>42.0</v>
      </c>
      <c r="J326" s="13" t="s">
        <v>64</v>
      </c>
      <c r="K326" s="13" t="s">
        <v>81</v>
      </c>
      <c r="L326" s="14">
        <v>835.0</v>
      </c>
      <c r="M326" s="18" t="s">
        <v>99</v>
      </c>
      <c r="N326" s="20">
        <v>2.0</v>
      </c>
      <c r="O326" s="18">
        <v>15.1</v>
      </c>
      <c r="P326" s="20">
        <v>4.0</v>
      </c>
      <c r="Q326" s="16">
        <v>46949.0</v>
      </c>
      <c r="R326" s="16" t="s">
        <v>818</v>
      </c>
      <c r="S326" s="13" t="s">
        <v>45</v>
      </c>
      <c r="T326" s="13" t="s">
        <v>104</v>
      </c>
      <c r="U326" s="13" t="str">
        <f t="shared" si="1"/>
        <v>Moderate</v>
      </c>
      <c r="V326" s="13" t="str">
        <f t="shared" si="2"/>
        <v>Below Median</v>
      </c>
      <c r="W326" s="13" t="str">
        <f t="shared" si="3"/>
        <v>25–48 Months</v>
      </c>
    </row>
    <row r="327" hidden="1">
      <c r="A327" s="13" t="s">
        <v>819</v>
      </c>
      <c r="B327" s="13" t="s">
        <v>74</v>
      </c>
      <c r="C327" s="14">
        <v>58.0</v>
      </c>
      <c r="D327" s="13" t="s">
        <v>69</v>
      </c>
      <c r="E327" s="13" t="s">
        <v>119</v>
      </c>
      <c r="F327" s="13" t="s">
        <v>79</v>
      </c>
      <c r="G327" s="13" t="s">
        <v>128</v>
      </c>
      <c r="H327" s="16">
        <v>44725.0</v>
      </c>
      <c r="I327" s="14">
        <v>30.0</v>
      </c>
      <c r="J327" s="13" t="s">
        <v>53</v>
      </c>
      <c r="K327" s="13" t="s">
        <v>81</v>
      </c>
      <c r="L327" s="14">
        <v>3141.0</v>
      </c>
      <c r="M327" s="18" t="s">
        <v>98</v>
      </c>
      <c r="N327" s="20">
        <v>0.0</v>
      </c>
      <c r="O327" s="18">
        <v>40.0</v>
      </c>
      <c r="P327" s="20">
        <v>4.6</v>
      </c>
      <c r="Q327" s="16">
        <v>45496.0</v>
      </c>
      <c r="R327" s="16">
        <v>45239.0</v>
      </c>
      <c r="S327" s="13" t="s">
        <v>45</v>
      </c>
      <c r="T327" s="13" t="s">
        <v>104</v>
      </c>
      <c r="U327" s="13" t="str">
        <f t="shared" si="1"/>
        <v>Moderate</v>
      </c>
      <c r="V327" s="13" t="str">
        <f t="shared" si="2"/>
        <v>Median or Above</v>
      </c>
      <c r="W327" s="13" t="str">
        <f t="shared" si="3"/>
        <v>25–48 Months</v>
      </c>
    </row>
    <row r="328" hidden="1">
      <c r="A328" s="13" t="s">
        <v>822</v>
      </c>
      <c r="B328" s="13" t="s">
        <v>362</v>
      </c>
      <c r="C328" s="14">
        <v>55.0</v>
      </c>
      <c r="D328" s="13" t="s">
        <v>35</v>
      </c>
      <c r="E328" s="13" t="s">
        <v>161</v>
      </c>
      <c r="F328" s="13" t="s">
        <v>62</v>
      </c>
      <c r="G328" s="13" t="s">
        <v>39</v>
      </c>
      <c r="H328" s="16">
        <v>45625.0</v>
      </c>
      <c r="I328" s="14">
        <v>7.0</v>
      </c>
      <c r="J328" s="13" t="s">
        <v>64</v>
      </c>
      <c r="K328" s="13" t="s">
        <v>41</v>
      </c>
      <c r="L328" s="14">
        <v>617.0</v>
      </c>
      <c r="M328" s="18" t="s">
        <v>164</v>
      </c>
      <c r="N328" s="20">
        <v>2.0</v>
      </c>
      <c r="O328" s="18">
        <v>13.2</v>
      </c>
      <c r="P328" s="20">
        <v>4.9</v>
      </c>
      <c r="Q328" s="16">
        <v>45683.0</v>
      </c>
      <c r="R328" s="16" t="s">
        <v>38</v>
      </c>
      <c r="S328" s="13" t="s">
        <v>55</v>
      </c>
      <c r="T328" s="13" t="s">
        <v>66</v>
      </c>
      <c r="U328" s="13" t="str">
        <f t="shared" si="1"/>
        <v>Moderate</v>
      </c>
      <c r="V328" s="13" t="str">
        <f t="shared" si="2"/>
        <v>Below Median</v>
      </c>
      <c r="W328" s="13" t="str">
        <f t="shared" si="3"/>
        <v>0–12 Months</v>
      </c>
    </row>
    <row r="329" hidden="1">
      <c r="A329" s="13" t="s">
        <v>823</v>
      </c>
      <c r="B329" s="13" t="s">
        <v>106</v>
      </c>
      <c r="C329" s="14">
        <v>54.0</v>
      </c>
      <c r="D329" s="13" t="s">
        <v>85</v>
      </c>
      <c r="E329" s="13" t="s">
        <v>292</v>
      </c>
      <c r="F329" s="13" t="s">
        <v>37</v>
      </c>
      <c r="G329" s="13" t="s">
        <v>80</v>
      </c>
      <c r="H329" s="16">
        <v>45295.0</v>
      </c>
      <c r="I329" s="14">
        <v>44.0</v>
      </c>
      <c r="J329" s="13" t="s">
        <v>53</v>
      </c>
      <c r="K329" s="13" t="s">
        <v>81</v>
      </c>
      <c r="L329" s="14">
        <v>1436.0</v>
      </c>
      <c r="M329" s="18" t="s">
        <v>43</v>
      </c>
      <c r="N329" s="20">
        <v>2.0</v>
      </c>
      <c r="O329" s="18">
        <v>31.3</v>
      </c>
      <c r="P329" s="20">
        <v>5.0</v>
      </c>
      <c r="Q329" s="16">
        <v>45518.0</v>
      </c>
      <c r="R329" s="16" t="s">
        <v>38</v>
      </c>
      <c r="S329" s="13" t="s">
        <v>55</v>
      </c>
      <c r="T329" s="13" t="s">
        <v>72</v>
      </c>
      <c r="U329" s="13" t="str">
        <f t="shared" si="1"/>
        <v>High</v>
      </c>
      <c r="V329" s="13" t="str">
        <f t="shared" si="2"/>
        <v>Median or Above</v>
      </c>
      <c r="W329" s="13" t="str">
        <f t="shared" si="3"/>
        <v>25–48 Months</v>
      </c>
    </row>
    <row r="330" hidden="1">
      <c r="A330" s="13" t="s">
        <v>262</v>
      </c>
      <c r="B330" s="13" t="s">
        <v>172</v>
      </c>
      <c r="C330" s="14">
        <v>55.0</v>
      </c>
      <c r="D330" s="13" t="s">
        <v>69</v>
      </c>
      <c r="E330" s="13" t="s">
        <v>119</v>
      </c>
      <c r="F330" s="13" t="s">
        <v>79</v>
      </c>
      <c r="G330" s="13" t="s">
        <v>210</v>
      </c>
      <c r="H330" s="16">
        <v>45688.0</v>
      </c>
      <c r="I330" s="14">
        <v>21.0</v>
      </c>
      <c r="J330" s="13" t="s">
        <v>64</v>
      </c>
      <c r="K330" s="13" t="s">
        <v>41</v>
      </c>
      <c r="L330" s="14">
        <v>3295.0</v>
      </c>
      <c r="M330" s="18" t="s">
        <v>164</v>
      </c>
      <c r="N330" s="20">
        <v>1.0</v>
      </c>
      <c r="O330" s="18">
        <v>36.9</v>
      </c>
      <c r="P330" s="20">
        <v>4.6</v>
      </c>
      <c r="Q330" s="16">
        <v>46138.0</v>
      </c>
      <c r="R330" s="16" t="s">
        <v>825</v>
      </c>
      <c r="S330" s="13" t="s">
        <v>45</v>
      </c>
      <c r="T330" s="13" t="s">
        <v>75</v>
      </c>
      <c r="U330" s="13" t="str">
        <f t="shared" si="1"/>
        <v>Moderate</v>
      </c>
      <c r="V330" s="13" t="str">
        <f t="shared" si="2"/>
        <v>Median or Above</v>
      </c>
      <c r="W330" s="13" t="str">
        <f t="shared" si="3"/>
        <v>13–24 Months</v>
      </c>
    </row>
    <row r="331" hidden="1">
      <c r="A331" s="13" t="s">
        <v>196</v>
      </c>
      <c r="B331" s="13" t="s">
        <v>152</v>
      </c>
      <c r="C331" s="14">
        <v>38.0</v>
      </c>
      <c r="D331" s="13" t="s">
        <v>60</v>
      </c>
      <c r="E331" s="13" t="s">
        <v>107</v>
      </c>
      <c r="F331" s="13" t="s">
        <v>79</v>
      </c>
      <c r="G331" s="13" t="s">
        <v>120</v>
      </c>
      <c r="H331" s="16">
        <v>45375.0</v>
      </c>
      <c r="I331" s="14">
        <v>1.0</v>
      </c>
      <c r="J331" s="13" t="s">
        <v>40</v>
      </c>
      <c r="K331" s="13" t="s">
        <v>41</v>
      </c>
      <c r="L331" s="14">
        <v>2032.0</v>
      </c>
      <c r="M331" s="18" t="s">
        <v>46</v>
      </c>
      <c r="N331" s="20">
        <v>0.0</v>
      </c>
      <c r="O331" s="18">
        <v>45.6</v>
      </c>
      <c r="P331" s="20">
        <v>4.7</v>
      </c>
      <c r="Q331" s="16">
        <v>45418.0</v>
      </c>
      <c r="R331" s="16" t="s">
        <v>826</v>
      </c>
      <c r="S331" s="13" t="s">
        <v>55</v>
      </c>
      <c r="T331" s="13" t="s">
        <v>72</v>
      </c>
      <c r="U331" s="13" t="str">
        <f t="shared" si="1"/>
        <v>Moderate</v>
      </c>
      <c r="V331" s="13" t="str">
        <f t="shared" si="2"/>
        <v>Median or Above</v>
      </c>
      <c r="W331" s="13" t="str">
        <f t="shared" si="3"/>
        <v>0–12 Months</v>
      </c>
    </row>
    <row r="332" hidden="1">
      <c r="A332" s="13" t="s">
        <v>828</v>
      </c>
      <c r="B332" s="13" t="s">
        <v>420</v>
      </c>
      <c r="C332" s="14">
        <v>24.0</v>
      </c>
      <c r="D332" s="13" t="s">
        <v>60</v>
      </c>
      <c r="E332" s="13" t="s">
        <v>97</v>
      </c>
      <c r="F332" s="13" t="s">
        <v>62</v>
      </c>
      <c r="G332" s="13" t="s">
        <v>120</v>
      </c>
      <c r="H332" s="16">
        <v>45290.0</v>
      </c>
      <c r="I332" s="14">
        <v>10.0</v>
      </c>
      <c r="J332" s="13" t="s">
        <v>64</v>
      </c>
      <c r="K332" s="13" t="s">
        <v>65</v>
      </c>
      <c r="L332" s="14">
        <v>686.0</v>
      </c>
      <c r="M332" s="18" t="s">
        <v>98</v>
      </c>
      <c r="N332" s="20">
        <v>1.0</v>
      </c>
      <c r="O332" s="18">
        <v>27.2</v>
      </c>
      <c r="P332" s="20">
        <v>3.2</v>
      </c>
      <c r="Q332" s="16">
        <v>45419.0</v>
      </c>
      <c r="R332" s="16" t="s">
        <v>38</v>
      </c>
      <c r="S332" s="13" t="s">
        <v>55</v>
      </c>
      <c r="T332" s="13" t="s">
        <v>66</v>
      </c>
      <c r="U332" s="13" t="str">
        <f t="shared" si="1"/>
        <v>Moderate</v>
      </c>
      <c r="V332" s="13" t="str">
        <f t="shared" si="2"/>
        <v>Median or Above</v>
      </c>
      <c r="W332" s="13" t="str">
        <f t="shared" si="3"/>
        <v>0–12 Months</v>
      </c>
    </row>
    <row r="333" hidden="1">
      <c r="A333" s="13" t="s">
        <v>829</v>
      </c>
      <c r="B333" s="13" t="s">
        <v>202</v>
      </c>
      <c r="C333" s="14">
        <v>24.0</v>
      </c>
      <c r="D333" s="13" t="s">
        <v>35</v>
      </c>
      <c r="E333" s="13" t="s">
        <v>161</v>
      </c>
      <c r="F333" s="13" t="s">
        <v>37</v>
      </c>
      <c r="G333" s="13" t="s">
        <v>39</v>
      </c>
      <c r="H333" s="16">
        <v>45561.0</v>
      </c>
      <c r="I333" s="14">
        <v>45.0</v>
      </c>
      <c r="J333" s="13" t="s">
        <v>40</v>
      </c>
      <c r="K333" s="13" t="s">
        <v>65</v>
      </c>
      <c r="L333" s="14">
        <v>1608.0</v>
      </c>
      <c r="M333" s="18" t="s">
        <v>46</v>
      </c>
      <c r="N333" s="20">
        <v>3.0</v>
      </c>
      <c r="O333" s="18">
        <v>23.7</v>
      </c>
      <c r="P333" s="20">
        <v>4.5</v>
      </c>
      <c r="Q333" s="16">
        <v>46186.0</v>
      </c>
      <c r="R333" s="16" t="s">
        <v>38</v>
      </c>
      <c r="S333" s="13" t="s">
        <v>55</v>
      </c>
      <c r="T333" s="13" t="s">
        <v>72</v>
      </c>
      <c r="U333" s="13" t="str">
        <f t="shared" si="1"/>
        <v>Moderate</v>
      </c>
      <c r="V333" s="13" t="str">
        <f t="shared" si="2"/>
        <v>Below Median</v>
      </c>
      <c r="W333" s="13" t="str">
        <f t="shared" si="3"/>
        <v>25–48 Months</v>
      </c>
    </row>
    <row r="334" hidden="1">
      <c r="A334" s="13" t="s">
        <v>830</v>
      </c>
      <c r="B334" s="13" t="s">
        <v>152</v>
      </c>
      <c r="C334" s="14">
        <v>39.0</v>
      </c>
      <c r="D334" s="13" t="s">
        <v>85</v>
      </c>
      <c r="E334" s="13" t="s">
        <v>292</v>
      </c>
      <c r="F334" s="13" t="s">
        <v>79</v>
      </c>
      <c r="G334" s="13" t="s">
        <v>39</v>
      </c>
      <c r="H334" s="16">
        <v>45898.0</v>
      </c>
      <c r="I334" s="14">
        <v>39.0</v>
      </c>
      <c r="J334" s="13" t="s">
        <v>64</v>
      </c>
      <c r="K334" s="13" t="s">
        <v>81</v>
      </c>
      <c r="L334" s="14">
        <v>3293.0</v>
      </c>
      <c r="M334" s="18" t="s">
        <v>99</v>
      </c>
      <c r="N334" s="20">
        <v>1.0</v>
      </c>
      <c r="O334" s="18">
        <v>44.4</v>
      </c>
      <c r="P334" s="20">
        <v>4.4</v>
      </c>
      <c r="Q334" s="16">
        <v>46691.0</v>
      </c>
      <c r="R334" s="16" t="s">
        <v>831</v>
      </c>
      <c r="S334" s="13" t="s">
        <v>45</v>
      </c>
      <c r="T334" s="13" t="s">
        <v>47</v>
      </c>
      <c r="U334" s="13" t="str">
        <f t="shared" si="1"/>
        <v>Moderate</v>
      </c>
      <c r="V334" s="13" t="str">
        <f t="shared" si="2"/>
        <v>Median or Above</v>
      </c>
      <c r="W334" s="13" t="str">
        <f t="shared" si="3"/>
        <v>25–48 Months</v>
      </c>
    </row>
    <row r="335" hidden="1">
      <c r="A335" s="13" t="s">
        <v>832</v>
      </c>
      <c r="B335" s="13" t="s">
        <v>139</v>
      </c>
      <c r="C335" s="14">
        <v>28.0</v>
      </c>
      <c r="D335" s="13" t="s">
        <v>69</v>
      </c>
      <c r="E335" s="13" t="s">
        <v>187</v>
      </c>
      <c r="F335" s="13" t="s">
        <v>62</v>
      </c>
      <c r="G335" s="13" t="s">
        <v>52</v>
      </c>
      <c r="H335" s="16">
        <v>45366.0</v>
      </c>
      <c r="I335" s="14">
        <v>29.0</v>
      </c>
      <c r="J335" s="13" t="s">
        <v>40</v>
      </c>
      <c r="K335" s="13" t="s">
        <v>65</v>
      </c>
      <c r="L335" s="14">
        <v>793.0</v>
      </c>
      <c r="M335" s="18" t="s">
        <v>46</v>
      </c>
      <c r="N335" s="20">
        <v>0.0</v>
      </c>
      <c r="O335" s="18">
        <v>4.9</v>
      </c>
      <c r="P335" s="20">
        <v>2.2</v>
      </c>
      <c r="Q335" s="16">
        <v>45603.0</v>
      </c>
      <c r="R335" s="16" t="s">
        <v>833</v>
      </c>
      <c r="S335" s="13" t="s">
        <v>45</v>
      </c>
      <c r="T335" s="13" t="s">
        <v>104</v>
      </c>
      <c r="U335" s="13" t="str">
        <f t="shared" si="1"/>
        <v>Low</v>
      </c>
      <c r="V335" s="13" t="str">
        <f t="shared" si="2"/>
        <v>Below Median</v>
      </c>
      <c r="W335" s="13" t="str">
        <f t="shared" si="3"/>
        <v>25–48 Months</v>
      </c>
    </row>
    <row r="336" hidden="1">
      <c r="A336" s="13" t="s">
        <v>756</v>
      </c>
      <c r="B336" s="13" t="s">
        <v>316</v>
      </c>
      <c r="C336" s="14">
        <v>44.0</v>
      </c>
      <c r="D336" s="13" t="s">
        <v>35</v>
      </c>
      <c r="E336" s="13" t="s">
        <v>140</v>
      </c>
      <c r="F336" s="13" t="s">
        <v>62</v>
      </c>
      <c r="G336" s="13" t="s">
        <v>120</v>
      </c>
      <c r="H336" s="16">
        <v>45589.0</v>
      </c>
      <c r="I336" s="14">
        <v>28.0</v>
      </c>
      <c r="J336" s="13" t="s">
        <v>64</v>
      </c>
      <c r="K336" s="13" t="s">
        <v>81</v>
      </c>
      <c r="L336" s="14">
        <v>565.0</v>
      </c>
      <c r="M336" s="18" t="s">
        <v>98</v>
      </c>
      <c r="N336" s="20">
        <v>2.0</v>
      </c>
      <c r="O336" s="18">
        <v>18.9</v>
      </c>
      <c r="P336" s="20">
        <v>3.6</v>
      </c>
      <c r="Q336" s="16">
        <v>46091.0</v>
      </c>
      <c r="R336" s="16" t="s">
        <v>834</v>
      </c>
      <c r="S336" s="13" t="s">
        <v>45</v>
      </c>
      <c r="T336" s="13" t="s">
        <v>47</v>
      </c>
      <c r="U336" s="13" t="str">
        <f t="shared" si="1"/>
        <v>Moderate</v>
      </c>
      <c r="V336" s="13" t="str">
        <f t="shared" si="2"/>
        <v>Below Median</v>
      </c>
      <c r="W336" s="13" t="str">
        <f t="shared" si="3"/>
        <v>25–48 Months</v>
      </c>
    </row>
    <row r="337" hidden="1">
      <c r="A337" s="13" t="s">
        <v>835</v>
      </c>
      <c r="B337" s="13" t="s">
        <v>411</v>
      </c>
      <c r="C337" s="14">
        <v>41.0</v>
      </c>
      <c r="D337" s="13" t="s">
        <v>69</v>
      </c>
      <c r="E337" s="13" t="s">
        <v>187</v>
      </c>
      <c r="F337" s="13" t="s">
        <v>62</v>
      </c>
      <c r="G337" s="13" t="s">
        <v>128</v>
      </c>
      <c r="H337" s="16">
        <v>45442.0</v>
      </c>
      <c r="I337" s="14">
        <v>0.0</v>
      </c>
      <c r="J337" s="13" t="s">
        <v>40</v>
      </c>
      <c r="K337" s="13" t="s">
        <v>65</v>
      </c>
      <c r="L337" s="14">
        <v>793.0</v>
      </c>
      <c r="M337" s="18" t="s">
        <v>43</v>
      </c>
      <c r="N337" s="20">
        <v>0.0</v>
      </c>
      <c r="O337" s="18">
        <v>18.0</v>
      </c>
      <c r="P337" s="20">
        <v>3.0</v>
      </c>
      <c r="Q337" s="16">
        <v>45875.0</v>
      </c>
      <c r="R337" s="16" t="s">
        <v>38</v>
      </c>
      <c r="S337" s="13" t="s">
        <v>55</v>
      </c>
      <c r="T337" s="13" t="s">
        <v>72</v>
      </c>
      <c r="U337" s="13" t="str">
        <f t="shared" si="1"/>
        <v>Moderate</v>
      </c>
      <c r="V337" s="13" t="str">
        <f t="shared" si="2"/>
        <v>Below Median</v>
      </c>
      <c r="W337" s="13" t="str">
        <f t="shared" si="3"/>
        <v>0–12 Months</v>
      </c>
    </row>
    <row r="338" hidden="1">
      <c r="A338" s="13" t="s">
        <v>836</v>
      </c>
      <c r="B338" s="13" t="s">
        <v>362</v>
      </c>
      <c r="C338" s="14">
        <v>62.0</v>
      </c>
      <c r="D338" s="13" t="s">
        <v>35</v>
      </c>
      <c r="E338" s="13" t="s">
        <v>161</v>
      </c>
      <c r="F338" s="13" t="s">
        <v>62</v>
      </c>
      <c r="G338" s="13" t="s">
        <v>210</v>
      </c>
      <c r="H338" s="16">
        <v>45824.0</v>
      </c>
      <c r="I338" s="14">
        <v>29.0</v>
      </c>
      <c r="J338" s="13" t="s">
        <v>53</v>
      </c>
      <c r="K338" s="13" t="s">
        <v>41</v>
      </c>
      <c r="L338" s="14">
        <v>724.0</v>
      </c>
      <c r="M338" s="18" t="s">
        <v>98</v>
      </c>
      <c r="N338" s="20">
        <v>2.0</v>
      </c>
      <c r="O338" s="18">
        <v>5.1</v>
      </c>
      <c r="P338" s="20">
        <v>3.0</v>
      </c>
      <c r="Q338" s="16">
        <v>46671.0</v>
      </c>
      <c r="R338" s="16" t="s">
        <v>38</v>
      </c>
      <c r="S338" s="13" t="s">
        <v>55</v>
      </c>
      <c r="T338" s="13" t="s">
        <v>104</v>
      </c>
      <c r="U338" s="13" t="str">
        <f t="shared" si="1"/>
        <v>Moderate</v>
      </c>
      <c r="V338" s="13" t="str">
        <f t="shared" si="2"/>
        <v>Below Median</v>
      </c>
      <c r="W338" s="13" t="str">
        <f t="shared" si="3"/>
        <v>25–48 Months</v>
      </c>
    </row>
    <row r="339" hidden="1">
      <c r="A339" s="13" t="s">
        <v>837</v>
      </c>
      <c r="B339" s="13" t="s">
        <v>295</v>
      </c>
      <c r="C339" s="14">
        <v>32.0</v>
      </c>
      <c r="D339" s="13" t="s">
        <v>35</v>
      </c>
      <c r="E339" s="13" t="s">
        <v>51</v>
      </c>
      <c r="F339" s="13" t="s">
        <v>79</v>
      </c>
      <c r="G339" s="13" t="s">
        <v>39</v>
      </c>
      <c r="H339" s="16">
        <v>45151.0</v>
      </c>
      <c r="I339" s="14">
        <v>1.0</v>
      </c>
      <c r="J339" s="13" t="s">
        <v>64</v>
      </c>
      <c r="K339" s="13" t="s">
        <v>81</v>
      </c>
      <c r="L339" s="14">
        <v>2920.0</v>
      </c>
      <c r="M339" s="18" t="s">
        <v>98</v>
      </c>
      <c r="N339" s="20">
        <v>3.0</v>
      </c>
      <c r="O339" s="18">
        <v>35.8</v>
      </c>
      <c r="P339" s="20">
        <v>4.3</v>
      </c>
      <c r="Q339" s="16">
        <v>45191.0</v>
      </c>
      <c r="R339" s="16" t="s">
        <v>38</v>
      </c>
      <c r="S339" s="13" t="s">
        <v>55</v>
      </c>
      <c r="T339" s="13" t="s">
        <v>47</v>
      </c>
      <c r="U339" s="13" t="str">
        <f t="shared" si="1"/>
        <v>Moderate</v>
      </c>
      <c r="V339" s="13" t="str">
        <f t="shared" si="2"/>
        <v>Median or Above</v>
      </c>
      <c r="W339" s="13" t="str">
        <f t="shared" si="3"/>
        <v>0–12 Months</v>
      </c>
    </row>
    <row r="340" hidden="1">
      <c r="A340" s="13" t="s">
        <v>838</v>
      </c>
      <c r="B340" s="13" t="s">
        <v>179</v>
      </c>
      <c r="C340" s="14">
        <v>35.0</v>
      </c>
      <c r="D340" s="13" t="s">
        <v>60</v>
      </c>
      <c r="E340" s="13" t="s">
        <v>133</v>
      </c>
      <c r="F340" s="13" t="s">
        <v>37</v>
      </c>
      <c r="G340" s="13" t="s">
        <v>39</v>
      </c>
      <c r="H340" s="16">
        <v>45985.0</v>
      </c>
      <c r="I340" s="14">
        <v>45.0</v>
      </c>
      <c r="J340" s="13" t="s">
        <v>40</v>
      </c>
      <c r="K340" s="13" t="s">
        <v>41</v>
      </c>
      <c r="L340" s="14">
        <v>1595.0</v>
      </c>
      <c r="M340" s="18" t="s">
        <v>164</v>
      </c>
      <c r="N340" s="20">
        <v>1.0</v>
      </c>
      <c r="O340" s="18">
        <v>21.2</v>
      </c>
      <c r="P340" s="20">
        <v>4.0</v>
      </c>
      <c r="Q340" s="16">
        <v>47353.0</v>
      </c>
      <c r="R340" s="16" t="s">
        <v>38</v>
      </c>
      <c r="S340" s="13" t="s">
        <v>55</v>
      </c>
      <c r="T340" s="13" t="s">
        <v>72</v>
      </c>
      <c r="U340" s="13" t="str">
        <f t="shared" si="1"/>
        <v>Moderate</v>
      </c>
      <c r="V340" s="13" t="str">
        <f t="shared" si="2"/>
        <v>Below Median</v>
      </c>
      <c r="W340" s="13" t="str">
        <f t="shared" si="3"/>
        <v>25–48 Months</v>
      </c>
    </row>
    <row r="341" hidden="1">
      <c r="A341" s="13" t="s">
        <v>839</v>
      </c>
      <c r="B341" s="13" t="s">
        <v>331</v>
      </c>
      <c r="C341" s="14">
        <v>60.0</v>
      </c>
      <c r="D341" s="13" t="s">
        <v>60</v>
      </c>
      <c r="E341" s="13" t="s">
        <v>61</v>
      </c>
      <c r="F341" s="13" t="s">
        <v>62</v>
      </c>
      <c r="G341" s="13" t="s">
        <v>63</v>
      </c>
      <c r="H341" s="16">
        <v>44698.0</v>
      </c>
      <c r="I341" s="14">
        <v>25.0</v>
      </c>
      <c r="J341" s="13" t="s">
        <v>53</v>
      </c>
      <c r="K341" s="13" t="s">
        <v>41</v>
      </c>
      <c r="L341" s="14">
        <v>1674.0</v>
      </c>
      <c r="M341" s="18" t="s">
        <v>173</v>
      </c>
      <c r="N341" s="20">
        <v>1.0</v>
      </c>
      <c r="O341" s="18">
        <v>19.2</v>
      </c>
      <c r="P341" s="20">
        <v>4.4</v>
      </c>
      <c r="Q341" s="16">
        <v>44818.0</v>
      </c>
      <c r="R341" s="16" t="s">
        <v>38</v>
      </c>
      <c r="S341" s="13" t="s">
        <v>55</v>
      </c>
      <c r="T341" s="13" t="s">
        <v>75</v>
      </c>
      <c r="U341" s="13" t="str">
        <f t="shared" si="1"/>
        <v>Moderate</v>
      </c>
      <c r="V341" s="13" t="str">
        <f t="shared" si="2"/>
        <v>Below Median</v>
      </c>
      <c r="W341" s="13" t="str">
        <f t="shared" si="3"/>
        <v>25–48 Months</v>
      </c>
    </row>
    <row r="342" hidden="1">
      <c r="A342" s="13" t="s">
        <v>840</v>
      </c>
      <c r="B342" s="13" t="s">
        <v>132</v>
      </c>
      <c r="C342" s="14">
        <v>34.0</v>
      </c>
      <c r="D342" s="13" t="s">
        <v>35</v>
      </c>
      <c r="E342" s="13" t="s">
        <v>161</v>
      </c>
      <c r="F342" s="13" t="s">
        <v>37</v>
      </c>
      <c r="G342" s="13" t="s">
        <v>80</v>
      </c>
      <c r="H342" s="16">
        <v>45650.0</v>
      </c>
      <c r="I342" s="14">
        <v>6.0</v>
      </c>
      <c r="J342" s="13" t="s">
        <v>64</v>
      </c>
      <c r="K342" s="13" t="s">
        <v>65</v>
      </c>
      <c r="L342" s="14">
        <v>1467.0</v>
      </c>
      <c r="M342" s="18" t="s">
        <v>46</v>
      </c>
      <c r="N342" s="20">
        <v>1.0</v>
      </c>
      <c r="O342" s="18">
        <v>13.3</v>
      </c>
      <c r="P342" s="20">
        <v>3.7</v>
      </c>
      <c r="Q342" s="16">
        <v>45842.0</v>
      </c>
      <c r="R342" s="16" t="s">
        <v>38</v>
      </c>
      <c r="S342" s="13" t="s">
        <v>55</v>
      </c>
      <c r="T342" s="13" t="s">
        <v>72</v>
      </c>
      <c r="U342" s="13" t="str">
        <f t="shared" si="1"/>
        <v>Moderate</v>
      </c>
      <c r="V342" s="13" t="str">
        <f t="shared" si="2"/>
        <v>Below Median</v>
      </c>
      <c r="W342" s="13" t="str">
        <f t="shared" si="3"/>
        <v>0–12 Months</v>
      </c>
    </row>
    <row r="343" hidden="1">
      <c r="A343" s="13" t="s">
        <v>692</v>
      </c>
      <c r="B343" s="13" t="s">
        <v>139</v>
      </c>
      <c r="C343" s="14">
        <v>20.0</v>
      </c>
      <c r="D343" s="13" t="s">
        <v>85</v>
      </c>
      <c r="E343" s="13" t="s">
        <v>111</v>
      </c>
      <c r="F343" s="13" t="s">
        <v>62</v>
      </c>
      <c r="G343" s="13" t="s">
        <v>52</v>
      </c>
      <c r="H343" s="16">
        <v>45282.0</v>
      </c>
      <c r="I343" s="14">
        <v>23.0</v>
      </c>
      <c r="J343" s="13" t="s">
        <v>64</v>
      </c>
      <c r="K343" s="13" t="s">
        <v>65</v>
      </c>
      <c r="L343" s="14">
        <v>619.0</v>
      </c>
      <c r="M343" s="18" t="s">
        <v>46</v>
      </c>
      <c r="N343" s="20">
        <v>1.0</v>
      </c>
      <c r="O343" s="18">
        <v>11.4</v>
      </c>
      <c r="P343" s="20">
        <v>4.7</v>
      </c>
      <c r="Q343" s="16">
        <v>45355.0</v>
      </c>
      <c r="R343" s="16" t="s">
        <v>38</v>
      </c>
      <c r="S343" s="13" t="s">
        <v>55</v>
      </c>
      <c r="T343" s="13" t="s">
        <v>47</v>
      </c>
      <c r="U343" s="13" t="str">
        <f t="shared" si="1"/>
        <v>Moderate</v>
      </c>
      <c r="V343" s="13" t="str">
        <f t="shared" si="2"/>
        <v>Below Median</v>
      </c>
      <c r="W343" s="13" t="str">
        <f t="shared" si="3"/>
        <v>13–24 Months</v>
      </c>
    </row>
    <row r="344" hidden="1">
      <c r="A344" s="13" t="s">
        <v>841</v>
      </c>
      <c r="B344" s="13" t="s">
        <v>459</v>
      </c>
      <c r="C344" s="14">
        <v>46.0</v>
      </c>
      <c r="D344" s="13" t="s">
        <v>60</v>
      </c>
      <c r="E344" s="13" t="s">
        <v>133</v>
      </c>
      <c r="F344" s="13" t="s">
        <v>37</v>
      </c>
      <c r="G344" s="13" t="s">
        <v>63</v>
      </c>
      <c r="H344" s="16">
        <v>45344.0</v>
      </c>
      <c r="I344" s="14">
        <v>34.0</v>
      </c>
      <c r="J344" s="13" t="s">
        <v>53</v>
      </c>
      <c r="K344" s="13" t="s">
        <v>81</v>
      </c>
      <c r="L344" s="14">
        <v>1639.0</v>
      </c>
      <c r="M344" s="18" t="s">
        <v>46</v>
      </c>
      <c r="N344" s="20">
        <v>1.0</v>
      </c>
      <c r="O344" s="18">
        <v>35.6</v>
      </c>
      <c r="P344" s="20">
        <v>2.8</v>
      </c>
      <c r="Q344" s="16">
        <v>45819.0</v>
      </c>
      <c r="R344" s="16" t="s">
        <v>842</v>
      </c>
      <c r="S344" s="13" t="s">
        <v>45</v>
      </c>
      <c r="T344" s="13" t="s">
        <v>72</v>
      </c>
      <c r="U344" s="13" t="str">
        <f t="shared" si="1"/>
        <v>Low</v>
      </c>
      <c r="V344" s="13" t="str">
        <f t="shared" si="2"/>
        <v>Median or Above</v>
      </c>
      <c r="W344" s="13" t="str">
        <f t="shared" si="3"/>
        <v>25–48 Months</v>
      </c>
    </row>
    <row r="345" hidden="1">
      <c r="A345" s="13" t="s">
        <v>723</v>
      </c>
      <c r="B345" s="13" t="s">
        <v>206</v>
      </c>
      <c r="C345" s="14" t="s">
        <v>38</v>
      </c>
      <c r="D345" s="13" t="s">
        <v>69</v>
      </c>
      <c r="E345" s="13" t="s">
        <v>187</v>
      </c>
      <c r="F345" s="13" t="s">
        <v>37</v>
      </c>
      <c r="G345" s="13" t="s">
        <v>80</v>
      </c>
      <c r="H345" s="16">
        <v>45670.0</v>
      </c>
      <c r="I345" s="14">
        <v>44.0</v>
      </c>
      <c r="J345" s="13" t="s">
        <v>64</v>
      </c>
      <c r="K345" s="13" t="s">
        <v>41</v>
      </c>
      <c r="L345" s="14">
        <v>1315.0</v>
      </c>
      <c r="M345" s="18" t="s">
        <v>98</v>
      </c>
      <c r="N345" s="20">
        <v>0.0</v>
      </c>
      <c r="O345" s="18">
        <v>34.6</v>
      </c>
      <c r="P345" s="20">
        <v>2.9</v>
      </c>
      <c r="Q345" s="16">
        <v>46752.0</v>
      </c>
      <c r="R345" s="16" t="s">
        <v>843</v>
      </c>
      <c r="S345" s="13" t="s">
        <v>45</v>
      </c>
      <c r="T345" s="13" t="s">
        <v>72</v>
      </c>
      <c r="U345" s="13" t="str">
        <f t="shared" si="1"/>
        <v>Low</v>
      </c>
      <c r="V345" s="13" t="str">
        <f t="shared" si="2"/>
        <v>Median or Above</v>
      </c>
      <c r="W345" s="13" t="str">
        <f t="shared" si="3"/>
        <v>25–48 Months</v>
      </c>
    </row>
    <row r="346" hidden="1">
      <c r="A346" s="13" t="s">
        <v>844</v>
      </c>
      <c r="B346" s="13" t="s">
        <v>160</v>
      </c>
      <c r="C346" s="14">
        <v>25.0</v>
      </c>
      <c r="D346" s="13" t="s">
        <v>35</v>
      </c>
      <c r="E346" s="13" t="s">
        <v>51</v>
      </c>
      <c r="F346" s="13" t="s">
        <v>62</v>
      </c>
      <c r="G346" s="13" t="s">
        <v>39</v>
      </c>
      <c r="H346" s="16">
        <v>44622.0</v>
      </c>
      <c r="I346" s="14">
        <v>21.0</v>
      </c>
      <c r="J346" s="13" t="s">
        <v>40</v>
      </c>
      <c r="K346" s="13" t="s">
        <v>41</v>
      </c>
      <c r="L346" s="14">
        <v>710.0</v>
      </c>
      <c r="M346" s="18" t="s">
        <v>164</v>
      </c>
      <c r="N346" s="20">
        <v>1.0</v>
      </c>
      <c r="O346" s="18">
        <v>23.8</v>
      </c>
      <c r="P346" s="20">
        <v>3.3</v>
      </c>
      <c r="Q346" s="16">
        <v>45085.0</v>
      </c>
      <c r="R346" s="16">
        <v>45078.0</v>
      </c>
      <c r="S346" s="13" t="s">
        <v>45</v>
      </c>
      <c r="T346" s="13" t="s">
        <v>104</v>
      </c>
      <c r="U346" s="13" t="str">
        <f t="shared" si="1"/>
        <v>Moderate</v>
      </c>
      <c r="V346" s="13" t="str">
        <f t="shared" si="2"/>
        <v>Below Median</v>
      </c>
      <c r="W346" s="13" t="str">
        <f t="shared" si="3"/>
        <v>13–24 Months</v>
      </c>
    </row>
    <row r="347" hidden="1">
      <c r="A347" s="13" t="s">
        <v>846</v>
      </c>
      <c r="B347" s="13" t="s">
        <v>645</v>
      </c>
      <c r="C347" s="14">
        <v>64.0</v>
      </c>
      <c r="D347" s="13" t="s">
        <v>60</v>
      </c>
      <c r="E347" s="13" t="s">
        <v>97</v>
      </c>
      <c r="F347" s="13" t="s">
        <v>37</v>
      </c>
      <c r="G347" s="13" t="s">
        <v>39</v>
      </c>
      <c r="H347" s="16">
        <v>45969.0</v>
      </c>
      <c r="I347" s="14">
        <v>2.0</v>
      </c>
      <c r="J347" s="13" t="s">
        <v>64</v>
      </c>
      <c r="K347" s="13" t="s">
        <v>65</v>
      </c>
      <c r="L347" s="14">
        <v>1797.0</v>
      </c>
      <c r="M347" s="18" t="s">
        <v>164</v>
      </c>
      <c r="N347" s="20">
        <v>0.0</v>
      </c>
      <c r="O347" s="18">
        <v>27.5</v>
      </c>
      <c r="P347" s="20">
        <v>5.0</v>
      </c>
      <c r="Q347" s="16">
        <v>45996.0</v>
      </c>
      <c r="R347" s="16" t="s">
        <v>38</v>
      </c>
      <c r="S347" s="13" t="s">
        <v>55</v>
      </c>
      <c r="T347" s="13" t="s">
        <v>47</v>
      </c>
      <c r="U347" s="13" t="str">
        <f t="shared" si="1"/>
        <v>High</v>
      </c>
      <c r="V347" s="13" t="str">
        <f t="shared" si="2"/>
        <v>Median or Above</v>
      </c>
      <c r="W347" s="13" t="str">
        <f t="shared" si="3"/>
        <v>0–12 Months</v>
      </c>
    </row>
    <row r="348" hidden="1">
      <c r="A348" s="13" t="s">
        <v>815</v>
      </c>
      <c r="B348" s="13" t="s">
        <v>362</v>
      </c>
      <c r="C348" s="14">
        <v>67.0</v>
      </c>
      <c r="D348" s="13" t="s">
        <v>85</v>
      </c>
      <c r="E348" s="13" t="s">
        <v>87</v>
      </c>
      <c r="F348" s="13" t="s">
        <v>62</v>
      </c>
      <c r="G348" s="13" t="s">
        <v>39</v>
      </c>
      <c r="H348" s="16">
        <v>45025.0</v>
      </c>
      <c r="I348" s="14">
        <v>3.0</v>
      </c>
      <c r="J348" s="13" t="s">
        <v>40</v>
      </c>
      <c r="K348" s="13" t="s">
        <v>41</v>
      </c>
      <c r="L348" s="14">
        <v>506.0</v>
      </c>
      <c r="M348" s="18" t="s">
        <v>173</v>
      </c>
      <c r="N348" s="20">
        <v>2.0</v>
      </c>
      <c r="O348" s="18">
        <v>25.7</v>
      </c>
      <c r="P348" s="20">
        <v>4.8</v>
      </c>
      <c r="Q348" s="16">
        <v>45087.0</v>
      </c>
      <c r="R348" s="16" t="s">
        <v>38</v>
      </c>
      <c r="S348" s="13" t="s">
        <v>55</v>
      </c>
      <c r="T348" s="13" t="s">
        <v>47</v>
      </c>
      <c r="U348" s="13" t="str">
        <f t="shared" si="1"/>
        <v>Moderate</v>
      </c>
      <c r="V348" s="13" t="str">
        <f t="shared" si="2"/>
        <v>Median or Above</v>
      </c>
      <c r="W348" s="13" t="str">
        <f t="shared" si="3"/>
        <v>0–12 Months</v>
      </c>
    </row>
    <row r="349" hidden="1">
      <c r="A349" s="13" t="s">
        <v>847</v>
      </c>
      <c r="B349" s="13" t="s">
        <v>633</v>
      </c>
      <c r="C349" s="14">
        <v>58.0</v>
      </c>
      <c r="D349" s="13" t="s">
        <v>85</v>
      </c>
      <c r="E349" s="13" t="s">
        <v>92</v>
      </c>
      <c r="F349" s="13" t="s">
        <v>79</v>
      </c>
      <c r="G349" s="13" t="s">
        <v>39</v>
      </c>
      <c r="H349" s="16">
        <v>45437.0</v>
      </c>
      <c r="I349" s="14">
        <v>26.0</v>
      </c>
      <c r="J349" s="13" t="s">
        <v>64</v>
      </c>
      <c r="K349" s="13" t="s">
        <v>81</v>
      </c>
      <c r="L349" s="14">
        <v>3687.0</v>
      </c>
      <c r="M349" s="18" t="s">
        <v>43</v>
      </c>
      <c r="N349" s="20">
        <v>0.0</v>
      </c>
      <c r="O349" s="18">
        <v>41.3</v>
      </c>
      <c r="P349" s="20">
        <v>3.6</v>
      </c>
      <c r="Q349" s="16">
        <v>45836.0</v>
      </c>
      <c r="R349" s="16">
        <v>46029.0</v>
      </c>
      <c r="S349" s="13" t="s">
        <v>45</v>
      </c>
      <c r="T349" s="13" t="s">
        <v>66</v>
      </c>
      <c r="U349" s="13" t="str">
        <f t="shared" si="1"/>
        <v>Moderate</v>
      </c>
      <c r="V349" s="13" t="str">
        <f t="shared" si="2"/>
        <v>Median or Above</v>
      </c>
      <c r="W349" s="13" t="str">
        <f t="shared" si="3"/>
        <v>25–48 Months</v>
      </c>
    </row>
    <row r="350" hidden="1">
      <c r="A350" s="13" t="s">
        <v>849</v>
      </c>
      <c r="B350" s="13" t="s">
        <v>308</v>
      </c>
      <c r="C350" s="14">
        <v>31.0</v>
      </c>
      <c r="D350" s="13" t="s">
        <v>35</v>
      </c>
      <c r="E350" s="13" t="s">
        <v>36</v>
      </c>
      <c r="F350" s="13" t="s">
        <v>37</v>
      </c>
      <c r="G350" s="13" t="s">
        <v>128</v>
      </c>
      <c r="H350" s="16">
        <v>44648.0</v>
      </c>
      <c r="I350" s="14">
        <v>16.0</v>
      </c>
      <c r="J350" s="13" t="s">
        <v>53</v>
      </c>
      <c r="K350" s="13" t="s">
        <v>65</v>
      </c>
      <c r="L350" s="14">
        <v>1751.0</v>
      </c>
      <c r="M350" s="18" t="s">
        <v>46</v>
      </c>
      <c r="N350" s="20">
        <v>1.0</v>
      </c>
      <c r="O350" s="18">
        <v>16.8</v>
      </c>
      <c r="P350" s="20">
        <v>2.4</v>
      </c>
      <c r="Q350" s="16">
        <v>44943.0</v>
      </c>
      <c r="R350" s="16" t="s">
        <v>38</v>
      </c>
      <c r="S350" s="13" t="s">
        <v>55</v>
      </c>
      <c r="T350" s="13" t="s">
        <v>75</v>
      </c>
      <c r="U350" s="13" t="str">
        <f t="shared" si="1"/>
        <v>Low</v>
      </c>
      <c r="V350" s="13" t="str">
        <f t="shared" si="2"/>
        <v>Below Median</v>
      </c>
      <c r="W350" s="13" t="str">
        <f t="shared" si="3"/>
        <v>13–24 Months</v>
      </c>
    </row>
    <row r="351" hidden="1">
      <c r="A351" s="13" t="s">
        <v>850</v>
      </c>
      <c r="B351" s="13" t="s">
        <v>325</v>
      </c>
      <c r="C351" s="14">
        <v>30.0</v>
      </c>
      <c r="D351" s="13" t="s">
        <v>60</v>
      </c>
      <c r="E351" s="13" t="s">
        <v>133</v>
      </c>
      <c r="F351" s="13" t="s">
        <v>62</v>
      </c>
      <c r="G351" s="13" t="s">
        <v>210</v>
      </c>
      <c r="H351" s="16">
        <v>45817.0</v>
      </c>
      <c r="I351" s="14">
        <v>4.0</v>
      </c>
      <c r="J351" s="13" t="s">
        <v>64</v>
      </c>
      <c r="K351" s="13" t="s">
        <v>81</v>
      </c>
      <c r="L351" s="14">
        <v>571.0</v>
      </c>
      <c r="M351" s="18" t="s">
        <v>43</v>
      </c>
      <c r="N351" s="20">
        <v>1.0</v>
      </c>
      <c r="O351" s="18">
        <v>20.6</v>
      </c>
      <c r="P351" s="20">
        <v>4.0</v>
      </c>
      <c r="Q351" s="16">
        <v>45942.0</v>
      </c>
      <c r="R351" s="16" t="s">
        <v>38</v>
      </c>
      <c r="S351" s="13" t="s">
        <v>55</v>
      </c>
      <c r="T351" s="13" t="s">
        <v>66</v>
      </c>
      <c r="U351" s="13" t="str">
        <f t="shared" si="1"/>
        <v>Moderate</v>
      </c>
      <c r="V351" s="13" t="str">
        <f t="shared" si="2"/>
        <v>Below Median</v>
      </c>
      <c r="W351" s="13" t="str">
        <f t="shared" si="3"/>
        <v>0–12 Months</v>
      </c>
    </row>
    <row r="352" hidden="1">
      <c r="A352" s="13" t="s">
        <v>852</v>
      </c>
      <c r="B352" s="13" t="s">
        <v>736</v>
      </c>
      <c r="C352" s="14">
        <v>39.0</v>
      </c>
      <c r="D352" s="13" t="s">
        <v>85</v>
      </c>
      <c r="E352" s="13" t="s">
        <v>87</v>
      </c>
      <c r="F352" s="13" t="s">
        <v>62</v>
      </c>
      <c r="G352" s="13" t="s">
        <v>63</v>
      </c>
      <c r="H352" s="16">
        <v>44928.0</v>
      </c>
      <c r="I352" s="14">
        <v>30.0</v>
      </c>
      <c r="J352" s="13" t="s">
        <v>64</v>
      </c>
      <c r="K352" s="13" t="s">
        <v>81</v>
      </c>
      <c r="L352" s="14">
        <v>863.0</v>
      </c>
      <c r="M352" s="18" t="s">
        <v>98</v>
      </c>
      <c r="N352" s="20">
        <v>2.0</v>
      </c>
      <c r="O352" s="18">
        <v>25.8</v>
      </c>
      <c r="P352" s="20">
        <v>5.0</v>
      </c>
      <c r="Q352" s="16">
        <v>45403.0</v>
      </c>
      <c r="R352" s="16" t="s">
        <v>38</v>
      </c>
      <c r="S352" s="13" t="s">
        <v>55</v>
      </c>
      <c r="T352" s="13" t="s">
        <v>47</v>
      </c>
      <c r="U352" s="13" t="str">
        <f t="shared" si="1"/>
        <v>High</v>
      </c>
      <c r="V352" s="13" t="str">
        <f t="shared" si="2"/>
        <v>Median or Above</v>
      </c>
      <c r="W352" s="13" t="str">
        <f t="shared" si="3"/>
        <v>25–48 Months</v>
      </c>
    </row>
    <row r="353" hidden="1">
      <c r="A353" s="13" t="s">
        <v>433</v>
      </c>
      <c r="B353" s="13" t="s">
        <v>605</v>
      </c>
      <c r="C353" s="14">
        <v>43.0</v>
      </c>
      <c r="D353" s="13" t="s">
        <v>35</v>
      </c>
      <c r="E353" s="13" t="s">
        <v>36</v>
      </c>
      <c r="F353" s="13" t="s">
        <v>62</v>
      </c>
      <c r="G353" s="13" t="s">
        <v>120</v>
      </c>
      <c r="H353" s="16">
        <v>45860.0</v>
      </c>
      <c r="I353" s="14">
        <v>24.0</v>
      </c>
      <c r="J353" s="13" t="s">
        <v>64</v>
      </c>
      <c r="K353" s="13" t="s">
        <v>65</v>
      </c>
      <c r="L353" s="14">
        <v>861.0</v>
      </c>
      <c r="M353" s="18" t="s">
        <v>43</v>
      </c>
      <c r="N353" s="20">
        <v>0.0</v>
      </c>
      <c r="O353" s="18">
        <v>8.5</v>
      </c>
      <c r="P353" s="20">
        <v>5.0</v>
      </c>
      <c r="Q353" s="16">
        <v>46393.0</v>
      </c>
      <c r="R353" s="16" t="s">
        <v>38</v>
      </c>
      <c r="S353" s="13" t="s">
        <v>55</v>
      </c>
      <c r="T353" s="13" t="s">
        <v>104</v>
      </c>
      <c r="U353" s="13" t="str">
        <f t="shared" si="1"/>
        <v>High</v>
      </c>
      <c r="V353" s="13" t="str">
        <f t="shared" si="2"/>
        <v>Below Median</v>
      </c>
      <c r="W353" s="13" t="str">
        <f t="shared" si="3"/>
        <v>13–24 Months</v>
      </c>
    </row>
    <row r="354" hidden="1">
      <c r="A354" s="13" t="s">
        <v>853</v>
      </c>
      <c r="B354" s="13" t="s">
        <v>420</v>
      </c>
      <c r="C354" s="14">
        <v>65.0</v>
      </c>
      <c r="D354" s="13" t="s">
        <v>69</v>
      </c>
      <c r="E354" s="13" t="s">
        <v>177</v>
      </c>
      <c r="F354" s="13" t="s">
        <v>37</v>
      </c>
      <c r="G354" s="13" t="s">
        <v>52</v>
      </c>
      <c r="H354" s="16">
        <v>44869.0</v>
      </c>
      <c r="I354" s="14">
        <v>11.0</v>
      </c>
      <c r="J354" s="13" t="s">
        <v>53</v>
      </c>
      <c r="K354" s="13" t="s">
        <v>65</v>
      </c>
      <c r="L354" s="14">
        <v>1786.0</v>
      </c>
      <c r="M354" s="18" t="s">
        <v>46</v>
      </c>
      <c r="N354" s="20">
        <v>1.0</v>
      </c>
      <c r="O354" s="18">
        <v>23.6</v>
      </c>
      <c r="P354" s="20">
        <v>3.6</v>
      </c>
      <c r="Q354" s="16">
        <v>44905.0</v>
      </c>
      <c r="R354" s="16">
        <v>45084.0</v>
      </c>
      <c r="S354" s="13" t="s">
        <v>45</v>
      </c>
      <c r="T354" s="13" t="s">
        <v>47</v>
      </c>
      <c r="U354" s="13" t="str">
        <f t="shared" si="1"/>
        <v>Moderate</v>
      </c>
      <c r="V354" s="13" t="str">
        <f t="shared" si="2"/>
        <v>Below Median</v>
      </c>
      <c r="W354" s="13" t="str">
        <f t="shared" si="3"/>
        <v>0–12 Months</v>
      </c>
    </row>
    <row r="355" hidden="1">
      <c r="A355" s="13" t="s">
        <v>855</v>
      </c>
      <c r="B355" s="13" t="s">
        <v>351</v>
      </c>
      <c r="C355" s="14">
        <v>34.0</v>
      </c>
      <c r="D355" s="13" t="s">
        <v>69</v>
      </c>
      <c r="E355" s="13" t="s">
        <v>187</v>
      </c>
      <c r="F355" s="13" t="s">
        <v>62</v>
      </c>
      <c r="G355" s="13" t="s">
        <v>128</v>
      </c>
      <c r="H355" s="16">
        <v>45080.0</v>
      </c>
      <c r="I355" s="14">
        <v>1.0</v>
      </c>
      <c r="J355" s="13" t="s">
        <v>40</v>
      </c>
      <c r="K355" s="13" t="s">
        <v>81</v>
      </c>
      <c r="L355" s="14">
        <v>754.0</v>
      </c>
      <c r="M355" s="18" t="s">
        <v>46</v>
      </c>
      <c r="N355" s="20">
        <v>0.0</v>
      </c>
      <c r="O355" s="18">
        <v>5.8</v>
      </c>
      <c r="P355" s="20">
        <v>2.7</v>
      </c>
      <c r="Q355" s="16">
        <v>45090.0</v>
      </c>
      <c r="R355" s="16" t="s">
        <v>38</v>
      </c>
      <c r="S355" s="13" t="s">
        <v>55</v>
      </c>
      <c r="T355" s="13" t="s">
        <v>75</v>
      </c>
      <c r="U355" s="13" t="str">
        <f t="shared" si="1"/>
        <v>Low</v>
      </c>
      <c r="V355" s="13" t="str">
        <f t="shared" si="2"/>
        <v>Below Median</v>
      </c>
      <c r="W355" s="13" t="str">
        <f t="shared" si="3"/>
        <v>0–12 Months</v>
      </c>
    </row>
    <row r="356" hidden="1">
      <c r="A356" s="13" t="s">
        <v>857</v>
      </c>
      <c r="B356" s="13" t="s">
        <v>424</v>
      </c>
      <c r="C356" s="14">
        <v>30.0</v>
      </c>
      <c r="D356" s="13" t="s">
        <v>85</v>
      </c>
      <c r="E356" s="13" t="s">
        <v>87</v>
      </c>
      <c r="F356" s="13" t="s">
        <v>62</v>
      </c>
      <c r="G356" s="13" t="s">
        <v>80</v>
      </c>
      <c r="H356" s="16">
        <v>44575.0</v>
      </c>
      <c r="I356" s="14">
        <v>16.0</v>
      </c>
      <c r="J356" s="13" t="s">
        <v>40</v>
      </c>
      <c r="K356" s="13" t="s">
        <v>41</v>
      </c>
      <c r="L356" s="14">
        <v>641.0</v>
      </c>
      <c r="M356" s="18" t="s">
        <v>43</v>
      </c>
      <c r="N356" s="20">
        <v>0.0</v>
      </c>
      <c r="O356" s="18">
        <v>16.3</v>
      </c>
      <c r="P356" s="20">
        <v>1.3</v>
      </c>
      <c r="Q356" s="16">
        <v>44870.0</v>
      </c>
      <c r="R356" s="16">
        <v>45142.0</v>
      </c>
      <c r="S356" s="13" t="s">
        <v>45</v>
      </c>
      <c r="T356" s="13" t="s">
        <v>72</v>
      </c>
      <c r="U356" s="13" t="str">
        <f t="shared" si="1"/>
        <v>Low</v>
      </c>
      <c r="V356" s="13" t="str">
        <f t="shared" si="2"/>
        <v>Below Median</v>
      </c>
      <c r="W356" s="13" t="str">
        <f t="shared" si="3"/>
        <v>13–24 Months</v>
      </c>
    </row>
    <row r="357" hidden="1">
      <c r="A357" s="13" t="s">
        <v>859</v>
      </c>
      <c r="B357" s="13" t="s">
        <v>106</v>
      </c>
      <c r="C357" s="14">
        <v>62.0</v>
      </c>
      <c r="D357" s="13" t="s">
        <v>69</v>
      </c>
      <c r="E357" s="13" t="s">
        <v>70</v>
      </c>
      <c r="F357" s="13" t="s">
        <v>37</v>
      </c>
      <c r="G357" s="13" t="s">
        <v>128</v>
      </c>
      <c r="H357" s="16">
        <v>45797.0</v>
      </c>
      <c r="I357" s="14">
        <v>20.0</v>
      </c>
      <c r="J357" s="13" t="s">
        <v>53</v>
      </c>
      <c r="K357" s="13" t="s">
        <v>81</v>
      </c>
      <c r="L357" s="14">
        <v>1049.0</v>
      </c>
      <c r="M357" s="18" t="s">
        <v>43</v>
      </c>
      <c r="N357" s="20">
        <v>2.0</v>
      </c>
      <c r="O357" s="18">
        <v>32.3</v>
      </c>
      <c r="P357" s="20">
        <v>3.7</v>
      </c>
      <c r="Q357" s="16">
        <v>46233.0</v>
      </c>
      <c r="R357" s="16" t="s">
        <v>38</v>
      </c>
      <c r="S357" s="13" t="s">
        <v>55</v>
      </c>
      <c r="T357" s="13" t="s">
        <v>66</v>
      </c>
      <c r="U357" s="13" t="str">
        <f t="shared" si="1"/>
        <v>Moderate</v>
      </c>
      <c r="V357" s="13" t="str">
        <f t="shared" si="2"/>
        <v>Median or Above</v>
      </c>
      <c r="W357" s="13" t="str">
        <f t="shared" si="3"/>
        <v>13–24 Months</v>
      </c>
    </row>
    <row r="358" hidden="1">
      <c r="A358" s="13" t="s">
        <v>546</v>
      </c>
      <c r="B358" s="13" t="s">
        <v>135</v>
      </c>
      <c r="C358" s="14">
        <v>37.0</v>
      </c>
      <c r="D358" s="13" t="s">
        <v>69</v>
      </c>
      <c r="E358" s="13" t="s">
        <v>119</v>
      </c>
      <c r="F358" s="13" t="s">
        <v>37</v>
      </c>
      <c r="G358" s="13" t="s">
        <v>210</v>
      </c>
      <c r="H358" s="16">
        <v>44635.0</v>
      </c>
      <c r="I358" s="14">
        <v>6.0</v>
      </c>
      <c r="J358" s="13" t="s">
        <v>53</v>
      </c>
      <c r="K358" s="13" t="s">
        <v>41</v>
      </c>
      <c r="L358" s="14">
        <v>1376.0</v>
      </c>
      <c r="M358" s="18" t="s">
        <v>98</v>
      </c>
      <c r="N358" s="20">
        <v>0.0</v>
      </c>
      <c r="O358" s="18">
        <v>26.1</v>
      </c>
      <c r="P358" s="20">
        <v>3.9</v>
      </c>
      <c r="Q358" s="16">
        <v>44742.0</v>
      </c>
      <c r="R358" s="16">
        <v>44566.0</v>
      </c>
      <c r="S358" s="13" t="s">
        <v>45</v>
      </c>
      <c r="T358" s="13" t="s">
        <v>104</v>
      </c>
      <c r="U358" s="13" t="str">
        <f t="shared" si="1"/>
        <v>Moderate</v>
      </c>
      <c r="V358" s="13" t="str">
        <f t="shared" si="2"/>
        <v>Median or Above</v>
      </c>
      <c r="W358" s="13" t="str">
        <f t="shared" si="3"/>
        <v>0–12 Months</v>
      </c>
    </row>
    <row r="359" hidden="1">
      <c r="A359" s="13" t="s">
        <v>862</v>
      </c>
      <c r="B359" s="13" t="s">
        <v>247</v>
      </c>
      <c r="C359" s="14">
        <v>49.0</v>
      </c>
      <c r="D359" s="13" t="s">
        <v>60</v>
      </c>
      <c r="E359" s="13" t="s">
        <v>107</v>
      </c>
      <c r="F359" s="13" t="s">
        <v>37</v>
      </c>
      <c r="G359" s="13" t="s">
        <v>80</v>
      </c>
      <c r="H359" s="16">
        <v>44991.0</v>
      </c>
      <c r="I359" s="14">
        <v>45.0</v>
      </c>
      <c r="J359" s="13" t="s">
        <v>64</v>
      </c>
      <c r="K359" s="13" t="s">
        <v>81</v>
      </c>
      <c r="L359" s="14">
        <v>1110.0</v>
      </c>
      <c r="M359" s="18" t="s">
        <v>98</v>
      </c>
      <c r="N359" s="20">
        <v>0.0</v>
      </c>
      <c r="O359" s="18">
        <v>28.8</v>
      </c>
      <c r="P359" s="20">
        <v>5.0</v>
      </c>
      <c r="Q359" s="16">
        <v>46289.0</v>
      </c>
      <c r="R359" s="16" t="s">
        <v>38</v>
      </c>
      <c r="S359" s="13" t="s">
        <v>55</v>
      </c>
      <c r="T359" s="13" t="s">
        <v>66</v>
      </c>
      <c r="U359" s="13" t="str">
        <f t="shared" si="1"/>
        <v>High</v>
      </c>
      <c r="V359" s="13" t="str">
        <f t="shared" si="2"/>
        <v>Median or Above</v>
      </c>
      <c r="W359" s="13" t="str">
        <f t="shared" si="3"/>
        <v>25–48 Months</v>
      </c>
    </row>
    <row r="360" hidden="1">
      <c r="A360" s="13" t="s">
        <v>863</v>
      </c>
      <c r="B360" s="13" t="s">
        <v>351</v>
      </c>
      <c r="C360" s="14">
        <v>52.0</v>
      </c>
      <c r="D360" s="13" t="s">
        <v>60</v>
      </c>
      <c r="E360" s="13" t="s">
        <v>133</v>
      </c>
      <c r="F360" s="13" t="s">
        <v>37</v>
      </c>
      <c r="G360" s="13" t="s">
        <v>210</v>
      </c>
      <c r="H360" s="16">
        <v>45093.0</v>
      </c>
      <c r="I360" s="14">
        <v>34.0</v>
      </c>
      <c r="J360" s="13" t="s">
        <v>64</v>
      </c>
      <c r="K360" s="13" t="s">
        <v>81</v>
      </c>
      <c r="L360" s="14">
        <v>1361.0</v>
      </c>
      <c r="M360" s="18" t="s">
        <v>43</v>
      </c>
      <c r="N360" s="20">
        <v>3.0</v>
      </c>
      <c r="O360" s="18">
        <v>35.9</v>
      </c>
      <c r="P360" s="20">
        <v>2.5</v>
      </c>
      <c r="Q360" s="16">
        <v>45368.0</v>
      </c>
      <c r="R360" s="16" t="s">
        <v>38</v>
      </c>
      <c r="S360" s="13" t="s">
        <v>55</v>
      </c>
      <c r="T360" s="13" t="s">
        <v>75</v>
      </c>
      <c r="U360" s="13" t="str">
        <f t="shared" si="1"/>
        <v>Low</v>
      </c>
      <c r="V360" s="13" t="str">
        <f t="shared" si="2"/>
        <v>Median or Above</v>
      </c>
      <c r="W360" s="13" t="str">
        <f t="shared" si="3"/>
        <v>25–48 Months</v>
      </c>
    </row>
    <row r="361" hidden="1">
      <c r="A361" s="13" t="s">
        <v>523</v>
      </c>
      <c r="B361" s="13" t="s">
        <v>333</v>
      </c>
      <c r="C361" s="14">
        <v>45.0</v>
      </c>
      <c r="D361" s="13" t="s">
        <v>69</v>
      </c>
      <c r="E361" s="13" t="s">
        <v>187</v>
      </c>
      <c r="F361" s="13" t="s">
        <v>37</v>
      </c>
      <c r="G361" s="13" t="s">
        <v>39</v>
      </c>
      <c r="H361" s="16">
        <v>44565.0</v>
      </c>
      <c r="I361" s="14">
        <v>8.0</v>
      </c>
      <c r="J361" s="13" t="s">
        <v>40</v>
      </c>
      <c r="K361" s="13" t="s">
        <v>65</v>
      </c>
      <c r="L361" s="14">
        <v>1119.0</v>
      </c>
      <c r="M361" s="18" t="s">
        <v>46</v>
      </c>
      <c r="N361" s="20">
        <v>0.0</v>
      </c>
      <c r="O361" s="18">
        <v>15.2</v>
      </c>
      <c r="P361" s="20">
        <v>3.0</v>
      </c>
      <c r="Q361" s="16">
        <v>44792.0</v>
      </c>
      <c r="R361" s="16" t="s">
        <v>38</v>
      </c>
      <c r="S361" s="13" t="s">
        <v>55</v>
      </c>
      <c r="T361" s="13" t="s">
        <v>72</v>
      </c>
      <c r="U361" s="13" t="str">
        <f t="shared" si="1"/>
        <v>Moderate</v>
      </c>
      <c r="V361" s="13" t="str">
        <f t="shared" si="2"/>
        <v>Below Median</v>
      </c>
      <c r="W361" s="13" t="str">
        <f t="shared" si="3"/>
        <v>0–12 Months</v>
      </c>
    </row>
    <row r="362" hidden="1">
      <c r="A362" s="13" t="s">
        <v>864</v>
      </c>
      <c r="B362" s="13" t="s">
        <v>651</v>
      </c>
      <c r="C362" s="14">
        <v>62.0</v>
      </c>
      <c r="D362" s="13" t="s">
        <v>69</v>
      </c>
      <c r="E362" s="13" t="s">
        <v>70</v>
      </c>
      <c r="F362" s="13" t="s">
        <v>37</v>
      </c>
      <c r="G362" s="13" t="s">
        <v>52</v>
      </c>
      <c r="H362" s="16">
        <v>45138.0</v>
      </c>
      <c r="I362" s="14">
        <v>17.0</v>
      </c>
      <c r="J362" s="13" t="s">
        <v>53</v>
      </c>
      <c r="K362" s="13" t="s">
        <v>65</v>
      </c>
      <c r="L362" s="14">
        <v>1306.0</v>
      </c>
      <c r="M362" s="18" t="s">
        <v>43</v>
      </c>
      <c r="N362" s="20">
        <v>6.0</v>
      </c>
      <c r="O362" s="18">
        <v>27.2</v>
      </c>
      <c r="P362" s="20">
        <v>2.2</v>
      </c>
      <c r="Q362" s="16">
        <v>45479.0</v>
      </c>
      <c r="R362" s="16" t="s">
        <v>866</v>
      </c>
      <c r="S362" s="13" t="s">
        <v>45</v>
      </c>
      <c r="T362" s="13" t="s">
        <v>75</v>
      </c>
      <c r="U362" s="13" t="str">
        <f t="shared" si="1"/>
        <v>Low</v>
      </c>
      <c r="V362" s="13" t="str">
        <f t="shared" si="2"/>
        <v>Median or Above</v>
      </c>
      <c r="W362" s="13" t="str">
        <f t="shared" si="3"/>
        <v>13–24 Months</v>
      </c>
    </row>
    <row r="363" hidden="1">
      <c r="A363" s="13" t="s">
        <v>205</v>
      </c>
      <c r="B363" s="13" t="s">
        <v>190</v>
      </c>
      <c r="C363" s="14">
        <v>59.0</v>
      </c>
      <c r="D363" s="13" t="s">
        <v>35</v>
      </c>
      <c r="E363" s="13" t="s">
        <v>51</v>
      </c>
      <c r="F363" s="13" t="s">
        <v>62</v>
      </c>
      <c r="G363" s="13" t="s">
        <v>128</v>
      </c>
      <c r="H363" s="16">
        <v>45254.0</v>
      </c>
      <c r="I363" s="14">
        <v>44.0</v>
      </c>
      <c r="J363" s="13" t="s">
        <v>53</v>
      </c>
      <c r="K363" s="13" t="s">
        <v>81</v>
      </c>
      <c r="L363" s="14">
        <v>741.0</v>
      </c>
      <c r="M363" s="18" t="s">
        <v>98</v>
      </c>
      <c r="N363" s="20">
        <v>2.0</v>
      </c>
      <c r="O363" s="18">
        <v>7.9</v>
      </c>
      <c r="P363" s="20">
        <v>3.1</v>
      </c>
      <c r="Q363" s="16">
        <v>45542.0</v>
      </c>
      <c r="R363" s="16" t="s">
        <v>38</v>
      </c>
      <c r="S363" s="13" t="s">
        <v>55</v>
      </c>
      <c r="T363" s="13" t="s">
        <v>72</v>
      </c>
      <c r="U363" s="13" t="str">
        <f t="shared" si="1"/>
        <v>Moderate</v>
      </c>
      <c r="V363" s="13" t="str">
        <f t="shared" si="2"/>
        <v>Below Median</v>
      </c>
      <c r="W363" s="13" t="str">
        <f t="shared" si="3"/>
        <v>25–48 Months</v>
      </c>
    </row>
    <row r="364" hidden="1">
      <c r="A364" s="13" t="s">
        <v>867</v>
      </c>
      <c r="B364" s="13" t="s">
        <v>448</v>
      </c>
      <c r="C364" s="14">
        <v>41.0</v>
      </c>
      <c r="D364" s="13" t="s">
        <v>85</v>
      </c>
      <c r="E364" s="13" t="s">
        <v>292</v>
      </c>
      <c r="F364" s="13" t="s">
        <v>37</v>
      </c>
      <c r="G364" s="13" t="s">
        <v>210</v>
      </c>
      <c r="H364" s="16">
        <v>45719.0</v>
      </c>
      <c r="I364" s="14">
        <v>120.0</v>
      </c>
      <c r="J364" s="13" t="s">
        <v>40</v>
      </c>
      <c r="K364" s="13" t="s">
        <v>41</v>
      </c>
      <c r="L364" s="14">
        <v>1547.0</v>
      </c>
      <c r="M364" s="18" t="s">
        <v>164</v>
      </c>
      <c r="N364" s="20">
        <v>0.0</v>
      </c>
      <c r="O364" s="18">
        <v>30.6</v>
      </c>
      <c r="P364" s="20">
        <v>3.4</v>
      </c>
      <c r="Q364" s="16">
        <v>46155.0</v>
      </c>
      <c r="R364" s="16" t="s">
        <v>38</v>
      </c>
      <c r="S364" s="13" t="s">
        <v>55</v>
      </c>
      <c r="T364" s="13" t="s">
        <v>72</v>
      </c>
      <c r="U364" s="13" t="str">
        <f t="shared" si="1"/>
        <v>Moderate</v>
      </c>
      <c r="V364" s="13" t="str">
        <f t="shared" si="2"/>
        <v>Median or Above</v>
      </c>
      <c r="W364" s="13" t="str">
        <f t="shared" si="3"/>
        <v>49+ Months</v>
      </c>
    </row>
    <row r="365" hidden="1">
      <c r="A365" s="13" t="s">
        <v>868</v>
      </c>
      <c r="B365" s="13" t="s">
        <v>74</v>
      </c>
      <c r="C365" s="14">
        <v>36.0</v>
      </c>
      <c r="D365" s="13" t="s">
        <v>60</v>
      </c>
      <c r="E365" s="13" t="s">
        <v>133</v>
      </c>
      <c r="F365" s="13" t="s">
        <v>37</v>
      </c>
      <c r="G365" s="13" t="s">
        <v>128</v>
      </c>
      <c r="H365" s="16">
        <v>44901.0</v>
      </c>
      <c r="I365" s="14">
        <v>37.0</v>
      </c>
      <c r="J365" s="13" t="s">
        <v>53</v>
      </c>
      <c r="K365" s="13" t="s">
        <v>41</v>
      </c>
      <c r="L365" s="14">
        <v>1608.0</v>
      </c>
      <c r="M365" s="18" t="s">
        <v>164</v>
      </c>
      <c r="N365" s="20">
        <v>0.0</v>
      </c>
      <c r="O365" s="18">
        <v>26.1</v>
      </c>
      <c r="P365" s="20">
        <v>4.1</v>
      </c>
      <c r="Q365" s="16">
        <v>45542.0</v>
      </c>
      <c r="R365" s="16" t="s">
        <v>38</v>
      </c>
      <c r="S365" s="13" t="s">
        <v>55</v>
      </c>
      <c r="T365" s="13" t="s">
        <v>75</v>
      </c>
      <c r="U365" s="13" t="str">
        <f t="shared" si="1"/>
        <v>Moderate</v>
      </c>
      <c r="V365" s="13" t="str">
        <f t="shared" si="2"/>
        <v>Median or Above</v>
      </c>
      <c r="W365" s="13" t="str">
        <f t="shared" si="3"/>
        <v>25–48 Months</v>
      </c>
    </row>
    <row r="366" hidden="1">
      <c r="A366" s="13" t="s">
        <v>869</v>
      </c>
      <c r="B366" s="13" t="s">
        <v>215</v>
      </c>
      <c r="C366" s="14">
        <v>47.0</v>
      </c>
      <c r="D366" s="13" t="s">
        <v>60</v>
      </c>
      <c r="E366" s="13" t="s">
        <v>133</v>
      </c>
      <c r="F366" s="13" t="s">
        <v>37</v>
      </c>
      <c r="G366" s="13" t="s">
        <v>210</v>
      </c>
      <c r="H366" s="16">
        <v>45004.0</v>
      </c>
      <c r="I366" s="14">
        <v>34.0</v>
      </c>
      <c r="J366" s="13" t="s">
        <v>64</v>
      </c>
      <c r="K366" s="13" t="s">
        <v>41</v>
      </c>
      <c r="L366" s="14">
        <v>1382.0</v>
      </c>
      <c r="M366" s="18" t="s">
        <v>43</v>
      </c>
      <c r="N366" s="20">
        <v>1.0</v>
      </c>
      <c r="O366" s="18">
        <v>19.3</v>
      </c>
      <c r="P366" s="20">
        <v>3.6</v>
      </c>
      <c r="Q366" s="16">
        <v>45090.0</v>
      </c>
      <c r="R366" s="16" t="s">
        <v>38</v>
      </c>
      <c r="S366" s="13" t="s">
        <v>55</v>
      </c>
      <c r="T366" s="13" t="s">
        <v>75</v>
      </c>
      <c r="U366" s="13" t="str">
        <f t="shared" si="1"/>
        <v>Moderate</v>
      </c>
      <c r="V366" s="13" t="str">
        <f t="shared" si="2"/>
        <v>Below Median</v>
      </c>
      <c r="W366" s="13" t="str">
        <f t="shared" si="3"/>
        <v>25–48 Months</v>
      </c>
    </row>
    <row r="367" hidden="1">
      <c r="A367" s="13" t="s">
        <v>870</v>
      </c>
      <c r="B367" s="13" t="s">
        <v>160</v>
      </c>
      <c r="C367" s="14">
        <v>65.0</v>
      </c>
      <c r="D367" s="13" t="s">
        <v>69</v>
      </c>
      <c r="E367" s="13" t="s">
        <v>187</v>
      </c>
      <c r="F367" s="13" t="s">
        <v>62</v>
      </c>
      <c r="G367" s="13" t="s">
        <v>120</v>
      </c>
      <c r="H367" s="16">
        <v>45634.0</v>
      </c>
      <c r="I367" s="14">
        <v>20.0</v>
      </c>
      <c r="J367" s="13" t="s">
        <v>40</v>
      </c>
      <c r="K367" s="13" t="s">
        <v>65</v>
      </c>
      <c r="L367" s="14">
        <v>572.0</v>
      </c>
      <c r="M367" s="18" t="s">
        <v>164</v>
      </c>
      <c r="N367" s="20">
        <v>0.0</v>
      </c>
      <c r="O367" s="18">
        <v>16.5</v>
      </c>
      <c r="P367" s="20">
        <v>3.4</v>
      </c>
      <c r="Q367" s="16">
        <v>45744.0</v>
      </c>
      <c r="R367" s="16" t="s">
        <v>872</v>
      </c>
      <c r="S367" s="13" t="s">
        <v>45</v>
      </c>
      <c r="T367" s="13" t="s">
        <v>75</v>
      </c>
      <c r="U367" s="13" t="str">
        <f t="shared" si="1"/>
        <v>Moderate</v>
      </c>
      <c r="V367" s="13" t="str">
        <f t="shared" si="2"/>
        <v>Below Median</v>
      </c>
      <c r="W367" s="13" t="str">
        <f t="shared" si="3"/>
        <v>13–24 Months</v>
      </c>
    </row>
    <row r="368" hidden="1">
      <c r="A368" s="13" t="s">
        <v>873</v>
      </c>
      <c r="B368" s="13" t="s">
        <v>176</v>
      </c>
      <c r="C368" s="14">
        <v>20.0</v>
      </c>
      <c r="D368" s="13" t="s">
        <v>35</v>
      </c>
      <c r="E368" s="13" t="s">
        <v>36</v>
      </c>
      <c r="F368" s="13" t="s">
        <v>79</v>
      </c>
      <c r="G368" s="13" t="s">
        <v>63</v>
      </c>
      <c r="H368" s="16">
        <v>45969.0</v>
      </c>
      <c r="I368" s="14">
        <v>39.0</v>
      </c>
      <c r="J368" s="13" t="s">
        <v>64</v>
      </c>
      <c r="K368" s="13" t="s">
        <v>65</v>
      </c>
      <c r="L368" s="14">
        <v>669.0</v>
      </c>
      <c r="M368" s="18" t="s">
        <v>98</v>
      </c>
      <c r="N368" s="20">
        <v>4.0</v>
      </c>
      <c r="O368" s="18">
        <v>16.4</v>
      </c>
      <c r="P368" s="20">
        <v>2.6</v>
      </c>
      <c r="Q368" s="16">
        <v>46073.0</v>
      </c>
      <c r="R368" s="16">
        <v>46210.0</v>
      </c>
      <c r="S368" s="13" t="s">
        <v>45</v>
      </c>
      <c r="T368" s="13" t="s">
        <v>47</v>
      </c>
      <c r="U368" s="13" t="str">
        <f t="shared" si="1"/>
        <v>Low</v>
      </c>
      <c r="V368" s="13" t="str">
        <f t="shared" si="2"/>
        <v>Below Median</v>
      </c>
      <c r="W368" s="13" t="str">
        <f t="shared" si="3"/>
        <v>25–48 Months</v>
      </c>
    </row>
    <row r="369" hidden="1">
      <c r="A369" s="13" t="s">
        <v>875</v>
      </c>
      <c r="B369" s="13" t="s">
        <v>303</v>
      </c>
      <c r="C369" s="14">
        <v>58.0</v>
      </c>
      <c r="D369" s="13" t="s">
        <v>69</v>
      </c>
      <c r="E369" s="13" t="s">
        <v>187</v>
      </c>
      <c r="F369" s="13" t="s">
        <v>62</v>
      </c>
      <c r="G369" s="13" t="s">
        <v>80</v>
      </c>
      <c r="H369" s="16">
        <v>45215.0</v>
      </c>
      <c r="I369" s="14">
        <v>29.0</v>
      </c>
      <c r="J369" s="13" t="s">
        <v>64</v>
      </c>
      <c r="K369" s="13" t="s">
        <v>81</v>
      </c>
      <c r="L369" s="14">
        <v>638.0</v>
      </c>
      <c r="M369" s="18" t="s">
        <v>43</v>
      </c>
      <c r="N369" s="20">
        <v>2.0</v>
      </c>
      <c r="O369" s="18">
        <v>5.2</v>
      </c>
      <c r="P369" s="20">
        <v>4.1</v>
      </c>
      <c r="Q369" s="16">
        <v>45505.0</v>
      </c>
      <c r="R369" s="16" t="s">
        <v>38</v>
      </c>
      <c r="S369" s="13" t="s">
        <v>55</v>
      </c>
      <c r="T369" s="13" t="s">
        <v>104</v>
      </c>
      <c r="U369" s="13" t="str">
        <f t="shared" si="1"/>
        <v>Moderate</v>
      </c>
      <c r="V369" s="13" t="str">
        <f t="shared" si="2"/>
        <v>Below Median</v>
      </c>
      <c r="W369" s="13" t="str">
        <f t="shared" si="3"/>
        <v>25–48 Months</v>
      </c>
    </row>
    <row r="370" hidden="1">
      <c r="A370" s="13" t="s">
        <v>877</v>
      </c>
      <c r="B370" s="13" t="s">
        <v>645</v>
      </c>
      <c r="C370" s="14">
        <v>22.0</v>
      </c>
      <c r="D370" s="13" t="s">
        <v>60</v>
      </c>
      <c r="E370" s="13" t="s">
        <v>107</v>
      </c>
      <c r="F370" s="13" t="s">
        <v>62</v>
      </c>
      <c r="G370" s="13" t="s">
        <v>52</v>
      </c>
      <c r="H370" s="16">
        <v>45142.0</v>
      </c>
      <c r="I370" s="14">
        <v>37.0</v>
      </c>
      <c r="J370" s="13" t="s">
        <v>40</v>
      </c>
      <c r="K370" s="13" t="s">
        <v>41</v>
      </c>
      <c r="L370" s="14">
        <v>535.0</v>
      </c>
      <c r="M370" s="18" t="s">
        <v>38</v>
      </c>
      <c r="N370" s="20">
        <v>1.0</v>
      </c>
      <c r="O370" s="18">
        <v>21.4</v>
      </c>
      <c r="P370" s="20">
        <v>3.7</v>
      </c>
      <c r="Q370" s="16">
        <v>45845.0</v>
      </c>
      <c r="R370" s="16" t="s">
        <v>38</v>
      </c>
      <c r="S370" s="13" t="s">
        <v>55</v>
      </c>
      <c r="T370" s="13" t="s">
        <v>75</v>
      </c>
      <c r="U370" s="13" t="str">
        <f t="shared" si="1"/>
        <v>Moderate</v>
      </c>
      <c r="V370" s="13" t="str">
        <f t="shared" si="2"/>
        <v>Below Median</v>
      </c>
      <c r="W370" s="13" t="str">
        <f t="shared" si="3"/>
        <v>25–48 Months</v>
      </c>
    </row>
    <row r="371" hidden="1">
      <c r="A371" s="13" t="s">
        <v>878</v>
      </c>
      <c r="B371" s="13" t="s">
        <v>257</v>
      </c>
      <c r="C371" s="14">
        <v>38.0</v>
      </c>
      <c r="D371" s="13" t="s">
        <v>35</v>
      </c>
      <c r="E371" s="13" t="s">
        <v>36</v>
      </c>
      <c r="F371" s="13" t="s">
        <v>62</v>
      </c>
      <c r="G371" s="13" t="s">
        <v>63</v>
      </c>
      <c r="H371" s="16">
        <v>45435.0</v>
      </c>
      <c r="I371" s="14">
        <v>26.0</v>
      </c>
      <c r="J371" s="13" t="s">
        <v>53</v>
      </c>
      <c r="K371" s="13" t="s">
        <v>41</v>
      </c>
      <c r="L371" s="14">
        <v>804.0</v>
      </c>
      <c r="M371" s="18" t="s">
        <v>98</v>
      </c>
      <c r="N371" s="20">
        <v>2.0</v>
      </c>
      <c r="O371" s="18">
        <v>23.8</v>
      </c>
      <c r="P371" s="20">
        <v>2.5</v>
      </c>
      <c r="Q371" s="16">
        <v>46151.0</v>
      </c>
      <c r="R371" s="16" t="s">
        <v>38</v>
      </c>
      <c r="S371" s="13" t="s">
        <v>55</v>
      </c>
      <c r="T371" s="13" t="s">
        <v>66</v>
      </c>
      <c r="U371" s="13" t="str">
        <f t="shared" si="1"/>
        <v>Low</v>
      </c>
      <c r="V371" s="13" t="str">
        <f t="shared" si="2"/>
        <v>Below Median</v>
      </c>
      <c r="W371" s="13" t="str">
        <f t="shared" si="3"/>
        <v>25–48 Months</v>
      </c>
    </row>
    <row r="372" hidden="1">
      <c r="A372" s="13" t="s">
        <v>879</v>
      </c>
      <c r="B372" s="13" t="s">
        <v>110</v>
      </c>
      <c r="C372" s="14">
        <v>33.0</v>
      </c>
      <c r="D372" s="13" t="s">
        <v>85</v>
      </c>
      <c r="E372" s="13" t="s">
        <v>38</v>
      </c>
      <c r="F372" s="13" t="s">
        <v>62</v>
      </c>
      <c r="G372" s="13" t="s">
        <v>80</v>
      </c>
      <c r="H372" s="16">
        <v>45992.0</v>
      </c>
      <c r="I372" s="14">
        <v>30.0</v>
      </c>
      <c r="J372" s="13" t="s">
        <v>40</v>
      </c>
      <c r="K372" s="13" t="s">
        <v>41</v>
      </c>
      <c r="L372" s="14">
        <v>657.0</v>
      </c>
      <c r="M372" s="18" t="s">
        <v>43</v>
      </c>
      <c r="N372" s="20">
        <v>0.0</v>
      </c>
      <c r="O372" s="18">
        <v>22.9</v>
      </c>
      <c r="P372" s="20">
        <v>3.5</v>
      </c>
      <c r="Q372" s="16">
        <v>46729.0</v>
      </c>
      <c r="R372" s="16" t="s">
        <v>38</v>
      </c>
      <c r="S372" s="13" t="s">
        <v>55</v>
      </c>
      <c r="T372" s="13" t="s">
        <v>66</v>
      </c>
      <c r="U372" s="13" t="str">
        <f t="shared" si="1"/>
        <v>Moderate</v>
      </c>
      <c r="V372" s="13" t="str">
        <f t="shared" si="2"/>
        <v>Below Median</v>
      </c>
      <c r="W372" s="13" t="str">
        <f t="shared" si="3"/>
        <v>25–48 Months</v>
      </c>
    </row>
    <row r="373" hidden="1">
      <c r="A373" s="13" t="s">
        <v>882</v>
      </c>
      <c r="B373" s="13" t="s">
        <v>229</v>
      </c>
      <c r="C373" s="14">
        <v>48.0</v>
      </c>
      <c r="D373" s="13" t="s">
        <v>60</v>
      </c>
      <c r="E373" s="13" t="s">
        <v>133</v>
      </c>
      <c r="F373" s="13" t="s">
        <v>62</v>
      </c>
      <c r="G373" s="13" t="s">
        <v>52</v>
      </c>
      <c r="H373" s="16">
        <v>45238.0</v>
      </c>
      <c r="I373" s="14">
        <v>21.0</v>
      </c>
      <c r="J373" s="13" t="s">
        <v>40</v>
      </c>
      <c r="K373" s="13" t="s">
        <v>65</v>
      </c>
      <c r="L373" s="14">
        <v>514.0</v>
      </c>
      <c r="M373" s="18" t="s">
        <v>46</v>
      </c>
      <c r="N373" s="20">
        <v>1.0</v>
      </c>
      <c r="O373" s="18">
        <v>21.8</v>
      </c>
      <c r="P373" s="20">
        <v>4.3</v>
      </c>
      <c r="Q373" s="16">
        <v>45363.0</v>
      </c>
      <c r="R373" s="16" t="s">
        <v>38</v>
      </c>
      <c r="S373" s="13" t="s">
        <v>55</v>
      </c>
      <c r="T373" s="13" t="s">
        <v>72</v>
      </c>
      <c r="U373" s="13" t="str">
        <f t="shared" si="1"/>
        <v>Moderate</v>
      </c>
      <c r="V373" s="13" t="str">
        <f t="shared" si="2"/>
        <v>Below Median</v>
      </c>
      <c r="W373" s="13" t="str">
        <f t="shared" si="3"/>
        <v>13–24 Months</v>
      </c>
    </row>
    <row r="374" hidden="1">
      <c r="A374" s="13" t="s">
        <v>886</v>
      </c>
      <c r="B374" s="13" t="s">
        <v>393</v>
      </c>
      <c r="C374" s="14">
        <v>34.0</v>
      </c>
      <c r="D374" s="13" t="s">
        <v>69</v>
      </c>
      <c r="E374" s="13" t="s">
        <v>70</v>
      </c>
      <c r="F374" s="13" t="s">
        <v>62</v>
      </c>
      <c r="G374" s="13" t="s">
        <v>52</v>
      </c>
      <c r="H374" s="16">
        <v>44781.0</v>
      </c>
      <c r="I374" s="14">
        <v>21.0</v>
      </c>
      <c r="J374" s="13" t="s">
        <v>64</v>
      </c>
      <c r="K374" s="13" t="s">
        <v>41</v>
      </c>
      <c r="L374" s="14">
        <v>535.0</v>
      </c>
      <c r="M374" s="18" t="s">
        <v>46</v>
      </c>
      <c r="N374" s="20">
        <v>0.0</v>
      </c>
      <c r="O374" s="18">
        <v>34.8</v>
      </c>
      <c r="P374" s="20">
        <v>3.5</v>
      </c>
      <c r="Q374" s="16">
        <v>45263.0</v>
      </c>
      <c r="R374" s="16" t="s">
        <v>38</v>
      </c>
      <c r="S374" s="13" t="s">
        <v>55</v>
      </c>
      <c r="T374" s="13" t="s">
        <v>66</v>
      </c>
      <c r="U374" s="13" t="str">
        <f t="shared" si="1"/>
        <v>Moderate</v>
      </c>
      <c r="V374" s="13" t="str">
        <f t="shared" si="2"/>
        <v>Median or Above</v>
      </c>
      <c r="W374" s="13" t="str">
        <f t="shared" si="3"/>
        <v>13–24 Months</v>
      </c>
    </row>
    <row r="375" hidden="1">
      <c r="A375" s="13" t="s">
        <v>358</v>
      </c>
      <c r="B375" s="13" t="s">
        <v>395</v>
      </c>
      <c r="C375" s="14">
        <v>30.0</v>
      </c>
      <c r="D375" s="13" t="s">
        <v>85</v>
      </c>
      <c r="E375" s="13" t="s">
        <v>87</v>
      </c>
      <c r="F375" s="13" t="s">
        <v>62</v>
      </c>
      <c r="G375" s="13" t="s">
        <v>39</v>
      </c>
      <c r="H375" s="16">
        <v>45983.0</v>
      </c>
      <c r="I375" s="14">
        <v>38.0</v>
      </c>
      <c r="J375" s="13" t="s">
        <v>64</v>
      </c>
      <c r="K375" s="13" t="s">
        <v>81</v>
      </c>
      <c r="L375" s="14">
        <v>721.0</v>
      </c>
      <c r="M375" s="18" t="s">
        <v>98</v>
      </c>
      <c r="N375" s="20">
        <v>1.0</v>
      </c>
      <c r="O375" s="18">
        <v>24.0</v>
      </c>
      <c r="P375" s="20">
        <v>3.5</v>
      </c>
      <c r="Q375" s="16">
        <v>46693.0</v>
      </c>
      <c r="R375" s="16" t="s">
        <v>38</v>
      </c>
      <c r="S375" s="13" t="s">
        <v>55</v>
      </c>
      <c r="T375" s="13" t="s">
        <v>104</v>
      </c>
      <c r="U375" s="13" t="str">
        <f t="shared" si="1"/>
        <v>Moderate</v>
      </c>
      <c r="V375" s="13" t="str">
        <f t="shared" si="2"/>
        <v>Median or Above</v>
      </c>
      <c r="W375" s="13" t="str">
        <f t="shared" si="3"/>
        <v>25–48 Months</v>
      </c>
    </row>
    <row r="376" hidden="1">
      <c r="A376" s="13" t="s">
        <v>887</v>
      </c>
      <c r="B376" s="13" t="s">
        <v>325</v>
      </c>
      <c r="C376" s="14">
        <v>62.0</v>
      </c>
      <c r="D376" s="13" t="s">
        <v>85</v>
      </c>
      <c r="E376" s="13" t="s">
        <v>292</v>
      </c>
      <c r="F376" s="13" t="s">
        <v>37</v>
      </c>
      <c r="G376" s="13" t="s">
        <v>120</v>
      </c>
      <c r="H376" s="16">
        <v>45228.0</v>
      </c>
      <c r="I376" s="14">
        <v>36.0</v>
      </c>
      <c r="J376" s="13" t="s">
        <v>64</v>
      </c>
      <c r="K376" s="13" t="s">
        <v>65</v>
      </c>
      <c r="L376" s="14">
        <v>1179.0</v>
      </c>
      <c r="M376" s="18" t="s">
        <v>173</v>
      </c>
      <c r="N376" s="20">
        <v>1.0</v>
      </c>
      <c r="O376" s="18">
        <v>39.4</v>
      </c>
      <c r="P376" s="20">
        <v>3.2</v>
      </c>
      <c r="Q376" s="16">
        <v>46069.0</v>
      </c>
      <c r="R376" s="16" t="s">
        <v>38</v>
      </c>
      <c r="S376" s="13" t="s">
        <v>55</v>
      </c>
      <c r="T376" s="13" t="s">
        <v>72</v>
      </c>
      <c r="U376" s="13" t="str">
        <f t="shared" si="1"/>
        <v>Moderate</v>
      </c>
      <c r="V376" s="13" t="str">
        <f t="shared" si="2"/>
        <v>Median or Above</v>
      </c>
      <c r="W376" s="13" t="str">
        <f t="shared" si="3"/>
        <v>25–48 Months</v>
      </c>
    </row>
    <row r="377" hidden="1">
      <c r="A377" s="13" t="s">
        <v>889</v>
      </c>
      <c r="B377" s="13" t="s">
        <v>176</v>
      </c>
      <c r="C377" s="14">
        <v>43.0</v>
      </c>
      <c r="D377" s="13" t="s">
        <v>35</v>
      </c>
      <c r="E377" s="13" t="s">
        <v>36</v>
      </c>
      <c r="F377" s="13" t="s">
        <v>62</v>
      </c>
      <c r="G377" s="13" t="s">
        <v>39</v>
      </c>
      <c r="H377" s="16">
        <v>45751.0</v>
      </c>
      <c r="I377" s="14">
        <v>41.0</v>
      </c>
      <c r="J377" s="13" t="s">
        <v>64</v>
      </c>
      <c r="K377" s="13" t="s">
        <v>81</v>
      </c>
      <c r="L377" s="14">
        <v>886.0</v>
      </c>
      <c r="M377" s="18" t="s">
        <v>43</v>
      </c>
      <c r="N377" s="20">
        <v>1.0</v>
      </c>
      <c r="O377" s="18">
        <v>8.3</v>
      </c>
      <c r="P377" s="20">
        <v>4.4</v>
      </c>
      <c r="Q377" s="16">
        <v>46066.0</v>
      </c>
      <c r="R377" s="16" t="s">
        <v>890</v>
      </c>
      <c r="S377" s="13" t="s">
        <v>45</v>
      </c>
      <c r="T377" s="13" t="s">
        <v>75</v>
      </c>
      <c r="U377" s="13" t="str">
        <f t="shared" si="1"/>
        <v>Moderate</v>
      </c>
      <c r="V377" s="13" t="str">
        <f t="shared" si="2"/>
        <v>Below Median</v>
      </c>
      <c r="W377" s="13" t="str">
        <f t="shared" si="3"/>
        <v>25–48 Months</v>
      </c>
    </row>
    <row r="378" hidden="1">
      <c r="A378" s="13" t="s">
        <v>891</v>
      </c>
      <c r="B378" s="13" t="s">
        <v>239</v>
      </c>
      <c r="C378" s="14">
        <v>58.0</v>
      </c>
      <c r="D378" s="13" t="s">
        <v>69</v>
      </c>
      <c r="E378" s="13" t="s">
        <v>177</v>
      </c>
      <c r="F378" s="13" t="s">
        <v>62</v>
      </c>
      <c r="G378" s="13" t="s">
        <v>128</v>
      </c>
      <c r="H378" s="16">
        <v>45953.0</v>
      </c>
      <c r="I378" s="14">
        <v>20.0</v>
      </c>
      <c r="J378" s="13" t="s">
        <v>64</v>
      </c>
      <c r="K378" s="13" t="s">
        <v>65</v>
      </c>
      <c r="L378" s="14">
        <v>721.0</v>
      </c>
      <c r="M378" s="18" t="s">
        <v>164</v>
      </c>
      <c r="N378" s="20">
        <v>1.0</v>
      </c>
      <c r="O378" s="18">
        <v>19.7</v>
      </c>
      <c r="P378" s="20">
        <v>3.5</v>
      </c>
      <c r="Q378" s="16">
        <v>46315.0</v>
      </c>
      <c r="R378" s="16" t="s">
        <v>892</v>
      </c>
      <c r="S378" s="13" t="s">
        <v>45</v>
      </c>
      <c r="T378" s="13" t="s">
        <v>47</v>
      </c>
      <c r="U378" s="13" t="str">
        <f t="shared" si="1"/>
        <v>Moderate</v>
      </c>
      <c r="V378" s="13" t="str">
        <f t="shared" si="2"/>
        <v>Below Median</v>
      </c>
      <c r="W378" s="13" t="str">
        <f t="shared" si="3"/>
        <v>13–24 Months</v>
      </c>
    </row>
    <row r="379" hidden="1">
      <c r="A379" s="13" t="s">
        <v>893</v>
      </c>
      <c r="B379" s="13" t="s">
        <v>470</v>
      </c>
      <c r="C379" s="14">
        <v>46.0</v>
      </c>
      <c r="D379" s="13" t="s">
        <v>35</v>
      </c>
      <c r="E379" s="13" t="s">
        <v>161</v>
      </c>
      <c r="F379" s="13" t="s">
        <v>79</v>
      </c>
      <c r="G379" s="13" t="s">
        <v>63</v>
      </c>
      <c r="H379" s="16">
        <v>44563.0</v>
      </c>
      <c r="I379" s="14">
        <v>46.0</v>
      </c>
      <c r="J379" s="13" t="s">
        <v>64</v>
      </c>
      <c r="K379" s="13" t="s">
        <v>81</v>
      </c>
      <c r="L379" s="14">
        <v>3762.0</v>
      </c>
      <c r="M379" s="18" t="s">
        <v>99</v>
      </c>
      <c r="N379" s="20">
        <v>2.0</v>
      </c>
      <c r="O379" s="18">
        <v>31.6</v>
      </c>
      <c r="P379" s="20">
        <v>4.6</v>
      </c>
      <c r="Q379" s="16">
        <v>45150.0</v>
      </c>
      <c r="R379" s="16" t="s">
        <v>38</v>
      </c>
      <c r="S379" s="13" t="s">
        <v>55</v>
      </c>
      <c r="T379" s="13" t="s">
        <v>75</v>
      </c>
      <c r="U379" s="13" t="str">
        <f t="shared" si="1"/>
        <v>Moderate</v>
      </c>
      <c r="V379" s="13" t="str">
        <f t="shared" si="2"/>
        <v>Median or Above</v>
      </c>
      <c r="W379" s="13" t="str">
        <f t="shared" si="3"/>
        <v>25–48 Months</v>
      </c>
    </row>
    <row r="380" hidden="1">
      <c r="A380" s="13" t="s">
        <v>894</v>
      </c>
      <c r="B380" s="13" t="s">
        <v>411</v>
      </c>
      <c r="C380" s="14">
        <v>45.0</v>
      </c>
      <c r="D380" s="13" t="s">
        <v>60</v>
      </c>
      <c r="E380" s="13" t="s">
        <v>133</v>
      </c>
      <c r="F380" s="13" t="s">
        <v>62</v>
      </c>
      <c r="G380" s="13" t="s">
        <v>120</v>
      </c>
      <c r="H380" s="16">
        <v>45678.0</v>
      </c>
      <c r="I380" s="14">
        <v>14.0</v>
      </c>
      <c r="J380" s="13" t="s">
        <v>40</v>
      </c>
      <c r="K380" s="13" t="s">
        <v>65</v>
      </c>
      <c r="L380" s="14">
        <v>742.0</v>
      </c>
      <c r="M380" s="18" t="s">
        <v>98</v>
      </c>
      <c r="N380" s="20">
        <v>1.0</v>
      </c>
      <c r="O380" s="18">
        <v>21.3</v>
      </c>
      <c r="P380" s="20">
        <v>2.5</v>
      </c>
      <c r="Q380" s="16">
        <v>45972.0</v>
      </c>
      <c r="R380" s="16" t="s">
        <v>38</v>
      </c>
      <c r="S380" s="13" t="s">
        <v>55</v>
      </c>
      <c r="T380" s="13" t="s">
        <v>47</v>
      </c>
      <c r="U380" s="13" t="str">
        <f t="shared" si="1"/>
        <v>Low</v>
      </c>
      <c r="V380" s="13" t="str">
        <f t="shared" si="2"/>
        <v>Below Median</v>
      </c>
      <c r="W380" s="13" t="str">
        <f t="shared" si="3"/>
        <v>13–24 Months</v>
      </c>
    </row>
    <row r="381" hidden="1">
      <c r="A381" s="13" t="s">
        <v>783</v>
      </c>
      <c r="B381" s="13" t="s">
        <v>734</v>
      </c>
      <c r="C381" s="14">
        <v>58.0</v>
      </c>
      <c r="D381" s="13" t="s">
        <v>35</v>
      </c>
      <c r="E381" s="13" t="s">
        <v>36</v>
      </c>
      <c r="F381" s="13" t="s">
        <v>37</v>
      </c>
      <c r="G381" s="13" t="s">
        <v>39</v>
      </c>
      <c r="H381" s="16">
        <v>45558.0</v>
      </c>
      <c r="I381" s="14">
        <v>43.0</v>
      </c>
      <c r="J381" s="13" t="s">
        <v>40</v>
      </c>
      <c r="K381" s="13" t="s">
        <v>65</v>
      </c>
      <c r="L381" s="14">
        <v>1085.0</v>
      </c>
      <c r="M381" s="18" t="s">
        <v>164</v>
      </c>
      <c r="N381" s="20">
        <v>2.0</v>
      </c>
      <c r="O381" s="18">
        <v>28.1</v>
      </c>
      <c r="P381" s="20">
        <v>4.3</v>
      </c>
      <c r="Q381" s="16">
        <v>46419.0</v>
      </c>
      <c r="R381" s="16" t="s">
        <v>38</v>
      </c>
      <c r="S381" s="13" t="s">
        <v>55</v>
      </c>
      <c r="T381" s="13" t="s">
        <v>66</v>
      </c>
      <c r="U381" s="13" t="str">
        <f t="shared" si="1"/>
        <v>Moderate</v>
      </c>
      <c r="V381" s="13" t="str">
        <f t="shared" si="2"/>
        <v>Median or Above</v>
      </c>
      <c r="W381" s="13" t="str">
        <f t="shared" si="3"/>
        <v>25–48 Months</v>
      </c>
    </row>
    <row r="382" hidden="1">
      <c r="A382" s="13" t="s">
        <v>895</v>
      </c>
      <c r="B382" s="13" t="s">
        <v>139</v>
      </c>
      <c r="C382" s="14">
        <v>53.0</v>
      </c>
      <c r="D382" s="13" t="s">
        <v>85</v>
      </c>
      <c r="E382" s="13" t="s">
        <v>87</v>
      </c>
      <c r="F382" s="13" t="s">
        <v>62</v>
      </c>
      <c r="G382" s="13" t="s">
        <v>39</v>
      </c>
      <c r="H382" s="16">
        <v>45431.0</v>
      </c>
      <c r="I382" s="14">
        <v>39.0</v>
      </c>
      <c r="J382" s="13" t="s">
        <v>64</v>
      </c>
      <c r="K382" s="13" t="s">
        <v>65</v>
      </c>
      <c r="L382" s="14">
        <v>754.0</v>
      </c>
      <c r="M382" s="18" t="s">
        <v>98</v>
      </c>
      <c r="N382" s="20">
        <v>0.0</v>
      </c>
      <c r="O382" s="18">
        <v>3.8</v>
      </c>
      <c r="P382" s="20">
        <v>4.0</v>
      </c>
      <c r="Q382" s="16">
        <v>46468.0</v>
      </c>
      <c r="R382" s="16" t="s">
        <v>38</v>
      </c>
      <c r="S382" s="13" t="s">
        <v>55</v>
      </c>
      <c r="T382" s="13" t="s">
        <v>104</v>
      </c>
      <c r="U382" s="13" t="str">
        <f t="shared" si="1"/>
        <v>Moderate</v>
      </c>
      <c r="V382" s="13" t="str">
        <f t="shared" si="2"/>
        <v>Below Median</v>
      </c>
      <c r="W382" s="13" t="str">
        <f t="shared" si="3"/>
        <v>25–48 Months</v>
      </c>
    </row>
    <row r="383" hidden="1">
      <c r="A383" s="13" t="s">
        <v>733</v>
      </c>
      <c r="B383" s="13" t="s">
        <v>235</v>
      </c>
      <c r="C383" s="14">
        <v>52.0</v>
      </c>
      <c r="D383" s="13" t="s">
        <v>85</v>
      </c>
      <c r="E383" s="13" t="s">
        <v>92</v>
      </c>
      <c r="F383" s="13" t="s">
        <v>62</v>
      </c>
      <c r="G383" s="13" t="s">
        <v>120</v>
      </c>
      <c r="H383" s="16">
        <v>45976.0</v>
      </c>
      <c r="I383" s="14">
        <v>6.0</v>
      </c>
      <c r="J383" s="13" t="s">
        <v>64</v>
      </c>
      <c r="K383" s="13" t="s">
        <v>41</v>
      </c>
      <c r="L383" s="14">
        <v>873.0</v>
      </c>
      <c r="M383" s="18" t="s">
        <v>46</v>
      </c>
      <c r="N383" s="20">
        <v>1.0</v>
      </c>
      <c r="O383" s="18">
        <v>23.5</v>
      </c>
      <c r="P383" s="20">
        <v>1.4</v>
      </c>
      <c r="Q383" s="16">
        <v>46057.0</v>
      </c>
      <c r="R383" s="16" t="s">
        <v>38</v>
      </c>
      <c r="S383" s="13" t="s">
        <v>55</v>
      </c>
      <c r="T383" s="13" t="s">
        <v>47</v>
      </c>
      <c r="U383" s="13" t="str">
        <f t="shared" si="1"/>
        <v>Low</v>
      </c>
      <c r="V383" s="13" t="str">
        <f t="shared" si="2"/>
        <v>Below Median</v>
      </c>
      <c r="W383" s="13" t="str">
        <f t="shared" si="3"/>
        <v>0–12 Months</v>
      </c>
    </row>
    <row r="384" hidden="1">
      <c r="A384" s="13" t="s">
        <v>896</v>
      </c>
      <c r="B384" s="13" t="s">
        <v>411</v>
      </c>
      <c r="C384" s="14">
        <v>37.0</v>
      </c>
      <c r="D384" s="13" t="s">
        <v>35</v>
      </c>
      <c r="E384" s="13" t="s">
        <v>161</v>
      </c>
      <c r="F384" s="13" t="s">
        <v>37</v>
      </c>
      <c r="G384" s="13" t="s">
        <v>210</v>
      </c>
      <c r="H384" s="16">
        <v>45657.0</v>
      </c>
      <c r="I384" s="14">
        <v>1.0</v>
      </c>
      <c r="J384" s="13" t="s">
        <v>53</v>
      </c>
      <c r="K384" s="13" t="s">
        <v>41</v>
      </c>
      <c r="L384" s="14">
        <v>1479.0</v>
      </c>
      <c r="M384" s="18" t="s">
        <v>38</v>
      </c>
      <c r="N384" s="20">
        <v>2.0</v>
      </c>
      <c r="O384" s="18">
        <v>19.3</v>
      </c>
      <c r="P384" s="20">
        <v>2.7</v>
      </c>
      <c r="Q384" s="16">
        <v>45688.0</v>
      </c>
      <c r="R384" s="16" t="s">
        <v>38</v>
      </c>
      <c r="S384" s="13" t="s">
        <v>55</v>
      </c>
      <c r="T384" s="13" t="s">
        <v>104</v>
      </c>
      <c r="U384" s="13" t="str">
        <f t="shared" si="1"/>
        <v>Low</v>
      </c>
      <c r="V384" s="13" t="str">
        <f t="shared" si="2"/>
        <v>Below Median</v>
      </c>
      <c r="W384" s="13" t="str">
        <f t="shared" si="3"/>
        <v>0–12 Months</v>
      </c>
    </row>
    <row r="385" hidden="1">
      <c r="A385" s="13" t="s">
        <v>897</v>
      </c>
      <c r="B385" s="13" t="s">
        <v>331</v>
      </c>
      <c r="C385" s="14">
        <v>50.0</v>
      </c>
      <c r="D385" s="13" t="s">
        <v>60</v>
      </c>
      <c r="E385" s="13" t="s">
        <v>107</v>
      </c>
      <c r="F385" s="13" t="s">
        <v>62</v>
      </c>
      <c r="G385" s="13" t="s">
        <v>120</v>
      </c>
      <c r="H385" s="16">
        <v>45746.0</v>
      </c>
      <c r="I385" s="14">
        <v>11.0</v>
      </c>
      <c r="J385" s="13" t="s">
        <v>40</v>
      </c>
      <c r="K385" s="13" t="s">
        <v>41</v>
      </c>
      <c r="L385" s="14">
        <v>835.0</v>
      </c>
      <c r="M385" s="18" t="s">
        <v>43</v>
      </c>
      <c r="N385" s="20">
        <v>0.0</v>
      </c>
      <c r="O385" s="18">
        <v>27.7</v>
      </c>
      <c r="P385" s="20">
        <v>4.4</v>
      </c>
      <c r="Q385" s="16">
        <v>46075.0</v>
      </c>
      <c r="R385" s="16" t="s">
        <v>38</v>
      </c>
      <c r="S385" s="13" t="s">
        <v>55</v>
      </c>
      <c r="T385" s="13" t="s">
        <v>66</v>
      </c>
      <c r="U385" s="13" t="str">
        <f t="shared" si="1"/>
        <v>Moderate</v>
      </c>
      <c r="V385" s="13" t="str">
        <f t="shared" si="2"/>
        <v>Median or Above</v>
      </c>
      <c r="W385" s="13" t="str">
        <f t="shared" si="3"/>
        <v>0–12 Months</v>
      </c>
    </row>
    <row r="386" hidden="1">
      <c r="A386" s="13" t="s">
        <v>473</v>
      </c>
      <c r="B386" s="13" t="s">
        <v>257</v>
      </c>
      <c r="C386" s="14">
        <v>30.0</v>
      </c>
      <c r="D386" s="13" t="s">
        <v>35</v>
      </c>
      <c r="E386" s="13" t="s">
        <v>107</v>
      </c>
      <c r="F386" s="13" t="s">
        <v>62</v>
      </c>
      <c r="G386" s="13" t="s">
        <v>210</v>
      </c>
      <c r="H386" s="16">
        <v>45125.0</v>
      </c>
      <c r="I386" s="14">
        <v>17.0</v>
      </c>
      <c r="J386" s="13" t="s">
        <v>53</v>
      </c>
      <c r="K386" s="13" t="s">
        <v>81</v>
      </c>
      <c r="L386" s="14">
        <v>556.0</v>
      </c>
      <c r="M386" s="18" t="s">
        <v>98</v>
      </c>
      <c r="N386" s="20">
        <v>4.0</v>
      </c>
      <c r="O386" s="18">
        <v>24.9</v>
      </c>
      <c r="P386" s="20">
        <v>4.2</v>
      </c>
      <c r="Q386" s="16">
        <v>45289.0</v>
      </c>
      <c r="R386" s="16" t="s">
        <v>38</v>
      </c>
      <c r="S386" s="13" t="s">
        <v>55</v>
      </c>
      <c r="T386" s="13" t="s">
        <v>47</v>
      </c>
      <c r="U386" s="13" t="str">
        <f t="shared" si="1"/>
        <v>Moderate</v>
      </c>
      <c r="V386" s="13" t="str">
        <f t="shared" si="2"/>
        <v>Median or Above</v>
      </c>
      <c r="W386" s="13" t="str">
        <f t="shared" si="3"/>
        <v>13–24 Months</v>
      </c>
    </row>
    <row r="387" hidden="1">
      <c r="A387" s="13" t="s">
        <v>898</v>
      </c>
      <c r="B387" s="13" t="s">
        <v>316</v>
      </c>
      <c r="C387" s="14">
        <v>65.0</v>
      </c>
      <c r="D387" s="13" t="s">
        <v>69</v>
      </c>
      <c r="E387" s="13" t="s">
        <v>70</v>
      </c>
      <c r="F387" s="13" t="s">
        <v>62</v>
      </c>
      <c r="G387" s="13" t="s">
        <v>63</v>
      </c>
      <c r="H387" s="16">
        <v>44859.0</v>
      </c>
      <c r="I387" s="14">
        <v>39.0</v>
      </c>
      <c r="J387" s="13" t="s">
        <v>64</v>
      </c>
      <c r="K387" s="13" t="s">
        <v>41</v>
      </c>
      <c r="L387" s="14">
        <v>577.0</v>
      </c>
      <c r="M387" s="18" t="s">
        <v>46</v>
      </c>
      <c r="N387" s="20">
        <v>2.0</v>
      </c>
      <c r="O387" s="18">
        <v>31.9</v>
      </c>
      <c r="P387" s="20">
        <v>4.6</v>
      </c>
      <c r="Q387" s="16">
        <v>45714.0</v>
      </c>
      <c r="R387" s="16" t="s">
        <v>170</v>
      </c>
      <c r="S387" s="13" t="s">
        <v>45</v>
      </c>
      <c r="T387" s="13" t="s">
        <v>47</v>
      </c>
      <c r="U387" s="13" t="str">
        <f t="shared" si="1"/>
        <v>Moderate</v>
      </c>
      <c r="V387" s="13" t="str">
        <f t="shared" si="2"/>
        <v>Median or Above</v>
      </c>
      <c r="W387" s="13" t="str">
        <f t="shared" si="3"/>
        <v>25–48 Months</v>
      </c>
    </row>
    <row r="388" hidden="1">
      <c r="A388" s="13" t="s">
        <v>332</v>
      </c>
      <c r="B388" s="13" t="s">
        <v>395</v>
      </c>
      <c r="C388" s="14">
        <v>43.0</v>
      </c>
      <c r="D388" s="13" t="s">
        <v>60</v>
      </c>
      <c r="E388" s="13" t="s">
        <v>61</v>
      </c>
      <c r="F388" s="13" t="s">
        <v>37</v>
      </c>
      <c r="G388" s="13" t="s">
        <v>128</v>
      </c>
      <c r="H388" s="16">
        <v>44799.0</v>
      </c>
      <c r="I388" s="14">
        <v>4.0</v>
      </c>
      <c r="J388" s="13" t="s">
        <v>64</v>
      </c>
      <c r="K388" s="13" t="s">
        <v>81</v>
      </c>
      <c r="L388" s="14">
        <v>1486.0</v>
      </c>
      <c r="M388" s="18" t="s">
        <v>98</v>
      </c>
      <c r="N388" s="20">
        <v>0.0</v>
      </c>
      <c r="O388" s="18">
        <v>31.3</v>
      </c>
      <c r="P388" s="20">
        <v>5.0</v>
      </c>
      <c r="Q388" s="16">
        <v>44930.0</v>
      </c>
      <c r="R388" s="16" t="s">
        <v>38</v>
      </c>
      <c r="S388" s="13" t="s">
        <v>55</v>
      </c>
      <c r="T388" s="13" t="s">
        <v>75</v>
      </c>
      <c r="U388" s="13" t="str">
        <f t="shared" si="1"/>
        <v>High</v>
      </c>
      <c r="V388" s="13" t="str">
        <f t="shared" si="2"/>
        <v>Median or Above</v>
      </c>
      <c r="W388" s="13" t="str">
        <f t="shared" si="3"/>
        <v>0–12 Months</v>
      </c>
    </row>
    <row r="389" hidden="1">
      <c r="A389" s="13" t="s">
        <v>695</v>
      </c>
      <c r="B389" s="13" t="s">
        <v>651</v>
      </c>
      <c r="C389" s="14">
        <v>53.0</v>
      </c>
      <c r="D389" s="13" t="s">
        <v>60</v>
      </c>
      <c r="E389" s="13" t="s">
        <v>97</v>
      </c>
      <c r="F389" s="13" t="s">
        <v>37</v>
      </c>
      <c r="G389" s="13" t="s">
        <v>120</v>
      </c>
      <c r="H389" s="16">
        <v>44586.0</v>
      </c>
      <c r="I389" s="14">
        <v>19.0</v>
      </c>
      <c r="J389" s="13" t="s">
        <v>64</v>
      </c>
      <c r="K389" s="13" t="s">
        <v>65</v>
      </c>
      <c r="L389" s="14">
        <v>1390.0</v>
      </c>
      <c r="M389" s="18" t="s">
        <v>43</v>
      </c>
      <c r="N389" s="20">
        <v>1.0</v>
      </c>
      <c r="O389" s="18">
        <v>15.3</v>
      </c>
      <c r="P389" s="20">
        <v>4.4</v>
      </c>
      <c r="Q389" s="16">
        <v>44919.0</v>
      </c>
      <c r="R389" s="16" t="s">
        <v>899</v>
      </c>
      <c r="S389" s="13" t="s">
        <v>45</v>
      </c>
      <c r="T389" s="13" t="s">
        <v>75</v>
      </c>
      <c r="U389" s="13" t="str">
        <f t="shared" si="1"/>
        <v>Moderate</v>
      </c>
      <c r="V389" s="13" t="str">
        <f t="shared" si="2"/>
        <v>Below Median</v>
      </c>
      <c r="W389" s="13" t="str">
        <f t="shared" si="3"/>
        <v>13–24 Months</v>
      </c>
    </row>
    <row r="390" hidden="1">
      <c r="A390" s="13" t="s">
        <v>900</v>
      </c>
      <c r="B390" s="13" t="s">
        <v>172</v>
      </c>
      <c r="C390" s="14">
        <v>52.0</v>
      </c>
      <c r="D390" s="13" t="s">
        <v>60</v>
      </c>
      <c r="E390" s="13" t="s">
        <v>107</v>
      </c>
      <c r="F390" s="13" t="s">
        <v>62</v>
      </c>
      <c r="G390" s="13" t="s">
        <v>128</v>
      </c>
      <c r="H390" s="16">
        <v>44763.0</v>
      </c>
      <c r="I390" s="14">
        <v>17.0</v>
      </c>
      <c r="J390" s="13" t="s">
        <v>53</v>
      </c>
      <c r="K390" s="13" t="s">
        <v>81</v>
      </c>
      <c r="L390" s="14">
        <v>699.0</v>
      </c>
      <c r="M390" s="18" t="s">
        <v>173</v>
      </c>
      <c r="N390" s="20">
        <v>2.0</v>
      </c>
      <c r="O390" s="18">
        <v>22.9</v>
      </c>
      <c r="P390" s="20">
        <v>3.5</v>
      </c>
      <c r="Q390" s="16">
        <v>45020.0</v>
      </c>
      <c r="R390" s="16" t="s">
        <v>38</v>
      </c>
      <c r="S390" s="13" t="s">
        <v>55</v>
      </c>
      <c r="T390" s="13" t="s">
        <v>47</v>
      </c>
      <c r="U390" s="13" t="str">
        <f t="shared" si="1"/>
        <v>Moderate</v>
      </c>
      <c r="V390" s="13" t="str">
        <f t="shared" si="2"/>
        <v>Below Median</v>
      </c>
      <c r="W390" s="13" t="str">
        <f t="shared" si="3"/>
        <v>13–24 Months</v>
      </c>
    </row>
    <row r="391" hidden="1">
      <c r="A391" s="13" t="s">
        <v>901</v>
      </c>
      <c r="B391" s="13" t="s">
        <v>420</v>
      </c>
      <c r="C391" s="14">
        <v>31.0</v>
      </c>
      <c r="D391" s="13" t="s">
        <v>35</v>
      </c>
      <c r="E391" s="13" t="s">
        <v>36</v>
      </c>
      <c r="F391" s="13" t="s">
        <v>37</v>
      </c>
      <c r="G391" s="13" t="s">
        <v>63</v>
      </c>
      <c r="H391" s="16">
        <v>45404.0</v>
      </c>
      <c r="I391" s="14">
        <v>7.0</v>
      </c>
      <c r="J391" s="13" t="s">
        <v>40</v>
      </c>
      <c r="K391" s="13" t="s">
        <v>41</v>
      </c>
      <c r="L391" s="14">
        <v>1455.0</v>
      </c>
      <c r="M391" s="18" t="s">
        <v>98</v>
      </c>
      <c r="N391" s="20">
        <v>4.0</v>
      </c>
      <c r="O391" s="18">
        <v>23.7</v>
      </c>
      <c r="P391" s="20">
        <v>4.2</v>
      </c>
      <c r="Q391" s="16">
        <v>45470.0</v>
      </c>
      <c r="R391" s="16" t="s">
        <v>38</v>
      </c>
      <c r="S391" s="13" t="s">
        <v>55</v>
      </c>
      <c r="T391" s="13" t="s">
        <v>66</v>
      </c>
      <c r="U391" s="13" t="str">
        <f t="shared" si="1"/>
        <v>Moderate</v>
      </c>
      <c r="V391" s="13" t="str">
        <f t="shared" si="2"/>
        <v>Below Median</v>
      </c>
      <c r="W391" s="13" t="str">
        <f t="shared" si="3"/>
        <v>0–12 Months</v>
      </c>
    </row>
    <row r="392" hidden="1">
      <c r="A392" s="13" t="s">
        <v>902</v>
      </c>
      <c r="B392" s="13" t="s">
        <v>605</v>
      </c>
      <c r="C392" s="14">
        <v>26.0</v>
      </c>
      <c r="D392" s="13" t="s">
        <v>35</v>
      </c>
      <c r="E392" s="13" t="s">
        <v>51</v>
      </c>
      <c r="F392" s="13" t="s">
        <v>79</v>
      </c>
      <c r="G392" s="13" t="s">
        <v>52</v>
      </c>
      <c r="H392" s="16">
        <v>44811.0</v>
      </c>
      <c r="I392" s="14">
        <v>46.0</v>
      </c>
      <c r="J392" s="13" t="s">
        <v>64</v>
      </c>
      <c r="K392" s="13" t="s">
        <v>41</v>
      </c>
      <c r="L392" s="14" t="s">
        <v>38</v>
      </c>
      <c r="M392" s="18" t="s">
        <v>98</v>
      </c>
      <c r="N392" s="20">
        <v>2.0</v>
      </c>
      <c r="O392" s="18">
        <v>38.0</v>
      </c>
      <c r="P392" s="20">
        <v>4.3</v>
      </c>
      <c r="Q392" s="16">
        <v>45590.0</v>
      </c>
      <c r="R392" s="16">
        <v>46362.0</v>
      </c>
      <c r="S392" s="13" t="s">
        <v>45</v>
      </c>
      <c r="T392" s="13" t="s">
        <v>72</v>
      </c>
      <c r="U392" s="13" t="str">
        <f t="shared" si="1"/>
        <v>Moderate</v>
      </c>
      <c r="V392" s="13" t="str">
        <f t="shared" si="2"/>
        <v>Median or Above</v>
      </c>
      <c r="W392" s="13" t="str">
        <f t="shared" si="3"/>
        <v>25–48 Months</v>
      </c>
    </row>
    <row r="393" hidden="1">
      <c r="A393" s="13" t="s">
        <v>904</v>
      </c>
      <c r="B393" s="13" t="s">
        <v>736</v>
      </c>
      <c r="C393" s="14">
        <v>68.0</v>
      </c>
      <c r="D393" s="13" t="s">
        <v>85</v>
      </c>
      <c r="E393" s="13" t="s">
        <v>292</v>
      </c>
      <c r="F393" s="13" t="s">
        <v>37</v>
      </c>
      <c r="G393" s="13" t="s">
        <v>210</v>
      </c>
      <c r="H393" s="16">
        <v>45436.0</v>
      </c>
      <c r="I393" s="14">
        <v>45.0</v>
      </c>
      <c r="J393" s="13" t="s">
        <v>40</v>
      </c>
      <c r="K393" s="13" t="s">
        <v>65</v>
      </c>
      <c r="L393" s="14">
        <v>1787.0</v>
      </c>
      <c r="M393" s="18" t="s">
        <v>164</v>
      </c>
      <c r="N393" s="20">
        <v>1.0</v>
      </c>
      <c r="O393" s="18">
        <v>27.5</v>
      </c>
      <c r="P393" s="20">
        <v>4.1</v>
      </c>
      <c r="Q393" s="16">
        <v>45973.0</v>
      </c>
      <c r="R393" s="16" t="s">
        <v>905</v>
      </c>
      <c r="S393" s="13" t="s">
        <v>45</v>
      </c>
      <c r="T393" s="13" t="s">
        <v>75</v>
      </c>
      <c r="U393" s="13" t="str">
        <f t="shared" si="1"/>
        <v>Moderate</v>
      </c>
      <c r="V393" s="13" t="str">
        <f t="shared" si="2"/>
        <v>Median or Above</v>
      </c>
      <c r="W393" s="13" t="str">
        <f t="shared" si="3"/>
        <v>25–48 Months</v>
      </c>
    </row>
    <row r="394" hidden="1">
      <c r="A394" s="13" t="s">
        <v>1120</v>
      </c>
      <c r="B394" s="13" t="s">
        <v>235</v>
      </c>
      <c r="C394" s="14">
        <v>28.0</v>
      </c>
      <c r="D394" s="13" t="s">
        <v>35</v>
      </c>
      <c r="E394" s="13" t="s">
        <v>161</v>
      </c>
      <c r="F394" s="13" t="s">
        <v>79</v>
      </c>
      <c r="G394" s="13" t="s">
        <v>210</v>
      </c>
      <c r="H394" s="16">
        <v>44926.0</v>
      </c>
      <c r="I394" s="14">
        <v>29.0</v>
      </c>
      <c r="J394" s="13" t="s">
        <v>64</v>
      </c>
      <c r="K394" s="13" t="s">
        <v>65</v>
      </c>
      <c r="L394" s="14">
        <v>2803.0</v>
      </c>
      <c r="M394" s="18" t="s">
        <v>43</v>
      </c>
      <c r="N394" s="20">
        <v>1.0</v>
      </c>
      <c r="O394" s="18">
        <v>52.6</v>
      </c>
      <c r="P394" s="20">
        <v>3.7</v>
      </c>
      <c r="Q394" s="16">
        <v>45118.0</v>
      </c>
      <c r="R394" s="16" t="s">
        <v>38</v>
      </c>
      <c r="S394" s="13" t="s">
        <v>55</v>
      </c>
      <c r="T394" s="13" t="s">
        <v>47</v>
      </c>
      <c r="U394" s="13" t="str">
        <f t="shared" si="1"/>
        <v>Moderate</v>
      </c>
      <c r="V394" s="13" t="str">
        <f t="shared" si="2"/>
        <v>Median or Above</v>
      </c>
      <c r="W394" s="13" t="str">
        <f t="shared" si="3"/>
        <v>25–48 Months</v>
      </c>
    </row>
    <row r="395" hidden="1">
      <c r="A395" s="13" t="s">
        <v>907</v>
      </c>
      <c r="B395" s="13" t="s">
        <v>345</v>
      </c>
      <c r="C395" s="14">
        <v>28.0</v>
      </c>
      <c r="D395" s="13" t="s">
        <v>35</v>
      </c>
      <c r="E395" s="13" t="s">
        <v>140</v>
      </c>
      <c r="F395" s="13" t="s">
        <v>37</v>
      </c>
      <c r="G395" s="13" t="s">
        <v>63</v>
      </c>
      <c r="H395" s="16">
        <v>44633.0</v>
      </c>
      <c r="I395" s="14">
        <v>5.0</v>
      </c>
      <c r="J395" s="13" t="s">
        <v>64</v>
      </c>
      <c r="K395" s="13" t="s">
        <v>81</v>
      </c>
      <c r="L395" s="14">
        <v>1255.0</v>
      </c>
      <c r="M395" s="18" t="s">
        <v>99</v>
      </c>
      <c r="N395" s="20">
        <v>1.0</v>
      </c>
      <c r="O395" s="18">
        <v>24.2</v>
      </c>
      <c r="P395" s="20">
        <v>2.9</v>
      </c>
      <c r="Q395" s="16">
        <v>44757.0</v>
      </c>
      <c r="R395" s="16" t="s">
        <v>38</v>
      </c>
      <c r="S395" s="13" t="s">
        <v>55</v>
      </c>
      <c r="T395" s="13" t="s">
        <v>104</v>
      </c>
      <c r="U395" s="13" t="str">
        <f t="shared" si="1"/>
        <v>Low</v>
      </c>
      <c r="V395" s="13" t="str">
        <f t="shared" si="2"/>
        <v>Median or Above</v>
      </c>
      <c r="W395" s="13" t="str">
        <f t="shared" si="3"/>
        <v>0–12 Months</v>
      </c>
    </row>
    <row r="396" hidden="1">
      <c r="A396" s="13" t="s">
        <v>733</v>
      </c>
      <c r="B396" s="13" t="s">
        <v>393</v>
      </c>
      <c r="C396" s="14">
        <v>65.0</v>
      </c>
      <c r="D396" s="13" t="s">
        <v>85</v>
      </c>
      <c r="E396" s="13" t="s">
        <v>92</v>
      </c>
      <c r="F396" s="13" t="s">
        <v>62</v>
      </c>
      <c r="G396" s="13" t="s">
        <v>210</v>
      </c>
      <c r="H396" s="16">
        <v>45363.0</v>
      </c>
      <c r="I396" s="14">
        <v>37.0</v>
      </c>
      <c r="J396" s="13" t="s">
        <v>40</v>
      </c>
      <c r="K396" s="13" t="s">
        <v>81</v>
      </c>
      <c r="L396" s="14">
        <v>861.0</v>
      </c>
      <c r="M396" s="18" t="s">
        <v>98</v>
      </c>
      <c r="N396" s="20">
        <v>0.0</v>
      </c>
      <c r="O396" s="18">
        <v>18.6</v>
      </c>
      <c r="P396" s="20">
        <v>3.1</v>
      </c>
      <c r="Q396" s="16">
        <v>46352.0</v>
      </c>
      <c r="R396" s="16" t="s">
        <v>38</v>
      </c>
      <c r="S396" s="13" t="s">
        <v>55</v>
      </c>
      <c r="T396" s="13" t="s">
        <v>47</v>
      </c>
      <c r="U396" s="13" t="str">
        <f t="shared" si="1"/>
        <v>Moderate</v>
      </c>
      <c r="V396" s="13" t="str">
        <f t="shared" si="2"/>
        <v>Below Median</v>
      </c>
      <c r="W396" s="13" t="str">
        <f t="shared" si="3"/>
        <v>25–48 Months</v>
      </c>
    </row>
    <row r="397" hidden="1">
      <c r="A397" s="13" t="s">
        <v>95</v>
      </c>
      <c r="B397" s="13" t="s">
        <v>342</v>
      </c>
      <c r="C397" s="14">
        <v>53.0</v>
      </c>
      <c r="D397" s="13" t="s">
        <v>85</v>
      </c>
      <c r="E397" s="13" t="s">
        <v>87</v>
      </c>
      <c r="F397" s="13" t="s">
        <v>62</v>
      </c>
      <c r="G397" s="13" t="s">
        <v>80</v>
      </c>
      <c r="H397" s="16">
        <v>45297.0</v>
      </c>
      <c r="I397" s="14">
        <v>22.0</v>
      </c>
      <c r="J397" s="13" t="s">
        <v>53</v>
      </c>
      <c r="K397" s="13" t="s">
        <v>41</v>
      </c>
      <c r="L397" s="14">
        <v>704.0</v>
      </c>
      <c r="M397" s="18" t="s">
        <v>43</v>
      </c>
      <c r="N397" s="20">
        <v>1.0</v>
      </c>
      <c r="O397" s="18">
        <v>5.8</v>
      </c>
      <c r="P397" s="20">
        <v>4.7</v>
      </c>
      <c r="Q397" s="16">
        <v>45969.0</v>
      </c>
      <c r="R397" s="16" t="s">
        <v>38</v>
      </c>
      <c r="S397" s="13" t="s">
        <v>55</v>
      </c>
      <c r="T397" s="13" t="s">
        <v>75</v>
      </c>
      <c r="U397" s="13" t="str">
        <f t="shared" si="1"/>
        <v>Moderate</v>
      </c>
      <c r="V397" s="13" t="str">
        <f t="shared" si="2"/>
        <v>Below Median</v>
      </c>
      <c r="W397" s="13" t="str">
        <f t="shared" si="3"/>
        <v>13–24 Months</v>
      </c>
    </row>
    <row r="398" hidden="1">
      <c r="A398" s="13" t="s">
        <v>909</v>
      </c>
      <c r="B398" s="13" t="s">
        <v>229</v>
      </c>
      <c r="C398" s="14">
        <v>24.0</v>
      </c>
      <c r="D398" s="13" t="s">
        <v>85</v>
      </c>
      <c r="E398" s="13" t="s">
        <v>97</v>
      </c>
      <c r="F398" s="13" t="s">
        <v>62</v>
      </c>
      <c r="G398" s="13" t="s">
        <v>63</v>
      </c>
      <c r="H398" s="16">
        <v>45348.0</v>
      </c>
      <c r="I398" s="14">
        <v>43.0</v>
      </c>
      <c r="J398" s="13" t="s">
        <v>64</v>
      </c>
      <c r="K398" s="13" t="s">
        <v>65</v>
      </c>
      <c r="L398" s="14">
        <v>855.0</v>
      </c>
      <c r="M398" s="18" t="s">
        <v>98</v>
      </c>
      <c r="N398" s="20">
        <v>1.0</v>
      </c>
      <c r="O398" s="18">
        <v>32.5</v>
      </c>
      <c r="P398" s="20">
        <v>3.1</v>
      </c>
      <c r="Q398" s="16">
        <v>45576.0</v>
      </c>
      <c r="R398" s="16" t="s">
        <v>38</v>
      </c>
      <c r="S398" s="13" t="s">
        <v>55</v>
      </c>
      <c r="T398" s="13" t="s">
        <v>47</v>
      </c>
      <c r="U398" s="13" t="str">
        <f t="shared" si="1"/>
        <v>Moderate</v>
      </c>
      <c r="V398" s="13" t="str">
        <f t="shared" si="2"/>
        <v>Median or Above</v>
      </c>
      <c r="W398" s="13" t="str">
        <f t="shared" si="3"/>
        <v>25–48 Months</v>
      </c>
    </row>
    <row r="399" hidden="1">
      <c r="A399" s="13" t="s">
        <v>911</v>
      </c>
      <c r="B399" s="13" t="s">
        <v>645</v>
      </c>
      <c r="C399" s="14">
        <v>20.0</v>
      </c>
      <c r="D399" s="13" t="s">
        <v>85</v>
      </c>
      <c r="E399" s="13" t="s">
        <v>51</v>
      </c>
      <c r="F399" s="13" t="s">
        <v>62</v>
      </c>
      <c r="G399" s="13" t="s">
        <v>80</v>
      </c>
      <c r="H399" s="16">
        <v>45050.0</v>
      </c>
      <c r="I399" s="14">
        <v>32.0</v>
      </c>
      <c r="J399" s="13" t="s">
        <v>40</v>
      </c>
      <c r="K399" s="13" t="s">
        <v>65</v>
      </c>
      <c r="L399" s="14">
        <v>775.0</v>
      </c>
      <c r="M399" s="18" t="s">
        <v>98</v>
      </c>
      <c r="N399" s="20">
        <v>1.0</v>
      </c>
      <c r="O399" s="18">
        <v>29.1</v>
      </c>
      <c r="P399" s="20">
        <v>4.7</v>
      </c>
      <c r="Q399" s="16">
        <v>45571.0</v>
      </c>
      <c r="R399" s="16" t="s">
        <v>38</v>
      </c>
      <c r="S399" s="13" t="s">
        <v>55</v>
      </c>
      <c r="T399" s="13" t="s">
        <v>104</v>
      </c>
      <c r="U399" s="13" t="str">
        <f t="shared" si="1"/>
        <v>Moderate</v>
      </c>
      <c r="V399" s="13" t="str">
        <f t="shared" si="2"/>
        <v>Median or Above</v>
      </c>
      <c r="W399" s="13" t="str">
        <f t="shared" si="3"/>
        <v>25–48 Months</v>
      </c>
    </row>
    <row r="400" hidden="1">
      <c r="A400" s="13" t="s">
        <v>912</v>
      </c>
      <c r="B400" s="13" t="s">
        <v>215</v>
      </c>
      <c r="C400" s="14">
        <v>21.0</v>
      </c>
      <c r="D400" s="13" t="s">
        <v>35</v>
      </c>
      <c r="E400" s="13" t="s">
        <v>140</v>
      </c>
      <c r="F400" s="13" t="s">
        <v>62</v>
      </c>
      <c r="G400" s="13" t="s">
        <v>128</v>
      </c>
      <c r="H400" s="16">
        <v>45901.0</v>
      </c>
      <c r="I400" s="14">
        <v>43.0</v>
      </c>
      <c r="J400" s="13" t="s">
        <v>64</v>
      </c>
      <c r="K400" s="13" t="s">
        <v>41</v>
      </c>
      <c r="L400" s="14">
        <v>846.0</v>
      </c>
      <c r="M400" s="18" t="s">
        <v>98</v>
      </c>
      <c r="N400" s="20">
        <v>1.0</v>
      </c>
      <c r="O400" s="18">
        <v>15.6</v>
      </c>
      <c r="P400" s="20">
        <v>3.2</v>
      </c>
      <c r="Q400" s="16">
        <v>47097.0</v>
      </c>
      <c r="R400" s="16" t="s">
        <v>38</v>
      </c>
      <c r="S400" s="13" t="s">
        <v>55</v>
      </c>
      <c r="T400" s="13" t="s">
        <v>75</v>
      </c>
      <c r="U400" s="13" t="str">
        <f t="shared" si="1"/>
        <v>Moderate</v>
      </c>
      <c r="V400" s="13" t="str">
        <f t="shared" si="2"/>
        <v>Below Median</v>
      </c>
      <c r="W400" s="13" t="str">
        <f t="shared" si="3"/>
        <v>25–48 Months</v>
      </c>
    </row>
    <row r="401" hidden="1">
      <c r="A401" s="13" t="s">
        <v>913</v>
      </c>
      <c r="B401" s="13" t="s">
        <v>331</v>
      </c>
      <c r="C401" s="14">
        <v>25.0</v>
      </c>
      <c r="D401" s="13" t="s">
        <v>35</v>
      </c>
      <c r="E401" s="13" t="s">
        <v>140</v>
      </c>
      <c r="F401" s="13" t="s">
        <v>79</v>
      </c>
      <c r="G401" s="13" t="s">
        <v>80</v>
      </c>
      <c r="H401" s="16">
        <v>44655.0</v>
      </c>
      <c r="I401" s="14">
        <v>16.0</v>
      </c>
      <c r="J401" s="13" t="s">
        <v>53</v>
      </c>
      <c r="K401" s="13" t="s">
        <v>81</v>
      </c>
      <c r="L401" s="14">
        <v>2351.0</v>
      </c>
      <c r="M401" s="18" t="s">
        <v>98</v>
      </c>
      <c r="N401" s="20">
        <v>1.0</v>
      </c>
      <c r="O401" s="18">
        <v>27.4</v>
      </c>
      <c r="P401" s="20">
        <v>3.8</v>
      </c>
      <c r="Q401" s="16">
        <v>44988.0</v>
      </c>
      <c r="R401" s="16" t="s">
        <v>38</v>
      </c>
      <c r="S401" s="13" t="s">
        <v>55</v>
      </c>
      <c r="T401" s="13" t="s">
        <v>47</v>
      </c>
      <c r="U401" s="13" t="str">
        <f t="shared" si="1"/>
        <v>Moderate</v>
      </c>
      <c r="V401" s="13" t="str">
        <f t="shared" si="2"/>
        <v>Median or Above</v>
      </c>
      <c r="W401" s="13" t="str">
        <f t="shared" si="3"/>
        <v>13–24 Months</v>
      </c>
    </row>
    <row r="402" hidden="1">
      <c r="A402" s="13" t="s">
        <v>792</v>
      </c>
      <c r="B402" s="13" t="s">
        <v>411</v>
      </c>
      <c r="C402" s="14">
        <v>26.0</v>
      </c>
      <c r="D402" s="13" t="s">
        <v>35</v>
      </c>
      <c r="E402" s="13" t="s">
        <v>36</v>
      </c>
      <c r="F402" s="13" t="s">
        <v>62</v>
      </c>
      <c r="G402" s="13" t="s">
        <v>80</v>
      </c>
      <c r="H402" s="16">
        <v>45822.0</v>
      </c>
      <c r="I402" s="14">
        <v>15.0</v>
      </c>
      <c r="J402" s="13" t="s">
        <v>64</v>
      </c>
      <c r="K402" s="13" t="s">
        <v>81</v>
      </c>
      <c r="L402" s="14">
        <v>602.0</v>
      </c>
      <c r="M402" s="18" t="s">
        <v>43</v>
      </c>
      <c r="N402" s="20">
        <v>0.0</v>
      </c>
      <c r="O402" s="18">
        <v>12.9</v>
      </c>
      <c r="P402" s="20">
        <v>5.0</v>
      </c>
      <c r="Q402" s="16">
        <v>46247.0</v>
      </c>
      <c r="R402" s="16" t="s">
        <v>38</v>
      </c>
      <c r="S402" s="13" t="s">
        <v>55</v>
      </c>
      <c r="T402" s="13" t="s">
        <v>66</v>
      </c>
      <c r="U402" s="13" t="str">
        <f t="shared" si="1"/>
        <v>High</v>
      </c>
      <c r="V402" s="13" t="str">
        <f t="shared" si="2"/>
        <v>Below Median</v>
      </c>
      <c r="W402" s="13" t="str">
        <f t="shared" si="3"/>
        <v>13–24 Months</v>
      </c>
    </row>
    <row r="403" hidden="1">
      <c r="A403" s="13" t="s">
        <v>646</v>
      </c>
      <c r="B403" s="13" t="s">
        <v>405</v>
      </c>
      <c r="C403" s="14">
        <v>54.0</v>
      </c>
      <c r="D403" s="13" t="s">
        <v>60</v>
      </c>
      <c r="E403" s="13" t="s">
        <v>97</v>
      </c>
      <c r="F403" s="13" t="s">
        <v>37</v>
      </c>
      <c r="G403" s="13" t="s">
        <v>80</v>
      </c>
      <c r="H403" s="16">
        <v>44917.0</v>
      </c>
      <c r="I403" s="14">
        <v>22.0</v>
      </c>
      <c r="J403" s="13" t="s">
        <v>40</v>
      </c>
      <c r="K403" s="13" t="s">
        <v>65</v>
      </c>
      <c r="L403" s="14">
        <v>1143.0</v>
      </c>
      <c r="M403" s="18" t="s">
        <v>164</v>
      </c>
      <c r="N403" s="20">
        <v>0.0</v>
      </c>
      <c r="O403" s="18">
        <v>14.0</v>
      </c>
      <c r="P403" s="20">
        <v>3.6</v>
      </c>
      <c r="Q403" s="16">
        <v>45352.0</v>
      </c>
      <c r="R403" s="16" t="s">
        <v>38</v>
      </c>
      <c r="S403" s="13" t="s">
        <v>55</v>
      </c>
      <c r="T403" s="13" t="s">
        <v>47</v>
      </c>
      <c r="U403" s="13" t="str">
        <f t="shared" si="1"/>
        <v>Moderate</v>
      </c>
      <c r="V403" s="13" t="str">
        <f t="shared" si="2"/>
        <v>Below Median</v>
      </c>
      <c r="W403" s="13" t="str">
        <f t="shared" si="3"/>
        <v>13–24 Months</v>
      </c>
    </row>
    <row r="404" hidden="1">
      <c r="A404" s="13" t="s">
        <v>914</v>
      </c>
      <c r="B404" s="13" t="s">
        <v>303</v>
      </c>
      <c r="C404" s="14">
        <v>19.0</v>
      </c>
      <c r="D404" s="13" t="s">
        <v>85</v>
      </c>
      <c r="E404" s="13" t="s">
        <v>51</v>
      </c>
      <c r="F404" s="13" t="s">
        <v>62</v>
      </c>
      <c r="G404" s="13" t="s">
        <v>128</v>
      </c>
      <c r="H404" s="16">
        <v>45856.0</v>
      </c>
      <c r="I404" s="14">
        <v>40.0</v>
      </c>
      <c r="J404" s="13" t="s">
        <v>40</v>
      </c>
      <c r="K404" s="13" t="s">
        <v>41</v>
      </c>
      <c r="L404" s="14">
        <v>579.0</v>
      </c>
      <c r="M404" s="18" t="s">
        <v>164</v>
      </c>
      <c r="N404" s="20">
        <v>0.0</v>
      </c>
      <c r="O404" s="18">
        <v>13.6</v>
      </c>
      <c r="P404" s="20">
        <v>3.5</v>
      </c>
      <c r="Q404" s="16">
        <v>46863.0</v>
      </c>
      <c r="R404" s="16" t="s">
        <v>38</v>
      </c>
      <c r="S404" s="13" t="s">
        <v>55</v>
      </c>
      <c r="T404" s="13" t="s">
        <v>66</v>
      </c>
      <c r="U404" s="13" t="str">
        <f t="shared" si="1"/>
        <v>Moderate</v>
      </c>
      <c r="V404" s="13" t="str">
        <f t="shared" si="2"/>
        <v>Below Median</v>
      </c>
      <c r="W404" s="13" t="str">
        <f t="shared" si="3"/>
        <v>25–48 Months</v>
      </c>
    </row>
    <row r="405" hidden="1">
      <c r="A405" s="13" t="s">
        <v>359</v>
      </c>
      <c r="B405" s="13" t="s">
        <v>239</v>
      </c>
      <c r="C405" s="14">
        <v>57.0</v>
      </c>
      <c r="D405" s="13" t="s">
        <v>85</v>
      </c>
      <c r="E405" s="13" t="s">
        <v>87</v>
      </c>
      <c r="F405" s="13" t="s">
        <v>37</v>
      </c>
      <c r="G405" s="13" t="s">
        <v>39</v>
      </c>
      <c r="H405" s="16">
        <v>44855.0</v>
      </c>
      <c r="I405" s="14">
        <v>41.0</v>
      </c>
      <c r="J405" s="13" t="s">
        <v>40</v>
      </c>
      <c r="K405" s="13" t="s">
        <v>81</v>
      </c>
      <c r="L405" s="14">
        <v>1420.0</v>
      </c>
      <c r="M405" s="18" t="s">
        <v>43</v>
      </c>
      <c r="N405" s="20">
        <v>3.0</v>
      </c>
      <c r="O405" s="18">
        <v>37.5</v>
      </c>
      <c r="P405" s="20">
        <v>4.6</v>
      </c>
      <c r="Q405" s="16">
        <v>45222.0</v>
      </c>
      <c r="R405" s="16" t="s">
        <v>38</v>
      </c>
      <c r="S405" s="13" t="s">
        <v>55</v>
      </c>
      <c r="T405" s="13" t="s">
        <v>75</v>
      </c>
      <c r="U405" s="13" t="str">
        <f t="shared" si="1"/>
        <v>Moderate</v>
      </c>
      <c r="V405" s="13" t="str">
        <f t="shared" si="2"/>
        <v>Median or Above</v>
      </c>
      <c r="W405" s="13" t="str">
        <f t="shared" si="3"/>
        <v>25–48 Months</v>
      </c>
    </row>
    <row r="406" hidden="1">
      <c r="A406" s="13" t="s">
        <v>915</v>
      </c>
      <c r="B406" s="13" t="s">
        <v>395</v>
      </c>
      <c r="C406" s="14">
        <v>48.0</v>
      </c>
      <c r="D406" s="13" t="s">
        <v>35</v>
      </c>
      <c r="E406" s="13" t="s">
        <v>161</v>
      </c>
      <c r="F406" s="13" t="s">
        <v>62</v>
      </c>
      <c r="G406" s="13" t="s">
        <v>63</v>
      </c>
      <c r="H406" s="16">
        <v>45704.0</v>
      </c>
      <c r="I406" s="14">
        <v>16.0</v>
      </c>
      <c r="J406" s="13" t="s">
        <v>64</v>
      </c>
      <c r="K406" s="13" t="s">
        <v>81</v>
      </c>
      <c r="L406" s="14">
        <v>770.0</v>
      </c>
      <c r="M406" s="18" t="s">
        <v>98</v>
      </c>
      <c r="N406" s="20">
        <v>2.0</v>
      </c>
      <c r="O406" s="18">
        <v>22.4</v>
      </c>
      <c r="P406" s="20">
        <v>4.0</v>
      </c>
      <c r="Q406" s="16">
        <v>45899.0</v>
      </c>
      <c r="R406" s="16" t="s">
        <v>38</v>
      </c>
      <c r="S406" s="13" t="s">
        <v>55</v>
      </c>
      <c r="T406" s="13" t="s">
        <v>47</v>
      </c>
      <c r="U406" s="13" t="str">
        <f t="shared" si="1"/>
        <v>Moderate</v>
      </c>
      <c r="V406" s="13" t="str">
        <f t="shared" si="2"/>
        <v>Below Median</v>
      </c>
      <c r="W406" s="13" t="str">
        <f t="shared" si="3"/>
        <v>13–24 Months</v>
      </c>
    </row>
    <row r="407" hidden="1">
      <c r="A407" s="13" t="s">
        <v>917</v>
      </c>
      <c r="B407" s="13" t="s">
        <v>295</v>
      </c>
      <c r="C407" s="14">
        <v>37.0</v>
      </c>
      <c r="D407" s="13" t="s">
        <v>35</v>
      </c>
      <c r="E407" s="13" t="s">
        <v>51</v>
      </c>
      <c r="F407" s="13" t="s">
        <v>62</v>
      </c>
      <c r="G407" s="13" t="s">
        <v>39</v>
      </c>
      <c r="H407" s="16">
        <v>45965.0</v>
      </c>
      <c r="I407" s="14">
        <v>31.0</v>
      </c>
      <c r="J407" s="13" t="s">
        <v>40</v>
      </c>
      <c r="K407" s="13" t="s">
        <v>65</v>
      </c>
      <c r="L407" s="14">
        <v>580.0</v>
      </c>
      <c r="M407" s="18" t="s">
        <v>98</v>
      </c>
      <c r="N407" s="20">
        <v>2.0</v>
      </c>
      <c r="O407" s="18">
        <v>18.4</v>
      </c>
      <c r="P407" s="20">
        <v>3.5</v>
      </c>
      <c r="Q407" s="16">
        <v>46019.0</v>
      </c>
      <c r="R407" s="16" t="s">
        <v>38</v>
      </c>
      <c r="S407" s="13" t="s">
        <v>55</v>
      </c>
      <c r="T407" s="13" t="s">
        <v>72</v>
      </c>
      <c r="U407" s="13" t="str">
        <f t="shared" si="1"/>
        <v>Moderate</v>
      </c>
      <c r="V407" s="13" t="str">
        <f t="shared" si="2"/>
        <v>Below Median</v>
      </c>
      <c r="W407" s="13" t="str">
        <f t="shared" si="3"/>
        <v>25–48 Months</v>
      </c>
    </row>
    <row r="408" hidden="1">
      <c r="A408" s="13" t="s">
        <v>918</v>
      </c>
      <c r="B408" s="13" t="s">
        <v>349</v>
      </c>
      <c r="C408" s="14">
        <v>65.0</v>
      </c>
      <c r="D408" s="13" t="s">
        <v>85</v>
      </c>
      <c r="E408" s="13" t="s">
        <v>292</v>
      </c>
      <c r="F408" s="13" t="s">
        <v>62</v>
      </c>
      <c r="G408" s="13" t="s">
        <v>63</v>
      </c>
      <c r="H408" s="16">
        <v>45662.0</v>
      </c>
      <c r="I408" s="14">
        <v>12.0</v>
      </c>
      <c r="J408" s="13" t="s">
        <v>53</v>
      </c>
      <c r="K408" s="13" t="s">
        <v>81</v>
      </c>
      <c r="L408" s="14">
        <v>513.0</v>
      </c>
      <c r="M408" s="18" t="s">
        <v>98</v>
      </c>
      <c r="N408" s="20">
        <v>0.0</v>
      </c>
      <c r="O408" s="18">
        <v>22.5</v>
      </c>
      <c r="P408" s="20">
        <v>2.8</v>
      </c>
      <c r="Q408" s="16">
        <v>45731.0</v>
      </c>
      <c r="R408" s="16" t="s">
        <v>38</v>
      </c>
      <c r="S408" s="13" t="s">
        <v>55</v>
      </c>
      <c r="T408" s="13" t="s">
        <v>66</v>
      </c>
      <c r="U408" s="13" t="str">
        <f t="shared" si="1"/>
        <v>Low</v>
      </c>
      <c r="V408" s="13" t="str">
        <f t="shared" si="2"/>
        <v>Below Median</v>
      </c>
      <c r="W408" s="13" t="str">
        <f t="shared" si="3"/>
        <v>0–12 Months</v>
      </c>
    </row>
    <row r="409" hidden="1">
      <c r="A409" s="13" t="s">
        <v>919</v>
      </c>
      <c r="B409" s="13" t="s">
        <v>333</v>
      </c>
      <c r="C409" s="14">
        <v>33.0</v>
      </c>
      <c r="D409" s="13" t="s">
        <v>85</v>
      </c>
      <c r="E409" s="13" t="s">
        <v>111</v>
      </c>
      <c r="F409" s="13" t="s">
        <v>37</v>
      </c>
      <c r="G409" s="13" t="s">
        <v>210</v>
      </c>
      <c r="H409" s="16">
        <v>45033.0</v>
      </c>
      <c r="I409" s="14">
        <v>0.0</v>
      </c>
      <c r="J409" s="13" t="s">
        <v>40</v>
      </c>
      <c r="K409" s="13" t="s">
        <v>65</v>
      </c>
      <c r="L409" s="14">
        <v>1241.0</v>
      </c>
      <c r="M409" s="18" t="s">
        <v>164</v>
      </c>
      <c r="N409" s="20">
        <v>1.0</v>
      </c>
      <c r="O409" s="18">
        <v>21.1</v>
      </c>
      <c r="P409" s="20">
        <v>3.6</v>
      </c>
      <c r="Q409" s="16">
        <v>45148.0</v>
      </c>
      <c r="R409" s="16" t="s">
        <v>38</v>
      </c>
      <c r="S409" s="13" t="s">
        <v>55</v>
      </c>
      <c r="T409" s="13" t="s">
        <v>66</v>
      </c>
      <c r="U409" s="13" t="str">
        <f t="shared" si="1"/>
        <v>Moderate</v>
      </c>
      <c r="V409" s="13" t="str">
        <f t="shared" si="2"/>
        <v>Below Median</v>
      </c>
      <c r="W409" s="13" t="str">
        <f t="shared" si="3"/>
        <v>0–12 Months</v>
      </c>
    </row>
    <row r="410" hidden="1">
      <c r="A410" s="13" t="s">
        <v>920</v>
      </c>
      <c r="B410" s="13" t="s">
        <v>224</v>
      </c>
      <c r="C410" s="14">
        <v>31.0</v>
      </c>
      <c r="D410" s="13" t="s">
        <v>35</v>
      </c>
      <c r="E410" s="13" t="s">
        <v>140</v>
      </c>
      <c r="F410" s="13" t="s">
        <v>62</v>
      </c>
      <c r="G410" s="13" t="s">
        <v>80</v>
      </c>
      <c r="H410" s="16">
        <v>45493.0</v>
      </c>
      <c r="I410" s="14">
        <v>12.0</v>
      </c>
      <c r="J410" s="13" t="s">
        <v>53</v>
      </c>
      <c r="K410" s="13" t="s">
        <v>41</v>
      </c>
      <c r="L410" s="14">
        <v>568.0</v>
      </c>
      <c r="M410" s="18" t="s">
        <v>43</v>
      </c>
      <c r="N410" s="20">
        <v>1.0</v>
      </c>
      <c r="O410" s="18">
        <v>18.1</v>
      </c>
      <c r="P410" s="20">
        <v>3.6</v>
      </c>
      <c r="Q410" s="16">
        <v>45602.0</v>
      </c>
      <c r="R410" s="16" t="s">
        <v>38</v>
      </c>
      <c r="S410" s="13" t="s">
        <v>55</v>
      </c>
      <c r="T410" s="13" t="s">
        <v>104</v>
      </c>
      <c r="U410" s="13" t="str">
        <f t="shared" si="1"/>
        <v>Moderate</v>
      </c>
      <c r="V410" s="13" t="str">
        <f t="shared" si="2"/>
        <v>Below Median</v>
      </c>
      <c r="W410" s="13" t="str">
        <f t="shared" si="3"/>
        <v>0–12 Months</v>
      </c>
    </row>
    <row r="411" hidden="1">
      <c r="A411" s="13" t="s">
        <v>469</v>
      </c>
      <c r="B411" s="13" t="s">
        <v>78</v>
      </c>
      <c r="C411" s="14">
        <v>59.0</v>
      </c>
      <c r="D411" s="13" t="s">
        <v>35</v>
      </c>
      <c r="E411" s="13" t="s">
        <v>161</v>
      </c>
      <c r="F411" s="13" t="s">
        <v>62</v>
      </c>
      <c r="G411" s="13" t="s">
        <v>128</v>
      </c>
      <c r="H411" s="16">
        <v>45515.0</v>
      </c>
      <c r="I411" s="14">
        <v>30.0</v>
      </c>
      <c r="J411" s="13" t="s">
        <v>64</v>
      </c>
      <c r="K411" s="13" t="s">
        <v>41</v>
      </c>
      <c r="L411" s="14">
        <v>888.0</v>
      </c>
      <c r="M411" s="18" t="s">
        <v>98</v>
      </c>
      <c r="N411" s="20">
        <v>0.0</v>
      </c>
      <c r="O411" s="18">
        <v>20.4</v>
      </c>
      <c r="P411" s="20">
        <v>3.5</v>
      </c>
      <c r="Q411" s="16">
        <v>46432.0</v>
      </c>
      <c r="R411" s="16" t="s">
        <v>38</v>
      </c>
      <c r="S411" s="13" t="s">
        <v>55</v>
      </c>
      <c r="T411" s="13" t="s">
        <v>66</v>
      </c>
      <c r="U411" s="13" t="str">
        <f t="shared" si="1"/>
        <v>Moderate</v>
      </c>
      <c r="V411" s="13" t="str">
        <f t="shared" si="2"/>
        <v>Below Median</v>
      </c>
      <c r="W411" s="13" t="str">
        <f t="shared" si="3"/>
        <v>25–48 Months</v>
      </c>
    </row>
    <row r="412" hidden="1">
      <c r="A412" s="13" t="s">
        <v>922</v>
      </c>
      <c r="B412" s="13" t="s">
        <v>801</v>
      </c>
      <c r="C412" s="14">
        <v>34.0</v>
      </c>
      <c r="D412" s="13" t="s">
        <v>69</v>
      </c>
      <c r="E412" s="13" t="s">
        <v>70</v>
      </c>
      <c r="F412" s="13" t="s">
        <v>62</v>
      </c>
      <c r="G412" s="13" t="s">
        <v>80</v>
      </c>
      <c r="H412" s="16">
        <v>45563.0</v>
      </c>
      <c r="I412" s="14">
        <v>14.0</v>
      </c>
      <c r="J412" s="13" t="s">
        <v>53</v>
      </c>
      <c r="K412" s="13" t="s">
        <v>65</v>
      </c>
      <c r="L412" s="14">
        <v>735.0</v>
      </c>
      <c r="M412" s="18" t="s">
        <v>98</v>
      </c>
      <c r="N412" s="20">
        <v>1.0</v>
      </c>
      <c r="O412" s="18">
        <v>12.4</v>
      </c>
      <c r="P412" s="20">
        <v>2.9</v>
      </c>
      <c r="Q412" s="16">
        <v>45946.0</v>
      </c>
      <c r="R412" s="16" t="s">
        <v>38</v>
      </c>
      <c r="S412" s="13" t="s">
        <v>55</v>
      </c>
      <c r="T412" s="13" t="s">
        <v>66</v>
      </c>
      <c r="U412" s="13" t="str">
        <f t="shared" si="1"/>
        <v>Low</v>
      </c>
      <c r="V412" s="13" t="str">
        <f t="shared" si="2"/>
        <v>Below Median</v>
      </c>
      <c r="W412" s="13" t="str">
        <f t="shared" si="3"/>
        <v>13–24 Months</v>
      </c>
    </row>
    <row r="413" hidden="1">
      <c r="A413" s="13" t="s">
        <v>923</v>
      </c>
      <c r="B413" s="13" t="s">
        <v>235</v>
      </c>
      <c r="C413" s="14">
        <v>47.0</v>
      </c>
      <c r="D413" s="13" t="s">
        <v>69</v>
      </c>
      <c r="E413" s="13" t="s">
        <v>70</v>
      </c>
      <c r="F413" s="13" t="s">
        <v>62</v>
      </c>
      <c r="G413" s="13" t="s">
        <v>63</v>
      </c>
      <c r="H413" s="16">
        <v>44644.0</v>
      </c>
      <c r="I413" s="14">
        <v>31.0</v>
      </c>
      <c r="J413" s="13" t="s">
        <v>53</v>
      </c>
      <c r="K413" s="13" t="s">
        <v>41</v>
      </c>
      <c r="L413" s="14">
        <v>757.0</v>
      </c>
      <c r="M413" s="18" t="s">
        <v>46</v>
      </c>
      <c r="N413" s="20">
        <v>5.0</v>
      </c>
      <c r="O413" s="18">
        <v>30.9</v>
      </c>
      <c r="P413" s="20">
        <v>4.6</v>
      </c>
      <c r="Q413" s="16">
        <v>45197.0</v>
      </c>
      <c r="R413" s="16" t="s">
        <v>924</v>
      </c>
      <c r="S413" s="13" t="s">
        <v>45</v>
      </c>
      <c r="T413" s="13" t="s">
        <v>104</v>
      </c>
      <c r="U413" s="13" t="str">
        <f t="shared" si="1"/>
        <v>Moderate</v>
      </c>
      <c r="V413" s="13" t="str">
        <f t="shared" si="2"/>
        <v>Median or Above</v>
      </c>
      <c r="W413" s="13" t="str">
        <f t="shared" si="3"/>
        <v>25–48 Months</v>
      </c>
    </row>
    <row r="414" hidden="1">
      <c r="A414" s="13" t="s">
        <v>925</v>
      </c>
      <c r="B414" s="13" t="s">
        <v>383</v>
      </c>
      <c r="C414" s="14">
        <v>55.0</v>
      </c>
      <c r="D414" s="13" t="s">
        <v>35</v>
      </c>
      <c r="E414" s="13" t="s">
        <v>140</v>
      </c>
      <c r="F414" s="13" t="s">
        <v>79</v>
      </c>
      <c r="G414" s="13" t="s">
        <v>39</v>
      </c>
      <c r="H414" s="16">
        <v>45296.0</v>
      </c>
      <c r="I414" s="14">
        <v>19.0</v>
      </c>
      <c r="J414" s="13" t="s">
        <v>64</v>
      </c>
      <c r="K414" s="13" t="s">
        <v>81</v>
      </c>
      <c r="L414" s="14">
        <v>2981.0</v>
      </c>
      <c r="M414" s="18" t="s">
        <v>164</v>
      </c>
      <c r="N414" s="20">
        <v>1.0</v>
      </c>
      <c r="O414" s="18">
        <v>41.9</v>
      </c>
      <c r="P414" s="20">
        <v>2.6</v>
      </c>
      <c r="Q414" s="16">
        <v>45618.0</v>
      </c>
      <c r="R414" s="16" t="s">
        <v>38</v>
      </c>
      <c r="S414" s="13" t="s">
        <v>55</v>
      </c>
      <c r="T414" s="13" t="s">
        <v>104</v>
      </c>
      <c r="U414" s="13" t="str">
        <f t="shared" si="1"/>
        <v>Low</v>
      </c>
      <c r="V414" s="13" t="str">
        <f t="shared" si="2"/>
        <v>Median or Above</v>
      </c>
      <c r="W414" s="13" t="str">
        <f t="shared" si="3"/>
        <v>13–24 Months</v>
      </c>
    </row>
    <row r="415" hidden="1">
      <c r="A415" s="13" t="s">
        <v>131</v>
      </c>
      <c r="B415" s="13" t="s">
        <v>59</v>
      </c>
      <c r="C415" s="14">
        <v>63.0</v>
      </c>
      <c r="D415" s="13" t="s">
        <v>85</v>
      </c>
      <c r="E415" s="13" t="s">
        <v>111</v>
      </c>
      <c r="F415" s="13" t="s">
        <v>79</v>
      </c>
      <c r="G415" s="13" t="s">
        <v>120</v>
      </c>
      <c r="H415" s="16">
        <v>44940.0</v>
      </c>
      <c r="I415" s="14">
        <v>24.0</v>
      </c>
      <c r="J415" s="13" t="s">
        <v>53</v>
      </c>
      <c r="K415" s="13" t="s">
        <v>81</v>
      </c>
      <c r="L415" s="14">
        <v>2001.0</v>
      </c>
      <c r="M415" s="18" t="s">
        <v>98</v>
      </c>
      <c r="N415" s="20">
        <v>3.0</v>
      </c>
      <c r="O415" s="18">
        <v>46.6</v>
      </c>
      <c r="P415" s="20">
        <v>5.0</v>
      </c>
      <c r="Q415" s="16">
        <v>45592.0</v>
      </c>
      <c r="R415" s="16" t="s">
        <v>38</v>
      </c>
      <c r="S415" s="13" t="s">
        <v>55</v>
      </c>
      <c r="T415" s="13" t="s">
        <v>104</v>
      </c>
      <c r="U415" s="13" t="str">
        <f t="shared" si="1"/>
        <v>High</v>
      </c>
      <c r="V415" s="13" t="str">
        <f t="shared" si="2"/>
        <v>Median or Above</v>
      </c>
      <c r="W415" s="13" t="str">
        <f t="shared" si="3"/>
        <v>13–24 Months</v>
      </c>
    </row>
    <row r="416" hidden="1">
      <c r="A416" s="13" t="s">
        <v>926</v>
      </c>
      <c r="B416" s="13" t="s">
        <v>167</v>
      </c>
      <c r="C416" s="14">
        <v>22.0</v>
      </c>
      <c r="D416" s="13" t="s">
        <v>85</v>
      </c>
      <c r="E416" s="13" t="s">
        <v>92</v>
      </c>
      <c r="F416" s="13" t="s">
        <v>37</v>
      </c>
      <c r="G416" s="13" t="s">
        <v>80</v>
      </c>
      <c r="H416" s="16">
        <v>45672.0</v>
      </c>
      <c r="I416" s="14">
        <v>37.0</v>
      </c>
      <c r="J416" s="13" t="s">
        <v>40</v>
      </c>
      <c r="K416" s="13" t="s">
        <v>65</v>
      </c>
      <c r="L416" s="14">
        <v>1081.0</v>
      </c>
      <c r="M416" s="18" t="s">
        <v>43</v>
      </c>
      <c r="N416" s="20">
        <v>2.0</v>
      </c>
      <c r="O416" s="18">
        <v>17.3</v>
      </c>
      <c r="P416" s="20">
        <v>4.3</v>
      </c>
      <c r="Q416" s="16">
        <v>46369.0</v>
      </c>
      <c r="R416" s="16">
        <v>45814.0</v>
      </c>
      <c r="S416" s="13" t="s">
        <v>45</v>
      </c>
      <c r="T416" s="13" t="s">
        <v>72</v>
      </c>
      <c r="U416" s="13" t="str">
        <f t="shared" si="1"/>
        <v>Moderate</v>
      </c>
      <c r="V416" s="13" t="str">
        <f t="shared" si="2"/>
        <v>Below Median</v>
      </c>
      <c r="W416" s="13" t="str">
        <f t="shared" si="3"/>
        <v>25–48 Months</v>
      </c>
    </row>
    <row r="417" hidden="1">
      <c r="A417" s="13" t="s">
        <v>928</v>
      </c>
      <c r="B417" s="13" t="s">
        <v>312</v>
      </c>
      <c r="C417" s="14">
        <v>53.0</v>
      </c>
      <c r="D417" s="13" t="s">
        <v>35</v>
      </c>
      <c r="E417" s="13" t="s">
        <v>161</v>
      </c>
      <c r="F417" s="13" t="s">
        <v>62</v>
      </c>
      <c r="G417" s="13" t="s">
        <v>52</v>
      </c>
      <c r="H417" s="16">
        <v>45706.0</v>
      </c>
      <c r="I417" s="14">
        <v>46.0</v>
      </c>
      <c r="J417" s="13" t="s">
        <v>40</v>
      </c>
      <c r="K417" s="13" t="s">
        <v>81</v>
      </c>
      <c r="L417" s="14">
        <v>862.0</v>
      </c>
      <c r="M417" s="18" t="s">
        <v>98</v>
      </c>
      <c r="N417" s="20">
        <v>0.0</v>
      </c>
      <c r="O417" s="18">
        <v>13.6</v>
      </c>
      <c r="P417" s="20">
        <v>4.5</v>
      </c>
      <c r="Q417" s="16">
        <v>45999.0</v>
      </c>
      <c r="R417" s="16" t="s">
        <v>38</v>
      </c>
      <c r="S417" s="13" t="s">
        <v>55</v>
      </c>
      <c r="T417" s="13" t="s">
        <v>75</v>
      </c>
      <c r="U417" s="13" t="str">
        <f t="shared" si="1"/>
        <v>Moderate</v>
      </c>
      <c r="V417" s="13" t="str">
        <f t="shared" si="2"/>
        <v>Below Median</v>
      </c>
      <c r="W417" s="13" t="str">
        <f t="shared" si="3"/>
        <v>25–48 Months</v>
      </c>
    </row>
    <row r="418" hidden="1">
      <c r="A418" s="13" t="s">
        <v>929</v>
      </c>
      <c r="B418" s="13" t="s">
        <v>110</v>
      </c>
      <c r="C418" s="14">
        <v>51.0</v>
      </c>
      <c r="D418" s="13" t="s">
        <v>69</v>
      </c>
      <c r="E418" s="13" t="s">
        <v>187</v>
      </c>
      <c r="F418" s="13" t="s">
        <v>62</v>
      </c>
      <c r="G418" s="13" t="s">
        <v>39</v>
      </c>
      <c r="H418" s="16">
        <v>45593.0</v>
      </c>
      <c r="I418" s="14">
        <v>44.0</v>
      </c>
      <c r="J418" s="13" t="s">
        <v>64</v>
      </c>
      <c r="K418" s="13" t="s">
        <v>41</v>
      </c>
      <c r="L418" s="14">
        <v>526.0</v>
      </c>
      <c r="M418" s="18" t="s">
        <v>43</v>
      </c>
      <c r="N418" s="20">
        <v>1.0</v>
      </c>
      <c r="O418" s="18">
        <v>12.5</v>
      </c>
      <c r="P418" s="20">
        <v>3.7</v>
      </c>
      <c r="Q418" s="16">
        <v>46310.0</v>
      </c>
      <c r="R418" s="16" t="s">
        <v>38</v>
      </c>
      <c r="S418" s="13" t="s">
        <v>55</v>
      </c>
      <c r="T418" s="13" t="s">
        <v>75</v>
      </c>
      <c r="U418" s="13" t="str">
        <f t="shared" si="1"/>
        <v>Moderate</v>
      </c>
      <c r="V418" s="13" t="str">
        <f t="shared" si="2"/>
        <v>Below Median</v>
      </c>
      <c r="W418" s="13" t="str">
        <f t="shared" si="3"/>
        <v>25–48 Months</v>
      </c>
    </row>
    <row r="419" hidden="1">
      <c r="A419" s="13" t="s">
        <v>930</v>
      </c>
      <c r="B419" s="13" t="s">
        <v>59</v>
      </c>
      <c r="C419" s="14">
        <v>30.0</v>
      </c>
      <c r="D419" s="13" t="s">
        <v>60</v>
      </c>
      <c r="E419" s="13" t="s">
        <v>133</v>
      </c>
      <c r="F419" s="13" t="s">
        <v>37</v>
      </c>
      <c r="G419" s="13" t="s">
        <v>128</v>
      </c>
      <c r="H419" s="16">
        <v>45940.0</v>
      </c>
      <c r="I419" s="14">
        <v>45.0</v>
      </c>
      <c r="J419" s="13" t="s">
        <v>64</v>
      </c>
      <c r="K419" s="13" t="s">
        <v>41</v>
      </c>
      <c r="L419" s="14">
        <v>1191.0</v>
      </c>
      <c r="M419" s="18" t="s">
        <v>98</v>
      </c>
      <c r="N419" s="20">
        <v>0.0</v>
      </c>
      <c r="O419" s="18">
        <v>17.9</v>
      </c>
      <c r="P419" s="20">
        <v>4.4</v>
      </c>
      <c r="Q419" s="16">
        <v>46887.0</v>
      </c>
      <c r="R419" s="16">
        <v>46178.0</v>
      </c>
      <c r="S419" s="13" t="s">
        <v>45</v>
      </c>
      <c r="T419" s="13" t="s">
        <v>104</v>
      </c>
      <c r="U419" s="13" t="str">
        <f t="shared" si="1"/>
        <v>Moderate</v>
      </c>
      <c r="V419" s="13" t="str">
        <f t="shared" si="2"/>
        <v>Below Median</v>
      </c>
      <c r="W419" s="13" t="str">
        <f t="shared" si="3"/>
        <v>25–48 Months</v>
      </c>
    </row>
    <row r="420" hidden="1">
      <c r="A420" s="13" t="s">
        <v>505</v>
      </c>
      <c r="B420" s="13" t="s">
        <v>145</v>
      </c>
      <c r="C420" s="14">
        <v>49.0</v>
      </c>
      <c r="D420" s="13" t="s">
        <v>60</v>
      </c>
      <c r="E420" s="13" t="s">
        <v>61</v>
      </c>
      <c r="F420" s="13" t="s">
        <v>37</v>
      </c>
      <c r="G420" s="13" t="s">
        <v>120</v>
      </c>
      <c r="H420" s="16">
        <v>44870.0</v>
      </c>
      <c r="I420" s="14">
        <v>14.0</v>
      </c>
      <c r="J420" s="13" t="s">
        <v>53</v>
      </c>
      <c r="K420" s="13" t="s">
        <v>65</v>
      </c>
      <c r="L420" s="14">
        <v>1022.0</v>
      </c>
      <c r="M420" s="18" t="s">
        <v>164</v>
      </c>
      <c r="N420" s="20">
        <v>0.0</v>
      </c>
      <c r="O420" s="18">
        <v>32.3</v>
      </c>
      <c r="P420" s="20">
        <v>2.8</v>
      </c>
      <c r="Q420" s="16">
        <v>45093.0</v>
      </c>
      <c r="R420" s="16" t="s">
        <v>38</v>
      </c>
      <c r="S420" s="13" t="s">
        <v>55</v>
      </c>
      <c r="T420" s="13" t="s">
        <v>75</v>
      </c>
      <c r="U420" s="13" t="str">
        <f t="shared" si="1"/>
        <v>Low</v>
      </c>
      <c r="V420" s="13" t="str">
        <f t="shared" si="2"/>
        <v>Median or Above</v>
      </c>
      <c r="W420" s="13" t="str">
        <f t="shared" si="3"/>
        <v>13–24 Months</v>
      </c>
    </row>
    <row r="421" hidden="1">
      <c r="A421" s="13" t="s">
        <v>929</v>
      </c>
      <c r="B421" s="13" t="s">
        <v>110</v>
      </c>
      <c r="C421" s="14">
        <v>48.0</v>
      </c>
      <c r="D421" s="13" t="s">
        <v>35</v>
      </c>
      <c r="E421" s="13" t="s">
        <v>161</v>
      </c>
      <c r="F421" s="13" t="s">
        <v>62</v>
      </c>
      <c r="G421" s="13" t="s">
        <v>63</v>
      </c>
      <c r="H421" s="16">
        <v>45037.0</v>
      </c>
      <c r="I421" s="14">
        <v>34.0</v>
      </c>
      <c r="J421" s="13" t="s">
        <v>53</v>
      </c>
      <c r="K421" s="13" t="s">
        <v>81</v>
      </c>
      <c r="L421" s="14">
        <v>709.0</v>
      </c>
      <c r="M421" s="18" t="s">
        <v>43</v>
      </c>
      <c r="N421" s="20">
        <v>0.0</v>
      </c>
      <c r="O421" s="18">
        <v>9.3</v>
      </c>
      <c r="P421" s="20">
        <v>3.0</v>
      </c>
      <c r="Q421" s="16">
        <v>45715.0</v>
      </c>
      <c r="R421" s="16" t="s">
        <v>38</v>
      </c>
      <c r="S421" s="13" t="s">
        <v>55</v>
      </c>
      <c r="T421" s="13" t="s">
        <v>47</v>
      </c>
      <c r="U421" s="13" t="str">
        <f t="shared" si="1"/>
        <v>Moderate</v>
      </c>
      <c r="V421" s="13" t="str">
        <f t="shared" si="2"/>
        <v>Below Median</v>
      </c>
      <c r="W421" s="13" t="str">
        <f t="shared" si="3"/>
        <v>25–48 Months</v>
      </c>
    </row>
    <row r="422" hidden="1">
      <c r="A422" s="13" t="s">
        <v>933</v>
      </c>
      <c r="B422" s="13" t="s">
        <v>605</v>
      </c>
      <c r="C422" s="14">
        <v>64.0</v>
      </c>
      <c r="D422" s="13" t="s">
        <v>35</v>
      </c>
      <c r="E422" s="13" t="s">
        <v>177</v>
      </c>
      <c r="F422" s="13" t="s">
        <v>62</v>
      </c>
      <c r="G422" s="13" t="s">
        <v>210</v>
      </c>
      <c r="H422" s="16">
        <v>45152.0</v>
      </c>
      <c r="I422" s="14">
        <v>4.0</v>
      </c>
      <c r="J422" s="13" t="s">
        <v>64</v>
      </c>
      <c r="K422" s="13" t="s">
        <v>65</v>
      </c>
      <c r="L422" s="14">
        <v>644.0</v>
      </c>
      <c r="M422" s="18" t="s">
        <v>164</v>
      </c>
      <c r="N422" s="20">
        <v>0.0</v>
      </c>
      <c r="O422" s="18">
        <v>21.9</v>
      </c>
      <c r="P422" s="20">
        <v>4.2</v>
      </c>
      <c r="Q422" s="16">
        <v>45204.0</v>
      </c>
      <c r="R422" s="16" t="s">
        <v>38</v>
      </c>
      <c r="S422" s="13" t="s">
        <v>55</v>
      </c>
      <c r="T422" s="13" t="s">
        <v>47</v>
      </c>
      <c r="U422" s="13" t="str">
        <f t="shared" si="1"/>
        <v>Moderate</v>
      </c>
      <c r="V422" s="13" t="str">
        <f t="shared" si="2"/>
        <v>Below Median</v>
      </c>
      <c r="W422" s="13" t="str">
        <f t="shared" si="3"/>
        <v>0–12 Months</v>
      </c>
    </row>
    <row r="423" hidden="1">
      <c r="A423" s="13" t="s">
        <v>344</v>
      </c>
      <c r="B423" s="13" t="s">
        <v>179</v>
      </c>
      <c r="C423" s="14">
        <v>61.0</v>
      </c>
      <c r="D423" s="13" t="s">
        <v>69</v>
      </c>
      <c r="E423" s="13" t="s">
        <v>187</v>
      </c>
      <c r="F423" s="13" t="s">
        <v>62</v>
      </c>
      <c r="G423" s="13" t="s">
        <v>63</v>
      </c>
      <c r="H423" s="16">
        <v>45210.0</v>
      </c>
      <c r="I423" s="14">
        <v>37.0</v>
      </c>
      <c r="J423" s="13" t="s">
        <v>53</v>
      </c>
      <c r="K423" s="13" t="s">
        <v>65</v>
      </c>
      <c r="L423" s="14">
        <v>632.0</v>
      </c>
      <c r="M423" s="18" t="s">
        <v>98</v>
      </c>
      <c r="N423" s="20">
        <v>1.0</v>
      </c>
      <c r="O423" s="18">
        <v>23.7</v>
      </c>
      <c r="P423" s="20">
        <v>3.7</v>
      </c>
      <c r="Q423" s="16">
        <v>45640.0</v>
      </c>
      <c r="R423" s="16" t="s">
        <v>38</v>
      </c>
      <c r="S423" s="13" t="s">
        <v>55</v>
      </c>
      <c r="T423" s="13" t="s">
        <v>47</v>
      </c>
      <c r="U423" s="13" t="str">
        <f t="shared" si="1"/>
        <v>Moderate</v>
      </c>
      <c r="V423" s="13" t="str">
        <f t="shared" si="2"/>
        <v>Below Median</v>
      </c>
      <c r="W423" s="13" t="str">
        <f t="shared" si="3"/>
        <v>25–48 Months</v>
      </c>
    </row>
    <row r="424" hidden="1">
      <c r="A424" s="13" t="s">
        <v>934</v>
      </c>
      <c r="B424" s="13" t="s">
        <v>96</v>
      </c>
      <c r="C424" s="14">
        <v>66.0</v>
      </c>
      <c r="D424" s="13" t="s">
        <v>85</v>
      </c>
      <c r="E424" s="13" t="s">
        <v>111</v>
      </c>
      <c r="F424" s="13" t="s">
        <v>37</v>
      </c>
      <c r="G424" s="13" t="s">
        <v>63</v>
      </c>
      <c r="H424" s="16">
        <v>44613.0</v>
      </c>
      <c r="I424" s="14">
        <v>26.0</v>
      </c>
      <c r="J424" s="13" t="s">
        <v>64</v>
      </c>
      <c r="K424" s="13" t="s">
        <v>81</v>
      </c>
      <c r="L424" s="14">
        <v>1147.0</v>
      </c>
      <c r="M424" s="18" t="s">
        <v>376</v>
      </c>
      <c r="N424" s="20">
        <v>0.0</v>
      </c>
      <c r="O424" s="18">
        <v>16.8</v>
      </c>
      <c r="P424" s="20">
        <v>3.7</v>
      </c>
      <c r="Q424" s="16">
        <v>45092.0</v>
      </c>
      <c r="R424" s="16" t="s">
        <v>935</v>
      </c>
      <c r="S424" s="13" t="s">
        <v>45</v>
      </c>
      <c r="T424" s="13" t="s">
        <v>72</v>
      </c>
      <c r="U424" s="13" t="str">
        <f t="shared" si="1"/>
        <v>Moderate</v>
      </c>
      <c r="V424" s="13" t="str">
        <f t="shared" si="2"/>
        <v>Below Median</v>
      </c>
      <c r="W424" s="13" t="str">
        <f t="shared" si="3"/>
        <v>25–48 Months</v>
      </c>
    </row>
    <row r="425" hidden="1">
      <c r="A425" s="13" t="s">
        <v>936</v>
      </c>
      <c r="B425" s="13" t="s">
        <v>91</v>
      </c>
      <c r="C425" s="14">
        <v>65.0</v>
      </c>
      <c r="D425" s="13" t="s">
        <v>60</v>
      </c>
      <c r="E425" s="13" t="s">
        <v>133</v>
      </c>
      <c r="F425" s="13" t="s">
        <v>79</v>
      </c>
      <c r="G425" s="13" t="s">
        <v>128</v>
      </c>
      <c r="H425" s="16">
        <v>45736.0</v>
      </c>
      <c r="I425" s="14">
        <v>43.0</v>
      </c>
      <c r="J425" s="13" t="s">
        <v>53</v>
      </c>
      <c r="K425" s="13" t="s">
        <v>41</v>
      </c>
      <c r="L425" s="14">
        <v>3856.0</v>
      </c>
      <c r="M425" s="18" t="s">
        <v>43</v>
      </c>
      <c r="N425" s="20">
        <v>0.0</v>
      </c>
      <c r="O425" s="18">
        <v>30.1</v>
      </c>
      <c r="P425" s="20">
        <v>4.2</v>
      </c>
      <c r="Q425" s="16">
        <v>46651.0</v>
      </c>
      <c r="R425" s="16" t="s">
        <v>38</v>
      </c>
      <c r="S425" s="13" t="s">
        <v>55</v>
      </c>
      <c r="T425" s="13" t="s">
        <v>47</v>
      </c>
      <c r="U425" s="13" t="str">
        <f t="shared" si="1"/>
        <v>Moderate</v>
      </c>
      <c r="V425" s="13" t="str">
        <f t="shared" si="2"/>
        <v>Median or Above</v>
      </c>
      <c r="W425" s="13" t="str">
        <f t="shared" si="3"/>
        <v>25–48 Months</v>
      </c>
    </row>
    <row r="426" hidden="1">
      <c r="A426" s="13" t="s">
        <v>937</v>
      </c>
      <c r="B426" s="13" t="s">
        <v>362</v>
      </c>
      <c r="C426" s="14">
        <v>68.0</v>
      </c>
      <c r="D426" s="13" t="s">
        <v>35</v>
      </c>
      <c r="E426" s="13" t="s">
        <v>161</v>
      </c>
      <c r="F426" s="13" t="s">
        <v>62</v>
      </c>
      <c r="G426" s="13" t="s">
        <v>80</v>
      </c>
      <c r="H426" s="16">
        <v>45013.0</v>
      </c>
      <c r="I426" s="14">
        <v>29.0</v>
      </c>
      <c r="J426" s="13" t="s">
        <v>53</v>
      </c>
      <c r="K426" s="13" t="s">
        <v>41</v>
      </c>
      <c r="L426" s="14">
        <v>666.0</v>
      </c>
      <c r="M426" s="18" t="s">
        <v>98</v>
      </c>
      <c r="N426" s="20">
        <v>0.0</v>
      </c>
      <c r="O426" s="18">
        <v>18.9</v>
      </c>
      <c r="P426" s="20">
        <v>5.0</v>
      </c>
      <c r="Q426" s="16">
        <v>45679.0</v>
      </c>
      <c r="R426" s="16" t="s">
        <v>38</v>
      </c>
      <c r="S426" s="13" t="s">
        <v>55</v>
      </c>
      <c r="T426" s="13" t="s">
        <v>104</v>
      </c>
      <c r="U426" s="13" t="str">
        <f t="shared" si="1"/>
        <v>High</v>
      </c>
      <c r="V426" s="13" t="str">
        <f t="shared" si="2"/>
        <v>Below Median</v>
      </c>
      <c r="W426" s="13" t="str">
        <f t="shared" si="3"/>
        <v>25–48 Months</v>
      </c>
    </row>
    <row r="427" hidden="1">
      <c r="A427" s="13" t="s">
        <v>1160</v>
      </c>
      <c r="B427" s="13" t="s">
        <v>633</v>
      </c>
      <c r="C427" s="14">
        <v>28.0</v>
      </c>
      <c r="D427" s="13" t="s">
        <v>85</v>
      </c>
      <c r="E427" s="13" t="s">
        <v>292</v>
      </c>
      <c r="F427" s="13" t="s">
        <v>79</v>
      </c>
      <c r="G427" s="13" t="s">
        <v>120</v>
      </c>
      <c r="H427" s="16">
        <v>44960.0</v>
      </c>
      <c r="I427" s="14">
        <v>32.0</v>
      </c>
      <c r="J427" s="13" t="s">
        <v>64</v>
      </c>
      <c r="K427" s="13" t="s">
        <v>65</v>
      </c>
      <c r="L427" s="14">
        <v>3931.0</v>
      </c>
      <c r="M427" s="18" t="s">
        <v>46</v>
      </c>
      <c r="N427" s="20">
        <v>0.0</v>
      </c>
      <c r="O427" s="18">
        <v>32.3</v>
      </c>
      <c r="P427" s="20">
        <v>2.6</v>
      </c>
      <c r="Q427" s="16">
        <v>45027.0</v>
      </c>
      <c r="R427" s="16" t="s">
        <v>38</v>
      </c>
      <c r="S427" s="13" t="s">
        <v>55</v>
      </c>
      <c r="T427" s="13" t="s">
        <v>72</v>
      </c>
      <c r="U427" s="13" t="str">
        <f t="shared" si="1"/>
        <v>Low</v>
      </c>
      <c r="V427" s="13" t="str">
        <f t="shared" si="2"/>
        <v>Median or Above</v>
      </c>
      <c r="W427" s="13" t="str">
        <f t="shared" si="3"/>
        <v>25–48 Months</v>
      </c>
    </row>
    <row r="428" hidden="1">
      <c r="A428" s="13" t="s">
        <v>940</v>
      </c>
      <c r="B428" s="13" t="s">
        <v>118</v>
      </c>
      <c r="C428" s="14">
        <v>37.0</v>
      </c>
      <c r="D428" s="13" t="s">
        <v>60</v>
      </c>
      <c r="E428" s="13" t="s">
        <v>61</v>
      </c>
      <c r="F428" s="13" t="s">
        <v>62</v>
      </c>
      <c r="G428" s="13" t="s">
        <v>210</v>
      </c>
      <c r="H428" s="16">
        <v>45192.0</v>
      </c>
      <c r="I428" s="14">
        <v>29.0</v>
      </c>
      <c r="J428" s="13" t="s">
        <v>40</v>
      </c>
      <c r="K428" s="13" t="s">
        <v>81</v>
      </c>
      <c r="L428" s="14">
        <v>543.0</v>
      </c>
      <c r="M428" s="18" t="s">
        <v>98</v>
      </c>
      <c r="N428" s="20">
        <v>1.0</v>
      </c>
      <c r="O428" s="18">
        <v>37.4</v>
      </c>
      <c r="P428" s="20">
        <v>4.1</v>
      </c>
      <c r="Q428" s="16">
        <v>45656.0</v>
      </c>
      <c r="R428" s="16" t="s">
        <v>941</v>
      </c>
      <c r="S428" s="13" t="s">
        <v>45</v>
      </c>
      <c r="T428" s="13" t="s">
        <v>75</v>
      </c>
      <c r="U428" s="13" t="str">
        <f t="shared" si="1"/>
        <v>Moderate</v>
      </c>
      <c r="V428" s="13" t="str">
        <f t="shared" si="2"/>
        <v>Median or Above</v>
      </c>
      <c r="W428" s="13" t="str">
        <f t="shared" si="3"/>
        <v>25–48 Months</v>
      </c>
    </row>
    <row r="429" hidden="1">
      <c r="A429" s="13" t="s">
        <v>942</v>
      </c>
      <c r="B429" s="13" t="s">
        <v>34</v>
      </c>
      <c r="C429" s="14">
        <v>24.0</v>
      </c>
      <c r="D429" s="13" t="s">
        <v>85</v>
      </c>
      <c r="E429" s="13" t="s">
        <v>111</v>
      </c>
      <c r="F429" s="13" t="s">
        <v>37</v>
      </c>
      <c r="G429" s="13" t="s">
        <v>80</v>
      </c>
      <c r="H429" s="16">
        <v>44738.0</v>
      </c>
      <c r="I429" s="14">
        <v>10.0</v>
      </c>
      <c r="J429" s="13" t="s">
        <v>40</v>
      </c>
      <c r="K429" s="13" t="s">
        <v>65</v>
      </c>
      <c r="L429" s="14">
        <v>1536.0</v>
      </c>
      <c r="M429" s="18" t="s">
        <v>43</v>
      </c>
      <c r="N429" s="20">
        <v>2.0</v>
      </c>
      <c r="O429" s="18">
        <v>36.2</v>
      </c>
      <c r="P429" s="20">
        <v>5.0</v>
      </c>
      <c r="Q429" s="16">
        <v>44781.0</v>
      </c>
      <c r="R429" s="16" t="s">
        <v>38</v>
      </c>
      <c r="S429" s="13" t="s">
        <v>55</v>
      </c>
      <c r="T429" s="13" t="s">
        <v>72</v>
      </c>
      <c r="U429" s="13" t="str">
        <f t="shared" si="1"/>
        <v>High</v>
      </c>
      <c r="V429" s="13" t="str">
        <f t="shared" si="2"/>
        <v>Median or Above</v>
      </c>
      <c r="W429" s="13" t="str">
        <f t="shared" si="3"/>
        <v>0–12 Months</v>
      </c>
    </row>
    <row r="430" hidden="1">
      <c r="A430" s="13" t="s">
        <v>945</v>
      </c>
      <c r="B430" s="13" t="s">
        <v>331</v>
      </c>
      <c r="C430" s="14">
        <v>56.0</v>
      </c>
      <c r="D430" s="13" t="s">
        <v>69</v>
      </c>
      <c r="E430" s="13" t="s">
        <v>119</v>
      </c>
      <c r="F430" s="13" t="s">
        <v>62</v>
      </c>
      <c r="G430" s="13" t="s">
        <v>128</v>
      </c>
      <c r="H430" s="16">
        <v>44842.0</v>
      </c>
      <c r="I430" s="14">
        <v>13.0</v>
      </c>
      <c r="J430" s="13" t="s">
        <v>53</v>
      </c>
      <c r="K430" s="13" t="s">
        <v>65</v>
      </c>
      <c r="L430" s="14">
        <v>1295.0</v>
      </c>
      <c r="M430" s="18" t="s">
        <v>164</v>
      </c>
      <c r="N430" s="20">
        <v>1.0</v>
      </c>
      <c r="O430" s="18">
        <v>6.9</v>
      </c>
      <c r="P430" s="20">
        <v>3.7</v>
      </c>
      <c r="Q430" s="16">
        <v>45103.0</v>
      </c>
      <c r="R430" s="16" t="s">
        <v>38</v>
      </c>
      <c r="S430" s="13" t="s">
        <v>55</v>
      </c>
      <c r="T430" s="13" t="s">
        <v>66</v>
      </c>
      <c r="U430" s="13" t="str">
        <f t="shared" si="1"/>
        <v>Moderate</v>
      </c>
      <c r="V430" s="13" t="str">
        <f t="shared" si="2"/>
        <v>Below Median</v>
      </c>
      <c r="W430" s="13" t="str">
        <f t="shared" si="3"/>
        <v>13–24 Months</v>
      </c>
    </row>
    <row r="431" hidden="1">
      <c r="A431" s="13" t="s">
        <v>951</v>
      </c>
      <c r="B431" s="13" t="s">
        <v>139</v>
      </c>
      <c r="C431" s="14">
        <v>30.0</v>
      </c>
      <c r="D431" s="13" t="s">
        <v>85</v>
      </c>
      <c r="E431" s="13" t="s">
        <v>111</v>
      </c>
      <c r="F431" s="13" t="s">
        <v>62</v>
      </c>
      <c r="G431" s="13" t="s">
        <v>63</v>
      </c>
      <c r="H431" s="16">
        <v>44877.0</v>
      </c>
      <c r="I431" s="14">
        <v>17.0</v>
      </c>
      <c r="J431" s="13" t="s">
        <v>53</v>
      </c>
      <c r="K431" s="13" t="s">
        <v>81</v>
      </c>
      <c r="L431" s="14">
        <v>826.0</v>
      </c>
      <c r="M431" s="18" t="s">
        <v>43</v>
      </c>
      <c r="N431" s="20">
        <v>1.0</v>
      </c>
      <c r="O431" s="18">
        <v>10.8</v>
      </c>
      <c r="P431" s="20">
        <v>3.3</v>
      </c>
      <c r="Q431" s="16">
        <v>45014.0</v>
      </c>
      <c r="R431" s="16" t="s">
        <v>38</v>
      </c>
      <c r="S431" s="13" t="s">
        <v>55</v>
      </c>
      <c r="T431" s="13" t="s">
        <v>47</v>
      </c>
      <c r="U431" s="13" t="str">
        <f t="shared" si="1"/>
        <v>Moderate</v>
      </c>
      <c r="V431" s="13" t="str">
        <f t="shared" si="2"/>
        <v>Below Median</v>
      </c>
      <c r="W431" s="13" t="str">
        <f t="shared" si="3"/>
        <v>13–24 Months</v>
      </c>
    </row>
    <row r="432" hidden="1">
      <c r="A432" s="13" t="s">
        <v>956</v>
      </c>
      <c r="B432" s="13" t="s">
        <v>235</v>
      </c>
      <c r="C432" s="14">
        <v>42.0</v>
      </c>
      <c r="D432" s="13" t="s">
        <v>35</v>
      </c>
      <c r="E432" s="13" t="s">
        <v>161</v>
      </c>
      <c r="F432" s="13" t="s">
        <v>37</v>
      </c>
      <c r="G432" s="13" t="s">
        <v>63</v>
      </c>
      <c r="H432" s="16">
        <v>45788.0</v>
      </c>
      <c r="I432" s="14">
        <v>48.0</v>
      </c>
      <c r="J432" s="13" t="s">
        <v>64</v>
      </c>
      <c r="K432" s="13" t="s">
        <v>81</v>
      </c>
      <c r="L432" s="14">
        <v>1578.0</v>
      </c>
      <c r="M432" s="18" t="s">
        <v>46</v>
      </c>
      <c r="N432" s="20">
        <v>1.0</v>
      </c>
      <c r="O432" s="18">
        <v>6.5</v>
      </c>
      <c r="P432" s="20">
        <v>3.9</v>
      </c>
      <c r="Q432" s="16">
        <v>46326.0</v>
      </c>
      <c r="R432" s="16" t="s">
        <v>38</v>
      </c>
      <c r="S432" s="13" t="s">
        <v>55</v>
      </c>
      <c r="T432" s="13" t="s">
        <v>66</v>
      </c>
      <c r="U432" s="13" t="str">
        <f t="shared" si="1"/>
        <v>Moderate</v>
      </c>
      <c r="V432" s="13" t="str">
        <f t="shared" si="2"/>
        <v>Below Median</v>
      </c>
      <c r="W432" s="13" t="str">
        <f t="shared" si="3"/>
        <v>25–48 Months</v>
      </c>
    </row>
    <row r="433" hidden="1">
      <c r="A433" s="13" t="s">
        <v>962</v>
      </c>
      <c r="B433" s="13" t="s">
        <v>633</v>
      </c>
      <c r="C433" s="14">
        <v>59.0</v>
      </c>
      <c r="D433" s="13" t="s">
        <v>60</v>
      </c>
      <c r="E433" s="13" t="s">
        <v>97</v>
      </c>
      <c r="F433" s="13" t="s">
        <v>37</v>
      </c>
      <c r="G433" s="13" t="s">
        <v>39</v>
      </c>
      <c r="H433" s="16">
        <v>45216.0</v>
      </c>
      <c r="I433" s="14">
        <v>30.0</v>
      </c>
      <c r="J433" s="13" t="s">
        <v>53</v>
      </c>
      <c r="K433" s="13" t="s">
        <v>41</v>
      </c>
      <c r="L433" s="14">
        <v>1364.0</v>
      </c>
      <c r="M433" s="18" t="s">
        <v>43</v>
      </c>
      <c r="N433" s="20">
        <v>0.0</v>
      </c>
      <c r="O433" s="18">
        <v>49.0</v>
      </c>
      <c r="P433" s="20">
        <v>2.7</v>
      </c>
      <c r="Q433" s="16">
        <v>45280.0</v>
      </c>
      <c r="R433" s="16" t="s">
        <v>968</v>
      </c>
      <c r="S433" s="13" t="s">
        <v>45</v>
      </c>
      <c r="T433" s="13" t="s">
        <v>72</v>
      </c>
      <c r="U433" s="13" t="str">
        <f t="shared" si="1"/>
        <v>Low</v>
      </c>
      <c r="V433" s="13" t="str">
        <f t="shared" si="2"/>
        <v>Median or Above</v>
      </c>
      <c r="W433" s="13" t="str">
        <f t="shared" si="3"/>
        <v>25–48 Months</v>
      </c>
    </row>
    <row r="434" hidden="1">
      <c r="A434" s="13" t="s">
        <v>970</v>
      </c>
      <c r="B434" s="13" t="s">
        <v>184</v>
      </c>
      <c r="C434" s="14">
        <v>25.0</v>
      </c>
      <c r="D434" s="13" t="s">
        <v>35</v>
      </c>
      <c r="E434" s="13" t="s">
        <v>51</v>
      </c>
      <c r="F434" s="13" t="s">
        <v>37</v>
      </c>
      <c r="G434" s="13" t="s">
        <v>39</v>
      </c>
      <c r="H434" s="16">
        <v>44755.0</v>
      </c>
      <c r="I434" s="14">
        <v>39.0</v>
      </c>
      <c r="J434" s="13" t="s">
        <v>64</v>
      </c>
      <c r="K434" s="13" t="s">
        <v>81</v>
      </c>
      <c r="L434" s="14">
        <v>1329.0</v>
      </c>
      <c r="M434" s="18" t="s">
        <v>99</v>
      </c>
      <c r="N434" s="20">
        <v>1.0</v>
      </c>
      <c r="O434" s="18">
        <v>30.2</v>
      </c>
      <c r="P434" s="20">
        <v>5.0</v>
      </c>
      <c r="Q434" s="16">
        <v>45412.0</v>
      </c>
      <c r="R434" s="16" t="s">
        <v>972</v>
      </c>
      <c r="S434" s="13" t="s">
        <v>45</v>
      </c>
      <c r="T434" s="13" t="s">
        <v>72</v>
      </c>
      <c r="U434" s="13" t="str">
        <f t="shared" si="1"/>
        <v>High</v>
      </c>
      <c r="V434" s="13" t="str">
        <f t="shared" si="2"/>
        <v>Median or Above</v>
      </c>
      <c r="W434" s="13" t="str">
        <f t="shared" si="3"/>
        <v>25–48 Months</v>
      </c>
    </row>
    <row r="435" hidden="1">
      <c r="A435" s="13" t="s">
        <v>973</v>
      </c>
      <c r="B435" s="13" t="s">
        <v>395</v>
      </c>
      <c r="C435" s="14">
        <v>31.0</v>
      </c>
      <c r="D435" s="13" t="s">
        <v>35</v>
      </c>
      <c r="E435" s="13" t="s">
        <v>51</v>
      </c>
      <c r="F435" s="13" t="s">
        <v>37</v>
      </c>
      <c r="G435" s="13" t="s">
        <v>210</v>
      </c>
      <c r="H435" s="16">
        <v>45555.0</v>
      </c>
      <c r="I435" s="14">
        <v>27.0</v>
      </c>
      <c r="J435" s="13" t="s">
        <v>64</v>
      </c>
      <c r="K435" s="13" t="s">
        <v>81</v>
      </c>
      <c r="L435" s="14">
        <v>1103.0</v>
      </c>
      <c r="M435" s="18" t="s">
        <v>43</v>
      </c>
      <c r="N435" s="20">
        <v>1.0</v>
      </c>
      <c r="O435" s="18">
        <v>30.7</v>
      </c>
      <c r="P435" s="20">
        <v>3.4</v>
      </c>
      <c r="Q435" s="16">
        <v>45723.0</v>
      </c>
      <c r="R435" s="16" t="s">
        <v>38</v>
      </c>
      <c r="S435" s="13" t="s">
        <v>55</v>
      </c>
      <c r="T435" s="13" t="s">
        <v>66</v>
      </c>
      <c r="U435" s="13" t="str">
        <f t="shared" si="1"/>
        <v>Moderate</v>
      </c>
      <c r="V435" s="13" t="str">
        <f t="shared" si="2"/>
        <v>Median or Above</v>
      </c>
      <c r="W435" s="13" t="str">
        <f t="shared" si="3"/>
        <v>25–48 Months</v>
      </c>
    </row>
    <row r="436" hidden="1">
      <c r="A436" s="13" t="s">
        <v>464</v>
      </c>
      <c r="B436" s="13" t="s">
        <v>257</v>
      </c>
      <c r="C436" s="14">
        <v>30.0</v>
      </c>
      <c r="D436" s="13" t="s">
        <v>35</v>
      </c>
      <c r="E436" s="13" t="s">
        <v>140</v>
      </c>
      <c r="F436" s="13" t="s">
        <v>37</v>
      </c>
      <c r="G436" s="13" t="s">
        <v>63</v>
      </c>
      <c r="H436" s="16">
        <v>44800.0</v>
      </c>
      <c r="I436" s="14">
        <v>9.0</v>
      </c>
      <c r="J436" s="13" t="s">
        <v>64</v>
      </c>
      <c r="K436" s="13" t="s">
        <v>65</v>
      </c>
      <c r="L436" s="14">
        <v>1355.0</v>
      </c>
      <c r="M436" s="18" t="s">
        <v>46</v>
      </c>
      <c r="N436" s="20">
        <v>1.0</v>
      </c>
      <c r="O436" s="18">
        <v>27.7</v>
      </c>
      <c r="P436" s="20">
        <v>3.8</v>
      </c>
      <c r="Q436" s="16">
        <v>44995.0</v>
      </c>
      <c r="R436" s="16">
        <v>44724.0</v>
      </c>
      <c r="S436" s="13" t="s">
        <v>45</v>
      </c>
      <c r="T436" s="13" t="s">
        <v>104</v>
      </c>
      <c r="U436" s="13" t="str">
        <f t="shared" si="1"/>
        <v>Moderate</v>
      </c>
      <c r="V436" s="13" t="str">
        <f t="shared" si="2"/>
        <v>Median or Above</v>
      </c>
      <c r="W436" s="13" t="str">
        <f t="shared" si="3"/>
        <v>0–12 Months</v>
      </c>
    </row>
    <row r="437" hidden="1">
      <c r="A437" s="13" t="s">
        <v>975</v>
      </c>
      <c r="B437" s="13" t="s">
        <v>135</v>
      </c>
      <c r="C437" s="14">
        <v>23.0</v>
      </c>
      <c r="D437" s="13" t="s">
        <v>35</v>
      </c>
      <c r="E437" s="13" t="s">
        <v>51</v>
      </c>
      <c r="F437" s="13" t="s">
        <v>62</v>
      </c>
      <c r="G437" s="13" t="s">
        <v>52</v>
      </c>
      <c r="H437" s="16">
        <v>44853.0</v>
      </c>
      <c r="I437" s="14">
        <v>45.0</v>
      </c>
      <c r="J437" s="13" t="s">
        <v>40</v>
      </c>
      <c r="K437" s="13" t="s">
        <v>65</v>
      </c>
      <c r="L437" s="14">
        <v>563.0</v>
      </c>
      <c r="M437" s="18" t="s">
        <v>46</v>
      </c>
      <c r="N437" s="20">
        <v>1.0</v>
      </c>
      <c r="O437" s="18">
        <v>22.0</v>
      </c>
      <c r="P437" s="20">
        <v>3.7</v>
      </c>
      <c r="Q437" s="16">
        <v>45023.0</v>
      </c>
      <c r="R437" s="16" t="s">
        <v>38</v>
      </c>
      <c r="S437" s="13" t="s">
        <v>55</v>
      </c>
      <c r="T437" s="13" t="s">
        <v>75</v>
      </c>
      <c r="U437" s="13" t="str">
        <f t="shared" si="1"/>
        <v>Moderate</v>
      </c>
      <c r="V437" s="13" t="str">
        <f t="shared" si="2"/>
        <v>Below Median</v>
      </c>
      <c r="W437" s="13" t="str">
        <f t="shared" si="3"/>
        <v>25–48 Months</v>
      </c>
    </row>
    <row r="438" hidden="1">
      <c r="A438" s="13" t="s">
        <v>978</v>
      </c>
      <c r="B438" s="13" t="s">
        <v>152</v>
      </c>
      <c r="C438" s="14">
        <v>67.0</v>
      </c>
      <c r="D438" s="13" t="s">
        <v>69</v>
      </c>
      <c r="E438" s="13" t="s">
        <v>70</v>
      </c>
      <c r="F438" s="13" t="s">
        <v>62</v>
      </c>
      <c r="G438" s="13" t="s">
        <v>52</v>
      </c>
      <c r="H438" s="16">
        <v>45613.0</v>
      </c>
      <c r="I438" s="14">
        <v>38.0</v>
      </c>
      <c r="J438" s="13" t="s">
        <v>40</v>
      </c>
      <c r="K438" s="13" t="s">
        <v>41</v>
      </c>
      <c r="L438" s="14">
        <v>559.0</v>
      </c>
      <c r="M438" s="18" t="s">
        <v>164</v>
      </c>
      <c r="N438" s="20">
        <v>0.0</v>
      </c>
      <c r="O438" s="18">
        <v>27.6</v>
      </c>
      <c r="P438" s="20">
        <v>3.3</v>
      </c>
      <c r="Q438" s="16">
        <v>45758.0</v>
      </c>
      <c r="R438" s="16" t="s">
        <v>38</v>
      </c>
      <c r="S438" s="13" t="s">
        <v>55</v>
      </c>
      <c r="T438" s="13" t="s">
        <v>66</v>
      </c>
      <c r="U438" s="13" t="str">
        <f t="shared" si="1"/>
        <v>Moderate</v>
      </c>
      <c r="V438" s="13" t="str">
        <f t="shared" si="2"/>
        <v>Median or Above</v>
      </c>
      <c r="W438" s="13" t="str">
        <f t="shared" si="3"/>
        <v>25–48 Months</v>
      </c>
    </row>
    <row r="439" hidden="1">
      <c r="A439" s="13" t="s">
        <v>585</v>
      </c>
      <c r="B439" s="13" t="s">
        <v>395</v>
      </c>
      <c r="C439" s="14">
        <v>51.0</v>
      </c>
      <c r="D439" s="13" t="s">
        <v>69</v>
      </c>
      <c r="E439" s="13" t="s">
        <v>187</v>
      </c>
      <c r="F439" s="13" t="s">
        <v>37</v>
      </c>
      <c r="G439" s="13" t="s">
        <v>63</v>
      </c>
      <c r="H439" s="16">
        <v>44747.0</v>
      </c>
      <c r="I439" s="14">
        <v>10.0</v>
      </c>
      <c r="J439" s="13" t="s">
        <v>64</v>
      </c>
      <c r="K439" s="13" t="s">
        <v>41</v>
      </c>
      <c r="L439" s="14">
        <v>1592.0</v>
      </c>
      <c r="M439" s="18" t="s">
        <v>46</v>
      </c>
      <c r="N439" s="20">
        <v>1.0</v>
      </c>
      <c r="O439" s="18">
        <v>18.0</v>
      </c>
      <c r="P439" s="20">
        <v>2.4</v>
      </c>
      <c r="Q439" s="16">
        <v>44937.0</v>
      </c>
      <c r="R439" s="16" t="s">
        <v>980</v>
      </c>
      <c r="S439" s="13" t="s">
        <v>45</v>
      </c>
      <c r="T439" s="13" t="s">
        <v>104</v>
      </c>
      <c r="U439" s="13" t="str">
        <f t="shared" si="1"/>
        <v>Low</v>
      </c>
      <c r="V439" s="13" t="str">
        <f t="shared" si="2"/>
        <v>Below Median</v>
      </c>
      <c r="W439" s="13" t="str">
        <f t="shared" si="3"/>
        <v>0–12 Months</v>
      </c>
    </row>
    <row r="440" hidden="1">
      <c r="A440" s="13" t="s">
        <v>441</v>
      </c>
      <c r="B440" s="13" t="s">
        <v>645</v>
      </c>
      <c r="C440" s="14">
        <v>42.0</v>
      </c>
      <c r="D440" s="13" t="s">
        <v>35</v>
      </c>
      <c r="E440" s="13" t="s">
        <v>51</v>
      </c>
      <c r="F440" s="13" t="s">
        <v>37</v>
      </c>
      <c r="G440" s="13" t="s">
        <v>210</v>
      </c>
      <c r="H440" s="16">
        <v>44913.0</v>
      </c>
      <c r="I440" s="14">
        <v>35.0</v>
      </c>
      <c r="J440" s="13" t="s">
        <v>64</v>
      </c>
      <c r="K440" s="13" t="s">
        <v>81</v>
      </c>
      <c r="L440" s="14">
        <v>1100.0</v>
      </c>
      <c r="M440" s="18" t="s">
        <v>98</v>
      </c>
      <c r="N440" s="20">
        <v>0.0</v>
      </c>
      <c r="O440" s="18">
        <v>35.2</v>
      </c>
      <c r="P440" s="20">
        <v>4.8</v>
      </c>
      <c r="Q440" s="16">
        <v>45361.0</v>
      </c>
      <c r="R440" s="16" t="s">
        <v>38</v>
      </c>
      <c r="S440" s="13" t="s">
        <v>55</v>
      </c>
      <c r="T440" s="13" t="s">
        <v>47</v>
      </c>
      <c r="U440" s="13" t="str">
        <f t="shared" si="1"/>
        <v>Moderate</v>
      </c>
      <c r="V440" s="13" t="str">
        <f t="shared" si="2"/>
        <v>Median or Above</v>
      </c>
      <c r="W440" s="13" t="str">
        <f t="shared" si="3"/>
        <v>25–48 Months</v>
      </c>
    </row>
    <row r="441" hidden="1">
      <c r="A441" s="13" t="s">
        <v>981</v>
      </c>
      <c r="B441" s="13" t="s">
        <v>639</v>
      </c>
      <c r="C441" s="14">
        <v>26.0</v>
      </c>
      <c r="D441" s="13" t="s">
        <v>35</v>
      </c>
      <c r="E441" s="13" t="s">
        <v>51</v>
      </c>
      <c r="F441" s="13" t="s">
        <v>37</v>
      </c>
      <c r="G441" s="13" t="s">
        <v>120</v>
      </c>
      <c r="H441" s="16">
        <v>45430.0</v>
      </c>
      <c r="I441" s="14">
        <v>14.0</v>
      </c>
      <c r="J441" s="13" t="s">
        <v>64</v>
      </c>
      <c r="K441" s="13" t="s">
        <v>41</v>
      </c>
      <c r="L441" s="14">
        <v>1114.0</v>
      </c>
      <c r="M441" s="18" t="s">
        <v>46</v>
      </c>
      <c r="N441" s="20">
        <v>2.0</v>
      </c>
      <c r="O441" s="18">
        <v>26.3</v>
      </c>
      <c r="P441" s="20">
        <v>5.0</v>
      </c>
      <c r="Q441" s="16">
        <v>45600.0</v>
      </c>
      <c r="R441" s="16" t="s">
        <v>38</v>
      </c>
      <c r="S441" s="13" t="s">
        <v>55</v>
      </c>
      <c r="T441" s="13" t="s">
        <v>75</v>
      </c>
      <c r="U441" s="13" t="str">
        <f t="shared" si="1"/>
        <v>High</v>
      </c>
      <c r="V441" s="13" t="str">
        <f t="shared" si="2"/>
        <v>Median or Above</v>
      </c>
      <c r="W441" s="13" t="str">
        <f t="shared" si="3"/>
        <v>13–24 Months</v>
      </c>
    </row>
    <row r="442" hidden="1">
      <c r="A442" s="13" t="s">
        <v>846</v>
      </c>
      <c r="B442" s="13" t="s">
        <v>169</v>
      </c>
      <c r="C442" s="14">
        <v>33.0</v>
      </c>
      <c r="D442" s="13" t="s">
        <v>60</v>
      </c>
      <c r="E442" s="13" t="s">
        <v>107</v>
      </c>
      <c r="F442" s="13" t="s">
        <v>37</v>
      </c>
      <c r="G442" s="13" t="s">
        <v>63</v>
      </c>
      <c r="H442" s="16">
        <v>44730.0</v>
      </c>
      <c r="I442" s="14">
        <v>21.0</v>
      </c>
      <c r="J442" s="13" t="s">
        <v>64</v>
      </c>
      <c r="K442" s="13" t="s">
        <v>65</v>
      </c>
      <c r="L442" s="14">
        <v>1289.0</v>
      </c>
      <c r="M442" s="18" t="s">
        <v>164</v>
      </c>
      <c r="N442" s="20">
        <v>2.0</v>
      </c>
      <c r="O442" s="18">
        <v>39.2</v>
      </c>
      <c r="P442" s="20">
        <v>4.1</v>
      </c>
      <c r="Q442" s="16">
        <v>45354.0</v>
      </c>
      <c r="R442" s="16" t="s">
        <v>38</v>
      </c>
      <c r="S442" s="13" t="s">
        <v>55</v>
      </c>
      <c r="T442" s="13" t="s">
        <v>72</v>
      </c>
      <c r="U442" s="13" t="str">
        <f t="shared" si="1"/>
        <v>Moderate</v>
      </c>
      <c r="V442" s="13" t="str">
        <f t="shared" si="2"/>
        <v>Median or Above</v>
      </c>
      <c r="W442" s="13" t="str">
        <f t="shared" si="3"/>
        <v>13–24 Months</v>
      </c>
    </row>
    <row r="443" hidden="1">
      <c r="A443" s="13" t="s">
        <v>982</v>
      </c>
      <c r="B443" s="13" t="s">
        <v>118</v>
      </c>
      <c r="C443" s="14">
        <v>52.0</v>
      </c>
      <c r="D443" s="13" t="s">
        <v>69</v>
      </c>
      <c r="E443" s="13" t="s">
        <v>70</v>
      </c>
      <c r="F443" s="13" t="s">
        <v>79</v>
      </c>
      <c r="G443" s="13" t="s">
        <v>63</v>
      </c>
      <c r="H443" s="16">
        <v>45536.0</v>
      </c>
      <c r="I443" s="14">
        <v>44.0</v>
      </c>
      <c r="J443" s="13" t="s">
        <v>64</v>
      </c>
      <c r="K443" s="13" t="s">
        <v>81</v>
      </c>
      <c r="L443" s="14">
        <v>3005.0</v>
      </c>
      <c r="M443" s="18" t="s">
        <v>1192</v>
      </c>
      <c r="N443" s="20">
        <v>1.0</v>
      </c>
      <c r="O443" s="18">
        <v>34.5</v>
      </c>
      <c r="P443" s="20">
        <v>3.3</v>
      </c>
      <c r="Q443" s="16">
        <v>45761.0</v>
      </c>
      <c r="R443" s="16" t="s">
        <v>38</v>
      </c>
      <c r="S443" s="13" t="s">
        <v>55</v>
      </c>
      <c r="T443" s="13" t="s">
        <v>104</v>
      </c>
      <c r="U443" s="13" t="str">
        <f t="shared" si="1"/>
        <v>Moderate</v>
      </c>
      <c r="V443" s="13" t="str">
        <f t="shared" si="2"/>
        <v>Median or Above</v>
      </c>
      <c r="W443" s="13" t="str">
        <f t="shared" si="3"/>
        <v>25–48 Months</v>
      </c>
    </row>
    <row r="444" hidden="1">
      <c r="A444" s="13" t="s">
        <v>983</v>
      </c>
      <c r="B444" s="13" t="s">
        <v>333</v>
      </c>
      <c r="C444" s="14">
        <v>26.0</v>
      </c>
      <c r="D444" s="13" t="s">
        <v>69</v>
      </c>
      <c r="E444" s="13" t="s">
        <v>119</v>
      </c>
      <c r="F444" s="13" t="s">
        <v>62</v>
      </c>
      <c r="G444" s="13" t="s">
        <v>80</v>
      </c>
      <c r="H444" s="16">
        <v>44770.0</v>
      </c>
      <c r="I444" s="14">
        <v>48.0</v>
      </c>
      <c r="J444" s="13" t="s">
        <v>40</v>
      </c>
      <c r="K444" s="13" t="s">
        <v>65</v>
      </c>
      <c r="L444" s="14">
        <v>585.0</v>
      </c>
      <c r="M444" s="18" t="s">
        <v>98</v>
      </c>
      <c r="N444" s="20">
        <v>0.0</v>
      </c>
      <c r="O444" s="18">
        <v>32.5</v>
      </c>
      <c r="P444" s="20">
        <v>3.5</v>
      </c>
      <c r="Q444" s="16">
        <v>45187.0</v>
      </c>
      <c r="R444" s="16" t="s">
        <v>984</v>
      </c>
      <c r="S444" s="13" t="s">
        <v>45</v>
      </c>
      <c r="T444" s="13" t="s">
        <v>75</v>
      </c>
      <c r="U444" s="13" t="str">
        <f t="shared" si="1"/>
        <v>Moderate</v>
      </c>
      <c r="V444" s="13" t="str">
        <f t="shared" si="2"/>
        <v>Median or Above</v>
      </c>
      <c r="W444" s="13" t="str">
        <f t="shared" si="3"/>
        <v>25–48 Months</v>
      </c>
    </row>
    <row r="445" hidden="1">
      <c r="A445" s="13" t="s">
        <v>985</v>
      </c>
      <c r="B445" s="13" t="s">
        <v>325</v>
      </c>
      <c r="C445" s="14">
        <v>35.0</v>
      </c>
      <c r="D445" s="13" t="s">
        <v>60</v>
      </c>
      <c r="E445" s="13" t="s">
        <v>133</v>
      </c>
      <c r="F445" s="13" t="s">
        <v>62</v>
      </c>
      <c r="G445" s="13" t="s">
        <v>52</v>
      </c>
      <c r="H445" s="16">
        <v>45797.0</v>
      </c>
      <c r="I445" s="14">
        <v>26.0</v>
      </c>
      <c r="J445" s="13" t="s">
        <v>53</v>
      </c>
      <c r="K445" s="13" t="s">
        <v>65</v>
      </c>
      <c r="L445" s="14">
        <v>760.0</v>
      </c>
      <c r="M445" s="18" t="s">
        <v>164</v>
      </c>
      <c r="N445" s="20">
        <v>0.0</v>
      </c>
      <c r="O445" s="18">
        <v>11.9</v>
      </c>
      <c r="P445" s="20">
        <v>3.1</v>
      </c>
      <c r="Q445" s="16">
        <v>46593.0</v>
      </c>
      <c r="R445" s="16" t="s">
        <v>986</v>
      </c>
      <c r="S445" s="13" t="s">
        <v>45</v>
      </c>
      <c r="T445" s="13" t="s">
        <v>47</v>
      </c>
      <c r="U445" s="13" t="str">
        <f t="shared" si="1"/>
        <v>Moderate</v>
      </c>
      <c r="V445" s="13" t="str">
        <f t="shared" si="2"/>
        <v>Below Median</v>
      </c>
      <c r="W445" s="13" t="str">
        <f t="shared" si="3"/>
        <v>25–48 Months</v>
      </c>
    </row>
    <row r="446" hidden="1">
      <c r="A446" s="13" t="s">
        <v>525</v>
      </c>
      <c r="B446" s="13" t="s">
        <v>68</v>
      </c>
      <c r="C446" s="14">
        <v>38.0</v>
      </c>
      <c r="D446" s="13" t="s">
        <v>69</v>
      </c>
      <c r="E446" s="13" t="s">
        <v>70</v>
      </c>
      <c r="F446" s="13" t="s">
        <v>62</v>
      </c>
      <c r="G446" s="13" t="s">
        <v>63</v>
      </c>
      <c r="H446" s="16">
        <v>44701.0</v>
      </c>
      <c r="I446" s="14">
        <v>32.0</v>
      </c>
      <c r="J446" s="13" t="s">
        <v>64</v>
      </c>
      <c r="K446" s="13" t="s">
        <v>81</v>
      </c>
      <c r="L446" s="14">
        <v>590.0</v>
      </c>
      <c r="M446" s="18" t="s">
        <v>164</v>
      </c>
      <c r="N446" s="20">
        <v>1.0</v>
      </c>
      <c r="O446" s="18">
        <v>10.7</v>
      </c>
      <c r="P446" s="20">
        <v>5.0</v>
      </c>
      <c r="Q446" s="16">
        <v>45406.0</v>
      </c>
      <c r="R446" s="16" t="s">
        <v>38</v>
      </c>
      <c r="S446" s="13" t="s">
        <v>55</v>
      </c>
      <c r="T446" s="13" t="s">
        <v>104</v>
      </c>
      <c r="U446" s="13" t="str">
        <f t="shared" si="1"/>
        <v>High</v>
      </c>
      <c r="V446" s="13" t="str">
        <f t="shared" si="2"/>
        <v>Below Median</v>
      </c>
      <c r="W446" s="13" t="str">
        <f t="shared" si="3"/>
        <v>25–48 Months</v>
      </c>
    </row>
    <row r="447" hidden="1">
      <c r="A447" s="13" t="s">
        <v>987</v>
      </c>
      <c r="B447" s="13" t="s">
        <v>179</v>
      </c>
      <c r="C447" s="14">
        <v>67.0</v>
      </c>
      <c r="D447" s="13" t="s">
        <v>35</v>
      </c>
      <c r="E447" s="13" t="s">
        <v>140</v>
      </c>
      <c r="F447" s="13" t="s">
        <v>37</v>
      </c>
      <c r="G447" s="13" t="s">
        <v>39</v>
      </c>
      <c r="H447" s="16">
        <v>45163.0</v>
      </c>
      <c r="I447" s="14">
        <v>43.0</v>
      </c>
      <c r="J447" s="13" t="s">
        <v>40</v>
      </c>
      <c r="K447" s="13" t="s">
        <v>65</v>
      </c>
      <c r="L447" s="14">
        <v>1266.0</v>
      </c>
      <c r="M447" s="18" t="s">
        <v>98</v>
      </c>
      <c r="N447" s="20">
        <v>0.0</v>
      </c>
      <c r="O447" s="18">
        <v>29.4</v>
      </c>
      <c r="P447" s="20">
        <v>4.2</v>
      </c>
      <c r="Q447" s="16">
        <v>45876.0</v>
      </c>
      <c r="R447" s="16" t="s">
        <v>38</v>
      </c>
      <c r="S447" s="13" t="s">
        <v>55</v>
      </c>
      <c r="T447" s="13" t="s">
        <v>104</v>
      </c>
      <c r="U447" s="13" t="str">
        <f t="shared" si="1"/>
        <v>Moderate</v>
      </c>
      <c r="V447" s="13" t="str">
        <f t="shared" si="2"/>
        <v>Median or Above</v>
      </c>
      <c r="W447" s="13" t="str">
        <f t="shared" si="3"/>
        <v>25–48 Months</v>
      </c>
    </row>
    <row r="448" hidden="1">
      <c r="A448" s="13" t="s">
        <v>988</v>
      </c>
      <c r="B448" s="13" t="s">
        <v>78</v>
      </c>
      <c r="C448" s="14">
        <v>105.0</v>
      </c>
      <c r="D448" s="13" t="s">
        <v>85</v>
      </c>
      <c r="E448" s="13" t="s">
        <v>92</v>
      </c>
      <c r="F448" s="13" t="s">
        <v>79</v>
      </c>
      <c r="G448" s="13" t="s">
        <v>120</v>
      </c>
      <c r="H448" s="16">
        <v>45503.0</v>
      </c>
      <c r="I448" s="14">
        <v>3.0</v>
      </c>
      <c r="J448" s="13" t="s">
        <v>53</v>
      </c>
      <c r="K448" s="13" t="s">
        <v>41</v>
      </c>
      <c r="L448" s="14">
        <v>3761.0</v>
      </c>
      <c r="M448" s="18" t="s">
        <v>43</v>
      </c>
      <c r="N448" s="20">
        <v>3.0</v>
      </c>
      <c r="O448" s="18">
        <v>29.9</v>
      </c>
      <c r="P448" s="20">
        <v>4.3</v>
      </c>
      <c r="Q448" s="16">
        <v>45612.0</v>
      </c>
      <c r="R448" s="16" t="s">
        <v>38</v>
      </c>
      <c r="S448" s="13" t="s">
        <v>55</v>
      </c>
      <c r="T448" s="13" t="s">
        <v>72</v>
      </c>
      <c r="U448" s="13" t="str">
        <f t="shared" si="1"/>
        <v>Moderate</v>
      </c>
      <c r="V448" s="13" t="str">
        <f t="shared" si="2"/>
        <v>Median or Above</v>
      </c>
      <c r="W448" s="13" t="str">
        <f t="shared" si="3"/>
        <v>0–12 Months</v>
      </c>
    </row>
    <row r="449" hidden="1">
      <c r="A449" s="13" t="s">
        <v>989</v>
      </c>
      <c r="B449" s="13" t="s">
        <v>190</v>
      </c>
      <c r="C449" s="14">
        <v>51.0</v>
      </c>
      <c r="D449" s="13" t="s">
        <v>85</v>
      </c>
      <c r="E449" s="13" t="s">
        <v>87</v>
      </c>
      <c r="F449" s="13" t="s">
        <v>37</v>
      </c>
      <c r="G449" s="13" t="s">
        <v>80</v>
      </c>
      <c r="H449" s="16">
        <v>45944.0</v>
      </c>
      <c r="I449" s="14">
        <v>32.0</v>
      </c>
      <c r="J449" s="13" t="s">
        <v>40</v>
      </c>
      <c r="K449" s="13" t="s">
        <v>65</v>
      </c>
      <c r="L449" s="14">
        <v>1551.0</v>
      </c>
      <c r="M449" s="18" t="s">
        <v>43</v>
      </c>
      <c r="N449" s="20">
        <v>0.0</v>
      </c>
      <c r="O449" s="18">
        <v>30.1</v>
      </c>
      <c r="P449" s="20">
        <v>3.2</v>
      </c>
      <c r="Q449" s="16">
        <v>46435.0</v>
      </c>
      <c r="R449" s="16" t="s">
        <v>38</v>
      </c>
      <c r="S449" s="13" t="s">
        <v>55</v>
      </c>
      <c r="T449" s="13" t="s">
        <v>72</v>
      </c>
      <c r="U449" s="13" t="str">
        <f t="shared" si="1"/>
        <v>Moderate</v>
      </c>
      <c r="V449" s="13" t="str">
        <f t="shared" si="2"/>
        <v>Median or Above</v>
      </c>
      <c r="W449" s="13" t="str">
        <f t="shared" si="3"/>
        <v>25–48 Months</v>
      </c>
    </row>
    <row r="450" hidden="1">
      <c r="A450" s="13" t="s">
        <v>990</v>
      </c>
      <c r="B450" s="13" t="s">
        <v>74</v>
      </c>
      <c r="C450" s="14">
        <v>67.0</v>
      </c>
      <c r="D450" s="13" t="s">
        <v>85</v>
      </c>
      <c r="E450" s="13" t="s">
        <v>92</v>
      </c>
      <c r="F450" s="13" t="s">
        <v>37</v>
      </c>
      <c r="G450" s="13" t="s">
        <v>210</v>
      </c>
      <c r="H450" s="16">
        <v>45218.0</v>
      </c>
      <c r="I450" s="14">
        <v>4.0</v>
      </c>
      <c r="J450" s="13" t="s">
        <v>64</v>
      </c>
      <c r="K450" s="13" t="s">
        <v>65</v>
      </c>
      <c r="L450" s="14">
        <v>1130.0</v>
      </c>
      <c r="M450" s="18" t="s">
        <v>46</v>
      </c>
      <c r="N450" s="20">
        <v>1.0</v>
      </c>
      <c r="O450" s="18">
        <v>30.8</v>
      </c>
      <c r="P450" s="20">
        <v>2.3</v>
      </c>
      <c r="Q450" s="16">
        <v>45321.0</v>
      </c>
      <c r="R450" s="16" t="s">
        <v>38</v>
      </c>
      <c r="S450" s="13" t="s">
        <v>55</v>
      </c>
      <c r="T450" s="13" t="s">
        <v>75</v>
      </c>
      <c r="U450" s="13" t="str">
        <f t="shared" si="1"/>
        <v>Low</v>
      </c>
      <c r="V450" s="13" t="str">
        <f t="shared" si="2"/>
        <v>Median or Above</v>
      </c>
      <c r="W450" s="13" t="str">
        <f t="shared" si="3"/>
        <v>0–12 Months</v>
      </c>
    </row>
    <row r="451" hidden="1">
      <c r="A451" s="13" t="s">
        <v>991</v>
      </c>
      <c r="B451" s="13" t="s">
        <v>340</v>
      </c>
      <c r="C451" s="14">
        <v>63.0</v>
      </c>
      <c r="D451" s="13" t="s">
        <v>85</v>
      </c>
      <c r="E451" s="13" t="s">
        <v>92</v>
      </c>
      <c r="F451" s="13" t="s">
        <v>79</v>
      </c>
      <c r="G451" s="13" t="s">
        <v>120</v>
      </c>
      <c r="H451" s="16">
        <v>45281.0</v>
      </c>
      <c r="I451" s="14">
        <v>4.0</v>
      </c>
      <c r="J451" s="13" t="s">
        <v>40</v>
      </c>
      <c r="K451" s="13" t="s">
        <v>65</v>
      </c>
      <c r="L451" s="14">
        <v>3326.0</v>
      </c>
      <c r="M451" s="18" t="s">
        <v>99</v>
      </c>
      <c r="N451" s="20">
        <v>0.0</v>
      </c>
      <c r="O451" s="18">
        <v>43.4</v>
      </c>
      <c r="P451" s="20">
        <v>3.4</v>
      </c>
      <c r="Q451" s="16">
        <v>45370.0</v>
      </c>
      <c r="R451" s="16" t="s">
        <v>38</v>
      </c>
      <c r="S451" s="13" t="s">
        <v>55</v>
      </c>
      <c r="T451" s="13" t="s">
        <v>104</v>
      </c>
      <c r="U451" s="13" t="str">
        <f t="shared" si="1"/>
        <v>Moderate</v>
      </c>
      <c r="V451" s="13" t="str">
        <f t="shared" si="2"/>
        <v>Median or Above</v>
      </c>
      <c r="W451" s="13" t="str">
        <f t="shared" si="3"/>
        <v>0–12 Months</v>
      </c>
    </row>
    <row r="452" hidden="1">
      <c r="A452" s="13" t="s">
        <v>912</v>
      </c>
      <c r="B452" s="13" t="s">
        <v>345</v>
      </c>
      <c r="C452" s="14">
        <v>56.0</v>
      </c>
      <c r="D452" s="13" t="s">
        <v>69</v>
      </c>
      <c r="E452" s="13" t="s">
        <v>70</v>
      </c>
      <c r="F452" s="13" t="s">
        <v>37</v>
      </c>
      <c r="G452" s="13" t="s">
        <v>63</v>
      </c>
      <c r="H452" s="16">
        <v>45505.0</v>
      </c>
      <c r="I452" s="14">
        <v>43.0</v>
      </c>
      <c r="J452" s="13" t="s">
        <v>40</v>
      </c>
      <c r="K452" s="13" t="s">
        <v>65</v>
      </c>
      <c r="L452" s="14">
        <v>1526.0</v>
      </c>
      <c r="M452" s="18" t="s">
        <v>99</v>
      </c>
      <c r="N452" s="20">
        <v>1.0</v>
      </c>
      <c r="O452" s="18">
        <v>37.3</v>
      </c>
      <c r="P452" s="20">
        <v>3.0</v>
      </c>
      <c r="Q452" s="16">
        <v>46377.0</v>
      </c>
      <c r="R452" s="16" t="s">
        <v>992</v>
      </c>
      <c r="S452" s="13" t="s">
        <v>45</v>
      </c>
      <c r="T452" s="13" t="s">
        <v>75</v>
      </c>
      <c r="U452" s="13" t="str">
        <f t="shared" si="1"/>
        <v>Moderate</v>
      </c>
      <c r="V452" s="13" t="str">
        <f t="shared" si="2"/>
        <v>Median or Above</v>
      </c>
      <c r="W452" s="13" t="str">
        <f t="shared" si="3"/>
        <v>25–48 Months</v>
      </c>
    </row>
    <row r="453" hidden="1">
      <c r="A453" s="13" t="s">
        <v>993</v>
      </c>
      <c r="B453" s="13" t="s">
        <v>68</v>
      </c>
      <c r="C453" s="14">
        <v>58.0</v>
      </c>
      <c r="D453" s="13" t="s">
        <v>85</v>
      </c>
      <c r="E453" s="13" t="s">
        <v>92</v>
      </c>
      <c r="F453" s="13" t="s">
        <v>37</v>
      </c>
      <c r="G453" s="13" t="s">
        <v>128</v>
      </c>
      <c r="H453" s="16">
        <v>45562.0</v>
      </c>
      <c r="I453" s="14">
        <v>7.0</v>
      </c>
      <c r="J453" s="13" t="s">
        <v>53</v>
      </c>
      <c r="K453" s="13" t="s">
        <v>65</v>
      </c>
      <c r="L453" s="14">
        <v>1343.0</v>
      </c>
      <c r="M453" s="18" t="s">
        <v>164</v>
      </c>
      <c r="N453" s="20">
        <v>0.0</v>
      </c>
      <c r="O453" s="18">
        <v>27.7</v>
      </c>
      <c r="P453" s="20">
        <v>3.6</v>
      </c>
      <c r="Q453" s="16">
        <v>45700.0</v>
      </c>
      <c r="R453" s="16" t="s">
        <v>38</v>
      </c>
      <c r="S453" s="13" t="s">
        <v>55</v>
      </c>
      <c r="T453" s="13" t="s">
        <v>75</v>
      </c>
      <c r="U453" s="13" t="str">
        <f t="shared" si="1"/>
        <v>Moderate</v>
      </c>
      <c r="V453" s="13" t="str">
        <f t="shared" si="2"/>
        <v>Median or Above</v>
      </c>
      <c r="W453" s="13" t="str">
        <f t="shared" si="3"/>
        <v>0–12 Months</v>
      </c>
    </row>
    <row r="454" hidden="1">
      <c r="A454" s="13" t="s">
        <v>816</v>
      </c>
      <c r="B454" s="13" t="s">
        <v>340</v>
      </c>
      <c r="C454" s="14">
        <v>64.0</v>
      </c>
      <c r="D454" s="13" t="s">
        <v>85</v>
      </c>
      <c r="E454" s="13" t="s">
        <v>292</v>
      </c>
      <c r="F454" s="13" t="s">
        <v>37</v>
      </c>
      <c r="G454" s="13" t="s">
        <v>80</v>
      </c>
      <c r="H454" s="16">
        <v>45000.0</v>
      </c>
      <c r="I454" s="14">
        <v>19.0</v>
      </c>
      <c r="J454" s="13" t="s">
        <v>64</v>
      </c>
      <c r="K454" s="13" t="s">
        <v>41</v>
      </c>
      <c r="L454" s="14">
        <v>1586.0</v>
      </c>
      <c r="M454" s="18" t="s">
        <v>46</v>
      </c>
      <c r="N454" s="20">
        <v>2.0</v>
      </c>
      <c r="O454" s="18">
        <v>38.7</v>
      </c>
      <c r="P454" s="20">
        <v>4.3</v>
      </c>
      <c r="Q454" s="16">
        <v>45241.0</v>
      </c>
      <c r="R454" s="16" t="s">
        <v>38</v>
      </c>
      <c r="S454" s="13" t="s">
        <v>55</v>
      </c>
      <c r="T454" s="13" t="s">
        <v>66</v>
      </c>
      <c r="U454" s="13" t="str">
        <f t="shared" si="1"/>
        <v>Moderate</v>
      </c>
      <c r="V454" s="13" t="str">
        <f t="shared" si="2"/>
        <v>Median or Above</v>
      </c>
      <c r="W454" s="13" t="str">
        <f t="shared" si="3"/>
        <v>13–24 Months</v>
      </c>
    </row>
    <row r="455" hidden="1">
      <c r="A455" s="13" t="s">
        <v>537</v>
      </c>
      <c r="B455" s="13" t="s">
        <v>176</v>
      </c>
      <c r="C455" s="14">
        <v>46.0</v>
      </c>
      <c r="D455" s="13" t="s">
        <v>60</v>
      </c>
      <c r="E455" s="13" t="s">
        <v>61</v>
      </c>
      <c r="F455" s="13" t="s">
        <v>37</v>
      </c>
      <c r="G455" s="13" t="s">
        <v>80</v>
      </c>
      <c r="H455" s="16">
        <v>45535.0</v>
      </c>
      <c r="I455" s="14">
        <v>28.0</v>
      </c>
      <c r="J455" s="13" t="s">
        <v>64</v>
      </c>
      <c r="K455" s="13" t="s">
        <v>81</v>
      </c>
      <c r="L455" s="14">
        <v>1666.0</v>
      </c>
      <c r="M455" s="18" t="s">
        <v>99</v>
      </c>
      <c r="N455" s="20">
        <v>1.0</v>
      </c>
      <c r="O455" s="18">
        <v>35.7</v>
      </c>
      <c r="P455" s="20">
        <v>4.0</v>
      </c>
      <c r="Q455" s="16">
        <v>45854.0</v>
      </c>
      <c r="R455" s="16" t="s">
        <v>38</v>
      </c>
      <c r="S455" s="13" t="s">
        <v>55</v>
      </c>
      <c r="T455" s="13" t="s">
        <v>72</v>
      </c>
      <c r="U455" s="13" t="str">
        <f t="shared" si="1"/>
        <v>Moderate</v>
      </c>
      <c r="V455" s="13" t="str">
        <f t="shared" si="2"/>
        <v>Median or Above</v>
      </c>
      <c r="W455" s="13" t="str">
        <f t="shared" si="3"/>
        <v>25–48 Months</v>
      </c>
    </row>
    <row r="456" hidden="1">
      <c r="A456" s="13" t="s">
        <v>995</v>
      </c>
      <c r="B456" s="13" t="s">
        <v>351</v>
      </c>
      <c r="C456" s="14">
        <v>32.0</v>
      </c>
      <c r="D456" s="13" t="s">
        <v>85</v>
      </c>
      <c r="E456" s="13" t="s">
        <v>87</v>
      </c>
      <c r="F456" s="13" t="s">
        <v>62</v>
      </c>
      <c r="G456" s="13" t="s">
        <v>80</v>
      </c>
      <c r="H456" s="16">
        <v>45490.0</v>
      </c>
      <c r="I456" s="14">
        <v>43.0</v>
      </c>
      <c r="J456" s="13" t="s">
        <v>64</v>
      </c>
      <c r="K456" s="13" t="s">
        <v>41</v>
      </c>
      <c r="L456" s="14">
        <v>591.0</v>
      </c>
      <c r="M456" s="18" t="s">
        <v>99</v>
      </c>
      <c r="N456" s="20">
        <v>4.0</v>
      </c>
      <c r="O456" s="18">
        <v>22.0</v>
      </c>
      <c r="P456" s="20">
        <v>2.4</v>
      </c>
      <c r="Q456" s="16">
        <v>46557.0</v>
      </c>
      <c r="R456" s="16">
        <v>45697.0</v>
      </c>
      <c r="S456" s="13" t="s">
        <v>45</v>
      </c>
      <c r="T456" s="13" t="s">
        <v>75</v>
      </c>
      <c r="U456" s="13" t="str">
        <f t="shared" si="1"/>
        <v>Low</v>
      </c>
      <c r="V456" s="13" t="str">
        <f t="shared" si="2"/>
        <v>Below Median</v>
      </c>
      <c r="W456" s="13" t="str">
        <f t="shared" si="3"/>
        <v>25–48 Months</v>
      </c>
    </row>
    <row r="457" hidden="1">
      <c r="A457" s="13" t="s">
        <v>77</v>
      </c>
      <c r="B457" s="13" t="s">
        <v>393</v>
      </c>
      <c r="C457" s="14">
        <v>39.0</v>
      </c>
      <c r="D457" s="13" t="s">
        <v>85</v>
      </c>
      <c r="E457" s="13" t="s">
        <v>292</v>
      </c>
      <c r="F457" s="13" t="s">
        <v>37</v>
      </c>
      <c r="G457" s="13" t="s">
        <v>210</v>
      </c>
      <c r="H457" s="16">
        <v>45509.0</v>
      </c>
      <c r="I457" s="14">
        <v>10.0</v>
      </c>
      <c r="J457" s="13" t="s">
        <v>40</v>
      </c>
      <c r="K457" s="13" t="s">
        <v>81</v>
      </c>
      <c r="L457" s="14">
        <v>1700.0</v>
      </c>
      <c r="M457" s="18" t="s">
        <v>164</v>
      </c>
      <c r="N457" s="20">
        <v>1.0</v>
      </c>
      <c r="O457" s="18">
        <v>23.3</v>
      </c>
      <c r="P457" s="20">
        <v>3.8</v>
      </c>
      <c r="Q457" s="16">
        <v>45672.0</v>
      </c>
      <c r="R457" s="16" t="s">
        <v>38</v>
      </c>
      <c r="S457" s="13" t="s">
        <v>55</v>
      </c>
      <c r="T457" s="13" t="s">
        <v>47</v>
      </c>
      <c r="U457" s="13" t="str">
        <f t="shared" si="1"/>
        <v>Moderate</v>
      </c>
      <c r="V457" s="13" t="str">
        <f t="shared" si="2"/>
        <v>Below Median</v>
      </c>
      <c r="W457" s="13" t="str">
        <f t="shared" si="3"/>
        <v>0–12 Months</v>
      </c>
    </row>
    <row r="458" hidden="1">
      <c r="A458" s="13" t="s">
        <v>463</v>
      </c>
      <c r="B458" s="13" t="s">
        <v>470</v>
      </c>
      <c r="C458" s="14">
        <v>38.0</v>
      </c>
      <c r="D458" s="13" t="s">
        <v>60</v>
      </c>
      <c r="E458" s="13" t="s">
        <v>107</v>
      </c>
      <c r="F458" s="13" t="s">
        <v>37</v>
      </c>
      <c r="G458" s="13" t="s">
        <v>63</v>
      </c>
      <c r="H458" s="16">
        <v>45968.0</v>
      </c>
      <c r="I458" s="14">
        <v>39.0</v>
      </c>
      <c r="J458" s="13" t="s">
        <v>53</v>
      </c>
      <c r="K458" s="13" t="s">
        <v>65</v>
      </c>
      <c r="L458" s="14">
        <v>1115.0</v>
      </c>
      <c r="M458" s="18" t="s">
        <v>43</v>
      </c>
      <c r="N458" s="20">
        <v>0.0</v>
      </c>
      <c r="O458" s="18">
        <v>43.7</v>
      </c>
      <c r="P458" s="20">
        <v>3.7</v>
      </c>
      <c r="Q458" s="16">
        <v>46371.0</v>
      </c>
      <c r="R458" s="16" t="s">
        <v>38</v>
      </c>
      <c r="S458" s="13" t="s">
        <v>55</v>
      </c>
      <c r="T458" s="13" t="s">
        <v>66</v>
      </c>
      <c r="U458" s="13" t="str">
        <f t="shared" si="1"/>
        <v>Moderate</v>
      </c>
      <c r="V458" s="13" t="str">
        <f t="shared" si="2"/>
        <v>Median or Above</v>
      </c>
      <c r="W458" s="13" t="str">
        <f t="shared" si="3"/>
        <v>25–48 Months</v>
      </c>
    </row>
    <row r="459" hidden="1">
      <c r="A459" s="13" t="s">
        <v>998</v>
      </c>
      <c r="B459" s="13" t="s">
        <v>345</v>
      </c>
      <c r="C459" s="14">
        <v>20.0</v>
      </c>
      <c r="D459" s="13" t="s">
        <v>85</v>
      </c>
      <c r="E459" s="13" t="s">
        <v>292</v>
      </c>
      <c r="F459" s="13" t="s">
        <v>62</v>
      </c>
      <c r="G459" s="13" t="s">
        <v>210</v>
      </c>
      <c r="H459" s="16">
        <v>44841.0</v>
      </c>
      <c r="I459" s="14">
        <v>2.0</v>
      </c>
      <c r="J459" s="13" t="s">
        <v>40</v>
      </c>
      <c r="K459" s="13" t="s">
        <v>41</v>
      </c>
      <c r="L459" s="14">
        <v>641.0</v>
      </c>
      <c r="M459" s="18" t="s">
        <v>98</v>
      </c>
      <c r="N459" s="20">
        <v>1.0</v>
      </c>
      <c r="O459" s="18">
        <v>27.8</v>
      </c>
      <c r="P459" s="20">
        <v>5.0</v>
      </c>
      <c r="Q459" s="16">
        <v>44873.0</v>
      </c>
      <c r="R459" s="16" t="s">
        <v>38</v>
      </c>
      <c r="S459" s="13" t="s">
        <v>55</v>
      </c>
      <c r="T459" s="13" t="s">
        <v>72</v>
      </c>
      <c r="U459" s="13" t="str">
        <f t="shared" si="1"/>
        <v>High</v>
      </c>
      <c r="V459" s="13" t="str">
        <f t="shared" si="2"/>
        <v>Median or Above</v>
      </c>
      <c r="W459" s="13" t="str">
        <f t="shared" si="3"/>
        <v>0–12 Months</v>
      </c>
    </row>
    <row r="460" hidden="1">
      <c r="A460" s="13" t="s">
        <v>999</v>
      </c>
      <c r="B460" s="13" t="s">
        <v>215</v>
      </c>
      <c r="C460" s="14">
        <v>55.0</v>
      </c>
      <c r="D460" s="13" t="s">
        <v>60</v>
      </c>
      <c r="E460" s="13" t="s">
        <v>61</v>
      </c>
      <c r="F460" s="13" t="s">
        <v>79</v>
      </c>
      <c r="G460" s="13" t="s">
        <v>120</v>
      </c>
      <c r="H460" s="16">
        <v>45306.0</v>
      </c>
      <c r="I460" s="14">
        <v>43.0</v>
      </c>
      <c r="J460" s="13" t="s">
        <v>64</v>
      </c>
      <c r="K460" s="13" t="s">
        <v>81</v>
      </c>
      <c r="L460" s="14">
        <v>3930.0</v>
      </c>
      <c r="M460" s="18" t="s">
        <v>46</v>
      </c>
      <c r="N460" s="20">
        <v>2.0</v>
      </c>
      <c r="O460" s="18">
        <v>35.3</v>
      </c>
      <c r="P460" s="20">
        <v>4.0</v>
      </c>
      <c r="Q460" s="16">
        <v>45603.0</v>
      </c>
      <c r="R460" s="16" t="s">
        <v>38</v>
      </c>
      <c r="S460" s="13" t="s">
        <v>55</v>
      </c>
      <c r="T460" s="13" t="s">
        <v>104</v>
      </c>
      <c r="U460" s="13" t="str">
        <f t="shared" si="1"/>
        <v>Moderate</v>
      </c>
      <c r="V460" s="13" t="str">
        <f t="shared" si="2"/>
        <v>Median or Above</v>
      </c>
      <c r="W460" s="13" t="str">
        <f t="shared" si="3"/>
        <v>25–48 Months</v>
      </c>
    </row>
    <row r="461" hidden="1">
      <c r="A461" s="13" t="s">
        <v>1000</v>
      </c>
      <c r="B461" s="13" t="s">
        <v>801</v>
      </c>
      <c r="C461" s="14">
        <v>46.0</v>
      </c>
      <c r="D461" s="13" t="s">
        <v>60</v>
      </c>
      <c r="E461" s="13" t="s">
        <v>133</v>
      </c>
      <c r="F461" s="13" t="s">
        <v>79</v>
      </c>
      <c r="G461" s="13" t="s">
        <v>39</v>
      </c>
      <c r="H461" s="16">
        <v>45790.0</v>
      </c>
      <c r="I461" s="14">
        <v>8.0</v>
      </c>
      <c r="J461" s="13" t="s">
        <v>40</v>
      </c>
      <c r="K461" s="13" t="s">
        <v>41</v>
      </c>
      <c r="L461" s="14">
        <v>3703.0</v>
      </c>
      <c r="M461" s="18" t="s">
        <v>164</v>
      </c>
      <c r="N461" s="20">
        <v>0.0</v>
      </c>
      <c r="O461" s="18">
        <v>41.3</v>
      </c>
      <c r="P461" s="20">
        <v>4.1</v>
      </c>
      <c r="Q461" s="16">
        <v>45949.0</v>
      </c>
      <c r="R461" s="16" t="s">
        <v>1001</v>
      </c>
      <c r="S461" s="13" t="s">
        <v>55</v>
      </c>
      <c r="T461" s="13" t="s">
        <v>104</v>
      </c>
      <c r="U461" s="13" t="str">
        <f t="shared" si="1"/>
        <v>Moderate</v>
      </c>
      <c r="V461" s="13" t="str">
        <f t="shared" si="2"/>
        <v>Median or Above</v>
      </c>
      <c r="W461" s="13" t="str">
        <f t="shared" si="3"/>
        <v>0–12 Months</v>
      </c>
    </row>
    <row r="462" hidden="1">
      <c r="A462" s="13" t="s">
        <v>1002</v>
      </c>
      <c r="B462" s="13" t="s">
        <v>633</v>
      </c>
      <c r="C462" s="14">
        <v>49.0</v>
      </c>
      <c r="D462" s="13" t="s">
        <v>69</v>
      </c>
      <c r="E462" s="13" t="s">
        <v>177</v>
      </c>
      <c r="F462" s="13" t="s">
        <v>62</v>
      </c>
      <c r="G462" s="13" t="s">
        <v>210</v>
      </c>
      <c r="H462" s="16">
        <v>45769.0</v>
      </c>
      <c r="I462" s="14">
        <v>4.0</v>
      </c>
      <c r="J462" s="13" t="s">
        <v>64</v>
      </c>
      <c r="K462" s="13" t="s">
        <v>41</v>
      </c>
      <c r="L462" s="14">
        <v>690.0</v>
      </c>
      <c r="M462" s="18" t="s">
        <v>164</v>
      </c>
      <c r="N462" s="20">
        <v>0.0</v>
      </c>
      <c r="O462" s="18">
        <v>4.8</v>
      </c>
      <c r="P462" s="20">
        <v>4.2</v>
      </c>
      <c r="Q462" s="16">
        <v>45807.0</v>
      </c>
      <c r="R462" s="16" t="s">
        <v>38</v>
      </c>
      <c r="S462" s="13" t="s">
        <v>55</v>
      </c>
      <c r="T462" s="13" t="s">
        <v>72</v>
      </c>
      <c r="U462" s="13" t="str">
        <f t="shared" si="1"/>
        <v>Moderate</v>
      </c>
      <c r="V462" s="13" t="str">
        <f t="shared" si="2"/>
        <v>Below Median</v>
      </c>
      <c r="W462" s="13" t="str">
        <f t="shared" si="3"/>
        <v>0–12 Months</v>
      </c>
    </row>
    <row r="463" hidden="1">
      <c r="A463" s="13" t="s">
        <v>1003</v>
      </c>
      <c r="B463" s="13" t="s">
        <v>380</v>
      </c>
      <c r="C463" s="14">
        <v>54.0</v>
      </c>
      <c r="D463" s="13" t="s">
        <v>60</v>
      </c>
      <c r="E463" s="13" t="s">
        <v>133</v>
      </c>
      <c r="F463" s="13" t="s">
        <v>37</v>
      </c>
      <c r="G463" s="13" t="s">
        <v>128</v>
      </c>
      <c r="H463" s="16">
        <v>45193.0</v>
      </c>
      <c r="I463" s="14">
        <v>2.0</v>
      </c>
      <c r="J463" s="13" t="s">
        <v>53</v>
      </c>
      <c r="K463" s="13" t="s">
        <v>65</v>
      </c>
      <c r="L463" s="14">
        <v>1034.0</v>
      </c>
      <c r="M463" s="18" t="s">
        <v>46</v>
      </c>
      <c r="N463" s="20">
        <v>3.0</v>
      </c>
      <c r="O463" s="18">
        <v>27.4</v>
      </c>
      <c r="P463" s="20">
        <v>3.3</v>
      </c>
      <c r="Q463" s="16">
        <v>45209.0</v>
      </c>
      <c r="R463" s="16" t="s">
        <v>38</v>
      </c>
      <c r="S463" s="13" t="s">
        <v>55</v>
      </c>
      <c r="T463" s="13" t="s">
        <v>72</v>
      </c>
      <c r="U463" s="13" t="str">
        <f t="shared" si="1"/>
        <v>Moderate</v>
      </c>
      <c r="V463" s="13" t="str">
        <f t="shared" si="2"/>
        <v>Median or Above</v>
      </c>
      <c r="W463" s="13" t="str">
        <f t="shared" si="3"/>
        <v>0–12 Months</v>
      </c>
    </row>
    <row r="464" hidden="1">
      <c r="A464" s="13" t="s">
        <v>1004</v>
      </c>
      <c r="B464" s="13" t="s">
        <v>250</v>
      </c>
      <c r="C464" s="14">
        <v>29.0</v>
      </c>
      <c r="D464" s="13" t="s">
        <v>35</v>
      </c>
      <c r="E464" s="13" t="s">
        <v>51</v>
      </c>
      <c r="F464" s="13" t="s">
        <v>79</v>
      </c>
      <c r="G464" s="13" t="s">
        <v>120</v>
      </c>
      <c r="H464" s="16">
        <v>44578.0</v>
      </c>
      <c r="I464" s="14">
        <v>26.0</v>
      </c>
      <c r="J464" s="13" t="s">
        <v>53</v>
      </c>
      <c r="K464" s="13" t="s">
        <v>81</v>
      </c>
      <c r="L464" s="14">
        <v>2183.0</v>
      </c>
      <c r="M464" s="18" t="s">
        <v>43</v>
      </c>
      <c r="N464" s="20">
        <v>0.0</v>
      </c>
      <c r="O464" s="18">
        <v>41.4</v>
      </c>
      <c r="P464" s="20">
        <v>3.4</v>
      </c>
      <c r="Q464" s="16">
        <v>45362.0</v>
      </c>
      <c r="R464" s="16" t="s">
        <v>1005</v>
      </c>
      <c r="S464" s="13" t="s">
        <v>45</v>
      </c>
      <c r="T464" s="13" t="s">
        <v>72</v>
      </c>
      <c r="U464" s="13" t="str">
        <f t="shared" si="1"/>
        <v>Moderate</v>
      </c>
      <c r="V464" s="13" t="str">
        <f t="shared" si="2"/>
        <v>Median or Above</v>
      </c>
      <c r="W464" s="13" t="str">
        <f t="shared" si="3"/>
        <v>25–48 Months</v>
      </c>
    </row>
    <row r="465" hidden="1">
      <c r="A465" s="13" t="s">
        <v>1006</v>
      </c>
      <c r="B465" s="13" t="s">
        <v>336</v>
      </c>
      <c r="C465" s="14">
        <v>63.0</v>
      </c>
      <c r="D465" s="13" t="s">
        <v>85</v>
      </c>
      <c r="E465" s="13" t="s">
        <v>292</v>
      </c>
      <c r="F465" s="13" t="s">
        <v>62</v>
      </c>
      <c r="G465" s="13" t="s">
        <v>63</v>
      </c>
      <c r="H465" s="16">
        <v>45568.0</v>
      </c>
      <c r="I465" s="14">
        <v>31.0</v>
      </c>
      <c r="J465" s="13" t="s">
        <v>53</v>
      </c>
      <c r="K465" s="13" t="s">
        <v>81</v>
      </c>
      <c r="L465" s="14">
        <v>669.0</v>
      </c>
      <c r="M465" s="18" t="s">
        <v>43</v>
      </c>
      <c r="N465" s="20">
        <v>0.0</v>
      </c>
      <c r="O465" s="18">
        <v>20.3</v>
      </c>
      <c r="P465" s="20">
        <v>3.8</v>
      </c>
      <c r="Q465" s="16">
        <v>46475.0</v>
      </c>
      <c r="R465" s="16" t="s">
        <v>1007</v>
      </c>
      <c r="S465" s="13" t="s">
        <v>45</v>
      </c>
      <c r="T465" s="13" t="s">
        <v>104</v>
      </c>
      <c r="U465" s="13" t="str">
        <f t="shared" si="1"/>
        <v>Moderate</v>
      </c>
      <c r="V465" s="13" t="str">
        <f t="shared" si="2"/>
        <v>Below Median</v>
      </c>
      <c r="W465" s="13" t="str">
        <f t="shared" si="3"/>
        <v>25–48 Months</v>
      </c>
    </row>
    <row r="466" hidden="1">
      <c r="A466" s="13" t="s">
        <v>1008</v>
      </c>
      <c r="B466" s="13" t="s">
        <v>202</v>
      </c>
      <c r="C466" s="14" t="s">
        <v>38</v>
      </c>
      <c r="D466" s="13" t="s">
        <v>85</v>
      </c>
      <c r="E466" s="13" t="s">
        <v>92</v>
      </c>
      <c r="F466" s="13" t="s">
        <v>37</v>
      </c>
      <c r="G466" s="13" t="s">
        <v>63</v>
      </c>
      <c r="H466" s="16">
        <v>44668.0</v>
      </c>
      <c r="I466" s="14">
        <v>42.0</v>
      </c>
      <c r="J466" s="13" t="s">
        <v>64</v>
      </c>
      <c r="K466" s="13" t="s">
        <v>65</v>
      </c>
      <c r="L466" s="14">
        <v>1453.0</v>
      </c>
      <c r="M466" s="18" t="s">
        <v>98</v>
      </c>
      <c r="N466" s="20">
        <v>1.0</v>
      </c>
      <c r="O466" s="18">
        <v>30.7</v>
      </c>
      <c r="P466" s="20">
        <v>4.0</v>
      </c>
      <c r="Q466" s="16">
        <v>44956.0</v>
      </c>
      <c r="R466" s="16" t="s">
        <v>38</v>
      </c>
      <c r="S466" s="13" t="s">
        <v>55</v>
      </c>
      <c r="T466" s="13" t="s">
        <v>72</v>
      </c>
      <c r="U466" s="13" t="str">
        <f t="shared" si="1"/>
        <v>Moderate</v>
      </c>
      <c r="V466" s="13" t="str">
        <f t="shared" si="2"/>
        <v>Median or Above</v>
      </c>
      <c r="W466" s="13" t="str">
        <f t="shared" si="3"/>
        <v>25–48 Months</v>
      </c>
    </row>
    <row r="467" hidden="1">
      <c r="A467" s="13" t="s">
        <v>1009</v>
      </c>
      <c r="B467" s="13" t="s">
        <v>190</v>
      </c>
      <c r="C467" s="14">
        <v>35.0</v>
      </c>
      <c r="D467" s="13" t="s">
        <v>35</v>
      </c>
      <c r="E467" s="13" t="s">
        <v>36</v>
      </c>
      <c r="F467" s="13" t="s">
        <v>62</v>
      </c>
      <c r="G467" s="13" t="s">
        <v>80</v>
      </c>
      <c r="H467" s="16">
        <v>45891.0</v>
      </c>
      <c r="I467" s="14">
        <v>9.0</v>
      </c>
      <c r="J467" s="13" t="s">
        <v>40</v>
      </c>
      <c r="K467" s="13" t="s">
        <v>81</v>
      </c>
      <c r="L467" s="14">
        <v>850.0</v>
      </c>
      <c r="M467" s="18" t="s">
        <v>98</v>
      </c>
      <c r="N467" s="20">
        <v>0.0</v>
      </c>
      <c r="O467" s="18">
        <v>12.7</v>
      </c>
      <c r="P467" s="20">
        <v>3.1</v>
      </c>
      <c r="Q467" s="16">
        <v>46064.0</v>
      </c>
      <c r="R467" s="16">
        <v>46300.0</v>
      </c>
      <c r="S467" s="13" t="s">
        <v>45</v>
      </c>
      <c r="T467" s="13" t="s">
        <v>66</v>
      </c>
      <c r="U467" s="13" t="str">
        <f t="shared" si="1"/>
        <v>Moderate</v>
      </c>
      <c r="V467" s="13" t="str">
        <f t="shared" si="2"/>
        <v>Below Median</v>
      </c>
      <c r="W467" s="13" t="str">
        <f t="shared" si="3"/>
        <v>0–12 Months</v>
      </c>
    </row>
    <row r="468" hidden="1">
      <c r="A468" s="13" t="s">
        <v>1011</v>
      </c>
      <c r="B468" s="13" t="s">
        <v>172</v>
      </c>
      <c r="C468" s="14">
        <v>24.0</v>
      </c>
      <c r="D468" s="13" t="s">
        <v>60</v>
      </c>
      <c r="E468" s="13" t="s">
        <v>97</v>
      </c>
      <c r="F468" s="13" t="s">
        <v>62</v>
      </c>
      <c r="G468" s="13" t="s">
        <v>210</v>
      </c>
      <c r="H468" s="16">
        <v>44934.0</v>
      </c>
      <c r="I468" s="14">
        <v>26.0</v>
      </c>
      <c r="J468" s="13" t="s">
        <v>53</v>
      </c>
      <c r="K468" s="13" t="s">
        <v>41</v>
      </c>
      <c r="L468" s="14">
        <v>791.0</v>
      </c>
      <c r="M468" s="18" t="s">
        <v>99</v>
      </c>
      <c r="N468" s="20">
        <v>1.0</v>
      </c>
      <c r="O468" s="18">
        <v>16.0</v>
      </c>
      <c r="P468" s="20">
        <v>3.5</v>
      </c>
      <c r="Q468" s="16">
        <v>44967.0</v>
      </c>
      <c r="R468" s="16" t="s">
        <v>1012</v>
      </c>
      <c r="S468" s="13" t="s">
        <v>45</v>
      </c>
      <c r="T468" s="13" t="s">
        <v>72</v>
      </c>
      <c r="U468" s="13" t="str">
        <f t="shared" si="1"/>
        <v>Moderate</v>
      </c>
      <c r="V468" s="13" t="str">
        <f t="shared" si="2"/>
        <v>Below Median</v>
      </c>
      <c r="W468" s="13" t="str">
        <f t="shared" si="3"/>
        <v>25–48 Months</v>
      </c>
    </row>
    <row r="469" hidden="1">
      <c r="A469" s="13" t="s">
        <v>595</v>
      </c>
      <c r="B469" s="13" t="s">
        <v>202</v>
      </c>
      <c r="C469" s="14">
        <v>68.0</v>
      </c>
      <c r="D469" s="13" t="s">
        <v>69</v>
      </c>
      <c r="E469" s="13" t="s">
        <v>70</v>
      </c>
      <c r="F469" s="13" t="s">
        <v>62</v>
      </c>
      <c r="G469" s="13" t="s">
        <v>39</v>
      </c>
      <c r="H469" s="16">
        <v>45791.0</v>
      </c>
      <c r="I469" s="14">
        <v>17.0</v>
      </c>
      <c r="J469" s="13" t="s">
        <v>53</v>
      </c>
      <c r="K469" s="13" t="s">
        <v>81</v>
      </c>
      <c r="L469" s="14">
        <v>687.0</v>
      </c>
      <c r="M469" s="18" t="s">
        <v>46</v>
      </c>
      <c r="N469" s="20">
        <v>0.0</v>
      </c>
      <c r="O469" s="18">
        <v>9.9</v>
      </c>
      <c r="P469" s="20">
        <v>3.0</v>
      </c>
      <c r="Q469" s="16">
        <v>45921.0</v>
      </c>
      <c r="R469" s="16" t="s">
        <v>38</v>
      </c>
      <c r="S469" s="13" t="s">
        <v>55</v>
      </c>
      <c r="T469" s="13" t="s">
        <v>75</v>
      </c>
      <c r="U469" s="13" t="str">
        <f t="shared" si="1"/>
        <v>Moderate</v>
      </c>
      <c r="V469" s="13" t="str">
        <f t="shared" si="2"/>
        <v>Below Median</v>
      </c>
      <c r="W469" s="13" t="str">
        <f t="shared" si="3"/>
        <v>13–24 Months</v>
      </c>
    </row>
    <row r="470" hidden="1">
      <c r="A470" s="13" t="s">
        <v>1015</v>
      </c>
      <c r="B470" s="13" t="s">
        <v>250</v>
      </c>
      <c r="C470" s="14">
        <v>99.0</v>
      </c>
      <c r="D470" s="13" t="s">
        <v>69</v>
      </c>
      <c r="E470" s="13" t="s">
        <v>187</v>
      </c>
      <c r="F470" s="13" t="s">
        <v>62</v>
      </c>
      <c r="G470" s="13" t="s">
        <v>128</v>
      </c>
      <c r="H470" s="16">
        <v>45107.0</v>
      </c>
      <c r="I470" s="14">
        <v>19.0</v>
      </c>
      <c r="J470" s="13" t="s">
        <v>40</v>
      </c>
      <c r="K470" s="13" t="s">
        <v>65</v>
      </c>
      <c r="L470" s="14">
        <v>694.0</v>
      </c>
      <c r="M470" s="18" t="s">
        <v>46</v>
      </c>
      <c r="N470" s="20">
        <v>0.0</v>
      </c>
      <c r="O470" s="18">
        <v>29.0</v>
      </c>
      <c r="P470" s="20">
        <v>2.7</v>
      </c>
      <c r="Q470" s="16">
        <v>45328.0</v>
      </c>
      <c r="R470" s="16">
        <v>45446.0</v>
      </c>
      <c r="S470" s="13" t="s">
        <v>45</v>
      </c>
      <c r="T470" s="13" t="s">
        <v>47</v>
      </c>
      <c r="U470" s="13" t="str">
        <f t="shared" si="1"/>
        <v>Low</v>
      </c>
      <c r="V470" s="13" t="str">
        <f t="shared" si="2"/>
        <v>Median or Above</v>
      </c>
      <c r="W470" s="13" t="str">
        <f t="shared" si="3"/>
        <v>13–24 Months</v>
      </c>
    </row>
    <row r="471" hidden="1">
      <c r="A471" s="13" t="s">
        <v>956</v>
      </c>
      <c r="B471" s="13" t="s">
        <v>190</v>
      </c>
      <c r="C471" s="14">
        <v>39.0</v>
      </c>
      <c r="D471" s="13" t="s">
        <v>60</v>
      </c>
      <c r="E471" s="13" t="s">
        <v>107</v>
      </c>
      <c r="F471" s="13" t="s">
        <v>62</v>
      </c>
      <c r="G471" s="13" t="s">
        <v>120</v>
      </c>
      <c r="H471" s="16">
        <v>45070.0</v>
      </c>
      <c r="I471" s="14">
        <v>24.0</v>
      </c>
      <c r="J471" s="13" t="s">
        <v>64</v>
      </c>
      <c r="K471" s="13" t="s">
        <v>65</v>
      </c>
      <c r="L471" s="14">
        <v>830.0</v>
      </c>
      <c r="M471" s="18" t="s">
        <v>43</v>
      </c>
      <c r="N471" s="20">
        <v>0.0</v>
      </c>
      <c r="O471" s="18">
        <v>15.0</v>
      </c>
      <c r="P471" s="20">
        <v>4.0</v>
      </c>
      <c r="Q471" s="16">
        <v>45090.0</v>
      </c>
      <c r="R471" s="16" t="s">
        <v>38</v>
      </c>
      <c r="S471" s="13" t="s">
        <v>55</v>
      </c>
      <c r="T471" s="13" t="s">
        <v>47</v>
      </c>
      <c r="U471" s="13" t="str">
        <f t="shared" si="1"/>
        <v>Moderate</v>
      </c>
      <c r="V471" s="13" t="str">
        <f t="shared" si="2"/>
        <v>Below Median</v>
      </c>
      <c r="W471" s="13" t="str">
        <f t="shared" si="3"/>
        <v>13–24 Months</v>
      </c>
    </row>
    <row r="472" hidden="1">
      <c r="A472" s="13" t="s">
        <v>1017</v>
      </c>
      <c r="B472" s="13" t="s">
        <v>257</v>
      </c>
      <c r="C472" s="14">
        <v>57.0</v>
      </c>
      <c r="D472" s="13" t="s">
        <v>85</v>
      </c>
      <c r="E472" s="13" t="s">
        <v>38</v>
      </c>
      <c r="F472" s="13" t="s">
        <v>37</v>
      </c>
      <c r="G472" s="13" t="s">
        <v>210</v>
      </c>
      <c r="H472" s="16">
        <v>44711.0</v>
      </c>
      <c r="I472" s="14">
        <v>7.0</v>
      </c>
      <c r="J472" s="13" t="s">
        <v>64</v>
      </c>
      <c r="K472" s="13" t="s">
        <v>81</v>
      </c>
      <c r="L472" s="14">
        <v>1339.0</v>
      </c>
      <c r="M472" s="18" t="s">
        <v>43</v>
      </c>
      <c r="N472" s="20">
        <v>1.0</v>
      </c>
      <c r="O472" s="18">
        <v>12.7</v>
      </c>
      <c r="P472" s="20">
        <v>3.6</v>
      </c>
      <c r="Q472" s="16">
        <v>44781.0</v>
      </c>
      <c r="R472" s="16" t="s">
        <v>38</v>
      </c>
      <c r="S472" s="13" t="s">
        <v>55</v>
      </c>
      <c r="T472" s="13" t="s">
        <v>104</v>
      </c>
      <c r="U472" s="13" t="str">
        <f t="shared" si="1"/>
        <v>Moderate</v>
      </c>
      <c r="V472" s="13" t="str">
        <f t="shared" si="2"/>
        <v>Below Median</v>
      </c>
      <c r="W472" s="13" t="str">
        <f t="shared" si="3"/>
        <v>0–12 Months</v>
      </c>
    </row>
    <row r="473" hidden="1">
      <c r="A473" s="13" t="s">
        <v>479</v>
      </c>
      <c r="B473" s="13" t="s">
        <v>78</v>
      </c>
      <c r="C473" s="14">
        <v>51.0</v>
      </c>
      <c r="D473" s="13" t="s">
        <v>60</v>
      </c>
      <c r="E473" s="13" t="s">
        <v>133</v>
      </c>
      <c r="F473" s="13" t="s">
        <v>62</v>
      </c>
      <c r="G473" s="13" t="s">
        <v>120</v>
      </c>
      <c r="H473" s="16">
        <v>45936.0</v>
      </c>
      <c r="I473" s="14">
        <v>24.0</v>
      </c>
      <c r="J473" s="13" t="s">
        <v>53</v>
      </c>
      <c r="K473" s="13" t="s">
        <v>65</v>
      </c>
      <c r="L473" s="14">
        <v>785.0</v>
      </c>
      <c r="M473" s="18" t="s">
        <v>98</v>
      </c>
      <c r="N473" s="20">
        <v>0.0</v>
      </c>
      <c r="O473" s="18">
        <v>20.8</v>
      </c>
      <c r="P473" s="20">
        <v>2.8</v>
      </c>
      <c r="Q473" s="16">
        <v>46129.0</v>
      </c>
      <c r="R473" s="16" t="s">
        <v>38</v>
      </c>
      <c r="S473" s="13" t="s">
        <v>55</v>
      </c>
      <c r="T473" s="13" t="s">
        <v>75</v>
      </c>
      <c r="U473" s="13" t="str">
        <f t="shared" si="1"/>
        <v>Low</v>
      </c>
      <c r="V473" s="13" t="str">
        <f t="shared" si="2"/>
        <v>Below Median</v>
      </c>
      <c r="W473" s="13" t="str">
        <f t="shared" si="3"/>
        <v>13–24 Months</v>
      </c>
    </row>
    <row r="474" hidden="1">
      <c r="A474" s="13" t="s">
        <v>677</v>
      </c>
      <c r="B474" s="13" t="s">
        <v>633</v>
      </c>
      <c r="C474" s="14">
        <v>37.0</v>
      </c>
      <c r="D474" s="13" t="s">
        <v>35</v>
      </c>
      <c r="E474" s="13" t="s">
        <v>161</v>
      </c>
      <c r="F474" s="13" t="s">
        <v>37</v>
      </c>
      <c r="G474" s="13" t="s">
        <v>120</v>
      </c>
      <c r="H474" s="16">
        <v>44852.0</v>
      </c>
      <c r="I474" s="14">
        <v>17.0</v>
      </c>
      <c r="J474" s="13" t="s">
        <v>53</v>
      </c>
      <c r="K474" s="13" t="s">
        <v>81</v>
      </c>
      <c r="L474" s="14">
        <v>1129.0</v>
      </c>
      <c r="M474" s="18" t="s">
        <v>98</v>
      </c>
      <c r="N474" s="20">
        <v>1.0</v>
      </c>
      <c r="O474" s="18">
        <v>12.9</v>
      </c>
      <c r="P474" s="20">
        <v>3.3</v>
      </c>
      <c r="Q474" s="16">
        <v>45149.0</v>
      </c>
      <c r="R474" s="16" t="s">
        <v>38</v>
      </c>
      <c r="S474" s="13" t="s">
        <v>55</v>
      </c>
      <c r="T474" s="13" t="s">
        <v>72</v>
      </c>
      <c r="U474" s="13" t="str">
        <f t="shared" si="1"/>
        <v>Moderate</v>
      </c>
      <c r="V474" s="13" t="str">
        <f t="shared" si="2"/>
        <v>Below Median</v>
      </c>
      <c r="W474" s="13" t="str">
        <f t="shared" si="3"/>
        <v>13–24 Months</v>
      </c>
    </row>
    <row r="475" hidden="1">
      <c r="A475" s="13" t="s">
        <v>803</v>
      </c>
      <c r="B475" s="13" t="s">
        <v>470</v>
      </c>
      <c r="C475" s="14">
        <v>28.0</v>
      </c>
      <c r="D475" s="13" t="s">
        <v>60</v>
      </c>
      <c r="E475" s="13" t="s">
        <v>133</v>
      </c>
      <c r="F475" s="13" t="s">
        <v>79</v>
      </c>
      <c r="G475" s="13" t="s">
        <v>210</v>
      </c>
      <c r="H475" s="16">
        <v>45568.0</v>
      </c>
      <c r="I475" s="14">
        <v>10.0</v>
      </c>
      <c r="J475" s="13" t="s">
        <v>64</v>
      </c>
      <c r="K475" s="13" t="s">
        <v>41</v>
      </c>
      <c r="L475" s="14">
        <v>3633.0</v>
      </c>
      <c r="M475" s="18" t="s">
        <v>99</v>
      </c>
      <c r="N475" s="20">
        <v>3.0</v>
      </c>
      <c r="O475" s="18">
        <v>42.3</v>
      </c>
      <c r="P475" s="20">
        <v>5.0</v>
      </c>
      <c r="Q475" s="16">
        <v>45803.0</v>
      </c>
      <c r="R475" s="16" t="s">
        <v>38</v>
      </c>
      <c r="S475" s="13" t="s">
        <v>55</v>
      </c>
      <c r="T475" s="13" t="s">
        <v>47</v>
      </c>
      <c r="U475" s="13" t="str">
        <f t="shared" si="1"/>
        <v>High</v>
      </c>
      <c r="V475" s="13" t="str">
        <f t="shared" si="2"/>
        <v>Median or Above</v>
      </c>
      <c r="W475" s="13" t="str">
        <f t="shared" si="3"/>
        <v>0–12 Months</v>
      </c>
    </row>
    <row r="476" hidden="1">
      <c r="A476" s="13" t="s">
        <v>1018</v>
      </c>
      <c r="B476" s="13" t="s">
        <v>645</v>
      </c>
      <c r="C476" s="14">
        <v>48.0</v>
      </c>
      <c r="D476" s="13" t="s">
        <v>85</v>
      </c>
      <c r="E476" s="13" t="s">
        <v>92</v>
      </c>
      <c r="F476" s="13" t="s">
        <v>37</v>
      </c>
      <c r="G476" s="13" t="s">
        <v>120</v>
      </c>
      <c r="H476" s="16">
        <v>45455.0</v>
      </c>
      <c r="I476" s="14">
        <v>8.0</v>
      </c>
      <c r="J476" s="13" t="s">
        <v>53</v>
      </c>
      <c r="K476" s="13" t="s">
        <v>41</v>
      </c>
      <c r="L476" s="14">
        <v>752.0</v>
      </c>
      <c r="M476" s="18" t="s">
        <v>99</v>
      </c>
      <c r="N476" s="20">
        <v>1.0</v>
      </c>
      <c r="O476" s="18">
        <v>17.6</v>
      </c>
      <c r="P476" s="20">
        <v>2.4</v>
      </c>
      <c r="Q476" s="16">
        <v>45556.0</v>
      </c>
      <c r="R476" s="16">
        <v>45901.0</v>
      </c>
      <c r="S476" s="13" t="s">
        <v>45</v>
      </c>
      <c r="T476" s="13" t="s">
        <v>47</v>
      </c>
      <c r="U476" s="13" t="str">
        <f t="shared" si="1"/>
        <v>Low</v>
      </c>
      <c r="V476" s="13" t="str">
        <f t="shared" si="2"/>
        <v>Below Median</v>
      </c>
      <c r="W476" s="13" t="str">
        <f t="shared" si="3"/>
        <v>0–12 Months</v>
      </c>
    </row>
    <row r="477" hidden="1">
      <c r="A477" s="13" t="s">
        <v>1020</v>
      </c>
      <c r="B477" s="13" t="s">
        <v>424</v>
      </c>
      <c r="C477" s="14">
        <v>52.0</v>
      </c>
      <c r="D477" s="13" t="s">
        <v>60</v>
      </c>
      <c r="E477" s="13" t="s">
        <v>61</v>
      </c>
      <c r="F477" s="13" t="s">
        <v>62</v>
      </c>
      <c r="G477" s="13" t="s">
        <v>210</v>
      </c>
      <c r="H477" s="16">
        <v>44931.0</v>
      </c>
      <c r="I477" s="14">
        <v>11.0</v>
      </c>
      <c r="J477" s="13" t="s">
        <v>64</v>
      </c>
      <c r="K477" s="13" t="s">
        <v>41</v>
      </c>
      <c r="L477" s="14">
        <v>638.0</v>
      </c>
      <c r="M477" s="18" t="s">
        <v>98</v>
      </c>
      <c r="N477" s="20">
        <v>0.0</v>
      </c>
      <c r="O477" s="18">
        <v>13.8</v>
      </c>
      <c r="P477" s="20">
        <v>1.9</v>
      </c>
      <c r="Q477" s="16">
        <v>45280.0</v>
      </c>
      <c r="R477" s="16" t="s">
        <v>1021</v>
      </c>
      <c r="S477" s="13" t="s">
        <v>45</v>
      </c>
      <c r="T477" s="13" t="s">
        <v>75</v>
      </c>
      <c r="U477" s="13" t="str">
        <f t="shared" si="1"/>
        <v>Low</v>
      </c>
      <c r="V477" s="13" t="str">
        <f t="shared" si="2"/>
        <v>Below Median</v>
      </c>
      <c r="W477" s="13" t="str">
        <f t="shared" si="3"/>
        <v>0–12 Months</v>
      </c>
    </row>
    <row r="478" hidden="1">
      <c r="A478" s="13" t="s">
        <v>473</v>
      </c>
      <c r="B478" s="13" t="s">
        <v>340</v>
      </c>
      <c r="C478" s="14">
        <v>39.0</v>
      </c>
      <c r="D478" s="13" t="s">
        <v>69</v>
      </c>
      <c r="E478" s="13" t="s">
        <v>119</v>
      </c>
      <c r="F478" s="13" t="s">
        <v>37</v>
      </c>
      <c r="G478" s="13" t="s">
        <v>210</v>
      </c>
      <c r="H478" s="16">
        <v>44615.0</v>
      </c>
      <c r="I478" s="14">
        <v>19.0</v>
      </c>
      <c r="J478" s="13" t="s">
        <v>40</v>
      </c>
      <c r="K478" s="13" t="s">
        <v>41</v>
      </c>
      <c r="L478" s="14">
        <v>1123.0</v>
      </c>
      <c r="M478" s="18" t="s">
        <v>43</v>
      </c>
      <c r="N478" s="20" t="s">
        <v>38</v>
      </c>
      <c r="O478" s="18">
        <v>43.2</v>
      </c>
      <c r="P478" s="20">
        <v>5.0</v>
      </c>
      <c r="Q478" s="16">
        <v>45007.0</v>
      </c>
      <c r="R478" s="16" t="s">
        <v>38</v>
      </c>
      <c r="S478" s="13" t="s">
        <v>55</v>
      </c>
      <c r="T478" s="13" t="s">
        <v>104</v>
      </c>
      <c r="U478" s="13" t="str">
        <f t="shared" si="1"/>
        <v>High</v>
      </c>
      <c r="V478" s="13" t="str">
        <f t="shared" si="2"/>
        <v>Median or Above</v>
      </c>
      <c r="W478" s="13" t="str">
        <f t="shared" si="3"/>
        <v>13–24 Months</v>
      </c>
    </row>
    <row r="479" hidden="1">
      <c r="A479" s="13" t="s">
        <v>1022</v>
      </c>
      <c r="B479" s="13" t="s">
        <v>68</v>
      </c>
      <c r="C479" s="14">
        <v>32.0</v>
      </c>
      <c r="D479" s="13" t="s">
        <v>85</v>
      </c>
      <c r="E479" s="13" t="s">
        <v>87</v>
      </c>
      <c r="F479" s="13" t="s">
        <v>37</v>
      </c>
      <c r="G479" s="13" t="s">
        <v>210</v>
      </c>
      <c r="H479" s="16">
        <v>45778.0</v>
      </c>
      <c r="I479" s="14">
        <v>43.0</v>
      </c>
      <c r="J479" s="13" t="s">
        <v>40</v>
      </c>
      <c r="K479" s="13" t="s">
        <v>81</v>
      </c>
      <c r="L479" s="14">
        <v>1670.0</v>
      </c>
      <c r="M479" s="18" t="s">
        <v>98</v>
      </c>
      <c r="N479" s="20">
        <v>0.0</v>
      </c>
      <c r="O479" s="18">
        <v>20.9</v>
      </c>
      <c r="P479" s="20">
        <v>4.1</v>
      </c>
      <c r="Q479" s="16">
        <v>46715.0</v>
      </c>
      <c r="R479" s="16" t="s">
        <v>38</v>
      </c>
      <c r="S479" s="13" t="s">
        <v>55</v>
      </c>
      <c r="T479" s="13" t="s">
        <v>72</v>
      </c>
      <c r="U479" s="13" t="str">
        <f t="shared" si="1"/>
        <v>Moderate</v>
      </c>
      <c r="V479" s="13" t="str">
        <f t="shared" si="2"/>
        <v>Below Median</v>
      </c>
      <c r="W479" s="13" t="str">
        <f t="shared" si="3"/>
        <v>25–48 Months</v>
      </c>
    </row>
    <row r="480" hidden="1">
      <c r="A480" s="13" t="s">
        <v>353</v>
      </c>
      <c r="B480" s="13" t="s">
        <v>303</v>
      </c>
      <c r="C480" s="14">
        <v>32.0</v>
      </c>
      <c r="D480" s="13" t="s">
        <v>35</v>
      </c>
      <c r="E480" s="13" t="s">
        <v>36</v>
      </c>
      <c r="F480" s="13" t="s">
        <v>37</v>
      </c>
      <c r="G480" s="13" t="s">
        <v>80</v>
      </c>
      <c r="H480" s="16">
        <v>45343.0</v>
      </c>
      <c r="I480" s="14">
        <v>6.0</v>
      </c>
      <c r="J480" s="13" t="s">
        <v>40</v>
      </c>
      <c r="K480" s="13" t="s">
        <v>65</v>
      </c>
      <c r="L480" s="14">
        <v>1244.0</v>
      </c>
      <c r="M480" s="18" t="s">
        <v>99</v>
      </c>
      <c r="N480" s="20">
        <v>0.0</v>
      </c>
      <c r="O480" s="18">
        <v>23.1</v>
      </c>
      <c r="P480" s="20">
        <v>3.2</v>
      </c>
      <c r="Q480" s="16">
        <v>45455.0</v>
      </c>
      <c r="R480" s="16" t="s">
        <v>38</v>
      </c>
      <c r="S480" s="13" t="s">
        <v>55</v>
      </c>
      <c r="T480" s="13" t="s">
        <v>75</v>
      </c>
      <c r="U480" s="13" t="str">
        <f t="shared" si="1"/>
        <v>Moderate</v>
      </c>
      <c r="V480" s="13" t="str">
        <f t="shared" si="2"/>
        <v>Below Median</v>
      </c>
      <c r="W480" s="13" t="str">
        <f t="shared" si="3"/>
        <v>0–12 Months</v>
      </c>
    </row>
    <row r="481" hidden="1">
      <c r="A481" s="13" t="s">
        <v>674</v>
      </c>
      <c r="B481" s="13" t="s">
        <v>342</v>
      </c>
      <c r="C481" s="14">
        <v>51.0</v>
      </c>
      <c r="D481" s="13" t="s">
        <v>69</v>
      </c>
      <c r="E481" s="13" t="s">
        <v>70</v>
      </c>
      <c r="F481" s="13" t="s">
        <v>62</v>
      </c>
      <c r="G481" s="13" t="s">
        <v>128</v>
      </c>
      <c r="H481" s="16">
        <v>45447.0</v>
      </c>
      <c r="I481" s="14">
        <v>48.0</v>
      </c>
      <c r="J481" s="13" t="s">
        <v>40</v>
      </c>
      <c r="K481" s="13" t="s">
        <v>65</v>
      </c>
      <c r="L481" s="14">
        <v>657.0</v>
      </c>
      <c r="M481" s="18" t="s">
        <v>98</v>
      </c>
      <c r="N481" s="20">
        <v>3.0</v>
      </c>
      <c r="O481" s="18">
        <v>27.7</v>
      </c>
      <c r="P481" s="20">
        <v>0.0</v>
      </c>
      <c r="Q481" s="16">
        <v>45725.0</v>
      </c>
      <c r="R481" s="16">
        <v>46272.0</v>
      </c>
      <c r="S481" s="13" t="s">
        <v>45</v>
      </c>
      <c r="T481" s="13" t="s">
        <v>75</v>
      </c>
      <c r="U481" s="13" t="str">
        <f t="shared" si="1"/>
        <v>Low</v>
      </c>
      <c r="V481" s="13" t="str">
        <f t="shared" si="2"/>
        <v>Median or Above</v>
      </c>
      <c r="W481" s="13" t="str">
        <f t="shared" si="3"/>
        <v>25–48 Months</v>
      </c>
    </row>
    <row r="482" hidden="1">
      <c r="A482" s="13" t="s">
        <v>1024</v>
      </c>
      <c r="B482" s="13" t="s">
        <v>303</v>
      </c>
      <c r="C482" s="14">
        <v>51.0</v>
      </c>
      <c r="D482" s="13" t="s">
        <v>85</v>
      </c>
      <c r="E482" s="13" t="s">
        <v>92</v>
      </c>
      <c r="F482" s="13" t="s">
        <v>37</v>
      </c>
      <c r="G482" s="13" t="s">
        <v>120</v>
      </c>
      <c r="H482" s="16">
        <v>44746.0</v>
      </c>
      <c r="I482" s="14">
        <v>28.0</v>
      </c>
      <c r="J482" s="13" t="s">
        <v>53</v>
      </c>
      <c r="K482" s="13" t="s">
        <v>65</v>
      </c>
      <c r="L482" s="14">
        <v>1189.0</v>
      </c>
      <c r="M482" s="18" t="s">
        <v>43</v>
      </c>
      <c r="N482" s="20">
        <v>0.0</v>
      </c>
      <c r="O482" s="18">
        <v>19.2</v>
      </c>
      <c r="P482" s="20">
        <v>4.3</v>
      </c>
      <c r="Q482" s="16">
        <v>45401.0</v>
      </c>
      <c r="R482" s="16" t="s">
        <v>1025</v>
      </c>
      <c r="S482" s="13" t="s">
        <v>45</v>
      </c>
      <c r="T482" s="13" t="s">
        <v>47</v>
      </c>
      <c r="U482" s="13" t="str">
        <f t="shared" si="1"/>
        <v>Moderate</v>
      </c>
      <c r="V482" s="13" t="str">
        <f t="shared" si="2"/>
        <v>Below Median</v>
      </c>
      <c r="W482" s="13" t="str">
        <f t="shared" si="3"/>
        <v>25–48 Months</v>
      </c>
    </row>
    <row r="483" hidden="1">
      <c r="A483" s="13" t="s">
        <v>251</v>
      </c>
      <c r="B483" s="13" t="s">
        <v>78</v>
      </c>
      <c r="C483" s="14">
        <v>27.0</v>
      </c>
      <c r="D483" s="13" t="s">
        <v>69</v>
      </c>
      <c r="E483" s="13" t="s">
        <v>119</v>
      </c>
      <c r="F483" s="13" t="s">
        <v>37</v>
      </c>
      <c r="G483" s="13" t="s">
        <v>52</v>
      </c>
      <c r="H483" s="16">
        <v>45636.0</v>
      </c>
      <c r="I483" s="14">
        <v>6.0</v>
      </c>
      <c r="J483" s="13" t="s">
        <v>64</v>
      </c>
      <c r="K483" s="13" t="s">
        <v>65</v>
      </c>
      <c r="L483" s="14">
        <v>1080.0</v>
      </c>
      <c r="M483" s="18" t="s">
        <v>98</v>
      </c>
      <c r="N483" s="20">
        <v>1.0</v>
      </c>
      <c r="O483" s="18">
        <v>32.3</v>
      </c>
      <c r="P483" s="20">
        <v>4.8</v>
      </c>
      <c r="Q483" s="16">
        <v>45768.0</v>
      </c>
      <c r="R483" s="16" t="s">
        <v>38</v>
      </c>
      <c r="S483" s="13" t="s">
        <v>55</v>
      </c>
      <c r="T483" s="13" t="s">
        <v>47</v>
      </c>
      <c r="U483" s="13" t="str">
        <f t="shared" si="1"/>
        <v>Moderate</v>
      </c>
      <c r="V483" s="13" t="str">
        <f t="shared" si="2"/>
        <v>Median or Above</v>
      </c>
      <c r="W483" s="13" t="str">
        <f t="shared" si="3"/>
        <v>0–12 Months</v>
      </c>
    </row>
    <row r="484" hidden="1">
      <c r="A484" s="13" t="s">
        <v>1026</v>
      </c>
      <c r="B484" s="13" t="s">
        <v>241</v>
      </c>
      <c r="C484" s="14">
        <v>41.0</v>
      </c>
      <c r="D484" s="13" t="s">
        <v>85</v>
      </c>
      <c r="E484" s="13" t="s">
        <v>92</v>
      </c>
      <c r="F484" s="13" t="s">
        <v>37</v>
      </c>
      <c r="G484" s="13" t="s">
        <v>80</v>
      </c>
      <c r="H484" s="16">
        <v>44718.0</v>
      </c>
      <c r="I484" s="14">
        <v>3.0</v>
      </c>
      <c r="J484" s="13" t="s">
        <v>53</v>
      </c>
      <c r="K484" s="13" t="s">
        <v>81</v>
      </c>
      <c r="L484" s="14">
        <v>1434.0</v>
      </c>
      <c r="M484" s="18" t="s">
        <v>98</v>
      </c>
      <c r="N484" s="20">
        <v>0.0</v>
      </c>
      <c r="O484" s="18">
        <v>27.8</v>
      </c>
      <c r="P484" s="20">
        <v>2.9</v>
      </c>
      <c r="Q484" s="16">
        <v>44740.0</v>
      </c>
      <c r="R484" s="16" t="s">
        <v>38</v>
      </c>
      <c r="S484" s="13" t="s">
        <v>55</v>
      </c>
      <c r="T484" s="13" t="s">
        <v>38</v>
      </c>
      <c r="U484" s="13" t="str">
        <f t="shared" si="1"/>
        <v>Low</v>
      </c>
      <c r="V484" s="13" t="str">
        <f t="shared" si="2"/>
        <v>Median or Above</v>
      </c>
      <c r="W484" s="13" t="str">
        <f t="shared" si="3"/>
        <v>0–12 Months</v>
      </c>
    </row>
    <row r="485" hidden="1">
      <c r="A485" s="13" t="s">
        <v>527</v>
      </c>
      <c r="B485" s="13" t="s">
        <v>229</v>
      </c>
      <c r="C485" s="14">
        <v>67.0</v>
      </c>
      <c r="D485" s="13" t="s">
        <v>35</v>
      </c>
      <c r="E485" s="13" t="s">
        <v>36</v>
      </c>
      <c r="F485" s="13" t="s">
        <v>37</v>
      </c>
      <c r="G485" s="13" t="s">
        <v>120</v>
      </c>
      <c r="H485" s="16">
        <v>44929.0</v>
      </c>
      <c r="I485" s="14">
        <v>12.0</v>
      </c>
      <c r="J485" s="13" t="s">
        <v>64</v>
      </c>
      <c r="K485" s="13" t="s">
        <v>65</v>
      </c>
      <c r="L485" s="14">
        <v>1084.0</v>
      </c>
      <c r="M485" s="18" t="s">
        <v>99</v>
      </c>
      <c r="N485" s="20">
        <v>1.0</v>
      </c>
      <c r="O485" s="18">
        <v>22.8</v>
      </c>
      <c r="P485" s="20">
        <v>3.0</v>
      </c>
      <c r="Q485" s="16">
        <v>45299.0</v>
      </c>
      <c r="R485" s="16">
        <v>45023.0</v>
      </c>
      <c r="S485" s="13" t="s">
        <v>45</v>
      </c>
      <c r="T485" s="13" t="s">
        <v>66</v>
      </c>
      <c r="U485" s="13" t="str">
        <f t="shared" si="1"/>
        <v>Moderate</v>
      </c>
      <c r="V485" s="13" t="str">
        <f t="shared" si="2"/>
        <v>Below Median</v>
      </c>
      <c r="W485" s="13" t="str">
        <f t="shared" si="3"/>
        <v>0–12 Months</v>
      </c>
    </row>
    <row r="486" hidden="1">
      <c r="A486" s="13" t="s">
        <v>109</v>
      </c>
      <c r="B486" s="13" t="s">
        <v>135</v>
      </c>
      <c r="C486" s="14">
        <v>19.0</v>
      </c>
      <c r="D486" s="13" t="s">
        <v>60</v>
      </c>
      <c r="E486" s="13" t="s">
        <v>97</v>
      </c>
      <c r="F486" s="13" t="s">
        <v>62</v>
      </c>
      <c r="G486" s="13" t="s">
        <v>63</v>
      </c>
      <c r="H486" s="16">
        <v>45799.0</v>
      </c>
      <c r="I486" s="14">
        <v>17.0</v>
      </c>
      <c r="J486" s="13" t="s">
        <v>40</v>
      </c>
      <c r="K486" s="13" t="s">
        <v>81</v>
      </c>
      <c r="L486" s="14">
        <v>553.0</v>
      </c>
      <c r="M486" s="18" t="s">
        <v>43</v>
      </c>
      <c r="N486" s="20">
        <v>0.0</v>
      </c>
      <c r="O486" s="18">
        <v>13.8</v>
      </c>
      <c r="P486" s="20">
        <v>4.9</v>
      </c>
      <c r="Q486" s="16">
        <v>45827.0</v>
      </c>
      <c r="R486" s="16" t="s">
        <v>1028</v>
      </c>
      <c r="S486" s="13" t="s">
        <v>45</v>
      </c>
      <c r="T486" s="13" t="s">
        <v>75</v>
      </c>
      <c r="U486" s="13" t="str">
        <f t="shared" si="1"/>
        <v>Moderate</v>
      </c>
      <c r="V486" s="13" t="str">
        <f t="shared" si="2"/>
        <v>Below Median</v>
      </c>
      <c r="W486" s="13" t="str">
        <f t="shared" si="3"/>
        <v>13–24 Months</v>
      </c>
    </row>
    <row r="487" hidden="1">
      <c r="A487" s="13" t="s">
        <v>1022</v>
      </c>
      <c r="B487" s="13" t="s">
        <v>336</v>
      </c>
      <c r="C487" s="14">
        <v>27.0</v>
      </c>
      <c r="D487" s="13" t="s">
        <v>85</v>
      </c>
      <c r="E487" s="13" t="s">
        <v>87</v>
      </c>
      <c r="F487" s="13" t="s">
        <v>62</v>
      </c>
      <c r="G487" s="13" t="s">
        <v>128</v>
      </c>
      <c r="H487" s="16">
        <v>45825.0</v>
      </c>
      <c r="I487" s="14">
        <v>24.0</v>
      </c>
      <c r="J487" s="13" t="s">
        <v>40</v>
      </c>
      <c r="K487" s="13" t="s">
        <v>41</v>
      </c>
      <c r="L487" s="14">
        <v>852.0</v>
      </c>
      <c r="M487" s="18" t="s">
        <v>99</v>
      </c>
      <c r="N487" s="20">
        <v>0.0</v>
      </c>
      <c r="O487" s="18">
        <v>19.1</v>
      </c>
      <c r="P487" s="20">
        <v>1.8</v>
      </c>
      <c r="Q487" s="16">
        <v>46144.0</v>
      </c>
      <c r="R487" s="16" t="s">
        <v>38</v>
      </c>
      <c r="S487" s="13" t="s">
        <v>55</v>
      </c>
      <c r="T487" s="13" t="s">
        <v>104</v>
      </c>
      <c r="U487" s="13" t="str">
        <f t="shared" si="1"/>
        <v>Low</v>
      </c>
      <c r="V487" s="13" t="str">
        <f t="shared" si="2"/>
        <v>Below Median</v>
      </c>
      <c r="W487" s="13" t="str">
        <f t="shared" si="3"/>
        <v>13–24 Months</v>
      </c>
    </row>
    <row r="488" hidden="1">
      <c r="A488" s="13" t="s">
        <v>1029</v>
      </c>
      <c r="B488" s="13" t="s">
        <v>169</v>
      </c>
      <c r="C488" s="14">
        <v>28.0</v>
      </c>
      <c r="D488" s="13" t="s">
        <v>69</v>
      </c>
      <c r="E488" s="13" t="s">
        <v>70</v>
      </c>
      <c r="F488" s="13" t="s">
        <v>62</v>
      </c>
      <c r="G488" s="13" t="s">
        <v>52</v>
      </c>
      <c r="H488" s="16">
        <v>44859.0</v>
      </c>
      <c r="I488" s="14">
        <v>42.0</v>
      </c>
      <c r="J488" s="13" t="s">
        <v>53</v>
      </c>
      <c r="K488" s="13" t="s">
        <v>65</v>
      </c>
      <c r="L488" s="14">
        <v>819.0</v>
      </c>
      <c r="M488" s="18" t="s">
        <v>98</v>
      </c>
      <c r="N488" s="20">
        <v>0.0</v>
      </c>
      <c r="O488" s="18">
        <v>1.3</v>
      </c>
      <c r="P488" s="20">
        <v>5.0</v>
      </c>
      <c r="Q488" s="16">
        <v>45045.0</v>
      </c>
      <c r="R488" s="16" t="s">
        <v>38</v>
      </c>
      <c r="S488" s="13" t="s">
        <v>55</v>
      </c>
      <c r="T488" s="13" t="s">
        <v>104</v>
      </c>
      <c r="U488" s="13" t="str">
        <f t="shared" si="1"/>
        <v>High</v>
      </c>
      <c r="V488" s="13" t="str">
        <f t="shared" si="2"/>
        <v>Below Median</v>
      </c>
      <c r="W488" s="13" t="str">
        <f t="shared" si="3"/>
        <v>25–48 Months</v>
      </c>
    </row>
    <row r="489" hidden="1">
      <c r="A489" s="13" t="s">
        <v>1035</v>
      </c>
      <c r="B489" s="13" t="s">
        <v>139</v>
      </c>
      <c r="C489" s="14">
        <v>22.0</v>
      </c>
      <c r="D489" s="13" t="s">
        <v>69</v>
      </c>
      <c r="E489" s="13" t="s">
        <v>187</v>
      </c>
      <c r="F489" s="13" t="s">
        <v>37</v>
      </c>
      <c r="G489" s="13" t="s">
        <v>120</v>
      </c>
      <c r="H489" s="16">
        <v>45555.0</v>
      </c>
      <c r="I489" s="14">
        <v>31.0</v>
      </c>
      <c r="J489" s="13" t="s">
        <v>53</v>
      </c>
      <c r="K489" s="13" t="s">
        <v>41</v>
      </c>
      <c r="L489" s="14">
        <v>1598.0</v>
      </c>
      <c r="M489" s="18" t="s">
        <v>46</v>
      </c>
      <c r="N489" s="20">
        <v>1.0</v>
      </c>
      <c r="O489" s="18">
        <v>15.6</v>
      </c>
      <c r="P489" s="20">
        <v>3.4</v>
      </c>
      <c r="Q489" s="16">
        <v>45771.0</v>
      </c>
      <c r="R489" s="16" t="s">
        <v>38</v>
      </c>
      <c r="S489" s="13" t="s">
        <v>55</v>
      </c>
      <c r="T489" s="13" t="s">
        <v>104</v>
      </c>
      <c r="U489" s="13" t="str">
        <f t="shared" si="1"/>
        <v>Moderate</v>
      </c>
      <c r="V489" s="13" t="str">
        <f t="shared" si="2"/>
        <v>Below Median</v>
      </c>
      <c r="W489" s="13" t="str">
        <f t="shared" si="3"/>
        <v>25–48 Months</v>
      </c>
    </row>
    <row r="490" hidden="1">
      <c r="A490" s="13" t="s">
        <v>1038</v>
      </c>
      <c r="B490" s="13" t="s">
        <v>645</v>
      </c>
      <c r="C490" s="14">
        <v>33.0</v>
      </c>
      <c r="D490" s="13" t="s">
        <v>85</v>
      </c>
      <c r="E490" s="13" t="s">
        <v>87</v>
      </c>
      <c r="F490" s="13" t="s">
        <v>37</v>
      </c>
      <c r="G490" s="13" t="s">
        <v>52</v>
      </c>
      <c r="H490" s="16">
        <v>45747.0</v>
      </c>
      <c r="I490" s="14">
        <v>39.0</v>
      </c>
      <c r="J490" s="13" t="s">
        <v>64</v>
      </c>
      <c r="K490" s="13" t="s">
        <v>41</v>
      </c>
      <c r="L490" s="14">
        <v>1036.0</v>
      </c>
      <c r="M490" s="18" t="s">
        <v>98</v>
      </c>
      <c r="N490" s="20">
        <v>1.0</v>
      </c>
      <c r="O490" s="18">
        <v>15.9</v>
      </c>
      <c r="P490" s="20">
        <v>4.4</v>
      </c>
      <c r="Q490" s="16">
        <v>46575.0</v>
      </c>
      <c r="R490" s="16" t="s">
        <v>1039</v>
      </c>
      <c r="S490" s="13" t="s">
        <v>45</v>
      </c>
      <c r="T490" s="13" t="s">
        <v>66</v>
      </c>
      <c r="U490" s="13" t="str">
        <f t="shared" si="1"/>
        <v>Moderate</v>
      </c>
      <c r="V490" s="13" t="str">
        <f t="shared" si="2"/>
        <v>Below Median</v>
      </c>
      <c r="W490" s="13" t="str">
        <f t="shared" si="3"/>
        <v>25–48 Months</v>
      </c>
    </row>
    <row r="491" hidden="1">
      <c r="A491" s="13" t="s">
        <v>1040</v>
      </c>
      <c r="B491" s="13" t="s">
        <v>734</v>
      </c>
      <c r="C491" s="14">
        <v>20.0</v>
      </c>
      <c r="D491" s="13" t="s">
        <v>85</v>
      </c>
      <c r="E491" s="13" t="s">
        <v>92</v>
      </c>
      <c r="F491" s="13" t="s">
        <v>37</v>
      </c>
      <c r="G491" s="13" t="s">
        <v>210</v>
      </c>
      <c r="H491" s="16">
        <v>45889.0</v>
      </c>
      <c r="I491" s="14">
        <v>27.0</v>
      </c>
      <c r="J491" s="13" t="s">
        <v>40</v>
      </c>
      <c r="K491" s="13" t="s">
        <v>65</v>
      </c>
      <c r="L491" s="14">
        <v>1505.0</v>
      </c>
      <c r="M491" s="18" t="s">
        <v>43</v>
      </c>
      <c r="N491" s="20">
        <v>2.0</v>
      </c>
      <c r="O491" s="18">
        <v>23.7</v>
      </c>
      <c r="P491" s="20">
        <v>4.0</v>
      </c>
      <c r="Q491" s="16">
        <v>46560.0</v>
      </c>
      <c r="R491" s="16">
        <v>46274.0</v>
      </c>
      <c r="S491" s="13" t="s">
        <v>45</v>
      </c>
      <c r="T491" s="13" t="s">
        <v>47</v>
      </c>
      <c r="U491" s="13" t="str">
        <f t="shared" si="1"/>
        <v>Moderate</v>
      </c>
      <c r="V491" s="13" t="str">
        <f t="shared" si="2"/>
        <v>Below Median</v>
      </c>
      <c r="W491" s="13" t="str">
        <f t="shared" si="3"/>
        <v>25–48 Months</v>
      </c>
    </row>
    <row r="492" hidden="1">
      <c r="A492" s="13" t="s">
        <v>1041</v>
      </c>
      <c r="B492" s="13" t="s">
        <v>322</v>
      </c>
      <c r="C492" s="14">
        <v>65.0</v>
      </c>
      <c r="D492" s="13" t="s">
        <v>60</v>
      </c>
      <c r="E492" s="13" t="s">
        <v>133</v>
      </c>
      <c r="F492" s="13" t="s">
        <v>62</v>
      </c>
      <c r="G492" s="13" t="s">
        <v>39</v>
      </c>
      <c r="H492" s="16">
        <v>45765.0</v>
      </c>
      <c r="I492" s="14">
        <v>44.0</v>
      </c>
      <c r="J492" s="13" t="s">
        <v>64</v>
      </c>
      <c r="K492" s="13" t="s">
        <v>65</v>
      </c>
      <c r="L492" s="14">
        <v>807.0</v>
      </c>
      <c r="M492" s="18" t="s">
        <v>43</v>
      </c>
      <c r="N492" s="20">
        <v>0.0</v>
      </c>
      <c r="O492" s="18">
        <v>18.8</v>
      </c>
      <c r="P492" s="20">
        <v>4.9</v>
      </c>
      <c r="Q492" s="16">
        <v>46734.0</v>
      </c>
      <c r="R492" s="16" t="s">
        <v>38</v>
      </c>
      <c r="S492" s="13" t="s">
        <v>55</v>
      </c>
      <c r="T492" s="13" t="s">
        <v>75</v>
      </c>
      <c r="U492" s="13" t="str">
        <f t="shared" si="1"/>
        <v>Moderate</v>
      </c>
      <c r="V492" s="13" t="str">
        <f t="shared" si="2"/>
        <v>Below Median</v>
      </c>
      <c r="W492" s="13" t="str">
        <f t="shared" si="3"/>
        <v>25–48 Months</v>
      </c>
    </row>
    <row r="493" hidden="1">
      <c r="A493" s="13" t="s">
        <v>735</v>
      </c>
      <c r="B493" s="13" t="s">
        <v>106</v>
      </c>
      <c r="C493" s="14">
        <v>31.0</v>
      </c>
      <c r="D493" s="13" t="s">
        <v>60</v>
      </c>
      <c r="E493" s="13" t="s">
        <v>133</v>
      </c>
      <c r="F493" s="13" t="s">
        <v>37</v>
      </c>
      <c r="G493" s="13" t="s">
        <v>128</v>
      </c>
      <c r="H493" s="16">
        <v>44893.0</v>
      </c>
      <c r="I493" s="14">
        <v>40.0</v>
      </c>
      <c r="J493" s="13" t="s">
        <v>40</v>
      </c>
      <c r="K493" s="13" t="s">
        <v>81</v>
      </c>
      <c r="L493" s="14">
        <v>1766.0</v>
      </c>
      <c r="M493" s="18" t="s">
        <v>164</v>
      </c>
      <c r="N493" s="20">
        <v>0.0</v>
      </c>
      <c r="O493" s="18">
        <v>28.7</v>
      </c>
      <c r="P493" s="20">
        <v>3.9</v>
      </c>
      <c r="Q493" s="16">
        <v>45891.0</v>
      </c>
      <c r="R493" s="16" t="s">
        <v>38</v>
      </c>
      <c r="S493" s="13" t="s">
        <v>55</v>
      </c>
      <c r="T493" s="13" t="s">
        <v>75</v>
      </c>
      <c r="U493" s="13" t="str">
        <f t="shared" si="1"/>
        <v>Moderate</v>
      </c>
      <c r="V493" s="13" t="str">
        <f t="shared" si="2"/>
        <v>Median or Above</v>
      </c>
      <c r="W493" s="13" t="str">
        <f t="shared" si="3"/>
        <v>25–48 Months</v>
      </c>
    </row>
    <row r="494" hidden="1">
      <c r="A494" s="13" t="s">
        <v>1042</v>
      </c>
      <c r="B494" s="13" t="s">
        <v>179</v>
      </c>
      <c r="C494" s="14">
        <v>23.0</v>
      </c>
      <c r="D494" s="13" t="s">
        <v>85</v>
      </c>
      <c r="E494" s="13" t="s">
        <v>87</v>
      </c>
      <c r="F494" s="13" t="s">
        <v>62</v>
      </c>
      <c r="G494" s="13" t="s">
        <v>39</v>
      </c>
      <c r="H494" s="16">
        <v>45702.0</v>
      </c>
      <c r="I494" s="14">
        <v>4.0</v>
      </c>
      <c r="J494" s="13" t="s">
        <v>53</v>
      </c>
      <c r="K494" s="13" t="s">
        <v>65</v>
      </c>
      <c r="L494" s="14">
        <v>682.0</v>
      </c>
      <c r="M494" s="18" t="s">
        <v>98</v>
      </c>
      <c r="N494" s="20">
        <v>1.0</v>
      </c>
      <c r="O494" s="18">
        <v>20.7</v>
      </c>
      <c r="P494" s="20">
        <v>4.2</v>
      </c>
      <c r="Q494" s="16">
        <v>45752.0</v>
      </c>
      <c r="R494" s="16">
        <v>45842.0</v>
      </c>
      <c r="S494" s="13" t="s">
        <v>45</v>
      </c>
      <c r="T494" s="13" t="s">
        <v>104</v>
      </c>
      <c r="U494" s="13" t="str">
        <f t="shared" si="1"/>
        <v>Moderate</v>
      </c>
      <c r="V494" s="13" t="str">
        <f t="shared" si="2"/>
        <v>Below Median</v>
      </c>
      <c r="W494" s="13" t="str">
        <f t="shared" si="3"/>
        <v>0–12 Months</v>
      </c>
    </row>
    <row r="495" hidden="1">
      <c r="A495" s="13" t="s">
        <v>1082</v>
      </c>
      <c r="B495" s="13" t="s">
        <v>288</v>
      </c>
      <c r="C495" s="14">
        <v>64.0</v>
      </c>
      <c r="D495" s="13" t="s">
        <v>69</v>
      </c>
      <c r="E495" s="13" t="s">
        <v>70</v>
      </c>
      <c r="F495" s="13" t="s">
        <v>37</v>
      </c>
      <c r="G495" s="13" t="s">
        <v>120</v>
      </c>
      <c r="H495" s="16">
        <v>45090.0</v>
      </c>
      <c r="I495" s="14">
        <v>22.0</v>
      </c>
      <c r="J495" s="13" t="s">
        <v>40</v>
      </c>
      <c r="K495" s="13" t="s">
        <v>65</v>
      </c>
      <c r="L495" s="14">
        <v>1046.0</v>
      </c>
      <c r="M495" s="18" t="s">
        <v>164</v>
      </c>
      <c r="N495" s="20">
        <v>0.0</v>
      </c>
      <c r="O495" s="18">
        <v>35.9</v>
      </c>
      <c r="P495" s="20">
        <v>4.6</v>
      </c>
      <c r="Q495" s="16">
        <v>45670.0</v>
      </c>
      <c r="R495" s="16">
        <v>45600.0</v>
      </c>
      <c r="S495" s="13" t="s">
        <v>45</v>
      </c>
      <c r="T495" s="13" t="s">
        <v>75</v>
      </c>
      <c r="U495" s="13" t="str">
        <f t="shared" si="1"/>
        <v>Moderate</v>
      </c>
      <c r="V495" s="13" t="str">
        <f t="shared" si="2"/>
        <v>Median or Above</v>
      </c>
      <c r="W495" s="13" t="str">
        <f t="shared" si="3"/>
        <v>13–24 Months</v>
      </c>
    </row>
    <row r="496" hidden="1">
      <c r="A496" s="13" t="s">
        <v>1046</v>
      </c>
      <c r="B496" s="13" t="s">
        <v>636</v>
      </c>
      <c r="C496" s="14">
        <v>29.0</v>
      </c>
      <c r="D496" s="13" t="s">
        <v>35</v>
      </c>
      <c r="E496" s="13" t="s">
        <v>36</v>
      </c>
      <c r="F496" s="13" t="s">
        <v>37</v>
      </c>
      <c r="G496" s="13" t="s">
        <v>80</v>
      </c>
      <c r="H496" s="16">
        <v>44770.0</v>
      </c>
      <c r="I496" s="14">
        <v>36.0</v>
      </c>
      <c r="J496" s="13" t="s">
        <v>64</v>
      </c>
      <c r="K496" s="13" t="s">
        <v>65</v>
      </c>
      <c r="L496" s="14">
        <v>1170.0</v>
      </c>
      <c r="M496" s="18" t="s">
        <v>164</v>
      </c>
      <c r="N496" s="20">
        <v>1.0</v>
      </c>
      <c r="O496" s="18">
        <v>14.9</v>
      </c>
      <c r="P496" s="20">
        <v>3.3</v>
      </c>
      <c r="Q496" s="16">
        <v>45021.0</v>
      </c>
      <c r="R496" s="16" t="s">
        <v>38</v>
      </c>
      <c r="S496" s="13" t="s">
        <v>55</v>
      </c>
      <c r="T496" s="13" t="s">
        <v>75</v>
      </c>
      <c r="U496" s="13" t="str">
        <f t="shared" si="1"/>
        <v>Moderate</v>
      </c>
      <c r="V496" s="13" t="str">
        <f t="shared" si="2"/>
        <v>Below Median</v>
      </c>
      <c r="W496" s="13" t="str">
        <f t="shared" si="3"/>
        <v>25–48 Months</v>
      </c>
    </row>
    <row r="497" hidden="1">
      <c r="A497" s="13" t="s">
        <v>1047</v>
      </c>
      <c r="B497" s="13" t="s">
        <v>470</v>
      </c>
      <c r="C497" s="14">
        <v>49.0</v>
      </c>
      <c r="D497" s="13" t="s">
        <v>85</v>
      </c>
      <c r="E497" s="13" t="s">
        <v>292</v>
      </c>
      <c r="F497" s="13" t="s">
        <v>62</v>
      </c>
      <c r="G497" s="13" t="s">
        <v>210</v>
      </c>
      <c r="H497" s="16">
        <v>45247.0</v>
      </c>
      <c r="I497" s="14">
        <v>9.0</v>
      </c>
      <c r="J497" s="13" t="s">
        <v>53</v>
      </c>
      <c r="K497" s="13" t="s">
        <v>65</v>
      </c>
      <c r="L497" s="14">
        <v>602.0</v>
      </c>
      <c r="M497" s="18" t="s">
        <v>43</v>
      </c>
      <c r="N497" s="20">
        <v>1.0</v>
      </c>
      <c r="O497" s="18">
        <v>20.6</v>
      </c>
      <c r="P497" s="20">
        <v>2.7</v>
      </c>
      <c r="Q497" s="16">
        <v>45469.0</v>
      </c>
      <c r="R497" s="16" t="s">
        <v>38</v>
      </c>
      <c r="S497" s="13" t="s">
        <v>55</v>
      </c>
      <c r="T497" s="13" t="s">
        <v>66</v>
      </c>
      <c r="U497" s="13" t="str">
        <f t="shared" si="1"/>
        <v>Low</v>
      </c>
      <c r="V497" s="13" t="str">
        <f t="shared" si="2"/>
        <v>Below Median</v>
      </c>
      <c r="W497" s="13" t="str">
        <f t="shared" si="3"/>
        <v>0–12 Months</v>
      </c>
    </row>
    <row r="498" hidden="1">
      <c r="A498" s="13" t="s">
        <v>1048</v>
      </c>
      <c r="B498" s="13" t="s">
        <v>801</v>
      </c>
      <c r="C498" s="14">
        <v>27.0</v>
      </c>
      <c r="D498" s="13" t="s">
        <v>35</v>
      </c>
      <c r="E498" s="13" t="s">
        <v>161</v>
      </c>
      <c r="F498" s="13" t="s">
        <v>62</v>
      </c>
      <c r="G498" s="13" t="s">
        <v>128</v>
      </c>
      <c r="H498" s="16">
        <v>45411.0</v>
      </c>
      <c r="I498" s="14">
        <v>24.0</v>
      </c>
      <c r="J498" s="13" t="s">
        <v>53</v>
      </c>
      <c r="K498" s="13" t="s">
        <v>65</v>
      </c>
      <c r="L498" s="14">
        <v>624.0</v>
      </c>
      <c r="M498" s="18" t="s">
        <v>376</v>
      </c>
      <c r="N498" s="20">
        <v>0.0</v>
      </c>
      <c r="O498" s="18">
        <v>34.6</v>
      </c>
      <c r="P498" s="20">
        <v>3.4</v>
      </c>
      <c r="Q498" s="16">
        <v>45963.0</v>
      </c>
      <c r="R498" s="16" t="s">
        <v>38</v>
      </c>
      <c r="S498" s="13" t="s">
        <v>55</v>
      </c>
      <c r="T498" s="13" t="s">
        <v>75</v>
      </c>
      <c r="U498" s="13" t="str">
        <f t="shared" si="1"/>
        <v>Moderate</v>
      </c>
      <c r="V498" s="13" t="str">
        <f t="shared" si="2"/>
        <v>Median or Above</v>
      </c>
      <c r="W498" s="13" t="str">
        <f t="shared" si="3"/>
        <v>13–24 Months</v>
      </c>
    </row>
    <row r="499" hidden="1">
      <c r="A499" s="13" t="s">
        <v>1049</v>
      </c>
      <c r="B499" s="13" t="s">
        <v>50</v>
      </c>
      <c r="C499" s="14">
        <v>22.0</v>
      </c>
      <c r="D499" s="13" t="s">
        <v>60</v>
      </c>
      <c r="E499" s="13" t="s">
        <v>61</v>
      </c>
      <c r="F499" s="13" t="s">
        <v>62</v>
      </c>
      <c r="G499" s="13" t="s">
        <v>128</v>
      </c>
      <c r="H499" s="16">
        <v>44582.0</v>
      </c>
      <c r="I499" s="14">
        <v>46.0</v>
      </c>
      <c r="J499" s="13" t="s">
        <v>53</v>
      </c>
      <c r="K499" s="13" t="s">
        <v>41</v>
      </c>
      <c r="L499" s="14">
        <v>534.0</v>
      </c>
      <c r="M499" s="18" t="s">
        <v>164</v>
      </c>
      <c r="N499" s="20">
        <v>1.0</v>
      </c>
      <c r="O499" s="18">
        <v>23.1</v>
      </c>
      <c r="P499" s="20">
        <v>2.7</v>
      </c>
      <c r="Q499" s="16">
        <v>45236.0</v>
      </c>
      <c r="R499" s="16" t="s">
        <v>1051</v>
      </c>
      <c r="S499" s="13" t="s">
        <v>45</v>
      </c>
      <c r="T499" s="13" t="s">
        <v>47</v>
      </c>
      <c r="U499" s="13" t="str">
        <f t="shared" si="1"/>
        <v>Low</v>
      </c>
      <c r="V499" s="13" t="str">
        <f t="shared" si="2"/>
        <v>Below Median</v>
      </c>
      <c r="W499" s="13" t="str">
        <f t="shared" si="3"/>
        <v>25–48 Months</v>
      </c>
    </row>
    <row r="500" hidden="1">
      <c r="A500" s="13" t="s">
        <v>1052</v>
      </c>
      <c r="B500" s="13" t="s">
        <v>78</v>
      </c>
      <c r="C500" s="14">
        <v>63.0</v>
      </c>
      <c r="D500" s="13" t="s">
        <v>35</v>
      </c>
      <c r="E500" s="13" t="s">
        <v>161</v>
      </c>
      <c r="F500" s="13" t="s">
        <v>62</v>
      </c>
      <c r="G500" s="13" t="s">
        <v>52</v>
      </c>
      <c r="H500" s="16">
        <v>45997.0</v>
      </c>
      <c r="I500" s="14">
        <v>36.0</v>
      </c>
      <c r="J500" s="13" t="s">
        <v>53</v>
      </c>
      <c r="K500" s="13" t="s">
        <v>65</v>
      </c>
      <c r="L500" s="14">
        <v>868.0</v>
      </c>
      <c r="M500" s="18" t="s">
        <v>98</v>
      </c>
      <c r="N500" s="20">
        <v>0.0</v>
      </c>
      <c r="O500" s="18">
        <v>9.2</v>
      </c>
      <c r="P500" s="20">
        <v>4.5</v>
      </c>
      <c r="Q500" s="16">
        <v>46711.0</v>
      </c>
      <c r="R500" s="16" t="s">
        <v>1053</v>
      </c>
      <c r="S500" s="13" t="s">
        <v>45</v>
      </c>
      <c r="T500" s="13" t="s">
        <v>47</v>
      </c>
      <c r="U500" s="13" t="str">
        <f t="shared" si="1"/>
        <v>Moderate</v>
      </c>
      <c r="V500" s="13" t="str">
        <f t="shared" si="2"/>
        <v>Below Median</v>
      </c>
      <c r="W500" s="13" t="str">
        <f t="shared" si="3"/>
        <v>25–48 Months</v>
      </c>
    </row>
    <row r="501" hidden="1">
      <c r="A501" s="13" t="s">
        <v>1054</v>
      </c>
      <c r="B501" s="13" t="s">
        <v>206</v>
      </c>
      <c r="C501" s="14">
        <v>52.0</v>
      </c>
      <c r="D501" s="13" t="s">
        <v>85</v>
      </c>
      <c r="E501" s="13" t="s">
        <v>92</v>
      </c>
      <c r="F501" s="13" t="s">
        <v>79</v>
      </c>
      <c r="G501" s="13" t="s">
        <v>128</v>
      </c>
      <c r="H501" s="16">
        <v>45890.0</v>
      </c>
      <c r="I501" s="14">
        <v>26.0</v>
      </c>
      <c r="J501" s="13" t="s">
        <v>64</v>
      </c>
      <c r="K501" s="13" t="s">
        <v>65</v>
      </c>
      <c r="L501" s="14">
        <v>2074.0</v>
      </c>
      <c r="M501" s="18" t="s">
        <v>46</v>
      </c>
      <c r="N501" s="20">
        <v>2.0</v>
      </c>
      <c r="O501" s="18">
        <v>47.8</v>
      </c>
      <c r="P501" s="20">
        <v>3.5</v>
      </c>
      <c r="Q501" s="16">
        <v>46450.0</v>
      </c>
      <c r="R501" s="16" t="s">
        <v>1055</v>
      </c>
      <c r="S501" s="13" t="s">
        <v>45</v>
      </c>
      <c r="T501" s="13" t="s">
        <v>47</v>
      </c>
      <c r="U501" s="13" t="str">
        <f t="shared" si="1"/>
        <v>Moderate</v>
      </c>
      <c r="V501" s="13" t="str">
        <f t="shared" si="2"/>
        <v>Median or Above</v>
      </c>
      <c r="W501" s="13" t="str">
        <f t="shared" si="3"/>
        <v>25–48 Months</v>
      </c>
    </row>
    <row r="502" hidden="1">
      <c r="A502" s="13" t="s">
        <v>483</v>
      </c>
      <c r="B502" s="13" t="s">
        <v>139</v>
      </c>
      <c r="C502" s="14">
        <v>51.0</v>
      </c>
      <c r="D502" s="13" t="s">
        <v>60</v>
      </c>
      <c r="E502" s="13" t="s">
        <v>107</v>
      </c>
      <c r="F502" s="13" t="s">
        <v>37</v>
      </c>
      <c r="G502" s="13" t="s">
        <v>39</v>
      </c>
      <c r="H502" s="16">
        <v>44609.0</v>
      </c>
      <c r="I502" s="14">
        <v>2.0</v>
      </c>
      <c r="J502" s="13" t="s">
        <v>40</v>
      </c>
      <c r="K502" s="13" t="s">
        <v>81</v>
      </c>
      <c r="L502" s="14">
        <v>1605.0</v>
      </c>
      <c r="M502" s="18" t="s">
        <v>43</v>
      </c>
      <c r="N502" s="20">
        <v>0.0</v>
      </c>
      <c r="O502" s="18">
        <v>12.7</v>
      </c>
      <c r="P502" s="20">
        <v>3.6</v>
      </c>
      <c r="Q502" s="16">
        <v>44649.0</v>
      </c>
      <c r="R502" s="16">
        <v>44870.0</v>
      </c>
      <c r="S502" s="13" t="s">
        <v>45</v>
      </c>
      <c r="T502" s="13" t="s">
        <v>104</v>
      </c>
      <c r="U502" s="13" t="str">
        <f t="shared" si="1"/>
        <v>Moderate</v>
      </c>
      <c r="V502" s="13" t="str">
        <f t="shared" si="2"/>
        <v>Below Median</v>
      </c>
      <c r="W502" s="13" t="str">
        <f t="shared" si="3"/>
        <v>0–12 Months</v>
      </c>
    </row>
    <row r="503" hidden="1">
      <c r="A503" s="13" t="s">
        <v>934</v>
      </c>
      <c r="B503" s="13" t="s">
        <v>312</v>
      </c>
      <c r="C503" s="14">
        <v>66.0</v>
      </c>
      <c r="D503" s="13" t="s">
        <v>60</v>
      </c>
      <c r="E503" s="13" t="s">
        <v>107</v>
      </c>
      <c r="F503" s="13" t="s">
        <v>62</v>
      </c>
      <c r="G503" s="13" t="s">
        <v>39</v>
      </c>
      <c r="H503" s="16">
        <v>45895.0</v>
      </c>
      <c r="I503" s="14">
        <v>8.0</v>
      </c>
      <c r="J503" s="13" t="s">
        <v>64</v>
      </c>
      <c r="K503" s="13" t="s">
        <v>81</v>
      </c>
      <c r="L503" s="14">
        <v>792.0</v>
      </c>
      <c r="M503" s="18" t="s">
        <v>99</v>
      </c>
      <c r="N503" s="20">
        <v>2.0</v>
      </c>
      <c r="O503" s="18">
        <v>25.3</v>
      </c>
      <c r="P503" s="20">
        <v>3.8</v>
      </c>
      <c r="Q503" s="16">
        <v>46021.0</v>
      </c>
      <c r="R503" s="16" t="s">
        <v>38</v>
      </c>
      <c r="S503" s="13" t="s">
        <v>55</v>
      </c>
      <c r="T503" s="13" t="s">
        <v>66</v>
      </c>
      <c r="U503" s="13" t="str">
        <f t="shared" si="1"/>
        <v>Moderate</v>
      </c>
      <c r="V503" s="13" t="str">
        <f t="shared" si="2"/>
        <v>Median or Above</v>
      </c>
      <c r="W503" s="13" t="str">
        <f t="shared" si="3"/>
        <v>0–12 Months</v>
      </c>
    </row>
    <row r="504" hidden="1">
      <c r="A504" s="13" t="s">
        <v>191</v>
      </c>
      <c r="B504" s="13" t="s">
        <v>342</v>
      </c>
      <c r="C504" s="14">
        <v>52.0</v>
      </c>
      <c r="D504" s="13" t="s">
        <v>69</v>
      </c>
      <c r="E504" s="13" t="s">
        <v>177</v>
      </c>
      <c r="F504" s="13" t="s">
        <v>62</v>
      </c>
      <c r="G504" s="13" t="s">
        <v>52</v>
      </c>
      <c r="H504" s="16">
        <v>45735.0</v>
      </c>
      <c r="I504" s="14">
        <v>44.0</v>
      </c>
      <c r="J504" s="13" t="s">
        <v>64</v>
      </c>
      <c r="K504" s="13" t="s">
        <v>41</v>
      </c>
      <c r="L504" s="14">
        <v>692.0</v>
      </c>
      <c r="M504" s="18" t="s">
        <v>46</v>
      </c>
      <c r="N504" s="20">
        <v>2.0</v>
      </c>
      <c r="O504" s="18">
        <v>4.8</v>
      </c>
      <c r="P504" s="20">
        <v>2.8</v>
      </c>
      <c r="Q504" s="16">
        <v>46252.0</v>
      </c>
      <c r="R504" s="16" t="s">
        <v>38</v>
      </c>
      <c r="S504" s="13" t="s">
        <v>55</v>
      </c>
      <c r="T504" s="13" t="s">
        <v>72</v>
      </c>
      <c r="U504" s="13" t="str">
        <f t="shared" si="1"/>
        <v>Low</v>
      </c>
      <c r="V504" s="13" t="str">
        <f t="shared" si="2"/>
        <v>Below Median</v>
      </c>
      <c r="W504" s="13" t="str">
        <f t="shared" si="3"/>
        <v>25–48 Months</v>
      </c>
    </row>
    <row r="505" hidden="1">
      <c r="A505" s="13" t="s">
        <v>528</v>
      </c>
      <c r="B505" s="13" t="s">
        <v>235</v>
      </c>
      <c r="C505" s="14">
        <v>42.0</v>
      </c>
      <c r="D505" s="13" t="s">
        <v>35</v>
      </c>
      <c r="E505" s="13" t="s">
        <v>51</v>
      </c>
      <c r="F505" s="13" t="s">
        <v>37</v>
      </c>
      <c r="G505" s="13" t="s">
        <v>128</v>
      </c>
      <c r="H505" s="16">
        <v>45405.0</v>
      </c>
      <c r="I505" s="14">
        <v>6.0</v>
      </c>
      <c r="J505" s="13" t="s">
        <v>64</v>
      </c>
      <c r="K505" s="13" t="s">
        <v>81</v>
      </c>
      <c r="L505" s="14">
        <v>1132.0</v>
      </c>
      <c r="M505" s="18" t="s">
        <v>46</v>
      </c>
      <c r="N505" s="20">
        <v>1.0</v>
      </c>
      <c r="O505" s="18">
        <v>19.0</v>
      </c>
      <c r="P505" s="20">
        <v>5.0</v>
      </c>
      <c r="Q505" s="16">
        <v>45469.0</v>
      </c>
      <c r="R505" s="16" t="s">
        <v>38</v>
      </c>
      <c r="S505" s="13" t="s">
        <v>55</v>
      </c>
      <c r="T505" s="13" t="s">
        <v>75</v>
      </c>
      <c r="U505" s="13" t="str">
        <f t="shared" si="1"/>
        <v>High</v>
      </c>
      <c r="V505" s="13" t="str">
        <f t="shared" si="2"/>
        <v>Below Median</v>
      </c>
      <c r="W505" s="13" t="str">
        <f t="shared" si="3"/>
        <v>0–12 Months</v>
      </c>
    </row>
    <row r="506" hidden="1">
      <c r="A506" s="13" t="s">
        <v>1058</v>
      </c>
      <c r="B506" s="13" t="s">
        <v>106</v>
      </c>
      <c r="C506" s="14">
        <v>51.0</v>
      </c>
      <c r="D506" s="13" t="s">
        <v>85</v>
      </c>
      <c r="E506" s="13" t="s">
        <v>92</v>
      </c>
      <c r="F506" s="13" t="s">
        <v>37</v>
      </c>
      <c r="G506" s="13" t="s">
        <v>52</v>
      </c>
      <c r="H506" s="16">
        <v>45429.0</v>
      </c>
      <c r="I506" s="14">
        <v>29.0</v>
      </c>
      <c r="J506" s="13" t="s">
        <v>40</v>
      </c>
      <c r="K506" s="13" t="s">
        <v>65</v>
      </c>
      <c r="L506" s="14">
        <v>1748.0</v>
      </c>
      <c r="M506" s="18" t="s">
        <v>98</v>
      </c>
      <c r="N506" s="20">
        <v>1.0</v>
      </c>
      <c r="O506" s="18">
        <v>29.2</v>
      </c>
      <c r="P506" s="20">
        <v>3.1</v>
      </c>
      <c r="Q506" s="16">
        <v>45865.0</v>
      </c>
      <c r="R506" s="16" t="s">
        <v>38</v>
      </c>
      <c r="S506" s="13" t="s">
        <v>55</v>
      </c>
      <c r="T506" s="13" t="s">
        <v>75</v>
      </c>
      <c r="U506" s="13" t="str">
        <f t="shared" si="1"/>
        <v>Moderate</v>
      </c>
      <c r="V506" s="13" t="str">
        <f t="shared" si="2"/>
        <v>Median or Above</v>
      </c>
      <c r="W506" s="13" t="str">
        <f t="shared" si="3"/>
        <v>25–48 Months</v>
      </c>
    </row>
    <row r="507" hidden="1">
      <c r="A507" s="13" t="s">
        <v>1059</v>
      </c>
      <c r="B507" s="13" t="s">
        <v>325</v>
      </c>
      <c r="C507" s="14">
        <v>42.0</v>
      </c>
      <c r="D507" s="13" t="s">
        <v>35</v>
      </c>
      <c r="E507" s="13" t="s">
        <v>51</v>
      </c>
      <c r="F507" s="13" t="s">
        <v>37</v>
      </c>
      <c r="G507" s="13" t="s">
        <v>63</v>
      </c>
      <c r="H507" s="16">
        <v>44883.0</v>
      </c>
      <c r="I507" s="14">
        <v>36.0</v>
      </c>
      <c r="J507" s="13" t="s">
        <v>64</v>
      </c>
      <c r="K507" s="13" t="s">
        <v>65</v>
      </c>
      <c r="L507" s="14">
        <v>1615.0</v>
      </c>
      <c r="M507" s="18" t="s">
        <v>173</v>
      </c>
      <c r="N507" s="20">
        <v>0.0</v>
      </c>
      <c r="O507" s="18">
        <v>14.0</v>
      </c>
      <c r="P507" s="20">
        <v>4.2</v>
      </c>
      <c r="Q507" s="16">
        <v>45729.0</v>
      </c>
      <c r="R507" s="16" t="s">
        <v>38</v>
      </c>
      <c r="S507" s="13" t="s">
        <v>55</v>
      </c>
      <c r="T507" s="13" t="s">
        <v>104</v>
      </c>
      <c r="U507" s="13" t="str">
        <f t="shared" si="1"/>
        <v>Moderate</v>
      </c>
      <c r="V507" s="13" t="str">
        <f t="shared" si="2"/>
        <v>Below Median</v>
      </c>
      <c r="W507" s="13" t="str">
        <f t="shared" si="3"/>
        <v>25–48 Months</v>
      </c>
    </row>
    <row r="508" hidden="1">
      <c r="A508" s="13" t="s">
        <v>666</v>
      </c>
      <c r="B508" s="13" t="s">
        <v>331</v>
      </c>
      <c r="C508" s="14">
        <v>37.0</v>
      </c>
      <c r="D508" s="13" t="s">
        <v>69</v>
      </c>
      <c r="E508" s="13" t="s">
        <v>70</v>
      </c>
      <c r="F508" s="13" t="s">
        <v>62</v>
      </c>
      <c r="G508" s="13" t="s">
        <v>210</v>
      </c>
      <c r="H508" s="16">
        <v>45183.0</v>
      </c>
      <c r="I508" s="14">
        <v>19.0</v>
      </c>
      <c r="J508" s="13" t="s">
        <v>40</v>
      </c>
      <c r="K508" s="13" t="s">
        <v>41</v>
      </c>
      <c r="L508" s="14">
        <v>572.0</v>
      </c>
      <c r="M508" s="18" t="s">
        <v>43</v>
      </c>
      <c r="N508" s="20">
        <v>1.0</v>
      </c>
      <c r="O508" s="18">
        <v>14.7</v>
      </c>
      <c r="P508" s="20">
        <v>5.0</v>
      </c>
      <c r="Q508" s="16">
        <v>45624.0</v>
      </c>
      <c r="R508" s="16" t="s">
        <v>38</v>
      </c>
      <c r="S508" s="13" t="s">
        <v>55</v>
      </c>
      <c r="T508" s="13" t="s">
        <v>75</v>
      </c>
      <c r="U508" s="13" t="str">
        <f t="shared" si="1"/>
        <v>High</v>
      </c>
      <c r="V508" s="13" t="str">
        <f t="shared" si="2"/>
        <v>Below Median</v>
      </c>
      <c r="W508" s="13" t="str">
        <f t="shared" si="3"/>
        <v>13–24 Months</v>
      </c>
    </row>
    <row r="509" hidden="1">
      <c r="A509" s="13" t="s">
        <v>1061</v>
      </c>
      <c r="B509" s="13" t="s">
        <v>118</v>
      </c>
      <c r="C509" s="14">
        <v>65.0</v>
      </c>
      <c r="D509" s="13" t="s">
        <v>35</v>
      </c>
      <c r="E509" s="13" t="s">
        <v>161</v>
      </c>
      <c r="F509" s="13" t="s">
        <v>62</v>
      </c>
      <c r="G509" s="13" t="s">
        <v>63</v>
      </c>
      <c r="H509" s="16">
        <v>45417.0</v>
      </c>
      <c r="I509" s="14">
        <v>31.0</v>
      </c>
      <c r="J509" s="13" t="s">
        <v>64</v>
      </c>
      <c r="K509" s="13" t="s">
        <v>41</v>
      </c>
      <c r="L509" s="14">
        <v>788.0</v>
      </c>
      <c r="M509" s="18" t="s">
        <v>43</v>
      </c>
      <c r="N509" s="20">
        <v>1.0</v>
      </c>
      <c r="O509" s="18">
        <v>21.4</v>
      </c>
      <c r="P509" s="20">
        <v>4.1</v>
      </c>
      <c r="Q509" s="16">
        <v>45772.0</v>
      </c>
      <c r="R509" s="16" t="s">
        <v>38</v>
      </c>
      <c r="S509" s="13" t="s">
        <v>55</v>
      </c>
      <c r="T509" s="13" t="s">
        <v>47</v>
      </c>
      <c r="U509" s="13" t="str">
        <f t="shared" si="1"/>
        <v>Moderate</v>
      </c>
      <c r="V509" s="13" t="str">
        <f t="shared" si="2"/>
        <v>Below Median</v>
      </c>
      <c r="W509" s="13" t="str">
        <f t="shared" si="3"/>
        <v>25–48 Months</v>
      </c>
    </row>
    <row r="510" hidden="1">
      <c r="A510" s="13" t="s">
        <v>1062</v>
      </c>
      <c r="B510" s="13" t="s">
        <v>411</v>
      </c>
      <c r="C510" s="14">
        <v>53.0</v>
      </c>
      <c r="D510" s="13" t="s">
        <v>85</v>
      </c>
      <c r="E510" s="13" t="s">
        <v>87</v>
      </c>
      <c r="F510" s="13" t="s">
        <v>37</v>
      </c>
      <c r="G510" s="13" t="s">
        <v>39</v>
      </c>
      <c r="H510" s="16">
        <v>45228.0</v>
      </c>
      <c r="I510" s="14">
        <v>6.0</v>
      </c>
      <c r="J510" s="13" t="s">
        <v>40</v>
      </c>
      <c r="K510" s="13" t="s">
        <v>81</v>
      </c>
      <c r="L510" s="14">
        <v>1637.0</v>
      </c>
      <c r="M510" s="18" t="s">
        <v>43</v>
      </c>
      <c r="N510" s="20">
        <v>2.0</v>
      </c>
      <c r="O510" s="18">
        <v>15.8</v>
      </c>
      <c r="P510" s="20">
        <v>1.2</v>
      </c>
      <c r="Q510" s="16">
        <v>45337.0</v>
      </c>
      <c r="R510" s="16" t="s">
        <v>1063</v>
      </c>
      <c r="S510" s="13" t="s">
        <v>45</v>
      </c>
      <c r="T510" s="13" t="s">
        <v>75</v>
      </c>
      <c r="U510" s="13" t="str">
        <f t="shared" si="1"/>
        <v>Low</v>
      </c>
      <c r="V510" s="13" t="str">
        <f t="shared" si="2"/>
        <v>Below Median</v>
      </c>
      <c r="W510" s="13" t="str">
        <f t="shared" si="3"/>
        <v>0–12 Months</v>
      </c>
    </row>
    <row r="511" hidden="1">
      <c r="A511" s="13" t="s">
        <v>543</v>
      </c>
      <c r="B511" s="13" t="s">
        <v>247</v>
      </c>
      <c r="C511" s="14">
        <v>31.0</v>
      </c>
      <c r="D511" s="13" t="s">
        <v>60</v>
      </c>
      <c r="E511" s="13" t="s">
        <v>61</v>
      </c>
      <c r="F511" s="13" t="s">
        <v>79</v>
      </c>
      <c r="G511" s="13" t="s">
        <v>52</v>
      </c>
      <c r="H511" s="16">
        <v>44612.0</v>
      </c>
      <c r="I511" s="14">
        <v>37.0</v>
      </c>
      <c r="J511" s="13" t="s">
        <v>64</v>
      </c>
      <c r="K511" s="13" t="s">
        <v>81</v>
      </c>
      <c r="L511" s="14">
        <v>2631.0</v>
      </c>
      <c r="M511" s="18" t="s">
        <v>98</v>
      </c>
      <c r="N511" s="20">
        <v>2.0</v>
      </c>
      <c r="O511" s="18">
        <v>23.0</v>
      </c>
      <c r="P511" s="20">
        <v>3.4</v>
      </c>
      <c r="Q511" s="16">
        <v>44875.0</v>
      </c>
      <c r="R511" s="16" t="s">
        <v>38</v>
      </c>
      <c r="S511" s="13" t="s">
        <v>55</v>
      </c>
      <c r="T511" s="13" t="s">
        <v>66</v>
      </c>
      <c r="U511" s="13" t="str">
        <f t="shared" si="1"/>
        <v>Moderate</v>
      </c>
      <c r="V511" s="13" t="str">
        <f t="shared" si="2"/>
        <v>Below Median</v>
      </c>
      <c r="W511" s="13" t="str">
        <f t="shared" si="3"/>
        <v>25–48 Months</v>
      </c>
    </row>
    <row r="512" hidden="1">
      <c r="A512" s="13" t="s">
        <v>1064</v>
      </c>
      <c r="B512" s="13" t="s">
        <v>250</v>
      </c>
      <c r="C512" s="14">
        <v>34.0</v>
      </c>
      <c r="D512" s="13" t="s">
        <v>35</v>
      </c>
      <c r="E512" s="13" t="s">
        <v>51</v>
      </c>
      <c r="F512" s="13" t="s">
        <v>37</v>
      </c>
      <c r="G512" s="13" t="s">
        <v>80</v>
      </c>
      <c r="H512" s="16">
        <v>44600.0</v>
      </c>
      <c r="I512" s="14">
        <v>8.0</v>
      </c>
      <c r="J512" s="13" t="s">
        <v>64</v>
      </c>
      <c r="K512" s="13" t="s">
        <v>81</v>
      </c>
      <c r="L512" s="14">
        <v>1183.0</v>
      </c>
      <c r="M512" s="18" t="s">
        <v>98</v>
      </c>
      <c r="N512" s="20">
        <v>2.0</v>
      </c>
      <c r="O512" s="18">
        <v>27.8</v>
      </c>
      <c r="P512" s="20">
        <v>3.2</v>
      </c>
      <c r="Q512" s="16">
        <v>44614.0</v>
      </c>
      <c r="R512" s="16" t="s">
        <v>38</v>
      </c>
      <c r="S512" s="13" t="s">
        <v>55</v>
      </c>
      <c r="T512" s="13" t="s">
        <v>75</v>
      </c>
      <c r="U512" s="13" t="str">
        <f t="shared" si="1"/>
        <v>Moderate</v>
      </c>
      <c r="V512" s="13" t="str">
        <f t="shared" si="2"/>
        <v>Median or Above</v>
      </c>
      <c r="W512" s="13" t="str">
        <f t="shared" si="3"/>
        <v>0–12 Months</v>
      </c>
    </row>
    <row r="513" hidden="1">
      <c r="A513" s="13" t="s">
        <v>1065</v>
      </c>
      <c r="B513" s="13" t="s">
        <v>633</v>
      </c>
      <c r="C513" s="14">
        <v>35.0</v>
      </c>
      <c r="D513" s="13" t="s">
        <v>60</v>
      </c>
      <c r="E513" s="13" t="s">
        <v>133</v>
      </c>
      <c r="F513" s="13" t="s">
        <v>37</v>
      </c>
      <c r="G513" s="13" t="s">
        <v>120</v>
      </c>
      <c r="H513" s="16">
        <v>44609.0</v>
      </c>
      <c r="I513" s="14">
        <v>22.0</v>
      </c>
      <c r="J513" s="13" t="s">
        <v>40</v>
      </c>
      <c r="K513" s="13" t="s">
        <v>41</v>
      </c>
      <c r="L513" s="14">
        <v>1023.0</v>
      </c>
      <c r="M513" s="18" t="s">
        <v>98</v>
      </c>
      <c r="N513" s="20">
        <v>3.0</v>
      </c>
      <c r="O513" s="18">
        <v>25.3</v>
      </c>
      <c r="P513" s="20">
        <v>3.9</v>
      </c>
      <c r="Q513" s="16">
        <v>45159.0</v>
      </c>
      <c r="R513" s="16" t="s">
        <v>38</v>
      </c>
      <c r="S513" s="13" t="s">
        <v>55</v>
      </c>
      <c r="T513" s="13" t="s">
        <v>38</v>
      </c>
      <c r="U513" s="13" t="str">
        <f t="shared" si="1"/>
        <v>Moderate</v>
      </c>
      <c r="V513" s="13" t="str">
        <f t="shared" si="2"/>
        <v>Median or Above</v>
      </c>
      <c r="W513" s="13" t="str">
        <f t="shared" si="3"/>
        <v>13–24 Months</v>
      </c>
    </row>
    <row r="514" hidden="1">
      <c r="A514" s="13" t="s">
        <v>1066</v>
      </c>
      <c r="B514" s="13" t="s">
        <v>448</v>
      </c>
      <c r="C514" s="14">
        <v>30.0</v>
      </c>
      <c r="D514" s="13" t="s">
        <v>69</v>
      </c>
      <c r="E514" s="13" t="s">
        <v>177</v>
      </c>
      <c r="F514" s="13" t="s">
        <v>62</v>
      </c>
      <c r="G514" s="13" t="s">
        <v>210</v>
      </c>
      <c r="H514" s="16">
        <v>44745.0</v>
      </c>
      <c r="I514" s="14">
        <v>10.0</v>
      </c>
      <c r="J514" s="13" t="s">
        <v>40</v>
      </c>
      <c r="K514" s="13" t="s">
        <v>81</v>
      </c>
      <c r="L514" s="14">
        <v>707.0</v>
      </c>
      <c r="M514" s="18" t="s">
        <v>99</v>
      </c>
      <c r="N514" s="20">
        <v>0.0</v>
      </c>
      <c r="O514" s="18">
        <v>23.7</v>
      </c>
      <c r="P514" s="20">
        <v>1.9</v>
      </c>
      <c r="Q514" s="16">
        <v>44785.0</v>
      </c>
      <c r="R514" s="16" t="s">
        <v>38</v>
      </c>
      <c r="S514" s="13" t="s">
        <v>55</v>
      </c>
      <c r="T514" s="13" t="s">
        <v>104</v>
      </c>
      <c r="U514" s="13" t="str">
        <f t="shared" si="1"/>
        <v>Low</v>
      </c>
      <c r="V514" s="13" t="str">
        <f t="shared" si="2"/>
        <v>Below Median</v>
      </c>
      <c r="W514" s="13" t="str">
        <f t="shared" si="3"/>
        <v>0–12 Months</v>
      </c>
    </row>
    <row r="515" hidden="1">
      <c r="A515" s="13" t="s">
        <v>1067</v>
      </c>
      <c r="B515" s="13" t="s">
        <v>172</v>
      </c>
      <c r="C515" s="14">
        <v>50.0</v>
      </c>
      <c r="D515" s="13" t="s">
        <v>85</v>
      </c>
      <c r="E515" s="13" t="s">
        <v>292</v>
      </c>
      <c r="F515" s="13" t="s">
        <v>62</v>
      </c>
      <c r="G515" s="13" t="s">
        <v>120</v>
      </c>
      <c r="H515" s="16">
        <v>45225.0</v>
      </c>
      <c r="I515" s="14">
        <v>17.0</v>
      </c>
      <c r="J515" s="13" t="s">
        <v>64</v>
      </c>
      <c r="K515" s="13" t="s">
        <v>81</v>
      </c>
      <c r="L515" s="14" t="s">
        <v>38</v>
      </c>
      <c r="M515" s="18" t="s">
        <v>164</v>
      </c>
      <c r="N515" s="20">
        <v>1.0</v>
      </c>
      <c r="O515" s="18">
        <v>15.7</v>
      </c>
      <c r="P515" s="20">
        <v>3.0</v>
      </c>
      <c r="Q515" s="16">
        <v>45480.0</v>
      </c>
      <c r="R515" s="16" t="s">
        <v>38</v>
      </c>
      <c r="S515" s="13" t="s">
        <v>55</v>
      </c>
      <c r="T515" s="13" t="s">
        <v>75</v>
      </c>
      <c r="U515" s="13" t="str">
        <f t="shared" si="1"/>
        <v>Moderate</v>
      </c>
      <c r="V515" s="13" t="str">
        <f t="shared" si="2"/>
        <v>Below Median</v>
      </c>
      <c r="W515" s="13" t="str">
        <f t="shared" si="3"/>
        <v>13–24 Months</v>
      </c>
    </row>
    <row r="516" hidden="1">
      <c r="A516" s="13" t="s">
        <v>307</v>
      </c>
      <c r="B516" s="13" t="s">
        <v>398</v>
      </c>
      <c r="C516" s="14">
        <v>34.0</v>
      </c>
      <c r="D516" s="13" t="s">
        <v>60</v>
      </c>
      <c r="E516" s="13" t="s">
        <v>61</v>
      </c>
      <c r="F516" s="13" t="s">
        <v>62</v>
      </c>
      <c r="G516" s="13" t="s">
        <v>80</v>
      </c>
      <c r="H516" s="16">
        <v>45395.0</v>
      </c>
      <c r="I516" s="14">
        <v>5.0</v>
      </c>
      <c r="J516" s="13" t="s">
        <v>64</v>
      </c>
      <c r="K516" s="13" t="s">
        <v>81</v>
      </c>
      <c r="L516" s="14">
        <v>707.0</v>
      </c>
      <c r="M516" s="18" t="s">
        <v>46</v>
      </c>
      <c r="N516" s="20">
        <v>1.0</v>
      </c>
      <c r="O516" s="18">
        <v>20.5</v>
      </c>
      <c r="P516" s="20">
        <v>3.4</v>
      </c>
      <c r="Q516" s="16">
        <v>45409.0</v>
      </c>
      <c r="R516" s="16" t="s">
        <v>38</v>
      </c>
      <c r="S516" s="13" t="s">
        <v>55</v>
      </c>
      <c r="T516" s="13" t="s">
        <v>47</v>
      </c>
      <c r="U516" s="13" t="str">
        <f t="shared" si="1"/>
        <v>Moderate</v>
      </c>
      <c r="V516" s="13" t="str">
        <f t="shared" si="2"/>
        <v>Below Median</v>
      </c>
      <c r="W516" s="13" t="str">
        <f t="shared" si="3"/>
        <v>0–12 Months</v>
      </c>
    </row>
    <row r="517" hidden="1">
      <c r="A517" s="13" t="s">
        <v>850</v>
      </c>
      <c r="B517" s="13" t="s">
        <v>333</v>
      </c>
      <c r="C517" s="14">
        <v>54.0</v>
      </c>
      <c r="D517" s="13" t="s">
        <v>85</v>
      </c>
      <c r="E517" s="13" t="s">
        <v>87</v>
      </c>
      <c r="F517" s="13" t="s">
        <v>62</v>
      </c>
      <c r="G517" s="13" t="s">
        <v>52</v>
      </c>
      <c r="H517" s="16">
        <v>45586.0</v>
      </c>
      <c r="I517" s="14">
        <v>14.0</v>
      </c>
      <c r="J517" s="13" t="s">
        <v>53</v>
      </c>
      <c r="K517" s="13" t="s">
        <v>41</v>
      </c>
      <c r="L517" s="14">
        <v>571.0</v>
      </c>
      <c r="M517" s="18" t="s">
        <v>98</v>
      </c>
      <c r="N517" s="20">
        <v>2.0</v>
      </c>
      <c r="O517" s="18">
        <v>19.2</v>
      </c>
      <c r="P517" s="20">
        <v>4.6</v>
      </c>
      <c r="Q517" s="16">
        <v>45682.0</v>
      </c>
      <c r="R517" s="16" t="s">
        <v>1068</v>
      </c>
      <c r="S517" s="13" t="s">
        <v>45</v>
      </c>
      <c r="T517" s="13" t="s">
        <v>104</v>
      </c>
      <c r="U517" s="13" t="str">
        <f t="shared" si="1"/>
        <v>Moderate</v>
      </c>
      <c r="V517" s="13" t="str">
        <f t="shared" si="2"/>
        <v>Below Median</v>
      </c>
      <c r="W517" s="13" t="str">
        <f t="shared" si="3"/>
        <v>13–24 Months</v>
      </c>
    </row>
    <row r="518" hidden="1">
      <c r="A518" s="13" t="s">
        <v>1069</v>
      </c>
      <c r="B518" s="13" t="s">
        <v>232</v>
      </c>
      <c r="C518" s="14">
        <v>21.0</v>
      </c>
      <c r="D518" s="13" t="s">
        <v>60</v>
      </c>
      <c r="E518" s="13" t="s">
        <v>97</v>
      </c>
      <c r="F518" s="13" t="s">
        <v>62</v>
      </c>
      <c r="G518" s="13" t="s">
        <v>120</v>
      </c>
      <c r="H518" s="16">
        <v>45121.0</v>
      </c>
      <c r="I518" s="14">
        <v>39.0</v>
      </c>
      <c r="J518" s="13" t="s">
        <v>40</v>
      </c>
      <c r="K518" s="13" t="s">
        <v>81</v>
      </c>
      <c r="L518" s="14">
        <v>847.0</v>
      </c>
      <c r="M518" s="18" t="s">
        <v>164</v>
      </c>
      <c r="N518" s="20">
        <v>1.0</v>
      </c>
      <c r="O518" s="18">
        <v>19.8</v>
      </c>
      <c r="P518" s="20">
        <v>4.3</v>
      </c>
      <c r="Q518" s="16">
        <v>45566.0</v>
      </c>
      <c r="R518" s="16" t="s">
        <v>38</v>
      </c>
      <c r="S518" s="13" t="s">
        <v>55</v>
      </c>
      <c r="T518" s="13" t="s">
        <v>66</v>
      </c>
      <c r="U518" s="13" t="str">
        <f t="shared" si="1"/>
        <v>Moderate</v>
      </c>
      <c r="V518" s="13" t="str">
        <f t="shared" si="2"/>
        <v>Below Median</v>
      </c>
      <c r="W518" s="13" t="str">
        <f t="shared" si="3"/>
        <v>25–48 Months</v>
      </c>
    </row>
    <row r="519" hidden="1">
      <c r="A519" s="13" t="s">
        <v>1070</v>
      </c>
      <c r="B519" s="13" t="s">
        <v>224</v>
      </c>
      <c r="C519" s="14">
        <v>67.0</v>
      </c>
      <c r="D519" s="13" t="s">
        <v>69</v>
      </c>
      <c r="E519" s="13" t="s">
        <v>161</v>
      </c>
      <c r="F519" s="13" t="s">
        <v>62</v>
      </c>
      <c r="G519" s="13" t="s">
        <v>52</v>
      </c>
      <c r="H519" s="16">
        <v>44813.0</v>
      </c>
      <c r="I519" s="14">
        <v>9.0</v>
      </c>
      <c r="J519" s="13" t="s">
        <v>64</v>
      </c>
      <c r="K519" s="13" t="s">
        <v>65</v>
      </c>
      <c r="L519" s="14">
        <v>642.0</v>
      </c>
      <c r="M519" s="18" t="s">
        <v>98</v>
      </c>
      <c r="N519" s="20">
        <v>2.0</v>
      </c>
      <c r="O519" s="18">
        <v>24.2</v>
      </c>
      <c r="P519" s="20">
        <v>4.2</v>
      </c>
      <c r="Q519" s="16">
        <v>45081.0</v>
      </c>
      <c r="R519" s="16" t="s">
        <v>1071</v>
      </c>
      <c r="S519" s="13" t="s">
        <v>45</v>
      </c>
      <c r="T519" s="13" t="s">
        <v>72</v>
      </c>
      <c r="U519" s="13" t="str">
        <f t="shared" si="1"/>
        <v>Moderate</v>
      </c>
      <c r="V519" s="13" t="str">
        <f t="shared" si="2"/>
        <v>Median or Above</v>
      </c>
      <c r="W519" s="13" t="str">
        <f t="shared" si="3"/>
        <v>0–12 Months</v>
      </c>
    </row>
    <row r="520" hidden="1">
      <c r="A520" s="13" t="s">
        <v>1072</v>
      </c>
      <c r="B520" s="13" t="s">
        <v>364</v>
      </c>
      <c r="C520" s="14">
        <v>19.0</v>
      </c>
      <c r="D520" s="13" t="s">
        <v>60</v>
      </c>
      <c r="E520" s="13" t="s">
        <v>107</v>
      </c>
      <c r="F520" s="13" t="s">
        <v>62</v>
      </c>
      <c r="G520" s="13" t="s">
        <v>80</v>
      </c>
      <c r="H520" s="16">
        <v>45234.0</v>
      </c>
      <c r="I520" s="14">
        <v>-3.0</v>
      </c>
      <c r="J520" s="13" t="s">
        <v>64</v>
      </c>
      <c r="K520" s="13" t="s">
        <v>41</v>
      </c>
      <c r="L520" s="14">
        <v>567.0</v>
      </c>
      <c r="M520" s="18" t="s">
        <v>43</v>
      </c>
      <c r="N520" s="20">
        <v>1.0</v>
      </c>
      <c r="O520" s="18">
        <v>23.9</v>
      </c>
      <c r="P520" s="20">
        <v>3.5</v>
      </c>
      <c r="Q520" s="16">
        <v>45244.0</v>
      </c>
      <c r="R520" s="16">
        <v>45597.0</v>
      </c>
      <c r="S520" s="13" t="s">
        <v>45</v>
      </c>
      <c r="T520" s="13" t="s">
        <v>75</v>
      </c>
      <c r="U520" s="13" t="str">
        <f t="shared" si="1"/>
        <v>Moderate</v>
      </c>
      <c r="V520" s="13" t="str">
        <f t="shared" si="2"/>
        <v>Below Median</v>
      </c>
      <c r="W520" s="13" t="str">
        <f t="shared" si="3"/>
        <v>Invalid Tenure</v>
      </c>
    </row>
    <row r="521" hidden="1">
      <c r="A521" s="13" t="s">
        <v>226</v>
      </c>
      <c r="B521" s="13" t="s">
        <v>633</v>
      </c>
      <c r="C521" s="14">
        <v>57.0</v>
      </c>
      <c r="D521" s="13" t="s">
        <v>85</v>
      </c>
      <c r="E521" s="13" t="s">
        <v>87</v>
      </c>
      <c r="F521" s="13" t="s">
        <v>37</v>
      </c>
      <c r="G521" s="13" t="s">
        <v>128</v>
      </c>
      <c r="H521" s="16">
        <v>45891.0</v>
      </c>
      <c r="I521" s="14">
        <v>42.0</v>
      </c>
      <c r="J521" s="13" t="s">
        <v>53</v>
      </c>
      <c r="K521" s="13" t="s">
        <v>65</v>
      </c>
      <c r="L521" s="14">
        <v>1686.0</v>
      </c>
      <c r="M521" s="18" t="s">
        <v>46</v>
      </c>
      <c r="N521" s="20">
        <v>0.0</v>
      </c>
      <c r="O521" s="18">
        <v>13.5</v>
      </c>
      <c r="P521" s="20">
        <v>4.4</v>
      </c>
      <c r="Q521" s="16">
        <v>46153.0</v>
      </c>
      <c r="R521" s="16" t="s">
        <v>38</v>
      </c>
      <c r="S521" s="13" t="s">
        <v>55</v>
      </c>
      <c r="T521" s="13" t="s">
        <v>47</v>
      </c>
      <c r="U521" s="13" t="str">
        <f t="shared" si="1"/>
        <v>Moderate</v>
      </c>
      <c r="V521" s="13" t="str">
        <f t="shared" si="2"/>
        <v>Below Median</v>
      </c>
      <c r="W521" s="13" t="str">
        <f t="shared" si="3"/>
        <v>25–48 Months</v>
      </c>
    </row>
    <row r="522" hidden="1">
      <c r="A522" s="13" t="s">
        <v>1074</v>
      </c>
      <c r="B522" s="13" t="s">
        <v>215</v>
      </c>
      <c r="C522" s="14">
        <v>58.0</v>
      </c>
      <c r="D522" s="13" t="s">
        <v>35</v>
      </c>
      <c r="E522" s="13" t="s">
        <v>36</v>
      </c>
      <c r="F522" s="13" t="s">
        <v>37</v>
      </c>
      <c r="G522" s="13" t="s">
        <v>39</v>
      </c>
      <c r="H522" s="16">
        <v>45472.0</v>
      </c>
      <c r="I522" s="14">
        <v>1.0</v>
      </c>
      <c r="J522" s="13" t="s">
        <v>64</v>
      </c>
      <c r="K522" s="13" t="s">
        <v>65</v>
      </c>
      <c r="L522" s="14">
        <v>1775.0</v>
      </c>
      <c r="M522" s="18" t="s">
        <v>99</v>
      </c>
      <c r="N522" s="20">
        <v>1.0</v>
      </c>
      <c r="O522" s="18">
        <v>27.2</v>
      </c>
      <c r="P522" s="20">
        <v>4.1</v>
      </c>
      <c r="Q522" s="16">
        <v>45504.0</v>
      </c>
      <c r="R522" s="16" t="s">
        <v>38</v>
      </c>
      <c r="S522" s="13" t="s">
        <v>55</v>
      </c>
      <c r="T522" s="13" t="s">
        <v>47</v>
      </c>
      <c r="U522" s="13" t="str">
        <f t="shared" si="1"/>
        <v>Moderate</v>
      </c>
      <c r="V522" s="13" t="str">
        <f t="shared" si="2"/>
        <v>Median or Above</v>
      </c>
      <c r="W522" s="13" t="str">
        <f t="shared" si="3"/>
        <v>0–12 Months</v>
      </c>
    </row>
    <row r="523" hidden="1">
      <c r="A523" s="13" t="s">
        <v>1075</v>
      </c>
      <c r="B523" s="13" t="s">
        <v>135</v>
      </c>
      <c r="C523" s="14">
        <v>36.0</v>
      </c>
      <c r="D523" s="13" t="s">
        <v>69</v>
      </c>
      <c r="E523" s="13" t="s">
        <v>92</v>
      </c>
      <c r="F523" s="13" t="s">
        <v>62</v>
      </c>
      <c r="G523" s="13" t="s">
        <v>63</v>
      </c>
      <c r="H523" s="16">
        <v>46003.0</v>
      </c>
      <c r="I523" s="14">
        <v>46.0</v>
      </c>
      <c r="J523" s="13" t="s">
        <v>64</v>
      </c>
      <c r="K523" s="13" t="s">
        <v>81</v>
      </c>
      <c r="L523" s="14">
        <v>502.0</v>
      </c>
      <c r="M523" s="18" t="s">
        <v>43</v>
      </c>
      <c r="N523" s="20">
        <v>1.0</v>
      </c>
      <c r="O523" s="18">
        <v>18.6</v>
      </c>
      <c r="P523" s="20">
        <v>3.4</v>
      </c>
      <c r="Q523" s="16">
        <v>47320.0</v>
      </c>
      <c r="R523" s="16" t="s">
        <v>38</v>
      </c>
      <c r="S523" s="13" t="s">
        <v>55</v>
      </c>
      <c r="T523" s="13" t="s">
        <v>75</v>
      </c>
      <c r="U523" s="13" t="str">
        <f t="shared" si="1"/>
        <v>Moderate</v>
      </c>
      <c r="V523" s="13" t="str">
        <f t="shared" si="2"/>
        <v>Below Median</v>
      </c>
      <c r="W523" s="13" t="str">
        <f t="shared" si="3"/>
        <v>25–48 Months</v>
      </c>
    </row>
    <row r="524" hidden="1">
      <c r="A524" s="13" t="s">
        <v>1076</v>
      </c>
      <c r="B524" s="13" t="s">
        <v>250</v>
      </c>
      <c r="C524" s="14">
        <v>62.0</v>
      </c>
      <c r="D524" s="13" t="s">
        <v>69</v>
      </c>
      <c r="E524" s="13" t="s">
        <v>187</v>
      </c>
      <c r="F524" s="13" t="s">
        <v>62</v>
      </c>
      <c r="G524" s="13" t="s">
        <v>39</v>
      </c>
      <c r="H524" s="16">
        <v>44695.0</v>
      </c>
      <c r="I524" s="14">
        <v>9.0</v>
      </c>
      <c r="J524" s="13" t="s">
        <v>40</v>
      </c>
      <c r="K524" s="13" t="s">
        <v>81</v>
      </c>
      <c r="L524" s="14">
        <v>790.0</v>
      </c>
      <c r="M524" s="18" t="s">
        <v>43</v>
      </c>
      <c r="N524" s="20">
        <v>0.0</v>
      </c>
      <c r="O524" s="18">
        <v>7.7</v>
      </c>
      <c r="P524" s="20">
        <v>4.2</v>
      </c>
      <c r="Q524" s="16">
        <v>44972.0</v>
      </c>
      <c r="R524" s="16" t="s">
        <v>38</v>
      </c>
      <c r="S524" s="13" t="s">
        <v>55</v>
      </c>
      <c r="T524" s="13" t="s">
        <v>66</v>
      </c>
      <c r="U524" s="13" t="str">
        <f t="shared" si="1"/>
        <v>Moderate</v>
      </c>
      <c r="V524" s="13" t="str">
        <f t="shared" si="2"/>
        <v>Below Median</v>
      </c>
      <c r="W524" s="13" t="str">
        <f t="shared" si="3"/>
        <v>0–12 Months</v>
      </c>
    </row>
    <row r="525" hidden="1">
      <c r="A525" s="13" t="s">
        <v>1077</v>
      </c>
      <c r="B525" s="13" t="s">
        <v>639</v>
      </c>
      <c r="C525" s="14">
        <v>50.0</v>
      </c>
      <c r="D525" s="13" t="s">
        <v>60</v>
      </c>
      <c r="E525" s="13" t="s">
        <v>133</v>
      </c>
      <c r="F525" s="13" t="s">
        <v>62</v>
      </c>
      <c r="G525" s="13" t="s">
        <v>120</v>
      </c>
      <c r="H525" s="16">
        <v>45874.0</v>
      </c>
      <c r="I525" s="14">
        <v>44.0</v>
      </c>
      <c r="J525" s="13" t="s">
        <v>53</v>
      </c>
      <c r="K525" s="13" t="s">
        <v>81</v>
      </c>
      <c r="L525" s="14">
        <v>525.0</v>
      </c>
      <c r="M525" s="18" t="s">
        <v>43</v>
      </c>
      <c r="N525" s="20">
        <v>1.0</v>
      </c>
      <c r="O525" s="18">
        <v>15.6</v>
      </c>
      <c r="P525" s="20">
        <v>2.6</v>
      </c>
      <c r="Q525" s="16">
        <v>46717.0</v>
      </c>
      <c r="R525" s="16" t="s">
        <v>1078</v>
      </c>
      <c r="S525" s="13" t="s">
        <v>45</v>
      </c>
      <c r="T525" s="13" t="s">
        <v>104</v>
      </c>
      <c r="U525" s="13" t="str">
        <f t="shared" si="1"/>
        <v>Low</v>
      </c>
      <c r="V525" s="13" t="str">
        <f t="shared" si="2"/>
        <v>Below Median</v>
      </c>
      <c r="W525" s="13" t="str">
        <f t="shared" si="3"/>
        <v>25–48 Months</v>
      </c>
    </row>
    <row r="526" hidden="1">
      <c r="A526" s="13" t="s">
        <v>1079</v>
      </c>
      <c r="B526" s="13" t="s">
        <v>239</v>
      </c>
      <c r="C526" s="14">
        <v>66.0</v>
      </c>
      <c r="D526" s="13" t="s">
        <v>69</v>
      </c>
      <c r="E526" s="13" t="s">
        <v>70</v>
      </c>
      <c r="F526" s="13" t="s">
        <v>62</v>
      </c>
      <c r="G526" s="13" t="s">
        <v>120</v>
      </c>
      <c r="H526" s="16">
        <v>45652.0</v>
      </c>
      <c r="I526" s="14">
        <v>29.0</v>
      </c>
      <c r="J526" s="13" t="s">
        <v>40</v>
      </c>
      <c r="K526" s="13" t="s">
        <v>81</v>
      </c>
      <c r="L526" s="14">
        <v>699.0</v>
      </c>
      <c r="M526" s="18" t="s">
        <v>98</v>
      </c>
      <c r="N526" s="20">
        <v>2.0</v>
      </c>
      <c r="O526" s="18">
        <v>8.9</v>
      </c>
      <c r="P526" s="20">
        <v>4.0</v>
      </c>
      <c r="Q526" s="16">
        <v>45745.0</v>
      </c>
      <c r="R526" s="16" t="s">
        <v>38</v>
      </c>
      <c r="S526" s="13" t="s">
        <v>55</v>
      </c>
      <c r="T526" s="13" t="s">
        <v>75</v>
      </c>
      <c r="U526" s="13" t="str">
        <f t="shared" si="1"/>
        <v>Moderate</v>
      </c>
      <c r="V526" s="13" t="str">
        <f t="shared" si="2"/>
        <v>Below Median</v>
      </c>
      <c r="W526" s="13" t="str">
        <f t="shared" si="3"/>
        <v>25–48 Months</v>
      </c>
    </row>
    <row r="527" hidden="1">
      <c r="A527" s="13" t="s">
        <v>1080</v>
      </c>
      <c r="B527" s="13" t="s">
        <v>448</v>
      </c>
      <c r="C527" s="14">
        <v>35.0</v>
      </c>
      <c r="D527" s="13" t="s">
        <v>69</v>
      </c>
      <c r="E527" s="13" t="s">
        <v>187</v>
      </c>
      <c r="F527" s="13" t="s">
        <v>62</v>
      </c>
      <c r="G527" s="13" t="s">
        <v>210</v>
      </c>
      <c r="H527" s="16">
        <v>44690.0</v>
      </c>
      <c r="I527" s="14">
        <v>41.0</v>
      </c>
      <c r="J527" s="13" t="s">
        <v>40</v>
      </c>
      <c r="K527" s="13" t="s">
        <v>41</v>
      </c>
      <c r="L527" s="14">
        <v>513.0</v>
      </c>
      <c r="M527" s="18" t="s">
        <v>43</v>
      </c>
      <c r="N527" s="20">
        <v>0.0</v>
      </c>
      <c r="O527" s="18">
        <v>21.9</v>
      </c>
      <c r="P527" s="20">
        <v>3.4</v>
      </c>
      <c r="Q527" s="16">
        <v>44749.0</v>
      </c>
      <c r="R527" s="16" t="s">
        <v>38</v>
      </c>
      <c r="S527" s="13" t="s">
        <v>55</v>
      </c>
      <c r="T527" s="13" t="s">
        <v>75</v>
      </c>
      <c r="U527" s="13" t="str">
        <f t="shared" si="1"/>
        <v>Moderate</v>
      </c>
      <c r="V527" s="13" t="str">
        <f t="shared" si="2"/>
        <v>Below Median</v>
      </c>
      <c r="W527" s="13" t="str">
        <f t="shared" si="3"/>
        <v>25–48 Months</v>
      </c>
    </row>
    <row r="528" hidden="1">
      <c r="A528" s="13" t="s">
        <v>532</v>
      </c>
      <c r="B528" s="13" t="s">
        <v>340</v>
      </c>
      <c r="C528" s="14">
        <v>24.0</v>
      </c>
      <c r="D528" s="13" t="s">
        <v>60</v>
      </c>
      <c r="E528" s="13" t="s">
        <v>61</v>
      </c>
      <c r="F528" s="13" t="s">
        <v>37</v>
      </c>
      <c r="G528" s="13" t="s">
        <v>39</v>
      </c>
      <c r="H528" s="16">
        <v>45046.0</v>
      </c>
      <c r="I528" s="14">
        <v>5.0</v>
      </c>
      <c r="J528" s="13" t="s">
        <v>40</v>
      </c>
      <c r="K528" s="13" t="s">
        <v>41</v>
      </c>
      <c r="L528" s="14">
        <v>1448.0</v>
      </c>
      <c r="M528" s="18" t="s">
        <v>46</v>
      </c>
      <c r="N528" s="20">
        <v>1.0</v>
      </c>
      <c r="O528" s="18">
        <v>12.7</v>
      </c>
      <c r="P528" s="20">
        <v>4.9</v>
      </c>
      <c r="Q528" s="16">
        <v>45080.0</v>
      </c>
      <c r="R528" s="16" t="s">
        <v>1081</v>
      </c>
      <c r="S528" s="13" t="s">
        <v>45</v>
      </c>
      <c r="T528" s="13" t="s">
        <v>75</v>
      </c>
      <c r="U528" s="13" t="str">
        <f t="shared" si="1"/>
        <v>Moderate</v>
      </c>
      <c r="V528" s="13" t="str">
        <f t="shared" si="2"/>
        <v>Below Median</v>
      </c>
      <c r="W528" s="13" t="str">
        <f t="shared" si="3"/>
        <v>0–12 Months</v>
      </c>
    </row>
    <row r="529" hidden="1">
      <c r="A529" s="13" t="s">
        <v>901</v>
      </c>
      <c r="B529" s="13" t="s">
        <v>132</v>
      </c>
      <c r="C529" s="14">
        <v>37.0</v>
      </c>
      <c r="D529" s="13" t="s">
        <v>35</v>
      </c>
      <c r="E529" s="13" t="s">
        <v>51</v>
      </c>
      <c r="F529" s="13" t="s">
        <v>62</v>
      </c>
      <c r="G529" s="13" t="s">
        <v>128</v>
      </c>
      <c r="H529" s="16">
        <v>45467.0</v>
      </c>
      <c r="I529" s="14">
        <v>4.0</v>
      </c>
      <c r="J529" s="13" t="s">
        <v>53</v>
      </c>
      <c r="K529" s="13" t="s">
        <v>65</v>
      </c>
      <c r="L529" s="14">
        <v>819.0</v>
      </c>
      <c r="M529" s="18" t="s">
        <v>46</v>
      </c>
      <c r="N529" s="20">
        <v>1.0</v>
      </c>
      <c r="O529" s="18">
        <v>12.6</v>
      </c>
      <c r="P529" s="20">
        <v>4.6</v>
      </c>
      <c r="Q529" s="16">
        <v>45503.0</v>
      </c>
      <c r="R529" s="16" t="s">
        <v>38</v>
      </c>
      <c r="S529" s="13" t="s">
        <v>55</v>
      </c>
      <c r="T529" s="13" t="s">
        <v>104</v>
      </c>
      <c r="U529" s="13" t="str">
        <f t="shared" si="1"/>
        <v>Moderate</v>
      </c>
      <c r="V529" s="13" t="str">
        <f t="shared" si="2"/>
        <v>Below Median</v>
      </c>
      <c r="W529" s="13" t="str">
        <f t="shared" si="3"/>
        <v>0–12 Months</v>
      </c>
    </row>
    <row r="530" hidden="1">
      <c r="A530" s="13" t="s">
        <v>1082</v>
      </c>
      <c r="B530" s="13" t="s">
        <v>340</v>
      </c>
      <c r="C530" s="14">
        <v>99.0</v>
      </c>
      <c r="D530" s="13" t="s">
        <v>85</v>
      </c>
      <c r="E530" s="13" t="s">
        <v>111</v>
      </c>
      <c r="F530" s="13" t="s">
        <v>79</v>
      </c>
      <c r="G530" s="13" t="s">
        <v>128</v>
      </c>
      <c r="H530" s="16">
        <v>45913.0</v>
      </c>
      <c r="I530" s="14">
        <v>40.0</v>
      </c>
      <c r="J530" s="13" t="s">
        <v>40</v>
      </c>
      <c r="K530" s="13" t="s">
        <v>81</v>
      </c>
      <c r="L530" s="14">
        <v>3627.0</v>
      </c>
      <c r="M530" s="18" t="s">
        <v>43</v>
      </c>
      <c r="N530" s="20">
        <v>1.0</v>
      </c>
      <c r="O530" s="18">
        <v>38.3</v>
      </c>
      <c r="P530" s="20">
        <v>4.1</v>
      </c>
      <c r="Q530" s="16">
        <v>46799.0</v>
      </c>
      <c r="R530" s="16" t="s">
        <v>38</v>
      </c>
      <c r="S530" s="13" t="s">
        <v>55</v>
      </c>
      <c r="T530" s="13" t="s">
        <v>104</v>
      </c>
      <c r="U530" s="13" t="str">
        <f t="shared" si="1"/>
        <v>Moderate</v>
      </c>
      <c r="V530" s="13" t="str">
        <f t="shared" si="2"/>
        <v>Median or Above</v>
      </c>
      <c r="W530" s="13" t="str">
        <f t="shared" si="3"/>
        <v>25–48 Months</v>
      </c>
    </row>
    <row r="531" hidden="1">
      <c r="A531" s="13" t="s">
        <v>857</v>
      </c>
      <c r="B531" s="13" t="s">
        <v>176</v>
      </c>
      <c r="C531" s="14">
        <v>41.0</v>
      </c>
      <c r="D531" s="13" t="s">
        <v>60</v>
      </c>
      <c r="E531" s="13" t="s">
        <v>97</v>
      </c>
      <c r="F531" s="13" t="s">
        <v>62</v>
      </c>
      <c r="G531" s="13" t="s">
        <v>63</v>
      </c>
      <c r="H531" s="16">
        <v>45780.0</v>
      </c>
      <c r="I531" s="14">
        <v>46.0</v>
      </c>
      <c r="J531" s="13" t="s">
        <v>53</v>
      </c>
      <c r="K531" s="13" t="s">
        <v>65</v>
      </c>
      <c r="L531" s="14">
        <v>598.0</v>
      </c>
      <c r="M531" s="18" t="s">
        <v>164</v>
      </c>
      <c r="N531" s="20">
        <v>0.0</v>
      </c>
      <c r="O531" s="18">
        <v>13.0</v>
      </c>
      <c r="P531" s="20">
        <v>3.8</v>
      </c>
      <c r="Q531" s="16">
        <v>47095.0</v>
      </c>
      <c r="R531" s="16" t="s">
        <v>38</v>
      </c>
      <c r="S531" s="13" t="s">
        <v>55</v>
      </c>
      <c r="T531" s="13" t="s">
        <v>66</v>
      </c>
      <c r="U531" s="13" t="str">
        <f t="shared" si="1"/>
        <v>Moderate</v>
      </c>
      <c r="V531" s="13" t="str">
        <f t="shared" si="2"/>
        <v>Below Median</v>
      </c>
      <c r="W531" s="13" t="str">
        <f t="shared" si="3"/>
        <v>25–48 Months</v>
      </c>
    </row>
    <row r="532" hidden="1">
      <c r="A532" s="13" t="s">
        <v>1083</v>
      </c>
      <c r="B532" s="13" t="s">
        <v>78</v>
      </c>
      <c r="C532" s="14">
        <v>28.0</v>
      </c>
      <c r="D532" s="13" t="s">
        <v>69</v>
      </c>
      <c r="E532" s="13" t="s">
        <v>187</v>
      </c>
      <c r="F532" s="13" t="s">
        <v>62</v>
      </c>
      <c r="G532" s="13" t="s">
        <v>63</v>
      </c>
      <c r="H532" s="16">
        <v>44685.0</v>
      </c>
      <c r="I532" s="14">
        <v>9.0</v>
      </c>
      <c r="J532" s="13" t="s">
        <v>53</v>
      </c>
      <c r="K532" s="13" t="s">
        <v>65</v>
      </c>
      <c r="L532" s="14">
        <v>722.0</v>
      </c>
      <c r="M532" s="18" t="s">
        <v>43</v>
      </c>
      <c r="N532" s="20">
        <v>0.0</v>
      </c>
      <c r="O532" s="18">
        <v>17.1</v>
      </c>
      <c r="P532" s="20">
        <v>2.9</v>
      </c>
      <c r="Q532" s="16">
        <v>44878.0</v>
      </c>
      <c r="R532" s="16" t="s">
        <v>38</v>
      </c>
      <c r="S532" s="13" t="s">
        <v>55</v>
      </c>
      <c r="T532" s="13" t="s">
        <v>66</v>
      </c>
      <c r="U532" s="13" t="str">
        <f t="shared" si="1"/>
        <v>Low</v>
      </c>
      <c r="V532" s="13" t="str">
        <f t="shared" si="2"/>
        <v>Below Median</v>
      </c>
      <c r="W532" s="13" t="str">
        <f t="shared" si="3"/>
        <v>0–12 Months</v>
      </c>
    </row>
    <row r="533" hidden="1">
      <c r="A533" s="13" t="s">
        <v>1084</v>
      </c>
      <c r="B533" s="13" t="s">
        <v>202</v>
      </c>
      <c r="C533" s="14">
        <v>41.0</v>
      </c>
      <c r="D533" s="13" t="s">
        <v>60</v>
      </c>
      <c r="E533" s="13" t="s">
        <v>107</v>
      </c>
      <c r="F533" s="13" t="s">
        <v>79</v>
      </c>
      <c r="G533" s="13" t="s">
        <v>80</v>
      </c>
      <c r="H533" s="16">
        <v>45763.0</v>
      </c>
      <c r="I533" s="14">
        <v>43.0</v>
      </c>
      <c r="J533" s="13" t="s">
        <v>40</v>
      </c>
      <c r="K533" s="13" t="s">
        <v>41</v>
      </c>
      <c r="L533" s="14">
        <v>3037.0</v>
      </c>
      <c r="M533" s="18" t="s">
        <v>98</v>
      </c>
      <c r="N533" s="20">
        <v>1.0</v>
      </c>
      <c r="O533" s="18">
        <v>14.7</v>
      </c>
      <c r="P533" s="20">
        <v>3.4</v>
      </c>
      <c r="Q533" s="16">
        <v>46918.0</v>
      </c>
      <c r="R533" s="16" t="s">
        <v>38</v>
      </c>
      <c r="S533" s="13" t="s">
        <v>55</v>
      </c>
      <c r="T533" s="13" t="s">
        <v>47</v>
      </c>
      <c r="U533" s="13" t="str">
        <f t="shared" si="1"/>
        <v>Moderate</v>
      </c>
      <c r="V533" s="13" t="str">
        <f t="shared" si="2"/>
        <v>Below Median</v>
      </c>
      <c r="W533" s="13" t="str">
        <f t="shared" si="3"/>
        <v>25–48 Months</v>
      </c>
    </row>
    <row r="534" hidden="1">
      <c r="A534" s="13" t="s">
        <v>1306</v>
      </c>
      <c r="B534" s="13" t="s">
        <v>232</v>
      </c>
      <c r="C534" s="14">
        <v>45.0</v>
      </c>
      <c r="D534" s="13" t="s">
        <v>60</v>
      </c>
      <c r="E534" s="13" t="s">
        <v>97</v>
      </c>
      <c r="F534" s="13" t="s">
        <v>37</v>
      </c>
      <c r="G534" s="13" t="s">
        <v>52</v>
      </c>
      <c r="H534" s="16">
        <v>45978.0</v>
      </c>
      <c r="I534" s="14">
        <v>30.0</v>
      </c>
      <c r="J534" s="13" t="s">
        <v>53</v>
      </c>
      <c r="K534" s="13" t="s">
        <v>41</v>
      </c>
      <c r="L534" s="14">
        <v>1591.0</v>
      </c>
      <c r="M534" s="18" t="s">
        <v>98</v>
      </c>
      <c r="N534" s="20">
        <v>0.0</v>
      </c>
      <c r="O534" s="18">
        <v>38.6</v>
      </c>
      <c r="P534" s="20">
        <v>4.0</v>
      </c>
      <c r="Q534" s="16">
        <v>46331.0</v>
      </c>
      <c r="R534" s="16" t="s">
        <v>38</v>
      </c>
      <c r="S534" s="13" t="s">
        <v>55</v>
      </c>
      <c r="T534" s="13" t="s">
        <v>104</v>
      </c>
      <c r="U534" s="13" t="str">
        <f t="shared" si="1"/>
        <v>Moderate</v>
      </c>
      <c r="V534" s="13" t="str">
        <f t="shared" si="2"/>
        <v>Median or Above</v>
      </c>
      <c r="W534" s="13" t="str">
        <f t="shared" si="3"/>
        <v>25–48 Months</v>
      </c>
    </row>
    <row r="535" hidden="1">
      <c r="A535" s="13" t="s">
        <v>528</v>
      </c>
      <c r="B535" s="13" t="s">
        <v>257</v>
      </c>
      <c r="C535" s="14" t="s">
        <v>38</v>
      </c>
      <c r="D535" s="13" t="s">
        <v>35</v>
      </c>
      <c r="E535" s="13" t="s">
        <v>140</v>
      </c>
      <c r="F535" s="13" t="s">
        <v>62</v>
      </c>
      <c r="G535" s="13" t="s">
        <v>63</v>
      </c>
      <c r="H535" s="16">
        <v>45870.0</v>
      </c>
      <c r="I535" s="14">
        <v>15.0</v>
      </c>
      <c r="J535" s="13" t="s">
        <v>53</v>
      </c>
      <c r="K535" s="13" t="s">
        <v>41</v>
      </c>
      <c r="L535" s="14">
        <v>737.0</v>
      </c>
      <c r="M535" s="18" t="s">
        <v>43</v>
      </c>
      <c r="N535" s="20">
        <v>0.0</v>
      </c>
      <c r="O535" s="18">
        <v>11.5</v>
      </c>
      <c r="P535" s="20">
        <v>2.5</v>
      </c>
      <c r="Q535" s="16">
        <v>46002.0</v>
      </c>
      <c r="R535" s="16" t="s">
        <v>38</v>
      </c>
      <c r="S535" s="13" t="s">
        <v>55</v>
      </c>
      <c r="T535" s="13" t="s">
        <v>75</v>
      </c>
      <c r="U535" s="13" t="str">
        <f t="shared" si="1"/>
        <v>Low</v>
      </c>
      <c r="V535" s="13" t="str">
        <f t="shared" si="2"/>
        <v>Below Median</v>
      </c>
      <c r="W535" s="13" t="str">
        <f t="shared" si="3"/>
        <v>13–24 Months</v>
      </c>
    </row>
    <row r="536" hidden="1">
      <c r="A536" s="13" t="s">
        <v>1087</v>
      </c>
      <c r="B536" s="13" t="s">
        <v>132</v>
      </c>
      <c r="C536" s="14">
        <v>31.0</v>
      </c>
      <c r="D536" s="13" t="s">
        <v>35</v>
      </c>
      <c r="E536" s="13" t="s">
        <v>161</v>
      </c>
      <c r="F536" s="13" t="s">
        <v>62</v>
      </c>
      <c r="G536" s="13" t="s">
        <v>210</v>
      </c>
      <c r="H536" s="16">
        <v>44623.0</v>
      </c>
      <c r="I536" s="14">
        <v>36.0</v>
      </c>
      <c r="J536" s="13" t="s">
        <v>40</v>
      </c>
      <c r="K536" s="13" t="s">
        <v>65</v>
      </c>
      <c r="L536" s="14">
        <v>647.0</v>
      </c>
      <c r="M536" s="18" t="s">
        <v>98</v>
      </c>
      <c r="N536" s="20">
        <v>0.0</v>
      </c>
      <c r="O536" s="18">
        <v>30.5</v>
      </c>
      <c r="P536" s="20">
        <v>2.9</v>
      </c>
      <c r="Q536" s="16">
        <v>45370.0</v>
      </c>
      <c r="R536" s="16" t="s">
        <v>38</v>
      </c>
      <c r="S536" s="13" t="s">
        <v>55</v>
      </c>
      <c r="T536" s="13" t="s">
        <v>47</v>
      </c>
      <c r="U536" s="13" t="str">
        <f t="shared" si="1"/>
        <v>Low</v>
      </c>
      <c r="V536" s="13" t="str">
        <f t="shared" si="2"/>
        <v>Median or Above</v>
      </c>
      <c r="W536" s="13" t="str">
        <f t="shared" si="3"/>
        <v>25–48 Months</v>
      </c>
    </row>
    <row r="537" hidden="1">
      <c r="A537" s="13" t="s">
        <v>1088</v>
      </c>
      <c r="B537" s="13" t="s">
        <v>126</v>
      </c>
      <c r="C537" s="14">
        <v>43.0</v>
      </c>
      <c r="D537" s="13" t="s">
        <v>60</v>
      </c>
      <c r="E537" s="13" t="s">
        <v>97</v>
      </c>
      <c r="F537" s="13" t="s">
        <v>62</v>
      </c>
      <c r="G537" s="13" t="s">
        <v>80</v>
      </c>
      <c r="H537" s="16">
        <v>45065.0</v>
      </c>
      <c r="I537" s="14">
        <v>12.0</v>
      </c>
      <c r="J537" s="13" t="s">
        <v>64</v>
      </c>
      <c r="K537" s="13" t="s">
        <v>41</v>
      </c>
      <c r="L537" s="14">
        <v>589.0</v>
      </c>
      <c r="M537" s="18" t="s">
        <v>98</v>
      </c>
      <c r="N537" s="20">
        <v>3.0</v>
      </c>
      <c r="O537" s="18">
        <v>10.0</v>
      </c>
      <c r="P537" s="20">
        <v>3.0</v>
      </c>
      <c r="Q537" s="16">
        <v>45126.0</v>
      </c>
      <c r="R537" s="16" t="s">
        <v>38</v>
      </c>
      <c r="S537" s="13" t="s">
        <v>55</v>
      </c>
      <c r="T537" s="13" t="s">
        <v>72</v>
      </c>
      <c r="U537" s="13" t="str">
        <f t="shared" si="1"/>
        <v>Moderate</v>
      </c>
      <c r="V537" s="13" t="str">
        <f t="shared" si="2"/>
        <v>Below Median</v>
      </c>
      <c r="W537" s="13" t="str">
        <f t="shared" si="3"/>
        <v>0–12 Months</v>
      </c>
    </row>
    <row r="538" hidden="1">
      <c r="A538" s="13" t="s">
        <v>1090</v>
      </c>
      <c r="B538" s="13" t="s">
        <v>325</v>
      </c>
      <c r="C538" s="14">
        <v>28.0</v>
      </c>
      <c r="D538" s="13" t="s">
        <v>60</v>
      </c>
      <c r="E538" s="13" t="s">
        <v>133</v>
      </c>
      <c r="F538" s="13" t="s">
        <v>62</v>
      </c>
      <c r="G538" s="13" t="s">
        <v>128</v>
      </c>
      <c r="H538" s="16">
        <v>45324.0</v>
      </c>
      <c r="I538" s="14">
        <v>43.0</v>
      </c>
      <c r="J538" s="13" t="s">
        <v>40</v>
      </c>
      <c r="K538" s="13" t="s">
        <v>41</v>
      </c>
      <c r="L538" s="14">
        <v>768.0</v>
      </c>
      <c r="M538" s="18" t="s">
        <v>164</v>
      </c>
      <c r="N538" s="20">
        <v>0.0</v>
      </c>
      <c r="O538" s="18">
        <v>9.2</v>
      </c>
      <c r="P538" s="20">
        <v>3.4</v>
      </c>
      <c r="Q538" s="16">
        <v>46222.0</v>
      </c>
      <c r="R538" s="16" t="s">
        <v>38</v>
      </c>
      <c r="S538" s="13" t="s">
        <v>55</v>
      </c>
      <c r="T538" s="13" t="s">
        <v>47</v>
      </c>
      <c r="U538" s="13" t="str">
        <f t="shared" si="1"/>
        <v>Moderate</v>
      </c>
      <c r="V538" s="13" t="str">
        <f t="shared" si="2"/>
        <v>Below Median</v>
      </c>
      <c r="W538" s="13" t="str">
        <f t="shared" si="3"/>
        <v>25–48 Months</v>
      </c>
    </row>
    <row r="539" hidden="1">
      <c r="A539" s="13" t="s">
        <v>1096</v>
      </c>
      <c r="B539" s="13" t="s">
        <v>176</v>
      </c>
      <c r="C539" s="14">
        <v>28.0</v>
      </c>
      <c r="D539" s="13" t="s">
        <v>85</v>
      </c>
      <c r="E539" s="13" t="s">
        <v>92</v>
      </c>
      <c r="F539" s="13" t="s">
        <v>62</v>
      </c>
      <c r="G539" s="13" t="s">
        <v>120</v>
      </c>
      <c r="H539" s="16">
        <v>45864.0</v>
      </c>
      <c r="I539" s="14">
        <v>16.0</v>
      </c>
      <c r="J539" s="13" t="s">
        <v>53</v>
      </c>
      <c r="K539" s="13" t="s">
        <v>41</v>
      </c>
      <c r="L539" s="14">
        <v>889.0</v>
      </c>
      <c r="M539" s="18" t="s">
        <v>164</v>
      </c>
      <c r="N539" s="20">
        <v>1.0</v>
      </c>
      <c r="O539" s="18">
        <v>22.8</v>
      </c>
      <c r="P539" s="20">
        <v>4.7</v>
      </c>
      <c r="Q539" s="16">
        <v>45970.0</v>
      </c>
      <c r="R539" s="16">
        <v>46153.0</v>
      </c>
      <c r="S539" s="13" t="s">
        <v>45</v>
      </c>
      <c r="T539" s="13" t="s">
        <v>104</v>
      </c>
      <c r="U539" s="13" t="str">
        <f t="shared" si="1"/>
        <v>Moderate</v>
      </c>
      <c r="V539" s="13" t="str">
        <f t="shared" si="2"/>
        <v>Below Median</v>
      </c>
      <c r="W539" s="13" t="str">
        <f t="shared" si="3"/>
        <v>13–24 Months</v>
      </c>
    </row>
    <row r="540" hidden="1">
      <c r="A540" s="13" t="s">
        <v>1102</v>
      </c>
      <c r="B540" s="13" t="s">
        <v>476</v>
      </c>
      <c r="C540" s="14">
        <v>67.0</v>
      </c>
      <c r="D540" s="13" t="s">
        <v>60</v>
      </c>
      <c r="E540" s="13" t="s">
        <v>97</v>
      </c>
      <c r="F540" s="13" t="s">
        <v>79</v>
      </c>
      <c r="G540" s="13" t="s">
        <v>80</v>
      </c>
      <c r="H540" s="16">
        <v>45563.0</v>
      </c>
      <c r="I540" s="14">
        <v>14.0</v>
      </c>
      <c r="J540" s="13" t="s">
        <v>64</v>
      </c>
      <c r="K540" s="13" t="s">
        <v>81</v>
      </c>
      <c r="L540" s="14">
        <v>3258.0</v>
      </c>
      <c r="M540" s="18" t="s">
        <v>43</v>
      </c>
      <c r="N540" s="20">
        <v>3.0</v>
      </c>
      <c r="O540" s="18">
        <v>23.3</v>
      </c>
      <c r="P540" s="20">
        <v>3.0</v>
      </c>
      <c r="Q540" s="16">
        <v>45606.0</v>
      </c>
      <c r="R540" s="16" t="s">
        <v>1105</v>
      </c>
      <c r="S540" s="13" t="s">
        <v>45</v>
      </c>
      <c r="T540" s="13" t="s">
        <v>72</v>
      </c>
      <c r="U540" s="13" t="str">
        <f t="shared" si="1"/>
        <v>Moderate</v>
      </c>
      <c r="V540" s="13" t="str">
        <f t="shared" si="2"/>
        <v>Below Median</v>
      </c>
      <c r="W540" s="13" t="str">
        <f t="shared" si="3"/>
        <v>13–24 Months</v>
      </c>
    </row>
    <row r="541" hidden="1">
      <c r="A541" s="13" t="s">
        <v>1109</v>
      </c>
      <c r="B541" s="13" t="s">
        <v>308</v>
      </c>
      <c r="C541" s="14">
        <v>32.0</v>
      </c>
      <c r="D541" s="13" t="s">
        <v>85</v>
      </c>
      <c r="E541" s="13" t="s">
        <v>111</v>
      </c>
      <c r="F541" s="13" t="s">
        <v>62</v>
      </c>
      <c r="G541" s="13" t="s">
        <v>210</v>
      </c>
      <c r="H541" s="16">
        <v>45638.0</v>
      </c>
      <c r="I541" s="14">
        <v>45.0</v>
      </c>
      <c r="J541" s="13" t="s">
        <v>40</v>
      </c>
      <c r="K541" s="13" t="s">
        <v>41</v>
      </c>
      <c r="L541" s="14">
        <v>752.0</v>
      </c>
      <c r="M541" s="18" t="s">
        <v>164</v>
      </c>
      <c r="N541" s="20">
        <v>0.0</v>
      </c>
      <c r="O541" s="18">
        <v>10.4</v>
      </c>
      <c r="P541" s="20">
        <v>3.1</v>
      </c>
      <c r="Q541" s="16">
        <v>46838.0</v>
      </c>
      <c r="R541" s="16" t="s">
        <v>38</v>
      </c>
      <c r="S541" s="13" t="s">
        <v>55</v>
      </c>
      <c r="T541" s="13" t="s">
        <v>75</v>
      </c>
      <c r="U541" s="13" t="str">
        <f t="shared" si="1"/>
        <v>Moderate</v>
      </c>
      <c r="V541" s="13" t="str">
        <f t="shared" si="2"/>
        <v>Below Median</v>
      </c>
      <c r="W541" s="13" t="str">
        <f t="shared" si="3"/>
        <v>25–48 Months</v>
      </c>
    </row>
    <row r="542" hidden="1">
      <c r="A542" s="13" t="s">
        <v>1112</v>
      </c>
      <c r="B542" s="13" t="s">
        <v>736</v>
      </c>
      <c r="C542" s="14">
        <v>47.0</v>
      </c>
      <c r="D542" s="13" t="s">
        <v>85</v>
      </c>
      <c r="E542" s="13" t="s">
        <v>111</v>
      </c>
      <c r="F542" s="13" t="s">
        <v>62</v>
      </c>
      <c r="G542" s="13" t="s">
        <v>120</v>
      </c>
      <c r="H542" s="16">
        <v>45732.0</v>
      </c>
      <c r="I542" s="14">
        <v>11.0</v>
      </c>
      <c r="J542" s="13" t="s">
        <v>64</v>
      </c>
      <c r="K542" s="13" t="s">
        <v>65</v>
      </c>
      <c r="L542" s="14">
        <v>690.0</v>
      </c>
      <c r="M542" s="18" t="s">
        <v>99</v>
      </c>
      <c r="N542" s="20">
        <v>1.0</v>
      </c>
      <c r="O542" s="18">
        <v>14.4</v>
      </c>
      <c r="P542" s="20">
        <v>4.5</v>
      </c>
      <c r="Q542" s="16">
        <v>45785.0</v>
      </c>
      <c r="R542" s="16" t="s">
        <v>1113</v>
      </c>
      <c r="S542" s="13" t="s">
        <v>45</v>
      </c>
      <c r="T542" s="13" t="s">
        <v>47</v>
      </c>
      <c r="U542" s="13" t="str">
        <f t="shared" si="1"/>
        <v>Moderate</v>
      </c>
      <c r="V542" s="13" t="str">
        <f t="shared" si="2"/>
        <v>Below Median</v>
      </c>
      <c r="W542" s="13" t="str">
        <f t="shared" si="3"/>
        <v>0–12 Months</v>
      </c>
    </row>
    <row r="543" hidden="1">
      <c r="A543" s="13" t="s">
        <v>1114</v>
      </c>
      <c r="B543" s="13" t="s">
        <v>224</v>
      </c>
      <c r="C543" s="14">
        <v>43.0</v>
      </c>
      <c r="D543" s="13" t="s">
        <v>35</v>
      </c>
      <c r="E543" s="13" t="s">
        <v>140</v>
      </c>
      <c r="F543" s="13" t="s">
        <v>37</v>
      </c>
      <c r="G543" s="13" t="s">
        <v>210</v>
      </c>
      <c r="H543" s="16">
        <v>45434.0</v>
      </c>
      <c r="I543" s="14">
        <v>29.0</v>
      </c>
      <c r="J543" s="13" t="s">
        <v>40</v>
      </c>
      <c r="K543" s="13" t="s">
        <v>41</v>
      </c>
      <c r="L543" s="14">
        <v>1375.0</v>
      </c>
      <c r="M543" s="18" t="s">
        <v>43</v>
      </c>
      <c r="N543" s="20">
        <v>1.0</v>
      </c>
      <c r="O543" s="18">
        <v>22.1</v>
      </c>
      <c r="P543" s="20">
        <v>4.3</v>
      </c>
      <c r="Q543" s="16">
        <v>45953.0</v>
      </c>
      <c r="R543" s="16" t="s">
        <v>38</v>
      </c>
      <c r="S543" s="13" t="s">
        <v>55</v>
      </c>
      <c r="T543" s="13" t="s">
        <v>75</v>
      </c>
      <c r="U543" s="13" t="str">
        <f t="shared" si="1"/>
        <v>Moderate</v>
      </c>
      <c r="V543" s="13" t="str">
        <f t="shared" si="2"/>
        <v>Below Median</v>
      </c>
      <c r="W543" s="13" t="str">
        <f t="shared" si="3"/>
        <v>25–48 Months</v>
      </c>
    </row>
    <row r="544" hidden="1">
      <c r="A544" s="13" t="s">
        <v>1115</v>
      </c>
      <c r="B544" s="13" t="s">
        <v>215</v>
      </c>
      <c r="C544" s="14">
        <v>26.0</v>
      </c>
      <c r="D544" s="13" t="s">
        <v>60</v>
      </c>
      <c r="E544" s="13" t="s">
        <v>61</v>
      </c>
      <c r="F544" s="13" t="s">
        <v>62</v>
      </c>
      <c r="G544" s="13" t="s">
        <v>63</v>
      </c>
      <c r="H544" s="16">
        <v>45165.0</v>
      </c>
      <c r="I544" s="14">
        <v>33.0</v>
      </c>
      <c r="J544" s="13" t="s">
        <v>40</v>
      </c>
      <c r="K544" s="13" t="s">
        <v>65</v>
      </c>
      <c r="L544" s="14">
        <v>828.0</v>
      </c>
      <c r="M544" s="18" t="s">
        <v>46</v>
      </c>
      <c r="N544" s="20">
        <v>1.0</v>
      </c>
      <c r="O544" s="18">
        <v>26.6</v>
      </c>
      <c r="P544" s="20">
        <v>4.0</v>
      </c>
      <c r="Q544" s="16">
        <v>45458.0</v>
      </c>
      <c r="R544" s="16" t="s">
        <v>38</v>
      </c>
      <c r="S544" s="13" t="s">
        <v>55</v>
      </c>
      <c r="T544" s="13" t="s">
        <v>104</v>
      </c>
      <c r="U544" s="13" t="str">
        <f t="shared" si="1"/>
        <v>Moderate</v>
      </c>
      <c r="V544" s="13" t="str">
        <f t="shared" si="2"/>
        <v>Median or Above</v>
      </c>
      <c r="W544" s="13" t="str">
        <f t="shared" si="3"/>
        <v>25–48 Months</v>
      </c>
    </row>
    <row r="545" hidden="1">
      <c r="A545" s="13" t="s">
        <v>1116</v>
      </c>
      <c r="B545" s="13" t="s">
        <v>605</v>
      </c>
      <c r="C545" s="14">
        <v>67.0</v>
      </c>
      <c r="D545" s="13" t="s">
        <v>69</v>
      </c>
      <c r="E545" s="13" t="s">
        <v>177</v>
      </c>
      <c r="F545" s="13" t="s">
        <v>62</v>
      </c>
      <c r="G545" s="13" t="s">
        <v>210</v>
      </c>
      <c r="H545" s="16">
        <v>45074.0</v>
      </c>
      <c r="I545" s="14">
        <v>20.0</v>
      </c>
      <c r="J545" s="13" t="s">
        <v>64</v>
      </c>
      <c r="K545" s="13" t="s">
        <v>81</v>
      </c>
      <c r="L545" s="14">
        <v>892.0</v>
      </c>
      <c r="M545" s="18" t="s">
        <v>43</v>
      </c>
      <c r="N545" s="20">
        <v>0.0</v>
      </c>
      <c r="O545" s="18">
        <v>24.2</v>
      </c>
      <c r="P545" s="20">
        <v>3.7</v>
      </c>
      <c r="Q545" s="16">
        <v>45365.0</v>
      </c>
      <c r="R545" s="16">
        <v>45505.0</v>
      </c>
      <c r="S545" s="13" t="s">
        <v>45</v>
      </c>
      <c r="T545" s="13" t="s">
        <v>66</v>
      </c>
      <c r="U545" s="13" t="str">
        <f t="shared" si="1"/>
        <v>Moderate</v>
      </c>
      <c r="V545" s="13" t="str">
        <f t="shared" si="2"/>
        <v>Median or Above</v>
      </c>
      <c r="W545" s="13" t="str">
        <f t="shared" si="3"/>
        <v>13–24 Months</v>
      </c>
    </row>
    <row r="546" hidden="1">
      <c r="A546" s="13" t="s">
        <v>1118</v>
      </c>
      <c r="B546" s="13" t="s">
        <v>145</v>
      </c>
      <c r="C546" s="14">
        <v>44.0</v>
      </c>
      <c r="D546" s="13" t="s">
        <v>35</v>
      </c>
      <c r="E546" s="13" t="s">
        <v>161</v>
      </c>
      <c r="F546" s="13" t="s">
        <v>62</v>
      </c>
      <c r="G546" s="13" t="s">
        <v>210</v>
      </c>
      <c r="H546" s="16">
        <v>45389.0</v>
      </c>
      <c r="I546" s="14">
        <v>26.0</v>
      </c>
      <c r="J546" s="13" t="s">
        <v>40</v>
      </c>
      <c r="K546" s="13" t="s">
        <v>41</v>
      </c>
      <c r="L546" s="14">
        <v>886.0</v>
      </c>
      <c r="M546" s="18" t="s">
        <v>98</v>
      </c>
      <c r="N546" s="20">
        <v>0.0</v>
      </c>
      <c r="O546" s="18">
        <v>9.4</v>
      </c>
      <c r="P546" s="20">
        <v>5.0</v>
      </c>
      <c r="Q546" s="16">
        <v>45882.0</v>
      </c>
      <c r="R546" s="16">
        <v>46206.0</v>
      </c>
      <c r="S546" s="13" t="s">
        <v>45</v>
      </c>
      <c r="T546" s="13" t="s">
        <v>47</v>
      </c>
      <c r="U546" s="13" t="str">
        <f t="shared" si="1"/>
        <v>High</v>
      </c>
      <c r="V546" s="13" t="str">
        <f t="shared" si="2"/>
        <v>Below Median</v>
      </c>
      <c r="W546" s="13" t="str">
        <f t="shared" si="3"/>
        <v>25–48 Months</v>
      </c>
    </row>
    <row r="547" hidden="1">
      <c r="A547" s="13" t="s">
        <v>695</v>
      </c>
      <c r="B547" s="13" t="s">
        <v>801</v>
      </c>
      <c r="C547" s="14">
        <v>47.0</v>
      </c>
      <c r="D547" s="13" t="s">
        <v>69</v>
      </c>
      <c r="E547" s="13" t="s">
        <v>119</v>
      </c>
      <c r="F547" s="13" t="s">
        <v>37</v>
      </c>
      <c r="G547" s="13" t="s">
        <v>120</v>
      </c>
      <c r="H547" s="16">
        <v>45259.0</v>
      </c>
      <c r="I547" s="14">
        <v>6.0</v>
      </c>
      <c r="J547" s="13" t="s">
        <v>53</v>
      </c>
      <c r="K547" s="13" t="s">
        <v>81</v>
      </c>
      <c r="L547" s="14">
        <v>1438.0</v>
      </c>
      <c r="M547" s="18" t="s">
        <v>46</v>
      </c>
      <c r="N547" s="20">
        <v>2.0</v>
      </c>
      <c r="O547" s="18">
        <v>29.8</v>
      </c>
      <c r="P547" s="20">
        <v>3.8</v>
      </c>
      <c r="Q547" s="16">
        <v>45447.0</v>
      </c>
      <c r="R547" s="16" t="s">
        <v>38</v>
      </c>
      <c r="S547" s="13" t="s">
        <v>55</v>
      </c>
      <c r="T547" s="13" t="s">
        <v>104</v>
      </c>
      <c r="U547" s="13" t="str">
        <f t="shared" si="1"/>
        <v>Moderate</v>
      </c>
      <c r="V547" s="13" t="str">
        <f t="shared" si="2"/>
        <v>Median or Above</v>
      </c>
      <c r="W547" s="13" t="str">
        <f t="shared" si="3"/>
        <v>0–12 Months</v>
      </c>
    </row>
    <row r="548" hidden="1">
      <c r="A548" s="13" t="s">
        <v>1121</v>
      </c>
      <c r="B548" s="13" t="s">
        <v>222</v>
      </c>
      <c r="C548" s="14">
        <v>39.0</v>
      </c>
      <c r="D548" s="13" t="s">
        <v>69</v>
      </c>
      <c r="E548" s="13" t="s">
        <v>187</v>
      </c>
      <c r="F548" s="13" t="s">
        <v>62</v>
      </c>
      <c r="G548" s="13" t="s">
        <v>52</v>
      </c>
      <c r="H548" s="16">
        <v>44581.0</v>
      </c>
      <c r="I548" s="14">
        <v>32.0</v>
      </c>
      <c r="J548" s="13" t="s">
        <v>64</v>
      </c>
      <c r="K548" s="13" t="s">
        <v>41</v>
      </c>
      <c r="L548" s="14">
        <v>680.0</v>
      </c>
      <c r="M548" s="18" t="s">
        <v>46</v>
      </c>
      <c r="N548" s="20">
        <v>1.0</v>
      </c>
      <c r="O548" s="18">
        <v>11.8</v>
      </c>
      <c r="P548" s="20">
        <v>3.7</v>
      </c>
      <c r="Q548" s="16">
        <v>45020.0</v>
      </c>
      <c r="R548" s="16" t="s">
        <v>1122</v>
      </c>
      <c r="S548" s="13" t="s">
        <v>45</v>
      </c>
      <c r="T548" s="13" t="s">
        <v>66</v>
      </c>
      <c r="U548" s="13" t="str">
        <f t="shared" si="1"/>
        <v>Moderate</v>
      </c>
      <c r="V548" s="13" t="str">
        <f t="shared" si="2"/>
        <v>Below Median</v>
      </c>
      <c r="W548" s="13" t="str">
        <f t="shared" si="3"/>
        <v>25–48 Months</v>
      </c>
    </row>
    <row r="549" hidden="1">
      <c r="A549" s="13" t="s">
        <v>1123</v>
      </c>
      <c r="B549" s="13" t="s">
        <v>333</v>
      </c>
      <c r="C549" s="14">
        <v>23.0</v>
      </c>
      <c r="D549" s="13" t="s">
        <v>69</v>
      </c>
      <c r="E549" s="13" t="s">
        <v>187</v>
      </c>
      <c r="F549" s="13" t="s">
        <v>79</v>
      </c>
      <c r="G549" s="13" t="s">
        <v>210</v>
      </c>
      <c r="H549" s="16">
        <v>45725.0</v>
      </c>
      <c r="I549" s="14">
        <v>41.0</v>
      </c>
      <c r="J549" s="13" t="s">
        <v>64</v>
      </c>
      <c r="K549" s="13" t="s">
        <v>65</v>
      </c>
      <c r="L549" s="14">
        <v>3774.0</v>
      </c>
      <c r="M549" s="18" t="s">
        <v>98</v>
      </c>
      <c r="N549" s="20">
        <v>0.0</v>
      </c>
      <c r="O549" s="18">
        <v>36.6</v>
      </c>
      <c r="P549" s="20">
        <v>4.4</v>
      </c>
      <c r="Q549" s="16">
        <v>46535.0</v>
      </c>
      <c r="R549" s="16" t="s">
        <v>1124</v>
      </c>
      <c r="S549" s="13" t="s">
        <v>45</v>
      </c>
      <c r="T549" s="13" t="s">
        <v>47</v>
      </c>
      <c r="U549" s="13" t="str">
        <f t="shared" si="1"/>
        <v>Moderate</v>
      </c>
      <c r="V549" s="13" t="str">
        <f t="shared" si="2"/>
        <v>Median or Above</v>
      </c>
      <c r="W549" s="13" t="str">
        <f t="shared" si="3"/>
        <v>25–48 Months</v>
      </c>
    </row>
    <row r="550" hidden="1">
      <c r="A550" s="13" t="s">
        <v>1126</v>
      </c>
      <c r="B550" s="13" t="s">
        <v>345</v>
      </c>
      <c r="C550" s="14">
        <v>20.0</v>
      </c>
      <c r="D550" s="13" t="s">
        <v>35</v>
      </c>
      <c r="E550" s="13" t="s">
        <v>161</v>
      </c>
      <c r="F550" s="13" t="s">
        <v>37</v>
      </c>
      <c r="G550" s="13" t="s">
        <v>120</v>
      </c>
      <c r="H550" s="16">
        <v>45870.0</v>
      </c>
      <c r="I550" s="14">
        <v>20.0</v>
      </c>
      <c r="J550" s="13" t="s">
        <v>40</v>
      </c>
      <c r="K550" s="13" t="s">
        <v>41</v>
      </c>
      <c r="L550" s="14">
        <v>1690.0</v>
      </c>
      <c r="M550" s="18" t="s">
        <v>173</v>
      </c>
      <c r="N550" s="20">
        <v>0.0</v>
      </c>
      <c r="O550" s="18">
        <v>43.2</v>
      </c>
      <c r="P550" s="20">
        <v>3.9</v>
      </c>
      <c r="Q550" s="16">
        <v>46061.0</v>
      </c>
      <c r="R550" s="16" t="s">
        <v>38</v>
      </c>
      <c r="S550" s="13" t="s">
        <v>55</v>
      </c>
      <c r="T550" s="13" t="s">
        <v>104</v>
      </c>
      <c r="U550" s="13" t="str">
        <f t="shared" si="1"/>
        <v>Moderate</v>
      </c>
      <c r="V550" s="13" t="str">
        <f t="shared" si="2"/>
        <v>Median or Above</v>
      </c>
      <c r="W550" s="13" t="str">
        <f t="shared" si="3"/>
        <v>13–24 Months</v>
      </c>
    </row>
    <row r="551" hidden="1">
      <c r="A551" s="13" t="s">
        <v>940</v>
      </c>
      <c r="B551" s="13" t="s">
        <v>633</v>
      </c>
      <c r="C551" s="14">
        <v>44.0</v>
      </c>
      <c r="D551" s="13" t="s">
        <v>60</v>
      </c>
      <c r="E551" s="13" t="s">
        <v>97</v>
      </c>
      <c r="F551" s="13" t="s">
        <v>62</v>
      </c>
      <c r="G551" s="13" t="s">
        <v>52</v>
      </c>
      <c r="H551" s="16">
        <v>45635.0</v>
      </c>
      <c r="I551" s="14">
        <v>5.0</v>
      </c>
      <c r="J551" s="13" t="s">
        <v>40</v>
      </c>
      <c r="K551" s="13" t="s">
        <v>41</v>
      </c>
      <c r="L551" s="14">
        <v>687.0</v>
      </c>
      <c r="M551" s="18" t="s">
        <v>164</v>
      </c>
      <c r="N551" s="20">
        <v>1.0</v>
      </c>
      <c r="O551" s="18">
        <v>11.0</v>
      </c>
      <c r="P551" s="20">
        <v>3.1</v>
      </c>
      <c r="Q551" s="16">
        <v>45688.0</v>
      </c>
      <c r="R551" s="16" t="s">
        <v>38</v>
      </c>
      <c r="S551" s="13" t="s">
        <v>55</v>
      </c>
      <c r="T551" s="13" t="s">
        <v>47</v>
      </c>
      <c r="U551" s="13" t="str">
        <f t="shared" si="1"/>
        <v>Moderate</v>
      </c>
      <c r="V551" s="13" t="str">
        <f t="shared" si="2"/>
        <v>Below Median</v>
      </c>
      <c r="W551" s="13" t="str">
        <f t="shared" si="3"/>
        <v>0–12 Months</v>
      </c>
    </row>
    <row r="552" hidden="1">
      <c r="A552" s="13" t="s">
        <v>849</v>
      </c>
      <c r="B552" s="13" t="s">
        <v>232</v>
      </c>
      <c r="C552" s="14">
        <v>56.0</v>
      </c>
      <c r="D552" s="13" t="s">
        <v>85</v>
      </c>
      <c r="E552" s="13" t="s">
        <v>87</v>
      </c>
      <c r="F552" s="13" t="s">
        <v>37</v>
      </c>
      <c r="G552" s="13" t="s">
        <v>120</v>
      </c>
      <c r="H552" s="16">
        <v>44984.0</v>
      </c>
      <c r="I552" s="14">
        <v>9.0</v>
      </c>
      <c r="J552" s="13" t="s">
        <v>40</v>
      </c>
      <c r="K552" s="13" t="s">
        <v>81</v>
      </c>
      <c r="L552" s="14">
        <v>1441.0</v>
      </c>
      <c r="M552" s="18" t="s">
        <v>98</v>
      </c>
      <c r="N552" s="20">
        <v>0.0</v>
      </c>
      <c r="O552" s="18">
        <v>33.3</v>
      </c>
      <c r="P552" s="20">
        <v>5.0</v>
      </c>
      <c r="Q552" s="16">
        <v>45237.0</v>
      </c>
      <c r="R552" s="16" t="s">
        <v>1127</v>
      </c>
      <c r="S552" s="13" t="s">
        <v>45</v>
      </c>
      <c r="T552" s="13" t="s">
        <v>75</v>
      </c>
      <c r="U552" s="13" t="str">
        <f t="shared" si="1"/>
        <v>High</v>
      </c>
      <c r="V552" s="13" t="str">
        <f t="shared" si="2"/>
        <v>Median or Above</v>
      </c>
      <c r="W552" s="13" t="str">
        <f t="shared" si="3"/>
        <v>0–12 Months</v>
      </c>
    </row>
    <row r="553">
      <c r="A553" s="13" t="s">
        <v>1128</v>
      </c>
      <c r="B553" s="13" t="s">
        <v>110</v>
      </c>
      <c r="C553" s="14">
        <v>48.0</v>
      </c>
      <c r="D553" s="13" t="s">
        <v>69</v>
      </c>
      <c r="E553" s="13" t="s">
        <v>70</v>
      </c>
      <c r="F553" s="13" t="s">
        <v>79</v>
      </c>
      <c r="G553" s="13" t="s">
        <v>120</v>
      </c>
      <c r="H553" s="16">
        <v>44900.0</v>
      </c>
      <c r="I553" s="14">
        <v>26.0</v>
      </c>
      <c r="J553" s="13" t="s">
        <v>64</v>
      </c>
      <c r="K553" s="13" t="s">
        <v>41</v>
      </c>
      <c r="L553" s="14">
        <v>2672.0</v>
      </c>
      <c r="M553" s="18" t="s">
        <v>164</v>
      </c>
      <c r="N553" s="20">
        <v>0.0</v>
      </c>
      <c r="O553" s="18">
        <v>31.9</v>
      </c>
      <c r="P553" s="20">
        <v>4.0</v>
      </c>
      <c r="Q553" s="16">
        <v>45285.0</v>
      </c>
      <c r="R553" s="16" t="s">
        <v>38</v>
      </c>
      <c r="S553" s="13" t="s">
        <v>230</v>
      </c>
      <c r="T553" s="13" t="s">
        <v>104</v>
      </c>
      <c r="U553" s="13" t="str">
        <f t="shared" si="1"/>
        <v>Moderate</v>
      </c>
      <c r="V553" s="13" t="str">
        <f t="shared" si="2"/>
        <v>Median or Above</v>
      </c>
      <c r="W553" s="13" t="str">
        <f t="shared" si="3"/>
        <v>25–48 Months</v>
      </c>
    </row>
    <row r="554" hidden="1">
      <c r="A554" s="13" t="s">
        <v>1129</v>
      </c>
      <c r="B554" s="13" t="s">
        <v>34</v>
      </c>
      <c r="C554" s="14">
        <v>48.0</v>
      </c>
      <c r="D554" s="13" t="s">
        <v>85</v>
      </c>
      <c r="E554" s="13" t="s">
        <v>92</v>
      </c>
      <c r="F554" s="13" t="s">
        <v>37</v>
      </c>
      <c r="G554" s="13" t="s">
        <v>52</v>
      </c>
      <c r="H554" s="16">
        <v>45171.0</v>
      </c>
      <c r="I554" s="14">
        <v>26.0</v>
      </c>
      <c r="J554" s="13" t="s">
        <v>53</v>
      </c>
      <c r="K554" s="13" t="s">
        <v>81</v>
      </c>
      <c r="L554" s="14">
        <v>1424.0</v>
      </c>
      <c r="M554" s="18" t="s">
        <v>38</v>
      </c>
      <c r="N554" s="20">
        <v>3.0</v>
      </c>
      <c r="O554" s="18">
        <v>20.7</v>
      </c>
      <c r="P554" s="20">
        <v>4.9</v>
      </c>
      <c r="Q554" s="16">
        <v>45364.0</v>
      </c>
      <c r="R554" s="16" t="s">
        <v>38</v>
      </c>
      <c r="S554" s="13" t="s">
        <v>55</v>
      </c>
      <c r="T554" s="13" t="s">
        <v>47</v>
      </c>
      <c r="U554" s="13" t="str">
        <f t="shared" si="1"/>
        <v>Moderate</v>
      </c>
      <c r="V554" s="13" t="str">
        <f t="shared" si="2"/>
        <v>Below Median</v>
      </c>
      <c r="W554" s="13" t="str">
        <f t="shared" si="3"/>
        <v>25–48 Months</v>
      </c>
    </row>
    <row r="555">
      <c r="A555" s="13" t="s">
        <v>1130</v>
      </c>
      <c r="B555" s="13" t="s">
        <v>316</v>
      </c>
      <c r="C555" s="14">
        <v>45.0</v>
      </c>
      <c r="D555" s="13" t="s">
        <v>35</v>
      </c>
      <c r="E555" s="13" t="s">
        <v>140</v>
      </c>
      <c r="F555" s="13" t="s">
        <v>37</v>
      </c>
      <c r="G555" s="13" t="s">
        <v>63</v>
      </c>
      <c r="H555" s="16">
        <v>45052.0</v>
      </c>
      <c r="I555" s="14">
        <v>11.0</v>
      </c>
      <c r="J555" s="13" t="s">
        <v>64</v>
      </c>
      <c r="K555" s="13" t="s">
        <v>41</v>
      </c>
      <c r="L555" s="14">
        <v>1549.0</v>
      </c>
      <c r="M555" s="18" t="s">
        <v>38</v>
      </c>
      <c r="N555" s="20">
        <v>1.0</v>
      </c>
      <c r="O555" s="18">
        <v>21.1</v>
      </c>
      <c r="P555" s="20">
        <v>3.7</v>
      </c>
      <c r="Q555" s="16">
        <v>45096.0</v>
      </c>
      <c r="R555" s="16" t="s">
        <v>38</v>
      </c>
      <c r="S555" s="13" t="s">
        <v>230</v>
      </c>
      <c r="T555" s="13" t="s">
        <v>72</v>
      </c>
      <c r="U555" s="13" t="str">
        <f t="shared" si="1"/>
        <v>Moderate</v>
      </c>
      <c r="V555" s="13" t="str">
        <f t="shared" si="2"/>
        <v>Below Median</v>
      </c>
      <c r="W555" s="13" t="str">
        <f t="shared" si="3"/>
        <v>0–12 Months</v>
      </c>
    </row>
    <row r="556" hidden="1">
      <c r="A556" s="13" t="s">
        <v>1131</v>
      </c>
      <c r="B556" s="13" t="s">
        <v>734</v>
      </c>
      <c r="C556" s="14">
        <v>40.0</v>
      </c>
      <c r="D556" s="13" t="s">
        <v>35</v>
      </c>
      <c r="E556" s="13" t="s">
        <v>161</v>
      </c>
      <c r="F556" s="13" t="s">
        <v>62</v>
      </c>
      <c r="G556" s="13" t="s">
        <v>39</v>
      </c>
      <c r="H556" s="16">
        <v>45079.0</v>
      </c>
      <c r="I556" s="14">
        <v>14.0</v>
      </c>
      <c r="J556" s="13" t="s">
        <v>64</v>
      </c>
      <c r="K556" s="13" t="s">
        <v>65</v>
      </c>
      <c r="L556" s="14">
        <v>735.0</v>
      </c>
      <c r="M556" s="18" t="s">
        <v>46</v>
      </c>
      <c r="N556" s="20">
        <v>0.0</v>
      </c>
      <c r="O556" s="18">
        <v>15.7</v>
      </c>
      <c r="P556" s="20">
        <v>3.1</v>
      </c>
      <c r="Q556" s="16">
        <v>45416.0</v>
      </c>
      <c r="R556" s="16" t="s">
        <v>38</v>
      </c>
      <c r="S556" s="13" t="s">
        <v>55</v>
      </c>
      <c r="T556" s="13" t="s">
        <v>47</v>
      </c>
      <c r="U556" s="13" t="str">
        <f t="shared" si="1"/>
        <v>Moderate</v>
      </c>
      <c r="V556" s="13" t="str">
        <f t="shared" si="2"/>
        <v>Below Median</v>
      </c>
      <c r="W556" s="13" t="str">
        <f t="shared" si="3"/>
        <v>13–24 Months</v>
      </c>
    </row>
    <row r="557" hidden="1">
      <c r="A557" s="13" t="s">
        <v>1132</v>
      </c>
      <c r="B557" s="13" t="s">
        <v>349</v>
      </c>
      <c r="C557" s="14">
        <v>64.0</v>
      </c>
      <c r="D557" s="13" t="s">
        <v>35</v>
      </c>
      <c r="E557" s="13" t="s">
        <v>36</v>
      </c>
      <c r="F557" s="13" t="s">
        <v>62</v>
      </c>
      <c r="G557" s="13" t="s">
        <v>52</v>
      </c>
      <c r="H557" s="16">
        <v>44841.0</v>
      </c>
      <c r="I557" s="14">
        <v>21.0</v>
      </c>
      <c r="J557" s="13" t="s">
        <v>53</v>
      </c>
      <c r="K557" s="13" t="s">
        <v>41</v>
      </c>
      <c r="L557" s="14">
        <v>736.0</v>
      </c>
      <c r="M557" s="18" t="s">
        <v>173</v>
      </c>
      <c r="N557" s="20">
        <v>0.0</v>
      </c>
      <c r="O557" s="18">
        <v>17.7</v>
      </c>
      <c r="P557" s="20">
        <v>3.9</v>
      </c>
      <c r="Q557" s="16">
        <v>44920.0</v>
      </c>
      <c r="R557" s="16" t="s">
        <v>38</v>
      </c>
      <c r="S557" s="13" t="s">
        <v>55</v>
      </c>
      <c r="T557" s="13" t="s">
        <v>75</v>
      </c>
      <c r="U557" s="13" t="str">
        <f t="shared" si="1"/>
        <v>Moderate</v>
      </c>
      <c r="V557" s="13" t="str">
        <f t="shared" si="2"/>
        <v>Below Median</v>
      </c>
      <c r="W557" s="13" t="str">
        <f t="shared" si="3"/>
        <v>13–24 Months</v>
      </c>
    </row>
    <row r="558" hidden="1">
      <c r="A558" s="13" t="s">
        <v>1133</v>
      </c>
      <c r="B558" s="13" t="s">
        <v>303</v>
      </c>
      <c r="C558" s="14">
        <v>62.0</v>
      </c>
      <c r="D558" s="13" t="s">
        <v>69</v>
      </c>
      <c r="E558" s="13" t="s">
        <v>187</v>
      </c>
      <c r="F558" s="13" t="s">
        <v>37</v>
      </c>
      <c r="G558" s="13" t="s">
        <v>80</v>
      </c>
      <c r="H558" s="16">
        <v>44767.0</v>
      </c>
      <c r="I558" s="14">
        <v>12.0</v>
      </c>
      <c r="J558" s="13" t="s">
        <v>53</v>
      </c>
      <c r="K558" s="13" t="s">
        <v>41</v>
      </c>
      <c r="L558" s="14">
        <v>1758.0</v>
      </c>
      <c r="M558" s="18" t="s">
        <v>43</v>
      </c>
      <c r="N558" s="20">
        <v>1.0</v>
      </c>
      <c r="O558" s="18">
        <v>41.4</v>
      </c>
      <c r="P558" s="20">
        <v>2.8</v>
      </c>
      <c r="Q558" s="16">
        <v>44863.0</v>
      </c>
      <c r="R558" s="16" t="s">
        <v>38</v>
      </c>
      <c r="S558" s="13" t="s">
        <v>55</v>
      </c>
      <c r="T558" s="13" t="s">
        <v>75</v>
      </c>
      <c r="U558" s="13" t="str">
        <f t="shared" si="1"/>
        <v>Low</v>
      </c>
      <c r="V558" s="13" t="str">
        <f t="shared" si="2"/>
        <v>Median or Above</v>
      </c>
      <c r="W558" s="13" t="str">
        <f t="shared" si="3"/>
        <v>0–12 Months</v>
      </c>
    </row>
    <row r="559" hidden="1">
      <c r="A559" s="13" t="s">
        <v>1134</v>
      </c>
      <c r="B559" s="13" t="s">
        <v>59</v>
      </c>
      <c r="C559" s="14">
        <v>63.0</v>
      </c>
      <c r="D559" s="13" t="s">
        <v>69</v>
      </c>
      <c r="E559" s="13" t="s">
        <v>187</v>
      </c>
      <c r="F559" s="13" t="s">
        <v>37</v>
      </c>
      <c r="G559" s="13" t="s">
        <v>52</v>
      </c>
      <c r="H559" s="16">
        <v>45652.0</v>
      </c>
      <c r="I559" s="14">
        <v>14.0</v>
      </c>
      <c r="J559" s="13" t="s">
        <v>53</v>
      </c>
      <c r="K559" s="13" t="s">
        <v>65</v>
      </c>
      <c r="L559" s="14">
        <v>1649.0</v>
      </c>
      <c r="M559" s="18" t="s">
        <v>173</v>
      </c>
      <c r="N559" s="20">
        <v>0.0</v>
      </c>
      <c r="O559" s="18">
        <v>41.9</v>
      </c>
      <c r="P559" s="20">
        <v>4.3</v>
      </c>
      <c r="Q559" s="16">
        <v>45929.0</v>
      </c>
      <c r="R559" s="16" t="s">
        <v>38</v>
      </c>
      <c r="S559" s="13" t="s">
        <v>55</v>
      </c>
      <c r="T559" s="13" t="s">
        <v>104</v>
      </c>
      <c r="U559" s="13" t="str">
        <f t="shared" si="1"/>
        <v>Moderate</v>
      </c>
      <c r="V559" s="13" t="str">
        <f t="shared" si="2"/>
        <v>Median or Above</v>
      </c>
      <c r="W559" s="13" t="str">
        <f t="shared" si="3"/>
        <v>13–24 Months</v>
      </c>
    </row>
    <row r="560" hidden="1">
      <c r="A560" s="13" t="s">
        <v>921</v>
      </c>
      <c r="B560" s="13" t="s">
        <v>308</v>
      </c>
      <c r="C560" s="14">
        <v>19.0</v>
      </c>
      <c r="D560" s="13" t="s">
        <v>35</v>
      </c>
      <c r="E560" s="13" t="s">
        <v>36</v>
      </c>
      <c r="F560" s="13" t="s">
        <v>37</v>
      </c>
      <c r="G560" s="13" t="s">
        <v>128</v>
      </c>
      <c r="H560" s="16">
        <v>44975.0</v>
      </c>
      <c r="I560" s="14">
        <v>16.0</v>
      </c>
      <c r="J560" s="13" t="s">
        <v>53</v>
      </c>
      <c r="K560" s="13" t="s">
        <v>41</v>
      </c>
      <c r="L560" s="14">
        <v>1203.0</v>
      </c>
      <c r="M560" s="18" t="s">
        <v>43</v>
      </c>
      <c r="N560" s="20">
        <v>1.0</v>
      </c>
      <c r="O560" s="18">
        <v>44.7</v>
      </c>
      <c r="P560" s="20">
        <v>2.8</v>
      </c>
      <c r="Q560" s="16">
        <v>44993.0</v>
      </c>
      <c r="R560" s="16" t="s">
        <v>38</v>
      </c>
      <c r="S560" s="13" t="s">
        <v>55</v>
      </c>
      <c r="T560" s="13" t="s">
        <v>104</v>
      </c>
      <c r="U560" s="13" t="str">
        <f t="shared" si="1"/>
        <v>Low</v>
      </c>
      <c r="V560" s="13" t="str">
        <f t="shared" si="2"/>
        <v>Median or Above</v>
      </c>
      <c r="W560" s="13" t="str">
        <f t="shared" si="3"/>
        <v>13–24 Months</v>
      </c>
    </row>
    <row r="561" hidden="1">
      <c r="A561" s="13" t="s">
        <v>1136</v>
      </c>
      <c r="B561" s="13" t="s">
        <v>362</v>
      </c>
      <c r="C561" s="14">
        <v>53.0</v>
      </c>
      <c r="D561" s="13" t="s">
        <v>35</v>
      </c>
      <c r="E561" s="13" t="s">
        <v>51</v>
      </c>
      <c r="F561" s="13" t="s">
        <v>37</v>
      </c>
      <c r="G561" s="13" t="s">
        <v>63</v>
      </c>
      <c r="H561" s="16">
        <v>45413.0</v>
      </c>
      <c r="I561" s="14">
        <v>33.0</v>
      </c>
      <c r="J561" s="13" t="s">
        <v>53</v>
      </c>
      <c r="K561" s="13" t="s">
        <v>65</v>
      </c>
      <c r="L561" s="14">
        <v>1329.0</v>
      </c>
      <c r="M561" s="18" t="s">
        <v>98</v>
      </c>
      <c r="N561" s="20">
        <v>0.0</v>
      </c>
      <c r="O561" s="18">
        <v>48.4</v>
      </c>
      <c r="P561" s="20">
        <v>3.1</v>
      </c>
      <c r="Q561" s="16">
        <v>46064.0</v>
      </c>
      <c r="R561" s="16" t="s">
        <v>38</v>
      </c>
      <c r="S561" s="13" t="s">
        <v>55</v>
      </c>
      <c r="T561" s="13" t="s">
        <v>104</v>
      </c>
      <c r="U561" s="13" t="str">
        <f t="shared" si="1"/>
        <v>Moderate</v>
      </c>
      <c r="V561" s="13" t="str">
        <f t="shared" si="2"/>
        <v>Median or Above</v>
      </c>
      <c r="W561" s="13" t="str">
        <f t="shared" si="3"/>
        <v>25–48 Months</v>
      </c>
    </row>
    <row r="562" hidden="1">
      <c r="A562" s="13" t="s">
        <v>427</v>
      </c>
      <c r="B562" s="13" t="s">
        <v>215</v>
      </c>
      <c r="C562" s="14">
        <v>61.0</v>
      </c>
      <c r="D562" s="13" t="s">
        <v>69</v>
      </c>
      <c r="E562" s="13" t="s">
        <v>70</v>
      </c>
      <c r="F562" s="13" t="s">
        <v>62</v>
      </c>
      <c r="G562" s="13" t="s">
        <v>39</v>
      </c>
      <c r="H562" s="16">
        <v>44592.0</v>
      </c>
      <c r="I562" s="14">
        <v>26.0</v>
      </c>
      <c r="J562" s="13" t="s">
        <v>53</v>
      </c>
      <c r="K562" s="13" t="s">
        <v>81</v>
      </c>
      <c r="L562" s="14">
        <v>505.0</v>
      </c>
      <c r="M562" s="18" t="s">
        <v>98</v>
      </c>
      <c r="N562" s="20">
        <v>2.0</v>
      </c>
      <c r="O562" s="18">
        <v>19.6</v>
      </c>
      <c r="P562" s="20">
        <v>2.9</v>
      </c>
      <c r="Q562" s="16">
        <v>45071.0</v>
      </c>
      <c r="R562" s="16" t="s">
        <v>38</v>
      </c>
      <c r="S562" s="13" t="s">
        <v>55</v>
      </c>
      <c r="T562" s="13" t="s">
        <v>66</v>
      </c>
      <c r="U562" s="13" t="str">
        <f t="shared" si="1"/>
        <v>Low</v>
      </c>
      <c r="V562" s="13" t="str">
        <f t="shared" si="2"/>
        <v>Below Median</v>
      </c>
      <c r="W562" s="13" t="str">
        <f t="shared" si="3"/>
        <v>25–48 Months</v>
      </c>
    </row>
    <row r="563" hidden="1">
      <c r="A563" s="13" t="s">
        <v>392</v>
      </c>
      <c r="B563" s="13" t="s">
        <v>322</v>
      </c>
      <c r="C563" s="14">
        <v>25.0</v>
      </c>
      <c r="D563" s="13" t="s">
        <v>35</v>
      </c>
      <c r="E563" s="13" t="s">
        <v>36</v>
      </c>
      <c r="F563" s="13" t="s">
        <v>79</v>
      </c>
      <c r="G563" s="13" t="s">
        <v>120</v>
      </c>
      <c r="H563" s="16">
        <v>45179.0</v>
      </c>
      <c r="I563" s="14">
        <v>39.0</v>
      </c>
      <c r="J563" s="13" t="s">
        <v>64</v>
      </c>
      <c r="K563" s="13" t="s">
        <v>65</v>
      </c>
      <c r="L563" s="14">
        <v>3097.0</v>
      </c>
      <c r="M563" s="18" t="s">
        <v>98</v>
      </c>
      <c r="N563" s="20">
        <v>3.0</v>
      </c>
      <c r="O563" s="18">
        <v>53.8</v>
      </c>
      <c r="P563" s="20">
        <v>3.7</v>
      </c>
      <c r="Q563" s="16">
        <v>46354.0</v>
      </c>
      <c r="R563" s="16" t="s">
        <v>38</v>
      </c>
      <c r="S563" s="13" t="s">
        <v>55</v>
      </c>
      <c r="T563" s="13" t="s">
        <v>75</v>
      </c>
      <c r="U563" s="13" t="str">
        <f t="shared" si="1"/>
        <v>Moderate</v>
      </c>
      <c r="V563" s="13" t="str">
        <f t="shared" si="2"/>
        <v>Median or Above</v>
      </c>
      <c r="W563" s="13" t="str">
        <f t="shared" si="3"/>
        <v>25–48 Months</v>
      </c>
    </row>
    <row r="564" hidden="1">
      <c r="A564" s="13" t="s">
        <v>937</v>
      </c>
      <c r="B564" s="13" t="s">
        <v>351</v>
      </c>
      <c r="C564" s="14">
        <v>43.0</v>
      </c>
      <c r="D564" s="13" t="s">
        <v>69</v>
      </c>
      <c r="E564" s="13" t="s">
        <v>177</v>
      </c>
      <c r="F564" s="13" t="s">
        <v>62</v>
      </c>
      <c r="G564" s="13" t="s">
        <v>128</v>
      </c>
      <c r="H564" s="16">
        <v>45970.0</v>
      </c>
      <c r="I564" s="14">
        <v>21.0</v>
      </c>
      <c r="J564" s="13" t="s">
        <v>64</v>
      </c>
      <c r="K564" s="13" t="s">
        <v>81</v>
      </c>
      <c r="L564" s="14">
        <v>840.0</v>
      </c>
      <c r="M564" s="18" t="s">
        <v>43</v>
      </c>
      <c r="N564" s="20">
        <v>2.0</v>
      </c>
      <c r="O564" s="18">
        <v>11.6</v>
      </c>
      <c r="P564" s="20">
        <v>4.9</v>
      </c>
      <c r="Q564" s="16">
        <v>46323.0</v>
      </c>
      <c r="R564" s="16" t="s">
        <v>1138</v>
      </c>
      <c r="S564" s="13" t="s">
        <v>45</v>
      </c>
      <c r="T564" s="13" t="s">
        <v>47</v>
      </c>
      <c r="U564" s="13" t="str">
        <f t="shared" si="1"/>
        <v>Moderate</v>
      </c>
      <c r="V564" s="13" t="str">
        <f t="shared" si="2"/>
        <v>Below Median</v>
      </c>
      <c r="W564" s="13" t="str">
        <f t="shared" si="3"/>
        <v>13–24 Months</v>
      </c>
    </row>
    <row r="565" hidden="1">
      <c r="A565" s="13" t="s">
        <v>1139</v>
      </c>
      <c r="B565" s="13" t="s">
        <v>126</v>
      </c>
      <c r="C565" s="14">
        <v>42.0</v>
      </c>
      <c r="D565" s="13" t="s">
        <v>35</v>
      </c>
      <c r="E565" s="13" t="s">
        <v>51</v>
      </c>
      <c r="F565" s="13" t="s">
        <v>62</v>
      </c>
      <c r="G565" s="13" t="s">
        <v>128</v>
      </c>
      <c r="H565" s="16">
        <v>44816.0</v>
      </c>
      <c r="I565" s="14">
        <v>20.0</v>
      </c>
      <c r="J565" s="13" t="s">
        <v>53</v>
      </c>
      <c r="K565" s="13" t="s">
        <v>65</v>
      </c>
      <c r="L565" s="14">
        <v>718.0</v>
      </c>
      <c r="M565" s="18" t="s">
        <v>164</v>
      </c>
      <c r="N565" s="20">
        <v>1.0</v>
      </c>
      <c r="O565" s="18">
        <v>15.0</v>
      </c>
      <c r="P565" s="20">
        <v>3.6</v>
      </c>
      <c r="Q565" s="16">
        <v>44907.0</v>
      </c>
      <c r="R565" s="16" t="s">
        <v>38</v>
      </c>
      <c r="S565" s="13" t="s">
        <v>55</v>
      </c>
      <c r="T565" s="13" t="s">
        <v>47</v>
      </c>
      <c r="U565" s="13" t="str">
        <f t="shared" si="1"/>
        <v>Moderate</v>
      </c>
      <c r="V565" s="13" t="str">
        <f t="shared" si="2"/>
        <v>Below Median</v>
      </c>
      <c r="W565" s="13" t="str">
        <f t="shared" si="3"/>
        <v>13–24 Months</v>
      </c>
    </row>
    <row r="566" hidden="1">
      <c r="A566" s="13" t="s">
        <v>841</v>
      </c>
      <c r="B566" s="13" t="s">
        <v>202</v>
      </c>
      <c r="C566" s="14">
        <v>60.0</v>
      </c>
      <c r="D566" s="13" t="s">
        <v>85</v>
      </c>
      <c r="E566" s="13" t="s">
        <v>111</v>
      </c>
      <c r="F566" s="13" t="s">
        <v>37</v>
      </c>
      <c r="G566" s="13" t="s">
        <v>39</v>
      </c>
      <c r="H566" s="16">
        <v>45786.0</v>
      </c>
      <c r="I566" s="14">
        <v>29.0</v>
      </c>
      <c r="J566" s="13" t="s">
        <v>64</v>
      </c>
      <c r="K566" s="13" t="s">
        <v>41</v>
      </c>
      <c r="L566" s="14">
        <v>1136.0</v>
      </c>
      <c r="M566" s="18" t="s">
        <v>43</v>
      </c>
      <c r="N566" s="20">
        <v>2.0</v>
      </c>
      <c r="O566" s="18">
        <v>10.0</v>
      </c>
      <c r="P566" s="20">
        <v>2.6</v>
      </c>
      <c r="Q566" s="16">
        <v>46121.0</v>
      </c>
      <c r="R566" s="16" t="s">
        <v>1140</v>
      </c>
      <c r="S566" s="13" t="s">
        <v>45</v>
      </c>
      <c r="T566" s="13" t="s">
        <v>47</v>
      </c>
      <c r="U566" s="13" t="str">
        <f t="shared" si="1"/>
        <v>Low</v>
      </c>
      <c r="V566" s="13" t="str">
        <f t="shared" si="2"/>
        <v>Below Median</v>
      </c>
      <c r="W566" s="13" t="str">
        <f t="shared" si="3"/>
        <v>25–48 Months</v>
      </c>
    </row>
    <row r="567" hidden="1">
      <c r="A567" s="13" t="s">
        <v>1141</v>
      </c>
      <c r="B567" s="13" t="s">
        <v>411</v>
      </c>
      <c r="C567" s="14">
        <v>30.0</v>
      </c>
      <c r="D567" s="13" t="s">
        <v>60</v>
      </c>
      <c r="E567" s="13" t="s">
        <v>107</v>
      </c>
      <c r="F567" s="13" t="s">
        <v>62</v>
      </c>
      <c r="G567" s="13" t="s">
        <v>80</v>
      </c>
      <c r="H567" s="16">
        <v>44672.0</v>
      </c>
      <c r="I567" s="14">
        <v>43.0</v>
      </c>
      <c r="J567" s="13" t="s">
        <v>53</v>
      </c>
      <c r="K567" s="13" t="s">
        <v>81</v>
      </c>
      <c r="L567" s="14">
        <v>850.0</v>
      </c>
      <c r="M567" s="18" t="s">
        <v>98</v>
      </c>
      <c r="N567" s="20">
        <v>2.0</v>
      </c>
      <c r="O567" s="18">
        <v>16.5</v>
      </c>
      <c r="P567" s="20">
        <v>3.3</v>
      </c>
      <c r="Q567" s="16">
        <v>45137.0</v>
      </c>
      <c r="R567" s="16" t="s">
        <v>1143</v>
      </c>
      <c r="S567" s="13" t="s">
        <v>45</v>
      </c>
      <c r="T567" s="13" t="s">
        <v>104</v>
      </c>
      <c r="U567" s="13" t="str">
        <f t="shared" si="1"/>
        <v>Moderate</v>
      </c>
      <c r="V567" s="13" t="str">
        <f t="shared" si="2"/>
        <v>Below Median</v>
      </c>
      <c r="W567" s="13" t="str">
        <f t="shared" si="3"/>
        <v>25–48 Months</v>
      </c>
    </row>
    <row r="568" hidden="1">
      <c r="A568" s="13" t="s">
        <v>1144</v>
      </c>
      <c r="B568" s="13" t="s">
        <v>362</v>
      </c>
      <c r="C568" s="14">
        <v>51.0</v>
      </c>
      <c r="D568" s="13" t="s">
        <v>85</v>
      </c>
      <c r="E568" s="13" t="s">
        <v>292</v>
      </c>
      <c r="F568" s="13" t="s">
        <v>79</v>
      </c>
      <c r="G568" s="13" t="s">
        <v>63</v>
      </c>
      <c r="H568" s="16">
        <v>45861.0</v>
      </c>
      <c r="I568" s="14">
        <v>10.0</v>
      </c>
      <c r="J568" s="13" t="s">
        <v>40</v>
      </c>
      <c r="K568" s="13" t="s">
        <v>41</v>
      </c>
      <c r="L568" s="14">
        <v>2354.0</v>
      </c>
      <c r="M568" s="18" t="s">
        <v>46</v>
      </c>
      <c r="N568" s="20">
        <v>1.0</v>
      </c>
      <c r="O568" s="18">
        <v>28.8</v>
      </c>
      <c r="P568" s="20">
        <v>2.2</v>
      </c>
      <c r="Q568" s="16">
        <v>46174.0</v>
      </c>
      <c r="R568" s="16" t="s">
        <v>1145</v>
      </c>
      <c r="S568" s="13" t="s">
        <v>45</v>
      </c>
      <c r="T568" s="13" t="s">
        <v>75</v>
      </c>
      <c r="U568" s="13" t="str">
        <f t="shared" si="1"/>
        <v>Low</v>
      </c>
      <c r="V568" s="13" t="str">
        <f t="shared" si="2"/>
        <v>Median or Above</v>
      </c>
      <c r="W568" s="13" t="str">
        <f t="shared" si="3"/>
        <v>0–12 Months</v>
      </c>
    </row>
    <row r="569" hidden="1">
      <c r="A569" s="13" t="s">
        <v>1146</v>
      </c>
      <c r="B569" s="13" t="s">
        <v>380</v>
      </c>
      <c r="C569" s="14">
        <v>49.0</v>
      </c>
      <c r="D569" s="13" t="s">
        <v>69</v>
      </c>
      <c r="E569" s="13" t="s">
        <v>187</v>
      </c>
      <c r="F569" s="13" t="s">
        <v>62</v>
      </c>
      <c r="G569" s="13" t="s">
        <v>39</v>
      </c>
      <c r="H569" s="16">
        <v>45802.0</v>
      </c>
      <c r="I569" s="14">
        <v>16.0</v>
      </c>
      <c r="J569" s="13" t="s">
        <v>40</v>
      </c>
      <c r="K569" s="13" t="s">
        <v>65</v>
      </c>
      <c r="L569" s="14">
        <v>794.0</v>
      </c>
      <c r="M569" s="18" t="s">
        <v>43</v>
      </c>
      <c r="N569" s="20">
        <v>4.0</v>
      </c>
      <c r="O569" s="18">
        <v>30.7</v>
      </c>
      <c r="P569" s="20">
        <v>2.7</v>
      </c>
      <c r="Q569" s="16">
        <v>46137.0</v>
      </c>
      <c r="R569" s="16" t="s">
        <v>38</v>
      </c>
      <c r="S569" s="13" t="s">
        <v>55</v>
      </c>
      <c r="T569" s="13" t="s">
        <v>75</v>
      </c>
      <c r="U569" s="13" t="str">
        <f t="shared" si="1"/>
        <v>Low</v>
      </c>
      <c r="V569" s="13" t="str">
        <f t="shared" si="2"/>
        <v>Median or Above</v>
      </c>
      <c r="W569" s="13" t="str">
        <f t="shared" si="3"/>
        <v>13–24 Months</v>
      </c>
    </row>
    <row r="570" hidden="1">
      <c r="A570" s="13" t="s">
        <v>1147</v>
      </c>
      <c r="B570" s="13" t="s">
        <v>135</v>
      </c>
      <c r="C570" s="14">
        <v>67.0</v>
      </c>
      <c r="D570" s="13" t="s">
        <v>69</v>
      </c>
      <c r="E570" s="13" t="s">
        <v>119</v>
      </c>
      <c r="F570" s="13" t="s">
        <v>62</v>
      </c>
      <c r="G570" s="13" t="s">
        <v>80</v>
      </c>
      <c r="H570" s="16">
        <v>45810.0</v>
      </c>
      <c r="I570" s="14">
        <v>48.0</v>
      </c>
      <c r="J570" s="13" t="s">
        <v>53</v>
      </c>
      <c r="K570" s="13" t="s">
        <v>81</v>
      </c>
      <c r="L570" s="14">
        <v>578.0</v>
      </c>
      <c r="M570" s="18" t="s">
        <v>43</v>
      </c>
      <c r="N570" s="20">
        <v>0.0</v>
      </c>
      <c r="O570" s="18">
        <v>37.6</v>
      </c>
      <c r="P570" s="20">
        <v>3.2</v>
      </c>
      <c r="Q570" s="16">
        <v>46601.0</v>
      </c>
      <c r="R570" s="16" t="s">
        <v>38</v>
      </c>
      <c r="S570" s="13" t="s">
        <v>55</v>
      </c>
      <c r="T570" s="13" t="s">
        <v>66</v>
      </c>
      <c r="U570" s="13" t="str">
        <f t="shared" si="1"/>
        <v>Moderate</v>
      </c>
      <c r="V570" s="13" t="str">
        <f t="shared" si="2"/>
        <v>Median or Above</v>
      </c>
      <c r="W570" s="13" t="str">
        <f t="shared" si="3"/>
        <v>25–48 Months</v>
      </c>
    </row>
    <row r="571" hidden="1">
      <c r="A571" s="13" t="s">
        <v>1148</v>
      </c>
      <c r="B571" s="13" t="s">
        <v>383</v>
      </c>
      <c r="C571" s="14">
        <v>31.0</v>
      </c>
      <c r="D571" s="13" t="s">
        <v>69</v>
      </c>
      <c r="E571" s="13" t="s">
        <v>177</v>
      </c>
      <c r="F571" s="13" t="s">
        <v>62</v>
      </c>
      <c r="G571" s="13" t="s">
        <v>210</v>
      </c>
      <c r="H571" s="16">
        <v>45490.0</v>
      </c>
      <c r="I571" s="14">
        <v>19.0</v>
      </c>
      <c r="J571" s="13" t="s">
        <v>40</v>
      </c>
      <c r="K571" s="13" t="s">
        <v>41</v>
      </c>
      <c r="L571" s="14">
        <v>809.0</v>
      </c>
      <c r="M571" s="18" t="s">
        <v>43</v>
      </c>
      <c r="N571" s="20">
        <v>1.0</v>
      </c>
      <c r="O571" s="18">
        <v>9.1</v>
      </c>
      <c r="P571" s="20">
        <v>3.4</v>
      </c>
      <c r="Q571" s="16" t="s">
        <v>38</v>
      </c>
      <c r="R571" s="16" t="s">
        <v>38</v>
      </c>
      <c r="S571" s="13" t="s">
        <v>55</v>
      </c>
      <c r="T571" s="13" t="s">
        <v>104</v>
      </c>
      <c r="U571" s="13" t="str">
        <f t="shared" si="1"/>
        <v>Moderate</v>
      </c>
      <c r="V571" s="13" t="str">
        <f t="shared" si="2"/>
        <v>Below Median</v>
      </c>
      <c r="W571" s="13" t="str">
        <f t="shared" si="3"/>
        <v>13–24 Months</v>
      </c>
    </row>
    <row r="572" hidden="1">
      <c r="A572" s="13" t="s">
        <v>819</v>
      </c>
      <c r="B572" s="13" t="s">
        <v>59</v>
      </c>
      <c r="C572" s="14">
        <v>21.0</v>
      </c>
      <c r="D572" s="13" t="s">
        <v>60</v>
      </c>
      <c r="E572" s="13" t="s">
        <v>133</v>
      </c>
      <c r="F572" s="13" t="s">
        <v>79</v>
      </c>
      <c r="G572" s="13" t="s">
        <v>120</v>
      </c>
      <c r="H572" s="16">
        <v>45370.0</v>
      </c>
      <c r="I572" s="14">
        <v>48.0</v>
      </c>
      <c r="J572" s="13" t="s">
        <v>40</v>
      </c>
      <c r="K572" s="13" t="s">
        <v>65</v>
      </c>
      <c r="L572" s="14">
        <v>749.0</v>
      </c>
      <c r="M572" s="18" t="s">
        <v>164</v>
      </c>
      <c r="N572" s="20">
        <v>2.0</v>
      </c>
      <c r="O572" s="18">
        <v>19.7</v>
      </c>
      <c r="P572" s="20">
        <v>4.6</v>
      </c>
      <c r="Q572" s="16">
        <v>46584.0</v>
      </c>
      <c r="R572" s="16" t="s">
        <v>38</v>
      </c>
      <c r="S572" s="13" t="s">
        <v>55</v>
      </c>
      <c r="T572" s="13" t="s">
        <v>66</v>
      </c>
      <c r="U572" s="13" t="str">
        <f t="shared" si="1"/>
        <v>Moderate</v>
      </c>
      <c r="V572" s="13" t="str">
        <f t="shared" si="2"/>
        <v>Below Median</v>
      </c>
      <c r="W572" s="13" t="str">
        <f t="shared" si="3"/>
        <v>25–48 Months</v>
      </c>
    </row>
    <row r="573" hidden="1">
      <c r="A573" s="13" t="s">
        <v>1149</v>
      </c>
      <c r="B573" s="13" t="s">
        <v>202</v>
      </c>
      <c r="C573" s="14">
        <v>46.0</v>
      </c>
      <c r="D573" s="13" t="s">
        <v>69</v>
      </c>
      <c r="E573" s="13" t="s">
        <v>119</v>
      </c>
      <c r="F573" s="13" t="s">
        <v>79</v>
      </c>
      <c r="G573" s="13" t="s">
        <v>128</v>
      </c>
      <c r="H573" s="16">
        <v>45275.0</v>
      </c>
      <c r="I573" s="14">
        <v>33.0</v>
      </c>
      <c r="J573" s="13" t="s">
        <v>64</v>
      </c>
      <c r="K573" s="13" t="s">
        <v>41</v>
      </c>
      <c r="L573" s="14">
        <v>2753.0</v>
      </c>
      <c r="M573" s="18" t="s">
        <v>98</v>
      </c>
      <c r="N573" s="20">
        <v>1.0</v>
      </c>
      <c r="O573" s="18">
        <v>31.8</v>
      </c>
      <c r="P573" s="20">
        <v>3.3</v>
      </c>
      <c r="Q573" s="16">
        <v>45998.0</v>
      </c>
      <c r="R573" s="16" t="s">
        <v>38</v>
      </c>
      <c r="S573" s="13" t="s">
        <v>55</v>
      </c>
      <c r="T573" s="13" t="s">
        <v>47</v>
      </c>
      <c r="U573" s="13" t="str">
        <f t="shared" si="1"/>
        <v>Moderate</v>
      </c>
      <c r="V573" s="13" t="str">
        <f t="shared" si="2"/>
        <v>Median or Above</v>
      </c>
      <c r="W573" s="13" t="str">
        <f t="shared" si="3"/>
        <v>25–48 Months</v>
      </c>
    </row>
    <row r="574" hidden="1">
      <c r="A574" s="13" t="s">
        <v>581</v>
      </c>
      <c r="B574" s="13" t="s">
        <v>322</v>
      </c>
      <c r="C574" s="14">
        <v>34.0</v>
      </c>
      <c r="D574" s="13" t="s">
        <v>35</v>
      </c>
      <c r="E574" s="13" t="s">
        <v>161</v>
      </c>
      <c r="F574" s="13" t="s">
        <v>37</v>
      </c>
      <c r="G574" s="13" t="s">
        <v>80</v>
      </c>
      <c r="H574" s="16">
        <v>44619.0</v>
      </c>
      <c r="I574" s="14">
        <v>45.0</v>
      </c>
      <c r="J574" s="13" t="s">
        <v>40</v>
      </c>
      <c r="K574" s="13" t="s">
        <v>81</v>
      </c>
      <c r="L574" s="14">
        <v>1266.0</v>
      </c>
      <c r="M574" s="18" t="s">
        <v>46</v>
      </c>
      <c r="N574" s="20">
        <v>1.0</v>
      </c>
      <c r="O574" s="18">
        <v>37.6</v>
      </c>
      <c r="P574" s="20">
        <v>4.0</v>
      </c>
      <c r="Q574" s="16">
        <v>45561.0</v>
      </c>
      <c r="R574" s="16" t="s">
        <v>38</v>
      </c>
      <c r="S574" s="13" t="s">
        <v>55</v>
      </c>
      <c r="T574" s="13" t="s">
        <v>47</v>
      </c>
      <c r="U574" s="13" t="str">
        <f t="shared" si="1"/>
        <v>Moderate</v>
      </c>
      <c r="V574" s="13" t="str">
        <f t="shared" si="2"/>
        <v>Median or Above</v>
      </c>
      <c r="W574" s="13" t="str">
        <f t="shared" si="3"/>
        <v>25–48 Months</v>
      </c>
    </row>
    <row r="575" hidden="1">
      <c r="A575" s="13" t="s">
        <v>706</v>
      </c>
      <c r="B575" s="13" t="s">
        <v>206</v>
      </c>
      <c r="C575" s="14">
        <v>46.0</v>
      </c>
      <c r="D575" s="13" t="s">
        <v>35</v>
      </c>
      <c r="E575" s="13" t="s">
        <v>36</v>
      </c>
      <c r="F575" s="13" t="s">
        <v>37</v>
      </c>
      <c r="G575" s="13" t="s">
        <v>120</v>
      </c>
      <c r="H575" s="16">
        <v>45376.0</v>
      </c>
      <c r="I575" s="14">
        <v>46.0</v>
      </c>
      <c r="J575" s="13" t="s">
        <v>53</v>
      </c>
      <c r="K575" s="13" t="s">
        <v>81</v>
      </c>
      <c r="L575" s="14">
        <v>1529.0</v>
      </c>
      <c r="M575" s="18" t="s">
        <v>43</v>
      </c>
      <c r="N575" s="20">
        <v>2.0</v>
      </c>
      <c r="O575" s="18">
        <v>31.9</v>
      </c>
      <c r="P575" s="20">
        <v>4.2</v>
      </c>
      <c r="Q575" s="16">
        <v>45772.0</v>
      </c>
      <c r="R575" s="16" t="s">
        <v>38</v>
      </c>
      <c r="S575" s="13" t="s">
        <v>45</v>
      </c>
      <c r="T575" s="13" t="s">
        <v>72</v>
      </c>
      <c r="U575" s="13" t="str">
        <f t="shared" si="1"/>
        <v>Moderate</v>
      </c>
      <c r="V575" s="13" t="str">
        <f t="shared" si="2"/>
        <v>Median or Above</v>
      </c>
      <c r="W575" s="13" t="str">
        <f t="shared" si="3"/>
        <v>25–48 Months</v>
      </c>
    </row>
    <row r="576" hidden="1">
      <c r="A576" s="13" t="s">
        <v>1150</v>
      </c>
      <c r="B576" s="13" t="s">
        <v>250</v>
      </c>
      <c r="C576" s="14" t="s">
        <v>38</v>
      </c>
      <c r="D576" s="13" t="s">
        <v>85</v>
      </c>
      <c r="E576" s="13" t="s">
        <v>92</v>
      </c>
      <c r="F576" s="13" t="s">
        <v>37</v>
      </c>
      <c r="G576" s="13" t="s">
        <v>128</v>
      </c>
      <c r="H576" s="16">
        <v>44744.0</v>
      </c>
      <c r="I576" s="14">
        <v>7.0</v>
      </c>
      <c r="J576" s="13" t="s">
        <v>53</v>
      </c>
      <c r="K576" s="13" t="s">
        <v>81</v>
      </c>
      <c r="L576" s="14">
        <v>1351.0</v>
      </c>
      <c r="M576" s="18" t="s">
        <v>173</v>
      </c>
      <c r="N576" s="20">
        <v>0.0</v>
      </c>
      <c r="O576" s="18">
        <v>31.5</v>
      </c>
      <c r="P576" s="20">
        <v>1.4</v>
      </c>
      <c r="Q576" s="16">
        <v>44790.0</v>
      </c>
      <c r="R576" s="16" t="s">
        <v>38</v>
      </c>
      <c r="S576" s="13" t="s">
        <v>55</v>
      </c>
      <c r="T576" s="13" t="s">
        <v>72</v>
      </c>
      <c r="U576" s="13" t="str">
        <f t="shared" si="1"/>
        <v>Low</v>
      </c>
      <c r="V576" s="13" t="str">
        <f t="shared" si="2"/>
        <v>Median or Above</v>
      </c>
      <c r="W576" s="13" t="str">
        <f t="shared" si="3"/>
        <v>0–12 Months</v>
      </c>
    </row>
    <row r="577" hidden="1">
      <c r="A577" s="13" t="s">
        <v>495</v>
      </c>
      <c r="B577" s="13" t="s">
        <v>106</v>
      </c>
      <c r="C577" s="14">
        <v>42.0</v>
      </c>
      <c r="D577" s="13" t="s">
        <v>69</v>
      </c>
      <c r="E577" s="13" t="s">
        <v>119</v>
      </c>
      <c r="F577" s="13" t="s">
        <v>62</v>
      </c>
      <c r="G577" s="13" t="s">
        <v>63</v>
      </c>
      <c r="H577" s="16">
        <v>45988.0</v>
      </c>
      <c r="I577" s="14">
        <v>27.0</v>
      </c>
      <c r="J577" s="13" t="s">
        <v>40</v>
      </c>
      <c r="K577" s="13" t="s">
        <v>81</v>
      </c>
      <c r="L577" s="14">
        <v>834.0</v>
      </c>
      <c r="M577" s="18" t="s">
        <v>46</v>
      </c>
      <c r="N577" s="20">
        <v>1.0</v>
      </c>
      <c r="O577" s="18">
        <v>13.3</v>
      </c>
      <c r="P577" s="20">
        <v>4.5</v>
      </c>
      <c r="Q577" s="16">
        <v>46439.0</v>
      </c>
      <c r="R577" s="16" t="s">
        <v>38</v>
      </c>
      <c r="S577" s="13" t="s">
        <v>55</v>
      </c>
      <c r="T577" s="13" t="s">
        <v>47</v>
      </c>
      <c r="U577" s="13" t="str">
        <f t="shared" si="1"/>
        <v>Moderate</v>
      </c>
      <c r="V577" s="13" t="str">
        <f t="shared" si="2"/>
        <v>Below Median</v>
      </c>
      <c r="W577" s="13" t="str">
        <f t="shared" si="3"/>
        <v>25–48 Months</v>
      </c>
    </row>
    <row r="578" hidden="1">
      <c r="A578" s="13" t="s">
        <v>1151</v>
      </c>
      <c r="B578" s="13" t="s">
        <v>139</v>
      </c>
      <c r="C578" s="14">
        <v>47.0</v>
      </c>
      <c r="D578" s="13" t="s">
        <v>85</v>
      </c>
      <c r="E578" s="13" t="s">
        <v>111</v>
      </c>
      <c r="F578" s="13" t="s">
        <v>37</v>
      </c>
      <c r="G578" s="13" t="s">
        <v>63</v>
      </c>
      <c r="H578" s="16">
        <v>45484.0</v>
      </c>
      <c r="I578" s="14">
        <v>37.0</v>
      </c>
      <c r="J578" s="13" t="s">
        <v>64</v>
      </c>
      <c r="K578" s="13" t="s">
        <v>81</v>
      </c>
      <c r="L578" s="14">
        <v>1204.0</v>
      </c>
      <c r="M578" s="18" t="s">
        <v>164</v>
      </c>
      <c r="N578" s="20">
        <v>1.0</v>
      </c>
      <c r="O578" s="18">
        <v>23.6</v>
      </c>
      <c r="P578" s="20">
        <v>3.6</v>
      </c>
      <c r="Q578" s="16">
        <v>45868.0</v>
      </c>
      <c r="R578" s="16">
        <v>45817.0</v>
      </c>
      <c r="S578" s="13" t="s">
        <v>45</v>
      </c>
      <c r="T578" s="13" t="s">
        <v>104</v>
      </c>
      <c r="U578" s="13" t="str">
        <f t="shared" si="1"/>
        <v>Moderate</v>
      </c>
      <c r="V578" s="13" t="str">
        <f t="shared" si="2"/>
        <v>Below Median</v>
      </c>
      <c r="W578" s="13" t="str">
        <f t="shared" si="3"/>
        <v>25–48 Months</v>
      </c>
    </row>
    <row r="579" hidden="1">
      <c r="A579" s="13" t="s">
        <v>1152</v>
      </c>
      <c r="B579" s="13" t="s">
        <v>235</v>
      </c>
      <c r="C579" s="14">
        <v>19.0</v>
      </c>
      <c r="D579" s="13" t="s">
        <v>69</v>
      </c>
      <c r="E579" s="13" t="s">
        <v>70</v>
      </c>
      <c r="F579" s="13" t="s">
        <v>62</v>
      </c>
      <c r="G579" s="13" t="s">
        <v>63</v>
      </c>
      <c r="H579" s="16">
        <v>44817.0</v>
      </c>
      <c r="I579" s="14">
        <v>18.0</v>
      </c>
      <c r="J579" s="13" t="s">
        <v>40</v>
      </c>
      <c r="K579" s="13" t="s">
        <v>65</v>
      </c>
      <c r="L579" s="14">
        <v>514.0</v>
      </c>
      <c r="M579" s="18" t="s">
        <v>164</v>
      </c>
      <c r="N579" s="20">
        <v>3.0</v>
      </c>
      <c r="O579" s="18">
        <v>21.4</v>
      </c>
      <c r="P579" s="20">
        <v>4.1</v>
      </c>
      <c r="Q579" s="16">
        <v>45316.0</v>
      </c>
      <c r="R579" s="16" t="s">
        <v>38</v>
      </c>
      <c r="S579" s="13" t="s">
        <v>55</v>
      </c>
      <c r="T579" s="13" t="s">
        <v>104</v>
      </c>
      <c r="U579" s="13" t="str">
        <f t="shared" si="1"/>
        <v>Moderate</v>
      </c>
      <c r="V579" s="13" t="str">
        <f t="shared" si="2"/>
        <v>Below Median</v>
      </c>
      <c r="W579" s="13" t="str">
        <f t="shared" si="3"/>
        <v>13–24 Months</v>
      </c>
    </row>
    <row r="580" hidden="1">
      <c r="A580" s="13" t="s">
        <v>1153</v>
      </c>
      <c r="B580" s="13" t="s">
        <v>257</v>
      </c>
      <c r="C580" s="14">
        <v>57.0</v>
      </c>
      <c r="D580" s="13" t="s">
        <v>35</v>
      </c>
      <c r="E580" s="13" t="s">
        <v>36</v>
      </c>
      <c r="F580" s="13" t="s">
        <v>62</v>
      </c>
      <c r="G580" s="13" t="s">
        <v>128</v>
      </c>
      <c r="H580" s="16">
        <v>44576.0</v>
      </c>
      <c r="I580" s="14">
        <v>25.0</v>
      </c>
      <c r="J580" s="13" t="s">
        <v>53</v>
      </c>
      <c r="K580" s="13" t="s">
        <v>65</v>
      </c>
      <c r="L580" s="14">
        <v>888.0</v>
      </c>
      <c r="M580" s="18" t="s">
        <v>43</v>
      </c>
      <c r="N580" s="20">
        <v>1.0</v>
      </c>
      <c r="O580" s="18">
        <v>22.2</v>
      </c>
      <c r="P580" s="20">
        <v>3.6</v>
      </c>
      <c r="Q580" s="16">
        <v>45083.0</v>
      </c>
      <c r="R580" s="16" t="s">
        <v>38</v>
      </c>
      <c r="S580" s="13" t="s">
        <v>55</v>
      </c>
      <c r="T580" s="13" t="s">
        <v>72</v>
      </c>
      <c r="U580" s="13" t="str">
        <f t="shared" si="1"/>
        <v>Moderate</v>
      </c>
      <c r="V580" s="13" t="str">
        <f t="shared" si="2"/>
        <v>Below Median</v>
      </c>
      <c r="W580" s="13" t="str">
        <f t="shared" si="3"/>
        <v>25–48 Months</v>
      </c>
    </row>
    <row r="581" hidden="1">
      <c r="A581" s="13" t="s">
        <v>1154</v>
      </c>
      <c r="B581" s="13" t="s">
        <v>303</v>
      </c>
      <c r="C581" s="14">
        <v>48.0</v>
      </c>
      <c r="D581" s="13" t="s">
        <v>60</v>
      </c>
      <c r="E581" s="13" t="s">
        <v>107</v>
      </c>
      <c r="F581" s="13" t="s">
        <v>37</v>
      </c>
      <c r="G581" s="13" t="s">
        <v>210</v>
      </c>
      <c r="H581" s="16">
        <v>45924.0</v>
      </c>
      <c r="I581" s="14">
        <v>26.0</v>
      </c>
      <c r="J581" s="13" t="s">
        <v>64</v>
      </c>
      <c r="K581" s="13" t="s">
        <v>65</v>
      </c>
      <c r="L581" s="14">
        <v>1363.0</v>
      </c>
      <c r="M581" s="18" t="s">
        <v>98</v>
      </c>
      <c r="N581" s="20">
        <v>1.0</v>
      </c>
      <c r="O581" s="18">
        <v>39.2</v>
      </c>
      <c r="P581" s="20">
        <v>4.2</v>
      </c>
      <c r="Q581" s="16">
        <v>46272.0</v>
      </c>
      <c r="R581" s="16" t="s">
        <v>38</v>
      </c>
      <c r="S581" s="13" t="s">
        <v>55</v>
      </c>
      <c r="T581" s="13" t="s">
        <v>47</v>
      </c>
      <c r="U581" s="13" t="str">
        <f t="shared" si="1"/>
        <v>Moderate</v>
      </c>
      <c r="V581" s="13" t="str">
        <f t="shared" si="2"/>
        <v>Median or Above</v>
      </c>
      <c r="W581" s="13" t="str">
        <f t="shared" si="3"/>
        <v>25–48 Months</v>
      </c>
    </row>
    <row r="582" hidden="1">
      <c r="A582" s="13" t="s">
        <v>1155</v>
      </c>
      <c r="B582" s="13" t="s">
        <v>476</v>
      </c>
      <c r="C582" s="14">
        <v>61.0</v>
      </c>
      <c r="D582" s="13" t="s">
        <v>69</v>
      </c>
      <c r="E582" s="13" t="s">
        <v>161</v>
      </c>
      <c r="F582" s="13" t="s">
        <v>79</v>
      </c>
      <c r="G582" s="13" t="s">
        <v>128</v>
      </c>
      <c r="H582" s="16">
        <v>45071.0</v>
      </c>
      <c r="I582" s="14">
        <v>24.0</v>
      </c>
      <c r="J582" s="13" t="s">
        <v>40</v>
      </c>
      <c r="K582" s="13" t="s">
        <v>41</v>
      </c>
      <c r="L582" s="14">
        <v>3780.0</v>
      </c>
      <c r="M582" s="18" t="s">
        <v>98</v>
      </c>
      <c r="N582" s="20">
        <v>1.0</v>
      </c>
      <c r="O582" s="18">
        <v>28.3</v>
      </c>
      <c r="P582" s="20">
        <v>3.5</v>
      </c>
      <c r="Q582" s="16">
        <v>45567.0</v>
      </c>
      <c r="R582" s="16" t="s">
        <v>38</v>
      </c>
      <c r="S582" s="13" t="s">
        <v>55</v>
      </c>
      <c r="T582" s="13" t="s">
        <v>72</v>
      </c>
      <c r="U582" s="13" t="str">
        <f t="shared" si="1"/>
        <v>Moderate</v>
      </c>
      <c r="V582" s="13" t="str">
        <f t="shared" si="2"/>
        <v>Median or Above</v>
      </c>
      <c r="W582" s="13" t="str">
        <f t="shared" si="3"/>
        <v>13–24 Months</v>
      </c>
    </row>
    <row r="583" hidden="1">
      <c r="A583" s="13" t="s">
        <v>1157</v>
      </c>
      <c r="B583" s="13" t="s">
        <v>342</v>
      </c>
      <c r="C583" s="14">
        <v>46.0</v>
      </c>
      <c r="D583" s="13" t="s">
        <v>60</v>
      </c>
      <c r="E583" s="13" t="s">
        <v>61</v>
      </c>
      <c r="F583" s="13" t="s">
        <v>79</v>
      </c>
      <c r="G583" s="13" t="s">
        <v>52</v>
      </c>
      <c r="H583" s="16">
        <v>45228.0</v>
      </c>
      <c r="I583" s="14">
        <v>44.0</v>
      </c>
      <c r="J583" s="13" t="s">
        <v>53</v>
      </c>
      <c r="K583" s="13" t="s">
        <v>81</v>
      </c>
      <c r="L583" s="14">
        <v>2818.0</v>
      </c>
      <c r="M583" s="18" t="s">
        <v>164</v>
      </c>
      <c r="N583" s="20">
        <v>1.0</v>
      </c>
      <c r="O583" s="18">
        <v>40.3</v>
      </c>
      <c r="P583" s="20">
        <v>1.5</v>
      </c>
      <c r="Q583" s="16">
        <v>46492.0</v>
      </c>
      <c r="R583" s="16" t="s">
        <v>38</v>
      </c>
      <c r="S583" s="13" t="s">
        <v>55</v>
      </c>
      <c r="T583" s="13" t="s">
        <v>104</v>
      </c>
      <c r="U583" s="13" t="str">
        <f t="shared" si="1"/>
        <v>Low</v>
      </c>
      <c r="V583" s="13" t="str">
        <f t="shared" si="2"/>
        <v>Median or Above</v>
      </c>
      <c r="W583" s="13" t="str">
        <f t="shared" si="3"/>
        <v>25–48 Months</v>
      </c>
    </row>
    <row r="584" hidden="1">
      <c r="A584" s="13" t="s">
        <v>822</v>
      </c>
      <c r="B584" s="13" t="s">
        <v>736</v>
      </c>
      <c r="C584" s="14">
        <v>62.0</v>
      </c>
      <c r="D584" s="13" t="s">
        <v>85</v>
      </c>
      <c r="E584" s="13" t="s">
        <v>92</v>
      </c>
      <c r="F584" s="13" t="s">
        <v>37</v>
      </c>
      <c r="G584" s="13" t="s">
        <v>52</v>
      </c>
      <c r="H584" s="16">
        <v>44855.0</v>
      </c>
      <c r="I584" s="14">
        <v>34.0</v>
      </c>
      <c r="J584" s="13" t="s">
        <v>64</v>
      </c>
      <c r="K584" s="13" t="s">
        <v>65</v>
      </c>
      <c r="L584" s="14">
        <v>1515.0</v>
      </c>
      <c r="M584" s="18" t="s">
        <v>99</v>
      </c>
      <c r="N584" s="20">
        <v>0.0</v>
      </c>
      <c r="O584" s="18">
        <v>29.0</v>
      </c>
      <c r="P584" s="20">
        <v>3.0</v>
      </c>
      <c r="Q584" s="16">
        <v>45126.0</v>
      </c>
      <c r="R584" s="16">
        <v>45630.0</v>
      </c>
      <c r="S584" s="13" t="s">
        <v>45</v>
      </c>
      <c r="T584" s="13" t="s">
        <v>47</v>
      </c>
      <c r="U584" s="13" t="str">
        <f t="shared" si="1"/>
        <v>Moderate</v>
      </c>
      <c r="V584" s="13" t="str">
        <f t="shared" si="2"/>
        <v>Median or Above</v>
      </c>
      <c r="W584" s="13" t="str">
        <f t="shared" si="3"/>
        <v>25–48 Months</v>
      </c>
    </row>
    <row r="585" hidden="1">
      <c r="A585" s="13" t="s">
        <v>1159</v>
      </c>
      <c r="B585" s="13" t="s">
        <v>308</v>
      </c>
      <c r="C585" s="14">
        <v>29.0</v>
      </c>
      <c r="D585" s="13" t="s">
        <v>35</v>
      </c>
      <c r="E585" s="13" t="s">
        <v>140</v>
      </c>
      <c r="F585" s="13" t="s">
        <v>37</v>
      </c>
      <c r="G585" s="13" t="s">
        <v>39</v>
      </c>
      <c r="H585" s="16">
        <v>45060.0</v>
      </c>
      <c r="I585" s="14">
        <v>14.0</v>
      </c>
      <c r="J585" s="13" t="s">
        <v>53</v>
      </c>
      <c r="K585" s="13" t="s">
        <v>65</v>
      </c>
      <c r="L585" s="14">
        <v>1715.0</v>
      </c>
      <c r="M585" s="18" t="s">
        <v>46</v>
      </c>
      <c r="N585" s="20">
        <v>2.0</v>
      </c>
      <c r="O585" s="18">
        <v>44.8</v>
      </c>
      <c r="P585" s="20">
        <v>4.2</v>
      </c>
      <c r="Q585" s="16">
        <v>45124.0</v>
      </c>
      <c r="R585" s="16" t="s">
        <v>38</v>
      </c>
      <c r="S585" s="13" t="s">
        <v>55</v>
      </c>
      <c r="T585" s="13" t="s">
        <v>72</v>
      </c>
      <c r="U585" s="13" t="str">
        <f t="shared" si="1"/>
        <v>Moderate</v>
      </c>
      <c r="V585" s="13" t="str">
        <f t="shared" si="2"/>
        <v>Median or Above</v>
      </c>
      <c r="W585" s="13" t="str">
        <f t="shared" si="3"/>
        <v>13–24 Months</v>
      </c>
    </row>
    <row r="586" hidden="1">
      <c r="A586" s="13" t="s">
        <v>1136</v>
      </c>
      <c r="B586" s="13" t="s">
        <v>342</v>
      </c>
      <c r="C586" s="14">
        <v>33.0</v>
      </c>
      <c r="D586" s="13" t="s">
        <v>60</v>
      </c>
      <c r="E586" s="13" t="s">
        <v>133</v>
      </c>
      <c r="F586" s="13" t="s">
        <v>79</v>
      </c>
      <c r="G586" s="13" t="s">
        <v>52</v>
      </c>
      <c r="H586" s="16">
        <v>44814.0</v>
      </c>
      <c r="I586" s="14">
        <v>43.0</v>
      </c>
      <c r="J586" s="13" t="s">
        <v>64</v>
      </c>
      <c r="K586" s="13" t="s">
        <v>81</v>
      </c>
      <c r="L586" s="14">
        <v>3484.0</v>
      </c>
      <c r="M586" s="18" t="s">
        <v>99</v>
      </c>
      <c r="N586" s="20">
        <v>1.0</v>
      </c>
      <c r="O586" s="18">
        <v>24.9</v>
      </c>
      <c r="P586" s="20">
        <v>3.8</v>
      </c>
      <c r="Q586" s="16">
        <v>45831.0</v>
      </c>
      <c r="R586" s="16" t="s">
        <v>38</v>
      </c>
      <c r="S586" s="13" t="s">
        <v>55</v>
      </c>
      <c r="T586" s="13" t="s">
        <v>104</v>
      </c>
      <c r="U586" s="13" t="str">
        <f t="shared" si="1"/>
        <v>Moderate</v>
      </c>
      <c r="V586" s="13" t="str">
        <f t="shared" si="2"/>
        <v>Median or Above</v>
      </c>
      <c r="W586" s="13" t="str">
        <f t="shared" si="3"/>
        <v>25–48 Months</v>
      </c>
    </row>
    <row r="587" hidden="1">
      <c r="A587" s="13" t="s">
        <v>1162</v>
      </c>
      <c r="B587" s="13" t="s">
        <v>380</v>
      </c>
      <c r="C587" s="14">
        <v>26.0</v>
      </c>
      <c r="D587" s="13" t="s">
        <v>60</v>
      </c>
      <c r="E587" s="13" t="s">
        <v>133</v>
      </c>
      <c r="F587" s="13" t="s">
        <v>79</v>
      </c>
      <c r="G587" s="13" t="s">
        <v>52</v>
      </c>
      <c r="H587" s="16">
        <v>45343.0</v>
      </c>
      <c r="I587" s="14">
        <v>42.0</v>
      </c>
      <c r="J587" s="13" t="s">
        <v>53</v>
      </c>
      <c r="K587" s="13" t="s">
        <v>41</v>
      </c>
      <c r="L587" s="14">
        <v>3654.0</v>
      </c>
      <c r="M587" s="18" t="s">
        <v>43</v>
      </c>
      <c r="N587" s="20">
        <v>0.0</v>
      </c>
      <c r="O587" s="18">
        <v>47.2</v>
      </c>
      <c r="P587" s="20">
        <v>4.9</v>
      </c>
      <c r="Q587" s="16">
        <v>45830.0</v>
      </c>
      <c r="R587" s="16" t="s">
        <v>38</v>
      </c>
      <c r="S587" s="13" t="s">
        <v>55</v>
      </c>
      <c r="T587" s="13" t="s">
        <v>104</v>
      </c>
      <c r="U587" s="13" t="str">
        <f t="shared" si="1"/>
        <v>Moderate</v>
      </c>
      <c r="V587" s="13" t="str">
        <f t="shared" si="2"/>
        <v>Median or Above</v>
      </c>
      <c r="W587" s="13" t="str">
        <f t="shared" si="3"/>
        <v>25–48 Months</v>
      </c>
    </row>
    <row r="588" hidden="1">
      <c r="A588" s="13" t="s">
        <v>1163</v>
      </c>
      <c r="B588" s="13" t="s">
        <v>152</v>
      </c>
      <c r="C588" s="14">
        <v>56.0</v>
      </c>
      <c r="D588" s="13" t="s">
        <v>60</v>
      </c>
      <c r="E588" s="13" t="s">
        <v>97</v>
      </c>
      <c r="F588" s="13" t="s">
        <v>37</v>
      </c>
      <c r="G588" s="13" t="s">
        <v>63</v>
      </c>
      <c r="H588" s="16">
        <v>45735.0</v>
      </c>
      <c r="I588" s="14">
        <v>120.0</v>
      </c>
      <c r="J588" s="13" t="s">
        <v>64</v>
      </c>
      <c r="K588" s="13" t="s">
        <v>41</v>
      </c>
      <c r="L588" s="14">
        <v>1388.0</v>
      </c>
      <c r="M588" s="18" t="s">
        <v>46</v>
      </c>
      <c r="N588" s="20">
        <v>3.0</v>
      </c>
      <c r="O588" s="18">
        <v>19.9</v>
      </c>
      <c r="P588" s="20">
        <v>3.2</v>
      </c>
      <c r="Q588" s="16">
        <v>45746.0</v>
      </c>
      <c r="R588" s="16" t="s">
        <v>38</v>
      </c>
      <c r="S588" s="13" t="s">
        <v>55</v>
      </c>
      <c r="T588" s="13" t="s">
        <v>75</v>
      </c>
      <c r="U588" s="13" t="str">
        <f t="shared" si="1"/>
        <v>Moderate</v>
      </c>
      <c r="V588" s="13" t="str">
        <f t="shared" si="2"/>
        <v>Below Median</v>
      </c>
      <c r="W588" s="13" t="str">
        <f t="shared" si="3"/>
        <v>49+ Months</v>
      </c>
    </row>
    <row r="589" hidden="1">
      <c r="A589" s="13" t="s">
        <v>1164</v>
      </c>
      <c r="B589" s="13" t="s">
        <v>345</v>
      </c>
      <c r="C589" s="14">
        <v>39.0</v>
      </c>
      <c r="D589" s="13" t="s">
        <v>60</v>
      </c>
      <c r="E589" s="13" t="s">
        <v>107</v>
      </c>
      <c r="F589" s="13" t="s">
        <v>37</v>
      </c>
      <c r="G589" s="13" t="s">
        <v>128</v>
      </c>
      <c r="H589" s="16">
        <v>44820.0</v>
      </c>
      <c r="I589" s="14">
        <v>34.0</v>
      </c>
      <c r="J589" s="13" t="s">
        <v>40</v>
      </c>
      <c r="K589" s="13" t="s">
        <v>65</v>
      </c>
      <c r="L589" s="14">
        <v>1226.0</v>
      </c>
      <c r="M589" s="18" t="s">
        <v>46</v>
      </c>
      <c r="N589" s="20">
        <v>0.0</v>
      </c>
      <c r="O589" s="18">
        <v>16.8</v>
      </c>
      <c r="P589" s="20">
        <v>3.2</v>
      </c>
      <c r="Q589" s="16">
        <v>45639.0</v>
      </c>
      <c r="R589" s="16" t="s">
        <v>38</v>
      </c>
      <c r="S589" s="13" t="s">
        <v>55</v>
      </c>
      <c r="T589" s="13" t="s">
        <v>47</v>
      </c>
      <c r="U589" s="13" t="str">
        <f t="shared" si="1"/>
        <v>Moderate</v>
      </c>
      <c r="V589" s="13" t="str">
        <f t="shared" si="2"/>
        <v>Below Median</v>
      </c>
      <c r="W589" s="13" t="str">
        <f t="shared" si="3"/>
        <v>25–48 Months</v>
      </c>
    </row>
    <row r="590" hidden="1">
      <c r="A590" s="13" t="s">
        <v>1167</v>
      </c>
      <c r="B590" s="13" t="s">
        <v>169</v>
      </c>
      <c r="C590" s="14" t="s">
        <v>38</v>
      </c>
      <c r="D590" s="13" t="s">
        <v>85</v>
      </c>
      <c r="E590" s="13" t="s">
        <v>111</v>
      </c>
      <c r="F590" s="13" t="s">
        <v>37</v>
      </c>
      <c r="G590" s="13" t="s">
        <v>39</v>
      </c>
      <c r="H590" s="16">
        <v>45924.0</v>
      </c>
      <c r="I590" s="14">
        <v>45.0</v>
      </c>
      <c r="J590" s="13" t="s">
        <v>40</v>
      </c>
      <c r="K590" s="13" t="s">
        <v>65</v>
      </c>
      <c r="L590" s="14">
        <v>1315.0</v>
      </c>
      <c r="M590" s="18" t="s">
        <v>164</v>
      </c>
      <c r="N590" s="20">
        <v>0.0</v>
      </c>
      <c r="O590" s="18">
        <v>33.0</v>
      </c>
      <c r="P590" s="20">
        <v>4.6</v>
      </c>
      <c r="Q590" s="16">
        <v>46186.0</v>
      </c>
      <c r="R590" s="16" t="s">
        <v>38</v>
      </c>
      <c r="S590" s="13" t="s">
        <v>55</v>
      </c>
      <c r="T590" s="13" t="s">
        <v>72</v>
      </c>
      <c r="U590" s="13" t="str">
        <f t="shared" si="1"/>
        <v>Moderate</v>
      </c>
      <c r="V590" s="13" t="str">
        <f t="shared" si="2"/>
        <v>Median or Above</v>
      </c>
      <c r="W590" s="13" t="str">
        <f t="shared" si="3"/>
        <v>25–48 Months</v>
      </c>
    </row>
    <row r="591" hidden="1">
      <c r="A591" s="13" t="s">
        <v>1168</v>
      </c>
      <c r="B591" s="13" t="s">
        <v>383</v>
      </c>
      <c r="C591" s="14">
        <v>65.0</v>
      </c>
      <c r="D591" s="13" t="s">
        <v>85</v>
      </c>
      <c r="E591" s="13" t="s">
        <v>292</v>
      </c>
      <c r="F591" s="13" t="s">
        <v>79</v>
      </c>
      <c r="G591" s="13" t="s">
        <v>210</v>
      </c>
      <c r="H591" s="16">
        <v>44874.0</v>
      </c>
      <c r="I591" s="14">
        <v>46.0</v>
      </c>
      <c r="J591" s="13" t="s">
        <v>53</v>
      </c>
      <c r="K591" s="13" t="s">
        <v>65</v>
      </c>
      <c r="L591" s="14">
        <v>3433.0</v>
      </c>
      <c r="M591" s="18" t="s">
        <v>99</v>
      </c>
      <c r="N591" s="20">
        <v>1.0</v>
      </c>
      <c r="O591" s="18">
        <v>47.4</v>
      </c>
      <c r="P591" s="20">
        <v>3.1</v>
      </c>
      <c r="Q591" s="16">
        <v>44991.0</v>
      </c>
      <c r="R591" s="16" t="s">
        <v>38</v>
      </c>
      <c r="S591" s="13" t="s">
        <v>55</v>
      </c>
      <c r="T591" s="13" t="s">
        <v>47</v>
      </c>
      <c r="U591" s="13" t="str">
        <f t="shared" si="1"/>
        <v>Moderate</v>
      </c>
      <c r="V591" s="13" t="str">
        <f t="shared" si="2"/>
        <v>Median or Above</v>
      </c>
      <c r="W591" s="13" t="str">
        <f t="shared" si="3"/>
        <v>25–48 Months</v>
      </c>
    </row>
    <row r="592" hidden="1">
      <c r="A592" s="13" t="s">
        <v>828</v>
      </c>
      <c r="B592" s="13" t="s">
        <v>333</v>
      </c>
      <c r="C592" s="14">
        <v>25.0</v>
      </c>
      <c r="D592" s="13" t="s">
        <v>85</v>
      </c>
      <c r="E592" s="13" t="s">
        <v>92</v>
      </c>
      <c r="F592" s="13" t="s">
        <v>62</v>
      </c>
      <c r="G592" s="13" t="s">
        <v>120</v>
      </c>
      <c r="H592" s="16">
        <v>45275.0</v>
      </c>
      <c r="I592" s="14">
        <v>26.0</v>
      </c>
      <c r="J592" s="13" t="s">
        <v>53</v>
      </c>
      <c r="K592" s="13" t="s">
        <v>65</v>
      </c>
      <c r="L592" s="14">
        <v>769.0</v>
      </c>
      <c r="M592" s="18" t="s">
        <v>99</v>
      </c>
      <c r="N592" s="20">
        <v>1.0</v>
      </c>
      <c r="O592" s="18">
        <v>13.2</v>
      </c>
      <c r="P592" s="20">
        <v>6.0</v>
      </c>
      <c r="Q592" s="16">
        <v>45574.0</v>
      </c>
      <c r="R592" s="16" t="s">
        <v>38</v>
      </c>
      <c r="S592" s="13" t="s">
        <v>55</v>
      </c>
      <c r="T592" s="13" t="s">
        <v>66</v>
      </c>
      <c r="U592" s="13" t="str">
        <f t="shared" si="1"/>
        <v>High</v>
      </c>
      <c r="V592" s="13" t="str">
        <f t="shared" si="2"/>
        <v>Below Median</v>
      </c>
      <c r="W592" s="13" t="str">
        <f t="shared" si="3"/>
        <v>25–48 Months</v>
      </c>
    </row>
    <row r="593" hidden="1">
      <c r="A593" s="13" t="s">
        <v>1169</v>
      </c>
      <c r="B593" s="13" t="s">
        <v>424</v>
      </c>
      <c r="C593" s="14">
        <v>42.0</v>
      </c>
      <c r="D593" s="13" t="s">
        <v>60</v>
      </c>
      <c r="E593" s="13" t="s">
        <v>133</v>
      </c>
      <c r="F593" s="13" t="s">
        <v>37</v>
      </c>
      <c r="G593" s="13" t="s">
        <v>80</v>
      </c>
      <c r="H593" s="16">
        <v>44843.0</v>
      </c>
      <c r="I593" s="14">
        <v>29.0</v>
      </c>
      <c r="J593" s="13" t="s">
        <v>64</v>
      </c>
      <c r="K593" s="13" t="s">
        <v>81</v>
      </c>
      <c r="L593" s="14">
        <v>1147.0</v>
      </c>
      <c r="M593" s="18" t="s">
        <v>43</v>
      </c>
      <c r="N593" s="20">
        <v>2.0</v>
      </c>
      <c r="O593" s="18">
        <v>21.6</v>
      </c>
      <c r="P593" s="20">
        <v>4.1</v>
      </c>
      <c r="Q593" s="16">
        <v>45076.0</v>
      </c>
      <c r="R593" s="16" t="s">
        <v>38</v>
      </c>
      <c r="S593" s="13" t="s">
        <v>55</v>
      </c>
      <c r="T593" s="13" t="s">
        <v>104</v>
      </c>
      <c r="U593" s="13" t="str">
        <f t="shared" si="1"/>
        <v>Moderate</v>
      </c>
      <c r="V593" s="13" t="str">
        <f t="shared" si="2"/>
        <v>Below Median</v>
      </c>
      <c r="W593" s="13" t="str">
        <f t="shared" si="3"/>
        <v>25–48 Months</v>
      </c>
    </row>
    <row r="594" hidden="1">
      <c r="A594" s="13" t="s">
        <v>1170</v>
      </c>
      <c r="B594" s="13" t="s">
        <v>651</v>
      </c>
      <c r="C594" s="14">
        <v>51.0</v>
      </c>
      <c r="D594" s="13" t="s">
        <v>69</v>
      </c>
      <c r="E594" s="13" t="s">
        <v>119</v>
      </c>
      <c r="F594" s="13" t="s">
        <v>79</v>
      </c>
      <c r="G594" s="13" t="s">
        <v>120</v>
      </c>
      <c r="H594" s="16">
        <v>45953.0</v>
      </c>
      <c r="I594" s="14">
        <v>11.0</v>
      </c>
      <c r="J594" s="13" t="s">
        <v>64</v>
      </c>
      <c r="K594" s="13" t="s">
        <v>65</v>
      </c>
      <c r="L594" s="14">
        <v>3994.0</v>
      </c>
      <c r="M594" s="18" t="s">
        <v>46</v>
      </c>
      <c r="N594" s="20">
        <v>0.0</v>
      </c>
      <c r="O594" s="18">
        <v>30.3</v>
      </c>
      <c r="P594" s="20">
        <v>5.0</v>
      </c>
      <c r="Q594" s="16">
        <v>46205.0</v>
      </c>
      <c r="R594" s="16" t="s">
        <v>892</v>
      </c>
      <c r="S594" s="13" t="s">
        <v>45</v>
      </c>
      <c r="T594" s="13" t="s">
        <v>66</v>
      </c>
      <c r="U594" s="13" t="str">
        <f t="shared" si="1"/>
        <v>High</v>
      </c>
      <c r="V594" s="13" t="str">
        <f t="shared" si="2"/>
        <v>Median or Above</v>
      </c>
      <c r="W594" s="13" t="str">
        <f t="shared" si="3"/>
        <v>0–12 Months</v>
      </c>
    </row>
    <row r="595" hidden="1">
      <c r="A595" s="13" t="s">
        <v>1175</v>
      </c>
      <c r="B595" s="13" t="s">
        <v>135</v>
      </c>
      <c r="C595" s="14">
        <v>68.0</v>
      </c>
      <c r="D595" s="13" t="s">
        <v>69</v>
      </c>
      <c r="E595" s="13" t="s">
        <v>119</v>
      </c>
      <c r="F595" s="13" t="s">
        <v>62</v>
      </c>
      <c r="G595" s="13" t="s">
        <v>63</v>
      </c>
      <c r="H595" s="16">
        <v>45055.0</v>
      </c>
      <c r="I595" s="14">
        <v>26.0</v>
      </c>
      <c r="J595" s="13" t="s">
        <v>53</v>
      </c>
      <c r="K595" s="13" t="s">
        <v>81</v>
      </c>
      <c r="L595" s="14">
        <v>851.0</v>
      </c>
      <c r="M595" s="18" t="s">
        <v>164</v>
      </c>
      <c r="N595" s="20">
        <v>1.0</v>
      </c>
      <c r="O595" s="18">
        <v>13.3</v>
      </c>
      <c r="P595" s="20">
        <v>2.6</v>
      </c>
      <c r="Q595" s="16">
        <v>45241.0</v>
      </c>
      <c r="R595" s="16" t="s">
        <v>38</v>
      </c>
      <c r="S595" s="13" t="s">
        <v>55</v>
      </c>
      <c r="T595" s="13" t="s">
        <v>75</v>
      </c>
      <c r="U595" s="13" t="str">
        <f t="shared" si="1"/>
        <v>Low</v>
      </c>
      <c r="V595" s="13" t="str">
        <f t="shared" si="2"/>
        <v>Below Median</v>
      </c>
      <c r="W595" s="13" t="str">
        <f t="shared" si="3"/>
        <v>25–48 Months</v>
      </c>
    </row>
    <row r="596" hidden="1">
      <c r="A596" s="13" t="s">
        <v>644</v>
      </c>
      <c r="B596" s="13" t="s">
        <v>351</v>
      </c>
      <c r="C596" s="14">
        <v>36.0</v>
      </c>
      <c r="D596" s="13" t="s">
        <v>85</v>
      </c>
      <c r="E596" s="13" t="s">
        <v>92</v>
      </c>
      <c r="F596" s="13" t="s">
        <v>62</v>
      </c>
      <c r="G596" s="13" t="s">
        <v>63</v>
      </c>
      <c r="H596" s="16">
        <v>44731.0</v>
      </c>
      <c r="I596" s="14">
        <v>8.0</v>
      </c>
      <c r="J596" s="13" t="s">
        <v>64</v>
      </c>
      <c r="K596" s="13" t="s">
        <v>81</v>
      </c>
      <c r="L596" s="14">
        <v>841.0</v>
      </c>
      <c r="M596" s="18" t="s">
        <v>43</v>
      </c>
      <c r="N596" s="20">
        <v>1.0</v>
      </c>
      <c r="O596" s="18">
        <v>17.2</v>
      </c>
      <c r="P596" s="20">
        <v>2.6</v>
      </c>
      <c r="Q596" s="16">
        <v>44746.0</v>
      </c>
      <c r="R596" s="16" t="s">
        <v>38</v>
      </c>
      <c r="S596" s="13" t="s">
        <v>55</v>
      </c>
      <c r="T596" s="13" t="s">
        <v>104</v>
      </c>
      <c r="U596" s="13" t="str">
        <f t="shared" si="1"/>
        <v>Low</v>
      </c>
      <c r="V596" s="13" t="str">
        <f t="shared" si="2"/>
        <v>Below Median</v>
      </c>
      <c r="W596" s="13" t="str">
        <f t="shared" si="3"/>
        <v>0–12 Months</v>
      </c>
    </row>
    <row r="597" hidden="1">
      <c r="A597" s="13" t="s">
        <v>1180</v>
      </c>
      <c r="B597" s="13" t="s">
        <v>145</v>
      </c>
      <c r="C597" s="14">
        <v>44.0</v>
      </c>
      <c r="D597" s="13" t="s">
        <v>69</v>
      </c>
      <c r="E597" s="13" t="s">
        <v>119</v>
      </c>
      <c r="F597" s="13" t="s">
        <v>37</v>
      </c>
      <c r="G597" s="13" t="s">
        <v>52</v>
      </c>
      <c r="H597" s="16">
        <v>46001.0</v>
      </c>
      <c r="I597" s="14">
        <v>28.0</v>
      </c>
      <c r="J597" s="13" t="s">
        <v>64</v>
      </c>
      <c r="K597" s="13" t="s">
        <v>41</v>
      </c>
      <c r="L597" s="14">
        <v>1100.0</v>
      </c>
      <c r="M597" s="18" t="s">
        <v>43</v>
      </c>
      <c r="N597" s="20">
        <v>2.0</v>
      </c>
      <c r="O597" s="18">
        <v>37.6</v>
      </c>
      <c r="P597" s="20">
        <v>3.1</v>
      </c>
      <c r="Q597" s="16">
        <v>46076.0</v>
      </c>
      <c r="R597" s="16" t="s">
        <v>38</v>
      </c>
      <c r="S597" s="13" t="s">
        <v>55</v>
      </c>
      <c r="T597" s="13" t="s">
        <v>75</v>
      </c>
      <c r="U597" s="13" t="str">
        <f t="shared" si="1"/>
        <v>Moderate</v>
      </c>
      <c r="V597" s="13" t="str">
        <f t="shared" si="2"/>
        <v>Median or Above</v>
      </c>
      <c r="W597" s="13" t="str">
        <f t="shared" si="3"/>
        <v>25–48 Months</v>
      </c>
    </row>
    <row r="598" hidden="1">
      <c r="A598" s="13" t="s">
        <v>226</v>
      </c>
      <c r="B598" s="13" t="s">
        <v>336</v>
      </c>
      <c r="C598" s="14">
        <v>57.0</v>
      </c>
      <c r="D598" s="13" t="s">
        <v>85</v>
      </c>
      <c r="E598" s="13" t="s">
        <v>292</v>
      </c>
      <c r="F598" s="13" t="s">
        <v>37</v>
      </c>
      <c r="G598" s="13" t="s">
        <v>80</v>
      </c>
      <c r="H598" s="16">
        <v>45665.0</v>
      </c>
      <c r="I598" s="14">
        <v>46.0</v>
      </c>
      <c r="J598" s="13" t="s">
        <v>64</v>
      </c>
      <c r="K598" s="13" t="s">
        <v>41</v>
      </c>
      <c r="L598" s="14">
        <v>1126.0</v>
      </c>
      <c r="M598" s="18" t="s">
        <v>46</v>
      </c>
      <c r="N598" s="20">
        <v>0.0</v>
      </c>
      <c r="O598" s="18">
        <v>25.9</v>
      </c>
      <c r="P598" s="20">
        <v>5.0</v>
      </c>
      <c r="Q598" s="16">
        <v>46099.0</v>
      </c>
      <c r="R598" s="16" t="s">
        <v>1181</v>
      </c>
      <c r="S598" s="13" t="s">
        <v>45</v>
      </c>
      <c r="T598" s="13" t="s">
        <v>104</v>
      </c>
      <c r="U598" s="13" t="str">
        <f t="shared" si="1"/>
        <v>High</v>
      </c>
      <c r="V598" s="13" t="str">
        <f t="shared" si="2"/>
        <v>Median or Above</v>
      </c>
      <c r="W598" s="13" t="str">
        <f t="shared" si="3"/>
        <v>25–48 Months</v>
      </c>
    </row>
    <row r="599" hidden="1">
      <c r="A599" s="13" t="s">
        <v>536</v>
      </c>
      <c r="B599" s="13" t="s">
        <v>651</v>
      </c>
      <c r="C599" s="14">
        <v>26.0</v>
      </c>
      <c r="D599" s="13" t="s">
        <v>85</v>
      </c>
      <c r="E599" s="13" t="s">
        <v>92</v>
      </c>
      <c r="F599" s="13" t="s">
        <v>62</v>
      </c>
      <c r="G599" s="13" t="s">
        <v>39</v>
      </c>
      <c r="H599" s="16">
        <v>45739.0</v>
      </c>
      <c r="I599" s="14">
        <v>14.0</v>
      </c>
      <c r="J599" s="13" t="s">
        <v>64</v>
      </c>
      <c r="K599" s="13" t="s">
        <v>65</v>
      </c>
      <c r="L599" s="14">
        <v>543.0</v>
      </c>
      <c r="M599" s="18" t="s">
        <v>43</v>
      </c>
      <c r="N599" s="20">
        <v>1.0</v>
      </c>
      <c r="O599" s="18">
        <v>32.5</v>
      </c>
      <c r="P599" s="20">
        <v>2.4</v>
      </c>
      <c r="Q599" s="16">
        <v>46134.0</v>
      </c>
      <c r="R599" s="16" t="s">
        <v>38</v>
      </c>
      <c r="S599" s="13" t="s">
        <v>55</v>
      </c>
      <c r="T599" s="13" t="s">
        <v>72</v>
      </c>
      <c r="U599" s="13" t="str">
        <f t="shared" si="1"/>
        <v>Low</v>
      </c>
      <c r="V599" s="13" t="str">
        <f t="shared" si="2"/>
        <v>Median or Above</v>
      </c>
      <c r="W599" s="13" t="str">
        <f t="shared" si="3"/>
        <v>13–24 Months</v>
      </c>
    </row>
    <row r="600" hidden="1">
      <c r="A600" s="13" t="s">
        <v>1054</v>
      </c>
      <c r="B600" s="13" t="s">
        <v>190</v>
      </c>
      <c r="C600" s="14">
        <v>55.0</v>
      </c>
      <c r="D600" s="13" t="s">
        <v>69</v>
      </c>
      <c r="E600" s="13" t="s">
        <v>119</v>
      </c>
      <c r="F600" s="13" t="s">
        <v>79</v>
      </c>
      <c r="G600" s="13" t="s">
        <v>52</v>
      </c>
      <c r="H600" s="16">
        <v>44562.0</v>
      </c>
      <c r="I600" s="14">
        <v>16.0</v>
      </c>
      <c r="J600" s="13" t="s">
        <v>53</v>
      </c>
      <c r="K600" s="13" t="s">
        <v>81</v>
      </c>
      <c r="L600" s="14">
        <v>3348.0</v>
      </c>
      <c r="M600" s="18" t="s">
        <v>98</v>
      </c>
      <c r="N600" s="20">
        <v>0.0</v>
      </c>
      <c r="O600" s="18">
        <v>43.1</v>
      </c>
      <c r="P600" s="20">
        <v>3.8</v>
      </c>
      <c r="Q600" s="16">
        <v>44845.0</v>
      </c>
      <c r="R600" s="16" t="s">
        <v>38</v>
      </c>
      <c r="S600" s="13" t="s">
        <v>55</v>
      </c>
      <c r="T600" s="13" t="s">
        <v>72</v>
      </c>
      <c r="U600" s="13" t="str">
        <f t="shared" si="1"/>
        <v>Moderate</v>
      </c>
      <c r="V600" s="13" t="str">
        <f t="shared" si="2"/>
        <v>Median or Above</v>
      </c>
      <c r="W600" s="13" t="str">
        <f t="shared" si="3"/>
        <v>13–24 Months</v>
      </c>
    </row>
    <row r="601" hidden="1">
      <c r="A601" s="13" t="s">
        <v>666</v>
      </c>
      <c r="B601" s="13" t="s">
        <v>459</v>
      </c>
      <c r="C601" s="14">
        <v>57.0</v>
      </c>
      <c r="D601" s="13" t="s">
        <v>60</v>
      </c>
      <c r="E601" s="13" t="s">
        <v>97</v>
      </c>
      <c r="F601" s="13" t="s">
        <v>37</v>
      </c>
      <c r="G601" s="13" t="s">
        <v>52</v>
      </c>
      <c r="H601" s="16">
        <v>44653.0</v>
      </c>
      <c r="I601" s="14">
        <v>16.0</v>
      </c>
      <c r="J601" s="13" t="s">
        <v>40</v>
      </c>
      <c r="K601" s="13" t="s">
        <v>41</v>
      </c>
      <c r="L601" s="14">
        <v>1305.0</v>
      </c>
      <c r="M601" s="18" t="s">
        <v>164</v>
      </c>
      <c r="N601" s="20">
        <v>0.0</v>
      </c>
      <c r="O601" s="18">
        <v>34.8</v>
      </c>
      <c r="P601" s="20">
        <v>5.0</v>
      </c>
      <c r="Q601" s="16">
        <v>45089.0</v>
      </c>
      <c r="R601" s="16" t="s">
        <v>38</v>
      </c>
      <c r="S601" s="13" t="s">
        <v>55</v>
      </c>
      <c r="T601" s="13" t="s">
        <v>66</v>
      </c>
      <c r="U601" s="13" t="str">
        <f t="shared" si="1"/>
        <v>High</v>
      </c>
      <c r="V601" s="13" t="str">
        <f t="shared" si="2"/>
        <v>Median or Above</v>
      </c>
      <c r="W601" s="13" t="str">
        <f t="shared" si="3"/>
        <v>13–24 Months</v>
      </c>
    </row>
    <row r="602" hidden="1">
      <c r="A602" s="13" t="s">
        <v>1183</v>
      </c>
      <c r="B602" s="13" t="s">
        <v>118</v>
      </c>
      <c r="C602" s="14">
        <v>24.0</v>
      </c>
      <c r="D602" s="13" t="s">
        <v>60</v>
      </c>
      <c r="E602" s="13" t="s">
        <v>97</v>
      </c>
      <c r="F602" s="13" t="s">
        <v>37</v>
      </c>
      <c r="G602" s="13" t="s">
        <v>120</v>
      </c>
      <c r="H602" s="16">
        <v>44714.0</v>
      </c>
      <c r="I602" s="14">
        <v>36.0</v>
      </c>
      <c r="J602" s="13" t="s">
        <v>53</v>
      </c>
      <c r="K602" s="13" t="s">
        <v>81</v>
      </c>
      <c r="L602" s="14">
        <v>1664.0</v>
      </c>
      <c r="M602" s="18" t="s">
        <v>173</v>
      </c>
      <c r="N602" s="20">
        <v>1.0</v>
      </c>
      <c r="O602" s="18">
        <v>29.8</v>
      </c>
      <c r="P602" s="20">
        <v>4.7</v>
      </c>
      <c r="Q602" s="16">
        <v>45058.0</v>
      </c>
      <c r="R602" s="16" t="s">
        <v>38</v>
      </c>
      <c r="S602" s="13" t="s">
        <v>55</v>
      </c>
      <c r="T602" s="13" t="s">
        <v>75</v>
      </c>
      <c r="U602" s="13" t="str">
        <f t="shared" si="1"/>
        <v>Moderate</v>
      </c>
      <c r="V602" s="13" t="str">
        <f t="shared" si="2"/>
        <v>Median or Above</v>
      </c>
      <c r="W602" s="13" t="str">
        <f t="shared" si="3"/>
        <v>25–48 Months</v>
      </c>
    </row>
    <row r="603" hidden="1">
      <c r="A603" s="13" t="s">
        <v>862</v>
      </c>
      <c r="B603" s="13" t="s">
        <v>145</v>
      </c>
      <c r="C603" s="14">
        <v>45.0</v>
      </c>
      <c r="D603" s="13" t="s">
        <v>69</v>
      </c>
      <c r="E603" s="13" t="s">
        <v>187</v>
      </c>
      <c r="F603" s="13" t="s">
        <v>62</v>
      </c>
      <c r="G603" s="13" t="s">
        <v>52</v>
      </c>
      <c r="H603" s="16">
        <v>45113.0</v>
      </c>
      <c r="I603" s="14">
        <v>41.0</v>
      </c>
      <c r="J603" s="13" t="s">
        <v>40</v>
      </c>
      <c r="K603" s="13" t="s">
        <v>65</v>
      </c>
      <c r="L603" s="14">
        <v>597.0</v>
      </c>
      <c r="M603" s="18" t="s">
        <v>98</v>
      </c>
      <c r="N603" s="20">
        <v>1.0</v>
      </c>
      <c r="O603" s="18">
        <v>11.3</v>
      </c>
      <c r="P603" s="20">
        <v>3.1</v>
      </c>
      <c r="Q603" s="16">
        <v>46277.0</v>
      </c>
      <c r="R603" s="16" t="s">
        <v>38</v>
      </c>
      <c r="S603" s="13" t="s">
        <v>55</v>
      </c>
      <c r="T603" s="13" t="s">
        <v>75</v>
      </c>
      <c r="U603" s="13" t="str">
        <f t="shared" si="1"/>
        <v>Moderate</v>
      </c>
      <c r="V603" s="13" t="str">
        <f t="shared" si="2"/>
        <v>Below Median</v>
      </c>
      <c r="W603" s="13" t="str">
        <f t="shared" si="3"/>
        <v>25–48 Months</v>
      </c>
    </row>
    <row r="604" hidden="1">
      <c r="A604" s="13" t="s">
        <v>209</v>
      </c>
      <c r="B604" s="13" t="s">
        <v>342</v>
      </c>
      <c r="C604" s="14">
        <v>40.0</v>
      </c>
      <c r="D604" s="13" t="s">
        <v>35</v>
      </c>
      <c r="E604" s="13" t="s">
        <v>51</v>
      </c>
      <c r="F604" s="13" t="s">
        <v>62</v>
      </c>
      <c r="G604" s="13" t="s">
        <v>63</v>
      </c>
      <c r="H604" s="16">
        <v>45650.0</v>
      </c>
      <c r="I604" s="14">
        <v>8.0</v>
      </c>
      <c r="J604" s="13" t="s">
        <v>53</v>
      </c>
      <c r="K604" s="13" t="s">
        <v>65</v>
      </c>
      <c r="L604" s="14">
        <v>707.0</v>
      </c>
      <c r="M604" s="18" t="s">
        <v>46</v>
      </c>
      <c r="N604" s="20">
        <v>0.0</v>
      </c>
      <c r="O604" s="18">
        <v>33.4</v>
      </c>
      <c r="P604" s="20">
        <v>2.6</v>
      </c>
      <c r="Q604" s="16">
        <v>45823.0</v>
      </c>
      <c r="R604" s="16" t="s">
        <v>38</v>
      </c>
      <c r="S604" s="13" t="s">
        <v>55</v>
      </c>
      <c r="T604" s="13" t="s">
        <v>47</v>
      </c>
      <c r="U604" s="13" t="str">
        <f t="shared" si="1"/>
        <v>Low</v>
      </c>
      <c r="V604" s="13" t="str">
        <f t="shared" si="2"/>
        <v>Median or Above</v>
      </c>
      <c r="W604" s="13" t="str">
        <f t="shared" si="3"/>
        <v>0–12 Months</v>
      </c>
    </row>
    <row r="605" hidden="1">
      <c r="A605" s="13" t="s">
        <v>1184</v>
      </c>
      <c r="B605" s="13" t="s">
        <v>351</v>
      </c>
      <c r="C605" s="14">
        <v>25.0</v>
      </c>
      <c r="D605" s="13" t="s">
        <v>35</v>
      </c>
      <c r="E605" s="13" t="s">
        <v>36</v>
      </c>
      <c r="F605" s="13" t="s">
        <v>62</v>
      </c>
      <c r="G605" s="13" t="s">
        <v>39</v>
      </c>
      <c r="H605" s="16">
        <v>45337.0</v>
      </c>
      <c r="I605" s="14">
        <v>7.0</v>
      </c>
      <c r="J605" s="13" t="s">
        <v>40</v>
      </c>
      <c r="K605" s="13" t="s">
        <v>65</v>
      </c>
      <c r="L605" s="14">
        <v>562.0</v>
      </c>
      <c r="M605" s="18" t="s">
        <v>98</v>
      </c>
      <c r="N605" s="20">
        <v>1.0</v>
      </c>
      <c r="O605" s="18">
        <v>18.6</v>
      </c>
      <c r="P605" s="20">
        <v>2.5</v>
      </c>
      <c r="Q605" s="16">
        <v>45533.0</v>
      </c>
      <c r="R605" s="16">
        <v>45328.0</v>
      </c>
      <c r="S605" s="13" t="s">
        <v>45</v>
      </c>
      <c r="T605" s="13" t="s">
        <v>66</v>
      </c>
      <c r="U605" s="13" t="str">
        <f t="shared" si="1"/>
        <v>Low</v>
      </c>
      <c r="V605" s="13" t="str">
        <f t="shared" si="2"/>
        <v>Below Median</v>
      </c>
      <c r="W605" s="13" t="str">
        <f t="shared" si="3"/>
        <v>0–12 Months</v>
      </c>
    </row>
    <row r="606" hidden="1">
      <c r="A606" s="13" t="s">
        <v>1186</v>
      </c>
      <c r="B606" s="13" t="s">
        <v>476</v>
      </c>
      <c r="C606" s="14">
        <v>49.0</v>
      </c>
      <c r="D606" s="13" t="s">
        <v>60</v>
      </c>
      <c r="E606" s="13" t="s">
        <v>61</v>
      </c>
      <c r="F606" s="13" t="s">
        <v>79</v>
      </c>
      <c r="G606" s="13" t="s">
        <v>39</v>
      </c>
      <c r="H606" s="16">
        <v>45213.0</v>
      </c>
      <c r="I606" s="14">
        <v>25.0</v>
      </c>
      <c r="J606" s="13" t="s">
        <v>64</v>
      </c>
      <c r="K606" s="13" t="s">
        <v>41</v>
      </c>
      <c r="L606" s="14">
        <v>3981.0</v>
      </c>
      <c r="M606" s="18" t="s">
        <v>98</v>
      </c>
      <c r="N606" s="20">
        <v>0.0</v>
      </c>
      <c r="O606" s="18">
        <v>46.5</v>
      </c>
      <c r="P606" s="20" t="s">
        <v>38</v>
      </c>
      <c r="Q606" s="16">
        <v>45767.0</v>
      </c>
      <c r="R606" s="16" t="s">
        <v>38</v>
      </c>
      <c r="S606" s="13" t="s">
        <v>55</v>
      </c>
      <c r="T606" s="13" t="s">
        <v>72</v>
      </c>
      <c r="U606" s="13" t="str">
        <f t="shared" si="1"/>
        <v/>
      </c>
      <c r="V606" s="13" t="str">
        <f t="shared" si="2"/>
        <v>Median or Above</v>
      </c>
      <c r="W606" s="13" t="str">
        <f t="shared" si="3"/>
        <v>25–48 Months</v>
      </c>
    </row>
    <row r="607" hidden="1">
      <c r="A607" s="13" t="s">
        <v>1187</v>
      </c>
      <c r="B607" s="13" t="s">
        <v>34</v>
      </c>
      <c r="C607" s="14">
        <v>64.0</v>
      </c>
      <c r="D607" s="13" t="s">
        <v>69</v>
      </c>
      <c r="E607" s="13" t="s">
        <v>187</v>
      </c>
      <c r="F607" s="13" t="s">
        <v>62</v>
      </c>
      <c r="G607" s="13" t="s">
        <v>80</v>
      </c>
      <c r="H607" s="16">
        <v>45109.0</v>
      </c>
      <c r="I607" s="14">
        <v>4.0</v>
      </c>
      <c r="J607" s="13" t="s">
        <v>53</v>
      </c>
      <c r="K607" s="13" t="s">
        <v>41</v>
      </c>
      <c r="L607" s="14">
        <v>826.0</v>
      </c>
      <c r="M607" s="18" t="s">
        <v>376</v>
      </c>
      <c r="N607" s="20">
        <v>1.0</v>
      </c>
      <c r="O607" s="18">
        <v>17.1</v>
      </c>
      <c r="P607" s="20">
        <v>4.6</v>
      </c>
      <c r="Q607" s="16">
        <v>45182.0</v>
      </c>
      <c r="R607" s="16" t="s">
        <v>1188</v>
      </c>
      <c r="S607" s="13" t="s">
        <v>45</v>
      </c>
      <c r="T607" s="13" t="s">
        <v>75</v>
      </c>
      <c r="U607" s="13" t="str">
        <f t="shared" si="1"/>
        <v>Moderate</v>
      </c>
      <c r="V607" s="13" t="str">
        <f t="shared" si="2"/>
        <v>Below Median</v>
      </c>
      <c r="W607" s="13" t="str">
        <f t="shared" si="3"/>
        <v>0–12 Months</v>
      </c>
    </row>
    <row r="608" hidden="1">
      <c r="A608" s="13" t="s">
        <v>1189</v>
      </c>
      <c r="B608" s="13" t="s">
        <v>411</v>
      </c>
      <c r="C608" s="14">
        <v>24.0</v>
      </c>
      <c r="D608" s="13" t="s">
        <v>85</v>
      </c>
      <c r="E608" s="13" t="s">
        <v>92</v>
      </c>
      <c r="F608" s="13" t="s">
        <v>62</v>
      </c>
      <c r="G608" s="13" t="s">
        <v>120</v>
      </c>
      <c r="H608" s="16">
        <v>45628.0</v>
      </c>
      <c r="I608" s="14">
        <v>46.0</v>
      </c>
      <c r="J608" s="13" t="s">
        <v>64</v>
      </c>
      <c r="K608" s="13" t="s">
        <v>41</v>
      </c>
      <c r="L608" s="14">
        <v>616.0</v>
      </c>
      <c r="M608" s="18" t="s">
        <v>98</v>
      </c>
      <c r="N608" s="20">
        <v>0.0</v>
      </c>
      <c r="O608" s="18">
        <v>20.7</v>
      </c>
      <c r="P608" s="20">
        <v>3.5</v>
      </c>
      <c r="Q608" s="16">
        <v>45816.0</v>
      </c>
      <c r="R608" s="16" t="s">
        <v>1190</v>
      </c>
      <c r="S608" s="13" t="s">
        <v>45</v>
      </c>
      <c r="T608" s="13" t="s">
        <v>104</v>
      </c>
      <c r="U608" s="13" t="str">
        <f t="shared" si="1"/>
        <v>Moderate</v>
      </c>
      <c r="V608" s="13" t="str">
        <f t="shared" si="2"/>
        <v>Below Median</v>
      </c>
      <c r="W608" s="13" t="str">
        <f t="shared" si="3"/>
        <v>25–48 Months</v>
      </c>
    </row>
    <row r="609" hidden="1">
      <c r="A609" s="13" t="s">
        <v>1191</v>
      </c>
      <c r="B609" s="13" t="s">
        <v>145</v>
      </c>
      <c r="C609" s="14">
        <v>49.0</v>
      </c>
      <c r="D609" s="13" t="s">
        <v>69</v>
      </c>
      <c r="E609" s="13" t="s">
        <v>70</v>
      </c>
      <c r="F609" s="13" t="s">
        <v>62</v>
      </c>
      <c r="G609" s="13" t="s">
        <v>63</v>
      </c>
      <c r="H609" s="16">
        <v>44735.0</v>
      </c>
      <c r="I609" s="14">
        <v>48.0</v>
      </c>
      <c r="J609" s="13" t="s">
        <v>53</v>
      </c>
      <c r="K609" s="13" t="s">
        <v>81</v>
      </c>
      <c r="L609" s="14">
        <v>751.0</v>
      </c>
      <c r="M609" s="18" t="s">
        <v>43</v>
      </c>
      <c r="N609" s="20">
        <v>1.0</v>
      </c>
      <c r="O609" s="18">
        <v>18.0</v>
      </c>
      <c r="P609" s="20">
        <v>4.7</v>
      </c>
      <c r="Q609" s="16">
        <v>45613.0</v>
      </c>
      <c r="R609" s="16" t="s">
        <v>38</v>
      </c>
      <c r="S609" s="13" t="s">
        <v>55</v>
      </c>
      <c r="T609" s="13" t="s">
        <v>66</v>
      </c>
      <c r="U609" s="13" t="str">
        <f t="shared" si="1"/>
        <v>Moderate</v>
      </c>
      <c r="V609" s="13" t="str">
        <f t="shared" si="2"/>
        <v>Below Median</v>
      </c>
      <c r="W609" s="13" t="str">
        <f t="shared" si="3"/>
        <v>25–48 Months</v>
      </c>
    </row>
    <row r="610" hidden="1">
      <c r="A610" s="13" t="s">
        <v>1193</v>
      </c>
      <c r="B610" s="13" t="s">
        <v>179</v>
      </c>
      <c r="C610" s="14">
        <v>57.0</v>
      </c>
      <c r="D610" s="13" t="s">
        <v>35</v>
      </c>
      <c r="E610" s="13" t="s">
        <v>140</v>
      </c>
      <c r="F610" s="13" t="s">
        <v>62</v>
      </c>
      <c r="G610" s="13" t="s">
        <v>39</v>
      </c>
      <c r="H610" s="16">
        <v>44576.0</v>
      </c>
      <c r="I610" s="14">
        <v>46.0</v>
      </c>
      <c r="J610" s="13" t="s">
        <v>53</v>
      </c>
      <c r="K610" s="13" t="s">
        <v>41</v>
      </c>
      <c r="L610" s="14">
        <v>772.0</v>
      </c>
      <c r="M610" s="18" t="s">
        <v>173</v>
      </c>
      <c r="N610" s="20">
        <v>2.0</v>
      </c>
      <c r="O610" s="18">
        <v>7.2</v>
      </c>
      <c r="P610" s="20">
        <v>3.3</v>
      </c>
      <c r="Q610" s="16">
        <v>45086.0</v>
      </c>
      <c r="R610" s="16" t="s">
        <v>38</v>
      </c>
      <c r="S610" s="13" t="s">
        <v>55</v>
      </c>
      <c r="T610" s="13" t="s">
        <v>66</v>
      </c>
      <c r="U610" s="13" t="str">
        <f t="shared" si="1"/>
        <v>Moderate</v>
      </c>
      <c r="V610" s="13" t="str">
        <f t="shared" si="2"/>
        <v>Below Median</v>
      </c>
      <c r="W610" s="13" t="str">
        <f t="shared" si="3"/>
        <v>25–48 Months</v>
      </c>
    </row>
    <row r="611" hidden="1">
      <c r="A611" s="13" t="s">
        <v>186</v>
      </c>
      <c r="B611" s="13" t="s">
        <v>342</v>
      </c>
      <c r="C611" s="14">
        <v>62.0</v>
      </c>
      <c r="D611" s="13" t="s">
        <v>69</v>
      </c>
      <c r="E611" s="13" t="s">
        <v>70</v>
      </c>
      <c r="F611" s="13" t="s">
        <v>62</v>
      </c>
      <c r="G611" s="13" t="s">
        <v>39</v>
      </c>
      <c r="H611" s="16">
        <v>45614.0</v>
      </c>
      <c r="I611" s="14">
        <v>23.0</v>
      </c>
      <c r="J611" s="13" t="s">
        <v>40</v>
      </c>
      <c r="K611" s="13" t="s">
        <v>81</v>
      </c>
      <c r="L611" s="14">
        <v>715.0</v>
      </c>
      <c r="M611" s="18" t="s">
        <v>43</v>
      </c>
      <c r="N611" s="20">
        <v>1.0</v>
      </c>
      <c r="O611" s="18">
        <v>21.1</v>
      </c>
      <c r="P611" s="20">
        <v>3.0</v>
      </c>
      <c r="Q611" s="16">
        <v>45798.0</v>
      </c>
      <c r="R611" s="16">
        <v>46113.0</v>
      </c>
      <c r="S611" s="13" t="s">
        <v>45</v>
      </c>
      <c r="T611" s="13" t="s">
        <v>104</v>
      </c>
      <c r="U611" s="13" t="str">
        <f t="shared" si="1"/>
        <v>Moderate</v>
      </c>
      <c r="V611" s="13" t="str">
        <f t="shared" si="2"/>
        <v>Below Median</v>
      </c>
      <c r="W611" s="13" t="str">
        <f t="shared" si="3"/>
        <v>13–24 Months</v>
      </c>
    </row>
    <row r="612" hidden="1">
      <c r="A612" s="13" t="s">
        <v>389</v>
      </c>
      <c r="B612" s="13" t="s">
        <v>179</v>
      </c>
      <c r="C612" s="14">
        <v>48.0</v>
      </c>
      <c r="D612" s="13" t="s">
        <v>60</v>
      </c>
      <c r="E612" s="13" t="s">
        <v>133</v>
      </c>
      <c r="F612" s="13" t="s">
        <v>62</v>
      </c>
      <c r="G612" s="13" t="s">
        <v>39</v>
      </c>
      <c r="H612" s="16">
        <v>44566.0</v>
      </c>
      <c r="I612" s="14">
        <v>48.0</v>
      </c>
      <c r="J612" s="13" t="s">
        <v>64</v>
      </c>
      <c r="K612" s="13" t="s">
        <v>65</v>
      </c>
      <c r="L612" s="14">
        <v>700.0</v>
      </c>
      <c r="M612" s="18" t="s">
        <v>43</v>
      </c>
      <c r="N612" s="20">
        <v>0.0</v>
      </c>
      <c r="O612" s="18">
        <v>33.2</v>
      </c>
      <c r="P612" s="20">
        <v>2.8</v>
      </c>
      <c r="Q612" s="16">
        <v>45200.0</v>
      </c>
      <c r="R612" s="16" t="s">
        <v>38</v>
      </c>
      <c r="S612" s="13" t="s">
        <v>55</v>
      </c>
      <c r="T612" s="13" t="s">
        <v>104</v>
      </c>
      <c r="U612" s="13" t="str">
        <f t="shared" si="1"/>
        <v>Low</v>
      </c>
      <c r="V612" s="13" t="str">
        <f t="shared" si="2"/>
        <v>Median or Above</v>
      </c>
      <c r="W612" s="13" t="str">
        <f t="shared" si="3"/>
        <v>25–48 Months</v>
      </c>
    </row>
    <row r="613" hidden="1">
      <c r="A613" s="13" t="s">
        <v>638</v>
      </c>
      <c r="B613" s="13" t="s">
        <v>651</v>
      </c>
      <c r="C613" s="14">
        <v>46.0</v>
      </c>
      <c r="D613" s="13" t="s">
        <v>35</v>
      </c>
      <c r="E613" s="13" t="s">
        <v>140</v>
      </c>
      <c r="F613" s="13" t="s">
        <v>62</v>
      </c>
      <c r="G613" s="13" t="s">
        <v>210</v>
      </c>
      <c r="H613" s="16">
        <v>44781.0</v>
      </c>
      <c r="I613" s="14">
        <v>1.0</v>
      </c>
      <c r="J613" s="13" t="s">
        <v>53</v>
      </c>
      <c r="K613" s="13" t="s">
        <v>41</v>
      </c>
      <c r="L613" s="14">
        <v>868.0</v>
      </c>
      <c r="M613" s="18" t="s">
        <v>173</v>
      </c>
      <c r="N613" s="20">
        <v>1.0</v>
      </c>
      <c r="O613" s="18">
        <v>22.8</v>
      </c>
      <c r="P613" s="20">
        <v>3.1</v>
      </c>
      <c r="Q613" s="16">
        <v>44813.0</v>
      </c>
      <c r="R613" s="16" t="s">
        <v>38</v>
      </c>
      <c r="S613" s="13" t="s">
        <v>55</v>
      </c>
      <c r="T613" s="13" t="s">
        <v>104</v>
      </c>
      <c r="U613" s="13" t="str">
        <f t="shared" si="1"/>
        <v>Moderate</v>
      </c>
      <c r="V613" s="13" t="str">
        <f t="shared" si="2"/>
        <v>Below Median</v>
      </c>
      <c r="W613" s="13" t="str">
        <f t="shared" si="3"/>
        <v>0–12 Months</v>
      </c>
    </row>
    <row r="614" hidden="1">
      <c r="A614" s="13" t="s">
        <v>1195</v>
      </c>
      <c r="B614" s="13" t="s">
        <v>184</v>
      </c>
      <c r="C614" s="14">
        <v>46.0</v>
      </c>
      <c r="D614" s="13" t="s">
        <v>69</v>
      </c>
      <c r="E614" s="13" t="s">
        <v>119</v>
      </c>
      <c r="F614" s="13" t="s">
        <v>62</v>
      </c>
      <c r="G614" s="13" t="s">
        <v>120</v>
      </c>
      <c r="H614" s="16">
        <v>44576.0</v>
      </c>
      <c r="I614" s="14">
        <v>10.0</v>
      </c>
      <c r="J614" s="13" t="s">
        <v>40</v>
      </c>
      <c r="K614" s="13" t="s">
        <v>81</v>
      </c>
      <c r="L614" s="14">
        <v>627.0</v>
      </c>
      <c r="M614" s="18" t="s">
        <v>98</v>
      </c>
      <c r="N614" s="20">
        <v>0.0</v>
      </c>
      <c r="O614" s="18">
        <v>14.0</v>
      </c>
      <c r="P614" s="20">
        <v>3.5</v>
      </c>
      <c r="Q614" s="16">
        <v>44788.0</v>
      </c>
      <c r="R614" s="16" t="s">
        <v>637</v>
      </c>
      <c r="S614" s="13" t="s">
        <v>45</v>
      </c>
      <c r="T614" s="13" t="s">
        <v>72</v>
      </c>
      <c r="U614" s="13" t="str">
        <f t="shared" si="1"/>
        <v>Moderate</v>
      </c>
      <c r="V614" s="13" t="str">
        <f t="shared" si="2"/>
        <v>Below Median</v>
      </c>
      <c r="W614" s="13" t="str">
        <f t="shared" si="3"/>
        <v>0–12 Months</v>
      </c>
    </row>
    <row r="615" hidden="1">
      <c r="A615" s="13" t="s">
        <v>1196</v>
      </c>
      <c r="B615" s="13" t="s">
        <v>152</v>
      </c>
      <c r="C615" s="14">
        <v>27.0</v>
      </c>
      <c r="D615" s="13" t="s">
        <v>85</v>
      </c>
      <c r="E615" s="13" t="s">
        <v>87</v>
      </c>
      <c r="F615" s="13" t="s">
        <v>62</v>
      </c>
      <c r="G615" s="13" t="s">
        <v>210</v>
      </c>
      <c r="H615" s="16">
        <v>45450.0</v>
      </c>
      <c r="I615" s="14">
        <v>1.0</v>
      </c>
      <c r="J615" s="13" t="s">
        <v>53</v>
      </c>
      <c r="K615" s="13" t="s">
        <v>65</v>
      </c>
      <c r="L615" s="14">
        <v>862.0</v>
      </c>
      <c r="M615" s="18" t="s">
        <v>173</v>
      </c>
      <c r="N615" s="20">
        <v>3.0</v>
      </c>
      <c r="O615" s="18">
        <v>25.9</v>
      </c>
      <c r="P615" s="20">
        <v>3.2</v>
      </c>
      <c r="Q615" s="16">
        <v>45472.0</v>
      </c>
      <c r="R615" s="16" t="s">
        <v>38</v>
      </c>
      <c r="S615" s="13" t="s">
        <v>55</v>
      </c>
      <c r="T615" s="13" t="s">
        <v>72</v>
      </c>
      <c r="U615" s="13" t="str">
        <f t="shared" si="1"/>
        <v>Moderate</v>
      </c>
      <c r="V615" s="13" t="str">
        <f t="shared" si="2"/>
        <v>Median or Above</v>
      </c>
      <c r="W615" s="13" t="str">
        <f t="shared" si="3"/>
        <v>0–12 Months</v>
      </c>
    </row>
    <row r="616" hidden="1">
      <c r="A616" s="13" t="s">
        <v>1197</v>
      </c>
      <c r="B616" s="13" t="s">
        <v>405</v>
      </c>
      <c r="C616" s="14">
        <v>67.0</v>
      </c>
      <c r="D616" s="13" t="s">
        <v>69</v>
      </c>
      <c r="E616" s="13" t="s">
        <v>187</v>
      </c>
      <c r="F616" s="13" t="s">
        <v>79</v>
      </c>
      <c r="G616" s="13" t="s">
        <v>52</v>
      </c>
      <c r="H616" s="16">
        <v>45106.0</v>
      </c>
      <c r="I616" s="14">
        <v>8.0</v>
      </c>
      <c r="J616" s="13" t="s">
        <v>53</v>
      </c>
      <c r="K616" s="13" t="s">
        <v>81</v>
      </c>
      <c r="L616" s="14">
        <v>3637.0</v>
      </c>
      <c r="M616" s="18" t="s">
        <v>98</v>
      </c>
      <c r="N616" s="20">
        <v>0.0</v>
      </c>
      <c r="O616" s="18">
        <v>55.8</v>
      </c>
      <c r="P616" s="20">
        <v>3.7</v>
      </c>
      <c r="Q616" s="16">
        <v>45290.0</v>
      </c>
      <c r="R616" s="16" t="s">
        <v>38</v>
      </c>
      <c r="S616" s="13" t="s">
        <v>55</v>
      </c>
      <c r="T616" s="13" t="s">
        <v>75</v>
      </c>
      <c r="U616" s="13" t="str">
        <f t="shared" si="1"/>
        <v>Moderate</v>
      </c>
      <c r="V616" s="13" t="str">
        <f t="shared" si="2"/>
        <v>Median or Above</v>
      </c>
      <c r="W616" s="13" t="str">
        <f t="shared" si="3"/>
        <v>0–12 Months</v>
      </c>
    </row>
    <row r="617" hidden="1">
      <c r="A617" s="13" t="s">
        <v>1198</v>
      </c>
      <c r="B617" s="13" t="s">
        <v>633</v>
      </c>
      <c r="C617" s="14">
        <v>57.0</v>
      </c>
      <c r="D617" s="13" t="s">
        <v>35</v>
      </c>
      <c r="E617" s="13" t="s">
        <v>36</v>
      </c>
      <c r="F617" s="13" t="s">
        <v>37</v>
      </c>
      <c r="G617" s="13" t="s">
        <v>39</v>
      </c>
      <c r="H617" s="16">
        <v>44880.0</v>
      </c>
      <c r="I617" s="14">
        <v>23.0</v>
      </c>
      <c r="J617" s="13" t="s">
        <v>64</v>
      </c>
      <c r="K617" s="13" t="s">
        <v>41</v>
      </c>
      <c r="L617" s="14">
        <v>1699.0</v>
      </c>
      <c r="M617" s="18" t="s">
        <v>98</v>
      </c>
      <c r="N617" s="20">
        <v>0.0</v>
      </c>
      <c r="O617" s="18">
        <v>31.0</v>
      </c>
      <c r="P617" s="20">
        <v>4.0</v>
      </c>
      <c r="Q617" s="16">
        <v>44943.0</v>
      </c>
      <c r="R617" s="16" t="s">
        <v>38</v>
      </c>
      <c r="S617" s="13" t="s">
        <v>55</v>
      </c>
      <c r="T617" s="13" t="s">
        <v>75</v>
      </c>
      <c r="U617" s="13" t="str">
        <f t="shared" si="1"/>
        <v>Moderate</v>
      </c>
      <c r="V617" s="13" t="str">
        <f t="shared" si="2"/>
        <v>Median or Above</v>
      </c>
      <c r="W617" s="13" t="str">
        <f t="shared" si="3"/>
        <v>13–24 Months</v>
      </c>
    </row>
    <row r="618">
      <c r="A618" s="13" t="s">
        <v>660</v>
      </c>
      <c r="B618" s="13" t="s">
        <v>398</v>
      </c>
      <c r="C618" s="14">
        <v>35.0</v>
      </c>
      <c r="D618" s="13" t="s">
        <v>60</v>
      </c>
      <c r="E618" s="13" t="s">
        <v>107</v>
      </c>
      <c r="F618" s="13" t="s">
        <v>62</v>
      </c>
      <c r="G618" s="13" t="s">
        <v>128</v>
      </c>
      <c r="H618" s="16">
        <v>45440.0</v>
      </c>
      <c r="I618" s="14">
        <v>16.0</v>
      </c>
      <c r="J618" s="13" t="s">
        <v>64</v>
      </c>
      <c r="K618" s="13" t="s">
        <v>41</v>
      </c>
      <c r="L618" s="14">
        <v>1522.0</v>
      </c>
      <c r="M618" s="18" t="s">
        <v>99</v>
      </c>
      <c r="N618" s="20">
        <v>2.0</v>
      </c>
      <c r="O618" s="18">
        <v>37.6</v>
      </c>
      <c r="P618" s="20">
        <v>4.4</v>
      </c>
      <c r="Q618" s="16">
        <v>45577.0</v>
      </c>
      <c r="R618" s="16" t="s">
        <v>38</v>
      </c>
      <c r="S618" s="13" t="s">
        <v>529</v>
      </c>
      <c r="T618" s="13" t="s">
        <v>75</v>
      </c>
      <c r="U618" s="13" t="str">
        <f t="shared" si="1"/>
        <v>Moderate</v>
      </c>
      <c r="V618" s="13" t="str">
        <f t="shared" si="2"/>
        <v>Median or Above</v>
      </c>
      <c r="W618" s="13" t="str">
        <f t="shared" si="3"/>
        <v>13–24 Months</v>
      </c>
    </row>
    <row r="619" hidden="1">
      <c r="A619" s="13" t="s">
        <v>809</v>
      </c>
      <c r="B619" s="13" t="s">
        <v>215</v>
      </c>
      <c r="C619" s="14">
        <v>27.0</v>
      </c>
      <c r="D619" s="13" t="s">
        <v>85</v>
      </c>
      <c r="E619" s="13" t="s">
        <v>292</v>
      </c>
      <c r="F619" s="13" t="s">
        <v>37</v>
      </c>
      <c r="G619" s="13" t="s">
        <v>80</v>
      </c>
      <c r="H619" s="16">
        <v>45813.0</v>
      </c>
      <c r="I619" s="14">
        <v>12.0</v>
      </c>
      <c r="J619" s="13" t="s">
        <v>53</v>
      </c>
      <c r="K619" s="13" t="s">
        <v>41</v>
      </c>
      <c r="L619" s="14">
        <v>1643.0</v>
      </c>
      <c r="M619" s="18" t="s">
        <v>98</v>
      </c>
      <c r="N619" s="20">
        <v>1.0</v>
      </c>
      <c r="O619" s="18">
        <v>32.4</v>
      </c>
      <c r="P619" s="20">
        <v>3.4</v>
      </c>
      <c r="Q619" s="16">
        <v>45899.0</v>
      </c>
      <c r="R619" s="16" t="s">
        <v>38</v>
      </c>
      <c r="S619" s="13" t="s">
        <v>55</v>
      </c>
      <c r="T619" s="13" t="s">
        <v>72</v>
      </c>
      <c r="U619" s="13" t="str">
        <f t="shared" si="1"/>
        <v>Moderate</v>
      </c>
      <c r="V619" s="13" t="str">
        <f t="shared" si="2"/>
        <v>Median or Above</v>
      </c>
      <c r="W619" s="13" t="str">
        <f t="shared" si="3"/>
        <v>0–12 Months</v>
      </c>
    </row>
    <row r="620" hidden="1">
      <c r="A620" s="13" t="s">
        <v>1199</v>
      </c>
      <c r="B620" s="13" t="s">
        <v>636</v>
      </c>
      <c r="C620" s="14">
        <v>46.0</v>
      </c>
      <c r="D620" s="13" t="s">
        <v>69</v>
      </c>
      <c r="E620" s="13" t="s">
        <v>119</v>
      </c>
      <c r="F620" s="13" t="s">
        <v>62</v>
      </c>
      <c r="G620" s="13" t="s">
        <v>39</v>
      </c>
      <c r="H620" s="16">
        <v>44748.0</v>
      </c>
      <c r="I620" s="14">
        <v>4.0</v>
      </c>
      <c r="J620" s="13" t="s">
        <v>53</v>
      </c>
      <c r="K620" s="13" t="s">
        <v>41</v>
      </c>
      <c r="L620" s="14">
        <v>767.0</v>
      </c>
      <c r="M620" s="18" t="s">
        <v>43</v>
      </c>
      <c r="N620" s="20">
        <v>0.0</v>
      </c>
      <c r="O620" s="18">
        <v>15.2</v>
      </c>
      <c r="P620" s="20">
        <v>4.6</v>
      </c>
      <c r="Q620" s="16">
        <v>44817.0</v>
      </c>
      <c r="R620" s="16" t="s">
        <v>38</v>
      </c>
      <c r="S620" s="13" t="s">
        <v>55</v>
      </c>
      <c r="T620" s="13" t="s">
        <v>66</v>
      </c>
      <c r="U620" s="13" t="str">
        <f t="shared" si="1"/>
        <v>Moderate</v>
      </c>
      <c r="V620" s="13" t="str">
        <f t="shared" si="2"/>
        <v>Below Median</v>
      </c>
      <c r="W620" s="13" t="str">
        <f t="shared" si="3"/>
        <v>0–12 Months</v>
      </c>
    </row>
    <row r="621" hidden="1">
      <c r="A621" s="13" t="s">
        <v>1200</v>
      </c>
      <c r="B621" s="13" t="s">
        <v>96</v>
      </c>
      <c r="C621" s="14">
        <v>19.0</v>
      </c>
      <c r="D621" s="13" t="s">
        <v>35</v>
      </c>
      <c r="E621" s="13" t="s">
        <v>161</v>
      </c>
      <c r="F621" s="13" t="s">
        <v>37</v>
      </c>
      <c r="G621" s="13" t="s">
        <v>210</v>
      </c>
      <c r="H621" s="16">
        <v>45136.0</v>
      </c>
      <c r="I621" s="14">
        <v>0.0</v>
      </c>
      <c r="J621" s="13" t="s">
        <v>40</v>
      </c>
      <c r="K621" s="13" t="s">
        <v>81</v>
      </c>
      <c r="L621" s="14">
        <v>625.0</v>
      </c>
      <c r="M621" s="18" t="s">
        <v>173</v>
      </c>
      <c r="N621" s="20">
        <v>3.0</v>
      </c>
      <c r="O621" s="18">
        <v>18.7</v>
      </c>
      <c r="P621" s="20">
        <v>5.0</v>
      </c>
      <c r="Q621" s="16">
        <v>45194.0</v>
      </c>
      <c r="R621" s="16" t="s">
        <v>38</v>
      </c>
      <c r="S621" s="13" t="s">
        <v>55</v>
      </c>
      <c r="T621" s="13" t="s">
        <v>72</v>
      </c>
      <c r="U621" s="13" t="str">
        <f t="shared" si="1"/>
        <v>High</v>
      </c>
      <c r="V621" s="13" t="str">
        <f t="shared" si="2"/>
        <v>Below Median</v>
      </c>
      <c r="W621" s="13" t="str">
        <f t="shared" si="3"/>
        <v>0–12 Months</v>
      </c>
    </row>
    <row r="622">
      <c r="A622" s="13" t="s">
        <v>1201</v>
      </c>
      <c r="B622" s="13" t="s">
        <v>325</v>
      </c>
      <c r="C622" s="14">
        <v>61.0</v>
      </c>
      <c r="D622" s="13" t="s">
        <v>60</v>
      </c>
      <c r="E622" s="13" t="s">
        <v>133</v>
      </c>
      <c r="F622" s="13" t="s">
        <v>62</v>
      </c>
      <c r="G622" s="13" t="s">
        <v>80</v>
      </c>
      <c r="H622" s="16">
        <v>44768.0</v>
      </c>
      <c r="I622" s="14">
        <v>28.0</v>
      </c>
      <c r="J622" s="13" t="s">
        <v>40</v>
      </c>
      <c r="K622" s="13" t="s">
        <v>81</v>
      </c>
      <c r="L622" s="14">
        <v>750.0</v>
      </c>
      <c r="M622" s="18" t="s">
        <v>46</v>
      </c>
      <c r="N622" s="20">
        <v>1.0</v>
      </c>
      <c r="O622" s="18">
        <v>20.9</v>
      </c>
      <c r="P622" s="20">
        <v>4.2</v>
      </c>
      <c r="Q622" s="16">
        <v>45089.0</v>
      </c>
      <c r="R622" s="16" t="s">
        <v>38</v>
      </c>
      <c r="S622" s="13" t="s">
        <v>230</v>
      </c>
      <c r="T622" s="13" t="s">
        <v>66</v>
      </c>
      <c r="U622" s="13" t="str">
        <f t="shared" si="1"/>
        <v>Moderate</v>
      </c>
      <c r="V622" s="13" t="str">
        <f t="shared" si="2"/>
        <v>Below Median</v>
      </c>
      <c r="W622" s="13" t="str">
        <f t="shared" si="3"/>
        <v>25–48 Months</v>
      </c>
    </row>
    <row r="623" hidden="1">
      <c r="A623" s="13" t="s">
        <v>1203</v>
      </c>
      <c r="B623" s="13" t="s">
        <v>250</v>
      </c>
      <c r="C623" s="14">
        <v>56.0</v>
      </c>
      <c r="D623" s="13" t="s">
        <v>69</v>
      </c>
      <c r="E623" s="13" t="s">
        <v>177</v>
      </c>
      <c r="F623" s="13" t="s">
        <v>62</v>
      </c>
      <c r="G623" s="13" t="s">
        <v>128</v>
      </c>
      <c r="H623" s="16">
        <v>45302.0</v>
      </c>
      <c r="I623" s="14">
        <v>48.0</v>
      </c>
      <c r="J623" s="13" t="s">
        <v>53</v>
      </c>
      <c r="K623" s="13" t="s">
        <v>41</v>
      </c>
      <c r="L623" s="14">
        <v>769.0</v>
      </c>
      <c r="M623" s="18" t="s">
        <v>98</v>
      </c>
      <c r="N623" s="20">
        <v>1.0</v>
      </c>
      <c r="O623" s="18">
        <v>26.5</v>
      </c>
      <c r="P623" s="20">
        <v>5.0</v>
      </c>
      <c r="Q623" s="16">
        <v>45799.0</v>
      </c>
      <c r="R623" s="16">
        <v>46456.0</v>
      </c>
      <c r="S623" s="13" t="s">
        <v>45</v>
      </c>
      <c r="T623" s="13" t="s">
        <v>104</v>
      </c>
      <c r="U623" s="13" t="str">
        <f t="shared" si="1"/>
        <v>High</v>
      </c>
      <c r="V623" s="13" t="str">
        <f t="shared" si="2"/>
        <v>Median or Above</v>
      </c>
      <c r="W623" s="13" t="str">
        <f t="shared" si="3"/>
        <v>25–48 Months</v>
      </c>
    </row>
    <row r="624" hidden="1">
      <c r="A624" s="13" t="s">
        <v>1205</v>
      </c>
      <c r="B624" s="13" t="s">
        <v>448</v>
      </c>
      <c r="C624" s="14">
        <v>38.0</v>
      </c>
      <c r="D624" s="13" t="s">
        <v>35</v>
      </c>
      <c r="E624" s="13" t="s">
        <v>36</v>
      </c>
      <c r="F624" s="13" t="s">
        <v>37</v>
      </c>
      <c r="G624" s="13" t="s">
        <v>52</v>
      </c>
      <c r="H624" s="16">
        <v>44952.0</v>
      </c>
      <c r="I624" s="14">
        <v>13.0</v>
      </c>
      <c r="J624" s="13" t="s">
        <v>64</v>
      </c>
      <c r="K624" s="13" t="s">
        <v>65</v>
      </c>
      <c r="L624" s="14">
        <v>1075.0</v>
      </c>
      <c r="M624" s="18" t="s">
        <v>98</v>
      </c>
      <c r="N624" s="20">
        <v>2.0</v>
      </c>
      <c r="O624" s="18">
        <v>23.8</v>
      </c>
      <c r="P624" s="20">
        <v>4.9</v>
      </c>
      <c r="Q624" s="16">
        <v>45241.0</v>
      </c>
      <c r="R624" s="16" t="s">
        <v>38</v>
      </c>
      <c r="S624" s="13" t="s">
        <v>55</v>
      </c>
      <c r="T624" s="13" t="s">
        <v>47</v>
      </c>
      <c r="U624" s="13" t="str">
        <f t="shared" si="1"/>
        <v>Moderate</v>
      </c>
      <c r="V624" s="13" t="str">
        <f t="shared" si="2"/>
        <v>Below Median</v>
      </c>
      <c r="W624" s="13" t="str">
        <f t="shared" si="3"/>
        <v>13–24 Months</v>
      </c>
    </row>
    <row r="625" hidden="1">
      <c r="A625" s="13" t="s">
        <v>1206</v>
      </c>
      <c r="B625" s="13" t="s">
        <v>229</v>
      </c>
      <c r="C625" s="14">
        <v>59.0</v>
      </c>
      <c r="D625" s="13" t="s">
        <v>69</v>
      </c>
      <c r="E625" s="13" t="s">
        <v>70</v>
      </c>
      <c r="F625" s="13" t="s">
        <v>62</v>
      </c>
      <c r="G625" s="13" t="s">
        <v>120</v>
      </c>
      <c r="H625" s="16">
        <v>45689.0</v>
      </c>
      <c r="I625" s="14">
        <v>46.0</v>
      </c>
      <c r="J625" s="13" t="s">
        <v>64</v>
      </c>
      <c r="K625" s="13" t="s">
        <v>41</v>
      </c>
      <c r="L625" s="14">
        <v>887.0</v>
      </c>
      <c r="M625" s="18" t="s">
        <v>164</v>
      </c>
      <c r="N625" s="20">
        <v>1.0</v>
      </c>
      <c r="O625" s="18">
        <v>7.1</v>
      </c>
      <c r="P625" s="20">
        <v>2.6</v>
      </c>
      <c r="Q625" s="16">
        <v>46410.0</v>
      </c>
      <c r="R625" s="16" t="s">
        <v>38</v>
      </c>
      <c r="S625" s="13" t="s">
        <v>55</v>
      </c>
      <c r="T625" s="13" t="s">
        <v>75</v>
      </c>
      <c r="U625" s="13" t="str">
        <f t="shared" si="1"/>
        <v>Low</v>
      </c>
      <c r="V625" s="13" t="str">
        <f t="shared" si="2"/>
        <v>Below Median</v>
      </c>
      <c r="W625" s="13" t="str">
        <f t="shared" si="3"/>
        <v>25–48 Months</v>
      </c>
    </row>
    <row r="626" hidden="1">
      <c r="A626" s="13" t="s">
        <v>844</v>
      </c>
      <c r="B626" s="13" t="s">
        <v>239</v>
      </c>
      <c r="C626" s="14">
        <v>63.0</v>
      </c>
      <c r="D626" s="13" t="s">
        <v>85</v>
      </c>
      <c r="E626" s="13" t="s">
        <v>87</v>
      </c>
      <c r="F626" s="13" t="s">
        <v>37</v>
      </c>
      <c r="G626" s="13" t="s">
        <v>80</v>
      </c>
      <c r="H626" s="16">
        <v>44606.0</v>
      </c>
      <c r="I626" s="14">
        <v>11.0</v>
      </c>
      <c r="J626" s="13" t="s">
        <v>40</v>
      </c>
      <c r="K626" s="13" t="s">
        <v>81</v>
      </c>
      <c r="L626" s="14">
        <v>1131.0</v>
      </c>
      <c r="M626" s="18" t="s">
        <v>43</v>
      </c>
      <c r="N626" s="20">
        <v>1.0</v>
      </c>
      <c r="O626" s="18">
        <v>29.7</v>
      </c>
      <c r="P626" s="20">
        <v>3.2</v>
      </c>
      <c r="Q626" s="16">
        <v>44639.0</v>
      </c>
      <c r="R626" s="16" t="s">
        <v>38</v>
      </c>
      <c r="S626" s="13" t="s">
        <v>55</v>
      </c>
      <c r="T626" s="13" t="s">
        <v>75</v>
      </c>
      <c r="U626" s="13" t="str">
        <f t="shared" si="1"/>
        <v>Moderate</v>
      </c>
      <c r="V626" s="13" t="str">
        <f t="shared" si="2"/>
        <v>Median or Above</v>
      </c>
      <c r="W626" s="13" t="str">
        <f t="shared" si="3"/>
        <v>0–12 Months</v>
      </c>
    </row>
    <row r="627" hidden="1">
      <c r="A627" s="13" t="s">
        <v>990</v>
      </c>
      <c r="B627" s="13" t="s">
        <v>126</v>
      </c>
      <c r="C627" s="14">
        <v>55.0</v>
      </c>
      <c r="D627" s="13" t="s">
        <v>35</v>
      </c>
      <c r="E627" s="13" t="s">
        <v>51</v>
      </c>
      <c r="F627" s="13" t="s">
        <v>62</v>
      </c>
      <c r="G627" s="13" t="s">
        <v>80</v>
      </c>
      <c r="H627" s="16">
        <v>45348.0</v>
      </c>
      <c r="I627" s="14">
        <v>36.0</v>
      </c>
      <c r="J627" s="13" t="s">
        <v>40</v>
      </c>
      <c r="K627" s="13" t="s">
        <v>81</v>
      </c>
      <c r="L627" s="14">
        <v>704.0</v>
      </c>
      <c r="M627" s="18" t="s">
        <v>43</v>
      </c>
      <c r="N627" s="20">
        <v>2.0</v>
      </c>
      <c r="O627" s="18">
        <v>22.0</v>
      </c>
      <c r="P627" s="20">
        <v>4.7</v>
      </c>
      <c r="Q627" s="16">
        <v>45781.0</v>
      </c>
      <c r="R627" s="16">
        <v>45842.0</v>
      </c>
      <c r="S627" s="13" t="s">
        <v>45</v>
      </c>
      <c r="T627" s="13" t="s">
        <v>104</v>
      </c>
      <c r="U627" s="13" t="str">
        <f t="shared" si="1"/>
        <v>Moderate</v>
      </c>
      <c r="V627" s="13" t="str">
        <f t="shared" si="2"/>
        <v>Below Median</v>
      </c>
      <c r="W627" s="13" t="str">
        <f t="shared" si="3"/>
        <v>25–48 Months</v>
      </c>
    </row>
    <row r="628" hidden="1">
      <c r="A628" s="13" t="s">
        <v>1208</v>
      </c>
      <c r="B628" s="13" t="s">
        <v>395</v>
      </c>
      <c r="C628" s="14">
        <v>37.0</v>
      </c>
      <c r="D628" s="13" t="s">
        <v>85</v>
      </c>
      <c r="E628" s="13" t="s">
        <v>92</v>
      </c>
      <c r="F628" s="13" t="s">
        <v>62</v>
      </c>
      <c r="G628" s="13" t="s">
        <v>39</v>
      </c>
      <c r="H628" s="16">
        <v>45168.0</v>
      </c>
      <c r="I628" s="14">
        <v>46.0</v>
      </c>
      <c r="J628" s="13" t="s">
        <v>40</v>
      </c>
      <c r="K628" s="13" t="s">
        <v>81</v>
      </c>
      <c r="L628" s="14">
        <v>559.0</v>
      </c>
      <c r="M628" s="18" t="s">
        <v>98</v>
      </c>
      <c r="N628" s="20">
        <v>0.0</v>
      </c>
      <c r="O628" s="18">
        <v>24.3</v>
      </c>
      <c r="P628" s="20">
        <v>3.6</v>
      </c>
      <c r="Q628" s="16">
        <v>45271.0</v>
      </c>
      <c r="R628" s="16" t="s">
        <v>38</v>
      </c>
      <c r="S628" s="13" t="s">
        <v>55</v>
      </c>
      <c r="T628" s="13" t="s">
        <v>47</v>
      </c>
      <c r="U628" s="13" t="str">
        <f t="shared" si="1"/>
        <v>Moderate</v>
      </c>
      <c r="V628" s="13" t="str">
        <f t="shared" si="2"/>
        <v>Median or Above</v>
      </c>
      <c r="W628" s="13" t="str">
        <f t="shared" si="3"/>
        <v>25–48 Months</v>
      </c>
    </row>
    <row r="629" hidden="1">
      <c r="A629" s="13" t="s">
        <v>1209</v>
      </c>
      <c r="B629" s="13" t="s">
        <v>281</v>
      </c>
      <c r="C629" s="14">
        <v>39.0</v>
      </c>
      <c r="D629" s="13" t="s">
        <v>69</v>
      </c>
      <c r="E629" s="13" t="s">
        <v>177</v>
      </c>
      <c r="F629" s="13" t="s">
        <v>79</v>
      </c>
      <c r="G629" s="13" t="s">
        <v>63</v>
      </c>
      <c r="H629" s="16">
        <v>45877.0</v>
      </c>
      <c r="I629" s="14">
        <v>16.0</v>
      </c>
      <c r="J629" s="13" t="s">
        <v>40</v>
      </c>
      <c r="K629" s="13" t="s">
        <v>81</v>
      </c>
      <c r="L629" s="14">
        <v>2236.0</v>
      </c>
      <c r="M629" s="18" t="s">
        <v>46</v>
      </c>
      <c r="N629" s="20">
        <v>3.0</v>
      </c>
      <c r="O629" s="18">
        <v>26.7</v>
      </c>
      <c r="P629" s="20">
        <v>3.3</v>
      </c>
      <c r="Q629" s="16">
        <v>45887.0</v>
      </c>
      <c r="R629" s="16">
        <v>46150.0</v>
      </c>
      <c r="S629" s="13" t="s">
        <v>45</v>
      </c>
      <c r="T629" s="13" t="s">
        <v>66</v>
      </c>
      <c r="U629" s="13" t="str">
        <f t="shared" si="1"/>
        <v>Moderate</v>
      </c>
      <c r="V629" s="13" t="str">
        <f t="shared" si="2"/>
        <v>Median or Above</v>
      </c>
      <c r="W629" s="13" t="str">
        <f t="shared" si="3"/>
        <v>13–24 Months</v>
      </c>
    </row>
    <row r="630" hidden="1">
      <c r="A630" s="13" t="s">
        <v>1211</v>
      </c>
      <c r="B630" s="13" t="s">
        <v>322</v>
      </c>
      <c r="C630" s="14">
        <v>20.0</v>
      </c>
      <c r="D630" s="13" t="s">
        <v>69</v>
      </c>
      <c r="E630" s="13" t="s">
        <v>119</v>
      </c>
      <c r="F630" s="13" t="s">
        <v>79</v>
      </c>
      <c r="G630" s="13" t="s">
        <v>210</v>
      </c>
      <c r="H630" s="16">
        <v>45226.0</v>
      </c>
      <c r="I630" s="14">
        <v>4.0</v>
      </c>
      <c r="J630" s="13" t="s">
        <v>64</v>
      </c>
      <c r="K630" s="13" t="s">
        <v>81</v>
      </c>
      <c r="L630" s="14">
        <v>2448.0</v>
      </c>
      <c r="M630" s="18" t="s">
        <v>98</v>
      </c>
      <c r="N630" s="20">
        <v>1.0</v>
      </c>
      <c r="O630" s="18">
        <v>40.6</v>
      </c>
      <c r="P630" s="20">
        <v>3.9</v>
      </c>
      <c r="Q630" s="16">
        <v>45307.0</v>
      </c>
      <c r="R630" s="16" t="s">
        <v>38</v>
      </c>
      <c r="S630" s="13" t="s">
        <v>55</v>
      </c>
      <c r="T630" s="13" t="s">
        <v>66</v>
      </c>
      <c r="U630" s="13" t="str">
        <f t="shared" si="1"/>
        <v>Moderate</v>
      </c>
      <c r="V630" s="13" t="str">
        <f t="shared" si="2"/>
        <v>Median or Above</v>
      </c>
      <c r="W630" s="13" t="str">
        <f t="shared" si="3"/>
        <v>0–12 Months</v>
      </c>
    </row>
    <row r="631" hidden="1">
      <c r="A631" s="13" t="s">
        <v>1212</v>
      </c>
      <c r="B631" s="13" t="s">
        <v>333</v>
      </c>
      <c r="C631" s="14">
        <v>28.0</v>
      </c>
      <c r="D631" s="13" t="s">
        <v>85</v>
      </c>
      <c r="E631" s="13" t="s">
        <v>92</v>
      </c>
      <c r="F631" s="13" t="s">
        <v>79</v>
      </c>
      <c r="G631" s="13" t="s">
        <v>52</v>
      </c>
      <c r="H631" s="16">
        <v>45799.0</v>
      </c>
      <c r="I631" s="14">
        <v>36.0</v>
      </c>
      <c r="J631" s="13" t="s">
        <v>53</v>
      </c>
      <c r="K631" s="13" t="s">
        <v>41</v>
      </c>
      <c r="L631" s="14">
        <v>2663.0</v>
      </c>
      <c r="M631" s="18" t="s">
        <v>98</v>
      </c>
      <c r="N631" s="20">
        <v>0.0</v>
      </c>
      <c r="O631" s="18">
        <v>49.4</v>
      </c>
      <c r="P631" s="20">
        <v>2.4</v>
      </c>
      <c r="Q631" s="16">
        <v>46359.0</v>
      </c>
      <c r="R631" s="16" t="s">
        <v>38</v>
      </c>
      <c r="S631" s="13" t="s">
        <v>55</v>
      </c>
      <c r="T631" s="13" t="s">
        <v>75</v>
      </c>
      <c r="U631" s="13" t="str">
        <f t="shared" si="1"/>
        <v>Low</v>
      </c>
      <c r="V631" s="13" t="str">
        <f t="shared" si="2"/>
        <v>Median or Above</v>
      </c>
      <c r="W631" s="13" t="str">
        <f t="shared" si="3"/>
        <v>25–48 Months</v>
      </c>
    </row>
    <row r="632" hidden="1">
      <c r="A632" s="13" t="s">
        <v>311</v>
      </c>
      <c r="B632" s="13" t="s">
        <v>152</v>
      </c>
      <c r="C632" s="14">
        <v>38.0</v>
      </c>
      <c r="D632" s="13" t="s">
        <v>69</v>
      </c>
      <c r="E632" s="13" t="s">
        <v>119</v>
      </c>
      <c r="F632" s="13" t="s">
        <v>62</v>
      </c>
      <c r="G632" s="13" t="s">
        <v>39</v>
      </c>
      <c r="H632" s="16">
        <v>45502.0</v>
      </c>
      <c r="I632" s="14">
        <v>12.0</v>
      </c>
      <c r="J632" s="13" t="s">
        <v>40</v>
      </c>
      <c r="K632" s="13" t="s">
        <v>41</v>
      </c>
      <c r="L632" s="14">
        <v>589.0</v>
      </c>
      <c r="M632" s="18" t="s">
        <v>43</v>
      </c>
      <c r="N632" s="20">
        <v>1.0</v>
      </c>
      <c r="O632" s="18">
        <v>17.1</v>
      </c>
      <c r="P632" s="20">
        <v>3.3</v>
      </c>
      <c r="Q632" s="16">
        <v>45763.0</v>
      </c>
      <c r="R632" s="16" t="s">
        <v>1214</v>
      </c>
      <c r="S632" s="13" t="s">
        <v>45</v>
      </c>
      <c r="T632" s="13" t="s">
        <v>75</v>
      </c>
      <c r="U632" s="13" t="str">
        <f t="shared" si="1"/>
        <v>Moderate</v>
      </c>
      <c r="V632" s="13" t="str">
        <f t="shared" si="2"/>
        <v>Below Median</v>
      </c>
      <c r="W632" s="13" t="str">
        <f t="shared" si="3"/>
        <v>0–12 Months</v>
      </c>
    </row>
    <row r="633" hidden="1">
      <c r="A633" s="13" t="s">
        <v>1215</v>
      </c>
      <c r="B633" s="13" t="s">
        <v>651</v>
      </c>
      <c r="C633" s="14">
        <v>43.0</v>
      </c>
      <c r="D633" s="13" t="s">
        <v>69</v>
      </c>
      <c r="E633" s="13" t="s">
        <v>70</v>
      </c>
      <c r="F633" s="13" t="s">
        <v>62</v>
      </c>
      <c r="G633" s="13" t="s">
        <v>120</v>
      </c>
      <c r="H633" s="16">
        <v>45064.0</v>
      </c>
      <c r="I633" s="14">
        <v>30.0</v>
      </c>
      <c r="J633" s="13" t="s">
        <v>53</v>
      </c>
      <c r="K633" s="13" t="s">
        <v>41</v>
      </c>
      <c r="L633" s="14" t="s">
        <v>38</v>
      </c>
      <c r="M633" s="18" t="s">
        <v>164</v>
      </c>
      <c r="N633" s="20">
        <v>3.0</v>
      </c>
      <c r="O633" s="18">
        <v>20.2</v>
      </c>
      <c r="P633" s="20">
        <v>3.7</v>
      </c>
      <c r="Q633" s="16">
        <v>45613.0</v>
      </c>
      <c r="R633" s="16">
        <v>45027.0</v>
      </c>
      <c r="S633" s="13" t="s">
        <v>45</v>
      </c>
      <c r="T633" s="13" t="s">
        <v>104</v>
      </c>
      <c r="U633" s="13" t="str">
        <f t="shared" si="1"/>
        <v>Moderate</v>
      </c>
      <c r="V633" s="13" t="str">
        <f t="shared" si="2"/>
        <v>Below Median</v>
      </c>
      <c r="W633" s="13" t="str">
        <f t="shared" si="3"/>
        <v>25–48 Months</v>
      </c>
    </row>
    <row r="634" hidden="1">
      <c r="A634" s="13" t="s">
        <v>1217</v>
      </c>
      <c r="B634" s="13" t="s">
        <v>167</v>
      </c>
      <c r="C634" s="14">
        <v>64.0</v>
      </c>
      <c r="D634" s="13" t="s">
        <v>35</v>
      </c>
      <c r="E634" s="13" t="s">
        <v>51</v>
      </c>
      <c r="F634" s="13" t="s">
        <v>62</v>
      </c>
      <c r="G634" s="13" t="s">
        <v>63</v>
      </c>
      <c r="H634" s="16">
        <v>45110.0</v>
      </c>
      <c r="I634" s="14">
        <v>10.0</v>
      </c>
      <c r="J634" s="13" t="s">
        <v>40</v>
      </c>
      <c r="K634" s="13" t="s">
        <v>41</v>
      </c>
      <c r="L634" s="14">
        <v>806.0</v>
      </c>
      <c r="M634" s="18" t="s">
        <v>46</v>
      </c>
      <c r="N634" s="20">
        <v>1.0</v>
      </c>
      <c r="O634" s="18">
        <v>10.2</v>
      </c>
      <c r="P634" s="20">
        <v>4.9</v>
      </c>
      <c r="Q634" s="16">
        <v>45124.0</v>
      </c>
      <c r="R634" s="16" t="s">
        <v>1218</v>
      </c>
      <c r="S634" s="13" t="s">
        <v>55</v>
      </c>
      <c r="T634" s="13" t="s">
        <v>47</v>
      </c>
      <c r="U634" s="13" t="str">
        <f t="shared" si="1"/>
        <v>Moderate</v>
      </c>
      <c r="V634" s="13" t="str">
        <f t="shared" si="2"/>
        <v>Below Median</v>
      </c>
      <c r="W634" s="13" t="str">
        <f t="shared" si="3"/>
        <v>0–12 Months</v>
      </c>
    </row>
    <row r="635" hidden="1">
      <c r="A635" s="13" t="s">
        <v>660</v>
      </c>
      <c r="B635" s="13" t="s">
        <v>303</v>
      </c>
      <c r="C635" s="14">
        <v>21.0</v>
      </c>
      <c r="D635" s="13" t="s">
        <v>85</v>
      </c>
      <c r="E635" s="13" t="s">
        <v>111</v>
      </c>
      <c r="F635" s="13" t="s">
        <v>62</v>
      </c>
      <c r="G635" s="13" t="s">
        <v>120</v>
      </c>
      <c r="H635" s="16">
        <v>44878.0</v>
      </c>
      <c r="I635" s="14">
        <v>16.0</v>
      </c>
      <c r="J635" s="13" t="s">
        <v>40</v>
      </c>
      <c r="K635" s="13" t="s">
        <v>81</v>
      </c>
      <c r="L635" s="14">
        <v>853.0</v>
      </c>
      <c r="M635" s="18" t="s">
        <v>98</v>
      </c>
      <c r="N635" s="20">
        <v>0.0</v>
      </c>
      <c r="O635" s="18">
        <v>13.8</v>
      </c>
      <c r="P635" s="20">
        <v>4.6</v>
      </c>
      <c r="Q635" s="16" t="s">
        <v>38</v>
      </c>
      <c r="R635" s="16" t="s">
        <v>38</v>
      </c>
      <c r="S635" s="13" t="s">
        <v>55</v>
      </c>
      <c r="T635" s="13" t="s">
        <v>72</v>
      </c>
      <c r="U635" s="13" t="str">
        <f t="shared" si="1"/>
        <v>Moderate</v>
      </c>
      <c r="V635" s="13" t="str">
        <f t="shared" si="2"/>
        <v>Below Median</v>
      </c>
      <c r="W635" s="13" t="str">
        <f t="shared" si="3"/>
        <v>13–24 Months</v>
      </c>
    </row>
    <row r="636" hidden="1">
      <c r="A636" s="13" t="s">
        <v>1219</v>
      </c>
      <c r="B636" s="13" t="s">
        <v>333</v>
      </c>
      <c r="C636" s="14">
        <v>62.0</v>
      </c>
      <c r="D636" s="13" t="s">
        <v>85</v>
      </c>
      <c r="E636" s="13" t="s">
        <v>111</v>
      </c>
      <c r="F636" s="13" t="s">
        <v>62</v>
      </c>
      <c r="G636" s="13" t="s">
        <v>39</v>
      </c>
      <c r="H636" s="16">
        <v>44611.0</v>
      </c>
      <c r="I636" s="14">
        <v>15.0</v>
      </c>
      <c r="J636" s="13" t="s">
        <v>64</v>
      </c>
      <c r="K636" s="13" t="s">
        <v>41</v>
      </c>
      <c r="L636" s="14">
        <v>574.0</v>
      </c>
      <c r="M636" s="18" t="s">
        <v>46</v>
      </c>
      <c r="N636" s="20">
        <v>0.0</v>
      </c>
      <c r="O636" s="18">
        <v>11.7</v>
      </c>
      <c r="P636" s="20">
        <v>3.0</v>
      </c>
      <c r="Q636" s="16">
        <v>44767.0</v>
      </c>
      <c r="R636" s="16" t="s">
        <v>38</v>
      </c>
      <c r="S636" s="13" t="s">
        <v>55</v>
      </c>
      <c r="T636" s="13" t="s">
        <v>75</v>
      </c>
      <c r="U636" s="13" t="str">
        <f t="shared" si="1"/>
        <v>Moderate</v>
      </c>
      <c r="V636" s="13" t="str">
        <f t="shared" si="2"/>
        <v>Below Median</v>
      </c>
      <c r="W636" s="13" t="str">
        <f t="shared" si="3"/>
        <v>13–24 Months</v>
      </c>
    </row>
    <row r="637" hidden="1">
      <c r="A637" s="13" t="s">
        <v>1220</v>
      </c>
      <c r="B637" s="13" t="s">
        <v>126</v>
      </c>
      <c r="C637" s="14">
        <v>30.0</v>
      </c>
      <c r="D637" s="13" t="s">
        <v>35</v>
      </c>
      <c r="E637" s="13" t="s">
        <v>51</v>
      </c>
      <c r="F637" s="13" t="s">
        <v>62</v>
      </c>
      <c r="G637" s="13" t="s">
        <v>210</v>
      </c>
      <c r="H637" s="16">
        <v>45293.0</v>
      </c>
      <c r="I637" s="14">
        <v>5.0</v>
      </c>
      <c r="J637" s="13" t="s">
        <v>53</v>
      </c>
      <c r="K637" s="13" t="s">
        <v>81</v>
      </c>
      <c r="L637" s="14">
        <v>559.0</v>
      </c>
      <c r="M637" s="18" t="s">
        <v>164</v>
      </c>
      <c r="N637" s="20">
        <v>1.0</v>
      </c>
      <c r="O637" s="18">
        <v>3.8</v>
      </c>
      <c r="P637" s="20">
        <v>4.1</v>
      </c>
      <c r="Q637" s="16">
        <v>45324.0</v>
      </c>
      <c r="R637" s="16" t="s">
        <v>38</v>
      </c>
      <c r="S637" s="13" t="s">
        <v>55</v>
      </c>
      <c r="T637" s="13" t="s">
        <v>72</v>
      </c>
      <c r="U637" s="13" t="str">
        <f t="shared" si="1"/>
        <v>Moderate</v>
      </c>
      <c r="V637" s="13" t="str">
        <f t="shared" si="2"/>
        <v>Below Median</v>
      </c>
      <c r="W637" s="13" t="str">
        <f t="shared" si="3"/>
        <v>0–12 Months</v>
      </c>
    </row>
    <row r="638" hidden="1">
      <c r="A638" s="13" t="s">
        <v>1221</v>
      </c>
      <c r="B638" s="13" t="s">
        <v>169</v>
      </c>
      <c r="C638" s="14">
        <v>61.0</v>
      </c>
      <c r="D638" s="13" t="s">
        <v>69</v>
      </c>
      <c r="E638" s="13" t="s">
        <v>119</v>
      </c>
      <c r="F638" s="13" t="s">
        <v>62</v>
      </c>
      <c r="G638" s="13" t="s">
        <v>52</v>
      </c>
      <c r="H638" s="16">
        <v>45969.0</v>
      </c>
      <c r="I638" s="14">
        <v>20.0</v>
      </c>
      <c r="J638" s="13" t="s">
        <v>53</v>
      </c>
      <c r="K638" s="13" t="s">
        <v>65</v>
      </c>
      <c r="L638" s="14">
        <v>645.0</v>
      </c>
      <c r="M638" s="18" t="s">
        <v>98</v>
      </c>
      <c r="N638" s="20">
        <v>0.0</v>
      </c>
      <c r="O638" s="18">
        <v>16.8</v>
      </c>
      <c r="P638" s="20">
        <v>3.4</v>
      </c>
      <c r="Q638" s="16">
        <v>46085.0</v>
      </c>
      <c r="R638" s="16" t="s">
        <v>38</v>
      </c>
      <c r="S638" s="13" t="s">
        <v>55</v>
      </c>
      <c r="T638" s="13" t="s">
        <v>104</v>
      </c>
      <c r="U638" s="13" t="str">
        <f t="shared" si="1"/>
        <v>Moderate</v>
      </c>
      <c r="V638" s="13" t="str">
        <f t="shared" si="2"/>
        <v>Below Median</v>
      </c>
      <c r="W638" s="13" t="str">
        <f t="shared" si="3"/>
        <v>13–24 Months</v>
      </c>
    </row>
    <row r="639" hidden="1">
      <c r="A639" s="13" t="s">
        <v>1061</v>
      </c>
      <c r="B639" s="13" t="s">
        <v>78</v>
      </c>
      <c r="C639" s="14">
        <v>24.0</v>
      </c>
      <c r="D639" s="13" t="s">
        <v>69</v>
      </c>
      <c r="E639" s="13" t="s">
        <v>187</v>
      </c>
      <c r="F639" s="13" t="s">
        <v>62</v>
      </c>
      <c r="G639" s="13" t="s">
        <v>120</v>
      </c>
      <c r="H639" s="16">
        <v>45476.0</v>
      </c>
      <c r="I639" s="14">
        <v>47.0</v>
      </c>
      <c r="J639" s="13" t="s">
        <v>53</v>
      </c>
      <c r="K639" s="13" t="s">
        <v>41</v>
      </c>
      <c r="L639" s="14">
        <v>743.0</v>
      </c>
      <c r="M639" s="18" t="s">
        <v>98</v>
      </c>
      <c r="N639" s="20">
        <v>0.0</v>
      </c>
      <c r="O639" s="18">
        <v>14.9</v>
      </c>
      <c r="P639" s="20">
        <v>4.0</v>
      </c>
      <c r="Q639" s="16">
        <v>46669.0</v>
      </c>
      <c r="R639" s="16" t="s">
        <v>661</v>
      </c>
      <c r="S639" s="13" t="s">
        <v>45</v>
      </c>
      <c r="T639" s="13" t="s">
        <v>47</v>
      </c>
      <c r="U639" s="13" t="str">
        <f t="shared" si="1"/>
        <v>Moderate</v>
      </c>
      <c r="V639" s="13" t="str">
        <f t="shared" si="2"/>
        <v>Below Median</v>
      </c>
      <c r="W639" s="13" t="str">
        <f t="shared" si="3"/>
        <v>25–48 Months</v>
      </c>
    </row>
    <row r="640" hidden="1">
      <c r="A640" s="13" t="s">
        <v>590</v>
      </c>
      <c r="B640" s="13" t="s">
        <v>333</v>
      </c>
      <c r="C640" s="14">
        <v>45.0</v>
      </c>
      <c r="D640" s="13" t="s">
        <v>69</v>
      </c>
      <c r="E640" s="13" t="s">
        <v>92</v>
      </c>
      <c r="F640" s="13" t="s">
        <v>62</v>
      </c>
      <c r="G640" s="13" t="s">
        <v>120</v>
      </c>
      <c r="H640" s="16">
        <v>45547.0</v>
      </c>
      <c r="I640" s="14">
        <v>45.0</v>
      </c>
      <c r="J640" s="13" t="s">
        <v>64</v>
      </c>
      <c r="K640" s="13" t="s">
        <v>65</v>
      </c>
      <c r="L640" s="14">
        <v>807.0</v>
      </c>
      <c r="M640" s="18" t="s">
        <v>46</v>
      </c>
      <c r="N640" s="20">
        <v>1.0</v>
      </c>
      <c r="O640" s="18">
        <v>19.4</v>
      </c>
      <c r="P640" s="20">
        <v>4.9</v>
      </c>
      <c r="Q640" s="16">
        <v>45840.0</v>
      </c>
      <c r="R640" s="16">
        <v>47093.0</v>
      </c>
      <c r="S640" s="13" t="s">
        <v>45</v>
      </c>
      <c r="T640" s="13" t="s">
        <v>38</v>
      </c>
      <c r="U640" s="13" t="str">
        <f t="shared" si="1"/>
        <v>Moderate</v>
      </c>
      <c r="V640" s="13" t="str">
        <f t="shared" si="2"/>
        <v>Below Median</v>
      </c>
      <c r="W640" s="13" t="str">
        <f t="shared" si="3"/>
        <v>25–48 Months</v>
      </c>
    </row>
    <row r="641" hidden="1">
      <c r="A641" s="13" t="s">
        <v>1224</v>
      </c>
      <c r="B641" s="13" t="s">
        <v>636</v>
      </c>
      <c r="C641" s="14">
        <v>19.0</v>
      </c>
      <c r="D641" s="13" t="s">
        <v>85</v>
      </c>
      <c r="E641" s="13" t="s">
        <v>111</v>
      </c>
      <c r="F641" s="13" t="s">
        <v>62</v>
      </c>
      <c r="G641" s="13" t="s">
        <v>80</v>
      </c>
      <c r="H641" s="16">
        <v>45425.0</v>
      </c>
      <c r="I641" s="14">
        <v>34.0</v>
      </c>
      <c r="J641" s="13" t="s">
        <v>40</v>
      </c>
      <c r="K641" s="13" t="s">
        <v>41</v>
      </c>
      <c r="L641" s="14">
        <v>854.0</v>
      </c>
      <c r="M641" s="18" t="s">
        <v>98</v>
      </c>
      <c r="N641" s="20">
        <v>3.0</v>
      </c>
      <c r="O641" s="18">
        <v>16.4</v>
      </c>
      <c r="P641" s="20">
        <v>3.9</v>
      </c>
      <c r="Q641" s="16">
        <v>45613.0</v>
      </c>
      <c r="R641" s="16" t="s">
        <v>38</v>
      </c>
      <c r="S641" s="13" t="s">
        <v>55</v>
      </c>
      <c r="T641" s="13" t="s">
        <v>72</v>
      </c>
      <c r="U641" s="13" t="str">
        <f t="shared" si="1"/>
        <v>Moderate</v>
      </c>
      <c r="V641" s="13" t="str">
        <f t="shared" si="2"/>
        <v>Below Median</v>
      </c>
      <c r="W641" s="13" t="str">
        <f t="shared" si="3"/>
        <v>25–48 Months</v>
      </c>
    </row>
    <row r="642" hidden="1">
      <c r="A642" s="13" t="s">
        <v>925</v>
      </c>
      <c r="B642" s="13" t="s">
        <v>476</v>
      </c>
      <c r="C642" s="14">
        <v>34.0</v>
      </c>
      <c r="D642" s="13" t="s">
        <v>85</v>
      </c>
      <c r="E642" s="13" t="s">
        <v>111</v>
      </c>
      <c r="F642" s="13" t="s">
        <v>79</v>
      </c>
      <c r="G642" s="13" t="s">
        <v>63</v>
      </c>
      <c r="H642" s="16">
        <v>45277.0</v>
      </c>
      <c r="I642" s="14">
        <v>24.0</v>
      </c>
      <c r="J642" s="13" t="s">
        <v>40</v>
      </c>
      <c r="K642" s="13" t="s">
        <v>41</v>
      </c>
      <c r="L642" s="14">
        <v>2602.0</v>
      </c>
      <c r="M642" s="18" t="s">
        <v>98</v>
      </c>
      <c r="N642" s="20">
        <v>1.0</v>
      </c>
      <c r="O642" s="18">
        <v>32.9</v>
      </c>
      <c r="P642" s="20">
        <v>2.9</v>
      </c>
      <c r="Q642" s="16">
        <v>45758.0</v>
      </c>
      <c r="R642" s="16">
        <v>45602.0</v>
      </c>
      <c r="S642" s="13" t="s">
        <v>45</v>
      </c>
      <c r="T642" s="13" t="s">
        <v>104</v>
      </c>
      <c r="U642" s="13" t="str">
        <f t="shared" si="1"/>
        <v>Low</v>
      </c>
      <c r="V642" s="13" t="str">
        <f t="shared" si="2"/>
        <v>Median or Above</v>
      </c>
      <c r="W642" s="13" t="str">
        <f t="shared" si="3"/>
        <v>13–24 Months</v>
      </c>
    </row>
    <row r="643" hidden="1">
      <c r="A643" s="13" t="s">
        <v>455</v>
      </c>
      <c r="B643" s="13" t="s">
        <v>325</v>
      </c>
      <c r="C643" s="14">
        <v>49.0</v>
      </c>
      <c r="D643" s="13" t="s">
        <v>69</v>
      </c>
      <c r="E643" s="13" t="s">
        <v>70</v>
      </c>
      <c r="F643" s="13" t="s">
        <v>79</v>
      </c>
      <c r="G643" s="13" t="s">
        <v>52</v>
      </c>
      <c r="H643" s="16">
        <v>44855.0</v>
      </c>
      <c r="I643" s="14">
        <v>25.0</v>
      </c>
      <c r="J643" s="13" t="s">
        <v>64</v>
      </c>
      <c r="K643" s="13" t="s">
        <v>41</v>
      </c>
      <c r="L643" s="14">
        <v>2760.0</v>
      </c>
      <c r="M643" s="18" t="s">
        <v>98</v>
      </c>
      <c r="N643" s="20">
        <v>2.0</v>
      </c>
      <c r="O643" s="18">
        <v>41.9</v>
      </c>
      <c r="P643" s="20">
        <v>2.9</v>
      </c>
      <c r="Q643" s="16">
        <v>44920.0</v>
      </c>
      <c r="R643" s="16">
        <v>45484.0</v>
      </c>
      <c r="S643" s="13" t="s">
        <v>45</v>
      </c>
      <c r="T643" s="13" t="s">
        <v>104</v>
      </c>
      <c r="U643" s="13" t="str">
        <f t="shared" si="1"/>
        <v>Low</v>
      </c>
      <c r="V643" s="13" t="str">
        <f t="shared" si="2"/>
        <v>Median or Above</v>
      </c>
      <c r="W643" s="13" t="str">
        <f t="shared" si="3"/>
        <v>25–48 Months</v>
      </c>
    </row>
    <row r="644" hidden="1">
      <c r="A644" s="13" t="s">
        <v>1227</v>
      </c>
      <c r="B644" s="13" t="s">
        <v>322</v>
      </c>
      <c r="C644" s="14">
        <v>49.0</v>
      </c>
      <c r="D644" s="13" t="s">
        <v>60</v>
      </c>
      <c r="E644" s="13" t="s">
        <v>97</v>
      </c>
      <c r="F644" s="13" t="s">
        <v>62</v>
      </c>
      <c r="G644" s="13" t="s">
        <v>63</v>
      </c>
      <c r="H644" s="16">
        <v>44587.0</v>
      </c>
      <c r="I644" s="14">
        <v>37.0</v>
      </c>
      <c r="J644" s="13" t="s">
        <v>53</v>
      </c>
      <c r="K644" s="13" t="s">
        <v>81</v>
      </c>
      <c r="L644" s="14">
        <v>712.0</v>
      </c>
      <c r="M644" s="18" t="s">
        <v>98</v>
      </c>
      <c r="N644" s="20">
        <v>1.0</v>
      </c>
      <c r="O644" s="18">
        <v>10.0</v>
      </c>
      <c r="P644" s="20">
        <v>4.1</v>
      </c>
      <c r="Q644" s="16">
        <v>44970.0</v>
      </c>
      <c r="R644" s="16" t="s">
        <v>1228</v>
      </c>
      <c r="S644" s="13" t="s">
        <v>45</v>
      </c>
      <c r="T644" s="13" t="s">
        <v>72</v>
      </c>
      <c r="U644" s="13" t="str">
        <f t="shared" si="1"/>
        <v>Moderate</v>
      </c>
      <c r="V644" s="13" t="str">
        <f t="shared" si="2"/>
        <v>Below Median</v>
      </c>
      <c r="W644" s="13" t="str">
        <f t="shared" si="3"/>
        <v>25–48 Months</v>
      </c>
    </row>
    <row r="645" hidden="1">
      <c r="A645" s="13" t="s">
        <v>365</v>
      </c>
      <c r="B645" s="13" t="s">
        <v>393</v>
      </c>
      <c r="C645" s="14">
        <v>62.0</v>
      </c>
      <c r="D645" s="13" t="s">
        <v>35</v>
      </c>
      <c r="E645" s="13" t="s">
        <v>161</v>
      </c>
      <c r="F645" s="13" t="s">
        <v>62</v>
      </c>
      <c r="G645" s="13" t="s">
        <v>63</v>
      </c>
      <c r="H645" s="16">
        <v>45877.0</v>
      </c>
      <c r="I645" s="14">
        <v>3.0</v>
      </c>
      <c r="J645" s="13" t="s">
        <v>53</v>
      </c>
      <c r="K645" s="13" t="s">
        <v>81</v>
      </c>
      <c r="L645" s="14">
        <v>587.0</v>
      </c>
      <c r="M645" s="18" t="s">
        <v>98</v>
      </c>
      <c r="N645" s="20">
        <v>1.0</v>
      </c>
      <c r="O645" s="18">
        <v>14.9</v>
      </c>
      <c r="P645" s="20">
        <v>3.6</v>
      </c>
      <c r="Q645" s="16">
        <v>45888.0</v>
      </c>
      <c r="R645" s="16" t="s">
        <v>38</v>
      </c>
      <c r="S645" s="13" t="s">
        <v>55</v>
      </c>
      <c r="T645" s="13" t="s">
        <v>72</v>
      </c>
      <c r="U645" s="13" t="str">
        <f t="shared" si="1"/>
        <v>Moderate</v>
      </c>
      <c r="V645" s="13" t="str">
        <f t="shared" si="2"/>
        <v>Below Median</v>
      </c>
      <c r="W645" s="13" t="str">
        <f t="shared" si="3"/>
        <v>0–12 Months</v>
      </c>
    </row>
    <row r="646" hidden="1">
      <c r="A646" s="13" t="s">
        <v>667</v>
      </c>
      <c r="B646" s="13" t="s">
        <v>239</v>
      </c>
      <c r="C646" s="14">
        <v>33.0</v>
      </c>
      <c r="D646" s="13" t="s">
        <v>60</v>
      </c>
      <c r="E646" s="13" t="s">
        <v>97</v>
      </c>
      <c r="F646" s="13" t="s">
        <v>79</v>
      </c>
      <c r="G646" s="13" t="s">
        <v>39</v>
      </c>
      <c r="H646" s="16">
        <v>45118.0</v>
      </c>
      <c r="I646" s="14">
        <v>6.0</v>
      </c>
      <c r="J646" s="13" t="s">
        <v>53</v>
      </c>
      <c r="K646" s="13" t="s">
        <v>41</v>
      </c>
      <c r="L646" s="14">
        <v>563.0</v>
      </c>
      <c r="M646" s="18" t="s">
        <v>164</v>
      </c>
      <c r="N646" s="20">
        <v>1.0</v>
      </c>
      <c r="O646" s="18">
        <v>14.8</v>
      </c>
      <c r="P646" s="20">
        <v>3.9</v>
      </c>
      <c r="Q646" s="16">
        <v>45230.0</v>
      </c>
      <c r="R646" s="16" t="s">
        <v>38</v>
      </c>
      <c r="S646" s="13" t="s">
        <v>55</v>
      </c>
      <c r="T646" s="13" t="s">
        <v>66</v>
      </c>
      <c r="U646" s="13" t="str">
        <f t="shared" si="1"/>
        <v>Moderate</v>
      </c>
      <c r="V646" s="13" t="str">
        <f t="shared" si="2"/>
        <v>Below Median</v>
      </c>
      <c r="W646" s="13" t="str">
        <f t="shared" si="3"/>
        <v>0–12 Months</v>
      </c>
    </row>
    <row r="647" hidden="1">
      <c r="A647" s="13" t="s">
        <v>428</v>
      </c>
      <c r="B647" s="13" t="s">
        <v>801</v>
      </c>
      <c r="C647" s="14">
        <v>36.0</v>
      </c>
      <c r="D647" s="13" t="s">
        <v>35</v>
      </c>
      <c r="E647" s="13" t="s">
        <v>140</v>
      </c>
      <c r="F647" s="13" t="s">
        <v>37</v>
      </c>
      <c r="G647" s="13" t="s">
        <v>52</v>
      </c>
      <c r="H647" s="16">
        <v>45876.0</v>
      </c>
      <c r="I647" s="14">
        <v>26.0</v>
      </c>
      <c r="J647" s="13" t="s">
        <v>40</v>
      </c>
      <c r="K647" s="13" t="s">
        <v>41</v>
      </c>
      <c r="L647" s="14">
        <v>1054.0</v>
      </c>
      <c r="M647" s="18" t="s">
        <v>46</v>
      </c>
      <c r="N647" s="20">
        <v>0.0</v>
      </c>
      <c r="O647" s="18">
        <v>37.5</v>
      </c>
      <c r="P647" s="20">
        <v>4.1</v>
      </c>
      <c r="Q647" s="16">
        <v>46266.0</v>
      </c>
      <c r="R647" s="16" t="s">
        <v>1229</v>
      </c>
      <c r="S647" s="13" t="s">
        <v>45</v>
      </c>
      <c r="T647" s="13" t="s">
        <v>104</v>
      </c>
      <c r="U647" s="13" t="str">
        <f t="shared" si="1"/>
        <v>Moderate</v>
      </c>
      <c r="V647" s="13" t="str">
        <f t="shared" si="2"/>
        <v>Median or Above</v>
      </c>
      <c r="W647" s="13" t="str">
        <f t="shared" si="3"/>
        <v>25–48 Months</v>
      </c>
    </row>
    <row r="648" hidden="1">
      <c r="A648" s="13" t="s">
        <v>1230</v>
      </c>
      <c r="B648" s="13" t="s">
        <v>362</v>
      </c>
      <c r="C648" s="14">
        <v>59.0</v>
      </c>
      <c r="D648" s="13" t="s">
        <v>60</v>
      </c>
      <c r="E648" s="13" t="s">
        <v>61</v>
      </c>
      <c r="F648" s="13" t="s">
        <v>62</v>
      </c>
      <c r="G648" s="13" t="s">
        <v>39</v>
      </c>
      <c r="H648" s="16">
        <v>45671.0</v>
      </c>
      <c r="I648" s="14">
        <v>7.0</v>
      </c>
      <c r="J648" s="13" t="s">
        <v>40</v>
      </c>
      <c r="K648" s="13" t="s">
        <v>41</v>
      </c>
      <c r="L648" s="14">
        <v>804.0</v>
      </c>
      <c r="M648" s="18" t="s">
        <v>98</v>
      </c>
      <c r="N648" s="20">
        <v>2.0</v>
      </c>
      <c r="O648" s="18">
        <v>26.3</v>
      </c>
      <c r="P648" s="20">
        <v>2.4</v>
      </c>
      <c r="Q648" s="16">
        <v>45760.0</v>
      </c>
      <c r="R648" s="16" t="s">
        <v>38</v>
      </c>
      <c r="S648" s="13" t="s">
        <v>55</v>
      </c>
      <c r="T648" s="13" t="s">
        <v>72</v>
      </c>
      <c r="U648" s="13" t="str">
        <f t="shared" si="1"/>
        <v>Low</v>
      </c>
      <c r="V648" s="13" t="str">
        <f t="shared" si="2"/>
        <v>Median or Above</v>
      </c>
      <c r="W648" s="13" t="str">
        <f t="shared" si="3"/>
        <v>0–12 Months</v>
      </c>
    </row>
    <row r="649" hidden="1">
      <c r="A649" s="13" t="s">
        <v>240</v>
      </c>
      <c r="B649" s="13" t="s">
        <v>395</v>
      </c>
      <c r="C649" s="14">
        <v>39.0</v>
      </c>
      <c r="D649" s="13" t="s">
        <v>35</v>
      </c>
      <c r="E649" s="13" t="s">
        <v>140</v>
      </c>
      <c r="F649" s="13" t="s">
        <v>62</v>
      </c>
      <c r="G649" s="13" t="s">
        <v>210</v>
      </c>
      <c r="H649" s="16">
        <v>44752.0</v>
      </c>
      <c r="I649" s="14">
        <v>20.0</v>
      </c>
      <c r="J649" s="13" t="s">
        <v>53</v>
      </c>
      <c r="K649" s="13" t="s">
        <v>81</v>
      </c>
      <c r="L649" s="14">
        <v>681.0</v>
      </c>
      <c r="M649" s="18" t="s">
        <v>98</v>
      </c>
      <c r="N649" s="20">
        <v>2.0</v>
      </c>
      <c r="O649" s="18">
        <v>15.8</v>
      </c>
      <c r="P649" s="20">
        <v>3.4</v>
      </c>
      <c r="Q649" s="16">
        <v>45169.0</v>
      </c>
      <c r="R649" s="16" t="s">
        <v>38</v>
      </c>
      <c r="S649" s="13" t="s">
        <v>55</v>
      </c>
      <c r="T649" s="13" t="s">
        <v>72</v>
      </c>
      <c r="U649" s="13" t="str">
        <f t="shared" si="1"/>
        <v>Moderate</v>
      </c>
      <c r="V649" s="13" t="str">
        <f t="shared" si="2"/>
        <v>Below Median</v>
      </c>
      <c r="W649" s="13" t="str">
        <f t="shared" si="3"/>
        <v>13–24 Months</v>
      </c>
    </row>
    <row r="650" hidden="1">
      <c r="A650" s="13" t="s">
        <v>1232</v>
      </c>
      <c r="B650" s="13" t="s">
        <v>118</v>
      </c>
      <c r="C650" s="14">
        <v>56.0</v>
      </c>
      <c r="D650" s="13" t="s">
        <v>35</v>
      </c>
      <c r="E650" s="13" t="s">
        <v>161</v>
      </c>
      <c r="F650" s="13" t="s">
        <v>62</v>
      </c>
      <c r="G650" s="13" t="s">
        <v>52</v>
      </c>
      <c r="H650" s="16">
        <v>45593.0</v>
      </c>
      <c r="I650" s="14">
        <v>7.0</v>
      </c>
      <c r="J650" s="13" t="s">
        <v>40</v>
      </c>
      <c r="K650" s="13" t="s">
        <v>65</v>
      </c>
      <c r="L650" s="14">
        <v>895.0</v>
      </c>
      <c r="M650" s="18" t="s">
        <v>98</v>
      </c>
      <c r="N650" s="20">
        <v>1.0</v>
      </c>
      <c r="O650" s="18">
        <v>26.7</v>
      </c>
      <c r="P650" s="20">
        <v>3.3</v>
      </c>
      <c r="Q650" s="16">
        <v>45753.0</v>
      </c>
      <c r="R650" s="16" t="s">
        <v>38</v>
      </c>
      <c r="S650" s="13" t="s">
        <v>55</v>
      </c>
      <c r="T650" s="13" t="s">
        <v>47</v>
      </c>
      <c r="U650" s="13" t="str">
        <f t="shared" si="1"/>
        <v>Moderate</v>
      </c>
      <c r="V650" s="13" t="str">
        <f t="shared" si="2"/>
        <v>Median or Above</v>
      </c>
      <c r="W650" s="13" t="str">
        <f t="shared" si="3"/>
        <v>0–12 Months</v>
      </c>
    </row>
    <row r="651" hidden="1">
      <c r="A651" s="13" t="s">
        <v>841</v>
      </c>
      <c r="B651" s="13" t="s">
        <v>167</v>
      </c>
      <c r="C651" s="14">
        <v>47.0</v>
      </c>
      <c r="D651" s="13" t="s">
        <v>85</v>
      </c>
      <c r="E651" s="13" t="s">
        <v>292</v>
      </c>
      <c r="F651" s="13" t="s">
        <v>79</v>
      </c>
      <c r="G651" s="13" t="s">
        <v>63</v>
      </c>
      <c r="H651" s="16">
        <v>45036.0</v>
      </c>
      <c r="I651" s="14">
        <v>14.0</v>
      </c>
      <c r="J651" s="13" t="s">
        <v>40</v>
      </c>
      <c r="K651" s="13" t="s">
        <v>65</v>
      </c>
      <c r="L651" s="14">
        <v>3573.0</v>
      </c>
      <c r="M651" s="18" t="s">
        <v>46</v>
      </c>
      <c r="N651" s="20">
        <v>1.0</v>
      </c>
      <c r="O651" s="18">
        <v>48.4</v>
      </c>
      <c r="P651" s="20">
        <v>2.7</v>
      </c>
      <c r="Q651" s="16">
        <v>45413.0</v>
      </c>
      <c r="R651" s="16">
        <v>45207.0</v>
      </c>
      <c r="S651" s="13" t="s">
        <v>45</v>
      </c>
      <c r="T651" s="13" t="s">
        <v>72</v>
      </c>
      <c r="U651" s="13" t="str">
        <f t="shared" si="1"/>
        <v>Low</v>
      </c>
      <c r="V651" s="13" t="str">
        <f t="shared" si="2"/>
        <v>Median or Above</v>
      </c>
      <c r="W651" s="13" t="str">
        <f t="shared" si="3"/>
        <v>13–24 Months</v>
      </c>
    </row>
    <row r="652" hidden="1">
      <c r="A652" s="13" t="s">
        <v>1234</v>
      </c>
      <c r="B652" s="13" t="s">
        <v>351</v>
      </c>
      <c r="C652" s="14">
        <v>25.0</v>
      </c>
      <c r="D652" s="13" t="s">
        <v>85</v>
      </c>
      <c r="E652" s="13" t="s">
        <v>292</v>
      </c>
      <c r="F652" s="13" t="s">
        <v>79</v>
      </c>
      <c r="G652" s="13" t="s">
        <v>128</v>
      </c>
      <c r="H652" s="16">
        <v>45960.0</v>
      </c>
      <c r="I652" s="14">
        <v>25.0</v>
      </c>
      <c r="J652" s="13" t="s">
        <v>40</v>
      </c>
      <c r="K652" s="13" t="s">
        <v>41</v>
      </c>
      <c r="L652" s="14">
        <v>2152.0</v>
      </c>
      <c r="M652" s="18" t="s">
        <v>98</v>
      </c>
      <c r="N652" s="20">
        <v>0.0</v>
      </c>
      <c r="O652" s="18">
        <v>39.1</v>
      </c>
      <c r="P652" s="20">
        <v>3.2</v>
      </c>
      <c r="Q652" s="16">
        <v>46126.0</v>
      </c>
      <c r="R652" s="16" t="s">
        <v>38</v>
      </c>
      <c r="S652" s="13" t="s">
        <v>55</v>
      </c>
      <c r="T652" s="13" t="s">
        <v>72</v>
      </c>
      <c r="U652" s="13" t="str">
        <f t="shared" si="1"/>
        <v>Moderate</v>
      </c>
      <c r="V652" s="13" t="str">
        <f t="shared" si="2"/>
        <v>Median or Above</v>
      </c>
      <c r="W652" s="13" t="str">
        <f t="shared" si="3"/>
        <v>25–48 Months</v>
      </c>
    </row>
    <row r="653" hidden="1">
      <c r="A653" s="13" t="s">
        <v>1235</v>
      </c>
      <c r="B653" s="13" t="s">
        <v>325</v>
      </c>
      <c r="C653" s="14">
        <v>30.0</v>
      </c>
      <c r="D653" s="13" t="s">
        <v>35</v>
      </c>
      <c r="E653" s="13" t="s">
        <v>140</v>
      </c>
      <c r="F653" s="13" t="s">
        <v>62</v>
      </c>
      <c r="G653" s="13" t="s">
        <v>210</v>
      </c>
      <c r="H653" s="16">
        <v>44909.0</v>
      </c>
      <c r="I653" s="14">
        <v>19.0</v>
      </c>
      <c r="J653" s="13" t="s">
        <v>64</v>
      </c>
      <c r="K653" s="13" t="s">
        <v>65</v>
      </c>
      <c r="L653" s="14">
        <v>642.0</v>
      </c>
      <c r="M653" s="18" t="s">
        <v>46</v>
      </c>
      <c r="N653" s="20">
        <v>1.0</v>
      </c>
      <c r="O653" s="18">
        <v>14.4</v>
      </c>
      <c r="P653" s="20">
        <v>3.0</v>
      </c>
      <c r="Q653" s="16">
        <v>45280.0</v>
      </c>
      <c r="R653" s="16" t="s">
        <v>38</v>
      </c>
      <c r="S653" s="13" t="s">
        <v>55</v>
      </c>
      <c r="T653" s="13" t="s">
        <v>72</v>
      </c>
      <c r="U653" s="13" t="str">
        <f t="shared" si="1"/>
        <v>Moderate</v>
      </c>
      <c r="V653" s="13" t="str">
        <f t="shared" si="2"/>
        <v>Below Median</v>
      </c>
      <c r="W653" s="13" t="str">
        <f t="shared" si="3"/>
        <v>13–24 Months</v>
      </c>
    </row>
    <row r="654" hidden="1">
      <c r="A654" s="13" t="s">
        <v>1236</v>
      </c>
      <c r="B654" s="13" t="s">
        <v>605</v>
      </c>
      <c r="C654" s="14">
        <v>47.0</v>
      </c>
      <c r="D654" s="13" t="s">
        <v>60</v>
      </c>
      <c r="E654" s="13" t="s">
        <v>133</v>
      </c>
      <c r="F654" s="13" t="s">
        <v>37</v>
      </c>
      <c r="G654" s="13" t="s">
        <v>39</v>
      </c>
      <c r="H654" s="16">
        <v>44815.0</v>
      </c>
      <c r="I654" s="14">
        <v>37.0</v>
      </c>
      <c r="J654" s="13" t="s">
        <v>53</v>
      </c>
      <c r="K654" s="13" t="s">
        <v>81</v>
      </c>
      <c r="L654" s="14">
        <v>1292.0</v>
      </c>
      <c r="M654" s="18" t="s">
        <v>43</v>
      </c>
      <c r="N654" s="20">
        <v>1.0</v>
      </c>
      <c r="O654" s="18">
        <v>19.5</v>
      </c>
      <c r="P654" s="20">
        <v>3.7</v>
      </c>
      <c r="Q654" s="16">
        <v>45662.0</v>
      </c>
      <c r="R654" s="16" t="s">
        <v>38</v>
      </c>
      <c r="S654" s="13" t="s">
        <v>55</v>
      </c>
      <c r="T654" s="13" t="s">
        <v>66</v>
      </c>
      <c r="U654" s="13" t="str">
        <f t="shared" si="1"/>
        <v>Moderate</v>
      </c>
      <c r="V654" s="13" t="str">
        <f t="shared" si="2"/>
        <v>Below Median</v>
      </c>
      <c r="W654" s="13" t="str">
        <f t="shared" si="3"/>
        <v>25–48 Months</v>
      </c>
    </row>
    <row r="655" hidden="1">
      <c r="A655" s="13" t="s">
        <v>775</v>
      </c>
      <c r="B655" s="13" t="s">
        <v>424</v>
      </c>
      <c r="C655" s="14">
        <v>28.0</v>
      </c>
      <c r="D655" s="13" t="s">
        <v>60</v>
      </c>
      <c r="E655" s="13" t="s">
        <v>61</v>
      </c>
      <c r="F655" s="13" t="s">
        <v>37</v>
      </c>
      <c r="G655" s="13" t="s">
        <v>80</v>
      </c>
      <c r="H655" s="16">
        <v>45483.0</v>
      </c>
      <c r="I655" s="14">
        <v>17.0</v>
      </c>
      <c r="J655" s="13" t="s">
        <v>40</v>
      </c>
      <c r="K655" s="13" t="s">
        <v>65</v>
      </c>
      <c r="L655" s="14">
        <v>1042.0</v>
      </c>
      <c r="M655" s="18" t="s">
        <v>164</v>
      </c>
      <c r="N655" s="20">
        <v>0.0</v>
      </c>
      <c r="O655" s="18">
        <v>30.6</v>
      </c>
      <c r="P655" s="20">
        <v>5.0</v>
      </c>
      <c r="Q655" s="16">
        <v>45551.0</v>
      </c>
      <c r="R655" s="16" t="s">
        <v>1237</v>
      </c>
      <c r="S655" s="13" t="s">
        <v>45</v>
      </c>
      <c r="T655" s="13" t="s">
        <v>75</v>
      </c>
      <c r="U655" s="13" t="str">
        <f t="shared" si="1"/>
        <v>High</v>
      </c>
      <c r="V655" s="13" t="str">
        <f t="shared" si="2"/>
        <v>Median or Above</v>
      </c>
      <c r="W655" s="13" t="str">
        <f t="shared" si="3"/>
        <v>13–24 Months</v>
      </c>
    </row>
    <row r="656" hidden="1">
      <c r="A656" s="13" t="s">
        <v>1238</v>
      </c>
      <c r="B656" s="13" t="s">
        <v>235</v>
      </c>
      <c r="C656" s="14">
        <v>24.0</v>
      </c>
      <c r="D656" s="13" t="s">
        <v>85</v>
      </c>
      <c r="E656" s="13" t="s">
        <v>292</v>
      </c>
      <c r="F656" s="13" t="s">
        <v>62</v>
      </c>
      <c r="G656" s="13" t="s">
        <v>128</v>
      </c>
      <c r="H656" s="16">
        <v>45508.0</v>
      </c>
      <c r="I656" s="14">
        <v>43.0</v>
      </c>
      <c r="J656" s="13" t="s">
        <v>40</v>
      </c>
      <c r="K656" s="13" t="s">
        <v>81</v>
      </c>
      <c r="L656" s="14">
        <v>737.0</v>
      </c>
      <c r="M656" s="18" t="s">
        <v>43</v>
      </c>
      <c r="N656" s="20">
        <v>4.0</v>
      </c>
      <c r="O656" s="18">
        <v>16.0</v>
      </c>
      <c r="P656" s="20">
        <v>4.2</v>
      </c>
      <c r="Q656" s="16">
        <v>46613.0</v>
      </c>
      <c r="R656" s="16" t="s">
        <v>38</v>
      </c>
      <c r="S656" s="13" t="s">
        <v>55</v>
      </c>
      <c r="T656" s="13" t="s">
        <v>104</v>
      </c>
      <c r="U656" s="13" t="str">
        <f t="shared" si="1"/>
        <v>Moderate</v>
      </c>
      <c r="V656" s="13" t="str">
        <f t="shared" si="2"/>
        <v>Below Median</v>
      </c>
      <c r="W656" s="13" t="str">
        <f t="shared" si="3"/>
        <v>25–48 Months</v>
      </c>
    </row>
    <row r="657" hidden="1">
      <c r="A657" s="13" t="s">
        <v>1132</v>
      </c>
      <c r="B657" s="13" t="s">
        <v>169</v>
      </c>
      <c r="C657" s="14" t="s">
        <v>38</v>
      </c>
      <c r="D657" s="13" t="s">
        <v>85</v>
      </c>
      <c r="E657" s="13" t="s">
        <v>111</v>
      </c>
      <c r="F657" s="13" t="s">
        <v>62</v>
      </c>
      <c r="G657" s="13" t="s">
        <v>63</v>
      </c>
      <c r="H657" s="16">
        <v>45211.0</v>
      </c>
      <c r="I657" s="14">
        <v>22.0</v>
      </c>
      <c r="J657" s="13" t="s">
        <v>64</v>
      </c>
      <c r="K657" s="13" t="s">
        <v>41</v>
      </c>
      <c r="L657" s="14">
        <v>747.0</v>
      </c>
      <c r="M657" s="18" t="s">
        <v>164</v>
      </c>
      <c r="N657" s="20">
        <v>0.0</v>
      </c>
      <c r="O657" s="18">
        <v>16.1</v>
      </c>
      <c r="P657" s="20">
        <v>2.2</v>
      </c>
      <c r="Q657" s="16">
        <v>45708.0</v>
      </c>
      <c r="R657" s="16">
        <v>45476.0</v>
      </c>
      <c r="S657" s="13" t="s">
        <v>45</v>
      </c>
      <c r="T657" s="13" t="s">
        <v>75</v>
      </c>
      <c r="U657" s="13" t="str">
        <f t="shared" si="1"/>
        <v>Low</v>
      </c>
      <c r="V657" s="13" t="str">
        <f t="shared" si="2"/>
        <v>Below Median</v>
      </c>
      <c r="W657" s="13" t="str">
        <f t="shared" si="3"/>
        <v>13–24 Months</v>
      </c>
    </row>
    <row r="658" hidden="1">
      <c r="A658" s="13" t="s">
        <v>1240</v>
      </c>
      <c r="B658" s="13" t="s">
        <v>424</v>
      </c>
      <c r="C658" s="14">
        <v>67.0</v>
      </c>
      <c r="D658" s="13" t="s">
        <v>69</v>
      </c>
      <c r="E658" s="13" t="s">
        <v>177</v>
      </c>
      <c r="F658" s="13" t="s">
        <v>37</v>
      </c>
      <c r="G658" s="13" t="s">
        <v>80</v>
      </c>
      <c r="H658" s="16">
        <v>45340.0</v>
      </c>
      <c r="I658" s="14">
        <v>4.0</v>
      </c>
      <c r="J658" s="13" t="s">
        <v>64</v>
      </c>
      <c r="K658" s="13" t="s">
        <v>65</v>
      </c>
      <c r="L658" s="14">
        <v>1439.0</v>
      </c>
      <c r="M658" s="18" t="s">
        <v>164</v>
      </c>
      <c r="N658" s="20">
        <v>2.0</v>
      </c>
      <c r="O658" s="18">
        <v>27.5</v>
      </c>
      <c r="P658" s="20">
        <v>4.2</v>
      </c>
      <c r="Q658" s="16">
        <v>45404.0</v>
      </c>
      <c r="R658" s="16" t="s">
        <v>1241</v>
      </c>
      <c r="S658" s="13" t="s">
        <v>45</v>
      </c>
      <c r="T658" s="13" t="s">
        <v>72</v>
      </c>
      <c r="U658" s="13" t="str">
        <f t="shared" si="1"/>
        <v>Moderate</v>
      </c>
      <c r="V658" s="13" t="str">
        <f t="shared" si="2"/>
        <v>Median or Above</v>
      </c>
      <c r="W658" s="13" t="str">
        <f t="shared" si="3"/>
        <v>0–12 Months</v>
      </c>
    </row>
    <row r="659" hidden="1">
      <c r="A659" s="13" t="s">
        <v>1242</v>
      </c>
      <c r="B659" s="13" t="s">
        <v>395</v>
      </c>
      <c r="C659" s="14">
        <v>61.0</v>
      </c>
      <c r="D659" s="13" t="s">
        <v>69</v>
      </c>
      <c r="E659" s="13" t="s">
        <v>70</v>
      </c>
      <c r="F659" s="13" t="s">
        <v>62</v>
      </c>
      <c r="G659" s="13" t="s">
        <v>210</v>
      </c>
      <c r="H659" s="16">
        <v>45391.0</v>
      </c>
      <c r="I659" s="14">
        <v>6.0</v>
      </c>
      <c r="J659" s="13" t="s">
        <v>53</v>
      </c>
      <c r="K659" s="13" t="s">
        <v>41</v>
      </c>
      <c r="L659" s="14">
        <v>863.0</v>
      </c>
      <c r="M659" s="18" t="s">
        <v>99</v>
      </c>
      <c r="N659" s="20">
        <v>2.0</v>
      </c>
      <c r="O659" s="18">
        <v>27.2</v>
      </c>
      <c r="P659" s="20">
        <v>3.5</v>
      </c>
      <c r="Q659" s="16">
        <v>45508.0</v>
      </c>
      <c r="R659" s="16" t="s">
        <v>38</v>
      </c>
      <c r="S659" s="13" t="s">
        <v>55</v>
      </c>
      <c r="T659" s="13" t="s">
        <v>104</v>
      </c>
      <c r="U659" s="13" t="str">
        <f t="shared" si="1"/>
        <v>Moderate</v>
      </c>
      <c r="V659" s="13" t="str">
        <f t="shared" si="2"/>
        <v>Median or Above</v>
      </c>
      <c r="W659" s="13" t="str">
        <f t="shared" si="3"/>
        <v>0–12 Months</v>
      </c>
    </row>
    <row r="660" hidden="1">
      <c r="A660" s="13" t="s">
        <v>1243</v>
      </c>
      <c r="B660" s="13" t="s">
        <v>50</v>
      </c>
      <c r="C660" s="14">
        <v>41.0</v>
      </c>
      <c r="D660" s="13" t="s">
        <v>85</v>
      </c>
      <c r="E660" s="13" t="s">
        <v>92</v>
      </c>
      <c r="F660" s="13" t="s">
        <v>79</v>
      </c>
      <c r="G660" s="13" t="s">
        <v>210</v>
      </c>
      <c r="H660" s="16">
        <v>44898.0</v>
      </c>
      <c r="I660" s="14">
        <v>13.0</v>
      </c>
      <c r="J660" s="13" t="s">
        <v>64</v>
      </c>
      <c r="K660" s="13" t="s">
        <v>81</v>
      </c>
      <c r="L660" s="14">
        <v>2972.0</v>
      </c>
      <c r="M660" s="18" t="s">
        <v>164</v>
      </c>
      <c r="N660" s="20">
        <v>1.0</v>
      </c>
      <c r="O660" s="18">
        <v>37.0</v>
      </c>
      <c r="P660" s="20">
        <v>3.2</v>
      </c>
      <c r="Q660" s="16">
        <v>45182.0</v>
      </c>
      <c r="R660" s="16" t="s">
        <v>38</v>
      </c>
      <c r="S660" s="13" t="s">
        <v>55</v>
      </c>
      <c r="T660" s="13" t="s">
        <v>75</v>
      </c>
      <c r="U660" s="13" t="str">
        <f t="shared" si="1"/>
        <v>Moderate</v>
      </c>
      <c r="V660" s="13" t="str">
        <f t="shared" si="2"/>
        <v>Median or Above</v>
      </c>
      <c r="W660" s="13" t="str">
        <f t="shared" si="3"/>
        <v>13–24 Months</v>
      </c>
    </row>
    <row r="661" hidden="1">
      <c r="A661" s="13" t="s">
        <v>1244</v>
      </c>
      <c r="B661" s="13" t="s">
        <v>126</v>
      </c>
      <c r="C661" s="14">
        <v>48.0</v>
      </c>
      <c r="D661" s="13" t="s">
        <v>69</v>
      </c>
      <c r="E661" s="13" t="s">
        <v>70</v>
      </c>
      <c r="F661" s="13" t="s">
        <v>37</v>
      </c>
      <c r="G661" s="13" t="s">
        <v>80</v>
      </c>
      <c r="H661" s="16">
        <v>45824.0</v>
      </c>
      <c r="I661" s="14">
        <v>10.0</v>
      </c>
      <c r="J661" s="13" t="s">
        <v>40</v>
      </c>
      <c r="K661" s="13" t="s">
        <v>65</v>
      </c>
      <c r="L661" s="14">
        <v>1759.0</v>
      </c>
      <c r="M661" s="18" t="s">
        <v>98</v>
      </c>
      <c r="N661" s="20">
        <v>1.0</v>
      </c>
      <c r="O661" s="18">
        <v>30.4</v>
      </c>
      <c r="P661" s="20">
        <v>5.0</v>
      </c>
      <c r="Q661" s="16">
        <v>45996.0</v>
      </c>
      <c r="R661" s="16" t="s">
        <v>38</v>
      </c>
      <c r="S661" s="13" t="s">
        <v>55</v>
      </c>
      <c r="T661" s="13" t="s">
        <v>72</v>
      </c>
      <c r="U661" s="13" t="str">
        <f t="shared" si="1"/>
        <v>High</v>
      </c>
      <c r="V661" s="13" t="str">
        <f t="shared" si="2"/>
        <v>Median or Above</v>
      </c>
      <c r="W661" s="13" t="str">
        <f t="shared" si="3"/>
        <v>0–12 Months</v>
      </c>
    </row>
    <row r="662" hidden="1">
      <c r="A662" s="13" t="s">
        <v>1245</v>
      </c>
      <c r="B662" s="13" t="s">
        <v>362</v>
      </c>
      <c r="C662" s="14">
        <v>45.0</v>
      </c>
      <c r="D662" s="13" t="s">
        <v>85</v>
      </c>
      <c r="E662" s="13" t="s">
        <v>92</v>
      </c>
      <c r="F662" s="13" t="s">
        <v>37</v>
      </c>
      <c r="G662" s="13" t="s">
        <v>63</v>
      </c>
      <c r="H662" s="16">
        <v>45484.0</v>
      </c>
      <c r="I662" s="14">
        <v>9.0</v>
      </c>
      <c r="J662" s="13" t="s">
        <v>64</v>
      </c>
      <c r="K662" s="13" t="s">
        <v>81</v>
      </c>
      <c r="L662" s="14">
        <v>1591.0</v>
      </c>
      <c r="M662" s="18" t="s">
        <v>164</v>
      </c>
      <c r="N662" s="20">
        <v>1.0</v>
      </c>
      <c r="O662" s="18">
        <v>20.9</v>
      </c>
      <c r="P662" s="20">
        <v>1.4</v>
      </c>
      <c r="Q662" s="16">
        <v>45512.0</v>
      </c>
      <c r="R662" s="16" t="s">
        <v>38</v>
      </c>
      <c r="S662" s="13" t="s">
        <v>55</v>
      </c>
      <c r="T662" s="13" t="s">
        <v>47</v>
      </c>
      <c r="U662" s="13" t="str">
        <f t="shared" si="1"/>
        <v>Low</v>
      </c>
      <c r="V662" s="13" t="str">
        <f t="shared" si="2"/>
        <v>Below Median</v>
      </c>
      <c r="W662" s="13" t="str">
        <f t="shared" si="3"/>
        <v>0–12 Months</v>
      </c>
    </row>
    <row r="663" hidden="1">
      <c r="A663" s="13" t="s">
        <v>1247</v>
      </c>
      <c r="B663" s="13" t="s">
        <v>247</v>
      </c>
      <c r="C663" s="14">
        <v>15.0</v>
      </c>
      <c r="D663" s="13" t="s">
        <v>85</v>
      </c>
      <c r="E663" s="13" t="s">
        <v>111</v>
      </c>
      <c r="F663" s="13" t="s">
        <v>62</v>
      </c>
      <c r="G663" s="13" t="s">
        <v>39</v>
      </c>
      <c r="H663" s="16">
        <v>45953.0</v>
      </c>
      <c r="I663" s="14">
        <v>37.0</v>
      </c>
      <c r="J663" s="13" t="s">
        <v>53</v>
      </c>
      <c r="K663" s="13" t="s">
        <v>81</v>
      </c>
      <c r="L663" s="14">
        <v>688.0</v>
      </c>
      <c r="M663" s="18" t="s">
        <v>43</v>
      </c>
      <c r="N663" s="20">
        <v>2.0</v>
      </c>
      <c r="O663" s="18">
        <v>24.0</v>
      </c>
      <c r="P663" s="20">
        <v>2.6</v>
      </c>
      <c r="Q663" s="16">
        <v>46581.0</v>
      </c>
      <c r="R663" s="16">
        <v>46729.0</v>
      </c>
      <c r="S663" s="13" t="s">
        <v>45</v>
      </c>
      <c r="T663" s="13" t="s">
        <v>75</v>
      </c>
      <c r="U663" s="13" t="str">
        <f t="shared" si="1"/>
        <v>Low</v>
      </c>
      <c r="V663" s="13" t="str">
        <f t="shared" si="2"/>
        <v>Median or Above</v>
      </c>
      <c r="W663" s="13" t="str">
        <f t="shared" si="3"/>
        <v>25–48 Months</v>
      </c>
    </row>
    <row r="664" hidden="1">
      <c r="A664" s="13" t="s">
        <v>1249</v>
      </c>
      <c r="B664" s="13" t="s">
        <v>411</v>
      </c>
      <c r="C664" s="14">
        <v>30.0</v>
      </c>
      <c r="D664" s="13" t="s">
        <v>85</v>
      </c>
      <c r="E664" s="13" t="s">
        <v>92</v>
      </c>
      <c r="F664" s="13" t="s">
        <v>62</v>
      </c>
      <c r="G664" s="13" t="s">
        <v>63</v>
      </c>
      <c r="H664" s="16">
        <v>45434.0</v>
      </c>
      <c r="I664" s="14">
        <v>34.0</v>
      </c>
      <c r="J664" s="13" t="s">
        <v>64</v>
      </c>
      <c r="K664" s="13" t="s">
        <v>81</v>
      </c>
      <c r="L664" s="14">
        <v>670.0</v>
      </c>
      <c r="M664" s="18" t="s">
        <v>98</v>
      </c>
      <c r="N664" s="20">
        <v>1.0</v>
      </c>
      <c r="O664" s="18">
        <v>3.1</v>
      </c>
      <c r="P664" s="20">
        <v>4.5</v>
      </c>
      <c r="Q664" s="16">
        <v>45804.0</v>
      </c>
      <c r="R664" s="16">
        <v>45726.0</v>
      </c>
      <c r="S664" s="13" t="s">
        <v>45</v>
      </c>
      <c r="T664" s="13" t="s">
        <v>47</v>
      </c>
      <c r="U664" s="13" t="str">
        <f t="shared" si="1"/>
        <v>Moderate</v>
      </c>
      <c r="V664" s="13" t="str">
        <f t="shared" si="2"/>
        <v>Below Median</v>
      </c>
      <c r="W664" s="13" t="str">
        <f t="shared" si="3"/>
        <v>25–48 Months</v>
      </c>
    </row>
    <row r="665" hidden="1">
      <c r="A665" s="13" t="s">
        <v>1251</v>
      </c>
      <c r="B665" s="13" t="s">
        <v>325</v>
      </c>
      <c r="C665" s="14">
        <v>24.0</v>
      </c>
      <c r="D665" s="13" t="s">
        <v>85</v>
      </c>
      <c r="E665" s="13" t="s">
        <v>87</v>
      </c>
      <c r="F665" s="13" t="s">
        <v>62</v>
      </c>
      <c r="G665" s="13" t="s">
        <v>52</v>
      </c>
      <c r="H665" s="16">
        <v>45972.0</v>
      </c>
      <c r="I665" s="14">
        <v>44.0</v>
      </c>
      <c r="J665" s="13" t="s">
        <v>64</v>
      </c>
      <c r="K665" s="13" t="s">
        <v>41</v>
      </c>
      <c r="L665" s="14">
        <v>644.0</v>
      </c>
      <c r="M665" s="18" t="s">
        <v>43</v>
      </c>
      <c r="N665" s="20">
        <v>1.0</v>
      </c>
      <c r="O665" s="18">
        <v>26.1</v>
      </c>
      <c r="P665" s="20">
        <v>3.2</v>
      </c>
      <c r="Q665" s="16">
        <v>46185.0</v>
      </c>
      <c r="R665" s="16" t="s">
        <v>38</v>
      </c>
      <c r="S665" s="13" t="s">
        <v>55</v>
      </c>
      <c r="T665" s="13" t="s">
        <v>66</v>
      </c>
      <c r="U665" s="13" t="str">
        <f t="shared" si="1"/>
        <v>Moderate</v>
      </c>
      <c r="V665" s="13" t="str">
        <f t="shared" si="2"/>
        <v>Median or Above</v>
      </c>
      <c r="W665" s="13" t="str">
        <f t="shared" si="3"/>
        <v>25–48 Months</v>
      </c>
    </row>
    <row r="666" hidden="1">
      <c r="A666" s="13" t="s">
        <v>1252</v>
      </c>
      <c r="B666" s="13" t="s">
        <v>139</v>
      </c>
      <c r="C666" s="14">
        <v>32.0</v>
      </c>
      <c r="D666" s="13" t="s">
        <v>35</v>
      </c>
      <c r="E666" s="13" t="s">
        <v>140</v>
      </c>
      <c r="F666" s="13" t="s">
        <v>37</v>
      </c>
      <c r="G666" s="13" t="s">
        <v>80</v>
      </c>
      <c r="H666" s="16">
        <v>45677.0</v>
      </c>
      <c r="I666" s="14">
        <v>7.0</v>
      </c>
      <c r="J666" s="13" t="s">
        <v>40</v>
      </c>
      <c r="K666" s="13" t="s">
        <v>65</v>
      </c>
      <c r="L666" s="14">
        <v>1594.0</v>
      </c>
      <c r="M666" s="18" t="s">
        <v>98</v>
      </c>
      <c r="N666" s="20">
        <v>0.0</v>
      </c>
      <c r="O666" s="18">
        <v>32.3</v>
      </c>
      <c r="P666" s="20">
        <v>4.1</v>
      </c>
      <c r="Q666" s="16">
        <v>45695.0</v>
      </c>
      <c r="R666" s="16" t="s">
        <v>38</v>
      </c>
      <c r="S666" s="13" t="s">
        <v>55</v>
      </c>
      <c r="T666" s="13" t="s">
        <v>66</v>
      </c>
      <c r="U666" s="13" t="str">
        <f t="shared" si="1"/>
        <v>Moderate</v>
      </c>
      <c r="V666" s="13" t="str">
        <f t="shared" si="2"/>
        <v>Median or Above</v>
      </c>
      <c r="W666" s="13" t="str">
        <f t="shared" si="3"/>
        <v>0–12 Months</v>
      </c>
    </row>
    <row r="667" hidden="1">
      <c r="A667" s="13" t="s">
        <v>540</v>
      </c>
      <c r="B667" s="13" t="s">
        <v>308</v>
      </c>
      <c r="C667" s="14">
        <v>42.0</v>
      </c>
      <c r="D667" s="13" t="s">
        <v>35</v>
      </c>
      <c r="E667" s="13" t="s">
        <v>51</v>
      </c>
      <c r="F667" s="13" t="s">
        <v>79</v>
      </c>
      <c r="G667" s="13" t="s">
        <v>63</v>
      </c>
      <c r="H667" s="16">
        <v>45280.0</v>
      </c>
      <c r="I667" s="14">
        <v>30.0</v>
      </c>
      <c r="J667" s="13" t="s">
        <v>40</v>
      </c>
      <c r="K667" s="13" t="s">
        <v>81</v>
      </c>
      <c r="L667" s="14">
        <v>3605.0</v>
      </c>
      <c r="M667" s="18" t="s">
        <v>98</v>
      </c>
      <c r="N667" s="20">
        <v>0.0</v>
      </c>
      <c r="O667" s="18">
        <v>40.5</v>
      </c>
      <c r="P667" s="20">
        <v>5.0</v>
      </c>
      <c r="Q667" s="16">
        <v>46048.0</v>
      </c>
      <c r="R667" s="16" t="s">
        <v>38</v>
      </c>
      <c r="S667" s="13" t="s">
        <v>55</v>
      </c>
      <c r="T667" s="13" t="s">
        <v>72</v>
      </c>
      <c r="U667" s="13" t="str">
        <f t="shared" si="1"/>
        <v>High</v>
      </c>
      <c r="V667" s="13" t="str">
        <f t="shared" si="2"/>
        <v>Median or Above</v>
      </c>
      <c r="W667" s="13" t="str">
        <f t="shared" si="3"/>
        <v>25–48 Months</v>
      </c>
    </row>
    <row r="668" hidden="1">
      <c r="A668" s="13" t="s">
        <v>77</v>
      </c>
      <c r="B668" s="13" t="s">
        <v>405</v>
      </c>
      <c r="C668" s="14">
        <v>52.0</v>
      </c>
      <c r="D668" s="13" t="s">
        <v>60</v>
      </c>
      <c r="E668" s="13" t="s">
        <v>107</v>
      </c>
      <c r="F668" s="13" t="s">
        <v>37</v>
      </c>
      <c r="G668" s="13" t="s">
        <v>128</v>
      </c>
      <c r="H668" s="16">
        <v>45411.0</v>
      </c>
      <c r="I668" s="14">
        <v>44.0</v>
      </c>
      <c r="J668" s="13" t="s">
        <v>64</v>
      </c>
      <c r="K668" s="13" t="s">
        <v>81</v>
      </c>
      <c r="L668" s="14">
        <v>1032.0</v>
      </c>
      <c r="M668" s="18" t="s">
        <v>99</v>
      </c>
      <c r="N668" s="20">
        <v>2.0</v>
      </c>
      <c r="O668" s="18">
        <v>27.3</v>
      </c>
      <c r="P668" s="20">
        <v>3.5</v>
      </c>
      <c r="Q668" s="16">
        <v>45474.0</v>
      </c>
      <c r="R668" s="16" t="s">
        <v>38</v>
      </c>
      <c r="S668" s="13" t="s">
        <v>55</v>
      </c>
      <c r="T668" s="13" t="s">
        <v>72</v>
      </c>
      <c r="U668" s="13" t="str">
        <f t="shared" si="1"/>
        <v>Moderate</v>
      </c>
      <c r="V668" s="13" t="str">
        <f t="shared" si="2"/>
        <v>Median or Above</v>
      </c>
      <c r="W668" s="13" t="str">
        <f t="shared" si="3"/>
        <v>25–48 Months</v>
      </c>
    </row>
    <row r="669" hidden="1">
      <c r="A669" s="13" t="s">
        <v>431</v>
      </c>
      <c r="B669" s="13" t="s">
        <v>206</v>
      </c>
      <c r="C669" s="14">
        <v>44.0</v>
      </c>
      <c r="D669" s="13" t="s">
        <v>69</v>
      </c>
      <c r="E669" s="13" t="s">
        <v>119</v>
      </c>
      <c r="F669" s="13" t="s">
        <v>62</v>
      </c>
      <c r="G669" s="13" t="s">
        <v>120</v>
      </c>
      <c r="H669" s="16">
        <v>44956.0</v>
      </c>
      <c r="I669" s="14">
        <v>40.0</v>
      </c>
      <c r="J669" s="13" t="s">
        <v>53</v>
      </c>
      <c r="K669" s="13" t="s">
        <v>81</v>
      </c>
      <c r="L669" s="14">
        <v>525.0</v>
      </c>
      <c r="M669" s="18" t="s">
        <v>43</v>
      </c>
      <c r="N669" s="20">
        <v>1.0</v>
      </c>
      <c r="O669" s="18">
        <v>13.1</v>
      </c>
      <c r="P669" s="20">
        <v>6.0</v>
      </c>
      <c r="Q669" s="16">
        <v>45229.0</v>
      </c>
      <c r="R669" s="16" t="s">
        <v>38</v>
      </c>
      <c r="S669" s="13" t="s">
        <v>55</v>
      </c>
      <c r="T669" s="13" t="s">
        <v>47</v>
      </c>
      <c r="U669" s="13" t="str">
        <f t="shared" si="1"/>
        <v>High</v>
      </c>
      <c r="V669" s="13" t="str">
        <f t="shared" si="2"/>
        <v>Below Median</v>
      </c>
      <c r="W669" s="13" t="str">
        <f t="shared" si="3"/>
        <v>25–48 Months</v>
      </c>
    </row>
    <row r="670" hidden="1">
      <c r="A670" s="13" t="s">
        <v>1253</v>
      </c>
      <c r="B670" s="13" t="s">
        <v>78</v>
      </c>
      <c r="C670" s="14">
        <v>39.0</v>
      </c>
      <c r="D670" s="13" t="s">
        <v>69</v>
      </c>
      <c r="E670" s="13" t="s">
        <v>70</v>
      </c>
      <c r="F670" s="13" t="s">
        <v>37</v>
      </c>
      <c r="G670" s="13" t="s">
        <v>39</v>
      </c>
      <c r="H670" s="16">
        <v>45594.0</v>
      </c>
      <c r="I670" s="14">
        <v>8.0</v>
      </c>
      <c r="J670" s="13" t="s">
        <v>64</v>
      </c>
      <c r="K670" s="13" t="s">
        <v>41</v>
      </c>
      <c r="L670" s="14">
        <v>1779.0</v>
      </c>
      <c r="M670" s="18" t="s">
        <v>173</v>
      </c>
      <c r="N670" s="20">
        <v>2.0</v>
      </c>
      <c r="O670" s="18">
        <v>39.7</v>
      </c>
      <c r="P670" s="20">
        <v>2.4</v>
      </c>
      <c r="Q670" s="16">
        <v>45838.0</v>
      </c>
      <c r="R670" s="16" t="s">
        <v>38</v>
      </c>
      <c r="S670" s="13" t="s">
        <v>55</v>
      </c>
      <c r="T670" s="13" t="s">
        <v>104</v>
      </c>
      <c r="U670" s="13" t="str">
        <f t="shared" si="1"/>
        <v>Low</v>
      </c>
      <c r="V670" s="13" t="str">
        <f t="shared" si="2"/>
        <v>Median or Above</v>
      </c>
      <c r="W670" s="13" t="str">
        <f t="shared" si="3"/>
        <v>0–12 Months</v>
      </c>
    </row>
    <row r="671" hidden="1">
      <c r="A671" s="13" t="s">
        <v>1155</v>
      </c>
      <c r="B671" s="13" t="s">
        <v>126</v>
      </c>
      <c r="C671" s="14">
        <v>48.0</v>
      </c>
      <c r="D671" s="13" t="s">
        <v>85</v>
      </c>
      <c r="E671" s="13" t="s">
        <v>292</v>
      </c>
      <c r="F671" s="13" t="s">
        <v>37</v>
      </c>
      <c r="G671" s="13" t="s">
        <v>80</v>
      </c>
      <c r="H671" s="16">
        <v>44875.0</v>
      </c>
      <c r="I671" s="14">
        <v>2.0</v>
      </c>
      <c r="J671" s="13" t="s">
        <v>64</v>
      </c>
      <c r="K671" s="13" t="s">
        <v>81</v>
      </c>
      <c r="L671" s="14">
        <v>1079.0</v>
      </c>
      <c r="M671" s="18" t="s">
        <v>43</v>
      </c>
      <c r="N671" s="20">
        <v>1.0</v>
      </c>
      <c r="O671" s="18">
        <v>53.2</v>
      </c>
      <c r="P671" s="20">
        <v>2.7</v>
      </c>
      <c r="Q671" s="16">
        <v>44933.0</v>
      </c>
      <c r="R671" s="16" t="s">
        <v>38</v>
      </c>
      <c r="S671" s="13" t="s">
        <v>55</v>
      </c>
      <c r="T671" s="13" t="s">
        <v>72</v>
      </c>
      <c r="U671" s="13" t="str">
        <f t="shared" si="1"/>
        <v>Low</v>
      </c>
      <c r="V671" s="13" t="str">
        <f t="shared" si="2"/>
        <v>Median or Above</v>
      </c>
      <c r="W671" s="13" t="str">
        <f t="shared" si="3"/>
        <v>0–12 Months</v>
      </c>
    </row>
    <row r="672" hidden="1">
      <c r="A672" s="13" t="s">
        <v>1254</v>
      </c>
      <c r="B672" s="13" t="s">
        <v>398</v>
      </c>
      <c r="C672" s="14">
        <v>28.0</v>
      </c>
      <c r="D672" s="13" t="s">
        <v>69</v>
      </c>
      <c r="E672" s="13" t="s">
        <v>187</v>
      </c>
      <c r="F672" s="13" t="s">
        <v>79</v>
      </c>
      <c r="G672" s="13" t="s">
        <v>80</v>
      </c>
      <c r="H672" s="16">
        <v>45064.0</v>
      </c>
      <c r="I672" s="14">
        <v>47.0</v>
      </c>
      <c r="J672" s="13" t="s">
        <v>64</v>
      </c>
      <c r="K672" s="13" t="s">
        <v>41</v>
      </c>
      <c r="L672" s="14">
        <v>692.0</v>
      </c>
      <c r="M672" s="18" t="s">
        <v>43</v>
      </c>
      <c r="N672" s="20">
        <v>1.0</v>
      </c>
      <c r="O672" s="18">
        <v>17.0</v>
      </c>
      <c r="P672" s="20">
        <v>3.0</v>
      </c>
      <c r="Q672" s="16">
        <v>46424.0</v>
      </c>
      <c r="R672" s="16" t="s">
        <v>1255</v>
      </c>
      <c r="S672" s="13" t="s">
        <v>55</v>
      </c>
      <c r="T672" s="13" t="s">
        <v>66</v>
      </c>
      <c r="U672" s="13" t="str">
        <f t="shared" si="1"/>
        <v>Moderate</v>
      </c>
      <c r="V672" s="13" t="str">
        <f t="shared" si="2"/>
        <v>Below Median</v>
      </c>
      <c r="W672" s="13" t="str">
        <f t="shared" si="3"/>
        <v>25–48 Months</v>
      </c>
    </row>
    <row r="673" hidden="1">
      <c r="A673" s="13" t="s">
        <v>1256</v>
      </c>
      <c r="B673" s="13" t="s">
        <v>312</v>
      </c>
      <c r="C673" s="14">
        <v>44.0</v>
      </c>
      <c r="D673" s="13" t="s">
        <v>35</v>
      </c>
      <c r="E673" s="13" t="s">
        <v>140</v>
      </c>
      <c r="F673" s="13" t="s">
        <v>79</v>
      </c>
      <c r="G673" s="13" t="s">
        <v>63</v>
      </c>
      <c r="H673" s="16">
        <v>44781.0</v>
      </c>
      <c r="I673" s="14">
        <v>10.0</v>
      </c>
      <c r="J673" s="13" t="s">
        <v>40</v>
      </c>
      <c r="K673" s="13" t="s">
        <v>65</v>
      </c>
      <c r="L673" s="14">
        <v>2157.0</v>
      </c>
      <c r="M673" s="18" t="s">
        <v>98</v>
      </c>
      <c r="N673" s="20">
        <v>1.0</v>
      </c>
      <c r="O673" s="18">
        <v>21.5</v>
      </c>
      <c r="P673" s="20">
        <v>3.7</v>
      </c>
      <c r="Q673" s="16">
        <v>45044.0</v>
      </c>
      <c r="R673" s="16" t="s">
        <v>38</v>
      </c>
      <c r="S673" s="13" t="s">
        <v>55</v>
      </c>
      <c r="T673" s="13" t="s">
        <v>104</v>
      </c>
      <c r="U673" s="13" t="str">
        <f t="shared" si="1"/>
        <v>Moderate</v>
      </c>
      <c r="V673" s="13" t="str">
        <f t="shared" si="2"/>
        <v>Below Median</v>
      </c>
      <c r="W673" s="13" t="str">
        <f t="shared" si="3"/>
        <v>0–12 Months</v>
      </c>
    </row>
    <row r="674" hidden="1">
      <c r="A674" s="13" t="s">
        <v>1249</v>
      </c>
      <c r="B674" s="13" t="s">
        <v>106</v>
      </c>
      <c r="C674" s="14">
        <v>38.0</v>
      </c>
      <c r="D674" s="13" t="s">
        <v>35</v>
      </c>
      <c r="E674" s="13" t="s">
        <v>140</v>
      </c>
      <c r="F674" s="13" t="s">
        <v>79</v>
      </c>
      <c r="G674" s="13" t="s">
        <v>63</v>
      </c>
      <c r="H674" s="16">
        <v>44992.0</v>
      </c>
      <c r="I674" s="14">
        <v>44.0</v>
      </c>
      <c r="J674" s="13" t="s">
        <v>40</v>
      </c>
      <c r="K674" s="13" t="s">
        <v>41</v>
      </c>
      <c r="L674" s="14">
        <v>3859.0</v>
      </c>
      <c r="M674" s="18" t="s">
        <v>98</v>
      </c>
      <c r="N674" s="20">
        <v>2.0</v>
      </c>
      <c r="O674" s="18">
        <v>51.1</v>
      </c>
      <c r="P674" s="20">
        <v>4.0</v>
      </c>
      <c r="Q674" s="16">
        <v>45925.0</v>
      </c>
      <c r="R674" s="16" t="s">
        <v>38</v>
      </c>
      <c r="S674" s="13" t="s">
        <v>55</v>
      </c>
      <c r="T674" s="13" t="s">
        <v>66</v>
      </c>
      <c r="U674" s="13" t="str">
        <f t="shared" si="1"/>
        <v>Moderate</v>
      </c>
      <c r="V674" s="13" t="str">
        <f t="shared" si="2"/>
        <v>Median or Above</v>
      </c>
      <c r="W674" s="13" t="str">
        <f t="shared" si="3"/>
        <v>25–48 Months</v>
      </c>
    </row>
    <row r="675" hidden="1">
      <c r="A675" s="13" t="s">
        <v>689</v>
      </c>
      <c r="B675" s="13" t="s">
        <v>349</v>
      </c>
      <c r="C675" s="14">
        <v>57.0</v>
      </c>
      <c r="D675" s="13" t="s">
        <v>85</v>
      </c>
      <c r="E675" s="13" t="s">
        <v>36</v>
      </c>
      <c r="F675" s="13" t="s">
        <v>79</v>
      </c>
      <c r="G675" s="13" t="s">
        <v>210</v>
      </c>
      <c r="H675" s="16">
        <v>45553.0</v>
      </c>
      <c r="I675" s="14">
        <v>40.0</v>
      </c>
      <c r="J675" s="13" t="s">
        <v>40</v>
      </c>
      <c r="K675" s="13" t="s">
        <v>81</v>
      </c>
      <c r="L675" s="14">
        <v>3067.0</v>
      </c>
      <c r="M675" s="18" t="s">
        <v>98</v>
      </c>
      <c r="N675" s="20">
        <v>0.0</v>
      </c>
      <c r="O675" s="18">
        <v>37.2</v>
      </c>
      <c r="P675" s="20">
        <v>2.3</v>
      </c>
      <c r="Q675" s="16">
        <v>46084.0</v>
      </c>
      <c r="R675" s="16" t="s">
        <v>38</v>
      </c>
      <c r="S675" s="13" t="s">
        <v>55</v>
      </c>
      <c r="T675" s="13" t="s">
        <v>104</v>
      </c>
      <c r="U675" s="13" t="str">
        <f t="shared" si="1"/>
        <v>Low</v>
      </c>
      <c r="V675" s="13" t="str">
        <f t="shared" si="2"/>
        <v>Median or Above</v>
      </c>
      <c r="W675" s="13" t="str">
        <f t="shared" si="3"/>
        <v>25–48 Months</v>
      </c>
    </row>
    <row r="676" hidden="1">
      <c r="A676" s="13" t="s">
        <v>1257</v>
      </c>
      <c r="B676" s="13" t="s">
        <v>420</v>
      </c>
      <c r="C676" s="14">
        <v>49.0</v>
      </c>
      <c r="D676" s="13" t="s">
        <v>69</v>
      </c>
      <c r="E676" s="13" t="s">
        <v>187</v>
      </c>
      <c r="F676" s="13" t="s">
        <v>79</v>
      </c>
      <c r="G676" s="13" t="s">
        <v>63</v>
      </c>
      <c r="H676" s="16">
        <v>45006.0</v>
      </c>
      <c r="I676" s="14">
        <v>2.0</v>
      </c>
      <c r="J676" s="13" t="s">
        <v>40</v>
      </c>
      <c r="K676" s="13" t="s">
        <v>41</v>
      </c>
      <c r="L676" s="14">
        <v>3489.0</v>
      </c>
      <c r="M676" s="18" t="s">
        <v>98</v>
      </c>
      <c r="N676" s="20">
        <v>1.0</v>
      </c>
      <c r="O676" s="18">
        <v>34.1</v>
      </c>
      <c r="P676" s="20">
        <v>4.3</v>
      </c>
      <c r="Q676" s="16">
        <v>45032.0</v>
      </c>
      <c r="R676" s="16" t="s">
        <v>38</v>
      </c>
      <c r="S676" s="13" t="s">
        <v>55</v>
      </c>
      <c r="T676" s="13" t="s">
        <v>72</v>
      </c>
      <c r="U676" s="13" t="str">
        <f t="shared" si="1"/>
        <v>Moderate</v>
      </c>
      <c r="V676" s="13" t="str">
        <f t="shared" si="2"/>
        <v>Median or Above</v>
      </c>
      <c r="W676" s="13" t="str">
        <f t="shared" si="3"/>
        <v>0–12 Months</v>
      </c>
    </row>
    <row r="677" hidden="1">
      <c r="A677" s="13" t="s">
        <v>506</v>
      </c>
      <c r="B677" s="13" t="s">
        <v>139</v>
      </c>
      <c r="C677" s="14">
        <v>25.0</v>
      </c>
      <c r="D677" s="13" t="s">
        <v>60</v>
      </c>
      <c r="E677" s="13" t="s">
        <v>133</v>
      </c>
      <c r="F677" s="13" t="s">
        <v>37</v>
      </c>
      <c r="G677" s="13" t="s">
        <v>120</v>
      </c>
      <c r="H677" s="16">
        <v>45455.0</v>
      </c>
      <c r="I677" s="14">
        <v>33.0</v>
      </c>
      <c r="J677" s="13" t="s">
        <v>64</v>
      </c>
      <c r="K677" s="13" t="s">
        <v>81</v>
      </c>
      <c r="L677" s="14">
        <v>1255.0</v>
      </c>
      <c r="M677" s="18" t="s">
        <v>46</v>
      </c>
      <c r="N677" s="20">
        <v>0.0</v>
      </c>
      <c r="O677" s="18">
        <v>20.1</v>
      </c>
      <c r="P677" s="20" t="s">
        <v>38</v>
      </c>
      <c r="Q677" s="16">
        <v>45667.0</v>
      </c>
      <c r="R677" s="16" t="s">
        <v>1258</v>
      </c>
      <c r="S677" s="13" t="s">
        <v>45</v>
      </c>
      <c r="T677" s="13" t="s">
        <v>72</v>
      </c>
      <c r="U677" s="13" t="str">
        <f t="shared" si="1"/>
        <v/>
      </c>
      <c r="V677" s="13" t="str">
        <f t="shared" si="2"/>
        <v>Below Median</v>
      </c>
      <c r="W677" s="13" t="str">
        <f t="shared" si="3"/>
        <v>25–48 Months</v>
      </c>
    </row>
    <row r="678" hidden="1">
      <c r="A678" s="13" t="s">
        <v>1259</v>
      </c>
      <c r="B678" s="13" t="s">
        <v>636</v>
      </c>
      <c r="C678" s="14">
        <v>42.0</v>
      </c>
      <c r="D678" s="13" t="s">
        <v>69</v>
      </c>
      <c r="E678" s="13" t="s">
        <v>119</v>
      </c>
      <c r="F678" s="13" t="s">
        <v>62</v>
      </c>
      <c r="G678" s="13" t="s">
        <v>120</v>
      </c>
      <c r="H678" s="16">
        <v>45429.0</v>
      </c>
      <c r="I678" s="14">
        <v>39.0</v>
      </c>
      <c r="J678" s="13" t="s">
        <v>64</v>
      </c>
      <c r="K678" s="13" t="s">
        <v>41</v>
      </c>
      <c r="L678" s="14">
        <v>662.0</v>
      </c>
      <c r="M678" s="18" t="s">
        <v>43</v>
      </c>
      <c r="N678" s="20">
        <v>0.0</v>
      </c>
      <c r="O678" s="18">
        <v>17.4</v>
      </c>
      <c r="P678" s="20">
        <v>3.2</v>
      </c>
      <c r="Q678" s="16">
        <v>46223.0</v>
      </c>
      <c r="R678" s="16">
        <v>46367.0</v>
      </c>
      <c r="S678" s="13" t="s">
        <v>45</v>
      </c>
      <c r="T678" s="13" t="s">
        <v>75</v>
      </c>
      <c r="U678" s="13" t="str">
        <f t="shared" si="1"/>
        <v>Moderate</v>
      </c>
      <c r="V678" s="13" t="str">
        <f t="shared" si="2"/>
        <v>Below Median</v>
      </c>
      <c r="W678" s="13" t="str">
        <f t="shared" si="3"/>
        <v>25–48 Months</v>
      </c>
    </row>
    <row r="679" hidden="1">
      <c r="A679" s="13" t="s">
        <v>1261</v>
      </c>
      <c r="B679" s="13" t="s">
        <v>405</v>
      </c>
      <c r="C679" s="14">
        <v>46.0</v>
      </c>
      <c r="D679" s="13" t="s">
        <v>35</v>
      </c>
      <c r="E679" s="13" t="s">
        <v>161</v>
      </c>
      <c r="F679" s="13" t="s">
        <v>37</v>
      </c>
      <c r="G679" s="13" t="s">
        <v>80</v>
      </c>
      <c r="H679" s="16">
        <v>45798.0</v>
      </c>
      <c r="I679" s="14">
        <v>42.0</v>
      </c>
      <c r="J679" s="13" t="s">
        <v>40</v>
      </c>
      <c r="K679" s="13" t="s">
        <v>65</v>
      </c>
      <c r="L679" s="14">
        <v>1359.0</v>
      </c>
      <c r="M679" s="18" t="s">
        <v>43</v>
      </c>
      <c r="N679" s="20">
        <v>0.0</v>
      </c>
      <c r="O679" s="18">
        <v>45.4</v>
      </c>
      <c r="P679" s="20">
        <v>2.4</v>
      </c>
      <c r="Q679" s="16">
        <v>45869.0</v>
      </c>
      <c r="R679" s="16">
        <v>46267.0</v>
      </c>
      <c r="S679" s="13" t="s">
        <v>45</v>
      </c>
      <c r="T679" s="13" t="s">
        <v>47</v>
      </c>
      <c r="U679" s="13" t="str">
        <f t="shared" si="1"/>
        <v>Low</v>
      </c>
      <c r="V679" s="13" t="str">
        <f t="shared" si="2"/>
        <v>Median or Above</v>
      </c>
      <c r="W679" s="13" t="str">
        <f t="shared" si="3"/>
        <v>25–48 Months</v>
      </c>
    </row>
    <row r="680" hidden="1">
      <c r="A680" s="13" t="s">
        <v>654</v>
      </c>
      <c r="B680" s="13" t="s">
        <v>316</v>
      </c>
      <c r="C680" s="14">
        <v>55.0</v>
      </c>
      <c r="D680" s="13" t="s">
        <v>69</v>
      </c>
      <c r="E680" s="13" t="s">
        <v>177</v>
      </c>
      <c r="F680" s="13" t="s">
        <v>79</v>
      </c>
      <c r="G680" s="13" t="s">
        <v>128</v>
      </c>
      <c r="H680" s="16">
        <v>45205.0</v>
      </c>
      <c r="I680" s="14">
        <v>8.0</v>
      </c>
      <c r="J680" s="13" t="s">
        <v>53</v>
      </c>
      <c r="K680" s="13" t="s">
        <v>41</v>
      </c>
      <c r="L680" s="14">
        <v>851.0</v>
      </c>
      <c r="M680" s="18" t="s">
        <v>376</v>
      </c>
      <c r="N680" s="20">
        <v>1.0</v>
      </c>
      <c r="O680" s="18">
        <v>11.8</v>
      </c>
      <c r="P680" s="20">
        <v>3.5</v>
      </c>
      <c r="Q680" s="16">
        <v>45299.0</v>
      </c>
      <c r="R680" s="16" t="s">
        <v>38</v>
      </c>
      <c r="S680" s="13" t="s">
        <v>55</v>
      </c>
      <c r="T680" s="13" t="s">
        <v>66</v>
      </c>
      <c r="U680" s="13" t="str">
        <f t="shared" si="1"/>
        <v>Moderate</v>
      </c>
      <c r="V680" s="13" t="str">
        <f t="shared" si="2"/>
        <v>Below Median</v>
      </c>
      <c r="W680" s="13" t="str">
        <f t="shared" si="3"/>
        <v>0–12 Months</v>
      </c>
    </row>
    <row r="681" hidden="1">
      <c r="A681" s="13" t="s">
        <v>1262</v>
      </c>
      <c r="B681" s="13" t="s">
        <v>59</v>
      </c>
      <c r="C681" s="14">
        <v>62.0</v>
      </c>
      <c r="D681" s="13" t="s">
        <v>85</v>
      </c>
      <c r="E681" s="13" t="s">
        <v>92</v>
      </c>
      <c r="F681" s="13" t="s">
        <v>62</v>
      </c>
      <c r="G681" s="13" t="s">
        <v>80</v>
      </c>
      <c r="H681" s="16">
        <v>45007.0</v>
      </c>
      <c r="I681" s="14">
        <v>7.0</v>
      </c>
      <c r="J681" s="13" t="s">
        <v>53</v>
      </c>
      <c r="K681" s="13" t="s">
        <v>65</v>
      </c>
      <c r="L681" s="14">
        <v>1621.0</v>
      </c>
      <c r="M681" s="18" t="s">
        <v>98</v>
      </c>
      <c r="N681" s="20">
        <v>1.0</v>
      </c>
      <c r="O681" s="18">
        <v>41.0</v>
      </c>
      <c r="P681" s="20">
        <v>3.6</v>
      </c>
      <c r="Q681" s="16">
        <v>45223.0</v>
      </c>
      <c r="R681" s="16" t="s">
        <v>38</v>
      </c>
      <c r="S681" s="13" t="s">
        <v>55</v>
      </c>
      <c r="T681" s="13" t="s">
        <v>72</v>
      </c>
      <c r="U681" s="13" t="str">
        <f t="shared" si="1"/>
        <v>Moderate</v>
      </c>
      <c r="V681" s="13" t="str">
        <f t="shared" si="2"/>
        <v>Median or Above</v>
      </c>
      <c r="W681" s="13" t="str">
        <f t="shared" si="3"/>
        <v>0–12 Months</v>
      </c>
    </row>
    <row r="682" hidden="1">
      <c r="A682" s="13" t="s">
        <v>1151</v>
      </c>
      <c r="B682" s="13" t="s">
        <v>34</v>
      </c>
      <c r="C682" s="14">
        <v>34.0</v>
      </c>
      <c r="D682" s="13" t="s">
        <v>69</v>
      </c>
      <c r="E682" s="13" t="s">
        <v>70</v>
      </c>
      <c r="F682" s="13" t="s">
        <v>37</v>
      </c>
      <c r="G682" s="13" t="s">
        <v>120</v>
      </c>
      <c r="H682" s="16">
        <v>44657.0</v>
      </c>
      <c r="I682" s="14">
        <v>18.0</v>
      </c>
      <c r="J682" s="13" t="s">
        <v>64</v>
      </c>
      <c r="K682" s="13" t="s">
        <v>41</v>
      </c>
      <c r="L682" s="14">
        <v>1462.0</v>
      </c>
      <c r="M682" s="18" t="s">
        <v>43</v>
      </c>
      <c r="N682" s="20">
        <v>0.0</v>
      </c>
      <c r="O682" s="18">
        <v>35.0</v>
      </c>
      <c r="P682" s="20">
        <v>3.7</v>
      </c>
      <c r="Q682" s="16">
        <v>45001.0</v>
      </c>
      <c r="R682" s="16" t="s">
        <v>38</v>
      </c>
      <c r="S682" s="13" t="s">
        <v>55</v>
      </c>
      <c r="T682" s="13" t="s">
        <v>72</v>
      </c>
      <c r="U682" s="13" t="str">
        <f t="shared" si="1"/>
        <v>Moderate</v>
      </c>
      <c r="V682" s="13" t="str">
        <f t="shared" si="2"/>
        <v>Median or Above</v>
      </c>
      <c r="W682" s="13" t="str">
        <f t="shared" si="3"/>
        <v>13–24 Months</v>
      </c>
    </row>
    <row r="683" hidden="1">
      <c r="A683" s="13" t="s">
        <v>1263</v>
      </c>
      <c r="B683" s="13" t="s">
        <v>639</v>
      </c>
      <c r="C683" s="14">
        <v>25.0</v>
      </c>
      <c r="D683" s="13" t="s">
        <v>35</v>
      </c>
      <c r="E683" s="13" t="s">
        <v>140</v>
      </c>
      <c r="F683" s="13" t="s">
        <v>62</v>
      </c>
      <c r="G683" s="13" t="s">
        <v>128</v>
      </c>
      <c r="H683" s="16">
        <v>45386.0</v>
      </c>
      <c r="I683" s="14">
        <v>3.0</v>
      </c>
      <c r="J683" s="13" t="s">
        <v>53</v>
      </c>
      <c r="K683" s="13" t="s">
        <v>81</v>
      </c>
      <c r="L683" s="14">
        <v>769.0</v>
      </c>
      <c r="M683" s="18" t="s">
        <v>98</v>
      </c>
      <c r="N683" s="20">
        <v>0.0</v>
      </c>
      <c r="O683" s="18">
        <v>19.5</v>
      </c>
      <c r="P683" s="20">
        <v>4.7</v>
      </c>
      <c r="Q683" s="16">
        <v>45478.0</v>
      </c>
      <c r="R683" s="16">
        <v>45448.0</v>
      </c>
      <c r="S683" s="13" t="s">
        <v>45</v>
      </c>
      <c r="T683" s="13" t="s">
        <v>72</v>
      </c>
      <c r="U683" s="13" t="str">
        <f t="shared" si="1"/>
        <v>Moderate</v>
      </c>
      <c r="V683" s="13" t="str">
        <f t="shared" si="2"/>
        <v>Below Median</v>
      </c>
      <c r="W683" s="13" t="str">
        <f t="shared" si="3"/>
        <v>0–12 Months</v>
      </c>
    </row>
    <row r="684" hidden="1">
      <c r="A684" s="13" t="s">
        <v>777</v>
      </c>
      <c r="B684" s="13" t="s">
        <v>235</v>
      </c>
      <c r="C684" s="14">
        <v>42.0</v>
      </c>
      <c r="D684" s="13" t="s">
        <v>60</v>
      </c>
      <c r="E684" s="13" t="s">
        <v>107</v>
      </c>
      <c r="F684" s="13" t="s">
        <v>62</v>
      </c>
      <c r="G684" s="13" t="s">
        <v>80</v>
      </c>
      <c r="H684" s="16">
        <v>45203.0</v>
      </c>
      <c r="I684" s="14">
        <v>32.0</v>
      </c>
      <c r="J684" s="13" t="s">
        <v>64</v>
      </c>
      <c r="K684" s="13" t="s">
        <v>41</v>
      </c>
      <c r="L684" s="14">
        <v>700.0</v>
      </c>
      <c r="M684" s="18" t="s">
        <v>98</v>
      </c>
      <c r="N684" s="20">
        <v>2.0</v>
      </c>
      <c r="O684" s="18">
        <v>17.2</v>
      </c>
      <c r="P684" s="20">
        <v>4.1</v>
      </c>
      <c r="Q684" s="16">
        <v>45678.0</v>
      </c>
      <c r="R684" s="16" t="s">
        <v>38</v>
      </c>
      <c r="S684" s="13" t="s">
        <v>55</v>
      </c>
      <c r="T684" s="13" t="s">
        <v>104</v>
      </c>
      <c r="U684" s="13" t="str">
        <f t="shared" si="1"/>
        <v>Moderate</v>
      </c>
      <c r="V684" s="13" t="str">
        <f t="shared" si="2"/>
        <v>Below Median</v>
      </c>
      <c r="W684" s="13" t="str">
        <f t="shared" si="3"/>
        <v>25–48 Months</v>
      </c>
    </row>
    <row r="685" hidden="1">
      <c r="A685" s="13" t="s">
        <v>1265</v>
      </c>
      <c r="B685" s="13" t="s">
        <v>179</v>
      </c>
      <c r="C685" s="14">
        <v>63.0</v>
      </c>
      <c r="D685" s="13" t="s">
        <v>35</v>
      </c>
      <c r="E685" s="13" t="s">
        <v>36</v>
      </c>
      <c r="F685" s="13" t="s">
        <v>62</v>
      </c>
      <c r="G685" s="13" t="s">
        <v>210</v>
      </c>
      <c r="H685" s="16">
        <v>45970.0</v>
      </c>
      <c r="I685" s="14">
        <v>47.0</v>
      </c>
      <c r="J685" s="13" t="s">
        <v>40</v>
      </c>
      <c r="K685" s="13" t="s">
        <v>65</v>
      </c>
      <c r="L685" s="14">
        <v>586.0</v>
      </c>
      <c r="M685" s="18" t="s">
        <v>173</v>
      </c>
      <c r="N685" s="20">
        <v>0.0</v>
      </c>
      <c r="O685" s="18">
        <v>19.8</v>
      </c>
      <c r="P685" s="20">
        <v>2.8</v>
      </c>
      <c r="Q685" s="16">
        <v>46735.0</v>
      </c>
      <c r="R685" s="16" t="s">
        <v>38</v>
      </c>
      <c r="S685" s="13" t="s">
        <v>55</v>
      </c>
      <c r="T685" s="13" t="s">
        <v>104</v>
      </c>
      <c r="U685" s="13" t="str">
        <f t="shared" si="1"/>
        <v>Low</v>
      </c>
      <c r="V685" s="13" t="str">
        <f t="shared" si="2"/>
        <v>Below Median</v>
      </c>
      <c r="W685" s="13" t="str">
        <f t="shared" si="3"/>
        <v>25–48 Months</v>
      </c>
    </row>
    <row r="686" hidden="1">
      <c r="A686" s="13" t="s">
        <v>1266</v>
      </c>
      <c r="B686" s="13" t="s">
        <v>351</v>
      </c>
      <c r="C686" s="14">
        <v>26.0</v>
      </c>
      <c r="D686" s="13" t="s">
        <v>35</v>
      </c>
      <c r="E686" s="13" t="s">
        <v>161</v>
      </c>
      <c r="F686" s="13" t="s">
        <v>62</v>
      </c>
      <c r="G686" s="13" t="s">
        <v>210</v>
      </c>
      <c r="H686" s="16">
        <v>45970.0</v>
      </c>
      <c r="I686" s="14">
        <v>40.0</v>
      </c>
      <c r="J686" s="13" t="s">
        <v>40</v>
      </c>
      <c r="K686" s="13" t="s">
        <v>65</v>
      </c>
      <c r="L686" s="14">
        <v>693.0</v>
      </c>
      <c r="M686" s="18" t="s">
        <v>99</v>
      </c>
      <c r="N686" s="20">
        <v>1.0</v>
      </c>
      <c r="O686" s="18">
        <v>10.1</v>
      </c>
      <c r="P686" s="20">
        <v>3.1</v>
      </c>
      <c r="Q686" s="16">
        <v>46328.0</v>
      </c>
      <c r="R686" s="16" t="s">
        <v>1267</v>
      </c>
      <c r="S686" s="13" t="s">
        <v>45</v>
      </c>
      <c r="T686" s="13" t="s">
        <v>47</v>
      </c>
      <c r="U686" s="13" t="str">
        <f t="shared" si="1"/>
        <v>Moderate</v>
      </c>
      <c r="V686" s="13" t="str">
        <f t="shared" si="2"/>
        <v>Below Median</v>
      </c>
      <c r="W686" s="13" t="str">
        <f t="shared" si="3"/>
        <v>25–48 Months</v>
      </c>
    </row>
    <row r="687" hidden="1">
      <c r="A687" s="13" t="s">
        <v>530</v>
      </c>
      <c r="B687" s="13" t="s">
        <v>229</v>
      </c>
      <c r="C687" s="14">
        <v>33.0</v>
      </c>
      <c r="D687" s="13" t="s">
        <v>85</v>
      </c>
      <c r="E687" s="13" t="s">
        <v>87</v>
      </c>
      <c r="F687" s="13" t="s">
        <v>37</v>
      </c>
      <c r="G687" s="13" t="s">
        <v>80</v>
      </c>
      <c r="H687" s="16">
        <v>45642.0</v>
      </c>
      <c r="I687" s="14">
        <v>16.0</v>
      </c>
      <c r="J687" s="13" t="s">
        <v>40</v>
      </c>
      <c r="K687" s="13" t="s">
        <v>65</v>
      </c>
      <c r="L687" s="14">
        <v>1500.0</v>
      </c>
      <c r="M687" s="18" t="s">
        <v>46</v>
      </c>
      <c r="N687" s="20">
        <v>0.0</v>
      </c>
      <c r="O687" s="18">
        <v>32.5</v>
      </c>
      <c r="P687" s="20">
        <v>2.5</v>
      </c>
      <c r="Q687" s="16">
        <v>45795.0</v>
      </c>
      <c r="R687" s="16" t="s">
        <v>38</v>
      </c>
      <c r="S687" s="13" t="s">
        <v>55</v>
      </c>
      <c r="T687" s="13" t="s">
        <v>72</v>
      </c>
      <c r="U687" s="13" t="str">
        <f t="shared" si="1"/>
        <v>Low</v>
      </c>
      <c r="V687" s="13" t="str">
        <f t="shared" si="2"/>
        <v>Median or Above</v>
      </c>
      <c r="W687" s="13" t="str">
        <f t="shared" si="3"/>
        <v>13–24 Months</v>
      </c>
    </row>
    <row r="688" hidden="1">
      <c r="A688" s="13" t="s">
        <v>1268</v>
      </c>
      <c r="B688" s="13" t="s">
        <v>364</v>
      </c>
      <c r="C688" s="14">
        <v>32.0</v>
      </c>
      <c r="D688" s="13" t="s">
        <v>69</v>
      </c>
      <c r="E688" s="13" t="s">
        <v>161</v>
      </c>
      <c r="F688" s="13" t="s">
        <v>37</v>
      </c>
      <c r="G688" s="13" t="s">
        <v>128</v>
      </c>
      <c r="H688" s="16">
        <v>45058.0</v>
      </c>
      <c r="I688" s="14">
        <v>43.0</v>
      </c>
      <c r="J688" s="13" t="s">
        <v>40</v>
      </c>
      <c r="K688" s="13" t="s">
        <v>81</v>
      </c>
      <c r="L688" s="14">
        <v>1710.0</v>
      </c>
      <c r="M688" s="18" t="s">
        <v>43</v>
      </c>
      <c r="N688" s="20">
        <v>0.0</v>
      </c>
      <c r="O688" s="18">
        <v>18.6</v>
      </c>
      <c r="P688" s="20">
        <v>3.6</v>
      </c>
      <c r="Q688" s="16">
        <v>45221.0</v>
      </c>
      <c r="R688" s="16" t="s">
        <v>38</v>
      </c>
      <c r="S688" s="13" t="s">
        <v>55</v>
      </c>
      <c r="T688" s="13" t="s">
        <v>47</v>
      </c>
      <c r="U688" s="13" t="str">
        <f t="shared" si="1"/>
        <v>Moderate</v>
      </c>
      <c r="V688" s="13" t="str">
        <f t="shared" si="2"/>
        <v>Below Median</v>
      </c>
      <c r="W688" s="13" t="str">
        <f t="shared" si="3"/>
        <v>25–48 Months</v>
      </c>
    </row>
    <row r="689" hidden="1">
      <c r="A689" s="13" t="s">
        <v>1269</v>
      </c>
      <c r="B689" s="13" t="s">
        <v>288</v>
      </c>
      <c r="C689" s="14">
        <v>27.0</v>
      </c>
      <c r="D689" s="13" t="s">
        <v>85</v>
      </c>
      <c r="E689" s="13" t="s">
        <v>111</v>
      </c>
      <c r="F689" s="13" t="s">
        <v>37</v>
      </c>
      <c r="G689" s="13" t="s">
        <v>210</v>
      </c>
      <c r="H689" s="16">
        <v>44989.0</v>
      </c>
      <c r="I689" s="14">
        <v>38.0</v>
      </c>
      <c r="J689" s="13" t="s">
        <v>40</v>
      </c>
      <c r="K689" s="13" t="s">
        <v>65</v>
      </c>
      <c r="L689" s="14">
        <v>1319.0</v>
      </c>
      <c r="M689" s="18" t="s">
        <v>98</v>
      </c>
      <c r="N689" s="20">
        <v>0.0</v>
      </c>
      <c r="O689" s="18">
        <v>24.7</v>
      </c>
      <c r="P689" s="20">
        <v>5.0</v>
      </c>
      <c r="Q689" s="16">
        <v>45637.0</v>
      </c>
      <c r="R689" s="16" t="s">
        <v>297</v>
      </c>
      <c r="S689" s="13" t="s">
        <v>45</v>
      </c>
      <c r="T689" s="13" t="s">
        <v>75</v>
      </c>
      <c r="U689" s="13" t="str">
        <f t="shared" si="1"/>
        <v>High</v>
      </c>
      <c r="V689" s="13" t="str">
        <f t="shared" si="2"/>
        <v>Median or Above</v>
      </c>
      <c r="W689" s="13" t="str">
        <f t="shared" si="3"/>
        <v>25–48 Months</v>
      </c>
    </row>
    <row r="690">
      <c r="A690" s="13" t="s">
        <v>720</v>
      </c>
      <c r="B690" s="13" t="s">
        <v>235</v>
      </c>
      <c r="C690" s="14">
        <v>66.0</v>
      </c>
      <c r="D690" s="13" t="s">
        <v>69</v>
      </c>
      <c r="E690" s="13" t="s">
        <v>119</v>
      </c>
      <c r="F690" s="13" t="s">
        <v>62</v>
      </c>
      <c r="G690" s="13" t="s">
        <v>210</v>
      </c>
      <c r="H690" s="16">
        <v>45428.0</v>
      </c>
      <c r="I690" s="14">
        <v>11.0</v>
      </c>
      <c r="J690" s="13" t="s">
        <v>40</v>
      </c>
      <c r="K690" s="13" t="s">
        <v>41</v>
      </c>
      <c r="L690" s="14">
        <v>794.0</v>
      </c>
      <c r="M690" s="18" t="s">
        <v>38</v>
      </c>
      <c r="N690" s="20">
        <v>2.0</v>
      </c>
      <c r="O690" s="18">
        <v>28.5</v>
      </c>
      <c r="P690" s="20">
        <v>3.5</v>
      </c>
      <c r="Q690" s="16">
        <v>45513.0</v>
      </c>
      <c r="R690" s="16" t="s">
        <v>38</v>
      </c>
      <c r="S690" s="13" t="s">
        <v>230</v>
      </c>
      <c r="T690" s="13" t="s">
        <v>104</v>
      </c>
      <c r="U690" s="13" t="str">
        <f t="shared" si="1"/>
        <v>Moderate</v>
      </c>
      <c r="V690" s="13" t="str">
        <f t="shared" si="2"/>
        <v>Median or Above</v>
      </c>
      <c r="W690" s="13" t="str">
        <f t="shared" si="3"/>
        <v>0–12 Months</v>
      </c>
    </row>
    <row r="691" hidden="1">
      <c r="A691" s="13" t="s">
        <v>462</v>
      </c>
      <c r="B691" s="13" t="s">
        <v>801</v>
      </c>
      <c r="C691" s="14">
        <v>28.0</v>
      </c>
      <c r="D691" s="13" t="s">
        <v>69</v>
      </c>
      <c r="E691" s="13" t="s">
        <v>177</v>
      </c>
      <c r="F691" s="13" t="s">
        <v>62</v>
      </c>
      <c r="G691" s="13" t="s">
        <v>52</v>
      </c>
      <c r="H691" s="16">
        <v>45649.0</v>
      </c>
      <c r="I691" s="14">
        <v>29.0</v>
      </c>
      <c r="J691" s="13" t="s">
        <v>53</v>
      </c>
      <c r="K691" s="13" t="s">
        <v>81</v>
      </c>
      <c r="L691" s="14">
        <v>559.0</v>
      </c>
      <c r="M691" s="18" t="s">
        <v>376</v>
      </c>
      <c r="N691" s="20">
        <v>0.0</v>
      </c>
      <c r="O691" s="18">
        <v>16.6</v>
      </c>
      <c r="P691" s="20">
        <v>3.8</v>
      </c>
      <c r="Q691" s="16">
        <v>46021.0</v>
      </c>
      <c r="R691" s="16" t="s">
        <v>38</v>
      </c>
      <c r="S691" s="13" t="s">
        <v>55</v>
      </c>
      <c r="T691" s="13" t="s">
        <v>75</v>
      </c>
      <c r="U691" s="13" t="str">
        <f t="shared" si="1"/>
        <v>Moderate</v>
      </c>
      <c r="V691" s="13" t="str">
        <f t="shared" si="2"/>
        <v>Below Median</v>
      </c>
      <c r="W691" s="13" t="str">
        <f t="shared" si="3"/>
        <v>25–48 Months</v>
      </c>
    </row>
    <row r="692" hidden="1">
      <c r="A692" s="13" t="s">
        <v>1270</v>
      </c>
      <c r="B692" s="13" t="s">
        <v>333</v>
      </c>
      <c r="C692" s="14">
        <v>30.0</v>
      </c>
      <c r="D692" s="13" t="s">
        <v>60</v>
      </c>
      <c r="E692" s="13" t="s">
        <v>61</v>
      </c>
      <c r="F692" s="13" t="s">
        <v>62</v>
      </c>
      <c r="G692" s="13" t="s">
        <v>39</v>
      </c>
      <c r="H692" s="16">
        <v>44762.0</v>
      </c>
      <c r="I692" s="14">
        <v>4.0</v>
      </c>
      <c r="J692" s="13" t="s">
        <v>64</v>
      </c>
      <c r="K692" s="13" t="s">
        <v>65</v>
      </c>
      <c r="L692" s="14">
        <v>873.0</v>
      </c>
      <c r="M692" s="18" t="s">
        <v>164</v>
      </c>
      <c r="N692" s="20">
        <v>0.0</v>
      </c>
      <c r="O692" s="18">
        <v>26.1</v>
      </c>
      <c r="P692" s="20">
        <v>4.4</v>
      </c>
      <c r="Q692" s="16">
        <v>44847.0</v>
      </c>
      <c r="R692" s="16" t="s">
        <v>38</v>
      </c>
      <c r="S692" s="13" t="s">
        <v>55</v>
      </c>
      <c r="T692" s="13" t="s">
        <v>66</v>
      </c>
      <c r="U692" s="13" t="str">
        <f t="shared" si="1"/>
        <v>Moderate</v>
      </c>
      <c r="V692" s="13" t="str">
        <f t="shared" si="2"/>
        <v>Median or Above</v>
      </c>
      <c r="W692" s="13" t="str">
        <f t="shared" si="3"/>
        <v>0–12 Months</v>
      </c>
    </row>
    <row r="693" hidden="1">
      <c r="A693" s="13" t="s">
        <v>1271</v>
      </c>
      <c r="B693" s="13" t="s">
        <v>232</v>
      </c>
      <c r="C693" s="14">
        <v>34.0</v>
      </c>
      <c r="D693" s="13" t="s">
        <v>85</v>
      </c>
      <c r="E693" s="13" t="s">
        <v>87</v>
      </c>
      <c r="F693" s="13" t="s">
        <v>62</v>
      </c>
      <c r="G693" s="13" t="s">
        <v>63</v>
      </c>
      <c r="H693" s="16">
        <v>45885.0</v>
      </c>
      <c r="I693" s="14">
        <v>16.0</v>
      </c>
      <c r="J693" s="13" t="s">
        <v>40</v>
      </c>
      <c r="K693" s="13" t="s">
        <v>81</v>
      </c>
      <c r="L693" s="14">
        <v>611.0</v>
      </c>
      <c r="M693" s="18" t="s">
        <v>99</v>
      </c>
      <c r="N693" s="20">
        <v>1.0</v>
      </c>
      <c r="O693" s="18">
        <v>6.0</v>
      </c>
      <c r="P693" s="20">
        <v>3.0</v>
      </c>
      <c r="Q693" s="16">
        <v>46353.0</v>
      </c>
      <c r="R693" s="16">
        <v>45726.0</v>
      </c>
      <c r="S693" s="13" t="s">
        <v>45</v>
      </c>
      <c r="T693" s="13" t="s">
        <v>104</v>
      </c>
      <c r="U693" s="13" t="str">
        <f t="shared" si="1"/>
        <v>Moderate</v>
      </c>
      <c r="V693" s="13" t="str">
        <f t="shared" si="2"/>
        <v>Below Median</v>
      </c>
      <c r="W693" s="13" t="str">
        <f t="shared" si="3"/>
        <v>13–24 Months</v>
      </c>
    </row>
    <row r="694" hidden="1">
      <c r="A694" s="13" t="s">
        <v>1128</v>
      </c>
      <c r="B694" s="13" t="s">
        <v>636</v>
      </c>
      <c r="C694" s="14">
        <v>59.0</v>
      </c>
      <c r="D694" s="13" t="s">
        <v>69</v>
      </c>
      <c r="E694" s="13" t="s">
        <v>119</v>
      </c>
      <c r="F694" s="13" t="s">
        <v>62</v>
      </c>
      <c r="G694" s="13" t="s">
        <v>63</v>
      </c>
      <c r="H694" s="16">
        <v>45012.0</v>
      </c>
      <c r="I694" s="14">
        <v>47.0</v>
      </c>
      <c r="J694" s="13" t="s">
        <v>53</v>
      </c>
      <c r="K694" s="13" t="s">
        <v>81</v>
      </c>
      <c r="L694" s="14">
        <v>853.0</v>
      </c>
      <c r="M694" s="18" t="s">
        <v>43</v>
      </c>
      <c r="N694" s="20">
        <v>0.0</v>
      </c>
      <c r="O694" s="18">
        <v>26.4</v>
      </c>
      <c r="P694" s="20">
        <v>3.5</v>
      </c>
      <c r="Q694" s="16">
        <v>45443.0</v>
      </c>
      <c r="R694" s="16">
        <v>45569.0</v>
      </c>
      <c r="S694" s="13" t="s">
        <v>45</v>
      </c>
      <c r="T694" s="13" t="s">
        <v>66</v>
      </c>
      <c r="U694" s="13" t="str">
        <f t="shared" si="1"/>
        <v>Moderate</v>
      </c>
      <c r="V694" s="13" t="str">
        <f t="shared" si="2"/>
        <v>Median or Above</v>
      </c>
      <c r="W694" s="13" t="str">
        <f t="shared" si="3"/>
        <v>25–48 Months</v>
      </c>
    </row>
    <row r="695" hidden="1">
      <c r="A695" s="13" t="s">
        <v>1129</v>
      </c>
      <c r="B695" s="13" t="s">
        <v>336</v>
      </c>
      <c r="C695" s="14">
        <v>30.0</v>
      </c>
      <c r="D695" s="13" t="s">
        <v>35</v>
      </c>
      <c r="E695" s="13" t="s">
        <v>36</v>
      </c>
      <c r="F695" s="13" t="s">
        <v>62</v>
      </c>
      <c r="G695" s="13" t="s">
        <v>52</v>
      </c>
      <c r="H695" s="16">
        <v>45836.0</v>
      </c>
      <c r="I695" s="14">
        <v>31.0</v>
      </c>
      <c r="J695" s="13" t="s">
        <v>53</v>
      </c>
      <c r="K695" s="13" t="s">
        <v>65</v>
      </c>
      <c r="L695" s="14">
        <v>851.0</v>
      </c>
      <c r="M695" s="18" t="s">
        <v>164</v>
      </c>
      <c r="N695" s="20">
        <v>0.0</v>
      </c>
      <c r="O695" s="18">
        <v>13.3</v>
      </c>
      <c r="P695" s="20">
        <v>5.0</v>
      </c>
      <c r="Q695" s="16">
        <v>46168.0</v>
      </c>
      <c r="R695" s="16" t="s">
        <v>1278</v>
      </c>
      <c r="S695" s="13" t="s">
        <v>45</v>
      </c>
      <c r="T695" s="13" t="s">
        <v>47</v>
      </c>
      <c r="U695" s="13" t="str">
        <f t="shared" si="1"/>
        <v>High</v>
      </c>
      <c r="V695" s="13" t="str">
        <f t="shared" si="2"/>
        <v>Below Median</v>
      </c>
      <c r="W695" s="13" t="str">
        <f t="shared" si="3"/>
        <v>25–48 Months</v>
      </c>
    </row>
    <row r="696" hidden="1">
      <c r="A696" s="13" t="s">
        <v>819</v>
      </c>
      <c r="B696" s="13" t="s">
        <v>364</v>
      </c>
      <c r="C696" s="14">
        <v>50.0</v>
      </c>
      <c r="D696" s="13" t="s">
        <v>85</v>
      </c>
      <c r="E696" s="13" t="s">
        <v>87</v>
      </c>
      <c r="F696" s="13" t="s">
        <v>62</v>
      </c>
      <c r="G696" s="13" t="s">
        <v>39</v>
      </c>
      <c r="H696" s="16">
        <v>45102.0</v>
      </c>
      <c r="I696" s="14">
        <v>5.0</v>
      </c>
      <c r="J696" s="13" t="s">
        <v>40</v>
      </c>
      <c r="K696" s="13" t="s">
        <v>65</v>
      </c>
      <c r="L696" s="14">
        <v>888.0</v>
      </c>
      <c r="M696" s="18" t="s">
        <v>98</v>
      </c>
      <c r="N696" s="20">
        <v>1.0</v>
      </c>
      <c r="O696" s="18">
        <v>16.1</v>
      </c>
      <c r="P696" s="20">
        <v>2.0</v>
      </c>
      <c r="Q696" s="16">
        <v>45202.0</v>
      </c>
      <c r="R696" s="16" t="s">
        <v>38</v>
      </c>
      <c r="S696" s="13" t="s">
        <v>55</v>
      </c>
      <c r="T696" s="13" t="s">
        <v>104</v>
      </c>
      <c r="U696" s="13" t="str">
        <f t="shared" si="1"/>
        <v>Low</v>
      </c>
      <c r="V696" s="13" t="str">
        <f t="shared" si="2"/>
        <v>Below Median</v>
      </c>
      <c r="W696" s="13" t="str">
        <f t="shared" si="3"/>
        <v>0–12 Months</v>
      </c>
    </row>
    <row r="697" hidden="1">
      <c r="A697" s="13" t="s">
        <v>1465</v>
      </c>
      <c r="B697" s="13" t="s">
        <v>110</v>
      </c>
      <c r="C697" s="14" t="s">
        <v>38</v>
      </c>
      <c r="D697" s="13" t="s">
        <v>35</v>
      </c>
      <c r="E697" s="13" t="s">
        <v>161</v>
      </c>
      <c r="F697" s="13" t="s">
        <v>37</v>
      </c>
      <c r="G697" s="13" t="s">
        <v>80</v>
      </c>
      <c r="H697" s="16">
        <v>45592.0</v>
      </c>
      <c r="I697" s="14">
        <v>11.0</v>
      </c>
      <c r="J697" s="13" t="s">
        <v>53</v>
      </c>
      <c r="K697" s="13" t="s">
        <v>81</v>
      </c>
      <c r="L697" s="14">
        <v>1095.0</v>
      </c>
      <c r="M697" s="18" t="s">
        <v>98</v>
      </c>
      <c r="N697" s="20">
        <v>1.0</v>
      </c>
      <c r="O697" s="18">
        <v>35.7</v>
      </c>
      <c r="P697" s="20">
        <v>3.9</v>
      </c>
      <c r="Q697" s="16">
        <v>45757.0</v>
      </c>
      <c r="R697" s="16" t="s">
        <v>386</v>
      </c>
      <c r="S697" s="13" t="s">
        <v>45</v>
      </c>
      <c r="T697" s="13" t="s">
        <v>72</v>
      </c>
      <c r="U697" s="13" t="str">
        <f t="shared" si="1"/>
        <v>Moderate</v>
      </c>
      <c r="V697" s="13" t="str">
        <f t="shared" si="2"/>
        <v>Median or Above</v>
      </c>
      <c r="W697" s="13" t="str">
        <f t="shared" si="3"/>
        <v>0–12 Months</v>
      </c>
    </row>
    <row r="698" hidden="1">
      <c r="A698" s="13" t="s">
        <v>1289</v>
      </c>
      <c r="B698" s="13" t="s">
        <v>235</v>
      </c>
      <c r="C698" s="14">
        <v>36.0</v>
      </c>
      <c r="D698" s="13" t="s">
        <v>85</v>
      </c>
      <c r="E698" s="13" t="s">
        <v>92</v>
      </c>
      <c r="F698" s="13" t="s">
        <v>62</v>
      </c>
      <c r="G698" s="13" t="s">
        <v>63</v>
      </c>
      <c r="H698" s="16">
        <v>45284.0</v>
      </c>
      <c r="I698" s="14">
        <v>20.0</v>
      </c>
      <c r="J698" s="13" t="s">
        <v>64</v>
      </c>
      <c r="K698" s="13" t="s">
        <v>81</v>
      </c>
      <c r="L698" s="14">
        <v>764.0</v>
      </c>
      <c r="M698" s="18" t="s">
        <v>98</v>
      </c>
      <c r="N698" s="20">
        <v>2.0</v>
      </c>
      <c r="O698" s="18">
        <v>12.1</v>
      </c>
      <c r="P698" s="20">
        <v>5.0</v>
      </c>
      <c r="Q698" s="16">
        <v>45904.0</v>
      </c>
      <c r="R698" s="16" t="s">
        <v>38</v>
      </c>
      <c r="S698" s="13" t="s">
        <v>55</v>
      </c>
      <c r="T698" s="13" t="s">
        <v>104</v>
      </c>
      <c r="U698" s="13" t="str">
        <f t="shared" si="1"/>
        <v>High</v>
      </c>
      <c r="V698" s="13" t="str">
        <f t="shared" si="2"/>
        <v>Below Median</v>
      </c>
      <c r="W698" s="13" t="str">
        <f t="shared" si="3"/>
        <v>13–24 Months</v>
      </c>
    </row>
    <row r="699" hidden="1">
      <c r="A699" s="13" t="s">
        <v>1292</v>
      </c>
      <c r="B699" s="13" t="s">
        <v>312</v>
      </c>
      <c r="C699" s="14">
        <v>66.0</v>
      </c>
      <c r="D699" s="13" t="s">
        <v>85</v>
      </c>
      <c r="E699" s="13" t="s">
        <v>111</v>
      </c>
      <c r="F699" s="13" t="s">
        <v>37</v>
      </c>
      <c r="G699" s="13" t="s">
        <v>39</v>
      </c>
      <c r="H699" s="16">
        <v>45293.0</v>
      </c>
      <c r="I699" s="14">
        <v>32.0</v>
      </c>
      <c r="J699" s="13" t="s">
        <v>40</v>
      </c>
      <c r="K699" s="13" t="s">
        <v>41</v>
      </c>
      <c r="L699" s="14">
        <v>1757.0</v>
      </c>
      <c r="M699" s="18" t="s">
        <v>99</v>
      </c>
      <c r="N699" s="20">
        <v>2.0</v>
      </c>
      <c r="O699" s="18">
        <v>29.2</v>
      </c>
      <c r="P699" s="20">
        <v>3.7</v>
      </c>
      <c r="Q699" s="16">
        <v>45744.0</v>
      </c>
      <c r="R699" s="16" t="s">
        <v>38</v>
      </c>
      <c r="S699" s="13" t="s">
        <v>55</v>
      </c>
      <c r="T699" s="13" t="s">
        <v>75</v>
      </c>
      <c r="U699" s="13" t="str">
        <f t="shared" si="1"/>
        <v>Moderate</v>
      </c>
      <c r="V699" s="13" t="str">
        <f t="shared" si="2"/>
        <v>Median or Above</v>
      </c>
      <c r="W699" s="13" t="str">
        <f t="shared" si="3"/>
        <v>25–48 Months</v>
      </c>
    </row>
    <row r="700" hidden="1">
      <c r="A700" s="13" t="s">
        <v>1293</v>
      </c>
      <c r="B700" s="13" t="s">
        <v>633</v>
      </c>
      <c r="C700" s="14">
        <v>56.0</v>
      </c>
      <c r="D700" s="13" t="s">
        <v>35</v>
      </c>
      <c r="E700" s="13" t="s">
        <v>161</v>
      </c>
      <c r="F700" s="13" t="s">
        <v>62</v>
      </c>
      <c r="G700" s="13" t="s">
        <v>52</v>
      </c>
      <c r="H700" s="16">
        <v>45677.0</v>
      </c>
      <c r="I700" s="14">
        <v>29.0</v>
      </c>
      <c r="J700" s="13" t="s">
        <v>53</v>
      </c>
      <c r="K700" s="13" t="s">
        <v>41</v>
      </c>
      <c r="L700" s="14">
        <v>2542.0</v>
      </c>
      <c r="M700" s="18" t="s">
        <v>43</v>
      </c>
      <c r="N700" s="20">
        <v>2.0</v>
      </c>
      <c r="O700" s="18">
        <v>19.1</v>
      </c>
      <c r="P700" s="20">
        <v>3.2</v>
      </c>
      <c r="Q700" s="16">
        <v>46382.0</v>
      </c>
      <c r="R700" s="16">
        <v>46328.0</v>
      </c>
      <c r="S700" s="13" t="s">
        <v>45</v>
      </c>
      <c r="T700" s="13" t="s">
        <v>72</v>
      </c>
      <c r="U700" s="13" t="str">
        <f t="shared" si="1"/>
        <v>Moderate</v>
      </c>
      <c r="V700" s="13" t="str">
        <f t="shared" si="2"/>
        <v>Below Median</v>
      </c>
      <c r="W700" s="13" t="str">
        <f t="shared" si="3"/>
        <v>25–48 Months</v>
      </c>
    </row>
    <row r="701" hidden="1">
      <c r="A701" s="13" t="s">
        <v>1296</v>
      </c>
      <c r="B701" s="13" t="s">
        <v>190</v>
      </c>
      <c r="C701" s="14">
        <v>48.0</v>
      </c>
      <c r="D701" s="13" t="s">
        <v>35</v>
      </c>
      <c r="E701" s="13" t="s">
        <v>161</v>
      </c>
      <c r="F701" s="13" t="s">
        <v>37</v>
      </c>
      <c r="G701" s="13" t="s">
        <v>63</v>
      </c>
      <c r="H701" s="16">
        <v>45449.0</v>
      </c>
      <c r="I701" s="14">
        <v>30.0</v>
      </c>
      <c r="J701" s="13" t="s">
        <v>64</v>
      </c>
      <c r="K701" s="13" t="s">
        <v>41</v>
      </c>
      <c r="L701" s="14">
        <v>1294.0</v>
      </c>
      <c r="M701" s="18" t="s">
        <v>164</v>
      </c>
      <c r="N701" s="20">
        <v>0.0</v>
      </c>
      <c r="O701" s="18">
        <v>10.4</v>
      </c>
      <c r="P701" s="20">
        <v>4.9</v>
      </c>
      <c r="Q701" s="16">
        <v>45467.0</v>
      </c>
      <c r="R701" s="16" t="s">
        <v>38</v>
      </c>
      <c r="S701" s="13" t="s">
        <v>55</v>
      </c>
      <c r="T701" s="13" t="s">
        <v>66</v>
      </c>
      <c r="U701" s="13" t="str">
        <f t="shared" si="1"/>
        <v>Moderate</v>
      </c>
      <c r="V701" s="13" t="str">
        <f t="shared" si="2"/>
        <v>Below Median</v>
      </c>
      <c r="W701" s="13" t="str">
        <f t="shared" si="3"/>
        <v>25–48 Months</v>
      </c>
    </row>
    <row r="702" hidden="1">
      <c r="A702" s="13" t="s">
        <v>1297</v>
      </c>
      <c r="B702" s="13" t="s">
        <v>303</v>
      </c>
      <c r="C702" s="14">
        <v>50.0</v>
      </c>
      <c r="D702" s="13" t="s">
        <v>69</v>
      </c>
      <c r="E702" s="13" t="s">
        <v>177</v>
      </c>
      <c r="F702" s="13" t="s">
        <v>37</v>
      </c>
      <c r="G702" s="13" t="s">
        <v>63</v>
      </c>
      <c r="H702" s="16">
        <v>45165.0</v>
      </c>
      <c r="I702" s="14">
        <v>1.0</v>
      </c>
      <c r="J702" s="13" t="s">
        <v>53</v>
      </c>
      <c r="K702" s="13" t="s">
        <v>41</v>
      </c>
      <c r="L702" s="14">
        <v>1288.0</v>
      </c>
      <c r="M702" s="18" t="s">
        <v>43</v>
      </c>
      <c r="N702" s="20">
        <v>0.0</v>
      </c>
      <c r="O702" s="18">
        <v>28.1</v>
      </c>
      <c r="P702" s="20">
        <v>4.1</v>
      </c>
      <c r="Q702" s="16">
        <v>45212.0</v>
      </c>
      <c r="R702" s="16" t="s">
        <v>38</v>
      </c>
      <c r="S702" s="13" t="s">
        <v>55</v>
      </c>
      <c r="T702" s="13" t="s">
        <v>75</v>
      </c>
      <c r="U702" s="13" t="str">
        <f t="shared" si="1"/>
        <v>Moderate</v>
      </c>
      <c r="V702" s="13" t="str">
        <f t="shared" si="2"/>
        <v>Median or Above</v>
      </c>
      <c r="W702" s="13" t="str">
        <f t="shared" si="3"/>
        <v>0–12 Months</v>
      </c>
    </row>
    <row r="703" hidden="1">
      <c r="A703" s="13" t="s">
        <v>1298</v>
      </c>
      <c r="B703" s="13" t="s">
        <v>736</v>
      </c>
      <c r="C703" s="14">
        <v>28.0</v>
      </c>
      <c r="D703" s="13" t="s">
        <v>35</v>
      </c>
      <c r="E703" s="13" t="s">
        <v>36</v>
      </c>
      <c r="F703" s="13" t="s">
        <v>62</v>
      </c>
      <c r="G703" s="13" t="s">
        <v>210</v>
      </c>
      <c r="H703" s="16">
        <v>45142.0</v>
      </c>
      <c r="I703" s="14">
        <v>33.0</v>
      </c>
      <c r="J703" s="13" t="s">
        <v>64</v>
      </c>
      <c r="K703" s="13" t="s">
        <v>41</v>
      </c>
      <c r="L703" s="14">
        <v>892.0</v>
      </c>
      <c r="M703" s="18" t="s">
        <v>43</v>
      </c>
      <c r="N703" s="20">
        <v>0.0</v>
      </c>
      <c r="O703" s="18">
        <v>15.6</v>
      </c>
      <c r="P703" s="20">
        <v>3.5</v>
      </c>
      <c r="Q703" s="16">
        <v>46128.0</v>
      </c>
      <c r="R703" s="16" t="s">
        <v>38</v>
      </c>
      <c r="S703" s="13" t="s">
        <v>55</v>
      </c>
      <c r="T703" s="13" t="s">
        <v>75</v>
      </c>
      <c r="U703" s="13" t="str">
        <f t="shared" si="1"/>
        <v>Moderate</v>
      </c>
      <c r="V703" s="13" t="str">
        <f t="shared" si="2"/>
        <v>Below Median</v>
      </c>
      <c r="W703" s="13" t="str">
        <f t="shared" si="3"/>
        <v>25–48 Months</v>
      </c>
    </row>
    <row r="704" hidden="1">
      <c r="A704" s="13" t="s">
        <v>1299</v>
      </c>
      <c r="B704" s="13" t="s">
        <v>736</v>
      </c>
      <c r="C704" s="14">
        <v>38.0</v>
      </c>
      <c r="D704" s="13" t="s">
        <v>35</v>
      </c>
      <c r="E704" s="13" t="s">
        <v>161</v>
      </c>
      <c r="F704" s="13" t="s">
        <v>62</v>
      </c>
      <c r="G704" s="13" t="s">
        <v>120</v>
      </c>
      <c r="H704" s="16">
        <v>45288.0</v>
      </c>
      <c r="I704" s="14">
        <v>16.0</v>
      </c>
      <c r="J704" s="13" t="s">
        <v>64</v>
      </c>
      <c r="K704" s="13" t="s">
        <v>65</v>
      </c>
      <c r="L704" s="14">
        <v>825.0</v>
      </c>
      <c r="M704" s="18" t="s">
        <v>99</v>
      </c>
      <c r="N704" s="20">
        <v>2.0</v>
      </c>
      <c r="O704" s="18">
        <v>14.1</v>
      </c>
      <c r="P704" s="20">
        <v>2.8</v>
      </c>
      <c r="Q704" s="16">
        <v>45502.0</v>
      </c>
      <c r="R704" s="16">
        <v>45721.0</v>
      </c>
      <c r="S704" s="13" t="s">
        <v>45</v>
      </c>
      <c r="T704" s="13" t="s">
        <v>47</v>
      </c>
      <c r="U704" s="13" t="str">
        <f t="shared" si="1"/>
        <v>Low</v>
      </c>
      <c r="V704" s="13" t="str">
        <f t="shared" si="2"/>
        <v>Below Median</v>
      </c>
      <c r="W704" s="13" t="str">
        <f t="shared" si="3"/>
        <v>13–24 Months</v>
      </c>
    </row>
    <row r="705" hidden="1">
      <c r="A705" s="13" t="s">
        <v>754</v>
      </c>
      <c r="B705" s="13" t="s">
        <v>398</v>
      </c>
      <c r="C705" s="14">
        <v>38.0</v>
      </c>
      <c r="D705" s="13" t="s">
        <v>85</v>
      </c>
      <c r="E705" s="13" t="s">
        <v>92</v>
      </c>
      <c r="F705" s="13" t="s">
        <v>37</v>
      </c>
      <c r="G705" s="13" t="s">
        <v>39</v>
      </c>
      <c r="H705" s="16">
        <v>45961.0</v>
      </c>
      <c r="I705" s="14">
        <v>13.0</v>
      </c>
      <c r="J705" s="13" t="s">
        <v>64</v>
      </c>
      <c r="K705" s="13" t="s">
        <v>81</v>
      </c>
      <c r="L705" s="14">
        <v>1566.0</v>
      </c>
      <c r="M705" s="18" t="s">
        <v>98</v>
      </c>
      <c r="N705" s="20">
        <v>0.0</v>
      </c>
      <c r="O705" s="18">
        <v>30.2</v>
      </c>
      <c r="P705" s="20">
        <v>3.2</v>
      </c>
      <c r="Q705" s="16">
        <v>46125.0</v>
      </c>
      <c r="R705" s="16" t="s">
        <v>38</v>
      </c>
      <c r="S705" s="13" t="s">
        <v>45</v>
      </c>
      <c r="T705" s="13" t="s">
        <v>75</v>
      </c>
      <c r="U705" s="13" t="str">
        <f t="shared" si="1"/>
        <v>Moderate</v>
      </c>
      <c r="V705" s="13" t="str">
        <f t="shared" si="2"/>
        <v>Median or Above</v>
      </c>
      <c r="W705" s="13" t="str">
        <f t="shared" si="3"/>
        <v>13–24 Months</v>
      </c>
    </row>
    <row r="706" hidden="1">
      <c r="A706" s="13" t="s">
        <v>1302</v>
      </c>
      <c r="B706" s="13" t="s">
        <v>229</v>
      </c>
      <c r="C706" s="14">
        <v>41.0</v>
      </c>
      <c r="D706" s="13" t="s">
        <v>69</v>
      </c>
      <c r="E706" s="13" t="s">
        <v>119</v>
      </c>
      <c r="F706" s="13" t="s">
        <v>37</v>
      </c>
      <c r="G706" s="13" t="s">
        <v>128</v>
      </c>
      <c r="H706" s="16">
        <v>45456.0</v>
      </c>
      <c r="I706" s="14">
        <v>7.0</v>
      </c>
      <c r="J706" s="13" t="s">
        <v>53</v>
      </c>
      <c r="K706" s="13" t="s">
        <v>65</v>
      </c>
      <c r="L706" s="14">
        <v>1709.0</v>
      </c>
      <c r="M706" s="18" t="s">
        <v>43</v>
      </c>
      <c r="N706" s="20">
        <v>1.0</v>
      </c>
      <c r="O706" s="18">
        <v>27.2</v>
      </c>
      <c r="P706" s="20">
        <v>2.7</v>
      </c>
      <c r="Q706" s="16">
        <v>45594.0</v>
      </c>
      <c r="R706" s="16" t="s">
        <v>38</v>
      </c>
      <c r="S706" s="13" t="s">
        <v>55</v>
      </c>
      <c r="T706" s="13" t="s">
        <v>75</v>
      </c>
      <c r="U706" s="13" t="str">
        <f t="shared" si="1"/>
        <v>Low</v>
      </c>
      <c r="V706" s="13" t="str">
        <f t="shared" si="2"/>
        <v>Median or Above</v>
      </c>
      <c r="W706" s="13" t="str">
        <f t="shared" si="3"/>
        <v>0–12 Months</v>
      </c>
    </row>
    <row r="707" hidden="1">
      <c r="A707" s="13" t="s">
        <v>1303</v>
      </c>
      <c r="B707" s="13" t="s">
        <v>167</v>
      </c>
      <c r="C707" s="14">
        <v>27.0</v>
      </c>
      <c r="D707" s="13" t="s">
        <v>85</v>
      </c>
      <c r="E707" s="13" t="s">
        <v>292</v>
      </c>
      <c r="F707" s="13" t="s">
        <v>79</v>
      </c>
      <c r="G707" s="13" t="s">
        <v>63</v>
      </c>
      <c r="H707" s="16">
        <v>45424.0</v>
      </c>
      <c r="I707" s="14">
        <v>6.0</v>
      </c>
      <c r="J707" s="13" t="s">
        <v>64</v>
      </c>
      <c r="K707" s="13" t="s">
        <v>81</v>
      </c>
      <c r="L707" s="14">
        <v>3610.0</v>
      </c>
      <c r="M707" s="18" t="s">
        <v>43</v>
      </c>
      <c r="N707" s="20">
        <v>1.0</v>
      </c>
      <c r="O707" s="18">
        <v>41.2</v>
      </c>
      <c r="P707" s="20">
        <v>3.9</v>
      </c>
      <c r="Q707" s="16">
        <v>45496.0</v>
      </c>
      <c r="R707" s="16">
        <v>45454.0</v>
      </c>
      <c r="S707" s="13" t="s">
        <v>45</v>
      </c>
      <c r="T707" s="13" t="s">
        <v>66</v>
      </c>
      <c r="U707" s="13" t="str">
        <f t="shared" si="1"/>
        <v>Moderate</v>
      </c>
      <c r="V707" s="13" t="str">
        <f t="shared" si="2"/>
        <v>Median or Above</v>
      </c>
      <c r="W707" s="13" t="str">
        <f t="shared" si="3"/>
        <v>0–12 Months</v>
      </c>
    </row>
    <row r="708" hidden="1">
      <c r="A708" s="13" t="s">
        <v>379</v>
      </c>
      <c r="B708" s="13" t="s">
        <v>331</v>
      </c>
      <c r="C708" s="14">
        <v>60.0</v>
      </c>
      <c r="D708" s="13" t="s">
        <v>35</v>
      </c>
      <c r="E708" s="13" t="s">
        <v>140</v>
      </c>
      <c r="F708" s="13" t="s">
        <v>62</v>
      </c>
      <c r="G708" s="13" t="s">
        <v>52</v>
      </c>
      <c r="H708" s="16">
        <v>44574.0</v>
      </c>
      <c r="I708" s="14">
        <v>30.0</v>
      </c>
      <c r="J708" s="13" t="s">
        <v>40</v>
      </c>
      <c r="K708" s="13" t="s">
        <v>65</v>
      </c>
      <c r="L708" s="14">
        <v>764.0</v>
      </c>
      <c r="M708" s="18" t="s">
        <v>99</v>
      </c>
      <c r="N708" s="20">
        <v>0.0</v>
      </c>
      <c r="O708" s="18">
        <v>15.6</v>
      </c>
      <c r="P708" s="20">
        <v>4.4</v>
      </c>
      <c r="Q708" s="16">
        <v>44639.0</v>
      </c>
      <c r="R708" s="16">
        <v>44809.0</v>
      </c>
      <c r="S708" s="13" t="s">
        <v>45</v>
      </c>
      <c r="T708" s="13" t="s">
        <v>66</v>
      </c>
      <c r="U708" s="13" t="str">
        <f t="shared" si="1"/>
        <v>Moderate</v>
      </c>
      <c r="V708" s="13" t="str">
        <f t="shared" si="2"/>
        <v>Below Median</v>
      </c>
      <c r="W708" s="13" t="str">
        <f t="shared" si="3"/>
        <v>25–48 Months</v>
      </c>
    </row>
    <row r="709" hidden="1">
      <c r="A709" s="13" t="s">
        <v>991</v>
      </c>
      <c r="B709" s="13" t="s">
        <v>459</v>
      </c>
      <c r="C709" s="14">
        <v>54.0</v>
      </c>
      <c r="D709" s="13" t="s">
        <v>60</v>
      </c>
      <c r="E709" s="13" t="s">
        <v>133</v>
      </c>
      <c r="F709" s="13" t="s">
        <v>37</v>
      </c>
      <c r="G709" s="13" t="s">
        <v>128</v>
      </c>
      <c r="H709" s="16">
        <v>44686.0</v>
      </c>
      <c r="I709" s="14">
        <v>8.0</v>
      </c>
      <c r="J709" s="13" t="s">
        <v>64</v>
      </c>
      <c r="K709" s="13" t="s">
        <v>65</v>
      </c>
      <c r="L709" s="14">
        <v>1522.0</v>
      </c>
      <c r="M709" s="18" t="s">
        <v>98</v>
      </c>
      <c r="N709" s="20">
        <v>1.0</v>
      </c>
      <c r="O709" s="18">
        <v>14.8</v>
      </c>
      <c r="P709" s="20">
        <v>4.2</v>
      </c>
      <c r="Q709" s="16">
        <v>44879.0</v>
      </c>
      <c r="R709" s="16" t="s">
        <v>1307</v>
      </c>
      <c r="S709" s="13" t="s">
        <v>45</v>
      </c>
      <c r="T709" s="13" t="s">
        <v>47</v>
      </c>
      <c r="U709" s="13" t="str">
        <f t="shared" si="1"/>
        <v>Moderate</v>
      </c>
      <c r="V709" s="13" t="str">
        <f t="shared" si="2"/>
        <v>Below Median</v>
      </c>
      <c r="W709" s="13" t="str">
        <f t="shared" si="3"/>
        <v>0–12 Months</v>
      </c>
    </row>
    <row r="710" hidden="1">
      <c r="A710" s="13" t="s">
        <v>1308</v>
      </c>
      <c r="B710" s="13" t="s">
        <v>288</v>
      </c>
      <c r="C710" s="14">
        <v>52.0</v>
      </c>
      <c r="D710" s="13" t="s">
        <v>69</v>
      </c>
      <c r="E710" s="13" t="s">
        <v>177</v>
      </c>
      <c r="F710" s="13" t="s">
        <v>37</v>
      </c>
      <c r="G710" s="13" t="s">
        <v>52</v>
      </c>
      <c r="H710" s="16">
        <v>44575.0</v>
      </c>
      <c r="I710" s="14">
        <v>32.0</v>
      </c>
      <c r="J710" s="13" t="s">
        <v>40</v>
      </c>
      <c r="K710" s="13" t="s">
        <v>41</v>
      </c>
      <c r="L710" s="14">
        <v>1116.0</v>
      </c>
      <c r="M710" s="18" t="s">
        <v>98</v>
      </c>
      <c r="N710" s="20">
        <v>1.0</v>
      </c>
      <c r="O710" s="18">
        <v>21.6</v>
      </c>
      <c r="P710" s="20">
        <v>3.8</v>
      </c>
      <c r="Q710" s="16">
        <v>44585.0</v>
      </c>
      <c r="R710" s="16" t="s">
        <v>38</v>
      </c>
      <c r="S710" s="13" t="s">
        <v>55</v>
      </c>
      <c r="T710" s="13" t="s">
        <v>47</v>
      </c>
      <c r="U710" s="13" t="str">
        <f t="shared" si="1"/>
        <v>Moderate</v>
      </c>
      <c r="V710" s="13" t="str">
        <f t="shared" si="2"/>
        <v>Below Median</v>
      </c>
      <c r="W710" s="13" t="str">
        <f t="shared" si="3"/>
        <v>25–48 Months</v>
      </c>
    </row>
    <row r="711" hidden="1">
      <c r="A711" s="13" t="s">
        <v>631</v>
      </c>
      <c r="B711" s="13" t="s">
        <v>380</v>
      </c>
      <c r="C711" s="14">
        <v>58.0</v>
      </c>
      <c r="D711" s="13" t="s">
        <v>85</v>
      </c>
      <c r="E711" s="13" t="s">
        <v>292</v>
      </c>
      <c r="F711" s="13" t="s">
        <v>37</v>
      </c>
      <c r="G711" s="13" t="s">
        <v>120</v>
      </c>
      <c r="H711" s="16">
        <v>45362.0</v>
      </c>
      <c r="I711" s="14">
        <v>4.0</v>
      </c>
      <c r="J711" s="13" t="s">
        <v>64</v>
      </c>
      <c r="K711" s="13" t="s">
        <v>65</v>
      </c>
      <c r="L711" s="14">
        <v>1413.0</v>
      </c>
      <c r="M711" s="18" t="s">
        <v>164</v>
      </c>
      <c r="N711" s="20">
        <v>2.0</v>
      </c>
      <c r="O711" s="18">
        <v>23.4</v>
      </c>
      <c r="P711" s="20">
        <v>3.5</v>
      </c>
      <c r="Q711" s="16">
        <v>45419.0</v>
      </c>
      <c r="R711" s="16" t="s">
        <v>1309</v>
      </c>
      <c r="S711" s="13" t="s">
        <v>45</v>
      </c>
      <c r="T711" s="13" t="s">
        <v>66</v>
      </c>
      <c r="U711" s="13" t="str">
        <f t="shared" si="1"/>
        <v>Moderate</v>
      </c>
      <c r="V711" s="13" t="str">
        <f t="shared" si="2"/>
        <v>Below Median</v>
      </c>
      <c r="W711" s="13" t="str">
        <f t="shared" si="3"/>
        <v>0–12 Months</v>
      </c>
    </row>
    <row r="712" hidden="1">
      <c r="A712" s="13" t="s">
        <v>713</v>
      </c>
      <c r="B712" s="13" t="s">
        <v>395</v>
      </c>
      <c r="C712" s="14">
        <v>49.0</v>
      </c>
      <c r="D712" s="13" t="s">
        <v>85</v>
      </c>
      <c r="E712" s="13" t="s">
        <v>111</v>
      </c>
      <c r="F712" s="13" t="s">
        <v>37</v>
      </c>
      <c r="G712" s="13" t="s">
        <v>39</v>
      </c>
      <c r="H712" s="16">
        <v>44852.0</v>
      </c>
      <c r="I712" s="14">
        <v>48.0</v>
      </c>
      <c r="J712" s="13" t="s">
        <v>53</v>
      </c>
      <c r="K712" s="13" t="s">
        <v>65</v>
      </c>
      <c r="L712" s="14">
        <v>1522.0</v>
      </c>
      <c r="M712" s="18" t="s">
        <v>46</v>
      </c>
      <c r="N712" s="20">
        <v>0.0</v>
      </c>
      <c r="O712" s="18">
        <v>28.4</v>
      </c>
      <c r="P712" s="20">
        <v>4.2</v>
      </c>
      <c r="Q712" s="16">
        <v>46294.0</v>
      </c>
      <c r="R712" s="16" t="s">
        <v>38</v>
      </c>
      <c r="S712" s="13" t="s">
        <v>55</v>
      </c>
      <c r="T712" s="13" t="s">
        <v>72</v>
      </c>
      <c r="U712" s="13" t="str">
        <f t="shared" si="1"/>
        <v>Moderate</v>
      </c>
      <c r="V712" s="13" t="str">
        <f t="shared" si="2"/>
        <v>Median or Above</v>
      </c>
      <c r="W712" s="13" t="str">
        <f t="shared" si="3"/>
        <v>25–48 Months</v>
      </c>
    </row>
    <row r="713" hidden="1">
      <c r="A713" s="13" t="s">
        <v>1310</v>
      </c>
      <c r="B713" s="13" t="s">
        <v>96</v>
      </c>
      <c r="C713" s="14">
        <v>37.0</v>
      </c>
      <c r="D713" s="13" t="s">
        <v>35</v>
      </c>
      <c r="E713" s="13" t="s">
        <v>140</v>
      </c>
      <c r="F713" s="13" t="s">
        <v>62</v>
      </c>
      <c r="G713" s="13" t="s">
        <v>210</v>
      </c>
      <c r="H713" s="16">
        <v>45363.0</v>
      </c>
      <c r="I713" s="14">
        <v>25.0</v>
      </c>
      <c r="J713" s="13" t="s">
        <v>53</v>
      </c>
      <c r="K713" s="13" t="s">
        <v>41</v>
      </c>
      <c r="L713" s="14">
        <v>553.0</v>
      </c>
      <c r="M713" s="18" t="s">
        <v>164</v>
      </c>
      <c r="N713" s="20">
        <v>1.0</v>
      </c>
      <c r="O713" s="18">
        <v>32.9</v>
      </c>
      <c r="P713" s="20">
        <v>3.3</v>
      </c>
      <c r="Q713" s="16">
        <v>45808.0</v>
      </c>
      <c r="R713" s="16" t="s">
        <v>38</v>
      </c>
      <c r="S713" s="13" t="s">
        <v>55</v>
      </c>
      <c r="T713" s="13" t="s">
        <v>66</v>
      </c>
      <c r="U713" s="13" t="str">
        <f t="shared" si="1"/>
        <v>Moderate</v>
      </c>
      <c r="V713" s="13" t="str">
        <f t="shared" si="2"/>
        <v>Median or Above</v>
      </c>
      <c r="W713" s="13" t="str">
        <f t="shared" si="3"/>
        <v>25–48 Months</v>
      </c>
    </row>
    <row r="714" hidden="1">
      <c r="A714" s="13" t="s">
        <v>1312</v>
      </c>
      <c r="B714" s="13" t="s">
        <v>152</v>
      </c>
      <c r="C714" s="14">
        <v>29.0</v>
      </c>
      <c r="D714" s="13" t="s">
        <v>35</v>
      </c>
      <c r="E714" s="13" t="s">
        <v>161</v>
      </c>
      <c r="F714" s="13" t="s">
        <v>62</v>
      </c>
      <c r="G714" s="13" t="s">
        <v>52</v>
      </c>
      <c r="H714" s="16">
        <v>45907.0</v>
      </c>
      <c r="I714" s="14">
        <v>40.0</v>
      </c>
      <c r="J714" s="13" t="s">
        <v>53</v>
      </c>
      <c r="K714" s="13" t="s">
        <v>81</v>
      </c>
      <c r="L714" s="14">
        <v>680.0</v>
      </c>
      <c r="M714" s="18" t="s">
        <v>43</v>
      </c>
      <c r="N714" s="20">
        <v>1.0</v>
      </c>
      <c r="O714" s="18">
        <v>18.0</v>
      </c>
      <c r="P714" s="20">
        <v>4.8</v>
      </c>
      <c r="Q714" s="16">
        <v>46855.0</v>
      </c>
      <c r="R714" s="16" t="s">
        <v>38</v>
      </c>
      <c r="S714" s="13" t="s">
        <v>55</v>
      </c>
      <c r="T714" s="13" t="s">
        <v>66</v>
      </c>
      <c r="U714" s="13" t="str">
        <f t="shared" si="1"/>
        <v>Moderate</v>
      </c>
      <c r="V714" s="13" t="str">
        <f t="shared" si="2"/>
        <v>Below Median</v>
      </c>
      <c r="W714" s="13" t="str">
        <f t="shared" si="3"/>
        <v>25–48 Months</v>
      </c>
    </row>
    <row r="715" hidden="1">
      <c r="A715" s="13" t="s">
        <v>1313</v>
      </c>
      <c r="B715" s="13" t="s">
        <v>322</v>
      </c>
      <c r="C715" s="14">
        <v>67.0</v>
      </c>
      <c r="D715" s="13" t="s">
        <v>60</v>
      </c>
      <c r="E715" s="13" t="s">
        <v>133</v>
      </c>
      <c r="F715" s="13" t="s">
        <v>37</v>
      </c>
      <c r="G715" s="13" t="s">
        <v>39</v>
      </c>
      <c r="H715" s="16">
        <v>45905.0</v>
      </c>
      <c r="I715" s="14">
        <v>10.0</v>
      </c>
      <c r="J715" s="13" t="s">
        <v>64</v>
      </c>
      <c r="K715" s="13" t="s">
        <v>41</v>
      </c>
      <c r="L715" s="14">
        <v>1575.0</v>
      </c>
      <c r="M715" s="18" t="s">
        <v>98</v>
      </c>
      <c r="N715" s="20">
        <v>0.0</v>
      </c>
      <c r="O715" s="18">
        <v>38.3</v>
      </c>
      <c r="P715" s="20">
        <v>3.2</v>
      </c>
      <c r="Q715" s="16">
        <v>46150.0</v>
      </c>
      <c r="R715" s="16" t="s">
        <v>38</v>
      </c>
      <c r="S715" s="13" t="s">
        <v>55</v>
      </c>
      <c r="T715" s="13" t="s">
        <v>75</v>
      </c>
      <c r="U715" s="13" t="str">
        <f t="shared" si="1"/>
        <v>Moderate</v>
      </c>
      <c r="V715" s="13" t="str">
        <f t="shared" si="2"/>
        <v>Median or Above</v>
      </c>
      <c r="W715" s="13" t="str">
        <f t="shared" si="3"/>
        <v>0–12 Months</v>
      </c>
    </row>
    <row r="716" hidden="1">
      <c r="A716" s="13" t="s">
        <v>1314</v>
      </c>
      <c r="B716" s="13" t="s">
        <v>78</v>
      </c>
      <c r="C716" s="14">
        <v>63.0</v>
      </c>
      <c r="D716" s="13" t="s">
        <v>85</v>
      </c>
      <c r="E716" s="13" t="s">
        <v>87</v>
      </c>
      <c r="F716" s="13" t="s">
        <v>79</v>
      </c>
      <c r="G716" s="13" t="s">
        <v>80</v>
      </c>
      <c r="H716" s="16">
        <v>45911.0</v>
      </c>
      <c r="I716" s="14">
        <v>12.0</v>
      </c>
      <c r="J716" s="13" t="s">
        <v>53</v>
      </c>
      <c r="K716" s="13" t="s">
        <v>81</v>
      </c>
      <c r="L716" s="14">
        <v>3348.0</v>
      </c>
      <c r="M716" s="18" t="s">
        <v>164</v>
      </c>
      <c r="N716" s="20">
        <v>1.0</v>
      </c>
      <c r="O716" s="18">
        <v>49.5</v>
      </c>
      <c r="P716" s="20">
        <v>3.4</v>
      </c>
      <c r="Q716" s="16">
        <v>46190.0</v>
      </c>
      <c r="R716" s="16" t="s">
        <v>38</v>
      </c>
      <c r="S716" s="13" t="s">
        <v>55</v>
      </c>
      <c r="T716" s="13" t="s">
        <v>66</v>
      </c>
      <c r="U716" s="13" t="str">
        <f t="shared" si="1"/>
        <v>Moderate</v>
      </c>
      <c r="V716" s="13" t="str">
        <f t="shared" si="2"/>
        <v>Median or Above</v>
      </c>
      <c r="W716" s="13" t="str">
        <f t="shared" si="3"/>
        <v>0–12 Months</v>
      </c>
    </row>
    <row r="717" hidden="1">
      <c r="A717" s="13" t="s">
        <v>1549</v>
      </c>
      <c r="B717" s="13" t="s">
        <v>257</v>
      </c>
      <c r="C717" s="14">
        <v>67.0</v>
      </c>
      <c r="D717" s="13" t="s">
        <v>85</v>
      </c>
      <c r="E717" s="13" t="s">
        <v>292</v>
      </c>
      <c r="F717" s="13" t="s">
        <v>62</v>
      </c>
      <c r="G717" s="13" t="s">
        <v>128</v>
      </c>
      <c r="H717" s="16">
        <v>44887.0</v>
      </c>
      <c r="I717" s="14">
        <v>15.0</v>
      </c>
      <c r="J717" s="13" t="s">
        <v>40</v>
      </c>
      <c r="K717" s="13" t="s">
        <v>81</v>
      </c>
      <c r="L717" s="14">
        <v>553.0</v>
      </c>
      <c r="M717" s="18" t="s">
        <v>98</v>
      </c>
      <c r="N717" s="20">
        <v>1.0</v>
      </c>
      <c r="O717" s="18">
        <v>18.2</v>
      </c>
      <c r="P717" s="20">
        <v>2.3</v>
      </c>
      <c r="Q717" s="16">
        <v>45244.0</v>
      </c>
      <c r="R717" s="16" t="s">
        <v>38</v>
      </c>
      <c r="S717" s="13" t="s">
        <v>55</v>
      </c>
      <c r="T717" s="13" t="s">
        <v>47</v>
      </c>
      <c r="U717" s="13" t="str">
        <f t="shared" si="1"/>
        <v>Low</v>
      </c>
      <c r="V717" s="13" t="str">
        <f t="shared" si="2"/>
        <v>Below Median</v>
      </c>
      <c r="W717" s="13" t="str">
        <f t="shared" si="3"/>
        <v>13–24 Months</v>
      </c>
    </row>
    <row r="718" hidden="1">
      <c r="A718" s="13" t="s">
        <v>1316</v>
      </c>
      <c r="B718" s="13" t="s">
        <v>257</v>
      </c>
      <c r="C718" s="14">
        <v>57.0</v>
      </c>
      <c r="D718" s="13" t="s">
        <v>69</v>
      </c>
      <c r="E718" s="13" t="s">
        <v>119</v>
      </c>
      <c r="F718" s="13" t="s">
        <v>37</v>
      </c>
      <c r="G718" s="13" t="s">
        <v>120</v>
      </c>
      <c r="H718" s="16">
        <v>44693.0</v>
      </c>
      <c r="I718" s="14">
        <v>4.0</v>
      </c>
      <c r="J718" s="13" t="s">
        <v>64</v>
      </c>
      <c r="K718" s="13" t="s">
        <v>41</v>
      </c>
      <c r="L718" s="14">
        <v>1037.0</v>
      </c>
      <c r="M718" s="18" t="s">
        <v>43</v>
      </c>
      <c r="N718" s="20">
        <v>2.0</v>
      </c>
      <c r="O718" s="18">
        <v>31.9</v>
      </c>
      <c r="P718" s="20">
        <v>3.6</v>
      </c>
      <c r="Q718" s="16">
        <v>44721.0</v>
      </c>
      <c r="R718" s="16" t="s">
        <v>38</v>
      </c>
      <c r="S718" s="13" t="s">
        <v>55</v>
      </c>
      <c r="T718" s="13" t="s">
        <v>47</v>
      </c>
      <c r="U718" s="13" t="str">
        <f t="shared" si="1"/>
        <v>Moderate</v>
      </c>
      <c r="V718" s="13" t="str">
        <f t="shared" si="2"/>
        <v>Median or Above</v>
      </c>
      <c r="W718" s="13" t="str">
        <f t="shared" si="3"/>
        <v>0–12 Months</v>
      </c>
    </row>
    <row r="719" hidden="1">
      <c r="A719" s="13" t="s">
        <v>875</v>
      </c>
      <c r="B719" s="13" t="s">
        <v>362</v>
      </c>
      <c r="C719" s="14">
        <v>66.0</v>
      </c>
      <c r="D719" s="13" t="s">
        <v>35</v>
      </c>
      <c r="E719" s="13" t="s">
        <v>140</v>
      </c>
      <c r="F719" s="13" t="s">
        <v>62</v>
      </c>
      <c r="G719" s="13" t="s">
        <v>52</v>
      </c>
      <c r="H719" s="16">
        <v>45737.0</v>
      </c>
      <c r="I719" s="14">
        <v>36.0</v>
      </c>
      <c r="J719" s="13" t="s">
        <v>40</v>
      </c>
      <c r="K719" s="13" t="s">
        <v>65</v>
      </c>
      <c r="L719" s="14">
        <v>628.0</v>
      </c>
      <c r="M719" s="18" t="s">
        <v>46</v>
      </c>
      <c r="N719" s="20">
        <v>1.0</v>
      </c>
      <c r="O719" s="18">
        <v>11.3</v>
      </c>
      <c r="P719" s="20">
        <v>5.0</v>
      </c>
      <c r="Q719" s="16">
        <v>46332.0</v>
      </c>
      <c r="R719" s="16" t="s">
        <v>38</v>
      </c>
      <c r="S719" s="13" t="s">
        <v>55</v>
      </c>
      <c r="T719" s="13" t="s">
        <v>66</v>
      </c>
      <c r="U719" s="13" t="str">
        <f t="shared" si="1"/>
        <v>High</v>
      </c>
      <c r="V719" s="13" t="str">
        <f t="shared" si="2"/>
        <v>Below Median</v>
      </c>
      <c r="W719" s="13" t="str">
        <f t="shared" si="3"/>
        <v>25–48 Months</v>
      </c>
    </row>
    <row r="720" hidden="1">
      <c r="A720" s="13" t="s">
        <v>1199</v>
      </c>
      <c r="B720" s="13" t="s">
        <v>135</v>
      </c>
      <c r="C720" s="14">
        <v>40.0</v>
      </c>
      <c r="D720" s="13" t="s">
        <v>35</v>
      </c>
      <c r="E720" s="13" t="s">
        <v>36</v>
      </c>
      <c r="F720" s="13" t="s">
        <v>37</v>
      </c>
      <c r="G720" s="13" t="s">
        <v>52</v>
      </c>
      <c r="H720" s="16">
        <v>44759.0</v>
      </c>
      <c r="I720" s="14">
        <v>14.0</v>
      </c>
      <c r="J720" s="13" t="s">
        <v>40</v>
      </c>
      <c r="K720" s="13" t="s">
        <v>81</v>
      </c>
      <c r="L720" s="14">
        <v>1004.0</v>
      </c>
      <c r="M720" s="18" t="s">
        <v>164</v>
      </c>
      <c r="N720" s="20">
        <v>3.0</v>
      </c>
      <c r="O720" s="18">
        <v>25.0</v>
      </c>
      <c r="P720" s="20">
        <v>4.2</v>
      </c>
      <c r="Q720" s="16">
        <v>45165.0</v>
      </c>
      <c r="R720" s="16" t="s">
        <v>38</v>
      </c>
      <c r="S720" s="13" t="s">
        <v>55</v>
      </c>
      <c r="T720" s="13" t="s">
        <v>66</v>
      </c>
      <c r="U720" s="13" t="str">
        <f t="shared" si="1"/>
        <v>Moderate</v>
      </c>
      <c r="V720" s="13" t="str">
        <f t="shared" si="2"/>
        <v>Median or Above</v>
      </c>
      <c r="W720" s="13" t="str">
        <f t="shared" si="3"/>
        <v>13–24 Months</v>
      </c>
    </row>
    <row r="721" hidden="1">
      <c r="A721" s="13" t="s">
        <v>697</v>
      </c>
      <c r="B721" s="13" t="s">
        <v>734</v>
      </c>
      <c r="C721" s="14">
        <v>59.0</v>
      </c>
      <c r="D721" s="13" t="s">
        <v>69</v>
      </c>
      <c r="E721" s="13" t="s">
        <v>187</v>
      </c>
      <c r="F721" s="13" t="s">
        <v>62</v>
      </c>
      <c r="G721" s="13" t="s">
        <v>120</v>
      </c>
      <c r="H721" s="16">
        <v>45587.0</v>
      </c>
      <c r="I721" s="14">
        <v>23.0</v>
      </c>
      <c r="J721" s="13" t="s">
        <v>53</v>
      </c>
      <c r="K721" s="13" t="s">
        <v>41</v>
      </c>
      <c r="L721" s="14">
        <v>1140.0</v>
      </c>
      <c r="M721" s="18" t="s">
        <v>43</v>
      </c>
      <c r="N721" s="20">
        <v>0.0</v>
      </c>
      <c r="O721" s="18">
        <v>43.6</v>
      </c>
      <c r="P721" s="20">
        <v>3.9</v>
      </c>
      <c r="Q721" s="16">
        <v>45665.0</v>
      </c>
      <c r="R721" s="16" t="s">
        <v>38</v>
      </c>
      <c r="S721" s="13" t="s">
        <v>55</v>
      </c>
      <c r="T721" s="13" t="s">
        <v>66</v>
      </c>
      <c r="U721" s="13" t="str">
        <f t="shared" si="1"/>
        <v>Moderate</v>
      </c>
      <c r="V721" s="13" t="str">
        <f t="shared" si="2"/>
        <v>Median or Above</v>
      </c>
      <c r="W721" s="13" t="str">
        <f t="shared" si="3"/>
        <v>13–24 Months</v>
      </c>
    </row>
    <row r="722" hidden="1">
      <c r="A722" s="13" t="s">
        <v>879</v>
      </c>
      <c r="B722" s="13" t="s">
        <v>139</v>
      </c>
      <c r="C722" s="14">
        <v>64.0</v>
      </c>
      <c r="D722" s="13" t="s">
        <v>69</v>
      </c>
      <c r="E722" s="13" t="s">
        <v>177</v>
      </c>
      <c r="F722" s="13" t="s">
        <v>62</v>
      </c>
      <c r="G722" s="13" t="s">
        <v>120</v>
      </c>
      <c r="H722" s="16">
        <v>45034.0</v>
      </c>
      <c r="I722" s="14">
        <v>4.0</v>
      </c>
      <c r="J722" s="13" t="s">
        <v>53</v>
      </c>
      <c r="K722" s="13" t="s">
        <v>41</v>
      </c>
      <c r="L722" s="14">
        <v>668.0</v>
      </c>
      <c r="M722" s="18" t="s">
        <v>43</v>
      </c>
      <c r="N722" s="20">
        <v>0.0</v>
      </c>
      <c r="O722" s="18">
        <v>5.4</v>
      </c>
      <c r="P722" s="20">
        <v>2.6</v>
      </c>
      <c r="Q722" s="16">
        <v>45118.0</v>
      </c>
      <c r="R722" s="16" t="s">
        <v>38</v>
      </c>
      <c r="S722" s="13" t="s">
        <v>55</v>
      </c>
      <c r="T722" s="13" t="s">
        <v>47</v>
      </c>
      <c r="U722" s="13" t="str">
        <f t="shared" si="1"/>
        <v>Low</v>
      </c>
      <c r="V722" s="13" t="str">
        <f t="shared" si="2"/>
        <v>Below Median</v>
      </c>
      <c r="W722" s="13" t="str">
        <f t="shared" si="3"/>
        <v>0–12 Months</v>
      </c>
    </row>
    <row r="723" hidden="1">
      <c r="A723" s="13" t="s">
        <v>1129</v>
      </c>
      <c r="B723" s="13" t="s">
        <v>351</v>
      </c>
      <c r="C723" s="14">
        <v>35.0</v>
      </c>
      <c r="D723" s="13" t="s">
        <v>35</v>
      </c>
      <c r="E723" s="13" t="s">
        <v>51</v>
      </c>
      <c r="F723" s="13" t="s">
        <v>62</v>
      </c>
      <c r="G723" s="13" t="s">
        <v>80</v>
      </c>
      <c r="H723" s="16">
        <v>45586.0</v>
      </c>
      <c r="I723" s="14">
        <v>20.0</v>
      </c>
      <c r="J723" s="13" t="s">
        <v>64</v>
      </c>
      <c r="K723" s="13" t="s">
        <v>41</v>
      </c>
      <c r="L723" s="14">
        <v>3427.0</v>
      </c>
      <c r="M723" s="18" t="s">
        <v>164</v>
      </c>
      <c r="N723" s="20">
        <v>2.0</v>
      </c>
      <c r="O723" s="18">
        <v>27.4</v>
      </c>
      <c r="P723" s="20">
        <v>1.8</v>
      </c>
      <c r="Q723" s="16">
        <v>45709.0</v>
      </c>
      <c r="R723" s="16" t="s">
        <v>38</v>
      </c>
      <c r="S723" s="13" t="s">
        <v>55</v>
      </c>
      <c r="T723" s="13" t="s">
        <v>104</v>
      </c>
      <c r="U723" s="13" t="str">
        <f t="shared" si="1"/>
        <v>Low</v>
      </c>
      <c r="V723" s="13" t="str">
        <f t="shared" si="2"/>
        <v>Median or Above</v>
      </c>
      <c r="W723" s="13" t="str">
        <f t="shared" si="3"/>
        <v>13–24 Months</v>
      </c>
    </row>
    <row r="724" hidden="1">
      <c r="A724" s="13" t="s">
        <v>113</v>
      </c>
      <c r="B724" s="13" t="s">
        <v>316</v>
      </c>
      <c r="C724" s="14">
        <v>23.0</v>
      </c>
      <c r="D724" s="13" t="s">
        <v>85</v>
      </c>
      <c r="E724" s="13" t="s">
        <v>92</v>
      </c>
      <c r="F724" s="13" t="s">
        <v>62</v>
      </c>
      <c r="G724" s="13" t="s">
        <v>128</v>
      </c>
      <c r="H724" s="16">
        <v>44683.0</v>
      </c>
      <c r="I724" s="14">
        <v>9.0</v>
      </c>
      <c r="J724" s="13" t="s">
        <v>64</v>
      </c>
      <c r="K724" s="13" t="s">
        <v>81</v>
      </c>
      <c r="L724" s="14">
        <v>874.0</v>
      </c>
      <c r="M724" s="18" t="s">
        <v>43</v>
      </c>
      <c r="N724" s="20">
        <v>1.0</v>
      </c>
      <c r="O724" s="18">
        <v>14.3</v>
      </c>
      <c r="P724" s="20">
        <v>3.9</v>
      </c>
      <c r="Q724" s="16">
        <v>44724.0</v>
      </c>
      <c r="R724" s="16" t="s">
        <v>38</v>
      </c>
      <c r="S724" s="13" t="s">
        <v>55</v>
      </c>
      <c r="T724" s="13" t="s">
        <v>104</v>
      </c>
      <c r="U724" s="13" t="str">
        <f t="shared" si="1"/>
        <v>Moderate</v>
      </c>
      <c r="V724" s="13" t="str">
        <f t="shared" si="2"/>
        <v>Below Median</v>
      </c>
      <c r="W724" s="13" t="str">
        <f t="shared" si="3"/>
        <v>0–12 Months</v>
      </c>
    </row>
    <row r="725">
      <c r="A725" s="13" t="s">
        <v>1318</v>
      </c>
      <c r="B725" s="13" t="s">
        <v>303</v>
      </c>
      <c r="C725" s="14">
        <v>50.0</v>
      </c>
      <c r="D725" s="13" t="s">
        <v>35</v>
      </c>
      <c r="E725" s="13" t="s">
        <v>140</v>
      </c>
      <c r="F725" s="13" t="s">
        <v>37</v>
      </c>
      <c r="G725" s="13" t="s">
        <v>80</v>
      </c>
      <c r="H725" s="16">
        <v>44727.0</v>
      </c>
      <c r="I725" s="14">
        <v>36.0</v>
      </c>
      <c r="J725" s="13" t="s">
        <v>64</v>
      </c>
      <c r="K725" s="13" t="s">
        <v>41</v>
      </c>
      <c r="L725" s="14">
        <v>1276.0</v>
      </c>
      <c r="M725" s="18" t="s">
        <v>98</v>
      </c>
      <c r="N725" s="20">
        <v>1.0</v>
      </c>
      <c r="O725" s="18">
        <v>26.9</v>
      </c>
      <c r="P725" s="20">
        <v>4.8</v>
      </c>
      <c r="Q725" s="16">
        <v>44822.0</v>
      </c>
      <c r="R725" s="16" t="s">
        <v>38</v>
      </c>
      <c r="S725" s="13" t="s">
        <v>230</v>
      </c>
      <c r="T725" s="13" t="s">
        <v>72</v>
      </c>
      <c r="U725" s="13" t="str">
        <f t="shared" si="1"/>
        <v>Moderate</v>
      </c>
      <c r="V725" s="13" t="str">
        <f t="shared" si="2"/>
        <v>Median or Above</v>
      </c>
      <c r="W725" s="13" t="str">
        <f t="shared" si="3"/>
        <v>25–48 Months</v>
      </c>
    </row>
    <row r="726" hidden="1">
      <c r="A726" s="13" t="s">
        <v>1319</v>
      </c>
      <c r="B726" s="13" t="s">
        <v>345</v>
      </c>
      <c r="C726" s="14">
        <v>22.0</v>
      </c>
      <c r="D726" s="13" t="s">
        <v>85</v>
      </c>
      <c r="E726" s="13" t="s">
        <v>92</v>
      </c>
      <c r="F726" s="13" t="s">
        <v>37</v>
      </c>
      <c r="G726" s="13" t="s">
        <v>39</v>
      </c>
      <c r="H726" s="16">
        <v>44605.0</v>
      </c>
      <c r="I726" s="14">
        <v>4.0</v>
      </c>
      <c r="J726" s="13" t="s">
        <v>53</v>
      </c>
      <c r="K726" s="13" t="s">
        <v>65</v>
      </c>
      <c r="L726" s="14">
        <v>1199.0</v>
      </c>
      <c r="M726" s="18" t="s">
        <v>43</v>
      </c>
      <c r="N726" s="20">
        <v>0.0</v>
      </c>
      <c r="O726" s="18">
        <v>23.5</v>
      </c>
      <c r="P726" s="20">
        <v>2.7</v>
      </c>
      <c r="Q726" s="16">
        <v>44712.0</v>
      </c>
      <c r="R726" s="16" t="s">
        <v>38</v>
      </c>
      <c r="S726" s="13" t="s">
        <v>55</v>
      </c>
      <c r="T726" s="13" t="s">
        <v>47</v>
      </c>
      <c r="U726" s="13" t="str">
        <f t="shared" si="1"/>
        <v>Low</v>
      </c>
      <c r="V726" s="13" t="str">
        <f t="shared" si="2"/>
        <v>Below Median</v>
      </c>
      <c r="W726" s="13" t="str">
        <f t="shared" si="3"/>
        <v>0–12 Months</v>
      </c>
    </row>
    <row r="727" hidden="1">
      <c r="A727" s="13" t="s">
        <v>1320</v>
      </c>
      <c r="B727" s="13" t="s">
        <v>362</v>
      </c>
      <c r="C727" s="14">
        <v>24.0</v>
      </c>
      <c r="D727" s="13" t="s">
        <v>85</v>
      </c>
      <c r="E727" s="13" t="s">
        <v>111</v>
      </c>
      <c r="F727" s="13" t="s">
        <v>62</v>
      </c>
      <c r="G727" s="13" t="s">
        <v>63</v>
      </c>
      <c r="H727" s="16">
        <v>45822.0</v>
      </c>
      <c r="I727" s="14">
        <v>24.0</v>
      </c>
      <c r="J727" s="13" t="s">
        <v>64</v>
      </c>
      <c r="K727" s="13" t="s">
        <v>41</v>
      </c>
      <c r="L727" s="14">
        <v>674.0</v>
      </c>
      <c r="M727" s="18" t="s">
        <v>43</v>
      </c>
      <c r="N727" s="20">
        <v>0.0</v>
      </c>
      <c r="O727" s="18">
        <v>12.0</v>
      </c>
      <c r="P727" s="20">
        <v>3.1</v>
      </c>
      <c r="Q727" s="16">
        <v>45891.0</v>
      </c>
      <c r="R727" s="16" t="s">
        <v>38</v>
      </c>
      <c r="S727" s="13" t="s">
        <v>55</v>
      </c>
      <c r="T727" s="13" t="s">
        <v>47</v>
      </c>
      <c r="U727" s="13" t="str">
        <f t="shared" si="1"/>
        <v>Moderate</v>
      </c>
      <c r="V727" s="13" t="str">
        <f t="shared" si="2"/>
        <v>Below Median</v>
      </c>
      <c r="W727" s="13" t="str">
        <f t="shared" si="3"/>
        <v>13–24 Months</v>
      </c>
    </row>
    <row r="728" hidden="1">
      <c r="A728" s="13" t="s">
        <v>1321</v>
      </c>
      <c r="B728" s="13" t="s">
        <v>281</v>
      </c>
      <c r="C728" s="14">
        <v>57.0</v>
      </c>
      <c r="D728" s="13" t="s">
        <v>35</v>
      </c>
      <c r="E728" s="13" t="s">
        <v>36</v>
      </c>
      <c r="F728" s="13" t="s">
        <v>79</v>
      </c>
      <c r="G728" s="13" t="s">
        <v>39</v>
      </c>
      <c r="H728" s="16">
        <v>44678.0</v>
      </c>
      <c r="I728" s="14">
        <v>5.0</v>
      </c>
      <c r="J728" s="13" t="s">
        <v>64</v>
      </c>
      <c r="K728" s="13" t="s">
        <v>41</v>
      </c>
      <c r="L728" s="14">
        <v>2577.0</v>
      </c>
      <c r="M728" s="18" t="s">
        <v>164</v>
      </c>
      <c r="N728" s="20">
        <v>0.0</v>
      </c>
      <c r="O728" s="18">
        <v>40.3</v>
      </c>
      <c r="P728" s="20">
        <v>0.0</v>
      </c>
      <c r="Q728" s="16">
        <v>44699.0</v>
      </c>
      <c r="R728" s="16" t="s">
        <v>38</v>
      </c>
      <c r="S728" s="13" t="s">
        <v>55</v>
      </c>
      <c r="T728" s="13" t="s">
        <v>72</v>
      </c>
      <c r="U728" s="13" t="str">
        <f t="shared" si="1"/>
        <v>Low</v>
      </c>
      <c r="V728" s="13" t="str">
        <f t="shared" si="2"/>
        <v>Median or Above</v>
      </c>
      <c r="W728" s="13" t="str">
        <f t="shared" si="3"/>
        <v>0–12 Months</v>
      </c>
    </row>
    <row r="729" hidden="1">
      <c r="A729" s="13" t="s">
        <v>1232</v>
      </c>
      <c r="B729" s="13" t="s">
        <v>316</v>
      </c>
      <c r="C729" s="14">
        <v>64.0</v>
      </c>
      <c r="D729" s="13" t="s">
        <v>85</v>
      </c>
      <c r="E729" s="13" t="s">
        <v>87</v>
      </c>
      <c r="F729" s="13" t="s">
        <v>37</v>
      </c>
      <c r="G729" s="13" t="s">
        <v>52</v>
      </c>
      <c r="H729" s="16">
        <v>44719.0</v>
      </c>
      <c r="I729" s="14">
        <v>5.0</v>
      </c>
      <c r="J729" s="13" t="s">
        <v>53</v>
      </c>
      <c r="K729" s="13" t="s">
        <v>65</v>
      </c>
      <c r="L729" s="14">
        <v>1209.0</v>
      </c>
      <c r="M729" s="18" t="s">
        <v>173</v>
      </c>
      <c r="N729" s="20">
        <v>0.0</v>
      </c>
      <c r="O729" s="18">
        <v>28.4</v>
      </c>
      <c r="P729" s="20">
        <v>2.1</v>
      </c>
      <c r="Q729" s="16">
        <v>44820.0</v>
      </c>
      <c r="R729" s="16" t="s">
        <v>38</v>
      </c>
      <c r="S729" s="13" t="s">
        <v>55</v>
      </c>
      <c r="T729" s="13" t="s">
        <v>66</v>
      </c>
      <c r="U729" s="13" t="str">
        <f t="shared" si="1"/>
        <v>Low</v>
      </c>
      <c r="V729" s="13" t="str">
        <f t="shared" si="2"/>
        <v>Median or Above</v>
      </c>
      <c r="W729" s="13" t="str">
        <f t="shared" si="3"/>
        <v>0–12 Months</v>
      </c>
    </row>
    <row r="730" hidden="1">
      <c r="A730" s="13" t="s">
        <v>1322</v>
      </c>
      <c r="B730" s="13" t="s">
        <v>241</v>
      </c>
      <c r="C730" s="14">
        <v>24.0</v>
      </c>
      <c r="D730" s="13" t="s">
        <v>69</v>
      </c>
      <c r="E730" s="13" t="s">
        <v>177</v>
      </c>
      <c r="F730" s="13" t="s">
        <v>62</v>
      </c>
      <c r="G730" s="13" t="s">
        <v>80</v>
      </c>
      <c r="H730" s="16">
        <v>45593.0</v>
      </c>
      <c r="I730" s="14">
        <v>7.0</v>
      </c>
      <c r="J730" s="13" t="s">
        <v>40</v>
      </c>
      <c r="K730" s="13" t="s">
        <v>41</v>
      </c>
      <c r="L730" s="14">
        <v>709.0</v>
      </c>
      <c r="M730" s="18" t="s">
        <v>164</v>
      </c>
      <c r="N730" s="20">
        <v>0.0</v>
      </c>
      <c r="O730" s="18">
        <v>4.2</v>
      </c>
      <c r="P730" s="20">
        <v>2.9</v>
      </c>
      <c r="Q730" s="16">
        <v>45762.0</v>
      </c>
      <c r="R730" s="16" t="s">
        <v>38</v>
      </c>
      <c r="S730" s="13" t="s">
        <v>55</v>
      </c>
      <c r="T730" s="13" t="s">
        <v>66</v>
      </c>
      <c r="U730" s="13" t="str">
        <f t="shared" si="1"/>
        <v>Low</v>
      </c>
      <c r="V730" s="13" t="str">
        <f t="shared" si="2"/>
        <v>Below Median</v>
      </c>
      <c r="W730" s="13" t="str">
        <f t="shared" si="3"/>
        <v>0–12 Months</v>
      </c>
    </row>
    <row r="731" hidden="1">
      <c r="A731" s="13" t="s">
        <v>1323</v>
      </c>
      <c r="B731" s="13" t="s">
        <v>303</v>
      </c>
      <c r="C731" s="14">
        <v>50.0</v>
      </c>
      <c r="D731" s="13" t="s">
        <v>60</v>
      </c>
      <c r="E731" s="13" t="s">
        <v>97</v>
      </c>
      <c r="F731" s="13" t="s">
        <v>62</v>
      </c>
      <c r="G731" s="13" t="s">
        <v>52</v>
      </c>
      <c r="H731" s="16">
        <v>44852.0</v>
      </c>
      <c r="I731" s="14">
        <v>3.0</v>
      </c>
      <c r="J731" s="13" t="s">
        <v>40</v>
      </c>
      <c r="K731" s="13" t="s">
        <v>65</v>
      </c>
      <c r="L731" s="14">
        <v>856.0</v>
      </c>
      <c r="M731" s="18" t="s">
        <v>164</v>
      </c>
      <c r="N731" s="20">
        <v>2.0</v>
      </c>
      <c r="O731" s="18">
        <v>31.6</v>
      </c>
      <c r="P731" s="20">
        <v>3.3</v>
      </c>
      <c r="Q731" s="16">
        <v>44959.0</v>
      </c>
      <c r="R731" s="16" t="s">
        <v>1324</v>
      </c>
      <c r="S731" s="13" t="s">
        <v>45</v>
      </c>
      <c r="T731" s="13" t="s">
        <v>72</v>
      </c>
      <c r="U731" s="13" t="str">
        <f t="shared" si="1"/>
        <v>Moderate</v>
      </c>
      <c r="V731" s="13" t="str">
        <f t="shared" si="2"/>
        <v>Median or Above</v>
      </c>
      <c r="W731" s="13" t="str">
        <f t="shared" si="3"/>
        <v>0–12 Months</v>
      </c>
    </row>
    <row r="732" hidden="1">
      <c r="A732" s="13" t="s">
        <v>1058</v>
      </c>
      <c r="B732" s="13" t="s">
        <v>364</v>
      </c>
      <c r="C732" s="14">
        <v>33.0</v>
      </c>
      <c r="D732" s="13" t="s">
        <v>85</v>
      </c>
      <c r="E732" s="13" t="s">
        <v>92</v>
      </c>
      <c r="F732" s="13" t="s">
        <v>37</v>
      </c>
      <c r="G732" s="13" t="s">
        <v>63</v>
      </c>
      <c r="H732" s="16">
        <v>44684.0</v>
      </c>
      <c r="I732" s="14">
        <v>18.0</v>
      </c>
      <c r="J732" s="13" t="s">
        <v>40</v>
      </c>
      <c r="K732" s="13" t="s">
        <v>65</v>
      </c>
      <c r="L732" s="14">
        <v>1506.0</v>
      </c>
      <c r="M732" s="18" t="s">
        <v>98</v>
      </c>
      <c r="N732" s="20">
        <v>0.0</v>
      </c>
      <c r="O732" s="18">
        <v>31.4</v>
      </c>
      <c r="P732" s="20">
        <v>5.0</v>
      </c>
      <c r="Q732" s="16">
        <v>45085.0</v>
      </c>
      <c r="R732" s="16" t="s">
        <v>1325</v>
      </c>
      <c r="S732" s="13" t="s">
        <v>45</v>
      </c>
      <c r="T732" s="13" t="s">
        <v>47</v>
      </c>
      <c r="U732" s="13" t="str">
        <f t="shared" si="1"/>
        <v>High</v>
      </c>
      <c r="V732" s="13" t="str">
        <f t="shared" si="2"/>
        <v>Median or Above</v>
      </c>
      <c r="W732" s="13" t="str">
        <f t="shared" si="3"/>
        <v>13–24 Months</v>
      </c>
    </row>
    <row r="733" hidden="1">
      <c r="A733" s="13" t="s">
        <v>1326</v>
      </c>
      <c r="B733" s="13" t="s">
        <v>172</v>
      </c>
      <c r="C733" s="14">
        <v>67.0</v>
      </c>
      <c r="D733" s="13" t="s">
        <v>85</v>
      </c>
      <c r="E733" s="13" t="s">
        <v>292</v>
      </c>
      <c r="F733" s="13" t="s">
        <v>37</v>
      </c>
      <c r="G733" s="13" t="s">
        <v>63</v>
      </c>
      <c r="H733" s="16">
        <v>45671.0</v>
      </c>
      <c r="I733" s="14">
        <v>23.0</v>
      </c>
      <c r="J733" s="13" t="s">
        <v>40</v>
      </c>
      <c r="K733" s="13" t="s">
        <v>65</v>
      </c>
      <c r="L733" s="14">
        <v>1771.0</v>
      </c>
      <c r="M733" s="18" t="s">
        <v>164</v>
      </c>
      <c r="N733" s="20">
        <v>0.0</v>
      </c>
      <c r="O733" s="18">
        <v>35.5</v>
      </c>
      <c r="P733" s="20">
        <v>3.9</v>
      </c>
      <c r="Q733" s="16">
        <v>46025.0</v>
      </c>
      <c r="R733" s="16">
        <v>45880.0</v>
      </c>
      <c r="S733" s="13" t="s">
        <v>45</v>
      </c>
      <c r="T733" s="13" t="s">
        <v>66</v>
      </c>
      <c r="U733" s="13" t="str">
        <f t="shared" si="1"/>
        <v>Moderate</v>
      </c>
      <c r="V733" s="13" t="str">
        <f t="shared" si="2"/>
        <v>Median or Above</v>
      </c>
      <c r="W733" s="13" t="str">
        <f t="shared" si="3"/>
        <v>13–24 Months</v>
      </c>
    </row>
    <row r="734" hidden="1">
      <c r="A734" s="13" t="s">
        <v>1175</v>
      </c>
      <c r="B734" s="13" t="s">
        <v>232</v>
      </c>
      <c r="C734" s="14">
        <v>29.0</v>
      </c>
      <c r="D734" s="13" t="s">
        <v>85</v>
      </c>
      <c r="E734" s="13" t="s">
        <v>292</v>
      </c>
      <c r="F734" s="13" t="s">
        <v>37</v>
      </c>
      <c r="G734" s="13" t="s">
        <v>80</v>
      </c>
      <c r="H734" s="16">
        <v>45356.0</v>
      </c>
      <c r="I734" s="14">
        <v>47.0</v>
      </c>
      <c r="J734" s="13" t="s">
        <v>53</v>
      </c>
      <c r="K734" s="13" t="s">
        <v>65</v>
      </c>
      <c r="L734" s="14">
        <v>1546.0</v>
      </c>
      <c r="M734" s="18" t="s">
        <v>98</v>
      </c>
      <c r="N734" s="20">
        <v>0.0</v>
      </c>
      <c r="O734" s="18">
        <v>12.3</v>
      </c>
      <c r="P734" s="20">
        <v>3.6</v>
      </c>
      <c r="Q734" s="16">
        <v>46234.0</v>
      </c>
      <c r="R734" s="16" t="s">
        <v>1328</v>
      </c>
      <c r="S734" s="13" t="s">
        <v>45</v>
      </c>
      <c r="T734" s="13" t="s">
        <v>47</v>
      </c>
      <c r="U734" s="13" t="str">
        <f t="shared" si="1"/>
        <v>Moderate</v>
      </c>
      <c r="V734" s="13" t="str">
        <f t="shared" si="2"/>
        <v>Below Median</v>
      </c>
      <c r="W734" s="13" t="str">
        <f t="shared" si="3"/>
        <v>25–48 Months</v>
      </c>
    </row>
    <row r="735" hidden="1">
      <c r="A735" s="13" t="s">
        <v>677</v>
      </c>
      <c r="B735" s="13" t="s">
        <v>232</v>
      </c>
      <c r="C735" s="14">
        <v>42.0</v>
      </c>
      <c r="D735" s="13" t="s">
        <v>35</v>
      </c>
      <c r="E735" s="13" t="s">
        <v>161</v>
      </c>
      <c r="F735" s="13" t="s">
        <v>37</v>
      </c>
      <c r="G735" s="13" t="s">
        <v>210</v>
      </c>
      <c r="H735" s="16">
        <v>44737.0</v>
      </c>
      <c r="I735" s="14">
        <v>16.0</v>
      </c>
      <c r="J735" s="13" t="s">
        <v>53</v>
      </c>
      <c r="K735" s="13" t="s">
        <v>81</v>
      </c>
      <c r="L735" s="14">
        <v>1344.0</v>
      </c>
      <c r="M735" s="18" t="s">
        <v>46</v>
      </c>
      <c r="N735" s="20">
        <v>3.0</v>
      </c>
      <c r="O735" s="18">
        <v>26.0</v>
      </c>
      <c r="P735" s="20">
        <v>2.2</v>
      </c>
      <c r="Q735" s="16">
        <v>44949.0</v>
      </c>
      <c r="R735" s="16" t="s">
        <v>1329</v>
      </c>
      <c r="S735" s="13" t="s">
        <v>45</v>
      </c>
      <c r="T735" s="13" t="s">
        <v>72</v>
      </c>
      <c r="U735" s="13" t="str">
        <f t="shared" si="1"/>
        <v>Low</v>
      </c>
      <c r="V735" s="13" t="str">
        <f t="shared" si="2"/>
        <v>Median or Above</v>
      </c>
      <c r="W735" s="13" t="str">
        <f t="shared" si="3"/>
        <v>13–24 Months</v>
      </c>
    </row>
    <row r="736" hidden="1">
      <c r="A736" s="13" t="s">
        <v>1330</v>
      </c>
      <c r="B736" s="13" t="s">
        <v>364</v>
      </c>
      <c r="C736" s="14">
        <v>41.0</v>
      </c>
      <c r="D736" s="13" t="s">
        <v>35</v>
      </c>
      <c r="E736" s="13" t="s">
        <v>36</v>
      </c>
      <c r="F736" s="13" t="s">
        <v>62</v>
      </c>
      <c r="G736" s="13" t="s">
        <v>52</v>
      </c>
      <c r="H736" s="16">
        <v>45219.0</v>
      </c>
      <c r="I736" s="14">
        <v>17.0</v>
      </c>
      <c r="J736" s="13" t="s">
        <v>53</v>
      </c>
      <c r="K736" s="13" t="s">
        <v>81</v>
      </c>
      <c r="L736" s="14">
        <v>726.0</v>
      </c>
      <c r="M736" s="18" t="s">
        <v>98</v>
      </c>
      <c r="N736" s="20">
        <v>2.0</v>
      </c>
      <c r="O736" s="18">
        <v>23.2</v>
      </c>
      <c r="P736" s="20">
        <v>4.2</v>
      </c>
      <c r="Q736" s="16">
        <v>45679.0</v>
      </c>
      <c r="R736" s="16" t="s">
        <v>1331</v>
      </c>
      <c r="S736" s="13" t="s">
        <v>45</v>
      </c>
      <c r="T736" s="13" t="s">
        <v>66</v>
      </c>
      <c r="U736" s="13" t="str">
        <f t="shared" si="1"/>
        <v>Moderate</v>
      </c>
      <c r="V736" s="13" t="str">
        <f t="shared" si="2"/>
        <v>Below Median</v>
      </c>
      <c r="W736" s="13" t="str">
        <f t="shared" si="3"/>
        <v>13–24 Months</v>
      </c>
    </row>
    <row r="737" hidden="1">
      <c r="A737" s="13" t="s">
        <v>1332</v>
      </c>
      <c r="B737" s="13" t="s">
        <v>420</v>
      </c>
      <c r="C737" s="14">
        <v>50.0</v>
      </c>
      <c r="D737" s="13" t="s">
        <v>85</v>
      </c>
      <c r="E737" s="13" t="s">
        <v>292</v>
      </c>
      <c r="F737" s="13" t="s">
        <v>37</v>
      </c>
      <c r="G737" s="13" t="s">
        <v>63</v>
      </c>
      <c r="H737" s="16">
        <v>45128.0</v>
      </c>
      <c r="I737" s="14">
        <v>40.0</v>
      </c>
      <c r="J737" s="13" t="s">
        <v>40</v>
      </c>
      <c r="K737" s="13" t="s">
        <v>41</v>
      </c>
      <c r="L737" s="14">
        <v>1450.0</v>
      </c>
      <c r="M737" s="18" t="s">
        <v>98</v>
      </c>
      <c r="N737" s="20">
        <v>1.0</v>
      </c>
      <c r="O737" s="18">
        <v>23.2</v>
      </c>
      <c r="P737" s="20">
        <v>5.0</v>
      </c>
      <c r="Q737" s="16">
        <v>45666.0</v>
      </c>
      <c r="R737" s="16" t="s">
        <v>38</v>
      </c>
      <c r="S737" s="13" t="s">
        <v>55</v>
      </c>
      <c r="T737" s="13" t="s">
        <v>47</v>
      </c>
      <c r="U737" s="13" t="str">
        <f t="shared" si="1"/>
        <v>High</v>
      </c>
      <c r="V737" s="13" t="str">
        <f t="shared" si="2"/>
        <v>Below Median</v>
      </c>
      <c r="W737" s="13" t="str">
        <f t="shared" si="3"/>
        <v>25–48 Months</v>
      </c>
    </row>
    <row r="738" hidden="1">
      <c r="A738" s="13" t="s">
        <v>1227</v>
      </c>
      <c r="B738" s="13" t="s">
        <v>395</v>
      </c>
      <c r="C738" s="14">
        <v>22.0</v>
      </c>
      <c r="D738" s="13" t="s">
        <v>35</v>
      </c>
      <c r="E738" s="13" t="s">
        <v>51</v>
      </c>
      <c r="F738" s="13" t="s">
        <v>37</v>
      </c>
      <c r="G738" s="13" t="s">
        <v>63</v>
      </c>
      <c r="H738" s="16">
        <v>44939.0</v>
      </c>
      <c r="I738" s="14">
        <v>44.0</v>
      </c>
      <c r="J738" s="13" t="s">
        <v>64</v>
      </c>
      <c r="K738" s="13" t="s">
        <v>65</v>
      </c>
      <c r="L738" s="14">
        <v>724.0</v>
      </c>
      <c r="M738" s="18" t="s">
        <v>98</v>
      </c>
      <c r="N738" s="20">
        <v>2.0</v>
      </c>
      <c r="O738" s="18">
        <v>4.1</v>
      </c>
      <c r="P738" s="20">
        <v>3.2</v>
      </c>
      <c r="Q738" s="16">
        <v>45034.0</v>
      </c>
      <c r="R738" s="16" t="s">
        <v>38</v>
      </c>
      <c r="S738" s="13" t="s">
        <v>55</v>
      </c>
      <c r="T738" s="13" t="s">
        <v>72</v>
      </c>
      <c r="U738" s="13" t="str">
        <f t="shared" si="1"/>
        <v>Moderate</v>
      </c>
      <c r="V738" s="13" t="str">
        <f t="shared" si="2"/>
        <v>Below Median</v>
      </c>
      <c r="W738" s="13" t="str">
        <f t="shared" si="3"/>
        <v>25–48 Months</v>
      </c>
    </row>
    <row r="739" hidden="1">
      <c r="A739" s="13" t="s">
        <v>375</v>
      </c>
      <c r="B739" s="13" t="s">
        <v>636</v>
      </c>
      <c r="C739" s="14">
        <v>55.0</v>
      </c>
      <c r="D739" s="13" t="s">
        <v>60</v>
      </c>
      <c r="E739" s="13" t="s">
        <v>61</v>
      </c>
      <c r="F739" s="13" t="s">
        <v>37</v>
      </c>
      <c r="G739" s="13" t="s">
        <v>210</v>
      </c>
      <c r="H739" s="16">
        <v>44785.0</v>
      </c>
      <c r="I739" s="14">
        <v>5.0</v>
      </c>
      <c r="J739" s="13" t="s">
        <v>53</v>
      </c>
      <c r="K739" s="13" t="s">
        <v>81</v>
      </c>
      <c r="L739" s="14">
        <v>1522.0</v>
      </c>
      <c r="M739" s="18" t="s">
        <v>98</v>
      </c>
      <c r="N739" s="20">
        <v>3.0</v>
      </c>
      <c r="O739" s="18">
        <v>28.6</v>
      </c>
      <c r="P739" s="20">
        <v>4.6</v>
      </c>
      <c r="Q739" s="16">
        <v>44855.0</v>
      </c>
      <c r="R739" s="16" t="s">
        <v>38</v>
      </c>
      <c r="S739" s="13" t="s">
        <v>55</v>
      </c>
      <c r="T739" s="13" t="s">
        <v>75</v>
      </c>
      <c r="U739" s="13" t="str">
        <f t="shared" si="1"/>
        <v>Moderate</v>
      </c>
      <c r="V739" s="13" t="str">
        <f t="shared" si="2"/>
        <v>Median or Above</v>
      </c>
      <c r="W739" s="13" t="str">
        <f t="shared" si="3"/>
        <v>0–12 Months</v>
      </c>
    </row>
    <row r="740" hidden="1">
      <c r="A740" s="13" t="s">
        <v>1333</v>
      </c>
      <c r="B740" s="13" t="s">
        <v>152</v>
      </c>
      <c r="C740" s="14">
        <v>29.0</v>
      </c>
      <c r="D740" s="13" t="s">
        <v>85</v>
      </c>
      <c r="E740" s="13" t="s">
        <v>38</v>
      </c>
      <c r="F740" s="13" t="s">
        <v>62</v>
      </c>
      <c r="G740" s="13" t="s">
        <v>210</v>
      </c>
      <c r="H740" s="16">
        <v>45805.0</v>
      </c>
      <c r="I740" s="14">
        <v>24.0</v>
      </c>
      <c r="J740" s="13" t="s">
        <v>53</v>
      </c>
      <c r="K740" s="13" t="s">
        <v>41</v>
      </c>
      <c r="L740" s="14">
        <v>707.0</v>
      </c>
      <c r="M740" s="18" t="s">
        <v>99</v>
      </c>
      <c r="N740" s="20">
        <v>0.0</v>
      </c>
      <c r="O740" s="18">
        <v>14.8</v>
      </c>
      <c r="P740" s="20">
        <v>3.1</v>
      </c>
      <c r="Q740" s="16">
        <v>46296.0</v>
      </c>
      <c r="R740" s="16" t="s">
        <v>38</v>
      </c>
      <c r="S740" s="13" t="s">
        <v>55</v>
      </c>
      <c r="T740" s="13" t="s">
        <v>72</v>
      </c>
      <c r="U740" s="13" t="str">
        <f t="shared" si="1"/>
        <v>Moderate</v>
      </c>
      <c r="V740" s="13" t="str">
        <f t="shared" si="2"/>
        <v>Below Median</v>
      </c>
      <c r="W740" s="13" t="str">
        <f t="shared" si="3"/>
        <v>13–24 Months</v>
      </c>
    </row>
    <row r="741" hidden="1">
      <c r="A741" s="13" t="s">
        <v>1334</v>
      </c>
      <c r="B741" s="13" t="s">
        <v>312</v>
      </c>
      <c r="C741" s="14">
        <v>43.0</v>
      </c>
      <c r="D741" s="13" t="s">
        <v>35</v>
      </c>
      <c r="E741" s="13" t="s">
        <v>36</v>
      </c>
      <c r="F741" s="13" t="s">
        <v>37</v>
      </c>
      <c r="G741" s="13" t="s">
        <v>128</v>
      </c>
      <c r="H741" s="16">
        <v>45203.0</v>
      </c>
      <c r="I741" s="14">
        <v>33.0</v>
      </c>
      <c r="J741" s="13" t="s">
        <v>64</v>
      </c>
      <c r="K741" s="13" t="s">
        <v>41</v>
      </c>
      <c r="L741" s="14">
        <v>1519.0</v>
      </c>
      <c r="M741" s="18" t="s">
        <v>164</v>
      </c>
      <c r="N741" s="20">
        <v>0.0</v>
      </c>
      <c r="O741" s="18">
        <v>20.8</v>
      </c>
      <c r="P741" s="20">
        <v>4.6</v>
      </c>
      <c r="Q741" s="16">
        <v>45808.0</v>
      </c>
      <c r="R741" s="16" t="s">
        <v>38</v>
      </c>
      <c r="S741" s="13" t="s">
        <v>55</v>
      </c>
      <c r="T741" s="13" t="s">
        <v>47</v>
      </c>
      <c r="U741" s="13" t="str">
        <f t="shared" si="1"/>
        <v>Moderate</v>
      </c>
      <c r="V741" s="13" t="str">
        <f t="shared" si="2"/>
        <v>Below Median</v>
      </c>
      <c r="W741" s="13" t="str">
        <f t="shared" si="3"/>
        <v>25–48 Months</v>
      </c>
    </row>
    <row r="742" hidden="1">
      <c r="A742" s="13" t="s">
        <v>540</v>
      </c>
      <c r="B742" s="13" t="s">
        <v>303</v>
      </c>
      <c r="C742" s="14">
        <v>57.0</v>
      </c>
      <c r="D742" s="13" t="s">
        <v>35</v>
      </c>
      <c r="E742" s="13" t="s">
        <v>36</v>
      </c>
      <c r="F742" s="13" t="s">
        <v>79</v>
      </c>
      <c r="G742" s="13" t="s">
        <v>39</v>
      </c>
      <c r="H742" s="16">
        <v>45719.0</v>
      </c>
      <c r="I742" s="14">
        <v>33.0</v>
      </c>
      <c r="J742" s="13" t="s">
        <v>53</v>
      </c>
      <c r="K742" s="13" t="s">
        <v>81</v>
      </c>
      <c r="L742" s="14">
        <v>3502.0</v>
      </c>
      <c r="M742" s="18" t="s">
        <v>164</v>
      </c>
      <c r="N742" s="20">
        <v>2.0</v>
      </c>
      <c r="O742" s="18">
        <v>46.6</v>
      </c>
      <c r="P742" s="20">
        <v>4.5</v>
      </c>
      <c r="Q742" s="16">
        <v>46157.0</v>
      </c>
      <c r="R742" s="16">
        <v>46152.0</v>
      </c>
      <c r="S742" s="13" t="s">
        <v>45</v>
      </c>
      <c r="T742" s="13" t="s">
        <v>66</v>
      </c>
      <c r="U742" s="13" t="str">
        <f t="shared" si="1"/>
        <v>Moderate</v>
      </c>
      <c r="V742" s="13" t="str">
        <f t="shared" si="2"/>
        <v>Median or Above</v>
      </c>
      <c r="W742" s="13" t="str">
        <f t="shared" si="3"/>
        <v>25–48 Months</v>
      </c>
    </row>
    <row r="743" hidden="1">
      <c r="A743" s="13" t="s">
        <v>535</v>
      </c>
      <c r="B743" s="13" t="s">
        <v>257</v>
      </c>
      <c r="C743" s="14">
        <v>66.0</v>
      </c>
      <c r="D743" s="13" t="s">
        <v>85</v>
      </c>
      <c r="E743" s="13" t="s">
        <v>92</v>
      </c>
      <c r="F743" s="13" t="s">
        <v>62</v>
      </c>
      <c r="G743" s="13" t="s">
        <v>128</v>
      </c>
      <c r="H743" s="16">
        <v>45740.0</v>
      </c>
      <c r="I743" s="14">
        <v>19.0</v>
      </c>
      <c r="J743" s="13" t="s">
        <v>40</v>
      </c>
      <c r="K743" s="13" t="s">
        <v>81</v>
      </c>
      <c r="L743" s="14">
        <v>667.0</v>
      </c>
      <c r="M743" s="18" t="s">
        <v>164</v>
      </c>
      <c r="N743" s="20">
        <v>0.0</v>
      </c>
      <c r="O743" s="18">
        <v>20.8</v>
      </c>
      <c r="P743" s="20">
        <v>2.9</v>
      </c>
      <c r="Q743" s="16">
        <v>46120.0</v>
      </c>
      <c r="R743" s="16" t="s">
        <v>1336</v>
      </c>
      <c r="S743" s="13" t="s">
        <v>45</v>
      </c>
      <c r="T743" s="13" t="s">
        <v>47</v>
      </c>
      <c r="U743" s="13" t="str">
        <f t="shared" si="1"/>
        <v>Low</v>
      </c>
      <c r="V743" s="13" t="str">
        <f t="shared" si="2"/>
        <v>Below Median</v>
      </c>
      <c r="W743" s="13" t="str">
        <f t="shared" si="3"/>
        <v>13–24 Months</v>
      </c>
    </row>
    <row r="744" hidden="1">
      <c r="A744" s="13" t="s">
        <v>1337</v>
      </c>
      <c r="B744" s="13" t="s">
        <v>801</v>
      </c>
      <c r="C744" s="14">
        <v>55.0</v>
      </c>
      <c r="D744" s="13" t="s">
        <v>85</v>
      </c>
      <c r="E744" s="13" t="s">
        <v>92</v>
      </c>
      <c r="F744" s="13" t="s">
        <v>62</v>
      </c>
      <c r="G744" s="13" t="s">
        <v>80</v>
      </c>
      <c r="H744" s="16">
        <v>45597.0</v>
      </c>
      <c r="I744" s="14">
        <v>5.0</v>
      </c>
      <c r="J744" s="13" t="s">
        <v>40</v>
      </c>
      <c r="K744" s="13" t="s">
        <v>81</v>
      </c>
      <c r="L744" s="14">
        <v>833.0</v>
      </c>
      <c r="M744" s="18" t="s">
        <v>98</v>
      </c>
      <c r="N744" s="20">
        <v>1.0</v>
      </c>
      <c r="O744" s="18">
        <v>22.3</v>
      </c>
      <c r="P744" s="20">
        <v>4.5</v>
      </c>
      <c r="Q744" s="16">
        <v>45665.0</v>
      </c>
      <c r="R744" s="16" t="s">
        <v>1338</v>
      </c>
      <c r="S744" s="13" t="s">
        <v>45</v>
      </c>
      <c r="T744" s="13" t="s">
        <v>47</v>
      </c>
      <c r="U744" s="13" t="str">
        <f t="shared" si="1"/>
        <v>Moderate</v>
      </c>
      <c r="V744" s="13" t="str">
        <f t="shared" si="2"/>
        <v>Below Median</v>
      </c>
      <c r="W744" s="13" t="str">
        <f t="shared" si="3"/>
        <v>0–12 Months</v>
      </c>
    </row>
    <row r="745" hidden="1">
      <c r="A745" s="13" t="s">
        <v>1339</v>
      </c>
      <c r="B745" s="13" t="s">
        <v>383</v>
      </c>
      <c r="C745" s="14">
        <v>59.0</v>
      </c>
      <c r="D745" s="13" t="s">
        <v>85</v>
      </c>
      <c r="E745" s="13" t="s">
        <v>111</v>
      </c>
      <c r="F745" s="13" t="s">
        <v>37</v>
      </c>
      <c r="G745" s="13" t="s">
        <v>128</v>
      </c>
      <c r="H745" s="16">
        <v>45149.0</v>
      </c>
      <c r="I745" s="14">
        <v>22.0</v>
      </c>
      <c r="J745" s="13" t="s">
        <v>40</v>
      </c>
      <c r="K745" s="13" t="s">
        <v>41</v>
      </c>
      <c r="L745" s="14">
        <v>1417.0</v>
      </c>
      <c r="M745" s="18" t="s">
        <v>43</v>
      </c>
      <c r="N745" s="20">
        <v>1.0</v>
      </c>
      <c r="O745" s="18">
        <v>29.6</v>
      </c>
      <c r="P745" s="20">
        <v>4.2</v>
      </c>
      <c r="Q745" s="16">
        <v>45676.0</v>
      </c>
      <c r="R745" s="16" t="s">
        <v>38</v>
      </c>
      <c r="S745" s="13" t="s">
        <v>55</v>
      </c>
      <c r="T745" s="13" t="s">
        <v>75</v>
      </c>
      <c r="U745" s="13" t="str">
        <f t="shared" si="1"/>
        <v>Moderate</v>
      </c>
      <c r="V745" s="13" t="str">
        <f t="shared" si="2"/>
        <v>Median or Above</v>
      </c>
      <c r="W745" s="13" t="str">
        <f t="shared" si="3"/>
        <v>13–24 Months</v>
      </c>
    </row>
    <row r="746" hidden="1">
      <c r="A746" s="13" t="s">
        <v>1340</v>
      </c>
      <c r="B746" s="13" t="s">
        <v>126</v>
      </c>
      <c r="C746" s="14">
        <v>23.0</v>
      </c>
      <c r="D746" s="13" t="s">
        <v>69</v>
      </c>
      <c r="E746" s="13" t="s">
        <v>70</v>
      </c>
      <c r="F746" s="13" t="s">
        <v>62</v>
      </c>
      <c r="G746" s="13" t="s">
        <v>128</v>
      </c>
      <c r="H746" s="16">
        <v>45697.0</v>
      </c>
      <c r="I746" s="14">
        <v>46.0</v>
      </c>
      <c r="J746" s="13" t="s">
        <v>40</v>
      </c>
      <c r="K746" s="13" t="s">
        <v>81</v>
      </c>
      <c r="L746" s="14">
        <v>879.0</v>
      </c>
      <c r="M746" s="18" t="s">
        <v>164</v>
      </c>
      <c r="N746" s="20">
        <v>0.0</v>
      </c>
      <c r="O746" s="18">
        <v>1.0</v>
      </c>
      <c r="P746" s="20">
        <v>3.4</v>
      </c>
      <c r="Q746" s="16">
        <v>45776.0</v>
      </c>
      <c r="R746" s="16">
        <v>46699.0</v>
      </c>
      <c r="S746" s="13" t="s">
        <v>45</v>
      </c>
      <c r="T746" s="13" t="s">
        <v>66</v>
      </c>
      <c r="U746" s="13" t="str">
        <f t="shared" si="1"/>
        <v>Moderate</v>
      </c>
      <c r="V746" s="13" t="str">
        <f t="shared" si="2"/>
        <v>Below Median</v>
      </c>
      <c r="W746" s="13" t="str">
        <f t="shared" si="3"/>
        <v>25–48 Months</v>
      </c>
    </row>
    <row r="747" hidden="1">
      <c r="A747" s="13" t="s">
        <v>1024</v>
      </c>
      <c r="B747" s="13" t="s">
        <v>91</v>
      </c>
      <c r="C747" s="14">
        <v>65.0</v>
      </c>
      <c r="D747" s="13" t="s">
        <v>85</v>
      </c>
      <c r="E747" s="13" t="s">
        <v>92</v>
      </c>
      <c r="F747" s="13" t="s">
        <v>62</v>
      </c>
      <c r="G747" s="13" t="s">
        <v>52</v>
      </c>
      <c r="H747" s="16">
        <v>45702.0</v>
      </c>
      <c r="I747" s="14">
        <v>16.0</v>
      </c>
      <c r="J747" s="13" t="s">
        <v>40</v>
      </c>
      <c r="K747" s="13" t="s">
        <v>41</v>
      </c>
      <c r="L747" s="14">
        <v>559.0</v>
      </c>
      <c r="M747" s="18" t="s">
        <v>46</v>
      </c>
      <c r="N747" s="20">
        <v>3.0</v>
      </c>
      <c r="O747" s="18">
        <v>20.8</v>
      </c>
      <c r="P747" s="20">
        <v>2.9</v>
      </c>
      <c r="Q747" s="16">
        <v>46134.0</v>
      </c>
      <c r="R747" s="16" t="s">
        <v>38</v>
      </c>
      <c r="S747" s="13" t="s">
        <v>55</v>
      </c>
      <c r="T747" s="13" t="s">
        <v>72</v>
      </c>
      <c r="U747" s="13" t="str">
        <f t="shared" si="1"/>
        <v>Low</v>
      </c>
      <c r="V747" s="13" t="str">
        <f t="shared" si="2"/>
        <v>Below Median</v>
      </c>
      <c r="W747" s="13" t="str">
        <f t="shared" si="3"/>
        <v>13–24 Months</v>
      </c>
    </row>
    <row r="748" hidden="1">
      <c r="A748" s="13" t="s">
        <v>723</v>
      </c>
      <c r="B748" s="13" t="s">
        <v>340</v>
      </c>
      <c r="C748" s="14">
        <v>28.0</v>
      </c>
      <c r="D748" s="13" t="s">
        <v>85</v>
      </c>
      <c r="E748" s="13" t="s">
        <v>87</v>
      </c>
      <c r="F748" s="13" t="s">
        <v>37</v>
      </c>
      <c r="G748" s="13" t="s">
        <v>120</v>
      </c>
      <c r="H748" s="16">
        <v>45154.0</v>
      </c>
      <c r="I748" s="14">
        <v>31.0</v>
      </c>
      <c r="J748" s="13" t="s">
        <v>40</v>
      </c>
      <c r="K748" s="13" t="s">
        <v>81</v>
      </c>
      <c r="L748" s="14">
        <v>1186.0</v>
      </c>
      <c r="M748" s="18" t="s">
        <v>43</v>
      </c>
      <c r="N748" s="20">
        <v>1.0</v>
      </c>
      <c r="O748" s="18">
        <v>21.6</v>
      </c>
      <c r="P748" s="20">
        <v>3.6</v>
      </c>
      <c r="Q748" s="16">
        <v>45948.0</v>
      </c>
      <c r="R748" s="16" t="s">
        <v>38</v>
      </c>
      <c r="S748" s="13" t="s">
        <v>55</v>
      </c>
      <c r="T748" s="13" t="s">
        <v>66</v>
      </c>
      <c r="U748" s="13" t="str">
        <f t="shared" si="1"/>
        <v>Moderate</v>
      </c>
      <c r="V748" s="13" t="str">
        <f t="shared" si="2"/>
        <v>Below Median</v>
      </c>
      <c r="W748" s="13" t="str">
        <f t="shared" si="3"/>
        <v>25–48 Months</v>
      </c>
    </row>
    <row r="749" hidden="1">
      <c r="A749" s="13" t="s">
        <v>1344</v>
      </c>
      <c r="B749" s="13" t="s">
        <v>257</v>
      </c>
      <c r="C749" s="14">
        <v>22.0</v>
      </c>
      <c r="D749" s="13" t="s">
        <v>85</v>
      </c>
      <c r="E749" s="13" t="s">
        <v>87</v>
      </c>
      <c r="F749" s="13" t="s">
        <v>62</v>
      </c>
      <c r="G749" s="13" t="s">
        <v>39</v>
      </c>
      <c r="H749" s="16">
        <v>45603.0</v>
      </c>
      <c r="I749" s="14">
        <v>47.0</v>
      </c>
      <c r="J749" s="13" t="s">
        <v>64</v>
      </c>
      <c r="K749" s="13" t="s">
        <v>81</v>
      </c>
      <c r="L749" s="14">
        <v>894.0</v>
      </c>
      <c r="M749" s="18" t="s">
        <v>98</v>
      </c>
      <c r="N749" s="20">
        <v>0.0</v>
      </c>
      <c r="O749" s="18">
        <v>15.3</v>
      </c>
      <c r="P749" s="20">
        <v>4.2</v>
      </c>
      <c r="Q749" s="16">
        <v>46221.0</v>
      </c>
      <c r="R749" s="16" t="s">
        <v>38</v>
      </c>
      <c r="S749" s="13" t="s">
        <v>55</v>
      </c>
      <c r="T749" s="13" t="s">
        <v>66</v>
      </c>
      <c r="U749" s="13" t="str">
        <f t="shared" si="1"/>
        <v>Moderate</v>
      </c>
      <c r="V749" s="13" t="str">
        <f t="shared" si="2"/>
        <v>Below Median</v>
      </c>
      <c r="W749" s="13" t="str">
        <f t="shared" si="3"/>
        <v>25–48 Months</v>
      </c>
    </row>
    <row r="750" hidden="1">
      <c r="A750" s="13" t="s">
        <v>183</v>
      </c>
      <c r="B750" s="13" t="s">
        <v>176</v>
      </c>
      <c r="C750" s="14">
        <v>55.0</v>
      </c>
      <c r="D750" s="13" t="s">
        <v>69</v>
      </c>
      <c r="E750" s="13" t="s">
        <v>92</v>
      </c>
      <c r="F750" s="13" t="s">
        <v>62</v>
      </c>
      <c r="G750" s="13" t="s">
        <v>210</v>
      </c>
      <c r="H750" s="16">
        <v>44927.0</v>
      </c>
      <c r="I750" s="14">
        <v>10.0</v>
      </c>
      <c r="J750" s="13" t="s">
        <v>64</v>
      </c>
      <c r="K750" s="13" t="s">
        <v>65</v>
      </c>
      <c r="L750" s="14">
        <v>875.0</v>
      </c>
      <c r="M750" s="18" t="s">
        <v>43</v>
      </c>
      <c r="N750" s="20">
        <v>2.0</v>
      </c>
      <c r="O750" s="18">
        <v>16.3</v>
      </c>
      <c r="P750" s="20">
        <v>4.8</v>
      </c>
      <c r="Q750" s="16">
        <v>45157.0</v>
      </c>
      <c r="R750" s="16" t="s">
        <v>38</v>
      </c>
      <c r="S750" s="13" t="s">
        <v>55</v>
      </c>
      <c r="T750" s="13" t="s">
        <v>104</v>
      </c>
      <c r="U750" s="13" t="str">
        <f t="shared" si="1"/>
        <v>Moderate</v>
      </c>
      <c r="V750" s="13" t="str">
        <f t="shared" si="2"/>
        <v>Below Median</v>
      </c>
      <c r="W750" s="13" t="str">
        <f t="shared" si="3"/>
        <v>0–12 Months</v>
      </c>
    </row>
    <row r="751" hidden="1">
      <c r="A751" s="13" t="s">
        <v>1355</v>
      </c>
      <c r="B751" s="13" t="s">
        <v>340</v>
      </c>
      <c r="C751" s="14">
        <v>33.0</v>
      </c>
      <c r="D751" s="13" t="s">
        <v>60</v>
      </c>
      <c r="E751" s="13" t="s">
        <v>97</v>
      </c>
      <c r="F751" s="13" t="s">
        <v>62</v>
      </c>
      <c r="G751" s="13" t="s">
        <v>210</v>
      </c>
      <c r="H751" s="16">
        <v>45558.0</v>
      </c>
      <c r="I751" s="14">
        <v>29.0</v>
      </c>
      <c r="J751" s="13" t="s">
        <v>64</v>
      </c>
      <c r="K751" s="13" t="s">
        <v>65</v>
      </c>
      <c r="L751" s="14">
        <v>585.0</v>
      </c>
      <c r="M751" s="18" t="s">
        <v>46</v>
      </c>
      <c r="N751" s="20">
        <v>2.0</v>
      </c>
      <c r="O751" s="18">
        <v>14.1</v>
      </c>
      <c r="P751" s="20">
        <v>3.3</v>
      </c>
      <c r="Q751" s="16">
        <v>45833.0</v>
      </c>
      <c r="R751" s="16" t="s">
        <v>38</v>
      </c>
      <c r="S751" s="13" t="s">
        <v>55</v>
      </c>
      <c r="T751" s="13" t="s">
        <v>47</v>
      </c>
      <c r="U751" s="13" t="str">
        <f t="shared" si="1"/>
        <v>Moderate</v>
      </c>
      <c r="V751" s="13" t="str">
        <f t="shared" si="2"/>
        <v>Below Median</v>
      </c>
      <c r="W751" s="13" t="str">
        <f t="shared" si="3"/>
        <v>25–48 Months</v>
      </c>
    </row>
    <row r="752" hidden="1">
      <c r="A752" s="13" t="s">
        <v>1358</v>
      </c>
      <c r="B752" s="13" t="s">
        <v>380</v>
      </c>
      <c r="C752" s="14">
        <v>55.0</v>
      </c>
      <c r="D752" s="13" t="s">
        <v>69</v>
      </c>
      <c r="E752" s="13" t="s">
        <v>187</v>
      </c>
      <c r="F752" s="13" t="s">
        <v>62</v>
      </c>
      <c r="G752" s="13" t="s">
        <v>63</v>
      </c>
      <c r="H752" s="16">
        <v>45667.0</v>
      </c>
      <c r="I752" s="14">
        <v>35.0</v>
      </c>
      <c r="J752" s="13" t="s">
        <v>53</v>
      </c>
      <c r="K752" s="13" t="s">
        <v>81</v>
      </c>
      <c r="L752" s="14">
        <v>502.0</v>
      </c>
      <c r="M752" s="18" t="s">
        <v>43</v>
      </c>
      <c r="N752" s="20">
        <v>1.0</v>
      </c>
      <c r="O752" s="18">
        <v>18.8</v>
      </c>
      <c r="P752" s="20">
        <v>3.2</v>
      </c>
      <c r="Q752" s="16">
        <v>45729.0</v>
      </c>
      <c r="R752" s="16">
        <v>46571.0</v>
      </c>
      <c r="S752" s="13" t="s">
        <v>45</v>
      </c>
      <c r="T752" s="13" t="s">
        <v>75</v>
      </c>
      <c r="U752" s="13" t="str">
        <f t="shared" si="1"/>
        <v>Moderate</v>
      </c>
      <c r="V752" s="13" t="str">
        <f t="shared" si="2"/>
        <v>Below Median</v>
      </c>
      <c r="W752" s="13" t="str">
        <f t="shared" si="3"/>
        <v>25–48 Months</v>
      </c>
    </row>
    <row r="753" hidden="1">
      <c r="A753" s="13" t="s">
        <v>786</v>
      </c>
      <c r="B753" s="13" t="s">
        <v>322</v>
      </c>
      <c r="C753" s="14">
        <v>65.0</v>
      </c>
      <c r="D753" s="13" t="s">
        <v>69</v>
      </c>
      <c r="E753" s="13" t="s">
        <v>119</v>
      </c>
      <c r="F753" s="13" t="s">
        <v>62</v>
      </c>
      <c r="G753" s="13" t="s">
        <v>63</v>
      </c>
      <c r="H753" s="16">
        <v>46008.0</v>
      </c>
      <c r="I753" s="14">
        <v>8.0</v>
      </c>
      <c r="J753" s="13" t="s">
        <v>64</v>
      </c>
      <c r="K753" s="13" t="s">
        <v>41</v>
      </c>
      <c r="L753" s="14">
        <v>720.0</v>
      </c>
      <c r="M753" s="18" t="s">
        <v>43</v>
      </c>
      <c r="N753" s="20">
        <v>0.0</v>
      </c>
      <c r="O753" s="18">
        <v>27.5</v>
      </c>
      <c r="P753" s="20">
        <v>5.0</v>
      </c>
      <c r="Q753" s="16">
        <v>46040.0</v>
      </c>
      <c r="R753" s="16" t="s">
        <v>38</v>
      </c>
      <c r="S753" s="13" t="s">
        <v>55</v>
      </c>
      <c r="T753" s="13" t="s">
        <v>72</v>
      </c>
      <c r="U753" s="13" t="str">
        <f t="shared" si="1"/>
        <v>High</v>
      </c>
      <c r="V753" s="13" t="str">
        <f t="shared" si="2"/>
        <v>Median or Above</v>
      </c>
      <c r="W753" s="13" t="str">
        <f t="shared" si="3"/>
        <v>0–12 Months</v>
      </c>
    </row>
    <row r="754" hidden="1">
      <c r="A754" s="13" t="s">
        <v>1361</v>
      </c>
      <c r="B754" s="13" t="s">
        <v>74</v>
      </c>
      <c r="C754" s="14">
        <v>46.0</v>
      </c>
      <c r="D754" s="13" t="s">
        <v>69</v>
      </c>
      <c r="E754" s="13" t="s">
        <v>70</v>
      </c>
      <c r="F754" s="13" t="s">
        <v>62</v>
      </c>
      <c r="G754" s="13" t="s">
        <v>80</v>
      </c>
      <c r="H754" s="16">
        <v>45248.0</v>
      </c>
      <c r="I754" s="14">
        <v>18.0</v>
      </c>
      <c r="J754" s="13" t="s">
        <v>40</v>
      </c>
      <c r="K754" s="13" t="s">
        <v>81</v>
      </c>
      <c r="L754" s="14">
        <v>875.0</v>
      </c>
      <c r="M754" s="18" t="s">
        <v>43</v>
      </c>
      <c r="N754" s="20">
        <v>0.0</v>
      </c>
      <c r="O754" s="18">
        <v>24.8</v>
      </c>
      <c r="P754" s="20">
        <v>4.1</v>
      </c>
      <c r="Q754" s="16">
        <v>45333.0</v>
      </c>
      <c r="R754" s="16" t="s">
        <v>38</v>
      </c>
      <c r="S754" s="13" t="s">
        <v>55</v>
      </c>
      <c r="T754" s="13" t="s">
        <v>66</v>
      </c>
      <c r="U754" s="13" t="str">
        <f t="shared" si="1"/>
        <v>Moderate</v>
      </c>
      <c r="V754" s="13" t="str">
        <f t="shared" si="2"/>
        <v>Median or Above</v>
      </c>
      <c r="W754" s="13" t="str">
        <f t="shared" si="3"/>
        <v>13–24 Months</v>
      </c>
    </row>
    <row r="755" hidden="1">
      <c r="A755" s="13" t="s">
        <v>1362</v>
      </c>
      <c r="B755" s="13" t="s">
        <v>169</v>
      </c>
      <c r="C755" s="14">
        <v>28.0</v>
      </c>
      <c r="D755" s="13" t="s">
        <v>69</v>
      </c>
      <c r="E755" s="13" t="s">
        <v>70</v>
      </c>
      <c r="F755" s="13" t="s">
        <v>79</v>
      </c>
      <c r="G755" s="13" t="s">
        <v>52</v>
      </c>
      <c r="H755" s="16">
        <v>44578.0</v>
      </c>
      <c r="I755" s="14">
        <v>16.0</v>
      </c>
      <c r="J755" s="13" t="s">
        <v>53</v>
      </c>
      <c r="K755" s="13" t="s">
        <v>41</v>
      </c>
      <c r="L755" s="14">
        <v>3378.0</v>
      </c>
      <c r="M755" s="18" t="s">
        <v>99</v>
      </c>
      <c r="N755" s="20">
        <v>2.0</v>
      </c>
      <c r="O755" s="18">
        <v>40.6</v>
      </c>
      <c r="P755" s="20">
        <v>4.9</v>
      </c>
      <c r="Q755" s="16" t="s">
        <v>38</v>
      </c>
      <c r="R755" s="16" t="s">
        <v>38</v>
      </c>
      <c r="S755" s="13" t="s">
        <v>55</v>
      </c>
      <c r="T755" s="13" t="s">
        <v>75</v>
      </c>
      <c r="U755" s="13" t="str">
        <f t="shared" si="1"/>
        <v>Moderate</v>
      </c>
      <c r="V755" s="13" t="str">
        <f t="shared" si="2"/>
        <v>Median or Above</v>
      </c>
      <c r="W755" s="13" t="str">
        <f t="shared" si="3"/>
        <v>13–24 Months</v>
      </c>
    </row>
    <row r="756" hidden="1">
      <c r="A756" s="13" t="s">
        <v>1363</v>
      </c>
      <c r="B756" s="13" t="s">
        <v>172</v>
      </c>
      <c r="C756" s="14">
        <v>64.0</v>
      </c>
      <c r="D756" s="13" t="s">
        <v>69</v>
      </c>
      <c r="E756" s="13" t="s">
        <v>187</v>
      </c>
      <c r="F756" s="13" t="s">
        <v>37</v>
      </c>
      <c r="G756" s="13" t="s">
        <v>63</v>
      </c>
      <c r="H756" s="16">
        <v>45619.0</v>
      </c>
      <c r="I756" s="14">
        <v>47.0</v>
      </c>
      <c r="J756" s="13" t="s">
        <v>40</v>
      </c>
      <c r="K756" s="13" t="s">
        <v>41</v>
      </c>
      <c r="L756" s="14">
        <v>1443.0</v>
      </c>
      <c r="M756" s="18" t="s">
        <v>98</v>
      </c>
      <c r="N756" s="20">
        <v>1.0</v>
      </c>
      <c r="O756" s="18">
        <v>16.8</v>
      </c>
      <c r="P756" s="20">
        <v>4.6</v>
      </c>
      <c r="Q756" s="16">
        <v>46633.0</v>
      </c>
      <c r="R756" s="16">
        <v>46967.0</v>
      </c>
      <c r="S756" s="13" t="s">
        <v>45</v>
      </c>
      <c r="T756" s="13" t="s">
        <v>75</v>
      </c>
      <c r="U756" s="13" t="str">
        <f t="shared" si="1"/>
        <v>Moderate</v>
      </c>
      <c r="V756" s="13" t="str">
        <f t="shared" si="2"/>
        <v>Below Median</v>
      </c>
      <c r="W756" s="13" t="str">
        <f t="shared" si="3"/>
        <v>25–48 Months</v>
      </c>
    </row>
    <row r="757" hidden="1">
      <c r="A757" s="13" t="s">
        <v>1365</v>
      </c>
      <c r="B757" s="13" t="s">
        <v>380</v>
      </c>
      <c r="C757" s="14">
        <v>61.0</v>
      </c>
      <c r="D757" s="13" t="s">
        <v>60</v>
      </c>
      <c r="E757" s="13" t="s">
        <v>133</v>
      </c>
      <c r="F757" s="13" t="s">
        <v>37</v>
      </c>
      <c r="G757" s="13" t="s">
        <v>39</v>
      </c>
      <c r="H757" s="16">
        <v>45868.0</v>
      </c>
      <c r="I757" s="14">
        <v>23.0</v>
      </c>
      <c r="J757" s="13" t="s">
        <v>53</v>
      </c>
      <c r="K757" s="13" t="s">
        <v>81</v>
      </c>
      <c r="L757" s="14">
        <v>1183.0</v>
      </c>
      <c r="M757" s="18" t="s">
        <v>98</v>
      </c>
      <c r="N757" s="20">
        <v>1.0</v>
      </c>
      <c r="O757" s="18">
        <v>21.2</v>
      </c>
      <c r="P757" s="20">
        <v>4.2</v>
      </c>
      <c r="Q757" s="16">
        <v>46185.0</v>
      </c>
      <c r="R757" s="16" t="s">
        <v>38</v>
      </c>
      <c r="S757" s="13" t="s">
        <v>55</v>
      </c>
      <c r="T757" s="13" t="s">
        <v>75</v>
      </c>
      <c r="U757" s="13" t="str">
        <f t="shared" si="1"/>
        <v>Moderate</v>
      </c>
      <c r="V757" s="13" t="str">
        <f t="shared" si="2"/>
        <v>Below Median</v>
      </c>
      <c r="W757" s="13" t="str">
        <f t="shared" si="3"/>
        <v>13–24 Months</v>
      </c>
    </row>
    <row r="758" hidden="1">
      <c r="A758" s="13" t="s">
        <v>1366</v>
      </c>
      <c r="B758" s="13" t="s">
        <v>336</v>
      </c>
      <c r="C758" s="14">
        <v>48.0</v>
      </c>
      <c r="D758" s="13" t="s">
        <v>60</v>
      </c>
      <c r="E758" s="13" t="s">
        <v>133</v>
      </c>
      <c r="F758" s="13" t="s">
        <v>62</v>
      </c>
      <c r="G758" s="13" t="s">
        <v>39</v>
      </c>
      <c r="H758" s="16">
        <v>44792.0</v>
      </c>
      <c r="I758" s="14">
        <v>19.0</v>
      </c>
      <c r="J758" s="13" t="s">
        <v>53</v>
      </c>
      <c r="K758" s="13" t="s">
        <v>81</v>
      </c>
      <c r="L758" s="14">
        <v>727.0</v>
      </c>
      <c r="M758" s="18" t="s">
        <v>43</v>
      </c>
      <c r="N758" s="20">
        <v>1.0</v>
      </c>
      <c r="O758" s="18">
        <v>21.4</v>
      </c>
      <c r="P758" s="20">
        <v>3.2</v>
      </c>
      <c r="Q758" s="16">
        <v>45237.0</v>
      </c>
      <c r="R758" s="16" t="s">
        <v>38</v>
      </c>
      <c r="S758" s="13" t="s">
        <v>55</v>
      </c>
      <c r="T758" s="13" t="s">
        <v>104</v>
      </c>
      <c r="U758" s="13" t="str">
        <f t="shared" si="1"/>
        <v>Moderate</v>
      </c>
      <c r="V758" s="13" t="str">
        <f t="shared" si="2"/>
        <v>Below Median</v>
      </c>
      <c r="W758" s="13" t="str">
        <f t="shared" si="3"/>
        <v>13–24 Months</v>
      </c>
    </row>
    <row r="759" hidden="1">
      <c r="A759" s="13" t="s">
        <v>1355</v>
      </c>
      <c r="B759" s="13" t="s">
        <v>395</v>
      </c>
      <c r="C759" s="14">
        <v>45.0</v>
      </c>
      <c r="D759" s="13" t="s">
        <v>85</v>
      </c>
      <c r="E759" s="13" t="s">
        <v>111</v>
      </c>
      <c r="F759" s="13" t="s">
        <v>37</v>
      </c>
      <c r="G759" s="13" t="s">
        <v>120</v>
      </c>
      <c r="H759" s="16">
        <v>45563.0</v>
      </c>
      <c r="I759" s="14">
        <v>39.0</v>
      </c>
      <c r="J759" s="13" t="s">
        <v>40</v>
      </c>
      <c r="K759" s="13" t="s">
        <v>81</v>
      </c>
      <c r="L759" s="14">
        <v>1028.0</v>
      </c>
      <c r="M759" s="18" t="s">
        <v>164</v>
      </c>
      <c r="N759" s="20">
        <v>2.0</v>
      </c>
      <c r="O759" s="18">
        <v>31.8</v>
      </c>
      <c r="P759" s="20">
        <v>2.9</v>
      </c>
      <c r="Q759" s="16">
        <v>46121.0</v>
      </c>
      <c r="R759" s="16" t="s">
        <v>38</v>
      </c>
      <c r="S759" s="13" t="s">
        <v>55</v>
      </c>
      <c r="T759" s="13" t="s">
        <v>72</v>
      </c>
      <c r="U759" s="13" t="str">
        <f t="shared" si="1"/>
        <v>Low</v>
      </c>
      <c r="V759" s="13" t="str">
        <f t="shared" si="2"/>
        <v>Median or Above</v>
      </c>
      <c r="W759" s="13" t="str">
        <f t="shared" si="3"/>
        <v>25–48 Months</v>
      </c>
    </row>
    <row r="760" hidden="1">
      <c r="A760" s="13" t="s">
        <v>1367</v>
      </c>
      <c r="B760" s="13" t="s">
        <v>636</v>
      </c>
      <c r="C760" s="14">
        <v>59.0</v>
      </c>
      <c r="D760" s="13" t="s">
        <v>60</v>
      </c>
      <c r="E760" s="13" t="s">
        <v>133</v>
      </c>
      <c r="F760" s="13" t="s">
        <v>62</v>
      </c>
      <c r="G760" s="13" t="s">
        <v>120</v>
      </c>
      <c r="H760" s="16">
        <v>45432.0</v>
      </c>
      <c r="I760" s="14">
        <v>26.0</v>
      </c>
      <c r="J760" s="13" t="s">
        <v>40</v>
      </c>
      <c r="K760" s="13" t="s">
        <v>65</v>
      </c>
      <c r="L760" s="14">
        <v>526.0</v>
      </c>
      <c r="M760" s="18" t="s">
        <v>43</v>
      </c>
      <c r="N760" s="20">
        <v>0.0</v>
      </c>
      <c r="O760" s="18">
        <v>10.3</v>
      </c>
      <c r="P760" s="20">
        <v>2.5</v>
      </c>
      <c r="Q760" s="16">
        <v>46187.0</v>
      </c>
      <c r="R760" s="16" t="s">
        <v>38</v>
      </c>
      <c r="S760" s="13" t="s">
        <v>55</v>
      </c>
      <c r="T760" s="13" t="s">
        <v>75</v>
      </c>
      <c r="U760" s="13" t="str">
        <f t="shared" si="1"/>
        <v>Low</v>
      </c>
      <c r="V760" s="13" t="str">
        <f t="shared" si="2"/>
        <v>Below Median</v>
      </c>
      <c r="W760" s="13" t="str">
        <f t="shared" si="3"/>
        <v>25–48 Months</v>
      </c>
    </row>
    <row r="761" hidden="1">
      <c r="A761" s="13" t="s">
        <v>1368</v>
      </c>
      <c r="B761" s="13" t="s">
        <v>179</v>
      </c>
      <c r="C761" s="14">
        <v>65.0</v>
      </c>
      <c r="D761" s="13" t="s">
        <v>69</v>
      </c>
      <c r="E761" s="13" t="s">
        <v>187</v>
      </c>
      <c r="F761" s="13" t="s">
        <v>37</v>
      </c>
      <c r="G761" s="13" t="s">
        <v>128</v>
      </c>
      <c r="H761" s="16">
        <v>45842.0</v>
      </c>
      <c r="I761" s="14">
        <v>8.0</v>
      </c>
      <c r="J761" s="13" t="s">
        <v>40</v>
      </c>
      <c r="K761" s="13" t="s">
        <v>65</v>
      </c>
      <c r="L761" s="14">
        <v>1624.0</v>
      </c>
      <c r="M761" s="18" t="s">
        <v>43</v>
      </c>
      <c r="N761" s="20">
        <v>2.0</v>
      </c>
      <c r="O761" s="18">
        <v>33.5</v>
      </c>
      <c r="P761" s="20">
        <v>3.9</v>
      </c>
      <c r="Q761" s="16">
        <v>45885.0</v>
      </c>
      <c r="R761" s="16">
        <v>46113.0</v>
      </c>
      <c r="S761" s="13" t="s">
        <v>45</v>
      </c>
      <c r="T761" s="13" t="s">
        <v>104</v>
      </c>
      <c r="U761" s="13" t="str">
        <f t="shared" si="1"/>
        <v>Moderate</v>
      </c>
      <c r="V761" s="13" t="str">
        <f t="shared" si="2"/>
        <v>Median or Above</v>
      </c>
      <c r="W761" s="13" t="str">
        <f t="shared" si="3"/>
        <v>0–12 Months</v>
      </c>
    </row>
    <row r="762" hidden="1">
      <c r="A762" s="13" t="s">
        <v>542</v>
      </c>
      <c r="B762" s="13" t="s">
        <v>50</v>
      </c>
      <c r="C762" s="14">
        <v>64.0</v>
      </c>
      <c r="D762" s="13" t="s">
        <v>60</v>
      </c>
      <c r="E762" s="13" t="s">
        <v>107</v>
      </c>
      <c r="F762" s="13" t="s">
        <v>37</v>
      </c>
      <c r="G762" s="13" t="s">
        <v>80</v>
      </c>
      <c r="H762" s="16">
        <v>44691.0</v>
      </c>
      <c r="I762" s="14">
        <v>42.0</v>
      </c>
      <c r="J762" s="13" t="s">
        <v>40</v>
      </c>
      <c r="K762" s="13" t="s">
        <v>65</v>
      </c>
      <c r="L762" s="14">
        <v>1369.0</v>
      </c>
      <c r="M762" s="18" t="s">
        <v>46</v>
      </c>
      <c r="N762" s="20">
        <v>0.0</v>
      </c>
      <c r="O762" s="18">
        <v>23.3</v>
      </c>
      <c r="P762" s="20">
        <v>2.9</v>
      </c>
      <c r="Q762" s="16">
        <v>45107.0</v>
      </c>
      <c r="R762" s="16" t="s">
        <v>38</v>
      </c>
      <c r="S762" s="13" t="s">
        <v>55</v>
      </c>
      <c r="T762" s="13" t="s">
        <v>47</v>
      </c>
      <c r="U762" s="13" t="str">
        <f t="shared" si="1"/>
        <v>Low</v>
      </c>
      <c r="V762" s="13" t="str">
        <f t="shared" si="2"/>
        <v>Below Median</v>
      </c>
      <c r="W762" s="13" t="str">
        <f t="shared" si="3"/>
        <v>25–48 Months</v>
      </c>
    </row>
    <row r="763">
      <c r="A763" s="13" t="s">
        <v>1370</v>
      </c>
      <c r="B763" s="13" t="s">
        <v>59</v>
      </c>
      <c r="C763" s="14">
        <v>50.0</v>
      </c>
      <c r="D763" s="13" t="s">
        <v>60</v>
      </c>
      <c r="E763" s="13" t="s">
        <v>133</v>
      </c>
      <c r="F763" s="13" t="s">
        <v>62</v>
      </c>
      <c r="G763" s="13" t="s">
        <v>52</v>
      </c>
      <c r="H763" s="16">
        <v>45071.0</v>
      </c>
      <c r="I763" s="14">
        <v>1.0</v>
      </c>
      <c r="J763" s="13" t="s">
        <v>40</v>
      </c>
      <c r="K763" s="13" t="s">
        <v>41</v>
      </c>
      <c r="L763" s="14">
        <v>509.0</v>
      </c>
      <c r="M763" s="18" t="s">
        <v>98</v>
      </c>
      <c r="N763" s="20">
        <v>0.0</v>
      </c>
      <c r="O763" s="18">
        <v>16.6</v>
      </c>
      <c r="P763" s="20">
        <v>2.9</v>
      </c>
      <c r="Q763" s="16">
        <v>45114.0</v>
      </c>
      <c r="R763" s="16" t="s">
        <v>38</v>
      </c>
      <c r="S763" s="13" t="s">
        <v>529</v>
      </c>
      <c r="T763" s="13" t="s">
        <v>72</v>
      </c>
      <c r="U763" s="13" t="str">
        <f t="shared" si="1"/>
        <v>Low</v>
      </c>
      <c r="V763" s="13" t="str">
        <f t="shared" si="2"/>
        <v>Below Median</v>
      </c>
      <c r="W763" s="13" t="str">
        <f t="shared" si="3"/>
        <v>0–12 Months</v>
      </c>
    </row>
    <row r="764" hidden="1">
      <c r="A764" s="13" t="s">
        <v>1371</v>
      </c>
      <c r="B764" s="13" t="s">
        <v>322</v>
      </c>
      <c r="C764" s="14">
        <v>24.0</v>
      </c>
      <c r="D764" s="13" t="s">
        <v>35</v>
      </c>
      <c r="E764" s="13" t="s">
        <v>51</v>
      </c>
      <c r="F764" s="13" t="s">
        <v>37</v>
      </c>
      <c r="G764" s="13" t="s">
        <v>52</v>
      </c>
      <c r="H764" s="16">
        <v>45068.0</v>
      </c>
      <c r="I764" s="14">
        <v>3.0</v>
      </c>
      <c r="J764" s="13" t="s">
        <v>40</v>
      </c>
      <c r="K764" s="13" t="s">
        <v>41</v>
      </c>
      <c r="L764" s="14">
        <v>1385.0</v>
      </c>
      <c r="M764" s="18" t="s">
        <v>46</v>
      </c>
      <c r="N764" s="20">
        <v>0.0</v>
      </c>
      <c r="O764" s="18">
        <v>18.9</v>
      </c>
      <c r="P764" s="20">
        <v>4.2</v>
      </c>
      <c r="Q764" s="16">
        <v>45129.0</v>
      </c>
      <c r="R764" s="16" t="s">
        <v>38</v>
      </c>
      <c r="S764" s="13" t="s">
        <v>55</v>
      </c>
      <c r="T764" s="13" t="s">
        <v>66</v>
      </c>
      <c r="U764" s="13" t="str">
        <f t="shared" si="1"/>
        <v>Moderate</v>
      </c>
      <c r="V764" s="13" t="str">
        <f t="shared" si="2"/>
        <v>Below Median</v>
      </c>
      <c r="W764" s="13" t="str">
        <f t="shared" si="3"/>
        <v>0–12 Months</v>
      </c>
    </row>
    <row r="765" hidden="1">
      <c r="A765" s="13" t="s">
        <v>659</v>
      </c>
      <c r="B765" s="13" t="s">
        <v>232</v>
      </c>
      <c r="C765" s="14">
        <v>39.0</v>
      </c>
      <c r="D765" s="13" t="s">
        <v>85</v>
      </c>
      <c r="E765" s="13" t="s">
        <v>38</v>
      </c>
      <c r="F765" s="13" t="s">
        <v>62</v>
      </c>
      <c r="G765" s="13" t="s">
        <v>128</v>
      </c>
      <c r="H765" s="16">
        <v>45671.0</v>
      </c>
      <c r="I765" s="14">
        <v>39.0</v>
      </c>
      <c r="J765" s="13" t="s">
        <v>53</v>
      </c>
      <c r="K765" s="13" t="s">
        <v>81</v>
      </c>
      <c r="L765" s="14">
        <v>547.0</v>
      </c>
      <c r="M765" s="18" t="s">
        <v>99</v>
      </c>
      <c r="N765" s="20">
        <v>0.0</v>
      </c>
      <c r="O765" s="18">
        <v>28.8</v>
      </c>
      <c r="P765" s="20">
        <v>2.6</v>
      </c>
      <c r="Q765" s="16">
        <v>46482.0</v>
      </c>
      <c r="R765" s="16" t="s">
        <v>1372</v>
      </c>
      <c r="S765" s="13" t="s">
        <v>45</v>
      </c>
      <c r="T765" s="13" t="s">
        <v>104</v>
      </c>
      <c r="U765" s="13" t="str">
        <f t="shared" si="1"/>
        <v>Low</v>
      </c>
      <c r="V765" s="13" t="str">
        <f t="shared" si="2"/>
        <v>Median or Above</v>
      </c>
      <c r="W765" s="13" t="str">
        <f t="shared" si="3"/>
        <v>25–48 Months</v>
      </c>
    </row>
    <row r="766" hidden="1">
      <c r="A766" s="13" t="s">
        <v>1373</v>
      </c>
      <c r="B766" s="13" t="s">
        <v>222</v>
      </c>
      <c r="C766" s="14">
        <v>49.0</v>
      </c>
      <c r="D766" s="13" t="s">
        <v>60</v>
      </c>
      <c r="E766" s="13" t="s">
        <v>133</v>
      </c>
      <c r="F766" s="13" t="s">
        <v>62</v>
      </c>
      <c r="G766" s="13" t="s">
        <v>210</v>
      </c>
      <c r="H766" s="16">
        <v>45905.0</v>
      </c>
      <c r="I766" s="14">
        <v>37.0</v>
      </c>
      <c r="J766" s="13" t="s">
        <v>53</v>
      </c>
      <c r="K766" s="13" t="s">
        <v>81</v>
      </c>
      <c r="L766" s="14">
        <v>648.0</v>
      </c>
      <c r="M766" s="18" t="s">
        <v>164</v>
      </c>
      <c r="N766" s="20">
        <v>4.0</v>
      </c>
      <c r="O766" s="18">
        <v>25.8</v>
      </c>
      <c r="P766" s="20">
        <v>3.6</v>
      </c>
      <c r="Q766" s="16">
        <v>46370.0</v>
      </c>
      <c r="R766" s="16" t="s">
        <v>38</v>
      </c>
      <c r="S766" s="13" t="s">
        <v>55</v>
      </c>
      <c r="T766" s="13" t="s">
        <v>66</v>
      </c>
      <c r="U766" s="13" t="str">
        <f t="shared" si="1"/>
        <v>Moderate</v>
      </c>
      <c r="V766" s="13" t="str">
        <f t="shared" si="2"/>
        <v>Median or Above</v>
      </c>
      <c r="W766" s="13" t="str">
        <f t="shared" si="3"/>
        <v>25–48 Months</v>
      </c>
    </row>
    <row r="767" hidden="1">
      <c r="A767" s="13" t="s">
        <v>1374</v>
      </c>
      <c r="B767" s="13" t="s">
        <v>202</v>
      </c>
      <c r="C767" s="14">
        <v>68.0</v>
      </c>
      <c r="D767" s="13" t="s">
        <v>69</v>
      </c>
      <c r="E767" s="13" t="s">
        <v>119</v>
      </c>
      <c r="F767" s="13" t="s">
        <v>62</v>
      </c>
      <c r="G767" s="13" t="s">
        <v>120</v>
      </c>
      <c r="H767" s="16">
        <v>45368.0</v>
      </c>
      <c r="I767" s="14">
        <v>24.0</v>
      </c>
      <c r="J767" s="13" t="s">
        <v>40</v>
      </c>
      <c r="K767" s="13" t="s">
        <v>65</v>
      </c>
      <c r="L767" s="14">
        <v>864.0</v>
      </c>
      <c r="M767" s="18" t="s">
        <v>46</v>
      </c>
      <c r="N767" s="20">
        <v>2.0</v>
      </c>
      <c r="O767" s="18">
        <v>23.9</v>
      </c>
      <c r="P767" s="20">
        <v>3.1</v>
      </c>
      <c r="Q767" s="16">
        <v>45607.0</v>
      </c>
      <c r="R767" s="16" t="s">
        <v>1375</v>
      </c>
      <c r="S767" s="13" t="s">
        <v>45</v>
      </c>
      <c r="T767" s="13" t="s">
        <v>72</v>
      </c>
      <c r="U767" s="13" t="str">
        <f t="shared" si="1"/>
        <v>Moderate</v>
      </c>
      <c r="V767" s="13" t="str">
        <f t="shared" si="2"/>
        <v>Below Median</v>
      </c>
      <c r="W767" s="13" t="str">
        <f t="shared" si="3"/>
        <v>13–24 Months</v>
      </c>
    </row>
    <row r="768" hidden="1">
      <c r="A768" s="13" t="s">
        <v>1376</v>
      </c>
      <c r="B768" s="13" t="s">
        <v>172</v>
      </c>
      <c r="C768" s="14">
        <v>24.0</v>
      </c>
      <c r="D768" s="13" t="s">
        <v>35</v>
      </c>
      <c r="E768" s="13" t="s">
        <v>161</v>
      </c>
      <c r="F768" s="13" t="s">
        <v>62</v>
      </c>
      <c r="G768" s="13" t="s">
        <v>128</v>
      </c>
      <c r="H768" s="16">
        <v>45852.0</v>
      </c>
      <c r="I768" s="14">
        <v>6.0</v>
      </c>
      <c r="J768" s="13" t="s">
        <v>40</v>
      </c>
      <c r="K768" s="13" t="s">
        <v>65</v>
      </c>
      <c r="L768" s="14">
        <v>585.0</v>
      </c>
      <c r="M768" s="18" t="s">
        <v>43</v>
      </c>
      <c r="N768" s="20">
        <v>2.0</v>
      </c>
      <c r="O768" s="18">
        <v>9.7</v>
      </c>
      <c r="P768" s="20">
        <v>5.0</v>
      </c>
      <c r="Q768" s="16">
        <v>45987.0</v>
      </c>
      <c r="R768" s="16" t="s">
        <v>38</v>
      </c>
      <c r="S768" s="13" t="s">
        <v>55</v>
      </c>
      <c r="T768" s="13" t="s">
        <v>66</v>
      </c>
      <c r="U768" s="13" t="str">
        <f t="shared" si="1"/>
        <v>High</v>
      </c>
      <c r="V768" s="13" t="str">
        <f t="shared" si="2"/>
        <v>Below Median</v>
      </c>
      <c r="W768" s="13" t="str">
        <f t="shared" si="3"/>
        <v>0–12 Months</v>
      </c>
    </row>
    <row r="769" hidden="1">
      <c r="A769" s="13" t="s">
        <v>1236</v>
      </c>
      <c r="B769" s="13" t="s">
        <v>331</v>
      </c>
      <c r="C769" s="14">
        <v>63.0</v>
      </c>
      <c r="D769" s="13" t="s">
        <v>69</v>
      </c>
      <c r="E769" s="13" t="s">
        <v>70</v>
      </c>
      <c r="F769" s="13" t="s">
        <v>37</v>
      </c>
      <c r="G769" s="13" t="s">
        <v>210</v>
      </c>
      <c r="H769" s="16">
        <v>45405.0</v>
      </c>
      <c r="I769" s="14">
        <v>20.0</v>
      </c>
      <c r="J769" s="13" t="s">
        <v>40</v>
      </c>
      <c r="K769" s="13" t="s">
        <v>81</v>
      </c>
      <c r="L769" s="14">
        <v>1036.0</v>
      </c>
      <c r="M769" s="18" t="s">
        <v>98</v>
      </c>
      <c r="N769" s="20">
        <v>0.0</v>
      </c>
      <c r="O769" s="18">
        <v>31.0</v>
      </c>
      <c r="P769" s="20">
        <v>4.2</v>
      </c>
      <c r="Q769" s="16">
        <v>45993.0</v>
      </c>
      <c r="R769" s="16" t="s">
        <v>1377</v>
      </c>
      <c r="S769" s="13" t="s">
        <v>45</v>
      </c>
      <c r="T769" s="13" t="s">
        <v>75</v>
      </c>
      <c r="U769" s="13" t="str">
        <f t="shared" si="1"/>
        <v>Moderate</v>
      </c>
      <c r="V769" s="13" t="str">
        <f t="shared" si="2"/>
        <v>Median or Above</v>
      </c>
      <c r="W769" s="13" t="str">
        <f t="shared" si="3"/>
        <v>13–24 Months</v>
      </c>
    </row>
    <row r="770" hidden="1">
      <c r="A770" s="13" t="s">
        <v>1302</v>
      </c>
      <c r="B770" s="13" t="s">
        <v>325</v>
      </c>
      <c r="C770" s="14">
        <v>46.0</v>
      </c>
      <c r="D770" s="13" t="s">
        <v>85</v>
      </c>
      <c r="E770" s="13" t="s">
        <v>92</v>
      </c>
      <c r="F770" s="13" t="s">
        <v>79</v>
      </c>
      <c r="G770" s="13" t="s">
        <v>39</v>
      </c>
      <c r="H770" s="16">
        <v>45221.0</v>
      </c>
      <c r="I770" s="14">
        <v>30.0</v>
      </c>
      <c r="J770" s="13" t="s">
        <v>64</v>
      </c>
      <c r="K770" s="13" t="s">
        <v>41</v>
      </c>
      <c r="L770" s="14">
        <v>3757.0</v>
      </c>
      <c r="M770" s="18" t="s">
        <v>43</v>
      </c>
      <c r="N770" s="20">
        <v>0.0</v>
      </c>
      <c r="O770" s="18">
        <v>39.9</v>
      </c>
      <c r="P770" s="20">
        <v>4.3</v>
      </c>
      <c r="Q770" s="16">
        <v>45988.0</v>
      </c>
      <c r="R770" s="16" t="s">
        <v>38</v>
      </c>
      <c r="S770" s="13" t="s">
        <v>55</v>
      </c>
      <c r="T770" s="13" t="s">
        <v>75</v>
      </c>
      <c r="U770" s="13" t="str">
        <f t="shared" si="1"/>
        <v>Moderate</v>
      </c>
      <c r="V770" s="13" t="str">
        <f t="shared" si="2"/>
        <v>Median or Above</v>
      </c>
      <c r="W770" s="13" t="str">
        <f t="shared" si="3"/>
        <v>25–48 Months</v>
      </c>
    </row>
    <row r="771" hidden="1">
      <c r="A771" s="13" t="s">
        <v>444</v>
      </c>
      <c r="B771" s="13" t="s">
        <v>190</v>
      </c>
      <c r="C771" s="14">
        <v>59.0</v>
      </c>
      <c r="D771" s="13" t="s">
        <v>35</v>
      </c>
      <c r="E771" s="13" t="s">
        <v>51</v>
      </c>
      <c r="F771" s="13" t="s">
        <v>37</v>
      </c>
      <c r="G771" s="13" t="s">
        <v>63</v>
      </c>
      <c r="H771" s="16">
        <v>44902.0</v>
      </c>
      <c r="I771" s="14">
        <v>13.0</v>
      </c>
      <c r="J771" s="13" t="s">
        <v>64</v>
      </c>
      <c r="K771" s="13" t="s">
        <v>65</v>
      </c>
      <c r="L771" s="14">
        <v>1038.0</v>
      </c>
      <c r="M771" s="18" t="s">
        <v>98</v>
      </c>
      <c r="N771" s="20">
        <v>0.0</v>
      </c>
      <c r="O771" s="18">
        <v>39.6</v>
      </c>
      <c r="P771" s="20">
        <v>2.4</v>
      </c>
      <c r="Q771" s="16">
        <v>45129.0</v>
      </c>
      <c r="R771" s="16" t="s">
        <v>38</v>
      </c>
      <c r="S771" s="13" t="s">
        <v>55</v>
      </c>
      <c r="T771" s="13" t="s">
        <v>47</v>
      </c>
      <c r="U771" s="13" t="str">
        <f t="shared" si="1"/>
        <v>Low</v>
      </c>
      <c r="V771" s="13" t="str">
        <f t="shared" si="2"/>
        <v>Median or Above</v>
      </c>
      <c r="W771" s="13" t="str">
        <f t="shared" si="3"/>
        <v>13–24 Months</v>
      </c>
    </row>
    <row r="772" hidden="1">
      <c r="A772" s="13" t="s">
        <v>1378</v>
      </c>
      <c r="B772" s="13" t="s">
        <v>448</v>
      </c>
      <c r="C772" s="14">
        <v>55.0</v>
      </c>
      <c r="D772" s="13" t="s">
        <v>85</v>
      </c>
      <c r="E772" s="13" t="s">
        <v>87</v>
      </c>
      <c r="F772" s="13" t="s">
        <v>62</v>
      </c>
      <c r="G772" s="13" t="s">
        <v>63</v>
      </c>
      <c r="H772" s="16">
        <v>45453.0</v>
      </c>
      <c r="I772" s="14">
        <v>19.0</v>
      </c>
      <c r="J772" s="13" t="s">
        <v>64</v>
      </c>
      <c r="K772" s="13" t="s">
        <v>41</v>
      </c>
      <c r="L772" s="14">
        <v>845.0</v>
      </c>
      <c r="M772" s="18" t="s">
        <v>98</v>
      </c>
      <c r="N772" s="20">
        <v>0.0</v>
      </c>
      <c r="O772" s="18">
        <v>9.4</v>
      </c>
      <c r="P772" s="20">
        <v>5.0</v>
      </c>
      <c r="Q772" s="16">
        <v>45793.0</v>
      </c>
      <c r="R772" s="16" t="s">
        <v>38</v>
      </c>
      <c r="S772" s="13" t="s">
        <v>55</v>
      </c>
      <c r="T772" s="13" t="s">
        <v>47</v>
      </c>
      <c r="U772" s="13" t="str">
        <f t="shared" si="1"/>
        <v>High</v>
      </c>
      <c r="V772" s="13" t="str">
        <f t="shared" si="2"/>
        <v>Below Median</v>
      </c>
      <c r="W772" s="13" t="str">
        <f t="shared" si="3"/>
        <v>13–24 Months</v>
      </c>
    </row>
    <row r="773" hidden="1">
      <c r="A773" s="13" t="s">
        <v>389</v>
      </c>
      <c r="B773" s="13" t="s">
        <v>106</v>
      </c>
      <c r="C773" s="14">
        <v>52.0</v>
      </c>
      <c r="D773" s="13" t="s">
        <v>69</v>
      </c>
      <c r="E773" s="13" t="s">
        <v>177</v>
      </c>
      <c r="F773" s="13" t="s">
        <v>37</v>
      </c>
      <c r="G773" s="13" t="s">
        <v>210</v>
      </c>
      <c r="H773" s="16">
        <v>45528.0</v>
      </c>
      <c r="I773" s="14">
        <v>30.0</v>
      </c>
      <c r="J773" s="13" t="s">
        <v>64</v>
      </c>
      <c r="K773" s="13" t="s">
        <v>65</v>
      </c>
      <c r="L773" s="14">
        <v>1763.0</v>
      </c>
      <c r="M773" s="18" t="s">
        <v>164</v>
      </c>
      <c r="N773" s="20">
        <v>3.0</v>
      </c>
      <c r="O773" s="18">
        <v>26.0</v>
      </c>
      <c r="P773" s="20">
        <v>4.1</v>
      </c>
      <c r="Q773" s="16">
        <v>46410.0</v>
      </c>
      <c r="R773" s="16" t="s">
        <v>38</v>
      </c>
      <c r="S773" s="13" t="s">
        <v>55</v>
      </c>
      <c r="T773" s="13" t="s">
        <v>104</v>
      </c>
      <c r="U773" s="13" t="str">
        <f t="shared" si="1"/>
        <v>Moderate</v>
      </c>
      <c r="V773" s="13" t="str">
        <f t="shared" si="2"/>
        <v>Median or Above</v>
      </c>
      <c r="W773" s="13" t="str">
        <f t="shared" si="3"/>
        <v>25–48 Months</v>
      </c>
    </row>
    <row r="774" hidden="1">
      <c r="A774" s="13" t="s">
        <v>1362</v>
      </c>
      <c r="B774" s="13" t="s">
        <v>257</v>
      </c>
      <c r="C774" s="14">
        <v>12.0</v>
      </c>
      <c r="D774" s="13" t="s">
        <v>85</v>
      </c>
      <c r="E774" s="13" t="s">
        <v>111</v>
      </c>
      <c r="F774" s="13" t="s">
        <v>62</v>
      </c>
      <c r="G774" s="13" t="s">
        <v>63</v>
      </c>
      <c r="H774" s="16">
        <v>44573.0</v>
      </c>
      <c r="I774" s="14">
        <v>20.0</v>
      </c>
      <c r="J774" s="13" t="s">
        <v>40</v>
      </c>
      <c r="K774" s="13" t="s">
        <v>81</v>
      </c>
      <c r="L774" s="14">
        <v>601.0</v>
      </c>
      <c r="M774" s="18" t="s">
        <v>164</v>
      </c>
      <c r="N774" s="20">
        <v>0.0</v>
      </c>
      <c r="O774" s="18">
        <v>14.8</v>
      </c>
      <c r="P774" s="20">
        <v>4.0</v>
      </c>
      <c r="Q774" s="16">
        <v>45133.0</v>
      </c>
      <c r="R774" s="16" t="s">
        <v>38</v>
      </c>
      <c r="S774" s="13" t="s">
        <v>55</v>
      </c>
      <c r="T774" s="13" t="s">
        <v>75</v>
      </c>
      <c r="U774" s="13" t="str">
        <f t="shared" si="1"/>
        <v>Moderate</v>
      </c>
      <c r="V774" s="13" t="str">
        <f t="shared" si="2"/>
        <v>Below Median</v>
      </c>
      <c r="W774" s="13" t="str">
        <f t="shared" si="3"/>
        <v>13–24 Months</v>
      </c>
    </row>
    <row r="775" hidden="1">
      <c r="A775" s="13" t="s">
        <v>1379</v>
      </c>
      <c r="B775" s="13" t="s">
        <v>232</v>
      </c>
      <c r="C775" s="14">
        <v>42.0</v>
      </c>
      <c r="D775" s="13" t="s">
        <v>69</v>
      </c>
      <c r="E775" s="13" t="s">
        <v>70</v>
      </c>
      <c r="F775" s="13" t="s">
        <v>62</v>
      </c>
      <c r="G775" s="13" t="s">
        <v>80</v>
      </c>
      <c r="H775" s="16">
        <v>45024.0</v>
      </c>
      <c r="I775" s="14">
        <v>23.0</v>
      </c>
      <c r="J775" s="13" t="s">
        <v>64</v>
      </c>
      <c r="K775" s="13" t="s">
        <v>65</v>
      </c>
      <c r="L775" s="14">
        <v>597.0</v>
      </c>
      <c r="M775" s="18" t="s">
        <v>98</v>
      </c>
      <c r="N775" s="20">
        <v>0.0</v>
      </c>
      <c r="O775" s="18">
        <v>24.5</v>
      </c>
      <c r="P775" s="20">
        <v>3.2</v>
      </c>
      <c r="Q775" s="16">
        <v>45470.0</v>
      </c>
      <c r="R775" s="16" t="s">
        <v>38</v>
      </c>
      <c r="S775" s="13" t="s">
        <v>55</v>
      </c>
      <c r="T775" s="13" t="s">
        <v>72</v>
      </c>
      <c r="U775" s="13" t="str">
        <f t="shared" si="1"/>
        <v>Moderate</v>
      </c>
      <c r="V775" s="13" t="str">
        <f t="shared" si="2"/>
        <v>Median or Above</v>
      </c>
      <c r="W775" s="13" t="str">
        <f t="shared" si="3"/>
        <v>13–24 Months</v>
      </c>
    </row>
    <row r="776" hidden="1">
      <c r="A776" s="13" t="s">
        <v>835</v>
      </c>
      <c r="B776" s="13" t="s">
        <v>34</v>
      </c>
      <c r="C776" s="14">
        <v>40.0</v>
      </c>
      <c r="D776" s="13" t="s">
        <v>69</v>
      </c>
      <c r="E776" s="13" t="s">
        <v>70</v>
      </c>
      <c r="F776" s="13" t="s">
        <v>37</v>
      </c>
      <c r="G776" s="13" t="s">
        <v>63</v>
      </c>
      <c r="H776" s="16">
        <v>45005.0</v>
      </c>
      <c r="I776" s="14">
        <v>18.0</v>
      </c>
      <c r="J776" s="13" t="s">
        <v>64</v>
      </c>
      <c r="K776" s="13" t="s">
        <v>81</v>
      </c>
      <c r="L776" s="14">
        <v>1103.0</v>
      </c>
      <c r="M776" s="18" t="s">
        <v>98</v>
      </c>
      <c r="N776" s="20">
        <v>2.0</v>
      </c>
      <c r="O776" s="18">
        <v>28.2</v>
      </c>
      <c r="P776" s="20">
        <v>3.8</v>
      </c>
      <c r="Q776" s="16">
        <v>45549.0</v>
      </c>
      <c r="R776" s="16" t="s">
        <v>38</v>
      </c>
      <c r="S776" s="13" t="s">
        <v>55</v>
      </c>
      <c r="T776" s="13" t="s">
        <v>66</v>
      </c>
      <c r="U776" s="13" t="str">
        <f t="shared" si="1"/>
        <v>Moderate</v>
      </c>
      <c r="V776" s="13" t="str">
        <f t="shared" si="2"/>
        <v>Median or Above</v>
      </c>
      <c r="W776" s="13" t="str">
        <f t="shared" si="3"/>
        <v>13–24 Months</v>
      </c>
    </row>
    <row r="777" hidden="1">
      <c r="A777" s="13" t="s">
        <v>681</v>
      </c>
      <c r="B777" s="13" t="s">
        <v>364</v>
      </c>
      <c r="C777" s="14">
        <v>39.0</v>
      </c>
      <c r="D777" s="13" t="s">
        <v>85</v>
      </c>
      <c r="E777" s="13" t="s">
        <v>111</v>
      </c>
      <c r="F777" s="13" t="s">
        <v>62</v>
      </c>
      <c r="G777" s="13" t="s">
        <v>128</v>
      </c>
      <c r="H777" s="16">
        <v>45036.0</v>
      </c>
      <c r="I777" s="14">
        <v>14.0</v>
      </c>
      <c r="J777" s="13" t="s">
        <v>40</v>
      </c>
      <c r="K777" s="13" t="s">
        <v>41</v>
      </c>
      <c r="L777" s="14">
        <v>813.0</v>
      </c>
      <c r="M777" s="18" t="s">
        <v>99</v>
      </c>
      <c r="N777" s="20">
        <v>1.0</v>
      </c>
      <c r="O777" s="18">
        <v>19.7</v>
      </c>
      <c r="P777" s="20">
        <v>2.8</v>
      </c>
      <c r="Q777" s="16">
        <v>45130.0</v>
      </c>
      <c r="R777" s="16" t="s">
        <v>38</v>
      </c>
      <c r="S777" s="13" t="s">
        <v>55</v>
      </c>
      <c r="T777" s="13" t="s">
        <v>47</v>
      </c>
      <c r="U777" s="13" t="str">
        <f t="shared" si="1"/>
        <v>Low</v>
      </c>
      <c r="V777" s="13" t="str">
        <f t="shared" si="2"/>
        <v>Below Median</v>
      </c>
      <c r="W777" s="13" t="str">
        <f t="shared" si="3"/>
        <v>13–24 Months</v>
      </c>
    </row>
    <row r="778" hidden="1">
      <c r="A778" s="13" t="s">
        <v>1380</v>
      </c>
      <c r="B778" s="13" t="s">
        <v>118</v>
      </c>
      <c r="C778" s="14">
        <v>41.0</v>
      </c>
      <c r="D778" s="13" t="s">
        <v>85</v>
      </c>
      <c r="E778" s="13" t="s">
        <v>87</v>
      </c>
      <c r="F778" s="13" t="s">
        <v>37</v>
      </c>
      <c r="G778" s="13" t="s">
        <v>210</v>
      </c>
      <c r="H778" s="16">
        <v>45181.0</v>
      </c>
      <c r="I778" s="14">
        <v>33.0</v>
      </c>
      <c r="J778" s="13" t="s">
        <v>53</v>
      </c>
      <c r="K778" s="13" t="s">
        <v>81</v>
      </c>
      <c r="L778" s="14">
        <v>1572.0</v>
      </c>
      <c r="M778" s="18" t="s">
        <v>46</v>
      </c>
      <c r="N778" s="20">
        <v>0.0</v>
      </c>
      <c r="O778" s="18">
        <v>38.9</v>
      </c>
      <c r="P778" s="20">
        <v>2.5</v>
      </c>
      <c r="Q778" s="16">
        <v>45577.0</v>
      </c>
      <c r="R778" s="16">
        <v>46003.0</v>
      </c>
      <c r="S778" s="13" t="s">
        <v>45</v>
      </c>
      <c r="T778" s="13" t="s">
        <v>72</v>
      </c>
      <c r="U778" s="13" t="str">
        <f t="shared" si="1"/>
        <v>Low</v>
      </c>
      <c r="V778" s="13" t="str">
        <f t="shared" si="2"/>
        <v>Median or Above</v>
      </c>
      <c r="W778" s="13" t="str">
        <f t="shared" si="3"/>
        <v>25–48 Months</v>
      </c>
    </row>
    <row r="779" hidden="1">
      <c r="A779" s="13" t="s">
        <v>728</v>
      </c>
      <c r="B779" s="13" t="s">
        <v>398</v>
      </c>
      <c r="C779" s="14">
        <v>54.0</v>
      </c>
      <c r="D779" s="13" t="s">
        <v>35</v>
      </c>
      <c r="E779" s="13" t="s">
        <v>51</v>
      </c>
      <c r="F779" s="13" t="s">
        <v>79</v>
      </c>
      <c r="G779" s="13" t="s">
        <v>52</v>
      </c>
      <c r="H779" s="16">
        <v>45130.0</v>
      </c>
      <c r="I779" s="14">
        <v>46.0</v>
      </c>
      <c r="J779" s="13" t="s">
        <v>53</v>
      </c>
      <c r="K779" s="13" t="s">
        <v>81</v>
      </c>
      <c r="L779" s="14">
        <v>2903.0</v>
      </c>
      <c r="M779" s="18" t="s">
        <v>164</v>
      </c>
      <c r="N779" s="20">
        <v>2.0</v>
      </c>
      <c r="O779" s="18">
        <v>39.1</v>
      </c>
      <c r="P779" s="20">
        <v>3.7</v>
      </c>
      <c r="Q779" s="16">
        <v>46143.0</v>
      </c>
      <c r="R779" s="16" t="s">
        <v>38</v>
      </c>
      <c r="S779" s="13" t="s">
        <v>55</v>
      </c>
      <c r="T779" s="13" t="s">
        <v>72</v>
      </c>
      <c r="U779" s="13" t="str">
        <f t="shared" si="1"/>
        <v>Moderate</v>
      </c>
      <c r="V779" s="13" t="str">
        <f t="shared" si="2"/>
        <v>Median or Above</v>
      </c>
      <c r="W779" s="13" t="str">
        <f t="shared" si="3"/>
        <v>25–48 Months</v>
      </c>
    </row>
    <row r="780" hidden="1">
      <c r="A780" s="13" t="s">
        <v>1382</v>
      </c>
      <c r="B780" s="13" t="s">
        <v>68</v>
      </c>
      <c r="C780" s="14">
        <v>66.0</v>
      </c>
      <c r="D780" s="13" t="s">
        <v>35</v>
      </c>
      <c r="E780" s="13" t="s">
        <v>161</v>
      </c>
      <c r="F780" s="13" t="s">
        <v>79</v>
      </c>
      <c r="G780" s="13" t="s">
        <v>128</v>
      </c>
      <c r="H780" s="16">
        <v>45934.0</v>
      </c>
      <c r="I780" s="14">
        <v>23.0</v>
      </c>
      <c r="J780" s="13" t="s">
        <v>40</v>
      </c>
      <c r="K780" s="13" t="s">
        <v>41</v>
      </c>
      <c r="L780" s="14">
        <v>3145.0</v>
      </c>
      <c r="M780" s="18" t="s">
        <v>98</v>
      </c>
      <c r="N780" s="20">
        <v>0.0</v>
      </c>
      <c r="O780" s="18">
        <v>51.1</v>
      </c>
      <c r="P780" s="20">
        <v>4.9</v>
      </c>
      <c r="Q780" s="16">
        <v>46139.0</v>
      </c>
      <c r="R780" s="16" t="s">
        <v>1383</v>
      </c>
      <c r="S780" s="13" t="s">
        <v>45</v>
      </c>
      <c r="T780" s="13" t="s">
        <v>75</v>
      </c>
      <c r="U780" s="13" t="str">
        <f t="shared" si="1"/>
        <v>Moderate</v>
      </c>
      <c r="V780" s="13" t="str">
        <f t="shared" si="2"/>
        <v>Median or Above</v>
      </c>
      <c r="W780" s="13" t="str">
        <f t="shared" si="3"/>
        <v>13–24 Months</v>
      </c>
    </row>
    <row r="781" hidden="1">
      <c r="A781" s="13" t="s">
        <v>234</v>
      </c>
      <c r="B781" s="13" t="s">
        <v>169</v>
      </c>
      <c r="C781" s="14">
        <v>44.0</v>
      </c>
      <c r="D781" s="13" t="s">
        <v>69</v>
      </c>
      <c r="E781" s="13" t="s">
        <v>70</v>
      </c>
      <c r="F781" s="13" t="s">
        <v>37</v>
      </c>
      <c r="G781" s="13" t="s">
        <v>210</v>
      </c>
      <c r="H781" s="16">
        <v>44754.0</v>
      </c>
      <c r="I781" s="14">
        <v>24.0</v>
      </c>
      <c r="J781" s="13" t="s">
        <v>40</v>
      </c>
      <c r="K781" s="13" t="s">
        <v>81</v>
      </c>
      <c r="L781" s="14">
        <v>1012.0</v>
      </c>
      <c r="M781" s="18" t="s">
        <v>43</v>
      </c>
      <c r="N781" s="20">
        <v>0.0</v>
      </c>
      <c r="O781" s="18">
        <v>22.1</v>
      </c>
      <c r="P781" s="20">
        <v>3.1</v>
      </c>
      <c r="Q781" s="16">
        <v>45043.0</v>
      </c>
      <c r="R781" s="16" t="s">
        <v>1384</v>
      </c>
      <c r="S781" s="13" t="s">
        <v>45</v>
      </c>
      <c r="T781" s="13" t="s">
        <v>72</v>
      </c>
      <c r="U781" s="13" t="str">
        <f t="shared" si="1"/>
        <v>Moderate</v>
      </c>
      <c r="V781" s="13" t="str">
        <f t="shared" si="2"/>
        <v>Below Median</v>
      </c>
      <c r="W781" s="13" t="str">
        <f t="shared" si="3"/>
        <v>13–24 Months</v>
      </c>
    </row>
    <row r="782" hidden="1">
      <c r="A782" s="13" t="s">
        <v>1385</v>
      </c>
      <c r="B782" s="13" t="s">
        <v>303</v>
      </c>
      <c r="C782" s="14">
        <v>42.0</v>
      </c>
      <c r="D782" s="13" t="s">
        <v>35</v>
      </c>
      <c r="E782" s="13" t="s">
        <v>36</v>
      </c>
      <c r="F782" s="13" t="s">
        <v>79</v>
      </c>
      <c r="G782" s="13" t="s">
        <v>120</v>
      </c>
      <c r="H782" s="16">
        <v>45806.0</v>
      </c>
      <c r="I782" s="14">
        <v>41.0</v>
      </c>
      <c r="J782" s="13" t="s">
        <v>40</v>
      </c>
      <c r="K782" s="13" t="s">
        <v>81</v>
      </c>
      <c r="L782" s="14">
        <v>3534.0</v>
      </c>
      <c r="M782" s="18" t="s">
        <v>98</v>
      </c>
      <c r="N782" s="20">
        <v>0.0</v>
      </c>
      <c r="O782" s="18">
        <v>35.9</v>
      </c>
      <c r="P782" s="20">
        <v>4.6</v>
      </c>
      <c r="Q782" s="16">
        <v>46933.0</v>
      </c>
      <c r="R782" s="16" t="s">
        <v>38</v>
      </c>
      <c r="S782" s="13" t="s">
        <v>55</v>
      </c>
      <c r="T782" s="13" t="s">
        <v>47</v>
      </c>
      <c r="U782" s="13" t="str">
        <f t="shared" si="1"/>
        <v>Moderate</v>
      </c>
      <c r="V782" s="13" t="str">
        <f t="shared" si="2"/>
        <v>Median or Above</v>
      </c>
      <c r="W782" s="13" t="str">
        <f t="shared" si="3"/>
        <v>25–48 Months</v>
      </c>
    </row>
    <row r="783" hidden="1">
      <c r="A783" s="13" t="s">
        <v>1386</v>
      </c>
      <c r="B783" s="13" t="s">
        <v>176</v>
      </c>
      <c r="C783" s="14">
        <v>31.0</v>
      </c>
      <c r="D783" s="13" t="s">
        <v>69</v>
      </c>
      <c r="E783" s="13" t="s">
        <v>187</v>
      </c>
      <c r="F783" s="13" t="s">
        <v>62</v>
      </c>
      <c r="G783" s="13" t="s">
        <v>128</v>
      </c>
      <c r="H783" s="16">
        <v>44806.0</v>
      </c>
      <c r="I783" s="14">
        <v>4.0</v>
      </c>
      <c r="J783" s="13" t="s">
        <v>64</v>
      </c>
      <c r="K783" s="13" t="s">
        <v>81</v>
      </c>
      <c r="L783" s="14">
        <v>862.0</v>
      </c>
      <c r="M783" s="18" t="s">
        <v>43</v>
      </c>
      <c r="N783" s="20">
        <v>1.0</v>
      </c>
      <c r="O783" s="18">
        <v>18.4</v>
      </c>
      <c r="P783" s="20">
        <v>3.4</v>
      </c>
      <c r="Q783" s="16">
        <v>44840.0</v>
      </c>
      <c r="R783" s="16" t="s">
        <v>38</v>
      </c>
      <c r="S783" s="13" t="s">
        <v>55</v>
      </c>
      <c r="T783" s="13" t="s">
        <v>104</v>
      </c>
      <c r="U783" s="13" t="str">
        <f t="shared" si="1"/>
        <v>Moderate</v>
      </c>
      <c r="V783" s="13" t="str">
        <f t="shared" si="2"/>
        <v>Below Median</v>
      </c>
      <c r="W783" s="13" t="str">
        <f t="shared" si="3"/>
        <v>0–12 Months</v>
      </c>
    </row>
    <row r="784" hidden="1">
      <c r="A784" s="13" t="s">
        <v>1120</v>
      </c>
      <c r="B784" s="13" t="s">
        <v>349</v>
      </c>
      <c r="C784" s="14">
        <v>67.0</v>
      </c>
      <c r="D784" s="13" t="s">
        <v>35</v>
      </c>
      <c r="E784" s="13" t="s">
        <v>97</v>
      </c>
      <c r="F784" s="13" t="s">
        <v>79</v>
      </c>
      <c r="G784" s="13" t="s">
        <v>80</v>
      </c>
      <c r="H784" s="16">
        <v>45312.0</v>
      </c>
      <c r="I784" s="14">
        <v>34.0</v>
      </c>
      <c r="J784" s="13" t="s">
        <v>64</v>
      </c>
      <c r="K784" s="13" t="s">
        <v>41</v>
      </c>
      <c r="L784" s="14">
        <v>2851.0</v>
      </c>
      <c r="M784" s="18" t="s">
        <v>43</v>
      </c>
      <c r="N784" s="20">
        <v>0.0</v>
      </c>
      <c r="O784" s="18">
        <v>51.3</v>
      </c>
      <c r="P784" s="20">
        <v>3.3</v>
      </c>
      <c r="Q784" s="16">
        <v>45447.0</v>
      </c>
      <c r="R784" s="16" t="s">
        <v>38</v>
      </c>
      <c r="S784" s="13" t="s">
        <v>55</v>
      </c>
      <c r="T784" s="13" t="s">
        <v>72</v>
      </c>
      <c r="U784" s="13" t="str">
        <f t="shared" si="1"/>
        <v>Moderate</v>
      </c>
      <c r="V784" s="13" t="str">
        <f t="shared" si="2"/>
        <v>Median or Above</v>
      </c>
      <c r="W784" s="13" t="str">
        <f t="shared" si="3"/>
        <v>25–48 Months</v>
      </c>
    </row>
    <row r="785" hidden="1">
      <c r="A785" s="13" t="s">
        <v>1160</v>
      </c>
      <c r="B785" s="13" t="s">
        <v>420</v>
      </c>
      <c r="C785" s="14">
        <v>54.0</v>
      </c>
      <c r="D785" s="13" t="s">
        <v>69</v>
      </c>
      <c r="E785" s="13" t="s">
        <v>119</v>
      </c>
      <c r="F785" s="13" t="s">
        <v>62</v>
      </c>
      <c r="G785" s="13" t="s">
        <v>63</v>
      </c>
      <c r="H785" s="16">
        <v>44968.0</v>
      </c>
      <c r="I785" s="14">
        <v>45.0</v>
      </c>
      <c r="J785" s="13" t="s">
        <v>53</v>
      </c>
      <c r="K785" s="13" t="s">
        <v>41</v>
      </c>
      <c r="L785" s="14">
        <v>587.0</v>
      </c>
      <c r="M785" s="18" t="s">
        <v>43</v>
      </c>
      <c r="N785" s="20">
        <v>2.0</v>
      </c>
      <c r="O785" s="18">
        <v>23.1</v>
      </c>
      <c r="P785" s="20">
        <v>2.5</v>
      </c>
      <c r="Q785" s="16">
        <v>44984.0</v>
      </c>
      <c r="R785" s="16" t="s">
        <v>38</v>
      </c>
      <c r="S785" s="13" t="s">
        <v>55</v>
      </c>
      <c r="T785" s="13" t="s">
        <v>72</v>
      </c>
      <c r="U785" s="13" t="str">
        <f t="shared" si="1"/>
        <v>Low</v>
      </c>
      <c r="V785" s="13" t="str">
        <f t="shared" si="2"/>
        <v>Below Median</v>
      </c>
      <c r="W785" s="13" t="str">
        <f t="shared" si="3"/>
        <v>25–48 Months</v>
      </c>
    </row>
    <row r="786" hidden="1">
      <c r="A786" s="13" t="s">
        <v>1641</v>
      </c>
      <c r="B786" s="13" t="s">
        <v>96</v>
      </c>
      <c r="C786" s="14">
        <v>32.0</v>
      </c>
      <c r="D786" s="13" t="s">
        <v>35</v>
      </c>
      <c r="E786" s="13" t="s">
        <v>140</v>
      </c>
      <c r="F786" s="13" t="s">
        <v>62</v>
      </c>
      <c r="G786" s="13" t="s">
        <v>63</v>
      </c>
      <c r="H786" s="16">
        <v>44935.0</v>
      </c>
      <c r="I786" s="14">
        <v>47.0</v>
      </c>
      <c r="J786" s="13" t="s">
        <v>64</v>
      </c>
      <c r="K786" s="13" t="s">
        <v>65</v>
      </c>
      <c r="L786" s="14">
        <v>661.0</v>
      </c>
      <c r="M786" s="18" t="s">
        <v>164</v>
      </c>
      <c r="N786" s="20">
        <v>1.0</v>
      </c>
      <c r="O786" s="18">
        <v>6.4</v>
      </c>
      <c r="P786" s="20">
        <v>3.6</v>
      </c>
      <c r="Q786" s="16">
        <v>44986.0</v>
      </c>
      <c r="R786" s="16" t="s">
        <v>38</v>
      </c>
      <c r="S786" s="13" t="s">
        <v>55</v>
      </c>
      <c r="T786" s="13" t="s">
        <v>75</v>
      </c>
      <c r="U786" s="13" t="str">
        <f t="shared" si="1"/>
        <v>Moderate</v>
      </c>
      <c r="V786" s="13" t="str">
        <f t="shared" si="2"/>
        <v>Below Median</v>
      </c>
      <c r="W786" s="13" t="str">
        <f t="shared" si="3"/>
        <v>25–48 Months</v>
      </c>
    </row>
    <row r="787" hidden="1">
      <c r="A787" s="13" t="s">
        <v>1388</v>
      </c>
      <c r="B787" s="13" t="s">
        <v>322</v>
      </c>
      <c r="C787" s="14">
        <v>27.0</v>
      </c>
      <c r="D787" s="13" t="s">
        <v>69</v>
      </c>
      <c r="E787" s="13" t="s">
        <v>177</v>
      </c>
      <c r="F787" s="13" t="s">
        <v>37</v>
      </c>
      <c r="G787" s="13" t="s">
        <v>52</v>
      </c>
      <c r="H787" s="16">
        <v>44953.0</v>
      </c>
      <c r="I787" s="14">
        <v>48.0</v>
      </c>
      <c r="J787" s="13" t="s">
        <v>64</v>
      </c>
      <c r="K787" s="13" t="s">
        <v>65</v>
      </c>
      <c r="L787" s="14">
        <v>1316.0</v>
      </c>
      <c r="M787" s="18" t="s">
        <v>43</v>
      </c>
      <c r="N787" s="20">
        <v>1.0</v>
      </c>
      <c r="O787" s="18">
        <v>42.0</v>
      </c>
      <c r="P787" s="20">
        <v>3.3</v>
      </c>
      <c r="Q787" s="16">
        <v>45739.0</v>
      </c>
      <c r="R787" s="16">
        <v>45422.0</v>
      </c>
      <c r="S787" s="13" t="s">
        <v>45</v>
      </c>
      <c r="T787" s="13" t="s">
        <v>75</v>
      </c>
      <c r="U787" s="13" t="str">
        <f t="shared" si="1"/>
        <v>Moderate</v>
      </c>
      <c r="V787" s="13" t="str">
        <f t="shared" si="2"/>
        <v>Median or Above</v>
      </c>
      <c r="W787" s="13" t="str">
        <f t="shared" si="3"/>
        <v>25–48 Months</v>
      </c>
    </row>
    <row r="788" hidden="1">
      <c r="A788" s="13" t="s">
        <v>1390</v>
      </c>
      <c r="B788" s="13" t="s">
        <v>448</v>
      </c>
      <c r="C788" s="14">
        <v>41.0</v>
      </c>
      <c r="D788" s="13" t="s">
        <v>69</v>
      </c>
      <c r="E788" s="13" t="s">
        <v>177</v>
      </c>
      <c r="F788" s="13" t="s">
        <v>79</v>
      </c>
      <c r="G788" s="13" t="s">
        <v>39</v>
      </c>
      <c r="H788" s="16">
        <v>45166.0</v>
      </c>
      <c r="I788" s="14">
        <v>17.0</v>
      </c>
      <c r="J788" s="13" t="s">
        <v>64</v>
      </c>
      <c r="K788" s="13" t="s">
        <v>81</v>
      </c>
      <c r="L788" s="14">
        <v>3002.0</v>
      </c>
      <c r="M788" s="18" t="s">
        <v>99</v>
      </c>
      <c r="N788" s="20">
        <v>1.0</v>
      </c>
      <c r="O788" s="18">
        <v>36.0</v>
      </c>
      <c r="P788" s="20">
        <v>4.3</v>
      </c>
      <c r="Q788" s="16">
        <v>45539.0</v>
      </c>
      <c r="R788" s="16" t="s">
        <v>38</v>
      </c>
      <c r="S788" s="13" t="s">
        <v>55</v>
      </c>
      <c r="T788" s="13" t="s">
        <v>75</v>
      </c>
      <c r="U788" s="13" t="str">
        <f t="shared" si="1"/>
        <v>Moderate</v>
      </c>
      <c r="V788" s="13" t="str">
        <f t="shared" si="2"/>
        <v>Median or Above</v>
      </c>
      <c r="W788" s="13" t="str">
        <f t="shared" si="3"/>
        <v>13–24 Months</v>
      </c>
    </row>
    <row r="789" hidden="1">
      <c r="A789" s="13" t="s">
        <v>689</v>
      </c>
      <c r="B789" s="13" t="s">
        <v>250</v>
      </c>
      <c r="C789" s="14">
        <v>40.0</v>
      </c>
      <c r="D789" s="13" t="s">
        <v>69</v>
      </c>
      <c r="E789" s="13" t="s">
        <v>70</v>
      </c>
      <c r="F789" s="13" t="s">
        <v>79</v>
      </c>
      <c r="G789" s="13" t="s">
        <v>80</v>
      </c>
      <c r="H789" s="16">
        <v>45351.0</v>
      </c>
      <c r="I789" s="14">
        <v>10.0</v>
      </c>
      <c r="J789" s="13" t="s">
        <v>64</v>
      </c>
      <c r="K789" s="13" t="s">
        <v>81</v>
      </c>
      <c r="L789" s="14">
        <v>2887.0</v>
      </c>
      <c r="M789" s="18" t="s">
        <v>43</v>
      </c>
      <c r="N789" s="20">
        <v>2.0</v>
      </c>
      <c r="O789" s="18">
        <v>30.7</v>
      </c>
      <c r="P789" s="20">
        <v>5.0</v>
      </c>
      <c r="Q789" s="16">
        <v>45538.0</v>
      </c>
      <c r="R789" s="16" t="s">
        <v>38</v>
      </c>
      <c r="S789" s="13" t="s">
        <v>55</v>
      </c>
      <c r="T789" s="13" t="s">
        <v>66</v>
      </c>
      <c r="U789" s="13" t="str">
        <f t="shared" si="1"/>
        <v>High</v>
      </c>
      <c r="V789" s="13" t="str">
        <f t="shared" si="2"/>
        <v>Median or Above</v>
      </c>
      <c r="W789" s="13" t="str">
        <f t="shared" si="3"/>
        <v>0–12 Months</v>
      </c>
    </row>
    <row r="790" hidden="1">
      <c r="A790" s="13" t="s">
        <v>1391</v>
      </c>
      <c r="B790" s="13" t="s">
        <v>383</v>
      </c>
      <c r="C790" s="14">
        <v>27.0</v>
      </c>
      <c r="D790" s="13" t="s">
        <v>60</v>
      </c>
      <c r="E790" s="13" t="s">
        <v>61</v>
      </c>
      <c r="F790" s="13" t="s">
        <v>37</v>
      </c>
      <c r="G790" s="13" t="s">
        <v>39</v>
      </c>
      <c r="H790" s="16">
        <v>45090.0</v>
      </c>
      <c r="I790" s="14">
        <v>14.0</v>
      </c>
      <c r="J790" s="13" t="s">
        <v>53</v>
      </c>
      <c r="K790" s="13" t="s">
        <v>81</v>
      </c>
      <c r="L790" s="14">
        <v>1117.0</v>
      </c>
      <c r="M790" s="18" t="s">
        <v>46</v>
      </c>
      <c r="N790" s="20">
        <v>2.0</v>
      </c>
      <c r="O790" s="18">
        <v>32.5</v>
      </c>
      <c r="P790" s="20">
        <v>1.3</v>
      </c>
      <c r="Q790" s="16">
        <v>45437.0</v>
      </c>
      <c r="R790" s="16" t="s">
        <v>38</v>
      </c>
      <c r="S790" s="13" t="s">
        <v>55</v>
      </c>
      <c r="T790" s="13" t="s">
        <v>72</v>
      </c>
      <c r="U790" s="13" t="str">
        <f t="shared" si="1"/>
        <v>Low</v>
      </c>
      <c r="V790" s="13" t="str">
        <f t="shared" si="2"/>
        <v>Median or Above</v>
      </c>
      <c r="W790" s="13" t="str">
        <f t="shared" si="3"/>
        <v>13–24 Months</v>
      </c>
    </row>
    <row r="791" hidden="1">
      <c r="A791" s="13" t="s">
        <v>668</v>
      </c>
      <c r="B791" s="13" t="s">
        <v>91</v>
      </c>
      <c r="C791" s="14">
        <v>30.0</v>
      </c>
      <c r="D791" s="13" t="s">
        <v>85</v>
      </c>
      <c r="E791" s="13" t="s">
        <v>292</v>
      </c>
      <c r="F791" s="13" t="s">
        <v>62</v>
      </c>
      <c r="G791" s="13" t="s">
        <v>63</v>
      </c>
      <c r="H791" s="16">
        <v>45851.0</v>
      </c>
      <c r="I791" s="14">
        <v>23.0</v>
      </c>
      <c r="J791" s="13" t="s">
        <v>53</v>
      </c>
      <c r="K791" s="13" t="s">
        <v>65</v>
      </c>
      <c r="L791" s="14">
        <v>503.0</v>
      </c>
      <c r="M791" s="18" t="s">
        <v>43</v>
      </c>
      <c r="N791" s="20">
        <v>0.0</v>
      </c>
      <c r="O791" s="18">
        <v>10.6</v>
      </c>
      <c r="P791" s="20">
        <v>3.9</v>
      </c>
      <c r="Q791" s="16">
        <v>46347.0</v>
      </c>
      <c r="R791" s="16" t="s">
        <v>1393</v>
      </c>
      <c r="S791" s="13" t="s">
        <v>45</v>
      </c>
      <c r="T791" s="13" t="s">
        <v>47</v>
      </c>
      <c r="U791" s="13" t="str">
        <f t="shared" si="1"/>
        <v>Moderate</v>
      </c>
      <c r="V791" s="13" t="str">
        <f t="shared" si="2"/>
        <v>Below Median</v>
      </c>
      <c r="W791" s="13" t="str">
        <f t="shared" si="3"/>
        <v>13–24 Months</v>
      </c>
    </row>
    <row r="792" hidden="1">
      <c r="A792" s="13" t="s">
        <v>1394</v>
      </c>
      <c r="B792" s="13" t="s">
        <v>380</v>
      </c>
      <c r="C792" s="14">
        <v>65.0</v>
      </c>
      <c r="D792" s="13" t="s">
        <v>69</v>
      </c>
      <c r="E792" s="13" t="s">
        <v>70</v>
      </c>
      <c r="F792" s="13" t="s">
        <v>62</v>
      </c>
      <c r="G792" s="13" t="s">
        <v>80</v>
      </c>
      <c r="H792" s="16">
        <v>45496.0</v>
      </c>
      <c r="I792" s="14">
        <v>38.0</v>
      </c>
      <c r="J792" s="13" t="s">
        <v>53</v>
      </c>
      <c r="K792" s="13" t="s">
        <v>81</v>
      </c>
      <c r="L792" s="14">
        <v>721.0</v>
      </c>
      <c r="M792" s="18" t="s">
        <v>164</v>
      </c>
      <c r="N792" s="20">
        <v>0.0</v>
      </c>
      <c r="O792" s="18">
        <v>25.5</v>
      </c>
      <c r="P792" s="20">
        <v>4.4</v>
      </c>
      <c r="Q792" s="16">
        <v>46475.0</v>
      </c>
      <c r="R792" s="16" t="s">
        <v>38</v>
      </c>
      <c r="S792" s="13" t="s">
        <v>55</v>
      </c>
      <c r="T792" s="13" t="s">
        <v>72</v>
      </c>
      <c r="U792" s="13" t="str">
        <f t="shared" si="1"/>
        <v>Moderate</v>
      </c>
      <c r="V792" s="13" t="str">
        <f t="shared" si="2"/>
        <v>Median or Above</v>
      </c>
      <c r="W792" s="13" t="str">
        <f t="shared" si="3"/>
        <v>25–48 Months</v>
      </c>
    </row>
    <row r="793" hidden="1">
      <c r="A793" s="13" t="s">
        <v>1395</v>
      </c>
      <c r="B793" s="13" t="s">
        <v>308</v>
      </c>
      <c r="C793" s="14">
        <v>29.0</v>
      </c>
      <c r="D793" s="13" t="s">
        <v>85</v>
      </c>
      <c r="E793" s="13" t="s">
        <v>92</v>
      </c>
      <c r="F793" s="13" t="s">
        <v>62</v>
      </c>
      <c r="G793" s="13" t="s">
        <v>39</v>
      </c>
      <c r="H793" s="16">
        <v>45600.0</v>
      </c>
      <c r="I793" s="14">
        <v>7.0</v>
      </c>
      <c r="J793" s="13" t="s">
        <v>64</v>
      </c>
      <c r="K793" s="13" t="s">
        <v>41</v>
      </c>
      <c r="L793" s="14">
        <v>895.0</v>
      </c>
      <c r="M793" s="18" t="s">
        <v>43</v>
      </c>
      <c r="N793" s="20">
        <v>0.0</v>
      </c>
      <c r="O793" s="18">
        <v>29.8</v>
      </c>
      <c r="P793" s="20">
        <v>3.1</v>
      </c>
      <c r="Q793" s="16">
        <v>45757.0</v>
      </c>
      <c r="R793" s="16" t="s">
        <v>38</v>
      </c>
      <c r="S793" s="13" t="s">
        <v>55</v>
      </c>
      <c r="T793" s="13" t="s">
        <v>72</v>
      </c>
      <c r="U793" s="13" t="str">
        <f t="shared" si="1"/>
        <v>Moderate</v>
      </c>
      <c r="V793" s="13" t="str">
        <f t="shared" si="2"/>
        <v>Median or Above</v>
      </c>
      <c r="W793" s="13" t="str">
        <f t="shared" si="3"/>
        <v>0–12 Months</v>
      </c>
    </row>
    <row r="794" hidden="1">
      <c r="A794" s="13" t="s">
        <v>1396</v>
      </c>
      <c r="B794" s="13" t="s">
        <v>734</v>
      </c>
      <c r="C794" s="14">
        <v>29.0</v>
      </c>
      <c r="D794" s="13" t="s">
        <v>69</v>
      </c>
      <c r="E794" s="13" t="s">
        <v>187</v>
      </c>
      <c r="F794" s="13" t="s">
        <v>62</v>
      </c>
      <c r="G794" s="13" t="s">
        <v>210</v>
      </c>
      <c r="H794" s="16">
        <v>44672.0</v>
      </c>
      <c r="I794" s="14">
        <v>6.0</v>
      </c>
      <c r="J794" s="13" t="s">
        <v>53</v>
      </c>
      <c r="K794" s="13" t="s">
        <v>41</v>
      </c>
      <c r="L794" s="14">
        <v>891.0</v>
      </c>
      <c r="M794" s="18" t="s">
        <v>46</v>
      </c>
      <c r="N794" s="20">
        <v>2.0</v>
      </c>
      <c r="O794" s="18">
        <v>6.5</v>
      </c>
      <c r="P794" s="20">
        <v>3.3</v>
      </c>
      <c r="Q794" s="16">
        <v>44770.0</v>
      </c>
      <c r="R794" s="16" t="s">
        <v>38</v>
      </c>
      <c r="S794" s="13" t="s">
        <v>55</v>
      </c>
      <c r="T794" s="13" t="s">
        <v>47</v>
      </c>
      <c r="U794" s="13" t="str">
        <f t="shared" si="1"/>
        <v>Moderate</v>
      </c>
      <c r="V794" s="13" t="str">
        <f t="shared" si="2"/>
        <v>Below Median</v>
      </c>
      <c r="W794" s="13" t="str">
        <f t="shared" si="3"/>
        <v>0–12 Months</v>
      </c>
    </row>
    <row r="795" hidden="1">
      <c r="A795" s="13" t="s">
        <v>1398</v>
      </c>
      <c r="B795" s="13" t="s">
        <v>167</v>
      </c>
      <c r="C795" s="14">
        <v>19.0</v>
      </c>
      <c r="D795" s="13" t="s">
        <v>69</v>
      </c>
      <c r="E795" s="13" t="s">
        <v>177</v>
      </c>
      <c r="F795" s="13" t="s">
        <v>62</v>
      </c>
      <c r="G795" s="13" t="s">
        <v>39</v>
      </c>
      <c r="H795" s="16">
        <v>45045.0</v>
      </c>
      <c r="I795" s="14">
        <v>14.0</v>
      </c>
      <c r="J795" s="13" t="s">
        <v>53</v>
      </c>
      <c r="K795" s="13" t="s">
        <v>41</v>
      </c>
      <c r="L795" s="14">
        <v>869.0</v>
      </c>
      <c r="M795" s="18" t="s">
        <v>98</v>
      </c>
      <c r="N795" s="20">
        <v>2.0</v>
      </c>
      <c r="O795" s="18">
        <v>25.6</v>
      </c>
      <c r="P795" s="20">
        <v>4.2</v>
      </c>
      <c r="Q795" s="16">
        <v>45405.0</v>
      </c>
      <c r="R795" s="16" t="s">
        <v>38</v>
      </c>
      <c r="S795" s="13" t="s">
        <v>55</v>
      </c>
      <c r="T795" s="13" t="s">
        <v>72</v>
      </c>
      <c r="U795" s="13" t="str">
        <f t="shared" si="1"/>
        <v>Moderate</v>
      </c>
      <c r="V795" s="13" t="str">
        <f t="shared" si="2"/>
        <v>Median or Above</v>
      </c>
      <c r="W795" s="13" t="str">
        <f t="shared" si="3"/>
        <v>13–24 Months</v>
      </c>
    </row>
    <row r="796" hidden="1">
      <c r="A796" s="13" t="s">
        <v>1400</v>
      </c>
      <c r="B796" s="13" t="s">
        <v>405</v>
      </c>
      <c r="C796" s="14">
        <v>67.0</v>
      </c>
      <c r="D796" s="13" t="s">
        <v>85</v>
      </c>
      <c r="E796" s="13" t="s">
        <v>87</v>
      </c>
      <c r="F796" s="13" t="s">
        <v>37</v>
      </c>
      <c r="G796" s="13" t="s">
        <v>120</v>
      </c>
      <c r="H796" s="16">
        <v>45930.0</v>
      </c>
      <c r="I796" s="14">
        <v>25.0</v>
      </c>
      <c r="J796" s="13" t="s">
        <v>40</v>
      </c>
      <c r="K796" s="13" t="s">
        <v>65</v>
      </c>
      <c r="L796" s="14">
        <v>1247.0</v>
      </c>
      <c r="M796" s="18" t="s">
        <v>164</v>
      </c>
      <c r="N796" s="20">
        <v>2.0</v>
      </c>
      <c r="O796" s="18">
        <v>16.0</v>
      </c>
      <c r="P796" s="20">
        <v>4.6</v>
      </c>
      <c r="Q796" s="16">
        <v>46038.0</v>
      </c>
      <c r="R796" s="16" t="s">
        <v>1401</v>
      </c>
      <c r="S796" s="13" t="s">
        <v>45</v>
      </c>
      <c r="T796" s="13" t="s">
        <v>72</v>
      </c>
      <c r="U796" s="13" t="str">
        <f t="shared" si="1"/>
        <v>Moderate</v>
      </c>
      <c r="V796" s="13" t="str">
        <f t="shared" si="2"/>
        <v>Below Median</v>
      </c>
      <c r="W796" s="13" t="str">
        <f t="shared" si="3"/>
        <v>25–48 Months</v>
      </c>
    </row>
    <row r="797" hidden="1">
      <c r="A797" s="13" t="s">
        <v>1403</v>
      </c>
      <c r="B797" s="13" t="s">
        <v>636</v>
      </c>
      <c r="C797" s="14">
        <v>42.0</v>
      </c>
      <c r="D797" s="13" t="s">
        <v>85</v>
      </c>
      <c r="E797" s="13" t="s">
        <v>87</v>
      </c>
      <c r="F797" s="13" t="s">
        <v>37</v>
      </c>
      <c r="G797" s="13" t="s">
        <v>210</v>
      </c>
      <c r="H797" s="16">
        <v>45562.0</v>
      </c>
      <c r="I797" s="14">
        <v>43.0</v>
      </c>
      <c r="J797" s="13" t="s">
        <v>53</v>
      </c>
      <c r="K797" s="13" t="s">
        <v>81</v>
      </c>
      <c r="L797" s="14">
        <v>1026.0</v>
      </c>
      <c r="M797" s="18" t="s">
        <v>98</v>
      </c>
      <c r="N797" s="20">
        <v>3.0</v>
      </c>
      <c r="O797" s="18">
        <v>35.6</v>
      </c>
      <c r="P797" s="20">
        <v>3.7</v>
      </c>
      <c r="Q797" s="16">
        <v>46818.0</v>
      </c>
      <c r="R797" s="16" t="s">
        <v>1405</v>
      </c>
      <c r="S797" s="13" t="s">
        <v>45</v>
      </c>
      <c r="T797" s="13" t="s">
        <v>104</v>
      </c>
      <c r="U797" s="13" t="str">
        <f t="shared" si="1"/>
        <v>Moderate</v>
      </c>
      <c r="V797" s="13" t="str">
        <f t="shared" si="2"/>
        <v>Median or Above</v>
      </c>
      <c r="W797" s="13" t="str">
        <f t="shared" si="3"/>
        <v>25–48 Months</v>
      </c>
    </row>
    <row r="798" hidden="1">
      <c r="A798" s="13" t="s">
        <v>900</v>
      </c>
      <c r="B798" s="13" t="s">
        <v>206</v>
      </c>
      <c r="C798" s="14">
        <v>46.0</v>
      </c>
      <c r="D798" s="13" t="s">
        <v>85</v>
      </c>
      <c r="E798" s="13" t="s">
        <v>292</v>
      </c>
      <c r="F798" s="13" t="s">
        <v>37</v>
      </c>
      <c r="G798" s="13" t="s">
        <v>39</v>
      </c>
      <c r="H798" s="16">
        <v>45585.0</v>
      </c>
      <c r="I798" s="14">
        <v>13.0</v>
      </c>
      <c r="J798" s="13" t="s">
        <v>40</v>
      </c>
      <c r="K798" s="13" t="s">
        <v>65</v>
      </c>
      <c r="L798" s="14">
        <v>1444.0</v>
      </c>
      <c r="M798" s="18" t="s">
        <v>43</v>
      </c>
      <c r="N798" s="20">
        <v>0.0</v>
      </c>
      <c r="O798" s="18">
        <v>31.3</v>
      </c>
      <c r="P798" s="20">
        <v>4.0</v>
      </c>
      <c r="Q798" s="16">
        <v>45768.0</v>
      </c>
      <c r="R798" s="16" t="s">
        <v>38</v>
      </c>
      <c r="S798" s="13" t="s">
        <v>55</v>
      </c>
      <c r="T798" s="13" t="s">
        <v>72</v>
      </c>
      <c r="U798" s="13" t="str">
        <f t="shared" si="1"/>
        <v>Moderate</v>
      </c>
      <c r="V798" s="13" t="str">
        <f t="shared" si="2"/>
        <v>Median or Above</v>
      </c>
      <c r="W798" s="13" t="str">
        <f t="shared" si="3"/>
        <v>13–24 Months</v>
      </c>
    </row>
    <row r="799" hidden="1">
      <c r="A799" s="13" t="s">
        <v>1406</v>
      </c>
      <c r="B799" s="13" t="s">
        <v>91</v>
      </c>
      <c r="C799" s="14">
        <v>60.0</v>
      </c>
      <c r="D799" s="13" t="s">
        <v>85</v>
      </c>
      <c r="E799" s="13" t="s">
        <v>292</v>
      </c>
      <c r="F799" s="13" t="s">
        <v>62</v>
      </c>
      <c r="G799" s="13" t="s">
        <v>120</v>
      </c>
      <c r="H799" s="16">
        <v>44929.0</v>
      </c>
      <c r="I799" s="14">
        <v>11.0</v>
      </c>
      <c r="J799" s="13" t="s">
        <v>53</v>
      </c>
      <c r="K799" s="13" t="s">
        <v>41</v>
      </c>
      <c r="L799" s="14">
        <v>763.0</v>
      </c>
      <c r="M799" s="18" t="s">
        <v>98</v>
      </c>
      <c r="N799" s="20">
        <v>1.0</v>
      </c>
      <c r="O799" s="18">
        <v>37.1</v>
      </c>
      <c r="P799" s="20">
        <v>4.8</v>
      </c>
      <c r="Q799" s="16">
        <v>44981.0</v>
      </c>
      <c r="R799" s="16" t="s">
        <v>38</v>
      </c>
      <c r="S799" s="13" t="s">
        <v>55</v>
      </c>
      <c r="T799" s="13" t="s">
        <v>47</v>
      </c>
      <c r="U799" s="13" t="str">
        <f t="shared" si="1"/>
        <v>Moderate</v>
      </c>
      <c r="V799" s="13" t="str">
        <f t="shared" si="2"/>
        <v>Median or Above</v>
      </c>
      <c r="W799" s="13" t="str">
        <f t="shared" si="3"/>
        <v>0–12 Months</v>
      </c>
    </row>
    <row r="800" hidden="1">
      <c r="A800" s="13" t="s">
        <v>502</v>
      </c>
      <c r="B800" s="13" t="s">
        <v>222</v>
      </c>
      <c r="C800" s="14">
        <v>66.0</v>
      </c>
      <c r="D800" s="13" t="s">
        <v>69</v>
      </c>
      <c r="E800" s="13" t="s">
        <v>119</v>
      </c>
      <c r="F800" s="13" t="s">
        <v>37</v>
      </c>
      <c r="G800" s="13" t="s">
        <v>63</v>
      </c>
      <c r="H800" s="16">
        <v>45557.0</v>
      </c>
      <c r="I800" s="14">
        <v>42.0</v>
      </c>
      <c r="J800" s="13" t="s">
        <v>64</v>
      </c>
      <c r="K800" s="13" t="s">
        <v>41</v>
      </c>
      <c r="L800" s="14">
        <v>1431.0</v>
      </c>
      <c r="M800" s="18" t="s">
        <v>43</v>
      </c>
      <c r="N800" s="20">
        <v>1.0</v>
      </c>
      <c r="O800" s="18">
        <v>33.8</v>
      </c>
      <c r="P800" s="20">
        <v>3.8</v>
      </c>
      <c r="Q800" s="16">
        <v>45678.0</v>
      </c>
      <c r="R800" s="16">
        <v>46119.0</v>
      </c>
      <c r="S800" s="13" t="s">
        <v>45</v>
      </c>
      <c r="T800" s="13" t="s">
        <v>66</v>
      </c>
      <c r="U800" s="13" t="str">
        <f t="shared" si="1"/>
        <v>Moderate</v>
      </c>
      <c r="V800" s="13" t="str">
        <f t="shared" si="2"/>
        <v>Median or Above</v>
      </c>
      <c r="W800" s="13" t="str">
        <f t="shared" si="3"/>
        <v>25–48 Months</v>
      </c>
    </row>
    <row r="801" hidden="1">
      <c r="A801" s="13" t="s">
        <v>1409</v>
      </c>
      <c r="B801" s="13" t="s">
        <v>336</v>
      </c>
      <c r="C801" s="14">
        <v>19.0</v>
      </c>
      <c r="D801" s="13" t="s">
        <v>60</v>
      </c>
      <c r="E801" s="13" t="s">
        <v>133</v>
      </c>
      <c r="F801" s="13" t="s">
        <v>37</v>
      </c>
      <c r="G801" s="13" t="s">
        <v>128</v>
      </c>
      <c r="H801" s="16">
        <v>45657.0</v>
      </c>
      <c r="I801" s="14">
        <v>24.0</v>
      </c>
      <c r="J801" s="13" t="s">
        <v>53</v>
      </c>
      <c r="K801" s="13" t="s">
        <v>81</v>
      </c>
      <c r="L801" s="14">
        <v>1433.0</v>
      </c>
      <c r="M801" s="18" t="s">
        <v>164</v>
      </c>
      <c r="N801" s="20">
        <v>0.0</v>
      </c>
      <c r="O801" s="18">
        <v>21.7</v>
      </c>
      <c r="P801" s="20">
        <v>3.7</v>
      </c>
      <c r="Q801" s="16">
        <v>46059.0</v>
      </c>
      <c r="R801" s="16" t="s">
        <v>38</v>
      </c>
      <c r="S801" s="13" t="s">
        <v>55</v>
      </c>
      <c r="T801" s="13" t="s">
        <v>66</v>
      </c>
      <c r="U801" s="13" t="str">
        <f t="shared" si="1"/>
        <v>Moderate</v>
      </c>
      <c r="V801" s="13" t="str">
        <f t="shared" si="2"/>
        <v>Below Median</v>
      </c>
      <c r="W801" s="13" t="str">
        <f t="shared" si="3"/>
        <v>13–24 Months</v>
      </c>
    </row>
    <row r="802" hidden="1">
      <c r="A802" s="13" t="s">
        <v>882</v>
      </c>
      <c r="B802" s="13" t="s">
        <v>448</v>
      </c>
      <c r="C802" s="14" t="s">
        <v>38</v>
      </c>
      <c r="D802" s="13" t="s">
        <v>69</v>
      </c>
      <c r="E802" s="13" t="s">
        <v>119</v>
      </c>
      <c r="F802" s="13" t="s">
        <v>62</v>
      </c>
      <c r="G802" s="13" t="s">
        <v>120</v>
      </c>
      <c r="H802" s="16">
        <v>45138.0</v>
      </c>
      <c r="I802" s="14">
        <v>3.0</v>
      </c>
      <c r="J802" s="13" t="s">
        <v>53</v>
      </c>
      <c r="K802" s="13" t="s">
        <v>65</v>
      </c>
      <c r="L802" s="14">
        <v>749.0</v>
      </c>
      <c r="M802" s="18" t="s">
        <v>43</v>
      </c>
      <c r="N802" s="20">
        <v>2.0</v>
      </c>
      <c r="O802" s="18">
        <v>9.6</v>
      </c>
      <c r="P802" s="20">
        <v>4.1</v>
      </c>
      <c r="Q802" s="16">
        <v>45154.0</v>
      </c>
      <c r="R802" s="16" t="s">
        <v>38</v>
      </c>
      <c r="S802" s="13" t="s">
        <v>55</v>
      </c>
      <c r="T802" s="13" t="s">
        <v>72</v>
      </c>
      <c r="U802" s="13" t="str">
        <f t="shared" si="1"/>
        <v>Moderate</v>
      </c>
      <c r="V802" s="13" t="str">
        <f t="shared" si="2"/>
        <v>Below Median</v>
      </c>
      <c r="W802" s="13" t="str">
        <f t="shared" si="3"/>
        <v>0–12 Months</v>
      </c>
    </row>
    <row r="803" hidden="1">
      <c r="A803" s="13" t="s">
        <v>1006</v>
      </c>
      <c r="B803" s="13" t="s">
        <v>74</v>
      </c>
      <c r="C803" s="14">
        <v>53.0</v>
      </c>
      <c r="D803" s="13" t="s">
        <v>35</v>
      </c>
      <c r="E803" s="13" t="s">
        <v>161</v>
      </c>
      <c r="F803" s="13" t="s">
        <v>62</v>
      </c>
      <c r="G803" s="13" t="s">
        <v>210</v>
      </c>
      <c r="H803" s="16">
        <v>45416.0</v>
      </c>
      <c r="I803" s="14">
        <v>2.0</v>
      </c>
      <c r="J803" s="13" t="s">
        <v>64</v>
      </c>
      <c r="K803" s="13" t="s">
        <v>65</v>
      </c>
      <c r="L803" s="14">
        <v>651.0</v>
      </c>
      <c r="M803" s="18" t="s">
        <v>173</v>
      </c>
      <c r="N803" s="20">
        <v>0.0</v>
      </c>
      <c r="O803" s="18">
        <v>7.1</v>
      </c>
      <c r="P803" s="20">
        <v>4.3</v>
      </c>
      <c r="Q803" s="16">
        <v>45440.0</v>
      </c>
      <c r="R803" s="16" t="s">
        <v>38</v>
      </c>
      <c r="S803" s="13" t="s">
        <v>55</v>
      </c>
      <c r="T803" s="13" t="s">
        <v>47</v>
      </c>
      <c r="U803" s="13" t="str">
        <f t="shared" si="1"/>
        <v>Moderate</v>
      </c>
      <c r="V803" s="13" t="str">
        <f t="shared" si="2"/>
        <v>Below Median</v>
      </c>
      <c r="W803" s="13" t="str">
        <f t="shared" si="3"/>
        <v>0–12 Months</v>
      </c>
    </row>
    <row r="804" hidden="1">
      <c r="A804" s="13" t="s">
        <v>1002</v>
      </c>
      <c r="B804" s="13" t="s">
        <v>172</v>
      </c>
      <c r="C804" s="14">
        <v>65.0</v>
      </c>
      <c r="D804" s="13" t="s">
        <v>35</v>
      </c>
      <c r="E804" s="13" t="s">
        <v>36</v>
      </c>
      <c r="F804" s="13" t="s">
        <v>62</v>
      </c>
      <c r="G804" s="13" t="s">
        <v>39</v>
      </c>
      <c r="H804" s="16">
        <v>45858.0</v>
      </c>
      <c r="I804" s="14">
        <v>32.0</v>
      </c>
      <c r="J804" s="13" t="s">
        <v>64</v>
      </c>
      <c r="K804" s="13" t="s">
        <v>81</v>
      </c>
      <c r="L804" s="14">
        <v>639.0</v>
      </c>
      <c r="M804" s="18" t="s">
        <v>46</v>
      </c>
      <c r="N804" s="20">
        <v>1.0</v>
      </c>
      <c r="O804" s="18">
        <v>34.0</v>
      </c>
      <c r="P804" s="20">
        <v>5.0</v>
      </c>
      <c r="Q804" s="16">
        <v>46337.0</v>
      </c>
      <c r="R804" s="16" t="s">
        <v>38</v>
      </c>
      <c r="S804" s="13" t="s">
        <v>55</v>
      </c>
      <c r="T804" s="13" t="s">
        <v>75</v>
      </c>
      <c r="U804" s="13" t="str">
        <f t="shared" si="1"/>
        <v>High</v>
      </c>
      <c r="V804" s="13" t="str">
        <f t="shared" si="2"/>
        <v>Median or Above</v>
      </c>
      <c r="W804" s="13" t="str">
        <f t="shared" si="3"/>
        <v>25–48 Months</v>
      </c>
    </row>
    <row r="805" hidden="1">
      <c r="A805" s="13" t="s">
        <v>1410</v>
      </c>
      <c r="B805" s="13" t="s">
        <v>224</v>
      </c>
      <c r="C805" s="14">
        <v>46.0</v>
      </c>
      <c r="D805" s="13" t="s">
        <v>35</v>
      </c>
      <c r="E805" s="13" t="s">
        <v>161</v>
      </c>
      <c r="F805" s="13" t="s">
        <v>62</v>
      </c>
      <c r="G805" s="13" t="s">
        <v>39</v>
      </c>
      <c r="H805" s="16">
        <v>45809.0</v>
      </c>
      <c r="I805" s="14">
        <v>47.0</v>
      </c>
      <c r="J805" s="13" t="s">
        <v>53</v>
      </c>
      <c r="K805" s="13" t="s">
        <v>41</v>
      </c>
      <c r="L805" s="14">
        <v>550.0</v>
      </c>
      <c r="M805" s="18" t="s">
        <v>98</v>
      </c>
      <c r="N805" s="20">
        <v>1.0</v>
      </c>
      <c r="O805" s="18">
        <v>16.1</v>
      </c>
      <c r="P805" s="20">
        <v>3.3</v>
      </c>
      <c r="Q805" s="16">
        <v>45980.0</v>
      </c>
      <c r="R805" s="16" t="s">
        <v>38</v>
      </c>
      <c r="S805" s="13" t="s">
        <v>55</v>
      </c>
      <c r="T805" s="13" t="s">
        <v>47</v>
      </c>
      <c r="U805" s="13" t="str">
        <f t="shared" si="1"/>
        <v>Moderate</v>
      </c>
      <c r="V805" s="13" t="str">
        <f t="shared" si="2"/>
        <v>Below Median</v>
      </c>
      <c r="W805" s="13" t="str">
        <f t="shared" si="3"/>
        <v>25–48 Months</v>
      </c>
    </row>
    <row r="806" hidden="1">
      <c r="A806" s="13" t="s">
        <v>455</v>
      </c>
      <c r="B806" s="13" t="s">
        <v>424</v>
      </c>
      <c r="C806" s="14">
        <v>42.0</v>
      </c>
      <c r="D806" s="13" t="s">
        <v>60</v>
      </c>
      <c r="E806" s="13" t="s">
        <v>61</v>
      </c>
      <c r="F806" s="13" t="s">
        <v>37</v>
      </c>
      <c r="G806" s="13" t="s">
        <v>120</v>
      </c>
      <c r="H806" s="16">
        <v>44800.0</v>
      </c>
      <c r="I806" s="14">
        <v>13.0</v>
      </c>
      <c r="J806" s="13" t="s">
        <v>64</v>
      </c>
      <c r="K806" s="13" t="s">
        <v>65</v>
      </c>
      <c r="L806" s="14">
        <v>1629.0</v>
      </c>
      <c r="M806" s="18" t="s">
        <v>43</v>
      </c>
      <c r="N806" s="20">
        <v>0.0</v>
      </c>
      <c r="O806" s="18">
        <v>16.0</v>
      </c>
      <c r="P806" s="20">
        <v>4.9</v>
      </c>
      <c r="Q806" s="16">
        <v>45086.0</v>
      </c>
      <c r="R806" s="16" t="s">
        <v>38</v>
      </c>
      <c r="S806" s="13" t="s">
        <v>55</v>
      </c>
      <c r="T806" s="13" t="s">
        <v>47</v>
      </c>
      <c r="U806" s="13" t="str">
        <f t="shared" si="1"/>
        <v>Moderate</v>
      </c>
      <c r="V806" s="13" t="str">
        <f t="shared" si="2"/>
        <v>Below Median</v>
      </c>
      <c r="W806" s="13" t="str">
        <f t="shared" si="3"/>
        <v>13–24 Months</v>
      </c>
    </row>
    <row r="807" hidden="1">
      <c r="A807" s="13" t="s">
        <v>909</v>
      </c>
      <c r="B807" s="13" t="s">
        <v>420</v>
      </c>
      <c r="C807" s="14">
        <v>19.0</v>
      </c>
      <c r="D807" s="13" t="s">
        <v>85</v>
      </c>
      <c r="E807" s="13" t="s">
        <v>92</v>
      </c>
      <c r="F807" s="13" t="s">
        <v>37</v>
      </c>
      <c r="G807" s="13" t="s">
        <v>128</v>
      </c>
      <c r="H807" s="16">
        <v>44942.0</v>
      </c>
      <c r="I807" s="14">
        <v>18.0</v>
      </c>
      <c r="J807" s="13" t="s">
        <v>53</v>
      </c>
      <c r="K807" s="13" t="s">
        <v>41</v>
      </c>
      <c r="L807" s="14">
        <v>1618.0</v>
      </c>
      <c r="M807" s="18" t="s">
        <v>46</v>
      </c>
      <c r="N807" s="20">
        <v>2.0</v>
      </c>
      <c r="O807" s="18">
        <v>33.4</v>
      </c>
      <c r="P807" s="20">
        <v>4.0</v>
      </c>
      <c r="Q807" s="16">
        <v>45137.0</v>
      </c>
      <c r="R807" s="16" t="s">
        <v>38</v>
      </c>
      <c r="S807" s="13" t="s">
        <v>55</v>
      </c>
      <c r="T807" s="13" t="s">
        <v>104</v>
      </c>
      <c r="U807" s="13" t="str">
        <f t="shared" si="1"/>
        <v>Moderate</v>
      </c>
      <c r="V807" s="13" t="str">
        <f t="shared" si="2"/>
        <v>Median or Above</v>
      </c>
      <c r="W807" s="13" t="str">
        <f t="shared" si="3"/>
        <v>13–24 Months</v>
      </c>
    </row>
    <row r="808" hidden="1">
      <c r="A808" s="13" t="s">
        <v>945</v>
      </c>
      <c r="B808" s="13" t="s">
        <v>215</v>
      </c>
      <c r="C808" s="14">
        <v>58.0</v>
      </c>
      <c r="D808" s="13" t="s">
        <v>85</v>
      </c>
      <c r="E808" s="13" t="s">
        <v>177</v>
      </c>
      <c r="F808" s="13" t="s">
        <v>62</v>
      </c>
      <c r="G808" s="13" t="s">
        <v>80</v>
      </c>
      <c r="H808" s="16">
        <v>45862.0</v>
      </c>
      <c r="I808" s="14">
        <v>21.0</v>
      </c>
      <c r="J808" s="13" t="s">
        <v>53</v>
      </c>
      <c r="K808" s="13" t="s">
        <v>81</v>
      </c>
      <c r="L808" s="14">
        <v>614.0</v>
      </c>
      <c r="M808" s="18" t="s">
        <v>43</v>
      </c>
      <c r="N808" s="20">
        <v>3.0</v>
      </c>
      <c r="O808" s="18">
        <v>8.5</v>
      </c>
      <c r="P808" s="20">
        <v>3.5</v>
      </c>
      <c r="Q808" s="16">
        <v>46204.0</v>
      </c>
      <c r="R808" s="16" t="s">
        <v>38</v>
      </c>
      <c r="S808" s="13" t="s">
        <v>55</v>
      </c>
      <c r="T808" s="13" t="s">
        <v>66</v>
      </c>
      <c r="U808" s="13" t="str">
        <f t="shared" si="1"/>
        <v>Moderate</v>
      </c>
      <c r="V808" s="13" t="str">
        <f t="shared" si="2"/>
        <v>Below Median</v>
      </c>
      <c r="W808" s="13" t="str">
        <f t="shared" si="3"/>
        <v>13–24 Months</v>
      </c>
    </row>
    <row r="809" hidden="1">
      <c r="A809" s="13" t="s">
        <v>462</v>
      </c>
      <c r="B809" s="13" t="s">
        <v>383</v>
      </c>
      <c r="C809" s="14">
        <v>66.0</v>
      </c>
      <c r="D809" s="13" t="s">
        <v>85</v>
      </c>
      <c r="E809" s="13" t="s">
        <v>92</v>
      </c>
      <c r="F809" s="13" t="s">
        <v>37</v>
      </c>
      <c r="G809" s="13" t="s">
        <v>120</v>
      </c>
      <c r="H809" s="16">
        <v>45704.0</v>
      </c>
      <c r="I809" s="14">
        <v>1.0</v>
      </c>
      <c r="J809" s="13" t="s">
        <v>53</v>
      </c>
      <c r="K809" s="13" t="s">
        <v>41</v>
      </c>
      <c r="L809" s="14">
        <v>1353.0</v>
      </c>
      <c r="M809" s="18" t="s">
        <v>164</v>
      </c>
      <c r="N809" s="20">
        <v>2.0</v>
      </c>
      <c r="O809" s="18">
        <v>28.4</v>
      </c>
      <c r="P809" s="20">
        <v>4.3</v>
      </c>
      <c r="Q809" s="16">
        <v>45742.0</v>
      </c>
      <c r="R809" s="16" t="s">
        <v>38</v>
      </c>
      <c r="S809" s="13" t="s">
        <v>55</v>
      </c>
      <c r="T809" s="13" t="s">
        <v>66</v>
      </c>
      <c r="U809" s="13" t="str">
        <f t="shared" si="1"/>
        <v>Moderate</v>
      </c>
      <c r="V809" s="13" t="str">
        <f t="shared" si="2"/>
        <v>Median or Above</v>
      </c>
      <c r="W809" s="13" t="str">
        <f t="shared" si="3"/>
        <v>0–12 Months</v>
      </c>
    </row>
    <row r="810" hidden="1">
      <c r="A810" s="13" t="s">
        <v>1411</v>
      </c>
      <c r="B810" s="13" t="s">
        <v>636</v>
      </c>
      <c r="C810" s="14">
        <v>38.0</v>
      </c>
      <c r="D810" s="13" t="s">
        <v>69</v>
      </c>
      <c r="E810" s="13" t="s">
        <v>119</v>
      </c>
      <c r="F810" s="13" t="s">
        <v>62</v>
      </c>
      <c r="G810" s="13" t="s">
        <v>63</v>
      </c>
      <c r="H810" s="16">
        <v>45915.0</v>
      </c>
      <c r="I810" s="14">
        <v>37.0</v>
      </c>
      <c r="J810" s="13" t="s">
        <v>53</v>
      </c>
      <c r="K810" s="13" t="s">
        <v>65</v>
      </c>
      <c r="L810" s="14">
        <v>822.0</v>
      </c>
      <c r="M810" s="18" t="s">
        <v>43</v>
      </c>
      <c r="N810" s="20">
        <v>2.0</v>
      </c>
      <c r="O810" s="18">
        <v>4.5</v>
      </c>
      <c r="P810" s="20">
        <v>2.8</v>
      </c>
      <c r="Q810" s="16">
        <v>46632.0</v>
      </c>
      <c r="R810" s="16">
        <v>46085.0</v>
      </c>
      <c r="S810" s="13" t="s">
        <v>45</v>
      </c>
      <c r="T810" s="13" t="s">
        <v>75</v>
      </c>
      <c r="U810" s="13" t="str">
        <f t="shared" si="1"/>
        <v>Low</v>
      </c>
      <c r="V810" s="13" t="str">
        <f t="shared" si="2"/>
        <v>Below Median</v>
      </c>
      <c r="W810" s="13" t="str">
        <f t="shared" si="3"/>
        <v>25–48 Months</v>
      </c>
    </row>
    <row r="811" hidden="1">
      <c r="A811" s="13" t="s">
        <v>1413</v>
      </c>
      <c r="B811" s="13" t="s">
        <v>169</v>
      </c>
      <c r="C811" s="14">
        <v>34.0</v>
      </c>
      <c r="D811" s="13" t="s">
        <v>85</v>
      </c>
      <c r="E811" s="13" t="s">
        <v>292</v>
      </c>
      <c r="F811" s="13" t="s">
        <v>62</v>
      </c>
      <c r="G811" s="13" t="s">
        <v>80</v>
      </c>
      <c r="H811" s="16">
        <v>44903.0</v>
      </c>
      <c r="I811" s="14">
        <v>40.0</v>
      </c>
      <c r="J811" s="13" t="s">
        <v>53</v>
      </c>
      <c r="K811" s="13" t="s">
        <v>81</v>
      </c>
      <c r="L811" s="14">
        <v>719.0</v>
      </c>
      <c r="M811" s="18" t="s">
        <v>43</v>
      </c>
      <c r="N811" s="20">
        <v>1.0</v>
      </c>
      <c r="O811" s="18">
        <v>15.9</v>
      </c>
      <c r="P811" s="20">
        <v>3.3</v>
      </c>
      <c r="Q811" s="16">
        <v>44960.0</v>
      </c>
      <c r="R811" s="16" t="s">
        <v>38</v>
      </c>
      <c r="S811" s="13" t="s">
        <v>55</v>
      </c>
      <c r="T811" s="13" t="s">
        <v>47</v>
      </c>
      <c r="U811" s="13" t="str">
        <f t="shared" si="1"/>
        <v>Moderate</v>
      </c>
      <c r="V811" s="13" t="str">
        <f t="shared" si="2"/>
        <v>Below Median</v>
      </c>
      <c r="W811" s="13" t="str">
        <f t="shared" si="3"/>
        <v>25–48 Months</v>
      </c>
    </row>
    <row r="812" hidden="1">
      <c r="A812" s="13" t="s">
        <v>1414</v>
      </c>
      <c r="B812" s="13" t="s">
        <v>476</v>
      </c>
      <c r="C812" s="14">
        <v>41.0</v>
      </c>
      <c r="D812" s="13" t="s">
        <v>35</v>
      </c>
      <c r="E812" s="13" t="s">
        <v>36</v>
      </c>
      <c r="F812" s="13" t="s">
        <v>62</v>
      </c>
      <c r="G812" s="13" t="s">
        <v>39</v>
      </c>
      <c r="H812" s="16">
        <v>44788.0</v>
      </c>
      <c r="I812" s="14">
        <v>37.0</v>
      </c>
      <c r="J812" s="13" t="s">
        <v>40</v>
      </c>
      <c r="K812" s="13" t="s">
        <v>65</v>
      </c>
      <c r="L812" s="14">
        <v>580.0</v>
      </c>
      <c r="M812" s="18" t="s">
        <v>43</v>
      </c>
      <c r="N812" s="20">
        <v>2.0</v>
      </c>
      <c r="O812" s="18">
        <v>17.6</v>
      </c>
      <c r="P812" s="20">
        <v>3.6</v>
      </c>
      <c r="Q812" s="16">
        <v>45619.0</v>
      </c>
      <c r="R812" s="16" t="s">
        <v>38</v>
      </c>
      <c r="S812" s="13" t="s">
        <v>55</v>
      </c>
      <c r="T812" s="13" t="s">
        <v>66</v>
      </c>
      <c r="U812" s="13" t="str">
        <f t="shared" si="1"/>
        <v>Moderate</v>
      </c>
      <c r="V812" s="13" t="str">
        <f t="shared" si="2"/>
        <v>Below Median</v>
      </c>
      <c r="W812" s="13" t="str">
        <f t="shared" si="3"/>
        <v>25–48 Months</v>
      </c>
    </row>
    <row r="813" hidden="1">
      <c r="A813" s="13" t="s">
        <v>1133</v>
      </c>
      <c r="B813" s="13" t="s">
        <v>333</v>
      </c>
      <c r="C813" s="14">
        <v>50.0</v>
      </c>
      <c r="D813" s="13" t="s">
        <v>60</v>
      </c>
      <c r="E813" s="13" t="s">
        <v>107</v>
      </c>
      <c r="F813" s="13" t="s">
        <v>79</v>
      </c>
      <c r="G813" s="13" t="s">
        <v>52</v>
      </c>
      <c r="H813" s="16">
        <v>45968.0</v>
      </c>
      <c r="I813" s="14">
        <v>41.0</v>
      </c>
      <c r="J813" s="13" t="s">
        <v>53</v>
      </c>
      <c r="K813" s="13" t="s">
        <v>65</v>
      </c>
      <c r="L813" s="14">
        <v>1513.0</v>
      </c>
      <c r="M813" s="18" t="s">
        <v>43</v>
      </c>
      <c r="N813" s="20">
        <v>1.0</v>
      </c>
      <c r="O813" s="18">
        <v>21.1</v>
      </c>
      <c r="P813" s="20" t="s">
        <v>38</v>
      </c>
      <c r="Q813" s="16">
        <v>47068.0</v>
      </c>
      <c r="R813" s="16" t="s">
        <v>1417</v>
      </c>
      <c r="S813" s="13" t="s">
        <v>45</v>
      </c>
      <c r="T813" s="13" t="s">
        <v>75</v>
      </c>
      <c r="U813" s="13" t="str">
        <f t="shared" si="1"/>
        <v/>
      </c>
      <c r="V813" s="13" t="str">
        <f t="shared" si="2"/>
        <v>Below Median</v>
      </c>
      <c r="W813" s="13" t="str">
        <f t="shared" si="3"/>
        <v>25–48 Months</v>
      </c>
    </row>
    <row r="814" hidden="1">
      <c r="A814" s="13" t="s">
        <v>1418</v>
      </c>
      <c r="B814" s="13" t="s">
        <v>393</v>
      </c>
      <c r="C814" s="14">
        <v>45.0</v>
      </c>
      <c r="D814" s="13" t="s">
        <v>69</v>
      </c>
      <c r="E814" s="13" t="s">
        <v>119</v>
      </c>
      <c r="F814" s="13" t="s">
        <v>37</v>
      </c>
      <c r="G814" s="13" t="s">
        <v>80</v>
      </c>
      <c r="H814" s="16">
        <v>45246.0</v>
      </c>
      <c r="I814" s="14">
        <v>30.0</v>
      </c>
      <c r="J814" s="13" t="s">
        <v>40</v>
      </c>
      <c r="K814" s="13" t="s">
        <v>81</v>
      </c>
      <c r="L814" s="14">
        <v>848.0</v>
      </c>
      <c r="M814" s="18" t="s">
        <v>43</v>
      </c>
      <c r="N814" s="20">
        <v>1.0</v>
      </c>
      <c r="O814" s="18">
        <v>29.4</v>
      </c>
      <c r="P814" s="20">
        <v>3.3</v>
      </c>
      <c r="Q814" s="16">
        <v>45850.0</v>
      </c>
      <c r="R814" s="16" t="s">
        <v>38</v>
      </c>
      <c r="S814" s="13" t="s">
        <v>45</v>
      </c>
      <c r="T814" s="13" t="s">
        <v>104</v>
      </c>
      <c r="U814" s="13" t="str">
        <f t="shared" si="1"/>
        <v>Moderate</v>
      </c>
      <c r="V814" s="13" t="str">
        <f t="shared" si="2"/>
        <v>Median or Above</v>
      </c>
      <c r="W814" s="13" t="str">
        <f t="shared" si="3"/>
        <v>25–48 Months</v>
      </c>
    </row>
    <row r="815" hidden="1">
      <c r="A815" s="13" t="s">
        <v>1419</v>
      </c>
      <c r="B815" s="13" t="s">
        <v>383</v>
      </c>
      <c r="C815" s="14">
        <v>62.0</v>
      </c>
      <c r="D815" s="13" t="s">
        <v>69</v>
      </c>
      <c r="E815" s="13" t="s">
        <v>187</v>
      </c>
      <c r="F815" s="13" t="s">
        <v>37</v>
      </c>
      <c r="G815" s="13" t="s">
        <v>80</v>
      </c>
      <c r="H815" s="16">
        <v>44726.0</v>
      </c>
      <c r="I815" s="14">
        <v>39.0</v>
      </c>
      <c r="J815" s="13" t="s">
        <v>40</v>
      </c>
      <c r="K815" s="13" t="s">
        <v>65</v>
      </c>
      <c r="L815" s="14">
        <v>1022.0</v>
      </c>
      <c r="M815" s="18" t="s">
        <v>164</v>
      </c>
      <c r="N815" s="20">
        <v>1.0</v>
      </c>
      <c r="O815" s="18">
        <v>25.2</v>
      </c>
      <c r="P815" s="20">
        <v>4.1</v>
      </c>
      <c r="Q815" s="16">
        <v>45247.0</v>
      </c>
      <c r="R815" s="16" t="s">
        <v>38</v>
      </c>
      <c r="S815" s="13" t="s">
        <v>55</v>
      </c>
      <c r="T815" s="13" t="s">
        <v>104</v>
      </c>
      <c r="U815" s="13" t="str">
        <f t="shared" si="1"/>
        <v>Moderate</v>
      </c>
      <c r="V815" s="13" t="str">
        <f t="shared" si="2"/>
        <v>Median or Above</v>
      </c>
      <c r="W815" s="13" t="str">
        <f t="shared" si="3"/>
        <v>25–48 Months</v>
      </c>
    </row>
    <row r="816" hidden="1">
      <c r="A816" s="13" t="s">
        <v>1391</v>
      </c>
      <c r="B816" s="13" t="s">
        <v>68</v>
      </c>
      <c r="C816" s="14">
        <v>37.0</v>
      </c>
      <c r="D816" s="13" t="s">
        <v>85</v>
      </c>
      <c r="E816" s="13" t="s">
        <v>111</v>
      </c>
      <c r="F816" s="13" t="s">
        <v>79</v>
      </c>
      <c r="G816" s="13" t="s">
        <v>39</v>
      </c>
      <c r="H816" s="16">
        <v>45499.0</v>
      </c>
      <c r="I816" s="14">
        <v>24.0</v>
      </c>
      <c r="J816" s="13" t="s">
        <v>40</v>
      </c>
      <c r="K816" s="13" t="s">
        <v>41</v>
      </c>
      <c r="L816" s="14">
        <v>2966.0</v>
      </c>
      <c r="M816" s="18" t="s">
        <v>46</v>
      </c>
      <c r="N816" s="20">
        <v>0.0</v>
      </c>
      <c r="O816" s="18">
        <v>37.8</v>
      </c>
      <c r="P816" s="20">
        <v>2.5</v>
      </c>
      <c r="Q816" s="16">
        <v>46238.0</v>
      </c>
      <c r="R816" s="16" t="s">
        <v>1421</v>
      </c>
      <c r="S816" s="13" t="s">
        <v>45</v>
      </c>
      <c r="T816" s="13" t="s">
        <v>47</v>
      </c>
      <c r="U816" s="13" t="str">
        <f t="shared" si="1"/>
        <v>Low</v>
      </c>
      <c r="V816" s="13" t="str">
        <f t="shared" si="2"/>
        <v>Median or Above</v>
      </c>
      <c r="W816" s="13" t="str">
        <f t="shared" si="3"/>
        <v>13–24 Months</v>
      </c>
    </row>
    <row r="817" hidden="1">
      <c r="A817" s="13" t="s">
        <v>1422</v>
      </c>
      <c r="B817" s="13" t="s">
        <v>448</v>
      </c>
      <c r="C817" s="14">
        <v>29.0</v>
      </c>
      <c r="D817" s="13" t="s">
        <v>85</v>
      </c>
      <c r="E817" s="13" t="s">
        <v>87</v>
      </c>
      <c r="F817" s="13" t="s">
        <v>62</v>
      </c>
      <c r="G817" s="13" t="s">
        <v>80</v>
      </c>
      <c r="H817" s="16">
        <v>45470.0</v>
      </c>
      <c r="I817" s="14">
        <v>16.0</v>
      </c>
      <c r="J817" s="13" t="s">
        <v>40</v>
      </c>
      <c r="K817" s="13" t="s">
        <v>65</v>
      </c>
      <c r="L817" s="14">
        <v>735.0</v>
      </c>
      <c r="M817" s="18" t="s">
        <v>43</v>
      </c>
      <c r="N817" s="20">
        <v>2.0</v>
      </c>
      <c r="O817" s="18">
        <v>23.4</v>
      </c>
      <c r="P817" s="20">
        <v>3.5</v>
      </c>
      <c r="Q817" s="16">
        <v>45536.0</v>
      </c>
      <c r="R817" s="16">
        <v>45970.0</v>
      </c>
      <c r="S817" s="13" t="s">
        <v>45</v>
      </c>
      <c r="T817" s="13" t="s">
        <v>104</v>
      </c>
      <c r="U817" s="13" t="str">
        <f t="shared" si="1"/>
        <v>Moderate</v>
      </c>
      <c r="V817" s="13" t="str">
        <f t="shared" si="2"/>
        <v>Below Median</v>
      </c>
      <c r="W817" s="13" t="str">
        <f t="shared" si="3"/>
        <v>13–24 Months</v>
      </c>
    </row>
    <row r="818" hidden="1">
      <c r="A818" s="13" t="s">
        <v>1424</v>
      </c>
      <c r="B818" s="13" t="s">
        <v>345</v>
      </c>
      <c r="C818" s="14">
        <v>49.0</v>
      </c>
      <c r="D818" s="13" t="s">
        <v>35</v>
      </c>
      <c r="E818" s="13" t="s">
        <v>140</v>
      </c>
      <c r="F818" s="13" t="s">
        <v>79</v>
      </c>
      <c r="G818" s="13" t="s">
        <v>120</v>
      </c>
      <c r="H818" s="16">
        <v>45351.0</v>
      </c>
      <c r="I818" s="14">
        <v>5.0</v>
      </c>
      <c r="J818" s="13" t="s">
        <v>64</v>
      </c>
      <c r="K818" s="13" t="s">
        <v>41</v>
      </c>
      <c r="L818" s="14">
        <v>3099.0</v>
      </c>
      <c r="M818" s="18" t="s">
        <v>46</v>
      </c>
      <c r="N818" s="20">
        <v>0.0</v>
      </c>
      <c r="O818" s="18">
        <v>35.0</v>
      </c>
      <c r="P818" s="20">
        <v>3.8</v>
      </c>
      <c r="Q818" s="16">
        <v>45391.0</v>
      </c>
      <c r="R818" s="16" t="s">
        <v>1425</v>
      </c>
      <c r="S818" s="13" t="s">
        <v>45</v>
      </c>
      <c r="T818" s="13" t="s">
        <v>72</v>
      </c>
      <c r="U818" s="13" t="str">
        <f t="shared" si="1"/>
        <v>Moderate</v>
      </c>
      <c r="V818" s="13" t="str">
        <f t="shared" si="2"/>
        <v>Median or Above</v>
      </c>
      <c r="W818" s="13" t="str">
        <f t="shared" si="3"/>
        <v>0–12 Months</v>
      </c>
    </row>
    <row r="819" hidden="1">
      <c r="A819" s="13" t="s">
        <v>531</v>
      </c>
      <c r="B819" s="13" t="s">
        <v>340</v>
      </c>
      <c r="C819" s="14">
        <v>65.0</v>
      </c>
      <c r="D819" s="13" t="s">
        <v>35</v>
      </c>
      <c r="E819" s="13" t="s">
        <v>161</v>
      </c>
      <c r="F819" s="13" t="s">
        <v>62</v>
      </c>
      <c r="G819" s="13" t="s">
        <v>80</v>
      </c>
      <c r="H819" s="16">
        <v>45850.0</v>
      </c>
      <c r="I819" s="14">
        <v>42.0</v>
      </c>
      <c r="J819" s="13" t="s">
        <v>40</v>
      </c>
      <c r="K819" s="13" t="s">
        <v>65</v>
      </c>
      <c r="L819" s="14">
        <v>562.0</v>
      </c>
      <c r="M819" s="18" t="s">
        <v>98</v>
      </c>
      <c r="N819" s="20">
        <v>0.0</v>
      </c>
      <c r="O819" s="18">
        <v>18.4</v>
      </c>
      <c r="P819" s="20">
        <v>5.0</v>
      </c>
      <c r="Q819" s="16">
        <v>46397.0</v>
      </c>
      <c r="R819" s="16" t="s">
        <v>38</v>
      </c>
      <c r="S819" s="13" t="s">
        <v>55</v>
      </c>
      <c r="T819" s="13" t="s">
        <v>75</v>
      </c>
      <c r="U819" s="13" t="str">
        <f t="shared" si="1"/>
        <v>High</v>
      </c>
      <c r="V819" s="13" t="str">
        <f t="shared" si="2"/>
        <v>Below Median</v>
      </c>
      <c r="W819" s="13" t="str">
        <f t="shared" si="3"/>
        <v>25–48 Months</v>
      </c>
    </row>
    <row r="820" hidden="1">
      <c r="A820" s="13" t="s">
        <v>1426</v>
      </c>
      <c r="B820" s="13" t="s">
        <v>110</v>
      </c>
      <c r="C820" s="14">
        <v>67.0</v>
      </c>
      <c r="D820" s="13" t="s">
        <v>60</v>
      </c>
      <c r="E820" s="13" t="s">
        <v>97</v>
      </c>
      <c r="F820" s="13" t="s">
        <v>79</v>
      </c>
      <c r="G820" s="13" t="s">
        <v>128</v>
      </c>
      <c r="H820" s="16">
        <v>45550.0</v>
      </c>
      <c r="I820" s="14">
        <v>14.0</v>
      </c>
      <c r="J820" s="13" t="s">
        <v>40</v>
      </c>
      <c r="K820" s="13" t="s">
        <v>65</v>
      </c>
      <c r="L820" s="14">
        <v>3419.0</v>
      </c>
      <c r="M820" s="18" t="s">
        <v>98</v>
      </c>
      <c r="N820" s="20">
        <v>0.0</v>
      </c>
      <c r="O820" s="18">
        <v>48.8</v>
      </c>
      <c r="P820" s="20">
        <v>3.1</v>
      </c>
      <c r="Q820" s="16">
        <v>45597.0</v>
      </c>
      <c r="R820" s="16" t="s">
        <v>38</v>
      </c>
      <c r="S820" s="13" t="s">
        <v>55</v>
      </c>
      <c r="T820" s="13" t="s">
        <v>72</v>
      </c>
      <c r="U820" s="13" t="str">
        <f t="shared" si="1"/>
        <v>Moderate</v>
      </c>
      <c r="V820" s="13" t="str">
        <f t="shared" si="2"/>
        <v>Median or Above</v>
      </c>
      <c r="W820" s="13" t="str">
        <f t="shared" si="3"/>
        <v>13–24 Months</v>
      </c>
    </row>
    <row r="821" hidden="1">
      <c r="A821" s="13" t="s">
        <v>1427</v>
      </c>
      <c r="B821" s="13" t="s">
        <v>176</v>
      </c>
      <c r="C821" s="14">
        <v>20.0</v>
      </c>
      <c r="D821" s="13" t="s">
        <v>85</v>
      </c>
      <c r="E821" s="13" t="s">
        <v>92</v>
      </c>
      <c r="F821" s="13" t="s">
        <v>37</v>
      </c>
      <c r="G821" s="13" t="s">
        <v>52</v>
      </c>
      <c r="H821" s="16">
        <v>45090.0</v>
      </c>
      <c r="I821" s="14">
        <v>37.0</v>
      </c>
      <c r="J821" s="13" t="s">
        <v>40</v>
      </c>
      <c r="K821" s="13" t="s">
        <v>65</v>
      </c>
      <c r="L821" s="14">
        <v>1778.0</v>
      </c>
      <c r="M821" s="18" t="s">
        <v>99</v>
      </c>
      <c r="N821" s="20">
        <v>0.0</v>
      </c>
      <c r="O821" s="18">
        <v>26.4</v>
      </c>
      <c r="P821" s="20">
        <v>2.9</v>
      </c>
      <c r="Q821" s="16">
        <v>45403.0</v>
      </c>
      <c r="R821" s="16" t="s">
        <v>38</v>
      </c>
      <c r="S821" s="13" t="s">
        <v>55</v>
      </c>
      <c r="T821" s="13" t="s">
        <v>66</v>
      </c>
      <c r="U821" s="13" t="str">
        <f t="shared" si="1"/>
        <v>Low</v>
      </c>
      <c r="V821" s="13" t="str">
        <f t="shared" si="2"/>
        <v>Median or Above</v>
      </c>
      <c r="W821" s="13" t="str">
        <f t="shared" si="3"/>
        <v>25–48 Months</v>
      </c>
    </row>
    <row r="822" hidden="1">
      <c r="A822" s="13" t="s">
        <v>1230</v>
      </c>
      <c r="B822" s="13" t="s">
        <v>106</v>
      </c>
      <c r="C822" s="14">
        <v>28.0</v>
      </c>
      <c r="D822" s="13" t="s">
        <v>60</v>
      </c>
      <c r="E822" s="13" t="s">
        <v>107</v>
      </c>
      <c r="F822" s="13" t="s">
        <v>79</v>
      </c>
      <c r="G822" s="13" t="s">
        <v>39</v>
      </c>
      <c r="H822" s="16">
        <v>45724.0</v>
      </c>
      <c r="I822" s="14">
        <v>41.0</v>
      </c>
      <c r="J822" s="13" t="s">
        <v>64</v>
      </c>
      <c r="K822" s="13" t="s">
        <v>65</v>
      </c>
      <c r="L822" s="14">
        <v>3377.0</v>
      </c>
      <c r="M822" s="18" t="s">
        <v>98</v>
      </c>
      <c r="N822" s="20">
        <v>1.0</v>
      </c>
      <c r="O822" s="18">
        <v>40.4</v>
      </c>
      <c r="P822" s="20">
        <v>4.1</v>
      </c>
      <c r="Q822" s="16">
        <v>46337.0</v>
      </c>
      <c r="R822" s="16" t="s">
        <v>38</v>
      </c>
      <c r="S822" s="13" t="s">
        <v>55</v>
      </c>
      <c r="T822" s="13" t="s">
        <v>75</v>
      </c>
      <c r="U822" s="13" t="str">
        <f t="shared" si="1"/>
        <v>Moderate</v>
      </c>
      <c r="V822" s="13" t="str">
        <f t="shared" si="2"/>
        <v>Median or Above</v>
      </c>
      <c r="W822" s="13" t="str">
        <f t="shared" si="3"/>
        <v>25–48 Months</v>
      </c>
    </row>
    <row r="823" hidden="1">
      <c r="A823" s="13" t="s">
        <v>1428</v>
      </c>
      <c r="B823" s="13" t="s">
        <v>476</v>
      </c>
      <c r="C823" s="14">
        <v>49.0</v>
      </c>
      <c r="D823" s="13" t="s">
        <v>69</v>
      </c>
      <c r="E823" s="13" t="s">
        <v>70</v>
      </c>
      <c r="F823" s="13" t="s">
        <v>79</v>
      </c>
      <c r="G823" s="13" t="s">
        <v>80</v>
      </c>
      <c r="H823" s="16">
        <v>45182.0</v>
      </c>
      <c r="I823" s="14">
        <v>10.0</v>
      </c>
      <c r="J823" s="13" t="s">
        <v>64</v>
      </c>
      <c r="K823" s="13" t="s">
        <v>41</v>
      </c>
      <c r="L823" s="14">
        <v>3475.0</v>
      </c>
      <c r="M823" s="18" t="s">
        <v>98</v>
      </c>
      <c r="N823" s="20">
        <v>0.0</v>
      </c>
      <c r="O823" s="18">
        <v>38.9</v>
      </c>
      <c r="P823" s="20">
        <v>4.3</v>
      </c>
      <c r="Q823" s="16">
        <v>45452.0</v>
      </c>
      <c r="R823" s="16" t="s">
        <v>38</v>
      </c>
      <c r="S823" s="13" t="s">
        <v>55</v>
      </c>
      <c r="T823" s="13" t="s">
        <v>72</v>
      </c>
      <c r="U823" s="13" t="str">
        <f t="shared" si="1"/>
        <v>Moderate</v>
      </c>
      <c r="V823" s="13" t="str">
        <f t="shared" si="2"/>
        <v>Median or Above</v>
      </c>
      <c r="W823" s="13" t="str">
        <f t="shared" si="3"/>
        <v>0–12 Months</v>
      </c>
    </row>
    <row r="824" hidden="1">
      <c r="A824" s="13" t="s">
        <v>1162</v>
      </c>
      <c r="B824" s="13" t="s">
        <v>308</v>
      </c>
      <c r="C824" s="14">
        <v>61.0</v>
      </c>
      <c r="D824" s="13" t="s">
        <v>69</v>
      </c>
      <c r="E824" s="13" t="s">
        <v>177</v>
      </c>
      <c r="F824" s="13" t="s">
        <v>37</v>
      </c>
      <c r="G824" s="13" t="s">
        <v>120</v>
      </c>
      <c r="H824" s="16">
        <v>45555.0</v>
      </c>
      <c r="I824" s="14">
        <v>42.0</v>
      </c>
      <c r="J824" s="13" t="s">
        <v>40</v>
      </c>
      <c r="K824" s="13" t="s">
        <v>65</v>
      </c>
      <c r="L824" s="14">
        <v>1492.0</v>
      </c>
      <c r="M824" s="18" t="s">
        <v>98</v>
      </c>
      <c r="N824" s="20">
        <v>0.0</v>
      </c>
      <c r="O824" s="18">
        <v>35.0</v>
      </c>
      <c r="P824" s="20">
        <v>4.6</v>
      </c>
      <c r="Q824" s="16">
        <v>46556.0</v>
      </c>
      <c r="R824" s="16" t="s">
        <v>38</v>
      </c>
      <c r="S824" s="13" t="s">
        <v>55</v>
      </c>
      <c r="T824" s="13" t="s">
        <v>47</v>
      </c>
      <c r="U824" s="13" t="str">
        <f t="shared" si="1"/>
        <v>Moderate</v>
      </c>
      <c r="V824" s="13" t="str">
        <f t="shared" si="2"/>
        <v>Median or Above</v>
      </c>
      <c r="W824" s="13" t="str">
        <f t="shared" si="3"/>
        <v>25–48 Months</v>
      </c>
    </row>
    <row r="825" hidden="1">
      <c r="A825" s="13" t="s">
        <v>1429</v>
      </c>
      <c r="B825" s="13" t="s">
        <v>395</v>
      </c>
      <c r="C825" s="14">
        <v>66.0</v>
      </c>
      <c r="D825" s="13" t="s">
        <v>69</v>
      </c>
      <c r="E825" s="13" t="s">
        <v>187</v>
      </c>
      <c r="F825" s="13" t="s">
        <v>62</v>
      </c>
      <c r="G825" s="13" t="s">
        <v>80</v>
      </c>
      <c r="H825" s="16">
        <v>44806.0</v>
      </c>
      <c r="I825" s="14">
        <v>42.0</v>
      </c>
      <c r="J825" s="13" t="s">
        <v>40</v>
      </c>
      <c r="K825" s="13" t="s">
        <v>65</v>
      </c>
      <c r="L825" s="14">
        <v>754.0</v>
      </c>
      <c r="M825" s="18" t="s">
        <v>98</v>
      </c>
      <c r="N825" s="20">
        <v>1.0</v>
      </c>
      <c r="O825" s="18">
        <v>9.6</v>
      </c>
      <c r="P825" s="20">
        <v>3.0</v>
      </c>
      <c r="Q825" s="16">
        <v>44840.0</v>
      </c>
      <c r="R825" s="16" t="s">
        <v>38</v>
      </c>
      <c r="S825" s="13" t="s">
        <v>55</v>
      </c>
      <c r="T825" s="13" t="s">
        <v>104</v>
      </c>
      <c r="U825" s="13" t="str">
        <f t="shared" si="1"/>
        <v>Moderate</v>
      </c>
      <c r="V825" s="13" t="str">
        <f t="shared" si="2"/>
        <v>Below Median</v>
      </c>
      <c r="W825" s="13" t="str">
        <f t="shared" si="3"/>
        <v>25–48 Months</v>
      </c>
    </row>
    <row r="826" hidden="1">
      <c r="A826" s="13" t="s">
        <v>1430</v>
      </c>
      <c r="B826" s="13" t="s">
        <v>172</v>
      </c>
      <c r="C826" s="14">
        <v>34.0</v>
      </c>
      <c r="D826" s="13" t="s">
        <v>35</v>
      </c>
      <c r="E826" s="13" t="s">
        <v>161</v>
      </c>
      <c r="F826" s="13" t="s">
        <v>37</v>
      </c>
      <c r="G826" s="13" t="s">
        <v>210</v>
      </c>
      <c r="H826" s="16">
        <v>45695.0</v>
      </c>
      <c r="I826" s="14">
        <v>35.0</v>
      </c>
      <c r="J826" s="13" t="s">
        <v>53</v>
      </c>
      <c r="K826" s="13" t="s">
        <v>81</v>
      </c>
      <c r="L826" s="14">
        <v>1080.0</v>
      </c>
      <c r="M826" s="18" t="s">
        <v>164</v>
      </c>
      <c r="N826" s="20">
        <v>0.0</v>
      </c>
      <c r="O826" s="18">
        <v>23.7</v>
      </c>
      <c r="P826" s="20">
        <v>3.8</v>
      </c>
      <c r="Q826" s="16">
        <v>45819.0</v>
      </c>
      <c r="R826" s="16">
        <v>46639.0</v>
      </c>
      <c r="S826" s="13" t="s">
        <v>45</v>
      </c>
      <c r="T826" s="13" t="s">
        <v>47</v>
      </c>
      <c r="U826" s="13" t="str">
        <f t="shared" si="1"/>
        <v>Moderate</v>
      </c>
      <c r="V826" s="13" t="str">
        <f t="shared" si="2"/>
        <v>Below Median</v>
      </c>
      <c r="W826" s="13" t="str">
        <f t="shared" si="3"/>
        <v>25–48 Months</v>
      </c>
    </row>
    <row r="827" hidden="1">
      <c r="A827" s="13" t="s">
        <v>1432</v>
      </c>
      <c r="B827" s="13" t="s">
        <v>336</v>
      </c>
      <c r="C827" s="14">
        <v>52.0</v>
      </c>
      <c r="D827" s="13" t="s">
        <v>69</v>
      </c>
      <c r="E827" s="13" t="s">
        <v>187</v>
      </c>
      <c r="F827" s="13" t="s">
        <v>37</v>
      </c>
      <c r="G827" s="13" t="s">
        <v>120</v>
      </c>
      <c r="H827" s="16">
        <v>44925.0</v>
      </c>
      <c r="I827" s="14">
        <v>3.0</v>
      </c>
      <c r="J827" s="13" t="s">
        <v>53</v>
      </c>
      <c r="K827" s="13" t="s">
        <v>41</v>
      </c>
      <c r="L827" s="14">
        <v>1564.0</v>
      </c>
      <c r="M827" s="18" t="s">
        <v>98</v>
      </c>
      <c r="N827" s="20">
        <v>0.0</v>
      </c>
      <c r="O827" s="18">
        <v>23.1</v>
      </c>
      <c r="P827" s="20">
        <v>2.8</v>
      </c>
      <c r="Q827" s="16">
        <v>44946.0</v>
      </c>
      <c r="R827" s="16" t="s">
        <v>1433</v>
      </c>
      <c r="S827" s="13" t="s">
        <v>45</v>
      </c>
      <c r="T827" s="13" t="s">
        <v>47</v>
      </c>
      <c r="U827" s="13" t="str">
        <f t="shared" si="1"/>
        <v>Low</v>
      </c>
      <c r="V827" s="13" t="str">
        <f t="shared" si="2"/>
        <v>Below Median</v>
      </c>
      <c r="W827" s="13" t="str">
        <f t="shared" si="3"/>
        <v>0–12 Months</v>
      </c>
    </row>
    <row r="828" hidden="1">
      <c r="A828" s="13" t="s">
        <v>165</v>
      </c>
      <c r="B828" s="13" t="s">
        <v>639</v>
      </c>
      <c r="C828" s="14">
        <v>31.0</v>
      </c>
      <c r="D828" s="13" t="s">
        <v>69</v>
      </c>
      <c r="E828" s="13" t="s">
        <v>119</v>
      </c>
      <c r="F828" s="13" t="s">
        <v>37</v>
      </c>
      <c r="G828" s="13" t="s">
        <v>80</v>
      </c>
      <c r="H828" s="16">
        <v>44666.0</v>
      </c>
      <c r="I828" s="14">
        <v>21.0</v>
      </c>
      <c r="J828" s="13" t="s">
        <v>40</v>
      </c>
      <c r="K828" s="13" t="s">
        <v>81</v>
      </c>
      <c r="L828" s="14">
        <v>1200.0</v>
      </c>
      <c r="M828" s="18" t="s">
        <v>98</v>
      </c>
      <c r="N828" s="20">
        <v>0.0</v>
      </c>
      <c r="O828" s="18">
        <v>32.7</v>
      </c>
      <c r="P828" s="20">
        <v>4.3</v>
      </c>
      <c r="Q828" s="16">
        <v>44795.0</v>
      </c>
      <c r="R828" s="16">
        <v>45207.0</v>
      </c>
      <c r="S828" s="13" t="s">
        <v>45</v>
      </c>
      <c r="T828" s="13" t="s">
        <v>66</v>
      </c>
      <c r="U828" s="13" t="str">
        <f t="shared" si="1"/>
        <v>Moderate</v>
      </c>
      <c r="V828" s="13" t="str">
        <f t="shared" si="2"/>
        <v>Median or Above</v>
      </c>
      <c r="W828" s="13" t="str">
        <f t="shared" si="3"/>
        <v>13–24 Months</v>
      </c>
    </row>
    <row r="829" hidden="1">
      <c r="A829" s="13" t="s">
        <v>1434</v>
      </c>
      <c r="B829" s="13" t="s">
        <v>351</v>
      </c>
      <c r="C829" s="14">
        <v>19.0</v>
      </c>
      <c r="D829" s="13" t="s">
        <v>85</v>
      </c>
      <c r="E829" s="13" t="s">
        <v>92</v>
      </c>
      <c r="F829" s="13" t="s">
        <v>37</v>
      </c>
      <c r="G829" s="13" t="s">
        <v>80</v>
      </c>
      <c r="H829" s="16">
        <v>45442.0</v>
      </c>
      <c r="I829" s="14">
        <v>8.0</v>
      </c>
      <c r="J829" s="13" t="s">
        <v>53</v>
      </c>
      <c r="K829" s="13" t="s">
        <v>65</v>
      </c>
      <c r="L829" s="14">
        <v>1795.0</v>
      </c>
      <c r="M829" s="18" t="s">
        <v>164</v>
      </c>
      <c r="N829" s="20">
        <v>0.0</v>
      </c>
      <c r="O829" s="18">
        <v>36.0</v>
      </c>
      <c r="P829" s="20">
        <v>4.9</v>
      </c>
      <c r="Q829" s="16">
        <v>45501.0</v>
      </c>
      <c r="R829" s="16" t="s">
        <v>38</v>
      </c>
      <c r="S829" s="13" t="s">
        <v>55</v>
      </c>
      <c r="T829" s="13" t="s">
        <v>66</v>
      </c>
      <c r="U829" s="13" t="str">
        <f t="shared" si="1"/>
        <v>Moderate</v>
      </c>
      <c r="V829" s="13" t="str">
        <f t="shared" si="2"/>
        <v>Median or Above</v>
      </c>
      <c r="W829" s="13" t="str">
        <f t="shared" si="3"/>
        <v>0–12 Months</v>
      </c>
    </row>
    <row r="830" hidden="1">
      <c r="A830" s="13" t="s">
        <v>1435</v>
      </c>
      <c r="B830" s="13" t="s">
        <v>224</v>
      </c>
      <c r="C830" s="14">
        <v>62.0</v>
      </c>
      <c r="D830" s="13" t="s">
        <v>85</v>
      </c>
      <c r="E830" s="13" t="s">
        <v>111</v>
      </c>
      <c r="F830" s="13" t="s">
        <v>62</v>
      </c>
      <c r="G830" s="13" t="s">
        <v>120</v>
      </c>
      <c r="H830" s="16">
        <v>45615.0</v>
      </c>
      <c r="I830" s="14">
        <v>19.0</v>
      </c>
      <c r="J830" s="13" t="s">
        <v>64</v>
      </c>
      <c r="K830" s="13" t="s">
        <v>81</v>
      </c>
      <c r="L830" s="14">
        <v>652.0</v>
      </c>
      <c r="M830" s="18" t="s">
        <v>46</v>
      </c>
      <c r="N830" s="20">
        <v>1.0</v>
      </c>
      <c r="O830" s="18">
        <v>14.6</v>
      </c>
      <c r="P830" s="20">
        <v>4.1</v>
      </c>
      <c r="Q830" s="16">
        <v>46169.0</v>
      </c>
      <c r="R830" s="16" t="s">
        <v>1436</v>
      </c>
      <c r="S830" s="13" t="s">
        <v>45</v>
      </c>
      <c r="T830" s="13" t="s">
        <v>72</v>
      </c>
      <c r="U830" s="13" t="str">
        <f t="shared" si="1"/>
        <v>Moderate</v>
      </c>
      <c r="V830" s="13" t="str">
        <f t="shared" si="2"/>
        <v>Below Median</v>
      </c>
      <c r="W830" s="13" t="str">
        <f t="shared" si="3"/>
        <v>13–24 Months</v>
      </c>
    </row>
    <row r="831" hidden="1">
      <c r="A831" s="13" t="s">
        <v>1438</v>
      </c>
      <c r="B831" s="13" t="s">
        <v>288</v>
      </c>
      <c r="C831" s="14">
        <v>67.0</v>
      </c>
      <c r="D831" s="13" t="s">
        <v>69</v>
      </c>
      <c r="E831" s="13" t="s">
        <v>292</v>
      </c>
      <c r="F831" s="13" t="s">
        <v>79</v>
      </c>
      <c r="G831" s="13" t="s">
        <v>39</v>
      </c>
      <c r="H831" s="16">
        <v>45560.0</v>
      </c>
      <c r="I831" s="14">
        <v>1.0</v>
      </c>
      <c r="J831" s="13" t="s">
        <v>53</v>
      </c>
      <c r="K831" s="13" t="s">
        <v>81</v>
      </c>
      <c r="L831" s="14">
        <v>3014.0</v>
      </c>
      <c r="M831" s="18" t="s">
        <v>46</v>
      </c>
      <c r="N831" s="20">
        <v>1.0</v>
      </c>
      <c r="O831" s="18">
        <v>39.8</v>
      </c>
      <c r="P831" s="20">
        <v>4.3</v>
      </c>
      <c r="Q831" s="16">
        <v>45580.0</v>
      </c>
      <c r="R831" s="16" t="s">
        <v>38</v>
      </c>
      <c r="S831" s="13" t="s">
        <v>55</v>
      </c>
      <c r="T831" s="13" t="s">
        <v>72</v>
      </c>
      <c r="U831" s="13" t="str">
        <f t="shared" si="1"/>
        <v>Moderate</v>
      </c>
      <c r="V831" s="13" t="str">
        <f t="shared" si="2"/>
        <v>Median or Above</v>
      </c>
      <c r="W831" s="13" t="str">
        <f t="shared" si="3"/>
        <v>0–12 Months</v>
      </c>
    </row>
    <row r="832" hidden="1">
      <c r="A832" s="13" t="s">
        <v>1439</v>
      </c>
      <c r="B832" s="13" t="s">
        <v>184</v>
      </c>
      <c r="C832" s="14">
        <v>68.0</v>
      </c>
      <c r="D832" s="13" t="s">
        <v>85</v>
      </c>
      <c r="E832" s="13" t="s">
        <v>92</v>
      </c>
      <c r="F832" s="13" t="s">
        <v>37</v>
      </c>
      <c r="G832" s="13" t="s">
        <v>80</v>
      </c>
      <c r="H832" s="16">
        <v>44936.0</v>
      </c>
      <c r="I832" s="14">
        <v>13.0</v>
      </c>
      <c r="J832" s="13" t="s">
        <v>64</v>
      </c>
      <c r="K832" s="13" t="s">
        <v>65</v>
      </c>
      <c r="L832" s="14">
        <v>1236.0</v>
      </c>
      <c r="M832" s="18" t="s">
        <v>46</v>
      </c>
      <c r="N832" s="20">
        <v>1.0</v>
      </c>
      <c r="O832" s="18">
        <v>19.9</v>
      </c>
      <c r="P832" s="20">
        <v>2.2</v>
      </c>
      <c r="Q832" s="16">
        <v>45103.0</v>
      </c>
      <c r="R832" s="16" t="s">
        <v>1440</v>
      </c>
      <c r="S832" s="13" t="s">
        <v>45</v>
      </c>
      <c r="T832" s="13" t="s">
        <v>104</v>
      </c>
      <c r="U832" s="13" t="str">
        <f t="shared" si="1"/>
        <v>Low</v>
      </c>
      <c r="V832" s="13" t="str">
        <f t="shared" si="2"/>
        <v>Below Median</v>
      </c>
      <c r="W832" s="13" t="str">
        <f t="shared" si="3"/>
        <v>13–24 Months</v>
      </c>
    </row>
    <row r="833" hidden="1">
      <c r="A833" s="13" t="s">
        <v>1441</v>
      </c>
      <c r="B833" s="13" t="s">
        <v>605</v>
      </c>
      <c r="C833" s="14">
        <v>39.0</v>
      </c>
      <c r="D833" s="13" t="s">
        <v>60</v>
      </c>
      <c r="E833" s="13" t="s">
        <v>97</v>
      </c>
      <c r="F833" s="13" t="s">
        <v>37</v>
      </c>
      <c r="G833" s="13" t="s">
        <v>39</v>
      </c>
      <c r="H833" s="16">
        <v>45225.0</v>
      </c>
      <c r="I833" s="14">
        <v>11.0</v>
      </c>
      <c r="J833" s="13" t="s">
        <v>64</v>
      </c>
      <c r="K833" s="13" t="s">
        <v>65</v>
      </c>
      <c r="L833" s="14">
        <v>1174.0</v>
      </c>
      <c r="M833" s="18" t="s">
        <v>43</v>
      </c>
      <c r="N833" s="20">
        <v>0.0</v>
      </c>
      <c r="O833" s="18">
        <v>14.5</v>
      </c>
      <c r="P833" s="20">
        <v>2.7</v>
      </c>
      <c r="Q833" s="16">
        <v>45315.0</v>
      </c>
      <c r="R833" s="16" t="s">
        <v>38</v>
      </c>
      <c r="S833" s="13" t="s">
        <v>55</v>
      </c>
      <c r="T833" s="13" t="s">
        <v>66</v>
      </c>
      <c r="U833" s="13" t="str">
        <f t="shared" si="1"/>
        <v>Low</v>
      </c>
      <c r="V833" s="13" t="str">
        <f t="shared" si="2"/>
        <v>Below Median</v>
      </c>
      <c r="W833" s="13" t="str">
        <f t="shared" si="3"/>
        <v>0–12 Months</v>
      </c>
    </row>
    <row r="834" hidden="1">
      <c r="A834" s="13" t="s">
        <v>415</v>
      </c>
      <c r="B834" s="13" t="s">
        <v>241</v>
      </c>
      <c r="C834" s="14">
        <v>46.0</v>
      </c>
      <c r="D834" s="13" t="s">
        <v>60</v>
      </c>
      <c r="E834" s="13" t="s">
        <v>38</v>
      </c>
      <c r="F834" s="13" t="s">
        <v>79</v>
      </c>
      <c r="G834" s="13" t="s">
        <v>120</v>
      </c>
      <c r="H834" s="16">
        <v>45183.0</v>
      </c>
      <c r="I834" s="14">
        <v>24.0</v>
      </c>
      <c r="J834" s="13" t="s">
        <v>64</v>
      </c>
      <c r="K834" s="13" t="s">
        <v>65</v>
      </c>
      <c r="L834" s="14">
        <v>2723.0</v>
      </c>
      <c r="M834" s="18" t="s">
        <v>43</v>
      </c>
      <c r="N834" s="20">
        <v>0.0</v>
      </c>
      <c r="O834" s="18">
        <v>29.8</v>
      </c>
      <c r="P834" s="20">
        <v>3.4</v>
      </c>
      <c r="Q834" s="16">
        <v>45515.0</v>
      </c>
      <c r="R834" s="16" t="s">
        <v>38</v>
      </c>
      <c r="S834" s="13" t="s">
        <v>55</v>
      </c>
      <c r="T834" s="13" t="s">
        <v>75</v>
      </c>
      <c r="U834" s="13" t="str">
        <f t="shared" si="1"/>
        <v>Moderate</v>
      </c>
      <c r="V834" s="13" t="str">
        <f t="shared" si="2"/>
        <v>Median or Above</v>
      </c>
      <c r="W834" s="13" t="str">
        <f t="shared" si="3"/>
        <v>13–24 Months</v>
      </c>
    </row>
    <row r="835" hidden="1">
      <c r="A835" s="13" t="s">
        <v>1442</v>
      </c>
      <c r="B835" s="13" t="s">
        <v>420</v>
      </c>
      <c r="C835" s="14">
        <v>42.0</v>
      </c>
      <c r="D835" s="13" t="s">
        <v>85</v>
      </c>
      <c r="E835" s="13" t="s">
        <v>292</v>
      </c>
      <c r="F835" s="13" t="s">
        <v>79</v>
      </c>
      <c r="G835" s="13" t="s">
        <v>210</v>
      </c>
      <c r="H835" s="16">
        <v>45884.0</v>
      </c>
      <c r="I835" s="14">
        <v>9.0</v>
      </c>
      <c r="J835" s="13" t="s">
        <v>40</v>
      </c>
      <c r="K835" s="13" t="s">
        <v>65</v>
      </c>
      <c r="L835" s="14">
        <v>2038.0</v>
      </c>
      <c r="M835" s="18" t="s">
        <v>46</v>
      </c>
      <c r="N835" s="20">
        <v>2.0</v>
      </c>
      <c r="O835" s="18">
        <v>40.1</v>
      </c>
      <c r="P835" s="20">
        <v>3.0</v>
      </c>
      <c r="Q835" s="16">
        <v>45997.0</v>
      </c>
      <c r="R835" s="16" t="s">
        <v>1443</v>
      </c>
      <c r="S835" s="13" t="s">
        <v>45</v>
      </c>
      <c r="T835" s="13" t="s">
        <v>75</v>
      </c>
      <c r="U835" s="13" t="str">
        <f t="shared" si="1"/>
        <v>Moderate</v>
      </c>
      <c r="V835" s="13" t="str">
        <f t="shared" si="2"/>
        <v>Median or Above</v>
      </c>
      <c r="W835" s="13" t="str">
        <f t="shared" si="3"/>
        <v>0–12 Months</v>
      </c>
    </row>
    <row r="836" hidden="1">
      <c r="A836" s="13" t="s">
        <v>1444</v>
      </c>
      <c r="B836" s="13" t="s">
        <v>110</v>
      </c>
      <c r="C836" s="14">
        <v>21.0</v>
      </c>
      <c r="D836" s="13" t="s">
        <v>60</v>
      </c>
      <c r="E836" s="13" t="s">
        <v>97</v>
      </c>
      <c r="F836" s="13" t="s">
        <v>37</v>
      </c>
      <c r="G836" s="13" t="s">
        <v>80</v>
      </c>
      <c r="H836" s="16">
        <v>45592.0</v>
      </c>
      <c r="I836" s="14">
        <v>29.0</v>
      </c>
      <c r="J836" s="13" t="s">
        <v>64</v>
      </c>
      <c r="K836" s="13" t="s">
        <v>65</v>
      </c>
      <c r="L836" s="14">
        <v>1075.0</v>
      </c>
      <c r="M836" s="18" t="s">
        <v>98</v>
      </c>
      <c r="N836" s="20">
        <v>1.0</v>
      </c>
      <c r="O836" s="18">
        <v>34.6</v>
      </c>
      <c r="P836" s="20">
        <v>3.8</v>
      </c>
      <c r="Q836" s="16">
        <v>45766.0</v>
      </c>
      <c r="R836" s="16" t="s">
        <v>1445</v>
      </c>
      <c r="S836" s="13" t="s">
        <v>45</v>
      </c>
      <c r="T836" s="13" t="s">
        <v>75</v>
      </c>
      <c r="U836" s="13" t="str">
        <f t="shared" si="1"/>
        <v>Moderate</v>
      </c>
      <c r="V836" s="13" t="str">
        <f t="shared" si="2"/>
        <v>Median or Above</v>
      </c>
      <c r="W836" s="13" t="str">
        <f t="shared" si="3"/>
        <v>25–48 Months</v>
      </c>
    </row>
    <row r="837" hidden="1">
      <c r="A837" s="13" t="s">
        <v>657</v>
      </c>
      <c r="B837" s="13" t="s">
        <v>639</v>
      </c>
      <c r="C837" s="14">
        <v>27.0</v>
      </c>
      <c r="D837" s="13" t="s">
        <v>60</v>
      </c>
      <c r="E837" s="13" t="s">
        <v>133</v>
      </c>
      <c r="F837" s="13" t="s">
        <v>62</v>
      </c>
      <c r="G837" s="13" t="s">
        <v>63</v>
      </c>
      <c r="H837" s="16">
        <v>45871.0</v>
      </c>
      <c r="I837" s="14">
        <v>22.0</v>
      </c>
      <c r="J837" s="13" t="s">
        <v>64</v>
      </c>
      <c r="K837" s="13" t="s">
        <v>41</v>
      </c>
      <c r="L837" s="14">
        <v>688.0</v>
      </c>
      <c r="M837" s="18" t="s">
        <v>164</v>
      </c>
      <c r="N837" s="20">
        <v>2.0</v>
      </c>
      <c r="O837" s="18">
        <v>28.8</v>
      </c>
      <c r="P837" s="20">
        <v>4.9</v>
      </c>
      <c r="Q837" s="16">
        <v>46172.0</v>
      </c>
      <c r="R837" s="16" t="s">
        <v>38</v>
      </c>
      <c r="S837" s="13" t="s">
        <v>55</v>
      </c>
      <c r="T837" s="13" t="s">
        <v>72</v>
      </c>
      <c r="U837" s="13" t="str">
        <f t="shared" si="1"/>
        <v>Moderate</v>
      </c>
      <c r="V837" s="13" t="str">
        <f t="shared" si="2"/>
        <v>Median or Above</v>
      </c>
      <c r="W837" s="13" t="str">
        <f t="shared" si="3"/>
        <v>13–24 Months</v>
      </c>
    </row>
    <row r="838" hidden="1">
      <c r="A838" s="13" t="s">
        <v>1447</v>
      </c>
      <c r="B838" s="13" t="s">
        <v>232</v>
      </c>
      <c r="C838" s="14">
        <v>54.0</v>
      </c>
      <c r="D838" s="13" t="s">
        <v>85</v>
      </c>
      <c r="E838" s="13" t="s">
        <v>111</v>
      </c>
      <c r="F838" s="13" t="s">
        <v>79</v>
      </c>
      <c r="G838" s="13" t="s">
        <v>80</v>
      </c>
      <c r="H838" s="16">
        <v>45174.0</v>
      </c>
      <c r="I838" s="14">
        <v>37.0</v>
      </c>
      <c r="J838" s="13" t="s">
        <v>40</v>
      </c>
      <c r="K838" s="13" t="s">
        <v>65</v>
      </c>
      <c r="L838" s="14">
        <v>2501.0</v>
      </c>
      <c r="M838" s="18" t="s">
        <v>43</v>
      </c>
      <c r="N838" s="20">
        <v>1.0</v>
      </c>
      <c r="O838" s="18">
        <v>28.9</v>
      </c>
      <c r="P838" s="20">
        <v>4.0</v>
      </c>
      <c r="Q838" s="16">
        <v>45855.0</v>
      </c>
      <c r="R838" s="16" t="s">
        <v>38</v>
      </c>
      <c r="S838" s="13" t="s">
        <v>55</v>
      </c>
      <c r="T838" s="13" t="s">
        <v>104</v>
      </c>
      <c r="U838" s="13" t="str">
        <f t="shared" si="1"/>
        <v>Moderate</v>
      </c>
      <c r="V838" s="13" t="str">
        <f t="shared" si="2"/>
        <v>Median or Above</v>
      </c>
      <c r="W838" s="13" t="str">
        <f t="shared" si="3"/>
        <v>25–48 Months</v>
      </c>
    </row>
    <row r="839" hidden="1">
      <c r="A839" s="13" t="s">
        <v>1448</v>
      </c>
      <c r="B839" s="13" t="s">
        <v>281</v>
      </c>
      <c r="C839" s="14">
        <v>31.0</v>
      </c>
      <c r="D839" s="13" t="s">
        <v>35</v>
      </c>
      <c r="E839" s="13" t="s">
        <v>161</v>
      </c>
      <c r="F839" s="13" t="s">
        <v>79</v>
      </c>
      <c r="G839" s="13" t="s">
        <v>210</v>
      </c>
      <c r="H839" s="16">
        <v>45475.0</v>
      </c>
      <c r="I839" s="14">
        <v>48.0</v>
      </c>
      <c r="J839" s="13" t="s">
        <v>64</v>
      </c>
      <c r="K839" s="13" t="s">
        <v>81</v>
      </c>
      <c r="L839" s="14">
        <v>2958.0</v>
      </c>
      <c r="M839" s="18" t="s">
        <v>164</v>
      </c>
      <c r="N839" s="20">
        <v>0.0</v>
      </c>
      <c r="O839" s="18">
        <v>46.8</v>
      </c>
      <c r="P839" s="20">
        <v>1.7</v>
      </c>
      <c r="Q839" s="16">
        <v>45951.0</v>
      </c>
      <c r="R839" s="16">
        <v>46421.0</v>
      </c>
      <c r="S839" s="13" t="s">
        <v>45</v>
      </c>
      <c r="T839" s="13" t="s">
        <v>72</v>
      </c>
      <c r="U839" s="13" t="str">
        <f t="shared" si="1"/>
        <v>Low</v>
      </c>
      <c r="V839" s="13" t="str">
        <f t="shared" si="2"/>
        <v>Median or Above</v>
      </c>
      <c r="W839" s="13" t="str">
        <f t="shared" si="3"/>
        <v>25–48 Months</v>
      </c>
    </row>
    <row r="840" hidden="1">
      <c r="A840" s="13" t="s">
        <v>1451</v>
      </c>
      <c r="B840" s="13" t="s">
        <v>202</v>
      </c>
      <c r="C840" s="14">
        <v>21.0</v>
      </c>
      <c r="D840" s="13" t="s">
        <v>35</v>
      </c>
      <c r="E840" s="13" t="s">
        <v>51</v>
      </c>
      <c r="F840" s="13" t="s">
        <v>62</v>
      </c>
      <c r="G840" s="13" t="s">
        <v>120</v>
      </c>
      <c r="H840" s="16">
        <v>45437.0</v>
      </c>
      <c r="I840" s="14">
        <v>26.0</v>
      </c>
      <c r="J840" s="13" t="s">
        <v>64</v>
      </c>
      <c r="K840" s="13" t="s">
        <v>65</v>
      </c>
      <c r="L840" s="14">
        <v>523.0</v>
      </c>
      <c r="M840" s="18" t="s">
        <v>99</v>
      </c>
      <c r="N840" s="20">
        <v>0.0</v>
      </c>
      <c r="O840" s="18">
        <v>16.5</v>
      </c>
      <c r="P840" s="20">
        <v>3.9</v>
      </c>
      <c r="Q840" s="16">
        <v>45971.0</v>
      </c>
      <c r="R840" s="16">
        <v>45968.0</v>
      </c>
      <c r="S840" s="13" t="s">
        <v>45</v>
      </c>
      <c r="T840" s="13" t="s">
        <v>66</v>
      </c>
      <c r="U840" s="13" t="str">
        <f t="shared" si="1"/>
        <v>Moderate</v>
      </c>
      <c r="V840" s="13" t="str">
        <f t="shared" si="2"/>
        <v>Below Median</v>
      </c>
      <c r="W840" s="13" t="str">
        <f t="shared" si="3"/>
        <v>25–48 Months</v>
      </c>
    </row>
    <row r="841" hidden="1">
      <c r="A841" s="13" t="s">
        <v>804</v>
      </c>
      <c r="B841" s="13" t="s">
        <v>288</v>
      </c>
      <c r="C841" s="14">
        <v>55.0</v>
      </c>
      <c r="D841" s="13" t="s">
        <v>60</v>
      </c>
      <c r="E841" s="13" t="s">
        <v>107</v>
      </c>
      <c r="F841" s="13" t="s">
        <v>37</v>
      </c>
      <c r="G841" s="13" t="s">
        <v>52</v>
      </c>
      <c r="H841" s="16">
        <v>44716.0</v>
      </c>
      <c r="I841" s="14">
        <v>37.0</v>
      </c>
      <c r="J841" s="13" t="s">
        <v>53</v>
      </c>
      <c r="K841" s="13" t="s">
        <v>81</v>
      </c>
      <c r="L841" s="14">
        <v>1798.0</v>
      </c>
      <c r="M841" s="18" t="s">
        <v>98</v>
      </c>
      <c r="N841" s="20">
        <v>1.0</v>
      </c>
      <c r="O841" s="18">
        <v>16.9</v>
      </c>
      <c r="P841" s="20">
        <v>4.9</v>
      </c>
      <c r="Q841" s="16">
        <v>45815.0</v>
      </c>
      <c r="R841" s="16" t="s">
        <v>38</v>
      </c>
      <c r="S841" s="13" t="s">
        <v>55</v>
      </c>
      <c r="T841" s="13" t="s">
        <v>47</v>
      </c>
      <c r="U841" s="13" t="str">
        <f t="shared" si="1"/>
        <v>Moderate</v>
      </c>
      <c r="V841" s="13" t="str">
        <f t="shared" si="2"/>
        <v>Below Median</v>
      </c>
      <c r="W841" s="13" t="str">
        <f t="shared" si="3"/>
        <v>25–48 Months</v>
      </c>
    </row>
    <row r="842" hidden="1">
      <c r="A842" s="13" t="s">
        <v>1455</v>
      </c>
      <c r="B842" s="13" t="s">
        <v>448</v>
      </c>
      <c r="C842" s="14">
        <v>48.0</v>
      </c>
      <c r="D842" s="13" t="s">
        <v>35</v>
      </c>
      <c r="E842" s="13" t="s">
        <v>140</v>
      </c>
      <c r="F842" s="13" t="s">
        <v>37</v>
      </c>
      <c r="G842" s="13" t="s">
        <v>120</v>
      </c>
      <c r="H842" s="16">
        <v>45486.0</v>
      </c>
      <c r="I842" s="14">
        <v>48.0</v>
      </c>
      <c r="J842" s="13" t="s">
        <v>64</v>
      </c>
      <c r="K842" s="13" t="s">
        <v>81</v>
      </c>
      <c r="L842" s="14">
        <v>1073.0</v>
      </c>
      <c r="M842" s="18" t="s">
        <v>43</v>
      </c>
      <c r="N842" s="20">
        <v>2.0</v>
      </c>
      <c r="O842" s="18">
        <v>17.9</v>
      </c>
      <c r="P842" s="20">
        <v>4.4</v>
      </c>
      <c r="Q842" s="16">
        <v>46822.0</v>
      </c>
      <c r="R842" s="16" t="s">
        <v>38</v>
      </c>
      <c r="S842" s="13" t="s">
        <v>55</v>
      </c>
      <c r="T842" s="13" t="s">
        <v>75</v>
      </c>
      <c r="U842" s="13" t="str">
        <f t="shared" si="1"/>
        <v>Moderate</v>
      </c>
      <c r="V842" s="13" t="str">
        <f t="shared" si="2"/>
        <v>Below Median</v>
      </c>
      <c r="W842" s="13" t="str">
        <f t="shared" si="3"/>
        <v>25–48 Months</v>
      </c>
    </row>
    <row r="843" hidden="1">
      <c r="A843" s="13" t="s">
        <v>1457</v>
      </c>
      <c r="B843" s="13" t="s">
        <v>636</v>
      </c>
      <c r="C843" s="14">
        <v>53.0</v>
      </c>
      <c r="D843" s="13" t="s">
        <v>85</v>
      </c>
      <c r="E843" s="13" t="s">
        <v>92</v>
      </c>
      <c r="F843" s="13" t="s">
        <v>62</v>
      </c>
      <c r="G843" s="13" t="s">
        <v>128</v>
      </c>
      <c r="H843" s="16">
        <v>45360.0</v>
      </c>
      <c r="I843" s="14">
        <v>2.0</v>
      </c>
      <c r="J843" s="13" t="s">
        <v>53</v>
      </c>
      <c r="K843" s="13" t="s">
        <v>81</v>
      </c>
      <c r="L843" s="14">
        <v>664.0</v>
      </c>
      <c r="M843" s="18" t="s">
        <v>99</v>
      </c>
      <c r="N843" s="20">
        <v>0.0</v>
      </c>
      <c r="O843" s="18">
        <v>10.7</v>
      </c>
      <c r="P843" s="20">
        <v>4.3</v>
      </c>
      <c r="Q843" s="16">
        <v>45403.0</v>
      </c>
      <c r="R843" s="16" t="s">
        <v>38</v>
      </c>
      <c r="S843" s="13" t="s">
        <v>55</v>
      </c>
      <c r="T843" s="13" t="s">
        <v>47</v>
      </c>
      <c r="U843" s="13" t="str">
        <f t="shared" si="1"/>
        <v>Moderate</v>
      </c>
      <c r="V843" s="13" t="str">
        <f t="shared" si="2"/>
        <v>Below Median</v>
      </c>
      <c r="W843" s="13" t="str">
        <f t="shared" si="3"/>
        <v>0–12 Months</v>
      </c>
    </row>
    <row r="844" hidden="1">
      <c r="A844" s="13" t="s">
        <v>1458</v>
      </c>
      <c r="B844" s="13" t="s">
        <v>405</v>
      </c>
      <c r="C844" s="14">
        <v>23.0</v>
      </c>
      <c r="D844" s="13" t="s">
        <v>60</v>
      </c>
      <c r="E844" s="13" t="s">
        <v>97</v>
      </c>
      <c r="F844" s="13" t="s">
        <v>62</v>
      </c>
      <c r="G844" s="13" t="s">
        <v>39</v>
      </c>
      <c r="H844" s="16">
        <v>44984.0</v>
      </c>
      <c r="I844" s="14">
        <v>20.0</v>
      </c>
      <c r="J844" s="13" t="s">
        <v>53</v>
      </c>
      <c r="K844" s="13" t="s">
        <v>65</v>
      </c>
      <c r="L844" s="14">
        <v>512.0</v>
      </c>
      <c r="M844" s="18" t="s">
        <v>164</v>
      </c>
      <c r="N844" s="20">
        <v>0.0</v>
      </c>
      <c r="O844" s="18">
        <v>22.2</v>
      </c>
      <c r="P844" s="20">
        <v>3.6</v>
      </c>
      <c r="Q844" s="16">
        <v>45034.0</v>
      </c>
      <c r="R844" s="16" t="s">
        <v>38</v>
      </c>
      <c r="S844" s="13" t="s">
        <v>55</v>
      </c>
      <c r="T844" s="13" t="s">
        <v>47</v>
      </c>
      <c r="U844" s="13" t="str">
        <f t="shared" si="1"/>
        <v>Moderate</v>
      </c>
      <c r="V844" s="13" t="str">
        <f t="shared" si="2"/>
        <v>Below Median</v>
      </c>
      <c r="W844" s="13" t="str">
        <f t="shared" si="3"/>
        <v>13–24 Months</v>
      </c>
    </row>
    <row r="845" hidden="1">
      <c r="A845" s="13" t="s">
        <v>1460</v>
      </c>
      <c r="B845" s="13" t="s">
        <v>235</v>
      </c>
      <c r="C845" s="14">
        <v>43.0</v>
      </c>
      <c r="D845" s="13" t="s">
        <v>69</v>
      </c>
      <c r="E845" s="13" t="s">
        <v>187</v>
      </c>
      <c r="F845" s="13" t="s">
        <v>62</v>
      </c>
      <c r="G845" s="13" t="s">
        <v>120</v>
      </c>
      <c r="H845" s="16">
        <v>45117.0</v>
      </c>
      <c r="I845" s="14">
        <v>0.0</v>
      </c>
      <c r="J845" s="13" t="s">
        <v>40</v>
      </c>
      <c r="K845" s="13" t="s">
        <v>65</v>
      </c>
      <c r="L845" s="14">
        <v>610.0</v>
      </c>
      <c r="M845" s="18" t="s">
        <v>164</v>
      </c>
      <c r="N845" s="20">
        <v>1.0</v>
      </c>
      <c r="O845" s="18">
        <v>10.5</v>
      </c>
      <c r="P845" s="20">
        <v>4.7</v>
      </c>
      <c r="Q845" s="16">
        <v>45140.0</v>
      </c>
      <c r="R845" s="16" t="s">
        <v>1461</v>
      </c>
      <c r="S845" s="13" t="s">
        <v>55</v>
      </c>
      <c r="T845" s="13" t="s">
        <v>47</v>
      </c>
      <c r="U845" s="13" t="str">
        <f t="shared" si="1"/>
        <v>Moderate</v>
      </c>
      <c r="V845" s="13" t="str">
        <f t="shared" si="2"/>
        <v>Below Median</v>
      </c>
      <c r="W845" s="13" t="str">
        <f t="shared" si="3"/>
        <v>0–12 Months</v>
      </c>
    </row>
    <row r="846" hidden="1">
      <c r="A846" s="13" t="s">
        <v>1462</v>
      </c>
      <c r="B846" s="13" t="s">
        <v>247</v>
      </c>
      <c r="C846" s="14">
        <v>29.0</v>
      </c>
      <c r="D846" s="13" t="s">
        <v>35</v>
      </c>
      <c r="E846" s="13" t="s">
        <v>140</v>
      </c>
      <c r="F846" s="13" t="s">
        <v>62</v>
      </c>
      <c r="G846" s="13" t="s">
        <v>39</v>
      </c>
      <c r="H846" s="16">
        <v>44983.0</v>
      </c>
      <c r="I846" s="14">
        <v>25.0</v>
      </c>
      <c r="J846" s="13" t="s">
        <v>64</v>
      </c>
      <c r="K846" s="13" t="s">
        <v>41</v>
      </c>
      <c r="L846" s="14">
        <v>562.0</v>
      </c>
      <c r="M846" s="18" t="s">
        <v>164</v>
      </c>
      <c r="N846" s="20">
        <v>1.0</v>
      </c>
      <c r="O846" s="18">
        <v>6.2</v>
      </c>
      <c r="P846" s="20">
        <v>2.5</v>
      </c>
      <c r="Q846" s="16">
        <v>45172.0</v>
      </c>
      <c r="R846" s="16" t="s">
        <v>38</v>
      </c>
      <c r="S846" s="13" t="s">
        <v>55</v>
      </c>
      <c r="T846" s="13" t="s">
        <v>75</v>
      </c>
      <c r="U846" s="13" t="str">
        <f t="shared" si="1"/>
        <v>Low</v>
      </c>
      <c r="V846" s="13" t="str">
        <f t="shared" si="2"/>
        <v>Below Median</v>
      </c>
      <c r="W846" s="13" t="str">
        <f t="shared" si="3"/>
        <v>25–48 Months</v>
      </c>
    </row>
    <row r="847" hidden="1">
      <c r="A847" s="13" t="s">
        <v>521</v>
      </c>
      <c r="B847" s="13" t="s">
        <v>364</v>
      </c>
      <c r="C847" s="14">
        <v>19.0</v>
      </c>
      <c r="D847" s="13" t="s">
        <v>69</v>
      </c>
      <c r="E847" s="13" t="s">
        <v>107</v>
      </c>
      <c r="F847" s="13" t="s">
        <v>62</v>
      </c>
      <c r="G847" s="13" t="s">
        <v>39</v>
      </c>
      <c r="H847" s="16">
        <v>44747.0</v>
      </c>
      <c r="I847" s="14">
        <v>33.0</v>
      </c>
      <c r="J847" s="13" t="s">
        <v>53</v>
      </c>
      <c r="K847" s="13" t="s">
        <v>65</v>
      </c>
      <c r="L847" s="14">
        <v>629.0</v>
      </c>
      <c r="M847" s="18" t="s">
        <v>164</v>
      </c>
      <c r="N847" s="20">
        <v>1.0</v>
      </c>
      <c r="O847" s="18">
        <v>20.3</v>
      </c>
      <c r="P847" s="20">
        <v>3.6</v>
      </c>
      <c r="Q847" s="16">
        <v>45872.0</v>
      </c>
      <c r="R847" s="16" t="s">
        <v>38</v>
      </c>
      <c r="S847" s="13" t="s">
        <v>55</v>
      </c>
      <c r="T847" s="13" t="s">
        <v>75</v>
      </c>
      <c r="U847" s="13" t="str">
        <f t="shared" si="1"/>
        <v>Moderate</v>
      </c>
      <c r="V847" s="13" t="str">
        <f t="shared" si="2"/>
        <v>Below Median</v>
      </c>
      <c r="W847" s="13" t="str">
        <f t="shared" si="3"/>
        <v>25–48 Months</v>
      </c>
    </row>
    <row r="848" hidden="1">
      <c r="A848" s="13" t="s">
        <v>1400</v>
      </c>
      <c r="B848" s="13" t="s">
        <v>118</v>
      </c>
      <c r="C848" s="14">
        <v>20.0</v>
      </c>
      <c r="D848" s="13" t="s">
        <v>60</v>
      </c>
      <c r="E848" s="13" t="s">
        <v>107</v>
      </c>
      <c r="F848" s="13" t="s">
        <v>79</v>
      </c>
      <c r="G848" s="13" t="s">
        <v>128</v>
      </c>
      <c r="H848" s="16">
        <v>44695.0</v>
      </c>
      <c r="I848" s="14">
        <v>28.0</v>
      </c>
      <c r="J848" s="13" t="s">
        <v>53</v>
      </c>
      <c r="K848" s="13" t="s">
        <v>81</v>
      </c>
      <c r="L848" s="14">
        <v>2468.0</v>
      </c>
      <c r="M848" s="18" t="s">
        <v>46</v>
      </c>
      <c r="N848" s="20">
        <v>0.0</v>
      </c>
      <c r="O848" s="18">
        <v>21.2</v>
      </c>
      <c r="P848" s="20">
        <v>4.3</v>
      </c>
      <c r="Q848" s="16">
        <v>45423.0</v>
      </c>
      <c r="R848" s="16">
        <v>44751.0</v>
      </c>
      <c r="S848" s="13" t="s">
        <v>45</v>
      </c>
      <c r="T848" s="13" t="s">
        <v>72</v>
      </c>
      <c r="U848" s="13" t="str">
        <f t="shared" si="1"/>
        <v>Moderate</v>
      </c>
      <c r="V848" s="13" t="str">
        <f t="shared" si="2"/>
        <v>Below Median</v>
      </c>
      <c r="W848" s="13" t="str">
        <f t="shared" si="3"/>
        <v>25–48 Months</v>
      </c>
    </row>
    <row r="849" hidden="1">
      <c r="A849" s="13" t="s">
        <v>1465</v>
      </c>
      <c r="B849" s="13" t="s">
        <v>470</v>
      </c>
      <c r="C849" s="14">
        <v>66.0</v>
      </c>
      <c r="D849" s="13" t="s">
        <v>69</v>
      </c>
      <c r="E849" s="13" t="s">
        <v>187</v>
      </c>
      <c r="F849" s="13" t="s">
        <v>62</v>
      </c>
      <c r="G849" s="13" t="s">
        <v>63</v>
      </c>
      <c r="H849" s="16">
        <v>44824.0</v>
      </c>
      <c r="I849" s="14">
        <v>34.0</v>
      </c>
      <c r="J849" s="13" t="s">
        <v>64</v>
      </c>
      <c r="K849" s="13" t="s">
        <v>65</v>
      </c>
      <c r="L849" s="14">
        <v>854.0</v>
      </c>
      <c r="M849" s="18" t="s">
        <v>98</v>
      </c>
      <c r="N849" s="20">
        <v>0.0</v>
      </c>
      <c r="O849" s="18">
        <v>17.1</v>
      </c>
      <c r="P849" s="20">
        <v>4.2</v>
      </c>
      <c r="Q849" s="16">
        <v>44913.0</v>
      </c>
      <c r="R849" s="16" t="s">
        <v>38</v>
      </c>
      <c r="S849" s="13" t="s">
        <v>55</v>
      </c>
      <c r="T849" s="13" t="s">
        <v>72</v>
      </c>
      <c r="U849" s="13" t="str">
        <f t="shared" si="1"/>
        <v>Moderate</v>
      </c>
      <c r="V849" s="13" t="str">
        <f t="shared" si="2"/>
        <v>Below Median</v>
      </c>
      <c r="W849" s="13" t="str">
        <f t="shared" si="3"/>
        <v>25–48 Months</v>
      </c>
    </row>
    <row r="850" hidden="1">
      <c r="A850" s="13" t="s">
        <v>1082</v>
      </c>
      <c r="B850" s="13" t="s">
        <v>345</v>
      </c>
      <c r="C850" s="14">
        <v>32.0</v>
      </c>
      <c r="D850" s="13" t="s">
        <v>85</v>
      </c>
      <c r="E850" s="13" t="s">
        <v>111</v>
      </c>
      <c r="F850" s="13" t="s">
        <v>62</v>
      </c>
      <c r="G850" s="13" t="s">
        <v>39</v>
      </c>
      <c r="H850" s="16">
        <v>45624.0</v>
      </c>
      <c r="I850" s="14">
        <v>10.0</v>
      </c>
      <c r="J850" s="13" t="s">
        <v>53</v>
      </c>
      <c r="K850" s="13" t="s">
        <v>65</v>
      </c>
      <c r="L850" s="14">
        <v>841.0</v>
      </c>
      <c r="M850" s="18" t="s">
        <v>98</v>
      </c>
      <c r="N850" s="20">
        <v>1.0</v>
      </c>
      <c r="O850" s="18">
        <v>20.5</v>
      </c>
      <c r="P850" s="20">
        <v>5.0</v>
      </c>
      <c r="Q850" s="16">
        <v>45690.0</v>
      </c>
      <c r="R850" s="16" t="s">
        <v>1466</v>
      </c>
      <c r="S850" s="13" t="s">
        <v>45</v>
      </c>
      <c r="T850" s="13" t="s">
        <v>72</v>
      </c>
      <c r="U850" s="13" t="str">
        <f t="shared" si="1"/>
        <v>High</v>
      </c>
      <c r="V850" s="13" t="str">
        <f t="shared" si="2"/>
        <v>Below Median</v>
      </c>
      <c r="W850" s="13" t="str">
        <f t="shared" si="3"/>
        <v>0–12 Months</v>
      </c>
    </row>
    <row r="851" hidden="1">
      <c r="A851" s="13" t="s">
        <v>1467</v>
      </c>
      <c r="B851" s="13" t="s">
        <v>206</v>
      </c>
      <c r="C851" s="14">
        <v>29.0</v>
      </c>
      <c r="D851" s="13" t="s">
        <v>60</v>
      </c>
      <c r="E851" s="13" t="s">
        <v>61</v>
      </c>
      <c r="F851" s="13" t="s">
        <v>37</v>
      </c>
      <c r="G851" s="13" t="s">
        <v>210</v>
      </c>
      <c r="H851" s="16">
        <v>44620.0</v>
      </c>
      <c r="I851" s="14">
        <v>31.0</v>
      </c>
      <c r="J851" s="13" t="s">
        <v>40</v>
      </c>
      <c r="K851" s="13" t="s">
        <v>41</v>
      </c>
      <c r="L851" s="14">
        <v>1416.0</v>
      </c>
      <c r="M851" s="18" t="s">
        <v>98</v>
      </c>
      <c r="N851" s="20">
        <v>2.0</v>
      </c>
      <c r="O851" s="18">
        <v>26.6</v>
      </c>
      <c r="P851" s="20">
        <v>2.5</v>
      </c>
      <c r="Q851" s="16">
        <v>45182.0</v>
      </c>
      <c r="R851" s="16" t="s">
        <v>38</v>
      </c>
      <c r="S851" s="13" t="s">
        <v>55</v>
      </c>
      <c r="T851" s="13" t="s">
        <v>72</v>
      </c>
      <c r="U851" s="13" t="str">
        <f t="shared" si="1"/>
        <v>Low</v>
      </c>
      <c r="V851" s="13" t="str">
        <f t="shared" si="2"/>
        <v>Median or Above</v>
      </c>
      <c r="W851" s="13" t="str">
        <f t="shared" si="3"/>
        <v>25–48 Months</v>
      </c>
    </row>
    <row r="852" hidden="1">
      <c r="A852" s="13" t="s">
        <v>1468</v>
      </c>
      <c r="B852" s="13" t="s">
        <v>331</v>
      </c>
      <c r="C852" s="14">
        <v>49.0</v>
      </c>
      <c r="D852" s="13" t="s">
        <v>35</v>
      </c>
      <c r="E852" s="13" t="s">
        <v>140</v>
      </c>
      <c r="F852" s="13" t="s">
        <v>79</v>
      </c>
      <c r="G852" s="13" t="s">
        <v>63</v>
      </c>
      <c r="H852" s="16">
        <v>45536.0</v>
      </c>
      <c r="I852" s="14">
        <v>30.0</v>
      </c>
      <c r="J852" s="13" t="s">
        <v>53</v>
      </c>
      <c r="K852" s="13" t="s">
        <v>65</v>
      </c>
      <c r="L852" s="14">
        <v>2274.0</v>
      </c>
      <c r="M852" s="18" t="s">
        <v>164</v>
      </c>
      <c r="N852" s="20">
        <v>0.0</v>
      </c>
      <c r="O852" s="18">
        <v>32.1</v>
      </c>
      <c r="P852" s="20">
        <v>3.6</v>
      </c>
      <c r="Q852" s="16">
        <v>46423.0</v>
      </c>
      <c r="R852" s="16">
        <v>46301.0</v>
      </c>
      <c r="S852" s="13" t="s">
        <v>45</v>
      </c>
      <c r="T852" s="13" t="s">
        <v>47</v>
      </c>
      <c r="U852" s="13" t="str">
        <f t="shared" si="1"/>
        <v>Moderate</v>
      </c>
      <c r="V852" s="13" t="str">
        <f t="shared" si="2"/>
        <v>Median or Above</v>
      </c>
      <c r="W852" s="13" t="str">
        <f t="shared" si="3"/>
        <v>25–48 Months</v>
      </c>
    </row>
    <row r="853" hidden="1">
      <c r="A853" s="13" t="s">
        <v>353</v>
      </c>
      <c r="B853" s="13" t="s">
        <v>215</v>
      </c>
      <c r="C853" s="14">
        <v>66.0</v>
      </c>
      <c r="D853" s="13" t="s">
        <v>60</v>
      </c>
      <c r="E853" s="13" t="s">
        <v>61</v>
      </c>
      <c r="F853" s="13" t="s">
        <v>37</v>
      </c>
      <c r="G853" s="13" t="s">
        <v>52</v>
      </c>
      <c r="H853" s="16">
        <v>45731.0</v>
      </c>
      <c r="I853" s="14">
        <v>13.0</v>
      </c>
      <c r="J853" s="13" t="s">
        <v>40</v>
      </c>
      <c r="K853" s="13" t="s">
        <v>81</v>
      </c>
      <c r="L853" s="14">
        <v>1131.0</v>
      </c>
      <c r="M853" s="18" t="s">
        <v>99</v>
      </c>
      <c r="N853" s="20">
        <v>2.0</v>
      </c>
      <c r="O853" s="18">
        <v>23.6</v>
      </c>
      <c r="P853" s="20">
        <v>3.7</v>
      </c>
      <c r="Q853" s="16">
        <v>45814.0</v>
      </c>
      <c r="R853" s="16" t="s">
        <v>38</v>
      </c>
      <c r="S853" s="13" t="s">
        <v>55</v>
      </c>
      <c r="T853" s="13" t="s">
        <v>75</v>
      </c>
      <c r="U853" s="13" t="str">
        <f t="shared" si="1"/>
        <v>Moderate</v>
      </c>
      <c r="V853" s="13" t="str">
        <f t="shared" si="2"/>
        <v>Below Median</v>
      </c>
      <c r="W853" s="13" t="str">
        <f t="shared" si="3"/>
        <v>13–24 Months</v>
      </c>
    </row>
    <row r="854" hidden="1">
      <c r="A854" s="13" t="s">
        <v>1363</v>
      </c>
      <c r="B854" s="13" t="s">
        <v>176</v>
      </c>
      <c r="C854" s="14">
        <v>67.0</v>
      </c>
      <c r="D854" s="13" t="s">
        <v>69</v>
      </c>
      <c r="E854" s="13" t="s">
        <v>51</v>
      </c>
      <c r="F854" s="13" t="s">
        <v>62</v>
      </c>
      <c r="G854" s="13" t="s">
        <v>39</v>
      </c>
      <c r="H854" s="16">
        <v>45912.0</v>
      </c>
      <c r="I854" s="14">
        <v>20.0</v>
      </c>
      <c r="J854" s="13" t="s">
        <v>40</v>
      </c>
      <c r="K854" s="13" t="s">
        <v>65</v>
      </c>
      <c r="L854" s="14">
        <v>735.0</v>
      </c>
      <c r="M854" s="18" t="s">
        <v>43</v>
      </c>
      <c r="N854" s="20">
        <v>0.0</v>
      </c>
      <c r="O854" s="18">
        <v>5.2</v>
      </c>
      <c r="P854" s="20">
        <v>3.5</v>
      </c>
      <c r="Q854" s="16">
        <v>46454.0</v>
      </c>
      <c r="R854" s="16" t="s">
        <v>38</v>
      </c>
      <c r="S854" s="13" t="s">
        <v>55</v>
      </c>
      <c r="T854" s="13" t="s">
        <v>75</v>
      </c>
      <c r="U854" s="13" t="str">
        <f t="shared" si="1"/>
        <v>Moderate</v>
      </c>
      <c r="V854" s="13" t="str">
        <f t="shared" si="2"/>
        <v>Below Median</v>
      </c>
      <c r="W854" s="13" t="str">
        <f t="shared" si="3"/>
        <v>13–24 Months</v>
      </c>
    </row>
    <row r="855" hidden="1">
      <c r="A855" s="13" t="s">
        <v>1121</v>
      </c>
      <c r="B855" s="13" t="s">
        <v>470</v>
      </c>
      <c r="C855" s="14">
        <v>29.0</v>
      </c>
      <c r="D855" s="13" t="s">
        <v>69</v>
      </c>
      <c r="E855" s="13" t="s">
        <v>70</v>
      </c>
      <c r="F855" s="13" t="s">
        <v>37</v>
      </c>
      <c r="G855" s="13" t="s">
        <v>128</v>
      </c>
      <c r="H855" s="16">
        <v>45350.0</v>
      </c>
      <c r="I855" s="14">
        <v>41.0</v>
      </c>
      <c r="J855" s="13" t="s">
        <v>53</v>
      </c>
      <c r="K855" s="13" t="s">
        <v>65</v>
      </c>
      <c r="L855" s="14">
        <v>1185.0</v>
      </c>
      <c r="M855" s="18" t="s">
        <v>173</v>
      </c>
      <c r="N855" s="20">
        <v>0.0</v>
      </c>
      <c r="O855" s="18">
        <v>28.1</v>
      </c>
      <c r="P855" s="20">
        <v>2.6</v>
      </c>
      <c r="Q855" s="16" t="s">
        <v>38</v>
      </c>
      <c r="R855" s="16" t="s">
        <v>38</v>
      </c>
      <c r="S855" s="13" t="s">
        <v>55</v>
      </c>
      <c r="T855" s="13" t="s">
        <v>104</v>
      </c>
      <c r="U855" s="13" t="str">
        <f t="shared" si="1"/>
        <v>Low</v>
      </c>
      <c r="V855" s="13" t="str">
        <f t="shared" si="2"/>
        <v>Median or Above</v>
      </c>
      <c r="W855" s="13" t="str">
        <f t="shared" si="3"/>
        <v>25–48 Months</v>
      </c>
    </row>
    <row r="856" hidden="1">
      <c r="A856" s="13" t="s">
        <v>667</v>
      </c>
      <c r="B856" s="13" t="s">
        <v>645</v>
      </c>
      <c r="C856" s="14">
        <v>26.0</v>
      </c>
      <c r="D856" s="13" t="s">
        <v>85</v>
      </c>
      <c r="E856" s="13" t="s">
        <v>87</v>
      </c>
      <c r="F856" s="13" t="s">
        <v>79</v>
      </c>
      <c r="G856" s="13" t="s">
        <v>39</v>
      </c>
      <c r="H856" s="16">
        <v>45849.0</v>
      </c>
      <c r="I856" s="14">
        <v>0.0</v>
      </c>
      <c r="J856" s="13" t="s">
        <v>64</v>
      </c>
      <c r="K856" s="13" t="s">
        <v>65</v>
      </c>
      <c r="L856" s="14">
        <v>3271.0</v>
      </c>
      <c r="M856" s="18" t="s">
        <v>99</v>
      </c>
      <c r="N856" s="20">
        <v>0.0</v>
      </c>
      <c r="O856" s="18">
        <v>43.8</v>
      </c>
      <c r="P856" s="20">
        <v>4.2</v>
      </c>
      <c r="Q856" s="16">
        <v>46397.0</v>
      </c>
      <c r="R856" s="16" t="s">
        <v>38</v>
      </c>
      <c r="S856" s="13" t="s">
        <v>55</v>
      </c>
      <c r="T856" s="13" t="s">
        <v>66</v>
      </c>
      <c r="U856" s="13" t="str">
        <f t="shared" si="1"/>
        <v>Moderate</v>
      </c>
      <c r="V856" s="13" t="str">
        <f t="shared" si="2"/>
        <v>Median or Above</v>
      </c>
      <c r="W856" s="13" t="str">
        <f t="shared" si="3"/>
        <v>0–12 Months</v>
      </c>
    </row>
    <row r="857" hidden="1">
      <c r="A857" s="13" t="s">
        <v>1470</v>
      </c>
      <c r="B857" s="13" t="s">
        <v>176</v>
      </c>
      <c r="C857" s="14">
        <v>23.0</v>
      </c>
      <c r="D857" s="13" t="s">
        <v>60</v>
      </c>
      <c r="E857" s="13" t="s">
        <v>97</v>
      </c>
      <c r="F857" s="13" t="s">
        <v>62</v>
      </c>
      <c r="G857" s="13" t="s">
        <v>128</v>
      </c>
      <c r="H857" s="16">
        <v>45560.0</v>
      </c>
      <c r="I857" s="14">
        <v>36.0</v>
      </c>
      <c r="J857" s="13" t="s">
        <v>53</v>
      </c>
      <c r="K857" s="13" t="s">
        <v>65</v>
      </c>
      <c r="L857" s="14">
        <v>548.0</v>
      </c>
      <c r="M857" s="18" t="s">
        <v>43</v>
      </c>
      <c r="N857" s="20">
        <v>1.0</v>
      </c>
      <c r="O857" s="18">
        <v>35.5</v>
      </c>
      <c r="P857" s="20">
        <v>3.1</v>
      </c>
      <c r="Q857" s="16">
        <v>46271.0</v>
      </c>
      <c r="R857" s="16" t="s">
        <v>38</v>
      </c>
      <c r="S857" s="13" t="s">
        <v>55</v>
      </c>
      <c r="T857" s="13" t="s">
        <v>104</v>
      </c>
      <c r="U857" s="13" t="str">
        <f t="shared" si="1"/>
        <v>Moderate</v>
      </c>
      <c r="V857" s="13" t="str">
        <f t="shared" si="2"/>
        <v>Median or Above</v>
      </c>
      <c r="W857" s="13" t="str">
        <f t="shared" si="3"/>
        <v>25–48 Months</v>
      </c>
    </row>
    <row r="858" hidden="1">
      <c r="A858" s="13" t="s">
        <v>1471</v>
      </c>
      <c r="B858" s="13" t="s">
        <v>169</v>
      </c>
      <c r="C858" s="14">
        <v>46.0</v>
      </c>
      <c r="D858" s="13" t="s">
        <v>69</v>
      </c>
      <c r="E858" s="13" t="s">
        <v>70</v>
      </c>
      <c r="F858" s="13" t="s">
        <v>62</v>
      </c>
      <c r="G858" s="13" t="s">
        <v>120</v>
      </c>
      <c r="H858" s="16">
        <v>44789.0</v>
      </c>
      <c r="I858" s="14">
        <v>8.0</v>
      </c>
      <c r="J858" s="13" t="s">
        <v>64</v>
      </c>
      <c r="K858" s="13" t="s">
        <v>41</v>
      </c>
      <c r="L858" s="14">
        <v>650.0</v>
      </c>
      <c r="M858" s="18" t="s">
        <v>164</v>
      </c>
      <c r="N858" s="20">
        <v>0.0</v>
      </c>
      <c r="O858" s="18">
        <v>30.1</v>
      </c>
      <c r="P858" s="20">
        <v>3.2</v>
      </c>
      <c r="Q858" s="16">
        <v>44887.0</v>
      </c>
      <c r="R858" s="16" t="s">
        <v>38</v>
      </c>
      <c r="S858" s="13" t="s">
        <v>55</v>
      </c>
      <c r="T858" s="13" t="s">
        <v>38</v>
      </c>
      <c r="U858" s="13" t="str">
        <f t="shared" si="1"/>
        <v>Moderate</v>
      </c>
      <c r="V858" s="13" t="str">
        <f t="shared" si="2"/>
        <v>Median or Above</v>
      </c>
      <c r="W858" s="13" t="str">
        <f t="shared" si="3"/>
        <v>0–12 Months</v>
      </c>
    </row>
    <row r="859" hidden="1">
      <c r="A859" s="13" t="s">
        <v>1472</v>
      </c>
      <c r="B859" s="13" t="s">
        <v>239</v>
      </c>
      <c r="C859" s="14">
        <v>53.0</v>
      </c>
      <c r="D859" s="13" t="s">
        <v>85</v>
      </c>
      <c r="E859" s="13" t="s">
        <v>111</v>
      </c>
      <c r="F859" s="13" t="s">
        <v>62</v>
      </c>
      <c r="G859" s="13" t="s">
        <v>52</v>
      </c>
      <c r="H859" s="16">
        <v>45016.0</v>
      </c>
      <c r="I859" s="14">
        <v>2.0</v>
      </c>
      <c r="J859" s="13" t="s">
        <v>53</v>
      </c>
      <c r="K859" s="13" t="s">
        <v>81</v>
      </c>
      <c r="L859" s="14">
        <v>880.0</v>
      </c>
      <c r="M859" s="18" t="s">
        <v>43</v>
      </c>
      <c r="N859" s="20">
        <v>1.0</v>
      </c>
      <c r="O859" s="18">
        <v>27.0</v>
      </c>
      <c r="P859" s="20">
        <v>3.5</v>
      </c>
      <c r="Q859" s="16">
        <v>45045.0</v>
      </c>
      <c r="R859" s="16" t="s">
        <v>38</v>
      </c>
      <c r="S859" s="13" t="s">
        <v>55</v>
      </c>
      <c r="T859" s="13" t="s">
        <v>47</v>
      </c>
      <c r="U859" s="13" t="str">
        <f t="shared" si="1"/>
        <v>Moderate</v>
      </c>
      <c r="V859" s="13" t="str">
        <f t="shared" si="2"/>
        <v>Median or Above</v>
      </c>
      <c r="W859" s="13" t="str">
        <f t="shared" si="3"/>
        <v>0–12 Months</v>
      </c>
    </row>
    <row r="860" hidden="1">
      <c r="A860" s="13" t="s">
        <v>691</v>
      </c>
      <c r="B860" s="13" t="s">
        <v>476</v>
      </c>
      <c r="C860" s="14">
        <v>31.0</v>
      </c>
      <c r="D860" s="13" t="s">
        <v>69</v>
      </c>
      <c r="E860" s="13" t="s">
        <v>177</v>
      </c>
      <c r="F860" s="13" t="s">
        <v>62</v>
      </c>
      <c r="G860" s="13" t="s">
        <v>52</v>
      </c>
      <c r="H860" s="16">
        <v>44901.0</v>
      </c>
      <c r="I860" s="14">
        <v>41.0</v>
      </c>
      <c r="J860" s="13" t="s">
        <v>53</v>
      </c>
      <c r="K860" s="13" t="s">
        <v>41</v>
      </c>
      <c r="L860" s="14">
        <v>815.0</v>
      </c>
      <c r="M860" s="18" t="s">
        <v>164</v>
      </c>
      <c r="N860" s="20">
        <v>0.0</v>
      </c>
      <c r="O860" s="18">
        <v>15.4</v>
      </c>
      <c r="P860" s="20">
        <v>4.4</v>
      </c>
      <c r="Q860" s="16">
        <v>45222.0</v>
      </c>
      <c r="R860" s="16" t="s">
        <v>38</v>
      </c>
      <c r="S860" s="13" t="s">
        <v>55</v>
      </c>
      <c r="T860" s="13" t="s">
        <v>75</v>
      </c>
      <c r="U860" s="13" t="str">
        <f t="shared" si="1"/>
        <v>Moderate</v>
      </c>
      <c r="V860" s="13" t="str">
        <f t="shared" si="2"/>
        <v>Below Median</v>
      </c>
      <c r="W860" s="13" t="str">
        <f t="shared" si="3"/>
        <v>25–48 Months</v>
      </c>
    </row>
    <row r="861" hidden="1">
      <c r="A861" s="13" t="s">
        <v>926</v>
      </c>
      <c r="B861" s="13" t="s">
        <v>215</v>
      </c>
      <c r="C861" s="14">
        <v>22.0</v>
      </c>
      <c r="D861" s="13" t="s">
        <v>85</v>
      </c>
      <c r="E861" s="13" t="s">
        <v>87</v>
      </c>
      <c r="F861" s="13" t="s">
        <v>79</v>
      </c>
      <c r="G861" s="13" t="s">
        <v>120</v>
      </c>
      <c r="H861" s="16">
        <v>45221.0</v>
      </c>
      <c r="I861" s="14">
        <v>9.0</v>
      </c>
      <c r="J861" s="13" t="s">
        <v>53</v>
      </c>
      <c r="K861" s="13" t="s">
        <v>41</v>
      </c>
      <c r="L861" s="14">
        <v>2152.0</v>
      </c>
      <c r="M861" s="18" t="s">
        <v>98</v>
      </c>
      <c r="N861" s="20">
        <v>1.0</v>
      </c>
      <c r="O861" s="18">
        <v>35.6</v>
      </c>
      <c r="P861" s="20">
        <v>4.6</v>
      </c>
      <c r="Q861" s="16">
        <v>45359.0</v>
      </c>
      <c r="R861" s="16" t="s">
        <v>1473</v>
      </c>
      <c r="S861" s="13" t="s">
        <v>45</v>
      </c>
      <c r="T861" s="13" t="s">
        <v>47</v>
      </c>
      <c r="U861" s="13" t="str">
        <f t="shared" si="1"/>
        <v>Moderate</v>
      </c>
      <c r="V861" s="13" t="str">
        <f t="shared" si="2"/>
        <v>Median or Above</v>
      </c>
      <c r="W861" s="13" t="str">
        <f t="shared" si="3"/>
        <v>0–12 Months</v>
      </c>
    </row>
    <row r="862" hidden="1">
      <c r="A862" s="13" t="s">
        <v>1474</v>
      </c>
      <c r="B862" s="13" t="s">
        <v>349</v>
      </c>
      <c r="C862" s="14">
        <v>36.0</v>
      </c>
      <c r="D862" s="13" t="s">
        <v>69</v>
      </c>
      <c r="E862" s="13" t="s">
        <v>187</v>
      </c>
      <c r="F862" s="13" t="s">
        <v>62</v>
      </c>
      <c r="G862" s="13" t="s">
        <v>63</v>
      </c>
      <c r="H862" s="16">
        <v>45885.0</v>
      </c>
      <c r="I862" s="14">
        <v>27.0</v>
      </c>
      <c r="J862" s="13" t="s">
        <v>40</v>
      </c>
      <c r="K862" s="13" t="s">
        <v>65</v>
      </c>
      <c r="L862" s="14">
        <v>598.0</v>
      </c>
      <c r="M862" s="18" t="s">
        <v>43</v>
      </c>
      <c r="N862" s="20">
        <v>0.0</v>
      </c>
      <c r="O862" s="18">
        <v>18.3</v>
      </c>
      <c r="P862" s="20">
        <v>5.0</v>
      </c>
      <c r="Q862" s="16">
        <v>46253.0</v>
      </c>
      <c r="R862" s="16" t="s">
        <v>38</v>
      </c>
      <c r="S862" s="13" t="s">
        <v>55</v>
      </c>
      <c r="T862" s="13" t="s">
        <v>104</v>
      </c>
      <c r="U862" s="13" t="str">
        <f t="shared" si="1"/>
        <v>High</v>
      </c>
      <c r="V862" s="13" t="str">
        <f t="shared" si="2"/>
        <v>Below Median</v>
      </c>
      <c r="W862" s="13" t="str">
        <f t="shared" si="3"/>
        <v>25–48 Months</v>
      </c>
    </row>
    <row r="863" hidden="1">
      <c r="A863" s="13" t="s">
        <v>1475</v>
      </c>
      <c r="B863" s="13" t="s">
        <v>639</v>
      </c>
      <c r="C863" s="14">
        <v>33.0</v>
      </c>
      <c r="D863" s="13" t="s">
        <v>69</v>
      </c>
      <c r="E863" s="13" t="s">
        <v>187</v>
      </c>
      <c r="F863" s="13" t="s">
        <v>62</v>
      </c>
      <c r="G863" s="13" t="s">
        <v>52</v>
      </c>
      <c r="H863" s="16">
        <v>45126.0</v>
      </c>
      <c r="I863" s="14">
        <v>21.0</v>
      </c>
      <c r="J863" s="13" t="s">
        <v>64</v>
      </c>
      <c r="K863" s="13" t="s">
        <v>65</v>
      </c>
      <c r="L863" s="14">
        <v>559.0</v>
      </c>
      <c r="M863" s="18" t="s">
        <v>164</v>
      </c>
      <c r="N863" s="20">
        <v>3.0</v>
      </c>
      <c r="O863" s="18">
        <v>8.6</v>
      </c>
      <c r="P863" s="20">
        <v>3.5</v>
      </c>
      <c r="Q863" s="16">
        <v>45672.0</v>
      </c>
      <c r="R863" s="16" t="s">
        <v>38</v>
      </c>
      <c r="S863" s="13" t="s">
        <v>55</v>
      </c>
      <c r="T863" s="13" t="s">
        <v>72</v>
      </c>
      <c r="U863" s="13" t="str">
        <f t="shared" si="1"/>
        <v>Moderate</v>
      </c>
      <c r="V863" s="13" t="str">
        <f t="shared" si="2"/>
        <v>Below Median</v>
      </c>
      <c r="W863" s="13" t="str">
        <f t="shared" si="3"/>
        <v>13–24 Months</v>
      </c>
    </row>
    <row r="864" hidden="1">
      <c r="A864" s="13" t="s">
        <v>1476</v>
      </c>
      <c r="B864" s="13" t="s">
        <v>734</v>
      </c>
      <c r="C864" s="14">
        <v>56.0</v>
      </c>
      <c r="D864" s="13" t="s">
        <v>85</v>
      </c>
      <c r="E864" s="13" t="s">
        <v>111</v>
      </c>
      <c r="F864" s="13" t="s">
        <v>62</v>
      </c>
      <c r="G864" s="13" t="s">
        <v>128</v>
      </c>
      <c r="H864" s="16">
        <v>45261.0</v>
      </c>
      <c r="I864" s="14">
        <v>18.0</v>
      </c>
      <c r="J864" s="13" t="s">
        <v>40</v>
      </c>
      <c r="K864" s="13" t="s">
        <v>81</v>
      </c>
      <c r="L864" s="14">
        <v>519.0</v>
      </c>
      <c r="M864" s="18" t="s">
        <v>98</v>
      </c>
      <c r="N864" s="20">
        <v>0.0</v>
      </c>
      <c r="O864" s="18">
        <v>20.7</v>
      </c>
      <c r="P864" s="20">
        <v>5.0</v>
      </c>
      <c r="Q864" s="16">
        <v>45532.0</v>
      </c>
      <c r="R864" s="16" t="s">
        <v>1477</v>
      </c>
      <c r="S864" s="13" t="s">
        <v>45</v>
      </c>
      <c r="T864" s="13" t="s">
        <v>75</v>
      </c>
      <c r="U864" s="13" t="str">
        <f t="shared" si="1"/>
        <v>High</v>
      </c>
      <c r="V864" s="13" t="str">
        <f t="shared" si="2"/>
        <v>Below Median</v>
      </c>
      <c r="W864" s="13" t="str">
        <f t="shared" si="3"/>
        <v>13–24 Months</v>
      </c>
    </row>
    <row r="865" hidden="1">
      <c r="A865" s="13" t="s">
        <v>1478</v>
      </c>
      <c r="B865" s="13" t="s">
        <v>651</v>
      </c>
      <c r="C865" s="14">
        <v>68.0</v>
      </c>
      <c r="D865" s="13" t="s">
        <v>60</v>
      </c>
      <c r="E865" s="13" t="s">
        <v>97</v>
      </c>
      <c r="F865" s="13" t="s">
        <v>37</v>
      </c>
      <c r="G865" s="13" t="s">
        <v>63</v>
      </c>
      <c r="H865" s="16">
        <v>45797.0</v>
      </c>
      <c r="I865" s="14">
        <v>39.0</v>
      </c>
      <c r="J865" s="13" t="s">
        <v>53</v>
      </c>
      <c r="K865" s="13" t="s">
        <v>81</v>
      </c>
      <c r="L865" s="14">
        <v>1679.0</v>
      </c>
      <c r="M865" s="18" t="s">
        <v>46</v>
      </c>
      <c r="N865" s="20">
        <v>1.0</v>
      </c>
      <c r="O865" s="18">
        <v>14.1</v>
      </c>
      <c r="P865" s="20">
        <v>3.9</v>
      </c>
      <c r="Q865" s="16">
        <v>46692.0</v>
      </c>
      <c r="R865" s="16" t="s">
        <v>1479</v>
      </c>
      <c r="S865" s="13" t="s">
        <v>45</v>
      </c>
      <c r="T865" s="13" t="s">
        <v>72</v>
      </c>
      <c r="U865" s="13" t="str">
        <f t="shared" si="1"/>
        <v>Moderate</v>
      </c>
      <c r="V865" s="13" t="str">
        <f t="shared" si="2"/>
        <v>Below Median</v>
      </c>
      <c r="W865" s="13" t="str">
        <f t="shared" si="3"/>
        <v>25–48 Months</v>
      </c>
    </row>
    <row r="866" hidden="1">
      <c r="A866" s="13" t="s">
        <v>750</v>
      </c>
      <c r="B866" s="13" t="s">
        <v>163</v>
      </c>
      <c r="C866" s="14">
        <v>56.0</v>
      </c>
      <c r="D866" s="13" t="s">
        <v>60</v>
      </c>
      <c r="E866" s="13" t="s">
        <v>133</v>
      </c>
      <c r="F866" s="13" t="s">
        <v>37</v>
      </c>
      <c r="G866" s="13" t="s">
        <v>210</v>
      </c>
      <c r="H866" s="16">
        <v>45292.0</v>
      </c>
      <c r="I866" s="14">
        <v>6.0</v>
      </c>
      <c r="J866" s="13" t="s">
        <v>53</v>
      </c>
      <c r="K866" s="13" t="s">
        <v>81</v>
      </c>
      <c r="L866" s="14">
        <v>1496.0</v>
      </c>
      <c r="M866" s="18" t="s">
        <v>43</v>
      </c>
      <c r="N866" s="20">
        <v>3.0</v>
      </c>
      <c r="O866" s="18">
        <v>35.7</v>
      </c>
      <c r="P866" s="20">
        <v>5.0</v>
      </c>
      <c r="Q866" s="16">
        <v>45451.0</v>
      </c>
      <c r="R866" s="16" t="s">
        <v>38</v>
      </c>
      <c r="S866" s="13" t="s">
        <v>55</v>
      </c>
      <c r="T866" s="13" t="s">
        <v>72</v>
      </c>
      <c r="U866" s="13" t="str">
        <f t="shared" si="1"/>
        <v>High</v>
      </c>
      <c r="V866" s="13" t="str">
        <f t="shared" si="2"/>
        <v>Median or Above</v>
      </c>
      <c r="W866" s="13" t="str">
        <f t="shared" si="3"/>
        <v>0–12 Months</v>
      </c>
    </row>
    <row r="867" hidden="1">
      <c r="A867" s="13" t="s">
        <v>631</v>
      </c>
      <c r="B867" s="13" t="s">
        <v>325</v>
      </c>
      <c r="C867" s="14">
        <v>26.0</v>
      </c>
      <c r="D867" s="13" t="s">
        <v>85</v>
      </c>
      <c r="E867" s="13" t="s">
        <v>87</v>
      </c>
      <c r="F867" s="13" t="s">
        <v>37</v>
      </c>
      <c r="G867" s="13" t="s">
        <v>128</v>
      </c>
      <c r="H867" s="16">
        <v>45929.0</v>
      </c>
      <c r="I867" s="14">
        <v>25.0</v>
      </c>
      <c r="J867" s="13" t="s">
        <v>40</v>
      </c>
      <c r="K867" s="13" t="s">
        <v>65</v>
      </c>
      <c r="L867" s="14">
        <v>1603.0</v>
      </c>
      <c r="M867" s="18" t="s">
        <v>98</v>
      </c>
      <c r="N867" s="20">
        <v>1.0</v>
      </c>
      <c r="O867" s="18">
        <v>33.0</v>
      </c>
      <c r="P867" s="20">
        <v>3.5</v>
      </c>
      <c r="Q867" s="16">
        <v>46597.0</v>
      </c>
      <c r="R867" s="16" t="s">
        <v>38</v>
      </c>
      <c r="S867" s="13" t="s">
        <v>55</v>
      </c>
      <c r="T867" s="13" t="s">
        <v>66</v>
      </c>
      <c r="U867" s="13" t="str">
        <f t="shared" si="1"/>
        <v>Moderate</v>
      </c>
      <c r="V867" s="13" t="str">
        <f t="shared" si="2"/>
        <v>Median or Above</v>
      </c>
      <c r="W867" s="13" t="str">
        <f t="shared" si="3"/>
        <v>25–48 Months</v>
      </c>
    </row>
    <row r="868" hidden="1">
      <c r="A868" s="13" t="s">
        <v>1481</v>
      </c>
      <c r="B868" s="13" t="s">
        <v>393</v>
      </c>
      <c r="C868" s="14">
        <v>61.0</v>
      </c>
      <c r="D868" s="13" t="s">
        <v>85</v>
      </c>
      <c r="E868" s="13" t="s">
        <v>87</v>
      </c>
      <c r="F868" s="13" t="s">
        <v>37</v>
      </c>
      <c r="G868" s="13" t="s">
        <v>63</v>
      </c>
      <c r="H868" s="16">
        <v>45273.0</v>
      </c>
      <c r="I868" s="14">
        <v>42.0</v>
      </c>
      <c r="J868" s="13" t="s">
        <v>40</v>
      </c>
      <c r="K868" s="13" t="s">
        <v>41</v>
      </c>
      <c r="L868" s="14">
        <v>1586.0</v>
      </c>
      <c r="M868" s="18" t="s">
        <v>99</v>
      </c>
      <c r="N868" s="20">
        <v>1.0</v>
      </c>
      <c r="O868" s="18">
        <v>17.8</v>
      </c>
      <c r="P868" s="20">
        <v>3.0</v>
      </c>
      <c r="Q868" s="16">
        <v>46353.0</v>
      </c>
      <c r="R868" s="16" t="s">
        <v>1482</v>
      </c>
      <c r="S868" s="13" t="s">
        <v>45</v>
      </c>
      <c r="T868" s="13" t="s">
        <v>66</v>
      </c>
      <c r="U868" s="13" t="str">
        <f t="shared" si="1"/>
        <v>Moderate</v>
      </c>
      <c r="V868" s="13" t="str">
        <f t="shared" si="2"/>
        <v>Below Median</v>
      </c>
      <c r="W868" s="13" t="str">
        <f t="shared" si="3"/>
        <v>25–48 Months</v>
      </c>
    </row>
    <row r="869" hidden="1">
      <c r="A869" s="13" t="s">
        <v>684</v>
      </c>
      <c r="B869" s="13" t="s">
        <v>281</v>
      </c>
      <c r="C869" s="14">
        <v>34.0</v>
      </c>
      <c r="D869" s="13" t="s">
        <v>35</v>
      </c>
      <c r="E869" s="13" t="s">
        <v>161</v>
      </c>
      <c r="F869" s="13" t="s">
        <v>62</v>
      </c>
      <c r="G869" s="13" t="s">
        <v>120</v>
      </c>
      <c r="H869" s="16">
        <v>44620.0</v>
      </c>
      <c r="I869" s="14">
        <v>120.0</v>
      </c>
      <c r="J869" s="13" t="s">
        <v>53</v>
      </c>
      <c r="K869" s="13" t="s">
        <v>65</v>
      </c>
      <c r="L869" s="14">
        <v>628.0</v>
      </c>
      <c r="M869" s="18" t="s">
        <v>173</v>
      </c>
      <c r="N869" s="20">
        <v>1.0</v>
      </c>
      <c r="O869" s="18">
        <v>26.2</v>
      </c>
      <c r="P869" s="20">
        <v>4.2</v>
      </c>
      <c r="Q869" s="16">
        <v>46028.0</v>
      </c>
      <c r="R869" s="16" t="s">
        <v>38</v>
      </c>
      <c r="S869" s="13" t="s">
        <v>55</v>
      </c>
      <c r="T869" s="13" t="s">
        <v>104</v>
      </c>
      <c r="U869" s="13" t="str">
        <f t="shared" si="1"/>
        <v>Moderate</v>
      </c>
      <c r="V869" s="13" t="str">
        <f t="shared" si="2"/>
        <v>Median or Above</v>
      </c>
      <c r="W869" s="13" t="str">
        <f t="shared" si="3"/>
        <v>49+ Months</v>
      </c>
    </row>
    <row r="870" hidden="1">
      <c r="A870" s="13" t="s">
        <v>1483</v>
      </c>
      <c r="B870" s="13" t="s">
        <v>383</v>
      </c>
      <c r="C870" s="14">
        <v>24.0</v>
      </c>
      <c r="D870" s="13" t="s">
        <v>85</v>
      </c>
      <c r="E870" s="13" t="s">
        <v>92</v>
      </c>
      <c r="F870" s="13" t="s">
        <v>37</v>
      </c>
      <c r="G870" s="13" t="s">
        <v>39</v>
      </c>
      <c r="H870" s="16">
        <v>45049.0</v>
      </c>
      <c r="I870" s="14">
        <v>36.0</v>
      </c>
      <c r="J870" s="13" t="s">
        <v>53</v>
      </c>
      <c r="K870" s="13" t="s">
        <v>65</v>
      </c>
      <c r="L870" s="14">
        <v>1662.0</v>
      </c>
      <c r="M870" s="18" t="s">
        <v>98</v>
      </c>
      <c r="N870" s="20">
        <v>0.0</v>
      </c>
      <c r="O870" s="18">
        <v>24.2</v>
      </c>
      <c r="P870" s="20">
        <v>5.0</v>
      </c>
      <c r="Q870" s="16">
        <v>45821.0</v>
      </c>
      <c r="R870" s="16" t="s">
        <v>1421</v>
      </c>
      <c r="S870" s="13" t="s">
        <v>45</v>
      </c>
      <c r="T870" s="13" t="s">
        <v>66</v>
      </c>
      <c r="U870" s="13" t="str">
        <f t="shared" si="1"/>
        <v>High</v>
      </c>
      <c r="V870" s="13" t="str">
        <f t="shared" si="2"/>
        <v>Median or Above</v>
      </c>
      <c r="W870" s="13" t="str">
        <f t="shared" si="3"/>
        <v>25–48 Months</v>
      </c>
    </row>
    <row r="871" hidden="1">
      <c r="A871" s="13" t="s">
        <v>1484</v>
      </c>
      <c r="B871" s="13" t="s">
        <v>801</v>
      </c>
      <c r="C871" s="14">
        <v>35.0</v>
      </c>
      <c r="D871" s="13" t="s">
        <v>69</v>
      </c>
      <c r="E871" s="13" t="s">
        <v>177</v>
      </c>
      <c r="F871" s="13" t="s">
        <v>37</v>
      </c>
      <c r="G871" s="13" t="s">
        <v>63</v>
      </c>
      <c r="H871" s="16">
        <v>44747.0</v>
      </c>
      <c r="I871" s="14">
        <v>41.0</v>
      </c>
      <c r="J871" s="13" t="s">
        <v>64</v>
      </c>
      <c r="K871" s="13" t="s">
        <v>65</v>
      </c>
      <c r="L871" s="14">
        <v>1508.0</v>
      </c>
      <c r="M871" s="18" t="s">
        <v>43</v>
      </c>
      <c r="N871" s="20">
        <v>1.0</v>
      </c>
      <c r="O871" s="18">
        <v>33.2</v>
      </c>
      <c r="P871" s="20">
        <v>3.7</v>
      </c>
      <c r="Q871" s="16">
        <v>45138.0</v>
      </c>
      <c r="R871" s="16" t="s">
        <v>38</v>
      </c>
      <c r="S871" s="13" t="s">
        <v>55</v>
      </c>
      <c r="T871" s="13" t="s">
        <v>72</v>
      </c>
      <c r="U871" s="13" t="str">
        <f t="shared" si="1"/>
        <v>Moderate</v>
      </c>
      <c r="V871" s="13" t="str">
        <f t="shared" si="2"/>
        <v>Median or Above</v>
      </c>
      <c r="W871" s="13" t="str">
        <f t="shared" si="3"/>
        <v>25–48 Months</v>
      </c>
    </row>
    <row r="872" hidden="1">
      <c r="A872" s="13" t="s">
        <v>1470</v>
      </c>
      <c r="B872" s="13" t="s">
        <v>176</v>
      </c>
      <c r="C872" s="14">
        <v>67.0</v>
      </c>
      <c r="D872" s="13" t="s">
        <v>85</v>
      </c>
      <c r="E872" s="13" t="s">
        <v>92</v>
      </c>
      <c r="F872" s="13" t="s">
        <v>37</v>
      </c>
      <c r="G872" s="13" t="s">
        <v>39</v>
      </c>
      <c r="H872" s="16">
        <v>45223.0</v>
      </c>
      <c r="I872" s="14">
        <v>2.0</v>
      </c>
      <c r="J872" s="13" t="s">
        <v>64</v>
      </c>
      <c r="K872" s="13" t="s">
        <v>81</v>
      </c>
      <c r="L872" s="14">
        <v>1316.0</v>
      </c>
      <c r="M872" s="18" t="s">
        <v>98</v>
      </c>
      <c r="N872" s="20">
        <v>1.0</v>
      </c>
      <c r="O872" s="18">
        <v>17.0</v>
      </c>
      <c r="P872" s="20">
        <v>3.3</v>
      </c>
      <c r="Q872" s="16">
        <v>45297.0</v>
      </c>
      <c r="R872" s="16" t="s">
        <v>38</v>
      </c>
      <c r="S872" s="13" t="s">
        <v>55</v>
      </c>
      <c r="T872" s="13" t="s">
        <v>47</v>
      </c>
      <c r="U872" s="13" t="str">
        <f t="shared" si="1"/>
        <v>Moderate</v>
      </c>
      <c r="V872" s="13" t="str">
        <f t="shared" si="2"/>
        <v>Below Median</v>
      </c>
      <c r="W872" s="13" t="str">
        <f t="shared" si="3"/>
        <v>0–12 Months</v>
      </c>
    </row>
    <row r="873" hidden="1">
      <c r="A873" s="13" t="s">
        <v>531</v>
      </c>
      <c r="B873" s="13" t="s">
        <v>167</v>
      </c>
      <c r="C873" s="14">
        <v>44.0</v>
      </c>
      <c r="D873" s="13" t="s">
        <v>35</v>
      </c>
      <c r="E873" s="13" t="s">
        <v>51</v>
      </c>
      <c r="F873" s="13" t="s">
        <v>62</v>
      </c>
      <c r="G873" s="13" t="s">
        <v>52</v>
      </c>
      <c r="H873" s="16">
        <v>45786.0</v>
      </c>
      <c r="I873" s="14">
        <v>43.0</v>
      </c>
      <c r="J873" s="13" t="s">
        <v>40</v>
      </c>
      <c r="K873" s="13" t="s">
        <v>65</v>
      </c>
      <c r="L873" s="14">
        <v>633.0</v>
      </c>
      <c r="M873" s="18" t="s">
        <v>98</v>
      </c>
      <c r="N873" s="20">
        <v>1.0</v>
      </c>
      <c r="O873" s="18">
        <v>23.5</v>
      </c>
      <c r="P873" s="20">
        <v>3.1</v>
      </c>
      <c r="Q873" s="16">
        <v>46492.0</v>
      </c>
      <c r="R873" s="16" t="s">
        <v>38</v>
      </c>
      <c r="S873" s="13" t="s">
        <v>55</v>
      </c>
      <c r="T873" s="13" t="s">
        <v>104</v>
      </c>
      <c r="U873" s="13" t="str">
        <f t="shared" si="1"/>
        <v>Moderate</v>
      </c>
      <c r="V873" s="13" t="str">
        <f t="shared" si="2"/>
        <v>Below Median</v>
      </c>
      <c r="W873" s="13" t="str">
        <f t="shared" si="3"/>
        <v>25–48 Months</v>
      </c>
    </row>
    <row r="874" hidden="1">
      <c r="A874" s="13" t="s">
        <v>543</v>
      </c>
      <c r="B874" s="13" t="s">
        <v>163</v>
      </c>
      <c r="C874" s="14">
        <v>63.0</v>
      </c>
      <c r="D874" s="13" t="s">
        <v>60</v>
      </c>
      <c r="E874" s="13" t="s">
        <v>61</v>
      </c>
      <c r="F874" s="13" t="s">
        <v>62</v>
      </c>
      <c r="G874" s="13" t="s">
        <v>39</v>
      </c>
      <c r="H874" s="16">
        <v>45468.0</v>
      </c>
      <c r="I874" s="14">
        <v>3.0</v>
      </c>
      <c r="J874" s="13" t="s">
        <v>40</v>
      </c>
      <c r="K874" s="13" t="s">
        <v>41</v>
      </c>
      <c r="L874" s="14">
        <v>578.0</v>
      </c>
      <c r="M874" s="18" t="s">
        <v>43</v>
      </c>
      <c r="N874" s="20">
        <v>3.0</v>
      </c>
      <c r="O874" s="18">
        <v>19.2</v>
      </c>
      <c r="P874" s="20">
        <v>3.8</v>
      </c>
      <c r="Q874" s="16">
        <v>45481.0</v>
      </c>
      <c r="R874" s="16" t="s">
        <v>38</v>
      </c>
      <c r="S874" s="13" t="s">
        <v>55</v>
      </c>
      <c r="T874" s="13" t="s">
        <v>47</v>
      </c>
      <c r="U874" s="13" t="str">
        <f t="shared" si="1"/>
        <v>Moderate</v>
      </c>
      <c r="V874" s="13" t="str">
        <f t="shared" si="2"/>
        <v>Below Median</v>
      </c>
      <c r="W874" s="13" t="str">
        <f t="shared" si="3"/>
        <v>0–12 Months</v>
      </c>
    </row>
    <row r="875" hidden="1">
      <c r="A875" s="13" t="s">
        <v>1485</v>
      </c>
      <c r="B875" s="13" t="s">
        <v>172</v>
      </c>
      <c r="C875" s="14">
        <v>45.0</v>
      </c>
      <c r="D875" s="13" t="s">
        <v>69</v>
      </c>
      <c r="E875" s="13" t="s">
        <v>187</v>
      </c>
      <c r="F875" s="13" t="s">
        <v>62</v>
      </c>
      <c r="G875" s="13" t="s">
        <v>39</v>
      </c>
      <c r="H875" s="16">
        <v>44604.0</v>
      </c>
      <c r="I875" s="14">
        <v>40.0</v>
      </c>
      <c r="J875" s="13" t="s">
        <v>40</v>
      </c>
      <c r="K875" s="13" t="s">
        <v>81</v>
      </c>
      <c r="L875" s="14">
        <v>723.0</v>
      </c>
      <c r="M875" s="18" t="s">
        <v>43</v>
      </c>
      <c r="N875" s="20">
        <v>0.0</v>
      </c>
      <c r="O875" s="18">
        <v>22.7</v>
      </c>
      <c r="P875" s="20">
        <v>3.3</v>
      </c>
      <c r="Q875" s="16">
        <v>45742.0</v>
      </c>
      <c r="R875" s="16" t="s">
        <v>38</v>
      </c>
      <c r="S875" s="13" t="s">
        <v>55</v>
      </c>
      <c r="T875" s="13" t="s">
        <v>66</v>
      </c>
      <c r="U875" s="13" t="str">
        <f t="shared" si="1"/>
        <v>Moderate</v>
      </c>
      <c r="V875" s="13" t="str">
        <f t="shared" si="2"/>
        <v>Below Median</v>
      </c>
      <c r="W875" s="13" t="str">
        <f t="shared" si="3"/>
        <v>25–48 Months</v>
      </c>
    </row>
    <row r="876" hidden="1">
      <c r="A876" s="13" t="s">
        <v>1486</v>
      </c>
      <c r="B876" s="13" t="s">
        <v>336</v>
      </c>
      <c r="C876" s="14">
        <v>39.0</v>
      </c>
      <c r="D876" s="13" t="s">
        <v>85</v>
      </c>
      <c r="E876" s="13" t="s">
        <v>92</v>
      </c>
      <c r="F876" s="13" t="s">
        <v>37</v>
      </c>
      <c r="G876" s="13" t="s">
        <v>210</v>
      </c>
      <c r="H876" s="16">
        <v>45101.0</v>
      </c>
      <c r="I876" s="14">
        <v>28.0</v>
      </c>
      <c r="J876" s="13" t="s">
        <v>64</v>
      </c>
      <c r="K876" s="13" t="s">
        <v>41</v>
      </c>
      <c r="L876" s="14">
        <v>1326.0</v>
      </c>
      <c r="M876" s="18" t="s">
        <v>98</v>
      </c>
      <c r="N876" s="20">
        <v>1.0</v>
      </c>
      <c r="O876" s="18">
        <v>33.1</v>
      </c>
      <c r="P876" s="20">
        <v>3.1</v>
      </c>
      <c r="Q876" s="16">
        <v>45476.0</v>
      </c>
      <c r="R876" s="16" t="s">
        <v>38</v>
      </c>
      <c r="S876" s="13" t="s">
        <v>55</v>
      </c>
      <c r="T876" s="13" t="s">
        <v>66</v>
      </c>
      <c r="U876" s="13" t="str">
        <f t="shared" si="1"/>
        <v>Moderate</v>
      </c>
      <c r="V876" s="13" t="str">
        <f t="shared" si="2"/>
        <v>Median or Above</v>
      </c>
      <c r="W876" s="13" t="str">
        <f t="shared" si="3"/>
        <v>25–48 Months</v>
      </c>
    </row>
    <row r="877" hidden="1">
      <c r="A877" s="13" t="s">
        <v>1487</v>
      </c>
      <c r="B877" s="13" t="s">
        <v>636</v>
      </c>
      <c r="C877" s="14">
        <v>64.0</v>
      </c>
      <c r="D877" s="13" t="s">
        <v>69</v>
      </c>
      <c r="E877" s="13" t="s">
        <v>70</v>
      </c>
      <c r="F877" s="13" t="s">
        <v>79</v>
      </c>
      <c r="G877" s="13" t="s">
        <v>128</v>
      </c>
      <c r="H877" s="16">
        <v>45601.0</v>
      </c>
      <c r="I877" s="14">
        <v>46.0</v>
      </c>
      <c r="J877" s="13" t="s">
        <v>64</v>
      </c>
      <c r="K877" s="13" t="s">
        <v>81</v>
      </c>
      <c r="L877" s="14">
        <v>3652.0</v>
      </c>
      <c r="M877" s="18" t="s">
        <v>99</v>
      </c>
      <c r="N877" s="20">
        <v>0.0</v>
      </c>
      <c r="O877" s="18">
        <v>34.6</v>
      </c>
      <c r="P877" s="20">
        <v>4.7</v>
      </c>
      <c r="Q877" s="16">
        <v>46848.0</v>
      </c>
      <c r="R877" s="16" t="s">
        <v>38</v>
      </c>
      <c r="S877" s="13" t="s">
        <v>55</v>
      </c>
      <c r="T877" s="13" t="s">
        <v>66</v>
      </c>
      <c r="U877" s="13" t="str">
        <f t="shared" si="1"/>
        <v>Moderate</v>
      </c>
      <c r="V877" s="13" t="str">
        <f t="shared" si="2"/>
        <v>Median or Above</v>
      </c>
      <c r="W877" s="13" t="str">
        <f t="shared" si="3"/>
        <v>25–48 Months</v>
      </c>
    </row>
    <row r="878" hidden="1">
      <c r="A878" s="13" t="s">
        <v>1265</v>
      </c>
      <c r="B878" s="13" t="s">
        <v>345</v>
      </c>
      <c r="C878" s="14">
        <v>54.0</v>
      </c>
      <c r="D878" s="13" t="s">
        <v>85</v>
      </c>
      <c r="E878" s="13" t="s">
        <v>92</v>
      </c>
      <c r="F878" s="13" t="s">
        <v>37</v>
      </c>
      <c r="G878" s="13" t="s">
        <v>63</v>
      </c>
      <c r="H878" s="16">
        <v>45504.0</v>
      </c>
      <c r="I878" s="14">
        <v>40.0</v>
      </c>
      <c r="J878" s="13" t="s">
        <v>64</v>
      </c>
      <c r="K878" s="13" t="s">
        <v>41</v>
      </c>
      <c r="L878" s="14">
        <v>1445.0</v>
      </c>
      <c r="M878" s="18" t="s">
        <v>164</v>
      </c>
      <c r="N878" s="20">
        <v>2.0</v>
      </c>
      <c r="O878" s="18">
        <v>34.4</v>
      </c>
      <c r="P878" s="20">
        <v>2.6</v>
      </c>
      <c r="Q878" s="16">
        <v>45864.0</v>
      </c>
      <c r="R878" s="16" t="s">
        <v>38</v>
      </c>
      <c r="S878" s="13" t="s">
        <v>55</v>
      </c>
      <c r="T878" s="13" t="s">
        <v>72</v>
      </c>
      <c r="U878" s="13" t="str">
        <f t="shared" si="1"/>
        <v>Low</v>
      </c>
      <c r="V878" s="13" t="str">
        <f t="shared" si="2"/>
        <v>Median or Above</v>
      </c>
      <c r="W878" s="13" t="str">
        <f t="shared" si="3"/>
        <v>25–48 Months</v>
      </c>
    </row>
    <row r="879" hidden="1">
      <c r="A879" s="13" t="s">
        <v>1376</v>
      </c>
      <c r="B879" s="13" t="s">
        <v>206</v>
      </c>
      <c r="C879" s="14">
        <v>44.0</v>
      </c>
      <c r="D879" s="13" t="s">
        <v>69</v>
      </c>
      <c r="E879" s="13" t="s">
        <v>70</v>
      </c>
      <c r="F879" s="13" t="s">
        <v>37</v>
      </c>
      <c r="G879" s="13" t="s">
        <v>63</v>
      </c>
      <c r="H879" s="16">
        <v>45127.0</v>
      </c>
      <c r="I879" s="14">
        <v>37.0</v>
      </c>
      <c r="J879" s="13" t="s">
        <v>40</v>
      </c>
      <c r="K879" s="13" t="s">
        <v>81</v>
      </c>
      <c r="L879" s="14">
        <v>1027.0</v>
      </c>
      <c r="M879" s="18" t="s">
        <v>43</v>
      </c>
      <c r="N879" s="20">
        <v>1.0</v>
      </c>
      <c r="O879" s="18">
        <v>21.0</v>
      </c>
      <c r="P879" s="20">
        <v>3.7</v>
      </c>
      <c r="Q879" s="16">
        <v>46142.0</v>
      </c>
      <c r="R879" s="16" t="s">
        <v>38</v>
      </c>
      <c r="S879" s="13" t="s">
        <v>55</v>
      </c>
      <c r="T879" s="13" t="s">
        <v>75</v>
      </c>
      <c r="U879" s="13" t="str">
        <f t="shared" si="1"/>
        <v>Moderate</v>
      </c>
      <c r="V879" s="13" t="str">
        <f t="shared" si="2"/>
        <v>Below Median</v>
      </c>
      <c r="W879" s="13" t="str">
        <f t="shared" si="3"/>
        <v>25–48 Months</v>
      </c>
    </row>
    <row r="880" hidden="1">
      <c r="A880" s="13" t="s">
        <v>1488</v>
      </c>
      <c r="B880" s="13" t="s">
        <v>132</v>
      </c>
      <c r="C880" s="14">
        <v>64.0</v>
      </c>
      <c r="D880" s="13" t="s">
        <v>60</v>
      </c>
      <c r="E880" s="13" t="s">
        <v>107</v>
      </c>
      <c r="F880" s="13" t="s">
        <v>62</v>
      </c>
      <c r="G880" s="13" t="s">
        <v>128</v>
      </c>
      <c r="H880" s="16">
        <v>45454.0</v>
      </c>
      <c r="I880" s="14">
        <v>27.0</v>
      </c>
      <c r="J880" s="13" t="s">
        <v>53</v>
      </c>
      <c r="K880" s="13" t="s">
        <v>81</v>
      </c>
      <c r="L880" s="14">
        <v>775.0</v>
      </c>
      <c r="M880" s="18" t="s">
        <v>46</v>
      </c>
      <c r="N880" s="20">
        <v>2.0</v>
      </c>
      <c r="O880" s="18">
        <v>38.4</v>
      </c>
      <c r="P880" s="20">
        <v>4.3</v>
      </c>
      <c r="Q880" s="16">
        <v>45934.0</v>
      </c>
      <c r="R880" s="16" t="s">
        <v>38</v>
      </c>
      <c r="S880" s="13" t="s">
        <v>55</v>
      </c>
      <c r="T880" s="13" t="s">
        <v>104</v>
      </c>
      <c r="U880" s="13" t="str">
        <f t="shared" si="1"/>
        <v>Moderate</v>
      </c>
      <c r="V880" s="13" t="str">
        <f t="shared" si="2"/>
        <v>Median or Above</v>
      </c>
      <c r="W880" s="13" t="str">
        <f t="shared" si="3"/>
        <v>25–48 Months</v>
      </c>
    </row>
    <row r="881" hidden="1">
      <c r="A881" s="13" t="s">
        <v>1489</v>
      </c>
      <c r="B881" s="13" t="s">
        <v>96</v>
      </c>
      <c r="C881" s="14">
        <v>60.0</v>
      </c>
      <c r="D881" s="13" t="s">
        <v>35</v>
      </c>
      <c r="E881" s="13" t="s">
        <v>36</v>
      </c>
      <c r="F881" s="13" t="s">
        <v>37</v>
      </c>
      <c r="G881" s="13" t="s">
        <v>52</v>
      </c>
      <c r="H881" s="16">
        <v>44892.0</v>
      </c>
      <c r="I881" s="14">
        <v>47.0</v>
      </c>
      <c r="J881" s="13" t="s">
        <v>53</v>
      </c>
      <c r="K881" s="13" t="s">
        <v>81</v>
      </c>
      <c r="L881" s="14">
        <v>1791.0</v>
      </c>
      <c r="M881" s="18" t="s">
        <v>98</v>
      </c>
      <c r="N881" s="20">
        <v>0.0</v>
      </c>
      <c r="O881" s="18">
        <v>20.1</v>
      </c>
      <c r="P881" s="20">
        <v>3.2</v>
      </c>
      <c r="Q881" s="16">
        <v>45269.0</v>
      </c>
      <c r="R881" s="16" t="s">
        <v>38</v>
      </c>
      <c r="S881" s="13" t="s">
        <v>55</v>
      </c>
      <c r="T881" s="13" t="s">
        <v>104</v>
      </c>
      <c r="U881" s="13" t="str">
        <f t="shared" si="1"/>
        <v>Moderate</v>
      </c>
      <c r="V881" s="13" t="str">
        <f t="shared" si="2"/>
        <v>Below Median</v>
      </c>
      <c r="W881" s="13" t="str">
        <f t="shared" si="3"/>
        <v>25–48 Months</v>
      </c>
    </row>
    <row r="882" hidden="1">
      <c r="A882" s="13" t="s">
        <v>1490</v>
      </c>
      <c r="B882" s="13" t="s">
        <v>405</v>
      </c>
      <c r="C882" s="14">
        <v>30.0</v>
      </c>
      <c r="D882" s="13" t="s">
        <v>35</v>
      </c>
      <c r="E882" s="13" t="s">
        <v>36</v>
      </c>
      <c r="F882" s="13" t="s">
        <v>79</v>
      </c>
      <c r="G882" s="13" t="s">
        <v>80</v>
      </c>
      <c r="H882" s="16">
        <v>45997.0</v>
      </c>
      <c r="I882" s="14">
        <v>44.0</v>
      </c>
      <c r="J882" s="13" t="s">
        <v>40</v>
      </c>
      <c r="K882" s="13" t="s">
        <v>65</v>
      </c>
      <c r="L882" s="14">
        <v>3425.0</v>
      </c>
      <c r="M882" s="18" t="s">
        <v>43</v>
      </c>
      <c r="N882" s="20">
        <v>0.0</v>
      </c>
      <c r="O882" s="18">
        <v>42.4</v>
      </c>
      <c r="P882" s="20">
        <v>5.0</v>
      </c>
      <c r="Q882" s="16">
        <v>46978.0</v>
      </c>
      <c r="R882" s="16" t="s">
        <v>38</v>
      </c>
      <c r="S882" s="13" t="s">
        <v>55</v>
      </c>
      <c r="T882" s="13" t="s">
        <v>72</v>
      </c>
      <c r="U882" s="13" t="str">
        <f t="shared" si="1"/>
        <v>High</v>
      </c>
      <c r="V882" s="13" t="str">
        <f t="shared" si="2"/>
        <v>Median or Above</v>
      </c>
      <c r="W882" s="13" t="str">
        <f t="shared" si="3"/>
        <v>25–48 Months</v>
      </c>
    </row>
    <row r="883" hidden="1">
      <c r="A883" s="13" t="s">
        <v>1491</v>
      </c>
      <c r="B883" s="13" t="s">
        <v>229</v>
      </c>
      <c r="C883" s="14">
        <v>67.0</v>
      </c>
      <c r="D883" s="13" t="s">
        <v>85</v>
      </c>
      <c r="E883" s="13" t="s">
        <v>92</v>
      </c>
      <c r="F883" s="13" t="s">
        <v>37</v>
      </c>
      <c r="G883" s="13" t="s">
        <v>39</v>
      </c>
      <c r="H883" s="16">
        <v>45095.0</v>
      </c>
      <c r="I883" s="14">
        <v>26.0</v>
      </c>
      <c r="J883" s="13" t="s">
        <v>40</v>
      </c>
      <c r="K883" s="13" t="s">
        <v>81</v>
      </c>
      <c r="L883" s="14">
        <v>1661.0</v>
      </c>
      <c r="M883" s="18" t="s">
        <v>43</v>
      </c>
      <c r="N883" s="20">
        <v>3.0</v>
      </c>
      <c r="O883" s="18">
        <v>29.7</v>
      </c>
      <c r="P883" s="20">
        <v>3.3</v>
      </c>
      <c r="Q883" s="16">
        <v>45188.0</v>
      </c>
      <c r="R883" s="16" t="s">
        <v>38</v>
      </c>
      <c r="S883" s="13" t="s">
        <v>55</v>
      </c>
      <c r="T883" s="13" t="s">
        <v>72</v>
      </c>
      <c r="U883" s="13" t="str">
        <f t="shared" si="1"/>
        <v>Moderate</v>
      </c>
      <c r="V883" s="13" t="str">
        <f t="shared" si="2"/>
        <v>Median or Above</v>
      </c>
      <c r="W883" s="13" t="str">
        <f t="shared" si="3"/>
        <v>25–48 Months</v>
      </c>
    </row>
    <row r="884" hidden="1">
      <c r="A884" s="13" t="s">
        <v>1492</v>
      </c>
      <c r="B884" s="13" t="s">
        <v>152</v>
      </c>
      <c r="C884" s="14">
        <v>55.0</v>
      </c>
      <c r="D884" s="13" t="s">
        <v>35</v>
      </c>
      <c r="E884" s="13" t="s">
        <v>36</v>
      </c>
      <c r="F884" s="13" t="s">
        <v>37</v>
      </c>
      <c r="G884" s="13" t="s">
        <v>63</v>
      </c>
      <c r="H884" s="16">
        <v>44907.0</v>
      </c>
      <c r="I884" s="14">
        <v>1.0</v>
      </c>
      <c r="J884" s="13" t="s">
        <v>64</v>
      </c>
      <c r="K884" s="13" t="s">
        <v>65</v>
      </c>
      <c r="L884" s="14">
        <v>1011.0</v>
      </c>
      <c r="M884" s="18" t="s">
        <v>43</v>
      </c>
      <c r="N884" s="20">
        <v>0.0</v>
      </c>
      <c r="O884" s="18">
        <v>30.0</v>
      </c>
      <c r="P884" s="20">
        <v>3.1</v>
      </c>
      <c r="Q884" s="16">
        <v>44937.0</v>
      </c>
      <c r="R884" s="16" t="s">
        <v>1493</v>
      </c>
      <c r="S884" s="13" t="s">
        <v>45</v>
      </c>
      <c r="T884" s="13" t="s">
        <v>104</v>
      </c>
      <c r="U884" s="13" t="str">
        <f t="shared" si="1"/>
        <v>Moderate</v>
      </c>
      <c r="V884" s="13" t="str">
        <f t="shared" si="2"/>
        <v>Median or Above</v>
      </c>
      <c r="W884" s="13" t="str">
        <f t="shared" si="3"/>
        <v>0–12 Months</v>
      </c>
    </row>
    <row r="885" hidden="1">
      <c r="A885" s="13" t="s">
        <v>1494</v>
      </c>
      <c r="B885" s="13" t="s">
        <v>190</v>
      </c>
      <c r="C885" s="14">
        <v>51.0</v>
      </c>
      <c r="D885" s="13" t="s">
        <v>69</v>
      </c>
      <c r="E885" s="13" t="s">
        <v>119</v>
      </c>
      <c r="F885" s="13" t="s">
        <v>62</v>
      </c>
      <c r="G885" s="13" t="s">
        <v>39</v>
      </c>
      <c r="H885" s="16">
        <v>45269.0</v>
      </c>
      <c r="I885" s="14">
        <v>7.0</v>
      </c>
      <c r="J885" s="13" t="s">
        <v>40</v>
      </c>
      <c r="K885" s="13" t="s">
        <v>65</v>
      </c>
      <c r="L885" s="14">
        <v>578.0</v>
      </c>
      <c r="M885" s="18" t="s">
        <v>98</v>
      </c>
      <c r="N885" s="20">
        <v>2.0</v>
      </c>
      <c r="O885" s="18">
        <v>16.2</v>
      </c>
      <c r="P885" s="20">
        <v>5.0</v>
      </c>
      <c r="Q885" s="16">
        <v>45425.0</v>
      </c>
      <c r="R885" s="16" t="s">
        <v>1495</v>
      </c>
      <c r="S885" s="13" t="s">
        <v>45</v>
      </c>
      <c r="T885" s="13" t="s">
        <v>104</v>
      </c>
      <c r="U885" s="13" t="str">
        <f t="shared" si="1"/>
        <v>High</v>
      </c>
      <c r="V885" s="13" t="str">
        <f t="shared" si="2"/>
        <v>Below Median</v>
      </c>
      <c r="W885" s="13" t="str">
        <f t="shared" si="3"/>
        <v>0–12 Months</v>
      </c>
    </row>
    <row r="886" hidden="1">
      <c r="A886" s="13" t="s">
        <v>1496</v>
      </c>
      <c r="B886" s="13" t="s">
        <v>639</v>
      </c>
      <c r="C886" s="14">
        <v>31.0</v>
      </c>
      <c r="D886" s="13" t="s">
        <v>35</v>
      </c>
      <c r="E886" s="13" t="s">
        <v>36</v>
      </c>
      <c r="F886" s="13" t="s">
        <v>37</v>
      </c>
      <c r="G886" s="13" t="s">
        <v>210</v>
      </c>
      <c r="H886" s="16">
        <v>45158.0</v>
      </c>
      <c r="I886" s="14">
        <v>7.0</v>
      </c>
      <c r="J886" s="13" t="s">
        <v>64</v>
      </c>
      <c r="K886" s="13" t="s">
        <v>65</v>
      </c>
      <c r="L886" s="14">
        <v>1603.0</v>
      </c>
      <c r="M886" s="18" t="s">
        <v>99</v>
      </c>
      <c r="N886" s="20">
        <v>2.0</v>
      </c>
      <c r="O886" s="18">
        <v>25.4</v>
      </c>
      <c r="P886" s="20">
        <v>3.2</v>
      </c>
      <c r="Q886" s="16">
        <v>45210.0</v>
      </c>
      <c r="R886" s="16" t="s">
        <v>38</v>
      </c>
      <c r="S886" s="13" t="s">
        <v>55</v>
      </c>
      <c r="T886" s="13" t="s">
        <v>66</v>
      </c>
      <c r="U886" s="13" t="str">
        <f t="shared" si="1"/>
        <v>Moderate</v>
      </c>
      <c r="V886" s="13" t="str">
        <f t="shared" si="2"/>
        <v>Median or Above</v>
      </c>
      <c r="W886" s="13" t="str">
        <f t="shared" si="3"/>
        <v>0–12 Months</v>
      </c>
    </row>
    <row r="887" hidden="1">
      <c r="A887" s="13" t="s">
        <v>1470</v>
      </c>
      <c r="B887" s="13" t="s">
        <v>163</v>
      </c>
      <c r="C887" s="14">
        <v>44.0</v>
      </c>
      <c r="D887" s="13" t="s">
        <v>85</v>
      </c>
      <c r="E887" s="13" t="s">
        <v>87</v>
      </c>
      <c r="F887" s="13" t="s">
        <v>37</v>
      </c>
      <c r="G887" s="13" t="s">
        <v>63</v>
      </c>
      <c r="H887" s="16">
        <v>45931.0</v>
      </c>
      <c r="I887" s="14">
        <v>36.0</v>
      </c>
      <c r="J887" s="13" t="s">
        <v>40</v>
      </c>
      <c r="K887" s="13" t="s">
        <v>65</v>
      </c>
      <c r="L887" s="14">
        <v>1373.0</v>
      </c>
      <c r="M887" s="18" t="s">
        <v>99</v>
      </c>
      <c r="N887" s="20">
        <v>0.0</v>
      </c>
      <c r="O887" s="18">
        <v>28.9</v>
      </c>
      <c r="P887" s="20" t="s">
        <v>38</v>
      </c>
      <c r="Q887" s="16">
        <v>46431.0</v>
      </c>
      <c r="R887" s="16" t="s">
        <v>38</v>
      </c>
      <c r="S887" s="13" t="s">
        <v>55</v>
      </c>
      <c r="T887" s="13" t="s">
        <v>104</v>
      </c>
      <c r="U887" s="13" t="str">
        <f t="shared" si="1"/>
        <v/>
      </c>
      <c r="V887" s="13" t="str">
        <f t="shared" si="2"/>
        <v>Median or Above</v>
      </c>
      <c r="W887" s="13" t="str">
        <f t="shared" si="3"/>
        <v>25–48 Months</v>
      </c>
    </row>
    <row r="888" hidden="1">
      <c r="A888" s="13" t="s">
        <v>660</v>
      </c>
      <c r="B888" s="13" t="s">
        <v>380</v>
      </c>
      <c r="C888" s="14">
        <v>39.0</v>
      </c>
      <c r="D888" s="13" t="s">
        <v>35</v>
      </c>
      <c r="E888" s="13" t="s">
        <v>36</v>
      </c>
      <c r="F888" s="13" t="s">
        <v>37</v>
      </c>
      <c r="G888" s="13" t="s">
        <v>210</v>
      </c>
      <c r="H888" s="16">
        <v>45641.0</v>
      </c>
      <c r="I888" s="14">
        <v>37.0</v>
      </c>
      <c r="J888" s="13" t="s">
        <v>64</v>
      </c>
      <c r="K888" s="13" t="s">
        <v>65</v>
      </c>
      <c r="L888" s="14">
        <v>1533.0</v>
      </c>
      <c r="M888" s="18" t="s">
        <v>98</v>
      </c>
      <c r="N888" s="20">
        <v>1.0</v>
      </c>
      <c r="O888" s="18">
        <v>30.3</v>
      </c>
      <c r="P888" s="20">
        <v>3.2</v>
      </c>
      <c r="Q888" s="16">
        <v>46769.0</v>
      </c>
      <c r="R888" s="16" t="s">
        <v>38</v>
      </c>
      <c r="S888" s="13" t="s">
        <v>55</v>
      </c>
      <c r="T888" s="13" t="s">
        <v>47</v>
      </c>
      <c r="U888" s="13" t="str">
        <f t="shared" si="1"/>
        <v>Moderate</v>
      </c>
      <c r="V888" s="13" t="str">
        <f t="shared" si="2"/>
        <v>Median or Above</v>
      </c>
      <c r="W888" s="13" t="str">
        <f t="shared" si="3"/>
        <v>25–48 Months</v>
      </c>
    </row>
    <row r="889" hidden="1">
      <c r="A889" s="13" t="s">
        <v>1322</v>
      </c>
      <c r="B889" s="13" t="s">
        <v>169</v>
      </c>
      <c r="C889" s="14">
        <v>68.0</v>
      </c>
      <c r="D889" s="13" t="s">
        <v>85</v>
      </c>
      <c r="E889" s="13" t="s">
        <v>87</v>
      </c>
      <c r="F889" s="13" t="s">
        <v>62</v>
      </c>
      <c r="G889" s="13" t="s">
        <v>63</v>
      </c>
      <c r="H889" s="16">
        <v>45566.0</v>
      </c>
      <c r="I889" s="14">
        <v>2.0</v>
      </c>
      <c r="J889" s="13" t="s">
        <v>53</v>
      </c>
      <c r="K889" s="13" t="s">
        <v>81</v>
      </c>
      <c r="L889" s="14">
        <v>663.0</v>
      </c>
      <c r="M889" s="18" t="s">
        <v>164</v>
      </c>
      <c r="N889" s="20">
        <v>2.0</v>
      </c>
      <c r="O889" s="18">
        <v>16.2</v>
      </c>
      <c r="P889" s="20">
        <v>2.9</v>
      </c>
      <c r="Q889" s="16">
        <v>45625.0</v>
      </c>
      <c r="R889" s="16" t="s">
        <v>38</v>
      </c>
      <c r="S889" s="13" t="s">
        <v>55</v>
      </c>
      <c r="T889" s="13" t="s">
        <v>104</v>
      </c>
      <c r="U889" s="13" t="str">
        <f t="shared" si="1"/>
        <v>Low</v>
      </c>
      <c r="V889" s="13" t="str">
        <f t="shared" si="2"/>
        <v>Below Median</v>
      </c>
      <c r="W889" s="13" t="str">
        <f t="shared" si="3"/>
        <v>0–12 Months</v>
      </c>
    </row>
    <row r="890" hidden="1">
      <c r="A890" s="13" t="s">
        <v>1497</v>
      </c>
      <c r="B890" s="13" t="s">
        <v>179</v>
      </c>
      <c r="C890" s="14">
        <v>22.0</v>
      </c>
      <c r="D890" s="13" t="s">
        <v>69</v>
      </c>
      <c r="E890" s="13" t="s">
        <v>51</v>
      </c>
      <c r="F890" s="13" t="s">
        <v>79</v>
      </c>
      <c r="G890" s="13" t="s">
        <v>39</v>
      </c>
      <c r="H890" s="16">
        <v>45765.0</v>
      </c>
      <c r="I890" s="14">
        <v>48.0</v>
      </c>
      <c r="J890" s="13" t="s">
        <v>53</v>
      </c>
      <c r="K890" s="13" t="s">
        <v>65</v>
      </c>
      <c r="L890" s="14">
        <v>3311.0</v>
      </c>
      <c r="M890" s="18" t="s">
        <v>98</v>
      </c>
      <c r="N890" s="20">
        <v>1.0</v>
      </c>
      <c r="O890" s="18">
        <v>32.1</v>
      </c>
      <c r="P890" s="20">
        <v>5.0</v>
      </c>
      <c r="Q890" s="16">
        <v>46417.0</v>
      </c>
      <c r="R890" s="16" t="s">
        <v>1498</v>
      </c>
      <c r="S890" s="13" t="s">
        <v>45</v>
      </c>
      <c r="T890" s="13" t="s">
        <v>47</v>
      </c>
      <c r="U890" s="13" t="str">
        <f t="shared" si="1"/>
        <v>High</v>
      </c>
      <c r="V890" s="13" t="str">
        <f t="shared" si="2"/>
        <v>Median or Above</v>
      </c>
      <c r="W890" s="13" t="str">
        <f t="shared" si="3"/>
        <v>25–48 Months</v>
      </c>
    </row>
    <row r="891" hidden="1">
      <c r="A891" s="13" t="s">
        <v>1008</v>
      </c>
      <c r="B891" s="13" t="s">
        <v>639</v>
      </c>
      <c r="C891" s="14">
        <v>30.0</v>
      </c>
      <c r="D891" s="13" t="s">
        <v>69</v>
      </c>
      <c r="E891" s="13" t="s">
        <v>140</v>
      </c>
      <c r="F891" s="13" t="s">
        <v>37</v>
      </c>
      <c r="G891" s="13" t="s">
        <v>80</v>
      </c>
      <c r="H891" s="16">
        <v>44927.0</v>
      </c>
      <c r="I891" s="14">
        <v>33.0</v>
      </c>
      <c r="J891" s="13" t="s">
        <v>40</v>
      </c>
      <c r="K891" s="13" t="s">
        <v>81</v>
      </c>
      <c r="L891" s="14">
        <v>1044.0</v>
      </c>
      <c r="M891" s="18" t="s">
        <v>98</v>
      </c>
      <c r="N891" s="20">
        <v>1.0</v>
      </c>
      <c r="O891" s="18">
        <v>33.4</v>
      </c>
      <c r="P891" s="20">
        <v>3.5</v>
      </c>
      <c r="Q891" s="16">
        <v>45156.0</v>
      </c>
      <c r="R891" s="16" t="s">
        <v>38</v>
      </c>
      <c r="S891" s="13" t="s">
        <v>55</v>
      </c>
      <c r="T891" s="13" t="s">
        <v>72</v>
      </c>
      <c r="U891" s="13" t="str">
        <f t="shared" si="1"/>
        <v>Moderate</v>
      </c>
      <c r="V891" s="13" t="str">
        <f t="shared" si="2"/>
        <v>Median or Above</v>
      </c>
      <c r="W891" s="13" t="str">
        <f t="shared" si="3"/>
        <v>25–48 Months</v>
      </c>
    </row>
    <row r="892" hidden="1">
      <c r="A892" s="13" t="s">
        <v>1499</v>
      </c>
      <c r="B892" s="13" t="s">
        <v>152</v>
      </c>
      <c r="C892" s="14">
        <v>34.0</v>
      </c>
      <c r="D892" s="13" t="s">
        <v>85</v>
      </c>
      <c r="E892" s="13" t="s">
        <v>119</v>
      </c>
      <c r="F892" s="13" t="s">
        <v>62</v>
      </c>
      <c r="G892" s="13" t="s">
        <v>52</v>
      </c>
      <c r="H892" s="16">
        <v>45817.0</v>
      </c>
      <c r="I892" s="14">
        <v>1.0</v>
      </c>
      <c r="J892" s="13" t="s">
        <v>40</v>
      </c>
      <c r="K892" s="13" t="s">
        <v>65</v>
      </c>
      <c r="L892" s="14">
        <v>694.0</v>
      </c>
      <c r="M892" s="18" t="s">
        <v>43</v>
      </c>
      <c r="N892" s="20">
        <v>4.0</v>
      </c>
      <c r="O892" s="18">
        <v>17.8</v>
      </c>
      <c r="P892" s="20">
        <v>5.0</v>
      </c>
      <c r="Q892" s="16">
        <v>45834.0</v>
      </c>
      <c r="R892" s="16" t="s">
        <v>38</v>
      </c>
      <c r="S892" s="13" t="s">
        <v>55</v>
      </c>
      <c r="T892" s="13" t="s">
        <v>47</v>
      </c>
      <c r="U892" s="13" t="str">
        <f t="shared" si="1"/>
        <v>High</v>
      </c>
      <c r="V892" s="13" t="str">
        <f t="shared" si="2"/>
        <v>Below Median</v>
      </c>
      <c r="W892" s="13" t="str">
        <f t="shared" si="3"/>
        <v>0–12 Months</v>
      </c>
    </row>
    <row r="893" hidden="1">
      <c r="A893" s="13" t="s">
        <v>1500</v>
      </c>
      <c r="B893" s="13" t="s">
        <v>222</v>
      </c>
      <c r="C893" s="14">
        <v>32.0</v>
      </c>
      <c r="D893" s="13" t="s">
        <v>69</v>
      </c>
      <c r="E893" s="13" t="s">
        <v>177</v>
      </c>
      <c r="F893" s="13" t="s">
        <v>79</v>
      </c>
      <c r="G893" s="13" t="s">
        <v>120</v>
      </c>
      <c r="H893" s="16">
        <v>44653.0</v>
      </c>
      <c r="I893" s="14">
        <v>10.0</v>
      </c>
      <c r="J893" s="13" t="s">
        <v>64</v>
      </c>
      <c r="K893" s="13" t="s">
        <v>81</v>
      </c>
      <c r="L893" s="14">
        <v>3368.0</v>
      </c>
      <c r="M893" s="18" t="s">
        <v>98</v>
      </c>
      <c r="N893" s="20">
        <v>1.0</v>
      </c>
      <c r="O893" s="18">
        <v>34.8</v>
      </c>
      <c r="P893" s="20">
        <v>4.4</v>
      </c>
      <c r="Q893" s="16">
        <v>44795.0</v>
      </c>
      <c r="R893" s="16" t="s">
        <v>38</v>
      </c>
      <c r="S893" s="13" t="s">
        <v>55</v>
      </c>
      <c r="T893" s="13" t="s">
        <v>72</v>
      </c>
      <c r="U893" s="13" t="str">
        <f t="shared" si="1"/>
        <v>Moderate</v>
      </c>
      <c r="V893" s="13" t="str">
        <f t="shared" si="2"/>
        <v>Median or Above</v>
      </c>
      <c r="W893" s="13" t="str">
        <f t="shared" si="3"/>
        <v>0–12 Months</v>
      </c>
    </row>
    <row r="894" hidden="1">
      <c r="A894" s="13" t="s">
        <v>1501</v>
      </c>
      <c r="B894" s="13" t="s">
        <v>308</v>
      </c>
      <c r="C894" s="14">
        <v>63.0</v>
      </c>
      <c r="D894" s="13" t="s">
        <v>35</v>
      </c>
      <c r="E894" s="13" t="s">
        <v>140</v>
      </c>
      <c r="F894" s="13" t="s">
        <v>62</v>
      </c>
      <c r="G894" s="13" t="s">
        <v>120</v>
      </c>
      <c r="H894" s="16">
        <v>45131.0</v>
      </c>
      <c r="I894" s="14">
        <v>13.0</v>
      </c>
      <c r="J894" s="13" t="s">
        <v>53</v>
      </c>
      <c r="K894" s="13" t="s">
        <v>41</v>
      </c>
      <c r="L894" s="14">
        <v>1258.0</v>
      </c>
      <c r="M894" s="18" t="s">
        <v>43</v>
      </c>
      <c r="N894" s="20">
        <v>0.0</v>
      </c>
      <c r="O894" s="18">
        <v>21.5</v>
      </c>
      <c r="P894" s="20">
        <v>3.3</v>
      </c>
      <c r="Q894" s="16">
        <v>45146.0</v>
      </c>
      <c r="R894" s="16">
        <v>45511.0</v>
      </c>
      <c r="S894" s="13" t="s">
        <v>45</v>
      </c>
      <c r="T894" s="13" t="s">
        <v>47</v>
      </c>
      <c r="U894" s="13" t="str">
        <f t="shared" si="1"/>
        <v>Moderate</v>
      </c>
      <c r="V894" s="13" t="str">
        <f t="shared" si="2"/>
        <v>Below Median</v>
      </c>
      <c r="W894" s="13" t="str">
        <f t="shared" si="3"/>
        <v>13–24 Months</v>
      </c>
    </row>
    <row r="895" hidden="1">
      <c r="A895" s="13" t="s">
        <v>1776</v>
      </c>
      <c r="B895" s="13" t="s">
        <v>222</v>
      </c>
      <c r="C895" s="14">
        <v>53.0</v>
      </c>
      <c r="D895" s="13" t="s">
        <v>69</v>
      </c>
      <c r="E895" s="13" t="s">
        <v>36</v>
      </c>
      <c r="F895" s="13" t="s">
        <v>62</v>
      </c>
      <c r="G895" s="13" t="s">
        <v>128</v>
      </c>
      <c r="H895" s="16">
        <v>45562.0</v>
      </c>
      <c r="I895" s="14">
        <v>5.0</v>
      </c>
      <c r="J895" s="13" t="s">
        <v>53</v>
      </c>
      <c r="K895" s="13" t="s">
        <v>65</v>
      </c>
      <c r="L895" s="14">
        <v>666.0</v>
      </c>
      <c r="M895" s="18" t="s">
        <v>164</v>
      </c>
      <c r="N895" s="20">
        <v>0.0</v>
      </c>
      <c r="O895" s="18">
        <v>21.7</v>
      </c>
      <c r="P895" s="20">
        <v>4.0</v>
      </c>
      <c r="Q895" s="16">
        <v>45637.0</v>
      </c>
      <c r="R895" s="16" t="s">
        <v>38</v>
      </c>
      <c r="S895" s="13" t="s">
        <v>55</v>
      </c>
      <c r="T895" s="13" t="s">
        <v>66</v>
      </c>
      <c r="U895" s="13" t="str">
        <f t="shared" si="1"/>
        <v>Moderate</v>
      </c>
      <c r="V895" s="13" t="str">
        <f t="shared" si="2"/>
        <v>Below Median</v>
      </c>
      <c r="W895" s="13" t="str">
        <f t="shared" si="3"/>
        <v>0–12 Months</v>
      </c>
    </row>
    <row r="896" hidden="1">
      <c r="A896" s="13" t="s">
        <v>1367</v>
      </c>
      <c r="B896" s="13" t="s">
        <v>235</v>
      </c>
      <c r="C896" s="14">
        <v>26.0</v>
      </c>
      <c r="D896" s="13" t="s">
        <v>35</v>
      </c>
      <c r="E896" s="13" t="s">
        <v>36</v>
      </c>
      <c r="F896" s="13" t="s">
        <v>62</v>
      </c>
      <c r="G896" s="13" t="s">
        <v>39</v>
      </c>
      <c r="H896" s="16">
        <v>44739.0</v>
      </c>
      <c r="I896" s="14">
        <v>36.0</v>
      </c>
      <c r="J896" s="13" t="s">
        <v>40</v>
      </c>
      <c r="K896" s="13" t="s">
        <v>41</v>
      </c>
      <c r="L896" s="14">
        <v>601.0</v>
      </c>
      <c r="M896" s="18" t="s">
        <v>98</v>
      </c>
      <c r="N896" s="20">
        <v>0.0</v>
      </c>
      <c r="O896" s="18">
        <v>26.7</v>
      </c>
      <c r="P896" s="20">
        <v>3.2</v>
      </c>
      <c r="Q896" s="16">
        <v>44822.0</v>
      </c>
      <c r="R896" s="16" t="s">
        <v>1505</v>
      </c>
      <c r="S896" s="13" t="s">
        <v>45</v>
      </c>
      <c r="T896" s="13" t="s">
        <v>75</v>
      </c>
      <c r="U896" s="13" t="str">
        <f t="shared" si="1"/>
        <v>Moderate</v>
      </c>
      <c r="V896" s="13" t="str">
        <f t="shared" si="2"/>
        <v>Median or Above</v>
      </c>
      <c r="W896" s="13" t="str">
        <f t="shared" si="3"/>
        <v>25–48 Months</v>
      </c>
    </row>
    <row r="897" hidden="1">
      <c r="A897" s="13" t="s">
        <v>1087</v>
      </c>
      <c r="B897" s="13" t="s">
        <v>395</v>
      </c>
      <c r="C897" s="14">
        <v>68.0</v>
      </c>
      <c r="D897" s="13" t="s">
        <v>35</v>
      </c>
      <c r="E897" s="13" t="s">
        <v>36</v>
      </c>
      <c r="F897" s="13" t="s">
        <v>62</v>
      </c>
      <c r="G897" s="13" t="s">
        <v>80</v>
      </c>
      <c r="H897" s="16">
        <v>45321.0</v>
      </c>
      <c r="I897" s="14">
        <v>29.0</v>
      </c>
      <c r="J897" s="13" t="s">
        <v>40</v>
      </c>
      <c r="K897" s="13" t="s">
        <v>81</v>
      </c>
      <c r="L897" s="14">
        <v>725.0</v>
      </c>
      <c r="M897" s="18" t="s">
        <v>43</v>
      </c>
      <c r="N897" s="20">
        <v>1.0</v>
      </c>
      <c r="O897" s="18">
        <v>20.9</v>
      </c>
      <c r="P897" s="20">
        <v>4.6</v>
      </c>
      <c r="Q897" s="16">
        <v>45373.0</v>
      </c>
      <c r="R897" s="16">
        <v>46204.0</v>
      </c>
      <c r="S897" s="13" t="s">
        <v>45</v>
      </c>
      <c r="T897" s="13" t="s">
        <v>72</v>
      </c>
      <c r="U897" s="13" t="str">
        <f t="shared" si="1"/>
        <v>Moderate</v>
      </c>
      <c r="V897" s="13" t="str">
        <f t="shared" si="2"/>
        <v>Below Median</v>
      </c>
      <c r="W897" s="13" t="str">
        <f t="shared" si="3"/>
        <v>25–48 Months</v>
      </c>
    </row>
    <row r="898" hidden="1">
      <c r="A898" s="13" t="s">
        <v>1507</v>
      </c>
      <c r="B898" s="13" t="s">
        <v>322</v>
      </c>
      <c r="C898" s="14">
        <v>51.0</v>
      </c>
      <c r="D898" s="13" t="s">
        <v>35</v>
      </c>
      <c r="E898" s="13" t="s">
        <v>51</v>
      </c>
      <c r="F898" s="13" t="s">
        <v>62</v>
      </c>
      <c r="G898" s="13" t="s">
        <v>210</v>
      </c>
      <c r="H898" s="16">
        <v>44921.0</v>
      </c>
      <c r="I898" s="14">
        <v>23.0</v>
      </c>
      <c r="J898" s="13" t="s">
        <v>40</v>
      </c>
      <c r="K898" s="13" t="s">
        <v>41</v>
      </c>
      <c r="L898" s="14">
        <v>828.0</v>
      </c>
      <c r="M898" s="18" t="s">
        <v>98</v>
      </c>
      <c r="N898" s="20">
        <v>1.0</v>
      </c>
      <c r="O898" s="18">
        <v>14.7</v>
      </c>
      <c r="P898" s="20">
        <v>4.4</v>
      </c>
      <c r="Q898" s="16">
        <v>45320.0</v>
      </c>
      <c r="R898" s="16" t="s">
        <v>38</v>
      </c>
      <c r="S898" s="13" t="s">
        <v>55</v>
      </c>
      <c r="T898" s="13" t="s">
        <v>47</v>
      </c>
      <c r="U898" s="13" t="str">
        <f t="shared" si="1"/>
        <v>Moderate</v>
      </c>
      <c r="V898" s="13" t="str">
        <f t="shared" si="2"/>
        <v>Below Median</v>
      </c>
      <c r="W898" s="13" t="str">
        <f t="shared" si="3"/>
        <v>13–24 Months</v>
      </c>
    </row>
    <row r="899" hidden="1">
      <c r="A899" s="13" t="s">
        <v>665</v>
      </c>
      <c r="B899" s="13" t="s">
        <v>145</v>
      </c>
      <c r="C899" s="14">
        <v>28.0</v>
      </c>
      <c r="D899" s="13" t="s">
        <v>69</v>
      </c>
      <c r="E899" s="13" t="s">
        <v>177</v>
      </c>
      <c r="F899" s="13" t="s">
        <v>37</v>
      </c>
      <c r="G899" s="13" t="s">
        <v>120</v>
      </c>
      <c r="H899" s="16">
        <v>44613.0</v>
      </c>
      <c r="I899" s="14">
        <v>29.0</v>
      </c>
      <c r="J899" s="13" t="s">
        <v>64</v>
      </c>
      <c r="K899" s="13" t="s">
        <v>65</v>
      </c>
      <c r="L899" s="14">
        <v>1615.0</v>
      </c>
      <c r="M899" s="18" t="s">
        <v>43</v>
      </c>
      <c r="N899" s="20">
        <v>2.0</v>
      </c>
      <c r="O899" s="18">
        <v>21.8</v>
      </c>
      <c r="P899" s="20">
        <v>3.8</v>
      </c>
      <c r="Q899" s="16">
        <v>44917.0</v>
      </c>
      <c r="R899" s="16" t="s">
        <v>38</v>
      </c>
      <c r="S899" s="13" t="s">
        <v>55</v>
      </c>
      <c r="T899" s="13" t="s">
        <v>104</v>
      </c>
      <c r="U899" s="13" t="str">
        <f t="shared" si="1"/>
        <v>Moderate</v>
      </c>
      <c r="V899" s="13" t="str">
        <f t="shared" si="2"/>
        <v>Below Median</v>
      </c>
      <c r="W899" s="13" t="str">
        <f t="shared" si="3"/>
        <v>25–48 Months</v>
      </c>
    </row>
    <row r="900" hidden="1">
      <c r="A900" s="13" t="s">
        <v>1783</v>
      </c>
      <c r="B900" s="13" t="s">
        <v>349</v>
      </c>
      <c r="C900" s="14">
        <v>19.0</v>
      </c>
      <c r="D900" s="13" t="s">
        <v>35</v>
      </c>
      <c r="E900" s="13" t="s">
        <v>140</v>
      </c>
      <c r="F900" s="13" t="s">
        <v>37</v>
      </c>
      <c r="G900" s="13" t="s">
        <v>63</v>
      </c>
      <c r="H900" s="16">
        <v>45828.0</v>
      </c>
      <c r="I900" s="14">
        <v>47.0</v>
      </c>
      <c r="J900" s="13" t="s">
        <v>53</v>
      </c>
      <c r="K900" s="13" t="s">
        <v>41</v>
      </c>
      <c r="L900" s="14">
        <v>1378.0</v>
      </c>
      <c r="M900" s="18" t="s">
        <v>164</v>
      </c>
      <c r="N900" s="20">
        <v>1.0</v>
      </c>
      <c r="O900" s="18">
        <v>18.3</v>
      </c>
      <c r="P900" s="20">
        <v>4.9</v>
      </c>
      <c r="Q900" s="16">
        <v>46131.0</v>
      </c>
      <c r="R900" s="16" t="s">
        <v>38</v>
      </c>
      <c r="S900" s="13" t="s">
        <v>55</v>
      </c>
      <c r="T900" s="13" t="s">
        <v>66</v>
      </c>
      <c r="U900" s="13" t="str">
        <f t="shared" si="1"/>
        <v>Moderate</v>
      </c>
      <c r="V900" s="13" t="str">
        <f t="shared" si="2"/>
        <v>Below Median</v>
      </c>
      <c r="W900" s="13" t="str">
        <f t="shared" si="3"/>
        <v>25–48 Months</v>
      </c>
    </row>
    <row r="901" hidden="1">
      <c r="A901" s="13" t="s">
        <v>1509</v>
      </c>
      <c r="B901" s="13" t="s">
        <v>34</v>
      </c>
      <c r="C901" s="14">
        <v>37.0</v>
      </c>
      <c r="D901" s="13" t="s">
        <v>85</v>
      </c>
      <c r="E901" s="13" t="s">
        <v>292</v>
      </c>
      <c r="F901" s="13" t="s">
        <v>79</v>
      </c>
      <c r="G901" s="13" t="s">
        <v>128</v>
      </c>
      <c r="H901" s="16">
        <v>45848.0</v>
      </c>
      <c r="I901" s="14">
        <v>3.0</v>
      </c>
      <c r="J901" s="13" t="s">
        <v>64</v>
      </c>
      <c r="K901" s="13" t="s">
        <v>81</v>
      </c>
      <c r="L901" s="14">
        <v>3327.0</v>
      </c>
      <c r="M901" s="18" t="s">
        <v>99</v>
      </c>
      <c r="N901" s="20">
        <v>0.0</v>
      </c>
      <c r="O901" s="18">
        <v>48.6</v>
      </c>
      <c r="P901" s="20">
        <v>3.5</v>
      </c>
      <c r="Q901" s="16">
        <v>45918.0</v>
      </c>
      <c r="R901" s="16" t="s">
        <v>38</v>
      </c>
      <c r="S901" s="13" t="s">
        <v>55</v>
      </c>
      <c r="T901" s="13" t="s">
        <v>75</v>
      </c>
      <c r="U901" s="13" t="str">
        <f t="shared" si="1"/>
        <v>Moderate</v>
      </c>
      <c r="V901" s="13" t="str">
        <f t="shared" si="2"/>
        <v>Median or Above</v>
      </c>
      <c r="W901" s="13" t="str">
        <f t="shared" si="3"/>
        <v>0–12 Months</v>
      </c>
    </row>
    <row r="902" hidden="1">
      <c r="A902" s="13" t="s">
        <v>369</v>
      </c>
      <c r="B902" s="13" t="s">
        <v>312</v>
      </c>
      <c r="C902" s="14">
        <v>28.0</v>
      </c>
      <c r="D902" s="13" t="s">
        <v>69</v>
      </c>
      <c r="E902" s="13" t="s">
        <v>119</v>
      </c>
      <c r="F902" s="13" t="s">
        <v>37</v>
      </c>
      <c r="G902" s="13" t="s">
        <v>210</v>
      </c>
      <c r="H902" s="16">
        <v>45865.0</v>
      </c>
      <c r="I902" s="14">
        <v>30.0</v>
      </c>
      <c r="J902" s="13" t="s">
        <v>53</v>
      </c>
      <c r="K902" s="13" t="s">
        <v>81</v>
      </c>
      <c r="L902" s="14">
        <v>1464.0</v>
      </c>
      <c r="M902" s="18" t="s">
        <v>43</v>
      </c>
      <c r="N902" s="20">
        <v>1.0</v>
      </c>
      <c r="O902" s="18">
        <v>34.9</v>
      </c>
      <c r="P902" s="20">
        <v>4.2</v>
      </c>
      <c r="Q902" s="16">
        <v>46775.0</v>
      </c>
      <c r="R902" s="16" t="s">
        <v>38</v>
      </c>
      <c r="S902" s="13" t="s">
        <v>55</v>
      </c>
      <c r="T902" s="13" t="s">
        <v>47</v>
      </c>
      <c r="U902" s="13" t="str">
        <f t="shared" si="1"/>
        <v>Moderate</v>
      </c>
      <c r="V902" s="13" t="str">
        <f t="shared" si="2"/>
        <v>Median or Above</v>
      </c>
      <c r="W902" s="13" t="str">
        <f t="shared" si="3"/>
        <v>25–48 Months</v>
      </c>
    </row>
    <row r="903" hidden="1">
      <c r="A903" s="13" t="s">
        <v>1510</v>
      </c>
      <c r="B903" s="13" t="s">
        <v>333</v>
      </c>
      <c r="C903" s="14">
        <v>27.0</v>
      </c>
      <c r="D903" s="13" t="s">
        <v>60</v>
      </c>
      <c r="E903" s="13" t="s">
        <v>97</v>
      </c>
      <c r="F903" s="13" t="s">
        <v>62</v>
      </c>
      <c r="G903" s="13" t="s">
        <v>63</v>
      </c>
      <c r="H903" s="16">
        <v>45446.0</v>
      </c>
      <c r="I903" s="14">
        <v>20.0</v>
      </c>
      <c r="J903" s="13" t="s">
        <v>64</v>
      </c>
      <c r="K903" s="13" t="s">
        <v>65</v>
      </c>
      <c r="L903" s="14">
        <v>734.0</v>
      </c>
      <c r="M903" s="18" t="s">
        <v>46</v>
      </c>
      <c r="N903" s="20">
        <v>1.0</v>
      </c>
      <c r="O903" s="18">
        <v>25.8</v>
      </c>
      <c r="P903" s="20">
        <v>3.0</v>
      </c>
      <c r="Q903" s="16">
        <v>46010.0</v>
      </c>
      <c r="R903" s="16" t="s">
        <v>38</v>
      </c>
      <c r="S903" s="13" t="s">
        <v>55</v>
      </c>
      <c r="T903" s="13" t="s">
        <v>47</v>
      </c>
      <c r="U903" s="13" t="str">
        <f t="shared" si="1"/>
        <v>Moderate</v>
      </c>
      <c r="V903" s="13" t="str">
        <f t="shared" si="2"/>
        <v>Median or Above</v>
      </c>
      <c r="W903" s="13" t="str">
        <f t="shared" si="3"/>
        <v>13–24 Months</v>
      </c>
    </row>
    <row r="904" hidden="1">
      <c r="A904" s="13" t="s">
        <v>1511</v>
      </c>
      <c r="B904" s="13" t="s">
        <v>160</v>
      </c>
      <c r="C904" s="14">
        <v>34.0</v>
      </c>
      <c r="D904" s="13" t="s">
        <v>85</v>
      </c>
      <c r="E904" s="13" t="s">
        <v>87</v>
      </c>
      <c r="F904" s="13" t="s">
        <v>37</v>
      </c>
      <c r="G904" s="13" t="s">
        <v>80</v>
      </c>
      <c r="H904" s="16">
        <v>45471.0</v>
      </c>
      <c r="I904" s="14">
        <v>25.0</v>
      </c>
      <c r="J904" s="13" t="s">
        <v>40</v>
      </c>
      <c r="K904" s="13" t="s">
        <v>81</v>
      </c>
      <c r="L904" s="14">
        <v>1332.0</v>
      </c>
      <c r="M904" s="18" t="s">
        <v>98</v>
      </c>
      <c r="N904" s="20">
        <v>2.0</v>
      </c>
      <c r="O904" s="18">
        <v>21.6</v>
      </c>
      <c r="P904" s="20">
        <v>3.9</v>
      </c>
      <c r="Q904" s="16">
        <v>45889.0</v>
      </c>
      <c r="R904" s="16" t="s">
        <v>38</v>
      </c>
      <c r="S904" s="13" t="s">
        <v>55</v>
      </c>
      <c r="T904" s="13" t="s">
        <v>47</v>
      </c>
      <c r="U904" s="13" t="str">
        <f t="shared" si="1"/>
        <v>Moderate</v>
      </c>
      <c r="V904" s="13" t="str">
        <f t="shared" si="2"/>
        <v>Below Median</v>
      </c>
      <c r="W904" s="13" t="str">
        <f t="shared" si="3"/>
        <v>25–48 Months</v>
      </c>
    </row>
    <row r="905" hidden="1">
      <c r="A905" s="13" t="s">
        <v>588</v>
      </c>
      <c r="B905" s="13" t="s">
        <v>639</v>
      </c>
      <c r="C905" s="14">
        <v>38.0</v>
      </c>
      <c r="D905" s="13" t="s">
        <v>69</v>
      </c>
      <c r="E905" s="13" t="s">
        <v>177</v>
      </c>
      <c r="F905" s="13" t="s">
        <v>79</v>
      </c>
      <c r="G905" s="13" t="s">
        <v>80</v>
      </c>
      <c r="H905" s="16">
        <v>45398.0</v>
      </c>
      <c r="I905" s="14">
        <v>24.0</v>
      </c>
      <c r="J905" s="13" t="s">
        <v>64</v>
      </c>
      <c r="K905" s="13" t="s">
        <v>65</v>
      </c>
      <c r="L905" s="14">
        <v>2288.0</v>
      </c>
      <c r="M905" s="18" t="s">
        <v>43</v>
      </c>
      <c r="N905" s="20" t="s">
        <v>38</v>
      </c>
      <c r="O905" s="18">
        <v>30.1</v>
      </c>
      <c r="P905" s="20">
        <v>3.3</v>
      </c>
      <c r="Q905" s="16">
        <v>45889.0</v>
      </c>
      <c r="R905" s="16" t="s">
        <v>38</v>
      </c>
      <c r="S905" s="13" t="s">
        <v>55</v>
      </c>
      <c r="T905" s="13" t="s">
        <v>104</v>
      </c>
      <c r="U905" s="13" t="str">
        <f t="shared" si="1"/>
        <v>Moderate</v>
      </c>
      <c r="V905" s="13" t="str">
        <f t="shared" si="2"/>
        <v>Median or Above</v>
      </c>
      <c r="W905" s="13" t="str">
        <f t="shared" si="3"/>
        <v>13–24 Months</v>
      </c>
    </row>
    <row r="906" hidden="1">
      <c r="A906" s="13" t="s">
        <v>1512</v>
      </c>
      <c r="B906" s="13" t="s">
        <v>333</v>
      </c>
      <c r="C906" s="14">
        <v>55.0</v>
      </c>
      <c r="D906" s="13" t="s">
        <v>69</v>
      </c>
      <c r="E906" s="13" t="s">
        <v>177</v>
      </c>
      <c r="F906" s="13" t="s">
        <v>37</v>
      </c>
      <c r="G906" s="13" t="s">
        <v>39</v>
      </c>
      <c r="H906" s="16">
        <v>45912.0</v>
      </c>
      <c r="I906" s="14">
        <v>25.0</v>
      </c>
      <c r="J906" s="13" t="s">
        <v>64</v>
      </c>
      <c r="K906" s="13" t="s">
        <v>41</v>
      </c>
      <c r="L906" s="14" t="s">
        <v>38</v>
      </c>
      <c r="M906" s="18" t="s">
        <v>99</v>
      </c>
      <c r="N906" s="20">
        <v>2.0</v>
      </c>
      <c r="O906" s="18">
        <v>29.4</v>
      </c>
      <c r="P906" s="20" t="s">
        <v>38</v>
      </c>
      <c r="Q906" s="16">
        <v>46375.0</v>
      </c>
      <c r="R906" s="16">
        <v>45788.0</v>
      </c>
      <c r="S906" s="13" t="s">
        <v>45</v>
      </c>
      <c r="T906" s="13" t="s">
        <v>72</v>
      </c>
      <c r="U906" s="13" t="str">
        <f t="shared" si="1"/>
        <v/>
      </c>
      <c r="V906" s="13" t="str">
        <f t="shared" si="2"/>
        <v>Median or Above</v>
      </c>
      <c r="W906" s="13" t="str">
        <f t="shared" si="3"/>
        <v>25–48 Months</v>
      </c>
    </row>
    <row r="907" hidden="1">
      <c r="A907" s="13" t="s">
        <v>1514</v>
      </c>
      <c r="B907" s="13" t="s">
        <v>257</v>
      </c>
      <c r="C907" s="14">
        <v>58.0</v>
      </c>
      <c r="D907" s="13" t="s">
        <v>69</v>
      </c>
      <c r="E907" s="13" t="s">
        <v>119</v>
      </c>
      <c r="F907" s="13" t="s">
        <v>37</v>
      </c>
      <c r="G907" s="13" t="s">
        <v>128</v>
      </c>
      <c r="H907" s="16">
        <v>44967.0</v>
      </c>
      <c r="I907" s="14">
        <v>10.0</v>
      </c>
      <c r="J907" s="13" t="s">
        <v>64</v>
      </c>
      <c r="K907" s="13" t="s">
        <v>81</v>
      </c>
      <c r="L907" s="14">
        <v>1250.0</v>
      </c>
      <c r="M907" s="18" t="s">
        <v>46</v>
      </c>
      <c r="N907" s="20">
        <v>0.0</v>
      </c>
      <c r="O907" s="18">
        <v>13.5</v>
      </c>
      <c r="P907" s="20">
        <v>4.2</v>
      </c>
      <c r="Q907" s="16">
        <v>45043.0</v>
      </c>
      <c r="R907" s="16" t="s">
        <v>38</v>
      </c>
      <c r="S907" s="13" t="s">
        <v>55</v>
      </c>
      <c r="T907" s="13" t="s">
        <v>104</v>
      </c>
      <c r="U907" s="13" t="str">
        <f t="shared" si="1"/>
        <v>Moderate</v>
      </c>
      <c r="V907" s="13" t="str">
        <f t="shared" si="2"/>
        <v>Below Median</v>
      </c>
      <c r="W907" s="13" t="str">
        <f t="shared" si="3"/>
        <v>0–12 Months</v>
      </c>
    </row>
    <row r="908" hidden="1">
      <c r="A908" s="13" t="s">
        <v>1515</v>
      </c>
      <c r="B908" s="13" t="s">
        <v>398</v>
      </c>
      <c r="C908" s="14">
        <v>42.0</v>
      </c>
      <c r="D908" s="13" t="s">
        <v>35</v>
      </c>
      <c r="E908" s="13" t="s">
        <v>36</v>
      </c>
      <c r="F908" s="13" t="s">
        <v>62</v>
      </c>
      <c r="G908" s="13" t="s">
        <v>63</v>
      </c>
      <c r="H908" s="16">
        <v>44670.0</v>
      </c>
      <c r="I908" s="14">
        <v>22.0</v>
      </c>
      <c r="J908" s="13" t="s">
        <v>64</v>
      </c>
      <c r="K908" s="13" t="s">
        <v>65</v>
      </c>
      <c r="L908" s="14">
        <v>659.0</v>
      </c>
      <c r="M908" s="18" t="s">
        <v>164</v>
      </c>
      <c r="N908" s="20">
        <v>0.0</v>
      </c>
      <c r="O908" s="18">
        <v>27.8</v>
      </c>
      <c r="P908" s="20">
        <v>3.5</v>
      </c>
      <c r="Q908" s="16">
        <v>44834.0</v>
      </c>
      <c r="R908" s="16" t="s">
        <v>1516</v>
      </c>
      <c r="S908" s="13" t="s">
        <v>45</v>
      </c>
      <c r="T908" s="13" t="s">
        <v>66</v>
      </c>
      <c r="U908" s="13" t="str">
        <f t="shared" si="1"/>
        <v>Moderate</v>
      </c>
      <c r="V908" s="13" t="str">
        <f t="shared" si="2"/>
        <v>Median or Above</v>
      </c>
      <c r="W908" s="13" t="str">
        <f t="shared" si="3"/>
        <v>13–24 Months</v>
      </c>
    </row>
    <row r="909" hidden="1">
      <c r="A909" s="13" t="s">
        <v>438</v>
      </c>
      <c r="B909" s="13" t="s">
        <v>476</v>
      </c>
      <c r="C909" s="14">
        <v>29.0</v>
      </c>
      <c r="D909" s="13" t="s">
        <v>85</v>
      </c>
      <c r="E909" s="13" t="s">
        <v>92</v>
      </c>
      <c r="F909" s="13" t="s">
        <v>37</v>
      </c>
      <c r="G909" s="13" t="s">
        <v>210</v>
      </c>
      <c r="H909" s="16">
        <v>45183.0</v>
      </c>
      <c r="I909" s="14">
        <v>7.0</v>
      </c>
      <c r="J909" s="13" t="s">
        <v>64</v>
      </c>
      <c r="K909" s="13" t="s">
        <v>81</v>
      </c>
      <c r="L909" s="14">
        <v>1154.0</v>
      </c>
      <c r="M909" s="18" t="s">
        <v>173</v>
      </c>
      <c r="N909" s="20">
        <v>0.0</v>
      </c>
      <c r="O909" s="18">
        <v>23.9</v>
      </c>
      <c r="P909" s="20">
        <v>3.0</v>
      </c>
      <c r="Q909" s="16">
        <v>45299.0</v>
      </c>
      <c r="R909" s="16" t="s">
        <v>1517</v>
      </c>
      <c r="S909" s="13" t="s">
        <v>45</v>
      </c>
      <c r="T909" s="13" t="s">
        <v>75</v>
      </c>
      <c r="U909" s="13" t="str">
        <f t="shared" si="1"/>
        <v>Moderate</v>
      </c>
      <c r="V909" s="13" t="str">
        <f t="shared" si="2"/>
        <v>Below Median</v>
      </c>
      <c r="W909" s="13" t="str">
        <f t="shared" si="3"/>
        <v>0–12 Months</v>
      </c>
    </row>
    <row r="910" hidden="1">
      <c r="A910" s="13" t="s">
        <v>1518</v>
      </c>
      <c r="B910" s="13" t="s">
        <v>734</v>
      </c>
      <c r="C910" s="14">
        <v>49.0</v>
      </c>
      <c r="D910" s="13" t="s">
        <v>35</v>
      </c>
      <c r="E910" s="13" t="s">
        <v>97</v>
      </c>
      <c r="F910" s="13" t="s">
        <v>79</v>
      </c>
      <c r="G910" s="13" t="s">
        <v>52</v>
      </c>
      <c r="H910" s="16">
        <v>44862.0</v>
      </c>
      <c r="I910" s="14">
        <v>29.0</v>
      </c>
      <c r="J910" s="13" t="s">
        <v>40</v>
      </c>
      <c r="K910" s="13" t="s">
        <v>41</v>
      </c>
      <c r="L910" s="14">
        <v>3801.0</v>
      </c>
      <c r="M910" s="18" t="s">
        <v>98</v>
      </c>
      <c r="N910" s="20">
        <v>0.0</v>
      </c>
      <c r="O910" s="18">
        <v>40.7</v>
      </c>
      <c r="P910" s="20">
        <v>4.5</v>
      </c>
      <c r="Q910" s="16">
        <v>45262.0</v>
      </c>
      <c r="R910" s="16" t="s">
        <v>38</v>
      </c>
      <c r="S910" s="13" t="s">
        <v>55</v>
      </c>
      <c r="T910" s="13" t="s">
        <v>66</v>
      </c>
      <c r="U910" s="13" t="str">
        <f t="shared" si="1"/>
        <v>Moderate</v>
      </c>
      <c r="V910" s="13" t="str">
        <f t="shared" si="2"/>
        <v>Median or Above</v>
      </c>
      <c r="W910" s="13" t="str">
        <f t="shared" si="3"/>
        <v>25–48 Months</v>
      </c>
    </row>
    <row r="911" hidden="1">
      <c r="A911" s="13" t="s">
        <v>1519</v>
      </c>
      <c r="B911" s="13" t="s">
        <v>91</v>
      </c>
      <c r="C911" s="14">
        <v>30.0</v>
      </c>
      <c r="D911" s="13" t="s">
        <v>60</v>
      </c>
      <c r="E911" s="13" t="s">
        <v>133</v>
      </c>
      <c r="F911" s="13" t="s">
        <v>37</v>
      </c>
      <c r="G911" s="13" t="s">
        <v>39</v>
      </c>
      <c r="H911" s="16">
        <v>45478.0</v>
      </c>
      <c r="I911" s="14">
        <v>2.0</v>
      </c>
      <c r="J911" s="13" t="s">
        <v>40</v>
      </c>
      <c r="K911" s="13" t="s">
        <v>81</v>
      </c>
      <c r="L911" s="14">
        <v>1579.0</v>
      </c>
      <c r="M911" s="18" t="s">
        <v>98</v>
      </c>
      <c r="N911" s="20">
        <v>0.0</v>
      </c>
      <c r="O911" s="18">
        <v>25.4</v>
      </c>
      <c r="P911" s="20">
        <v>5.0</v>
      </c>
      <c r="Q911" s="16">
        <v>45531.0</v>
      </c>
      <c r="R911" s="16">
        <v>45543.0</v>
      </c>
      <c r="S911" s="13" t="s">
        <v>45</v>
      </c>
      <c r="T911" s="13" t="s">
        <v>72</v>
      </c>
      <c r="U911" s="13" t="str">
        <f t="shared" si="1"/>
        <v>High</v>
      </c>
      <c r="V911" s="13" t="str">
        <f t="shared" si="2"/>
        <v>Median or Above</v>
      </c>
      <c r="W911" s="13" t="str">
        <f t="shared" si="3"/>
        <v>0–12 Months</v>
      </c>
    </row>
    <row r="912" hidden="1">
      <c r="A912" s="13" t="s">
        <v>1521</v>
      </c>
      <c r="B912" s="13" t="s">
        <v>351</v>
      </c>
      <c r="C912" s="14">
        <v>20.0</v>
      </c>
      <c r="D912" s="13" t="s">
        <v>85</v>
      </c>
      <c r="E912" s="13" t="s">
        <v>111</v>
      </c>
      <c r="F912" s="13" t="s">
        <v>62</v>
      </c>
      <c r="G912" s="13" t="s">
        <v>128</v>
      </c>
      <c r="H912" s="16">
        <v>45931.0</v>
      </c>
      <c r="I912" s="14">
        <v>13.0</v>
      </c>
      <c r="J912" s="13" t="s">
        <v>64</v>
      </c>
      <c r="K912" s="13" t="s">
        <v>81</v>
      </c>
      <c r="L912" s="14">
        <v>663.0</v>
      </c>
      <c r="M912" s="18" t="s">
        <v>173</v>
      </c>
      <c r="N912" s="20">
        <v>2.0</v>
      </c>
      <c r="O912" s="18">
        <v>23.0</v>
      </c>
      <c r="P912" s="20">
        <v>1.0</v>
      </c>
      <c r="Q912" s="16">
        <v>45983.0</v>
      </c>
      <c r="R912" s="16" t="s">
        <v>1522</v>
      </c>
      <c r="S912" s="13" t="s">
        <v>45</v>
      </c>
      <c r="T912" s="13" t="s">
        <v>75</v>
      </c>
      <c r="U912" s="13" t="str">
        <f t="shared" si="1"/>
        <v>Low</v>
      </c>
      <c r="V912" s="13" t="str">
        <f t="shared" si="2"/>
        <v>Below Median</v>
      </c>
      <c r="W912" s="13" t="str">
        <f t="shared" si="3"/>
        <v>13–24 Months</v>
      </c>
    </row>
    <row r="913" hidden="1">
      <c r="A913" s="13" t="s">
        <v>1523</v>
      </c>
      <c r="B913" s="13" t="s">
        <v>420</v>
      </c>
      <c r="C913" s="14">
        <v>47.0</v>
      </c>
      <c r="D913" s="13" t="s">
        <v>60</v>
      </c>
      <c r="E913" s="13" t="s">
        <v>107</v>
      </c>
      <c r="F913" s="13" t="s">
        <v>62</v>
      </c>
      <c r="G913" s="13" t="s">
        <v>210</v>
      </c>
      <c r="H913" s="16">
        <v>45627.0</v>
      </c>
      <c r="I913" s="14">
        <v>2.0</v>
      </c>
      <c r="J913" s="13" t="s">
        <v>53</v>
      </c>
      <c r="K913" s="13" t="s">
        <v>65</v>
      </c>
      <c r="L913" s="14">
        <v>584.0</v>
      </c>
      <c r="M913" s="18" t="s">
        <v>98</v>
      </c>
      <c r="N913" s="20">
        <v>1.0</v>
      </c>
      <c r="O913" s="18">
        <v>4.9</v>
      </c>
      <c r="P913" s="20">
        <v>2.9</v>
      </c>
      <c r="Q913" s="16">
        <v>45667.0</v>
      </c>
      <c r="R913" s="16" t="s">
        <v>38</v>
      </c>
      <c r="S913" s="13" t="s">
        <v>55</v>
      </c>
      <c r="T913" s="13" t="s">
        <v>104</v>
      </c>
      <c r="U913" s="13" t="str">
        <f t="shared" si="1"/>
        <v>Low</v>
      </c>
      <c r="V913" s="13" t="str">
        <f t="shared" si="2"/>
        <v>Below Median</v>
      </c>
      <c r="W913" s="13" t="str">
        <f t="shared" si="3"/>
        <v>0–12 Months</v>
      </c>
    </row>
    <row r="914" hidden="1">
      <c r="A914" s="13" t="s">
        <v>1524</v>
      </c>
      <c r="B914" s="13" t="s">
        <v>316</v>
      </c>
      <c r="C914" s="14">
        <v>43.0</v>
      </c>
      <c r="D914" s="13" t="s">
        <v>85</v>
      </c>
      <c r="E914" s="13" t="s">
        <v>292</v>
      </c>
      <c r="F914" s="13" t="s">
        <v>62</v>
      </c>
      <c r="G914" s="13" t="s">
        <v>63</v>
      </c>
      <c r="H914" s="16">
        <v>44829.0</v>
      </c>
      <c r="I914" s="14">
        <v>40.0</v>
      </c>
      <c r="J914" s="13" t="s">
        <v>53</v>
      </c>
      <c r="K914" s="13" t="s">
        <v>41</v>
      </c>
      <c r="L914" s="14">
        <v>792.0</v>
      </c>
      <c r="M914" s="18" t="s">
        <v>46</v>
      </c>
      <c r="N914" s="20">
        <v>0.0</v>
      </c>
      <c r="O914" s="18">
        <v>18.5</v>
      </c>
      <c r="P914" s="20">
        <v>2.9</v>
      </c>
      <c r="Q914" s="16">
        <v>45618.0</v>
      </c>
      <c r="R914" s="16" t="s">
        <v>38</v>
      </c>
      <c r="S914" s="13" t="s">
        <v>55</v>
      </c>
      <c r="T914" s="13" t="s">
        <v>72</v>
      </c>
      <c r="U914" s="13" t="str">
        <f t="shared" si="1"/>
        <v>Low</v>
      </c>
      <c r="V914" s="13" t="str">
        <f t="shared" si="2"/>
        <v>Below Median</v>
      </c>
      <c r="W914" s="13" t="str">
        <f t="shared" si="3"/>
        <v>25–48 Months</v>
      </c>
    </row>
    <row r="915" hidden="1">
      <c r="A915" s="13" t="s">
        <v>178</v>
      </c>
      <c r="B915" s="13" t="s">
        <v>395</v>
      </c>
      <c r="C915" s="14">
        <v>50.0</v>
      </c>
      <c r="D915" s="13" t="s">
        <v>85</v>
      </c>
      <c r="E915" s="13" t="s">
        <v>92</v>
      </c>
      <c r="F915" s="13" t="s">
        <v>62</v>
      </c>
      <c r="G915" s="13" t="s">
        <v>80</v>
      </c>
      <c r="H915" s="16">
        <v>45431.0</v>
      </c>
      <c r="I915" s="14">
        <v>27.0</v>
      </c>
      <c r="J915" s="13" t="s">
        <v>53</v>
      </c>
      <c r="K915" s="13" t="s">
        <v>65</v>
      </c>
      <c r="L915" s="14">
        <v>566.0</v>
      </c>
      <c r="M915" s="18" t="s">
        <v>164</v>
      </c>
      <c r="N915" s="20">
        <v>0.0</v>
      </c>
      <c r="O915" s="18">
        <v>16.5</v>
      </c>
      <c r="P915" s="20">
        <v>2.4</v>
      </c>
      <c r="Q915" s="16">
        <v>45708.0</v>
      </c>
      <c r="R915" s="16" t="s">
        <v>38</v>
      </c>
      <c r="S915" s="13" t="s">
        <v>55</v>
      </c>
      <c r="T915" s="13" t="s">
        <v>104</v>
      </c>
      <c r="U915" s="13" t="str">
        <f t="shared" si="1"/>
        <v>Low</v>
      </c>
      <c r="V915" s="13" t="str">
        <f t="shared" si="2"/>
        <v>Below Median</v>
      </c>
      <c r="W915" s="13" t="str">
        <f t="shared" si="3"/>
        <v>25–48 Months</v>
      </c>
    </row>
    <row r="916" hidden="1">
      <c r="A916" s="13" t="s">
        <v>1525</v>
      </c>
      <c r="B916" s="13" t="s">
        <v>336</v>
      </c>
      <c r="C916" s="14">
        <v>55.0</v>
      </c>
      <c r="D916" s="13" t="s">
        <v>35</v>
      </c>
      <c r="E916" s="13" t="s">
        <v>161</v>
      </c>
      <c r="F916" s="13" t="s">
        <v>79</v>
      </c>
      <c r="G916" s="13" t="s">
        <v>63</v>
      </c>
      <c r="H916" s="16">
        <v>44609.0</v>
      </c>
      <c r="I916" s="14">
        <v>9.0</v>
      </c>
      <c r="J916" s="13" t="s">
        <v>40</v>
      </c>
      <c r="K916" s="13" t="s">
        <v>41</v>
      </c>
      <c r="L916" s="14">
        <v>2151.0</v>
      </c>
      <c r="M916" s="18" t="s">
        <v>46</v>
      </c>
      <c r="N916" s="20">
        <v>0.0</v>
      </c>
      <c r="O916" s="18">
        <v>46.6</v>
      </c>
      <c r="P916" s="20">
        <v>3.1</v>
      </c>
      <c r="Q916" s="16">
        <v>44709.0</v>
      </c>
      <c r="R916" s="16" t="s">
        <v>1526</v>
      </c>
      <c r="S916" s="13" t="s">
        <v>45</v>
      </c>
      <c r="T916" s="13" t="s">
        <v>104</v>
      </c>
      <c r="U916" s="13" t="str">
        <f t="shared" si="1"/>
        <v>Moderate</v>
      </c>
      <c r="V916" s="13" t="str">
        <f t="shared" si="2"/>
        <v>Median or Above</v>
      </c>
      <c r="W916" s="13" t="str">
        <f t="shared" si="3"/>
        <v>0–12 Months</v>
      </c>
    </row>
    <row r="917" hidden="1">
      <c r="A917" s="13" t="s">
        <v>1187</v>
      </c>
      <c r="B917" s="13" t="s">
        <v>325</v>
      </c>
      <c r="C917" s="14">
        <v>22.0</v>
      </c>
      <c r="D917" s="13" t="s">
        <v>35</v>
      </c>
      <c r="E917" s="13" t="s">
        <v>161</v>
      </c>
      <c r="F917" s="13" t="s">
        <v>79</v>
      </c>
      <c r="G917" s="13" t="s">
        <v>80</v>
      </c>
      <c r="H917" s="16">
        <v>44706.0</v>
      </c>
      <c r="I917" s="14">
        <v>10.0</v>
      </c>
      <c r="J917" s="13" t="s">
        <v>64</v>
      </c>
      <c r="K917" s="13" t="s">
        <v>41</v>
      </c>
      <c r="L917" s="14">
        <v>3787.0</v>
      </c>
      <c r="M917" s="18" t="s">
        <v>46</v>
      </c>
      <c r="N917" s="20">
        <v>0.0</v>
      </c>
      <c r="O917" s="18">
        <v>37.1</v>
      </c>
      <c r="P917" s="20">
        <v>5.0</v>
      </c>
      <c r="Q917" s="16">
        <v>44885.0</v>
      </c>
      <c r="R917" s="16" t="s">
        <v>38</v>
      </c>
      <c r="S917" s="13" t="s">
        <v>55</v>
      </c>
      <c r="T917" s="13" t="s">
        <v>47</v>
      </c>
      <c r="U917" s="13" t="str">
        <f t="shared" si="1"/>
        <v>High</v>
      </c>
      <c r="V917" s="13" t="str">
        <f t="shared" si="2"/>
        <v>Median or Above</v>
      </c>
      <c r="W917" s="13" t="str">
        <f t="shared" si="3"/>
        <v>0–12 Months</v>
      </c>
    </row>
    <row r="918" hidden="1">
      <c r="A918" s="13" t="s">
        <v>1514</v>
      </c>
      <c r="B918" s="13" t="s">
        <v>411</v>
      </c>
      <c r="C918" s="14">
        <v>59.0</v>
      </c>
      <c r="D918" s="13" t="s">
        <v>35</v>
      </c>
      <c r="E918" s="13" t="s">
        <v>51</v>
      </c>
      <c r="F918" s="13" t="s">
        <v>62</v>
      </c>
      <c r="G918" s="13" t="s">
        <v>63</v>
      </c>
      <c r="H918" s="16">
        <v>44569.0</v>
      </c>
      <c r="I918" s="14">
        <v>28.0</v>
      </c>
      <c r="J918" s="13" t="s">
        <v>64</v>
      </c>
      <c r="K918" s="13" t="s">
        <v>41</v>
      </c>
      <c r="L918" s="14">
        <v>618.0</v>
      </c>
      <c r="M918" s="18" t="s">
        <v>164</v>
      </c>
      <c r="N918" s="20">
        <v>1.0</v>
      </c>
      <c r="O918" s="18">
        <v>16.7</v>
      </c>
      <c r="P918" s="20">
        <v>5.0</v>
      </c>
      <c r="Q918" s="16">
        <v>45313.0</v>
      </c>
      <c r="R918" s="16" t="s">
        <v>1527</v>
      </c>
      <c r="S918" s="13" t="s">
        <v>45</v>
      </c>
      <c r="T918" s="13" t="s">
        <v>75</v>
      </c>
      <c r="U918" s="13" t="str">
        <f t="shared" si="1"/>
        <v>High</v>
      </c>
      <c r="V918" s="13" t="str">
        <f t="shared" si="2"/>
        <v>Below Median</v>
      </c>
      <c r="W918" s="13" t="str">
        <f t="shared" si="3"/>
        <v>25–48 Months</v>
      </c>
    </row>
    <row r="919" hidden="1">
      <c r="A919" s="13" t="s">
        <v>1528</v>
      </c>
      <c r="B919" s="13" t="s">
        <v>336</v>
      </c>
      <c r="C919" s="14">
        <v>31.0</v>
      </c>
      <c r="D919" s="13" t="s">
        <v>85</v>
      </c>
      <c r="E919" s="13" t="s">
        <v>111</v>
      </c>
      <c r="F919" s="13" t="s">
        <v>79</v>
      </c>
      <c r="G919" s="13" t="s">
        <v>52</v>
      </c>
      <c r="H919" s="16">
        <v>45946.0</v>
      </c>
      <c r="I919" s="14">
        <v>38.0</v>
      </c>
      <c r="J919" s="13" t="s">
        <v>53</v>
      </c>
      <c r="K919" s="13" t="s">
        <v>41</v>
      </c>
      <c r="L919" s="14">
        <v>1452.0</v>
      </c>
      <c r="M919" s="18" t="s">
        <v>43</v>
      </c>
      <c r="N919" s="20">
        <v>3.0</v>
      </c>
      <c r="O919" s="18">
        <v>33.3</v>
      </c>
      <c r="P919" s="20">
        <v>2.7</v>
      </c>
      <c r="Q919" s="16" t="s">
        <v>38</v>
      </c>
      <c r="R919" s="16" t="s">
        <v>1529</v>
      </c>
      <c r="S919" s="13" t="s">
        <v>45</v>
      </c>
      <c r="T919" s="13" t="s">
        <v>66</v>
      </c>
      <c r="U919" s="13" t="str">
        <f t="shared" si="1"/>
        <v>Low</v>
      </c>
      <c r="V919" s="13" t="str">
        <f t="shared" si="2"/>
        <v>Median or Above</v>
      </c>
      <c r="W919" s="13" t="str">
        <f t="shared" si="3"/>
        <v>25–48 Months</v>
      </c>
    </row>
    <row r="920" hidden="1">
      <c r="A920" s="13" t="s">
        <v>1530</v>
      </c>
      <c r="B920" s="13" t="s">
        <v>232</v>
      </c>
      <c r="C920" s="14">
        <v>57.0</v>
      </c>
      <c r="D920" s="13" t="s">
        <v>69</v>
      </c>
      <c r="E920" s="13" t="s">
        <v>70</v>
      </c>
      <c r="F920" s="13" t="s">
        <v>37</v>
      </c>
      <c r="G920" s="13" t="s">
        <v>63</v>
      </c>
      <c r="H920" s="16">
        <v>44947.0</v>
      </c>
      <c r="I920" s="14">
        <v>12.0</v>
      </c>
      <c r="J920" s="13" t="s">
        <v>53</v>
      </c>
      <c r="K920" s="13" t="s">
        <v>81</v>
      </c>
      <c r="L920" s="14">
        <v>1232.0</v>
      </c>
      <c r="M920" s="18" t="s">
        <v>164</v>
      </c>
      <c r="N920" s="20">
        <v>0.0</v>
      </c>
      <c r="O920" s="18">
        <v>38.8</v>
      </c>
      <c r="P920" s="20">
        <v>2.3</v>
      </c>
      <c r="Q920" s="16">
        <v>45159.0</v>
      </c>
      <c r="R920" s="16">
        <v>45597.0</v>
      </c>
      <c r="S920" s="13" t="s">
        <v>45</v>
      </c>
      <c r="T920" s="13" t="s">
        <v>72</v>
      </c>
      <c r="U920" s="13" t="str">
        <f t="shared" si="1"/>
        <v>Low</v>
      </c>
      <c r="V920" s="13" t="str">
        <f t="shared" si="2"/>
        <v>Median or Above</v>
      </c>
      <c r="W920" s="13" t="str">
        <f t="shared" si="3"/>
        <v>0–12 Months</v>
      </c>
    </row>
    <row r="921" hidden="1">
      <c r="A921" s="13" t="s">
        <v>1332</v>
      </c>
      <c r="B921" s="13" t="s">
        <v>303</v>
      </c>
      <c r="C921" s="14">
        <v>23.0</v>
      </c>
      <c r="D921" s="13" t="s">
        <v>85</v>
      </c>
      <c r="E921" s="13" t="s">
        <v>92</v>
      </c>
      <c r="F921" s="13" t="s">
        <v>37</v>
      </c>
      <c r="G921" s="13" t="s">
        <v>52</v>
      </c>
      <c r="H921" s="16">
        <v>45055.0</v>
      </c>
      <c r="I921" s="14">
        <v>34.0</v>
      </c>
      <c r="J921" s="13" t="s">
        <v>53</v>
      </c>
      <c r="K921" s="13" t="s">
        <v>65</v>
      </c>
      <c r="L921" s="14">
        <v>1256.0</v>
      </c>
      <c r="M921" s="18" t="s">
        <v>43</v>
      </c>
      <c r="N921" s="20">
        <v>0.0</v>
      </c>
      <c r="O921" s="18">
        <v>25.2</v>
      </c>
      <c r="P921" s="20">
        <v>2.5</v>
      </c>
      <c r="Q921" s="16">
        <v>45395.0</v>
      </c>
      <c r="R921" s="16" t="s">
        <v>38</v>
      </c>
      <c r="S921" s="13" t="s">
        <v>55</v>
      </c>
      <c r="T921" s="13" t="s">
        <v>104</v>
      </c>
      <c r="U921" s="13" t="str">
        <f t="shared" si="1"/>
        <v>Low</v>
      </c>
      <c r="V921" s="13" t="str">
        <f t="shared" si="2"/>
        <v>Median or Above</v>
      </c>
      <c r="W921" s="13" t="str">
        <f t="shared" si="3"/>
        <v>25–48 Months</v>
      </c>
    </row>
    <row r="922" hidden="1">
      <c r="A922" s="13" t="s">
        <v>466</v>
      </c>
      <c r="B922" s="13" t="s">
        <v>91</v>
      </c>
      <c r="C922" s="14">
        <v>55.0</v>
      </c>
      <c r="D922" s="13" t="s">
        <v>85</v>
      </c>
      <c r="E922" s="13" t="s">
        <v>292</v>
      </c>
      <c r="F922" s="13" t="s">
        <v>37</v>
      </c>
      <c r="G922" s="13" t="s">
        <v>52</v>
      </c>
      <c r="H922" s="16">
        <v>45475.0</v>
      </c>
      <c r="I922" s="14">
        <v>1.0</v>
      </c>
      <c r="J922" s="13" t="s">
        <v>64</v>
      </c>
      <c r="K922" s="13" t="s">
        <v>81</v>
      </c>
      <c r="L922" s="14">
        <v>1089.0</v>
      </c>
      <c r="M922" s="18" t="s">
        <v>164</v>
      </c>
      <c r="N922" s="20">
        <v>2.0</v>
      </c>
      <c r="O922" s="18">
        <v>36.7</v>
      </c>
      <c r="P922" s="20">
        <v>2.4</v>
      </c>
      <c r="Q922" s="16">
        <v>45522.0</v>
      </c>
      <c r="R922" s="16" t="s">
        <v>1531</v>
      </c>
      <c r="S922" s="13" t="s">
        <v>45</v>
      </c>
      <c r="T922" s="13" t="s">
        <v>72</v>
      </c>
      <c r="U922" s="13" t="str">
        <f t="shared" si="1"/>
        <v>Low</v>
      </c>
      <c r="V922" s="13" t="str">
        <f t="shared" si="2"/>
        <v>Median or Above</v>
      </c>
      <c r="W922" s="13" t="str">
        <f t="shared" si="3"/>
        <v>0–12 Months</v>
      </c>
    </row>
    <row r="923" hidden="1">
      <c r="A923" s="13" t="s">
        <v>223</v>
      </c>
      <c r="B923" s="13" t="s">
        <v>96</v>
      </c>
      <c r="C923" s="14">
        <v>63.0</v>
      </c>
      <c r="D923" s="13" t="s">
        <v>60</v>
      </c>
      <c r="E923" s="13" t="s">
        <v>133</v>
      </c>
      <c r="F923" s="13" t="s">
        <v>62</v>
      </c>
      <c r="G923" s="13" t="s">
        <v>210</v>
      </c>
      <c r="H923" s="16">
        <v>45563.0</v>
      </c>
      <c r="I923" s="14">
        <v>21.0</v>
      </c>
      <c r="J923" s="13" t="s">
        <v>53</v>
      </c>
      <c r="K923" s="13" t="s">
        <v>65</v>
      </c>
      <c r="L923" s="14">
        <v>880.0</v>
      </c>
      <c r="M923" s="18" t="s">
        <v>98</v>
      </c>
      <c r="N923" s="20">
        <v>2.0</v>
      </c>
      <c r="O923" s="18">
        <v>2.9</v>
      </c>
      <c r="P923" s="20">
        <v>4.0</v>
      </c>
      <c r="Q923" s="16">
        <v>46174.0</v>
      </c>
      <c r="R923" s="16" t="s">
        <v>38</v>
      </c>
      <c r="S923" s="13" t="s">
        <v>55</v>
      </c>
      <c r="T923" s="13" t="s">
        <v>75</v>
      </c>
      <c r="U923" s="13" t="str">
        <f t="shared" si="1"/>
        <v>Moderate</v>
      </c>
      <c r="V923" s="13" t="str">
        <f t="shared" si="2"/>
        <v>Below Median</v>
      </c>
      <c r="W923" s="13" t="str">
        <f t="shared" si="3"/>
        <v>13–24 Months</v>
      </c>
    </row>
    <row r="924" hidden="1">
      <c r="A924" s="13" t="s">
        <v>1532</v>
      </c>
      <c r="B924" s="13" t="s">
        <v>405</v>
      </c>
      <c r="C924" s="14">
        <v>43.0</v>
      </c>
      <c r="D924" s="13" t="s">
        <v>60</v>
      </c>
      <c r="E924" s="13" t="s">
        <v>133</v>
      </c>
      <c r="F924" s="13" t="s">
        <v>37</v>
      </c>
      <c r="G924" s="13" t="s">
        <v>120</v>
      </c>
      <c r="H924" s="16">
        <v>45488.0</v>
      </c>
      <c r="I924" s="14">
        <v>10.0</v>
      </c>
      <c r="J924" s="13" t="s">
        <v>64</v>
      </c>
      <c r="K924" s="13" t="s">
        <v>65</v>
      </c>
      <c r="L924" s="14">
        <v>1393.0</v>
      </c>
      <c r="M924" s="18" t="s">
        <v>43</v>
      </c>
      <c r="N924" s="20">
        <v>0.0</v>
      </c>
      <c r="O924" s="18">
        <v>29.7</v>
      </c>
      <c r="P924" s="20">
        <v>3.0</v>
      </c>
      <c r="Q924" s="16">
        <v>45510.0</v>
      </c>
      <c r="R924" s="16" t="s">
        <v>38</v>
      </c>
      <c r="S924" s="13" t="s">
        <v>55</v>
      </c>
      <c r="T924" s="13" t="s">
        <v>75</v>
      </c>
      <c r="U924" s="13" t="str">
        <f t="shared" si="1"/>
        <v>Moderate</v>
      </c>
      <c r="V924" s="13" t="str">
        <f t="shared" si="2"/>
        <v>Median or Above</v>
      </c>
      <c r="W924" s="13" t="str">
        <f t="shared" si="3"/>
        <v>0–12 Months</v>
      </c>
    </row>
    <row r="925" hidden="1">
      <c r="A925" s="13" t="s">
        <v>1533</v>
      </c>
      <c r="B925" s="13" t="s">
        <v>118</v>
      </c>
      <c r="C925" s="14">
        <v>28.0</v>
      </c>
      <c r="D925" s="13" t="s">
        <v>35</v>
      </c>
      <c r="E925" s="13" t="s">
        <v>140</v>
      </c>
      <c r="F925" s="13" t="s">
        <v>37</v>
      </c>
      <c r="G925" s="13" t="s">
        <v>52</v>
      </c>
      <c r="H925" s="16">
        <v>44915.0</v>
      </c>
      <c r="I925" s="14">
        <v>10.0</v>
      </c>
      <c r="J925" s="13" t="s">
        <v>53</v>
      </c>
      <c r="K925" s="13" t="s">
        <v>65</v>
      </c>
      <c r="L925" s="14">
        <v>1221.0</v>
      </c>
      <c r="M925" s="18" t="s">
        <v>43</v>
      </c>
      <c r="N925" s="20">
        <v>0.0</v>
      </c>
      <c r="O925" s="18">
        <v>32.7</v>
      </c>
      <c r="P925" s="20">
        <v>3.1</v>
      </c>
      <c r="Q925" s="16">
        <v>44933.0</v>
      </c>
      <c r="R925" s="16" t="s">
        <v>38</v>
      </c>
      <c r="S925" s="13" t="s">
        <v>55</v>
      </c>
      <c r="T925" s="13" t="s">
        <v>47</v>
      </c>
      <c r="U925" s="13" t="str">
        <f t="shared" si="1"/>
        <v>Moderate</v>
      </c>
      <c r="V925" s="13" t="str">
        <f t="shared" si="2"/>
        <v>Median or Above</v>
      </c>
      <c r="W925" s="13" t="str">
        <f t="shared" si="3"/>
        <v>0–12 Months</v>
      </c>
    </row>
    <row r="926" hidden="1">
      <c r="A926" s="13" t="s">
        <v>828</v>
      </c>
      <c r="B926" s="13" t="s">
        <v>393</v>
      </c>
      <c r="C926" s="14">
        <v>29.0</v>
      </c>
      <c r="D926" s="13" t="s">
        <v>85</v>
      </c>
      <c r="E926" s="13" t="s">
        <v>87</v>
      </c>
      <c r="F926" s="13" t="s">
        <v>62</v>
      </c>
      <c r="G926" s="13" t="s">
        <v>128</v>
      </c>
      <c r="H926" s="16">
        <v>45687.0</v>
      </c>
      <c r="I926" s="14">
        <v>18.0</v>
      </c>
      <c r="J926" s="13" t="s">
        <v>53</v>
      </c>
      <c r="K926" s="13" t="s">
        <v>81</v>
      </c>
      <c r="L926" s="14">
        <v>748.0</v>
      </c>
      <c r="M926" s="18" t="s">
        <v>43</v>
      </c>
      <c r="N926" s="20">
        <v>0.0</v>
      </c>
      <c r="O926" s="18">
        <v>23.5</v>
      </c>
      <c r="P926" s="20">
        <v>3.7</v>
      </c>
      <c r="Q926" s="16">
        <v>46208.0</v>
      </c>
      <c r="R926" s="16" t="s">
        <v>38</v>
      </c>
      <c r="S926" s="13" t="s">
        <v>55</v>
      </c>
      <c r="T926" s="13" t="s">
        <v>104</v>
      </c>
      <c r="U926" s="13" t="str">
        <f t="shared" si="1"/>
        <v>Moderate</v>
      </c>
      <c r="V926" s="13" t="str">
        <f t="shared" si="2"/>
        <v>Below Median</v>
      </c>
      <c r="W926" s="13" t="str">
        <f t="shared" si="3"/>
        <v>13–24 Months</v>
      </c>
    </row>
    <row r="927" hidden="1">
      <c r="A927" s="13" t="s">
        <v>769</v>
      </c>
      <c r="B927" s="13" t="s">
        <v>333</v>
      </c>
      <c r="C927" s="14">
        <v>50.0</v>
      </c>
      <c r="D927" s="13" t="s">
        <v>35</v>
      </c>
      <c r="E927" s="13" t="s">
        <v>36</v>
      </c>
      <c r="F927" s="13" t="s">
        <v>79</v>
      </c>
      <c r="G927" s="13" t="s">
        <v>52</v>
      </c>
      <c r="H927" s="16">
        <v>45538.0</v>
      </c>
      <c r="I927" s="14">
        <v>39.0</v>
      </c>
      <c r="J927" s="13" t="s">
        <v>40</v>
      </c>
      <c r="K927" s="13" t="s">
        <v>65</v>
      </c>
      <c r="L927" s="14">
        <v>3930.0</v>
      </c>
      <c r="M927" s="18" t="s">
        <v>173</v>
      </c>
      <c r="N927" s="20">
        <v>0.0</v>
      </c>
      <c r="O927" s="18">
        <v>13.4</v>
      </c>
      <c r="P927" s="20">
        <v>4.4</v>
      </c>
      <c r="Q927" s="16">
        <v>46560.0</v>
      </c>
      <c r="R927" s="16" t="s">
        <v>38</v>
      </c>
      <c r="S927" s="13" t="s">
        <v>55</v>
      </c>
      <c r="T927" s="13" t="s">
        <v>47</v>
      </c>
      <c r="U927" s="13" t="str">
        <f t="shared" si="1"/>
        <v>Moderate</v>
      </c>
      <c r="V927" s="13" t="str">
        <f t="shared" si="2"/>
        <v>Below Median</v>
      </c>
      <c r="W927" s="13" t="str">
        <f t="shared" si="3"/>
        <v>25–48 Months</v>
      </c>
    </row>
    <row r="928" hidden="1">
      <c r="A928" s="13" t="s">
        <v>1534</v>
      </c>
      <c r="B928" s="13" t="s">
        <v>229</v>
      </c>
      <c r="C928" s="14">
        <v>23.0</v>
      </c>
      <c r="D928" s="13" t="s">
        <v>60</v>
      </c>
      <c r="E928" s="13" t="s">
        <v>133</v>
      </c>
      <c r="F928" s="13" t="s">
        <v>79</v>
      </c>
      <c r="G928" s="13" t="s">
        <v>80</v>
      </c>
      <c r="H928" s="16">
        <v>44827.0</v>
      </c>
      <c r="I928" s="14">
        <v>34.0</v>
      </c>
      <c r="J928" s="13" t="s">
        <v>40</v>
      </c>
      <c r="K928" s="13" t="s">
        <v>65</v>
      </c>
      <c r="L928" s="14">
        <v>1381.0</v>
      </c>
      <c r="M928" s="18" t="s">
        <v>98</v>
      </c>
      <c r="N928" s="20">
        <v>0.0</v>
      </c>
      <c r="O928" s="18">
        <v>21.8</v>
      </c>
      <c r="P928" s="20">
        <v>2.1</v>
      </c>
      <c r="Q928" s="16">
        <v>45099.0</v>
      </c>
      <c r="R928" s="16" t="s">
        <v>38</v>
      </c>
      <c r="S928" s="13" t="s">
        <v>55</v>
      </c>
      <c r="T928" s="13" t="s">
        <v>72</v>
      </c>
      <c r="U928" s="13" t="str">
        <f t="shared" si="1"/>
        <v>Low</v>
      </c>
      <c r="V928" s="13" t="str">
        <f t="shared" si="2"/>
        <v>Below Median</v>
      </c>
      <c r="W928" s="13" t="str">
        <f t="shared" si="3"/>
        <v>25–48 Months</v>
      </c>
    </row>
    <row r="929" hidden="1">
      <c r="A929" s="13" t="s">
        <v>1535</v>
      </c>
      <c r="B929" s="13" t="s">
        <v>448</v>
      </c>
      <c r="C929" s="14">
        <v>63.0</v>
      </c>
      <c r="D929" s="13" t="s">
        <v>69</v>
      </c>
      <c r="E929" s="13" t="s">
        <v>187</v>
      </c>
      <c r="F929" s="13" t="s">
        <v>79</v>
      </c>
      <c r="G929" s="13" t="s">
        <v>52</v>
      </c>
      <c r="H929" s="16">
        <v>45040.0</v>
      </c>
      <c r="I929" s="14">
        <v>21.0</v>
      </c>
      <c r="J929" s="13" t="s">
        <v>40</v>
      </c>
      <c r="K929" s="13" t="s">
        <v>41</v>
      </c>
      <c r="L929" s="14">
        <v>3135.0</v>
      </c>
      <c r="M929" s="18" t="s">
        <v>46</v>
      </c>
      <c r="N929" s="20">
        <v>0.0</v>
      </c>
      <c r="O929" s="18">
        <v>27.5</v>
      </c>
      <c r="P929" s="20">
        <v>4.4</v>
      </c>
      <c r="Q929" s="16">
        <v>45398.0</v>
      </c>
      <c r="R929" s="16" t="s">
        <v>38</v>
      </c>
      <c r="S929" s="13" t="s">
        <v>55</v>
      </c>
      <c r="T929" s="13" t="s">
        <v>72</v>
      </c>
      <c r="U929" s="13" t="str">
        <f t="shared" si="1"/>
        <v>Moderate</v>
      </c>
      <c r="V929" s="13" t="str">
        <f t="shared" si="2"/>
        <v>Median or Above</v>
      </c>
      <c r="W929" s="13" t="str">
        <f t="shared" si="3"/>
        <v>13–24 Months</v>
      </c>
    </row>
    <row r="930" hidden="1">
      <c r="A930" s="13" t="s">
        <v>1536</v>
      </c>
      <c r="B930" s="13" t="s">
        <v>206</v>
      </c>
      <c r="C930" s="14">
        <v>58.0</v>
      </c>
      <c r="D930" s="13" t="s">
        <v>69</v>
      </c>
      <c r="E930" s="13" t="s">
        <v>187</v>
      </c>
      <c r="F930" s="13" t="s">
        <v>37</v>
      </c>
      <c r="G930" s="13" t="s">
        <v>39</v>
      </c>
      <c r="H930" s="16">
        <v>45562.0</v>
      </c>
      <c r="I930" s="14">
        <v>37.0</v>
      </c>
      <c r="J930" s="13" t="s">
        <v>53</v>
      </c>
      <c r="K930" s="13" t="s">
        <v>41</v>
      </c>
      <c r="L930" s="14">
        <v>1319.0</v>
      </c>
      <c r="M930" s="18" t="s">
        <v>164</v>
      </c>
      <c r="N930" s="20">
        <v>0.0</v>
      </c>
      <c r="O930" s="18">
        <v>31.3</v>
      </c>
      <c r="P930" s="20">
        <v>4.0</v>
      </c>
      <c r="Q930" s="16">
        <v>45767.0</v>
      </c>
      <c r="R930" s="16" t="s">
        <v>38</v>
      </c>
      <c r="S930" s="13" t="s">
        <v>55</v>
      </c>
      <c r="T930" s="13" t="s">
        <v>66</v>
      </c>
      <c r="U930" s="13" t="str">
        <f t="shared" si="1"/>
        <v>Moderate</v>
      </c>
      <c r="V930" s="13" t="str">
        <f t="shared" si="2"/>
        <v>Median or Above</v>
      </c>
      <c r="W930" s="13" t="str">
        <f t="shared" si="3"/>
        <v>25–48 Months</v>
      </c>
    </row>
    <row r="931" hidden="1">
      <c r="A931" s="13" t="s">
        <v>1537</v>
      </c>
      <c r="B931" s="13" t="s">
        <v>362</v>
      </c>
      <c r="C931" s="14">
        <v>59.0</v>
      </c>
      <c r="D931" s="13" t="s">
        <v>85</v>
      </c>
      <c r="E931" s="13" t="s">
        <v>92</v>
      </c>
      <c r="F931" s="13" t="s">
        <v>62</v>
      </c>
      <c r="G931" s="13" t="s">
        <v>120</v>
      </c>
      <c r="H931" s="16">
        <v>44957.0</v>
      </c>
      <c r="I931" s="14">
        <v>18.0</v>
      </c>
      <c r="J931" s="13" t="s">
        <v>40</v>
      </c>
      <c r="K931" s="13" t="s">
        <v>65</v>
      </c>
      <c r="L931" s="14">
        <v>685.0</v>
      </c>
      <c r="M931" s="18" t="s">
        <v>164</v>
      </c>
      <c r="N931" s="20">
        <v>1.0</v>
      </c>
      <c r="O931" s="18">
        <v>11.2</v>
      </c>
      <c r="P931" s="20">
        <v>3.2</v>
      </c>
      <c r="Q931" s="16">
        <v>45452.0</v>
      </c>
      <c r="R931" s="16" t="s">
        <v>38</v>
      </c>
      <c r="S931" s="13" t="s">
        <v>55</v>
      </c>
      <c r="T931" s="13" t="s">
        <v>72</v>
      </c>
      <c r="U931" s="13" t="str">
        <f t="shared" si="1"/>
        <v>Moderate</v>
      </c>
      <c r="V931" s="13" t="str">
        <f t="shared" si="2"/>
        <v>Below Median</v>
      </c>
      <c r="W931" s="13" t="str">
        <f t="shared" si="3"/>
        <v>13–24 Months</v>
      </c>
    </row>
    <row r="932" hidden="1">
      <c r="A932" s="13" t="s">
        <v>245</v>
      </c>
      <c r="B932" s="13" t="s">
        <v>340</v>
      </c>
      <c r="C932" s="14">
        <v>37.0</v>
      </c>
      <c r="D932" s="13" t="s">
        <v>85</v>
      </c>
      <c r="E932" s="13" t="s">
        <v>111</v>
      </c>
      <c r="F932" s="13" t="s">
        <v>37</v>
      </c>
      <c r="G932" s="13" t="s">
        <v>210</v>
      </c>
      <c r="H932" s="16">
        <v>45554.0</v>
      </c>
      <c r="I932" s="14">
        <v>21.0</v>
      </c>
      <c r="J932" s="13" t="s">
        <v>64</v>
      </c>
      <c r="K932" s="13" t="s">
        <v>41</v>
      </c>
      <c r="L932" s="14">
        <v>1203.0</v>
      </c>
      <c r="M932" s="18" t="s">
        <v>98</v>
      </c>
      <c r="N932" s="20">
        <v>1.0</v>
      </c>
      <c r="O932" s="18">
        <v>30.6</v>
      </c>
      <c r="P932" s="20">
        <v>2.4</v>
      </c>
      <c r="Q932" s="16">
        <v>45756.0</v>
      </c>
      <c r="R932" s="16" t="s">
        <v>38</v>
      </c>
      <c r="S932" s="13" t="s">
        <v>55</v>
      </c>
      <c r="T932" s="13" t="s">
        <v>47</v>
      </c>
      <c r="U932" s="13" t="str">
        <f t="shared" si="1"/>
        <v>Low</v>
      </c>
      <c r="V932" s="13" t="str">
        <f t="shared" si="2"/>
        <v>Median or Above</v>
      </c>
      <c r="W932" s="13" t="str">
        <f t="shared" si="3"/>
        <v>13–24 Months</v>
      </c>
    </row>
    <row r="933" hidden="1">
      <c r="A933" s="13" t="s">
        <v>1538</v>
      </c>
      <c r="B933" s="13" t="s">
        <v>202</v>
      </c>
      <c r="C933" s="14">
        <v>24.0</v>
      </c>
      <c r="D933" s="13" t="s">
        <v>60</v>
      </c>
      <c r="E933" s="13" t="s">
        <v>97</v>
      </c>
      <c r="F933" s="13" t="s">
        <v>37</v>
      </c>
      <c r="G933" s="13" t="s">
        <v>120</v>
      </c>
      <c r="H933" s="16">
        <v>45996.0</v>
      </c>
      <c r="I933" s="14">
        <v>1.0</v>
      </c>
      <c r="J933" s="13" t="s">
        <v>53</v>
      </c>
      <c r="K933" s="13" t="s">
        <v>65</v>
      </c>
      <c r="L933" s="14">
        <v>1146.0</v>
      </c>
      <c r="M933" s="18" t="s">
        <v>98</v>
      </c>
      <c r="N933" s="20">
        <v>1.0</v>
      </c>
      <c r="O933" s="18">
        <v>35.8</v>
      </c>
      <c r="P933" s="20">
        <v>5.0</v>
      </c>
      <c r="Q933" s="16">
        <v>46007.0</v>
      </c>
      <c r="R933" s="16" t="s">
        <v>38</v>
      </c>
      <c r="S933" s="13" t="s">
        <v>55</v>
      </c>
      <c r="T933" s="13" t="s">
        <v>47</v>
      </c>
      <c r="U933" s="13" t="str">
        <f t="shared" si="1"/>
        <v>High</v>
      </c>
      <c r="V933" s="13" t="str">
        <f t="shared" si="2"/>
        <v>Median or Above</v>
      </c>
      <c r="W933" s="13" t="str">
        <f t="shared" si="3"/>
        <v>0–12 Months</v>
      </c>
    </row>
    <row r="934" hidden="1">
      <c r="A934" s="13" t="s">
        <v>438</v>
      </c>
      <c r="B934" s="13" t="s">
        <v>241</v>
      </c>
      <c r="C934" s="14">
        <v>29.0</v>
      </c>
      <c r="D934" s="13" t="s">
        <v>85</v>
      </c>
      <c r="E934" s="13" t="s">
        <v>111</v>
      </c>
      <c r="F934" s="13" t="s">
        <v>37</v>
      </c>
      <c r="G934" s="13" t="s">
        <v>128</v>
      </c>
      <c r="H934" s="16">
        <v>45205.0</v>
      </c>
      <c r="I934" s="14">
        <v>7.0</v>
      </c>
      <c r="J934" s="13" t="s">
        <v>64</v>
      </c>
      <c r="K934" s="13" t="s">
        <v>41</v>
      </c>
      <c r="L934" s="14">
        <v>1281.0</v>
      </c>
      <c r="M934" s="18" t="s">
        <v>43</v>
      </c>
      <c r="N934" s="20">
        <v>0.0</v>
      </c>
      <c r="O934" s="18">
        <v>27.7</v>
      </c>
      <c r="P934" s="20">
        <v>4.3</v>
      </c>
      <c r="Q934" s="16">
        <v>45395.0</v>
      </c>
      <c r="R934" s="16">
        <v>45508.0</v>
      </c>
      <c r="S934" s="13" t="s">
        <v>45</v>
      </c>
      <c r="T934" s="13" t="s">
        <v>72</v>
      </c>
      <c r="U934" s="13" t="str">
        <f t="shared" si="1"/>
        <v>Moderate</v>
      </c>
      <c r="V934" s="13" t="str">
        <f t="shared" si="2"/>
        <v>Median or Above</v>
      </c>
      <c r="W934" s="13" t="str">
        <f t="shared" si="3"/>
        <v>0–12 Months</v>
      </c>
    </row>
    <row r="935" hidden="1">
      <c r="A935" s="13" t="s">
        <v>1157</v>
      </c>
      <c r="B935" s="13" t="s">
        <v>411</v>
      </c>
      <c r="C935" s="14">
        <v>44.0</v>
      </c>
      <c r="D935" s="13" t="s">
        <v>35</v>
      </c>
      <c r="E935" s="13" t="s">
        <v>36</v>
      </c>
      <c r="F935" s="13" t="s">
        <v>79</v>
      </c>
      <c r="G935" s="13" t="s">
        <v>80</v>
      </c>
      <c r="H935" s="16">
        <v>45539.0</v>
      </c>
      <c r="I935" s="14">
        <v>24.0</v>
      </c>
      <c r="J935" s="13" t="s">
        <v>40</v>
      </c>
      <c r="K935" s="13" t="s">
        <v>65</v>
      </c>
      <c r="L935" s="14">
        <v>3125.0</v>
      </c>
      <c r="M935" s="18" t="s">
        <v>98</v>
      </c>
      <c r="N935" s="20">
        <v>2.0</v>
      </c>
      <c r="O935" s="18">
        <v>40.3</v>
      </c>
      <c r="P935" s="20">
        <v>3.9</v>
      </c>
      <c r="Q935" s="16">
        <v>45575.0</v>
      </c>
      <c r="R935" s="16" t="s">
        <v>38</v>
      </c>
      <c r="S935" s="13" t="s">
        <v>55</v>
      </c>
      <c r="T935" s="13" t="s">
        <v>66</v>
      </c>
      <c r="U935" s="13" t="str">
        <f t="shared" si="1"/>
        <v>Moderate</v>
      </c>
      <c r="V935" s="13" t="str">
        <f t="shared" si="2"/>
        <v>Median or Above</v>
      </c>
      <c r="W935" s="13" t="str">
        <f t="shared" si="3"/>
        <v>13–24 Months</v>
      </c>
    </row>
    <row r="936" hidden="1">
      <c r="A936" s="13" t="s">
        <v>909</v>
      </c>
      <c r="B936" s="13" t="s">
        <v>235</v>
      </c>
      <c r="C936" s="14">
        <v>23.0</v>
      </c>
      <c r="D936" s="13" t="s">
        <v>35</v>
      </c>
      <c r="E936" s="13" t="s">
        <v>161</v>
      </c>
      <c r="F936" s="13" t="s">
        <v>62</v>
      </c>
      <c r="G936" s="13" t="s">
        <v>128</v>
      </c>
      <c r="H936" s="16">
        <v>45726.0</v>
      </c>
      <c r="I936" s="14">
        <v>3.0</v>
      </c>
      <c r="J936" s="13" t="s">
        <v>40</v>
      </c>
      <c r="K936" s="13" t="s">
        <v>41</v>
      </c>
      <c r="L936" s="14">
        <v>527.0</v>
      </c>
      <c r="M936" s="18" t="s">
        <v>46</v>
      </c>
      <c r="N936" s="20">
        <v>1.0</v>
      </c>
      <c r="O936" s="18">
        <v>21.3</v>
      </c>
      <c r="P936" s="20">
        <v>3.4</v>
      </c>
      <c r="Q936" s="16">
        <v>45827.0</v>
      </c>
      <c r="R936" s="16" t="s">
        <v>1540</v>
      </c>
      <c r="S936" s="13" t="s">
        <v>45</v>
      </c>
      <c r="T936" s="13" t="s">
        <v>104</v>
      </c>
      <c r="U936" s="13" t="str">
        <f t="shared" si="1"/>
        <v>Moderate</v>
      </c>
      <c r="V936" s="13" t="str">
        <f t="shared" si="2"/>
        <v>Below Median</v>
      </c>
      <c r="W936" s="13" t="str">
        <f t="shared" si="3"/>
        <v>0–12 Months</v>
      </c>
    </row>
    <row r="937" hidden="1">
      <c r="A937" s="13" t="s">
        <v>666</v>
      </c>
      <c r="B937" s="13" t="s">
        <v>308</v>
      </c>
      <c r="C937" s="14">
        <v>52.0</v>
      </c>
      <c r="D937" s="13" t="s">
        <v>69</v>
      </c>
      <c r="E937" s="13" t="s">
        <v>187</v>
      </c>
      <c r="F937" s="13" t="s">
        <v>62</v>
      </c>
      <c r="G937" s="13" t="s">
        <v>210</v>
      </c>
      <c r="H937" s="16">
        <v>45293.0</v>
      </c>
      <c r="I937" s="14">
        <v>22.0</v>
      </c>
      <c r="J937" s="13" t="s">
        <v>53</v>
      </c>
      <c r="K937" s="13" t="s">
        <v>81</v>
      </c>
      <c r="L937" s="14">
        <v>674.0</v>
      </c>
      <c r="M937" s="18" t="s">
        <v>164</v>
      </c>
      <c r="N937" s="20">
        <v>2.0</v>
      </c>
      <c r="O937" s="18">
        <v>16.5</v>
      </c>
      <c r="P937" s="20">
        <v>3.7</v>
      </c>
      <c r="Q937" s="16">
        <v>45807.0</v>
      </c>
      <c r="R937" s="16" t="s">
        <v>38</v>
      </c>
      <c r="S937" s="13" t="s">
        <v>55</v>
      </c>
      <c r="T937" s="13" t="s">
        <v>75</v>
      </c>
      <c r="U937" s="13" t="str">
        <f t="shared" si="1"/>
        <v>Moderate</v>
      </c>
      <c r="V937" s="13" t="str">
        <f t="shared" si="2"/>
        <v>Below Median</v>
      </c>
      <c r="W937" s="13" t="str">
        <f t="shared" si="3"/>
        <v>13–24 Months</v>
      </c>
    </row>
    <row r="938" hidden="1">
      <c r="A938" s="13" t="s">
        <v>862</v>
      </c>
      <c r="B938" s="13" t="s">
        <v>179</v>
      </c>
      <c r="C938" s="14">
        <v>22.0</v>
      </c>
      <c r="D938" s="13" t="s">
        <v>69</v>
      </c>
      <c r="E938" s="13" t="s">
        <v>70</v>
      </c>
      <c r="F938" s="13" t="s">
        <v>37</v>
      </c>
      <c r="G938" s="13" t="s">
        <v>120</v>
      </c>
      <c r="H938" s="16">
        <v>44887.0</v>
      </c>
      <c r="I938" s="14">
        <v>8.0</v>
      </c>
      <c r="J938" s="13" t="s">
        <v>64</v>
      </c>
      <c r="K938" s="13" t="s">
        <v>81</v>
      </c>
      <c r="L938" s="14">
        <v>1231.0</v>
      </c>
      <c r="M938" s="18" t="s">
        <v>43</v>
      </c>
      <c r="N938" s="20">
        <v>1.0</v>
      </c>
      <c r="O938" s="18">
        <v>32.2</v>
      </c>
      <c r="P938" s="20">
        <v>3.6</v>
      </c>
      <c r="Q938" s="16">
        <v>44911.0</v>
      </c>
      <c r="R938" s="16">
        <v>45052.0</v>
      </c>
      <c r="S938" s="13" t="s">
        <v>45</v>
      </c>
      <c r="T938" s="13" t="s">
        <v>47</v>
      </c>
      <c r="U938" s="13" t="str">
        <f t="shared" si="1"/>
        <v>Moderate</v>
      </c>
      <c r="V938" s="13" t="str">
        <f t="shared" si="2"/>
        <v>Median or Above</v>
      </c>
      <c r="W938" s="13" t="str">
        <f t="shared" si="3"/>
        <v>0–12 Months</v>
      </c>
    </row>
    <row r="939" hidden="1">
      <c r="A939" s="13" t="s">
        <v>318</v>
      </c>
      <c r="B939" s="13" t="s">
        <v>331</v>
      </c>
      <c r="C939" s="14">
        <v>50.0</v>
      </c>
      <c r="D939" s="13" t="s">
        <v>35</v>
      </c>
      <c r="E939" s="13" t="s">
        <v>36</v>
      </c>
      <c r="F939" s="13" t="s">
        <v>62</v>
      </c>
      <c r="G939" s="13" t="s">
        <v>39</v>
      </c>
      <c r="H939" s="16">
        <v>44874.0</v>
      </c>
      <c r="I939" s="14">
        <v>9.0</v>
      </c>
      <c r="J939" s="13" t="s">
        <v>40</v>
      </c>
      <c r="K939" s="13" t="s">
        <v>81</v>
      </c>
      <c r="L939" s="14">
        <v>664.0</v>
      </c>
      <c r="M939" s="18" t="s">
        <v>98</v>
      </c>
      <c r="N939" s="20">
        <v>0.0</v>
      </c>
      <c r="O939" s="18">
        <v>15.0</v>
      </c>
      <c r="P939" s="20">
        <v>5.0</v>
      </c>
      <c r="Q939" s="16">
        <v>45086.0</v>
      </c>
      <c r="R939" s="16" t="s">
        <v>38</v>
      </c>
      <c r="S939" s="13" t="s">
        <v>55</v>
      </c>
      <c r="T939" s="13" t="s">
        <v>75</v>
      </c>
      <c r="U939" s="13" t="str">
        <f t="shared" si="1"/>
        <v>High</v>
      </c>
      <c r="V939" s="13" t="str">
        <f t="shared" si="2"/>
        <v>Below Median</v>
      </c>
      <c r="W939" s="13" t="str">
        <f t="shared" si="3"/>
        <v>0–12 Months</v>
      </c>
    </row>
    <row r="940" hidden="1">
      <c r="A940" s="13" t="s">
        <v>1542</v>
      </c>
      <c r="B940" s="13" t="s">
        <v>448</v>
      </c>
      <c r="C940" s="14">
        <v>51.0</v>
      </c>
      <c r="D940" s="13" t="s">
        <v>85</v>
      </c>
      <c r="E940" s="13" t="s">
        <v>36</v>
      </c>
      <c r="F940" s="13" t="s">
        <v>62</v>
      </c>
      <c r="G940" s="13" t="s">
        <v>63</v>
      </c>
      <c r="H940" s="16">
        <v>44989.0</v>
      </c>
      <c r="I940" s="14">
        <v>15.0</v>
      </c>
      <c r="J940" s="13" t="s">
        <v>40</v>
      </c>
      <c r="K940" s="13" t="s">
        <v>65</v>
      </c>
      <c r="L940" s="14">
        <v>502.0</v>
      </c>
      <c r="M940" s="18" t="s">
        <v>99</v>
      </c>
      <c r="N940" s="20">
        <v>0.0</v>
      </c>
      <c r="O940" s="18">
        <v>27.7</v>
      </c>
      <c r="P940" s="20">
        <v>1.7</v>
      </c>
      <c r="Q940" s="16">
        <v>45040.0</v>
      </c>
      <c r="R940" s="16" t="s">
        <v>38</v>
      </c>
      <c r="S940" s="13" t="s">
        <v>55</v>
      </c>
      <c r="T940" s="13" t="s">
        <v>47</v>
      </c>
      <c r="U940" s="13" t="str">
        <f t="shared" si="1"/>
        <v>Low</v>
      </c>
      <c r="V940" s="13" t="str">
        <f t="shared" si="2"/>
        <v>Median or Above</v>
      </c>
      <c r="W940" s="13" t="str">
        <f t="shared" si="3"/>
        <v>13–24 Months</v>
      </c>
    </row>
    <row r="941" hidden="1">
      <c r="A941" s="13" t="s">
        <v>1544</v>
      </c>
      <c r="B941" s="13" t="s">
        <v>312</v>
      </c>
      <c r="C941" s="14">
        <v>39.0</v>
      </c>
      <c r="D941" s="13" t="s">
        <v>35</v>
      </c>
      <c r="E941" s="13" t="s">
        <v>161</v>
      </c>
      <c r="F941" s="13" t="s">
        <v>62</v>
      </c>
      <c r="G941" s="13" t="s">
        <v>210</v>
      </c>
      <c r="H941" s="16">
        <v>45608.0</v>
      </c>
      <c r="I941" s="14">
        <v>25.0</v>
      </c>
      <c r="J941" s="13" t="s">
        <v>53</v>
      </c>
      <c r="K941" s="13" t="s">
        <v>65</v>
      </c>
      <c r="L941" s="14">
        <v>602.0</v>
      </c>
      <c r="M941" s="18" t="s">
        <v>164</v>
      </c>
      <c r="N941" s="20">
        <v>1.0</v>
      </c>
      <c r="O941" s="18">
        <v>23.9</v>
      </c>
      <c r="P941" s="20">
        <v>3.8</v>
      </c>
      <c r="Q941" s="16">
        <v>45880.0</v>
      </c>
      <c r="R941" s="16" t="s">
        <v>38</v>
      </c>
      <c r="S941" s="13" t="s">
        <v>55</v>
      </c>
      <c r="T941" s="13" t="s">
        <v>104</v>
      </c>
      <c r="U941" s="13" t="str">
        <f t="shared" si="1"/>
        <v>Moderate</v>
      </c>
      <c r="V941" s="13" t="str">
        <f t="shared" si="2"/>
        <v>Below Median</v>
      </c>
      <c r="W941" s="13" t="str">
        <f t="shared" si="3"/>
        <v>25–48 Months</v>
      </c>
    </row>
    <row r="942" hidden="1">
      <c r="A942" s="13" t="s">
        <v>1545</v>
      </c>
      <c r="B942" s="13" t="s">
        <v>202</v>
      </c>
      <c r="C942" s="14">
        <v>25.0</v>
      </c>
      <c r="D942" s="13" t="s">
        <v>60</v>
      </c>
      <c r="E942" s="13" t="s">
        <v>133</v>
      </c>
      <c r="F942" s="13" t="s">
        <v>62</v>
      </c>
      <c r="G942" s="13" t="s">
        <v>80</v>
      </c>
      <c r="H942" s="16">
        <v>45896.0</v>
      </c>
      <c r="I942" s="14">
        <v>43.0</v>
      </c>
      <c r="J942" s="13" t="s">
        <v>64</v>
      </c>
      <c r="K942" s="13" t="s">
        <v>41</v>
      </c>
      <c r="L942" s="14">
        <v>706.0</v>
      </c>
      <c r="M942" s="18" t="s">
        <v>46</v>
      </c>
      <c r="N942" s="20">
        <v>2.0</v>
      </c>
      <c r="O942" s="18">
        <v>11.7</v>
      </c>
      <c r="P942" s="20">
        <v>3.0</v>
      </c>
      <c r="Q942" s="16">
        <v>46136.0</v>
      </c>
      <c r="R942" s="16" t="s">
        <v>38</v>
      </c>
      <c r="S942" s="13" t="s">
        <v>55</v>
      </c>
      <c r="T942" s="13" t="s">
        <v>47</v>
      </c>
      <c r="U942" s="13" t="str">
        <f t="shared" si="1"/>
        <v>Moderate</v>
      </c>
      <c r="V942" s="13" t="str">
        <f t="shared" si="2"/>
        <v>Below Median</v>
      </c>
      <c r="W942" s="13" t="str">
        <f t="shared" si="3"/>
        <v>25–48 Months</v>
      </c>
    </row>
    <row r="943" hidden="1">
      <c r="A943" s="13" t="s">
        <v>1547</v>
      </c>
      <c r="B943" s="13" t="s">
        <v>250</v>
      </c>
      <c r="C943" s="14">
        <v>51.0</v>
      </c>
      <c r="D943" s="13" t="s">
        <v>60</v>
      </c>
      <c r="E943" s="13" t="s">
        <v>97</v>
      </c>
      <c r="F943" s="13" t="s">
        <v>79</v>
      </c>
      <c r="G943" s="13" t="s">
        <v>128</v>
      </c>
      <c r="H943" s="16">
        <v>45183.0</v>
      </c>
      <c r="I943" s="14">
        <v>24.0</v>
      </c>
      <c r="J943" s="13" t="s">
        <v>40</v>
      </c>
      <c r="K943" s="13" t="s">
        <v>65</v>
      </c>
      <c r="L943" s="14">
        <v>2469.0</v>
      </c>
      <c r="M943" s="18" t="s">
        <v>98</v>
      </c>
      <c r="N943" s="20" t="s">
        <v>38</v>
      </c>
      <c r="O943" s="18">
        <v>36.0</v>
      </c>
      <c r="P943" s="20">
        <v>4.3</v>
      </c>
      <c r="Q943" s="16">
        <v>45773.0</v>
      </c>
      <c r="R943" s="16" t="s">
        <v>38</v>
      </c>
      <c r="S943" s="13" t="s">
        <v>55</v>
      </c>
      <c r="T943" s="13" t="s">
        <v>104</v>
      </c>
      <c r="U943" s="13" t="str">
        <f t="shared" si="1"/>
        <v>Moderate</v>
      </c>
      <c r="V943" s="13" t="str">
        <f t="shared" si="2"/>
        <v>Median or Above</v>
      </c>
      <c r="W943" s="13" t="str">
        <f t="shared" si="3"/>
        <v>13–24 Months</v>
      </c>
    </row>
    <row r="944" hidden="1">
      <c r="A944" s="13" t="s">
        <v>1548</v>
      </c>
      <c r="B944" s="13" t="s">
        <v>110</v>
      </c>
      <c r="C944" s="14">
        <v>54.0</v>
      </c>
      <c r="D944" s="13" t="s">
        <v>69</v>
      </c>
      <c r="E944" s="13" t="s">
        <v>177</v>
      </c>
      <c r="F944" s="13" t="s">
        <v>62</v>
      </c>
      <c r="G944" s="13" t="s">
        <v>52</v>
      </c>
      <c r="H944" s="16">
        <v>45357.0</v>
      </c>
      <c r="I944" s="14">
        <v>47.0</v>
      </c>
      <c r="J944" s="13" t="s">
        <v>64</v>
      </c>
      <c r="K944" s="13" t="s">
        <v>65</v>
      </c>
      <c r="L944" s="14">
        <v>699.0</v>
      </c>
      <c r="M944" s="18" t="s">
        <v>98</v>
      </c>
      <c r="N944" s="20">
        <v>1.0</v>
      </c>
      <c r="O944" s="18">
        <v>22.0</v>
      </c>
      <c r="P944" s="20">
        <v>4.3</v>
      </c>
      <c r="Q944" s="16">
        <v>45705.0</v>
      </c>
      <c r="R944" s="16" t="s">
        <v>38</v>
      </c>
      <c r="S944" s="13" t="s">
        <v>55</v>
      </c>
      <c r="T944" s="13" t="s">
        <v>47</v>
      </c>
      <c r="U944" s="13" t="str">
        <f t="shared" si="1"/>
        <v>Moderate</v>
      </c>
      <c r="V944" s="13" t="str">
        <f t="shared" si="2"/>
        <v>Below Median</v>
      </c>
      <c r="W944" s="13" t="str">
        <f t="shared" si="3"/>
        <v>25–48 Months</v>
      </c>
    </row>
    <row r="945" hidden="1">
      <c r="A945" s="13" t="s">
        <v>1550</v>
      </c>
      <c r="B945" s="13" t="s">
        <v>605</v>
      </c>
      <c r="C945" s="14">
        <v>25.0</v>
      </c>
      <c r="D945" s="13" t="s">
        <v>35</v>
      </c>
      <c r="E945" s="13" t="s">
        <v>36</v>
      </c>
      <c r="F945" s="13" t="s">
        <v>79</v>
      </c>
      <c r="G945" s="13" t="s">
        <v>80</v>
      </c>
      <c r="H945" s="16">
        <v>44664.0</v>
      </c>
      <c r="I945" s="14">
        <v>1.0</v>
      </c>
      <c r="J945" s="13" t="s">
        <v>40</v>
      </c>
      <c r="K945" s="13" t="s">
        <v>65</v>
      </c>
      <c r="L945" s="14">
        <v>2910.0</v>
      </c>
      <c r="M945" s="18" t="s">
        <v>43</v>
      </c>
      <c r="N945" s="20">
        <v>0.0</v>
      </c>
      <c r="O945" s="18">
        <v>32.0</v>
      </c>
      <c r="P945" s="20">
        <v>3.1</v>
      </c>
      <c r="Q945" s="16">
        <v>44698.0</v>
      </c>
      <c r="R945" s="16">
        <v>44687.0</v>
      </c>
      <c r="S945" s="13" t="s">
        <v>45</v>
      </c>
      <c r="T945" s="13" t="s">
        <v>47</v>
      </c>
      <c r="U945" s="13" t="str">
        <f t="shared" si="1"/>
        <v>Moderate</v>
      </c>
      <c r="V945" s="13" t="str">
        <f t="shared" si="2"/>
        <v>Median or Above</v>
      </c>
      <c r="W945" s="13" t="str">
        <f t="shared" si="3"/>
        <v>0–12 Months</v>
      </c>
    </row>
    <row r="946" hidden="1">
      <c r="A946" s="13" t="s">
        <v>1552</v>
      </c>
      <c r="B946" s="13" t="s">
        <v>736</v>
      </c>
      <c r="C946" s="14">
        <v>28.0</v>
      </c>
      <c r="D946" s="13" t="s">
        <v>69</v>
      </c>
      <c r="E946" s="13" t="s">
        <v>119</v>
      </c>
      <c r="F946" s="13" t="s">
        <v>37</v>
      </c>
      <c r="G946" s="13" t="s">
        <v>210</v>
      </c>
      <c r="H946" s="16">
        <v>44717.0</v>
      </c>
      <c r="I946" s="14">
        <v>18.0</v>
      </c>
      <c r="J946" s="13" t="s">
        <v>53</v>
      </c>
      <c r="K946" s="13" t="s">
        <v>81</v>
      </c>
      <c r="L946" s="14">
        <v>1303.0</v>
      </c>
      <c r="M946" s="18" t="s">
        <v>98</v>
      </c>
      <c r="N946" s="20">
        <v>0.0</v>
      </c>
      <c r="O946" s="18">
        <v>36.9</v>
      </c>
      <c r="P946" s="20">
        <v>3.7</v>
      </c>
      <c r="Q946" s="16">
        <v>44762.0</v>
      </c>
      <c r="R946" s="16" t="s">
        <v>38</v>
      </c>
      <c r="S946" s="13" t="s">
        <v>55</v>
      </c>
      <c r="T946" s="13" t="s">
        <v>47</v>
      </c>
      <c r="U946" s="13" t="str">
        <f t="shared" si="1"/>
        <v>Moderate</v>
      </c>
      <c r="V946" s="13" t="str">
        <f t="shared" si="2"/>
        <v>Median or Above</v>
      </c>
      <c r="W946" s="13" t="str">
        <f t="shared" si="3"/>
        <v>13–24 Months</v>
      </c>
    </row>
    <row r="947" hidden="1">
      <c r="A947" s="13" t="s">
        <v>1553</v>
      </c>
      <c r="B947" s="13" t="s">
        <v>152</v>
      </c>
      <c r="C947" s="14">
        <v>63.0</v>
      </c>
      <c r="D947" s="13" t="s">
        <v>35</v>
      </c>
      <c r="E947" s="13" t="s">
        <v>140</v>
      </c>
      <c r="F947" s="13" t="s">
        <v>62</v>
      </c>
      <c r="G947" s="13" t="s">
        <v>63</v>
      </c>
      <c r="H947" s="16">
        <v>44738.0</v>
      </c>
      <c r="I947" s="14">
        <v>47.0</v>
      </c>
      <c r="J947" s="13" t="s">
        <v>64</v>
      </c>
      <c r="K947" s="13" t="s">
        <v>65</v>
      </c>
      <c r="L947" s="14" t="s">
        <v>38</v>
      </c>
      <c r="M947" s="18" t="s">
        <v>173</v>
      </c>
      <c r="N947" s="20">
        <v>2.0</v>
      </c>
      <c r="O947" s="18">
        <v>20.6</v>
      </c>
      <c r="P947" s="20">
        <v>5.0</v>
      </c>
      <c r="Q947" s="16">
        <v>45307.0</v>
      </c>
      <c r="R947" s="16" t="s">
        <v>38</v>
      </c>
      <c r="S947" s="13" t="s">
        <v>55</v>
      </c>
      <c r="T947" s="13" t="s">
        <v>104</v>
      </c>
      <c r="U947" s="13" t="str">
        <f t="shared" si="1"/>
        <v>High</v>
      </c>
      <c r="V947" s="13" t="str">
        <f t="shared" si="2"/>
        <v>Below Median</v>
      </c>
      <c r="W947" s="13" t="str">
        <f t="shared" si="3"/>
        <v>25–48 Months</v>
      </c>
    </row>
    <row r="948" hidden="1">
      <c r="A948" s="13" t="s">
        <v>1554</v>
      </c>
      <c r="B948" s="13" t="s">
        <v>132</v>
      </c>
      <c r="C948" s="14">
        <v>61.0</v>
      </c>
      <c r="D948" s="13" t="s">
        <v>85</v>
      </c>
      <c r="E948" s="13" t="s">
        <v>187</v>
      </c>
      <c r="F948" s="13" t="s">
        <v>62</v>
      </c>
      <c r="G948" s="13" t="s">
        <v>52</v>
      </c>
      <c r="H948" s="16">
        <v>45334.0</v>
      </c>
      <c r="I948" s="14">
        <v>2.0</v>
      </c>
      <c r="J948" s="13" t="s">
        <v>40</v>
      </c>
      <c r="K948" s="13" t="s">
        <v>65</v>
      </c>
      <c r="L948" s="14">
        <v>720.0</v>
      </c>
      <c r="M948" s="18" t="s">
        <v>164</v>
      </c>
      <c r="N948" s="20">
        <v>0.0</v>
      </c>
      <c r="O948" s="18">
        <v>8.1</v>
      </c>
      <c r="P948" s="20">
        <v>4.6</v>
      </c>
      <c r="Q948" s="16">
        <v>45366.0</v>
      </c>
      <c r="R948" s="16" t="s">
        <v>38</v>
      </c>
      <c r="S948" s="13" t="s">
        <v>55</v>
      </c>
      <c r="T948" s="13" t="s">
        <v>72</v>
      </c>
      <c r="U948" s="13" t="str">
        <f t="shared" si="1"/>
        <v>Moderate</v>
      </c>
      <c r="V948" s="13" t="str">
        <f t="shared" si="2"/>
        <v>Below Median</v>
      </c>
      <c r="W948" s="13" t="str">
        <f t="shared" si="3"/>
        <v>0–12 Months</v>
      </c>
    </row>
    <row r="949" hidden="1">
      <c r="A949" s="13" t="s">
        <v>1555</v>
      </c>
      <c r="B949" s="13" t="s">
        <v>202</v>
      </c>
      <c r="C949" s="14">
        <v>54.0</v>
      </c>
      <c r="D949" s="13" t="s">
        <v>85</v>
      </c>
      <c r="E949" s="13" t="s">
        <v>111</v>
      </c>
      <c r="F949" s="13" t="s">
        <v>37</v>
      </c>
      <c r="G949" s="13" t="s">
        <v>63</v>
      </c>
      <c r="H949" s="16">
        <v>45936.0</v>
      </c>
      <c r="I949" s="14">
        <v>18.0</v>
      </c>
      <c r="J949" s="13" t="s">
        <v>64</v>
      </c>
      <c r="K949" s="13" t="s">
        <v>65</v>
      </c>
      <c r="L949" s="14">
        <v>1239.0</v>
      </c>
      <c r="M949" s="18" t="s">
        <v>164</v>
      </c>
      <c r="N949" s="20">
        <v>0.0</v>
      </c>
      <c r="O949" s="18">
        <v>41.6</v>
      </c>
      <c r="P949" s="20">
        <v>1.6</v>
      </c>
      <c r="Q949" s="16">
        <v>46404.0</v>
      </c>
      <c r="R949" s="16">
        <v>45819.0</v>
      </c>
      <c r="S949" s="13" t="s">
        <v>45</v>
      </c>
      <c r="T949" s="13" t="s">
        <v>47</v>
      </c>
      <c r="U949" s="13" t="str">
        <f t="shared" si="1"/>
        <v>Low</v>
      </c>
      <c r="V949" s="13" t="str">
        <f t="shared" si="2"/>
        <v>Median or Above</v>
      </c>
      <c r="W949" s="13" t="str">
        <f t="shared" si="3"/>
        <v>13–24 Months</v>
      </c>
    </row>
    <row r="950" hidden="1">
      <c r="A950" s="13" t="s">
        <v>989</v>
      </c>
      <c r="B950" s="13" t="s">
        <v>145</v>
      </c>
      <c r="C950" s="14">
        <v>39.0</v>
      </c>
      <c r="D950" s="13" t="s">
        <v>35</v>
      </c>
      <c r="E950" s="13" t="s">
        <v>161</v>
      </c>
      <c r="F950" s="13" t="s">
        <v>62</v>
      </c>
      <c r="G950" s="13" t="s">
        <v>63</v>
      </c>
      <c r="H950" s="16">
        <v>45314.0</v>
      </c>
      <c r="I950" s="14">
        <v>30.0</v>
      </c>
      <c r="J950" s="13" t="s">
        <v>64</v>
      </c>
      <c r="K950" s="13" t="s">
        <v>81</v>
      </c>
      <c r="L950" s="14">
        <v>777.0</v>
      </c>
      <c r="M950" s="18" t="s">
        <v>98</v>
      </c>
      <c r="N950" s="20">
        <v>0.0</v>
      </c>
      <c r="O950" s="18">
        <v>16.6</v>
      </c>
      <c r="P950" s="20">
        <v>4.3</v>
      </c>
      <c r="Q950" s="16">
        <v>45998.0</v>
      </c>
      <c r="R950" s="16">
        <v>45872.0</v>
      </c>
      <c r="S950" s="13" t="s">
        <v>45</v>
      </c>
      <c r="T950" s="13" t="s">
        <v>72</v>
      </c>
      <c r="U950" s="13" t="str">
        <f t="shared" si="1"/>
        <v>Moderate</v>
      </c>
      <c r="V950" s="13" t="str">
        <f t="shared" si="2"/>
        <v>Below Median</v>
      </c>
      <c r="W950" s="13" t="str">
        <f t="shared" si="3"/>
        <v>25–48 Months</v>
      </c>
    </row>
    <row r="951">
      <c r="A951" s="13" t="s">
        <v>1559</v>
      </c>
      <c r="B951" s="13" t="s">
        <v>633</v>
      </c>
      <c r="C951" s="14">
        <v>24.0</v>
      </c>
      <c r="D951" s="13" t="s">
        <v>69</v>
      </c>
      <c r="E951" s="13" t="s">
        <v>119</v>
      </c>
      <c r="F951" s="13" t="s">
        <v>62</v>
      </c>
      <c r="G951" s="13" t="s">
        <v>210</v>
      </c>
      <c r="H951" s="16">
        <v>45160.0</v>
      </c>
      <c r="I951" s="14">
        <v>10.0</v>
      </c>
      <c r="J951" s="13" t="s">
        <v>64</v>
      </c>
      <c r="K951" s="13" t="s">
        <v>65</v>
      </c>
      <c r="L951" s="14">
        <v>883.0</v>
      </c>
      <c r="M951" s="18" t="s">
        <v>164</v>
      </c>
      <c r="N951" s="20">
        <v>0.0</v>
      </c>
      <c r="O951" s="18">
        <v>26.4</v>
      </c>
      <c r="P951" s="20">
        <v>3.7</v>
      </c>
      <c r="Q951" s="16">
        <v>45447.0</v>
      </c>
      <c r="R951" s="16" t="s">
        <v>1560</v>
      </c>
      <c r="S951" s="13" t="s">
        <v>230</v>
      </c>
      <c r="T951" s="13" t="s">
        <v>47</v>
      </c>
      <c r="U951" s="13" t="str">
        <f t="shared" si="1"/>
        <v>Moderate</v>
      </c>
      <c r="V951" s="13" t="str">
        <f t="shared" si="2"/>
        <v>Median or Above</v>
      </c>
      <c r="W951" s="13" t="str">
        <f t="shared" si="3"/>
        <v>0–12 Months</v>
      </c>
    </row>
    <row r="952" hidden="1">
      <c r="A952" s="13" t="s">
        <v>1120</v>
      </c>
      <c r="B952" s="13" t="s">
        <v>448</v>
      </c>
      <c r="C952" s="14">
        <v>53.0</v>
      </c>
      <c r="D952" s="13" t="s">
        <v>60</v>
      </c>
      <c r="E952" s="13" t="s">
        <v>133</v>
      </c>
      <c r="F952" s="13" t="s">
        <v>37</v>
      </c>
      <c r="G952" s="13" t="s">
        <v>80</v>
      </c>
      <c r="H952" s="16">
        <v>45955.0</v>
      </c>
      <c r="I952" s="14">
        <v>11.0</v>
      </c>
      <c r="J952" s="13" t="s">
        <v>64</v>
      </c>
      <c r="K952" s="13" t="s">
        <v>81</v>
      </c>
      <c r="L952" s="14">
        <v>1517.0</v>
      </c>
      <c r="M952" s="18" t="s">
        <v>376</v>
      </c>
      <c r="N952" s="20">
        <v>1.0</v>
      </c>
      <c r="O952" s="18">
        <v>23.0</v>
      </c>
      <c r="P952" s="20">
        <v>4.4</v>
      </c>
      <c r="Q952" s="16">
        <v>46285.0</v>
      </c>
      <c r="R952" s="16">
        <v>46175.0</v>
      </c>
      <c r="S952" s="13" t="s">
        <v>45</v>
      </c>
      <c r="T952" s="13" t="s">
        <v>47</v>
      </c>
      <c r="U952" s="13" t="str">
        <f t="shared" si="1"/>
        <v>Moderate</v>
      </c>
      <c r="V952" s="13" t="str">
        <f t="shared" si="2"/>
        <v>Below Median</v>
      </c>
      <c r="W952" s="13" t="str">
        <f t="shared" si="3"/>
        <v>0–12 Months</v>
      </c>
    </row>
    <row r="953" hidden="1">
      <c r="A953" s="13" t="s">
        <v>347</v>
      </c>
      <c r="B953" s="13" t="s">
        <v>239</v>
      </c>
      <c r="C953" s="14">
        <v>35.0</v>
      </c>
      <c r="D953" s="13" t="s">
        <v>69</v>
      </c>
      <c r="E953" s="13" t="s">
        <v>187</v>
      </c>
      <c r="F953" s="13" t="s">
        <v>37</v>
      </c>
      <c r="G953" s="13" t="s">
        <v>120</v>
      </c>
      <c r="H953" s="16">
        <v>44729.0</v>
      </c>
      <c r="I953" s="14">
        <v>27.0</v>
      </c>
      <c r="J953" s="13" t="s">
        <v>64</v>
      </c>
      <c r="K953" s="13" t="s">
        <v>81</v>
      </c>
      <c r="L953" s="14">
        <v>1556.0</v>
      </c>
      <c r="M953" s="18" t="s">
        <v>98</v>
      </c>
      <c r="N953" s="20">
        <v>1.0</v>
      </c>
      <c r="O953" s="18">
        <v>18.3</v>
      </c>
      <c r="P953" s="20">
        <v>3.7</v>
      </c>
      <c r="Q953" s="16">
        <v>45271.0</v>
      </c>
      <c r="R953" s="16" t="s">
        <v>1562</v>
      </c>
      <c r="S953" s="13" t="s">
        <v>45</v>
      </c>
      <c r="T953" s="13" t="s">
        <v>47</v>
      </c>
      <c r="U953" s="13" t="str">
        <f t="shared" si="1"/>
        <v>Moderate</v>
      </c>
      <c r="V953" s="13" t="str">
        <f t="shared" si="2"/>
        <v>Below Median</v>
      </c>
      <c r="W953" s="13" t="str">
        <f t="shared" si="3"/>
        <v>25–48 Months</v>
      </c>
    </row>
    <row r="954" hidden="1">
      <c r="A954" s="13" t="s">
        <v>887</v>
      </c>
      <c r="B954" s="13" t="s">
        <v>448</v>
      </c>
      <c r="C954" s="14">
        <v>66.0</v>
      </c>
      <c r="D954" s="13" t="s">
        <v>69</v>
      </c>
      <c r="E954" s="13" t="s">
        <v>177</v>
      </c>
      <c r="F954" s="13" t="s">
        <v>37</v>
      </c>
      <c r="G954" s="13" t="s">
        <v>210</v>
      </c>
      <c r="H954" s="16">
        <v>45326.0</v>
      </c>
      <c r="I954" s="14">
        <v>36.0</v>
      </c>
      <c r="J954" s="13" t="s">
        <v>53</v>
      </c>
      <c r="K954" s="13" t="s">
        <v>81</v>
      </c>
      <c r="L954" s="14">
        <v>1671.0</v>
      </c>
      <c r="M954" s="18" t="s">
        <v>98</v>
      </c>
      <c r="N954" s="20">
        <v>1.0</v>
      </c>
      <c r="O954" s="18">
        <v>28.1</v>
      </c>
      <c r="P954" s="20">
        <v>3.0</v>
      </c>
      <c r="Q954" s="16">
        <v>46140.0</v>
      </c>
      <c r="R954" s="16" t="s">
        <v>1563</v>
      </c>
      <c r="S954" s="13" t="s">
        <v>45</v>
      </c>
      <c r="T954" s="13" t="s">
        <v>104</v>
      </c>
      <c r="U954" s="13" t="str">
        <f t="shared" si="1"/>
        <v>Moderate</v>
      </c>
      <c r="V954" s="13" t="str">
        <f t="shared" si="2"/>
        <v>Median or Above</v>
      </c>
      <c r="W954" s="13" t="str">
        <f t="shared" si="3"/>
        <v>25–48 Months</v>
      </c>
    </row>
    <row r="955" hidden="1">
      <c r="A955" s="13" t="s">
        <v>1390</v>
      </c>
      <c r="B955" s="13" t="s">
        <v>736</v>
      </c>
      <c r="C955" s="14">
        <v>34.0</v>
      </c>
      <c r="D955" s="13" t="s">
        <v>85</v>
      </c>
      <c r="E955" s="13" t="s">
        <v>111</v>
      </c>
      <c r="F955" s="13" t="s">
        <v>37</v>
      </c>
      <c r="G955" s="13" t="s">
        <v>128</v>
      </c>
      <c r="H955" s="16">
        <v>44947.0</v>
      </c>
      <c r="I955" s="14">
        <v>46.0</v>
      </c>
      <c r="J955" s="13" t="s">
        <v>53</v>
      </c>
      <c r="K955" s="13" t="s">
        <v>65</v>
      </c>
      <c r="L955" s="14">
        <v>1109.0</v>
      </c>
      <c r="M955" s="18" t="s">
        <v>164</v>
      </c>
      <c r="N955" s="20">
        <v>0.0</v>
      </c>
      <c r="O955" s="18">
        <v>21.3</v>
      </c>
      <c r="P955" s="20">
        <v>4.8</v>
      </c>
      <c r="Q955" s="16">
        <v>45252.0</v>
      </c>
      <c r="R955" s="16" t="s">
        <v>38</v>
      </c>
      <c r="S955" s="13" t="s">
        <v>55</v>
      </c>
      <c r="T955" s="13" t="s">
        <v>47</v>
      </c>
      <c r="U955" s="13" t="str">
        <f t="shared" si="1"/>
        <v>Moderate</v>
      </c>
      <c r="V955" s="13" t="str">
        <f t="shared" si="2"/>
        <v>Below Median</v>
      </c>
      <c r="W955" s="13" t="str">
        <f t="shared" si="3"/>
        <v>25–48 Months</v>
      </c>
    </row>
    <row r="956" hidden="1">
      <c r="A956" s="13" t="s">
        <v>1066</v>
      </c>
      <c r="B956" s="13" t="s">
        <v>169</v>
      </c>
      <c r="C956" s="14">
        <v>26.0</v>
      </c>
      <c r="D956" s="13" t="s">
        <v>35</v>
      </c>
      <c r="E956" s="13" t="s">
        <v>51</v>
      </c>
      <c r="F956" s="13" t="s">
        <v>62</v>
      </c>
      <c r="G956" s="13" t="s">
        <v>63</v>
      </c>
      <c r="H956" s="16">
        <v>45167.0</v>
      </c>
      <c r="I956" s="14">
        <v>8.0</v>
      </c>
      <c r="J956" s="13" t="s">
        <v>53</v>
      </c>
      <c r="K956" s="13" t="s">
        <v>65</v>
      </c>
      <c r="L956" s="14">
        <v>896.0</v>
      </c>
      <c r="M956" s="18" t="s">
        <v>98</v>
      </c>
      <c r="N956" s="20">
        <v>0.0</v>
      </c>
      <c r="O956" s="18">
        <v>27.5</v>
      </c>
      <c r="P956" s="20">
        <v>5.0</v>
      </c>
      <c r="Q956" s="16">
        <v>45194.0</v>
      </c>
      <c r="R956" s="16" t="s">
        <v>38</v>
      </c>
      <c r="S956" s="13" t="s">
        <v>55</v>
      </c>
      <c r="T956" s="13" t="s">
        <v>75</v>
      </c>
      <c r="U956" s="13" t="str">
        <f t="shared" si="1"/>
        <v>High</v>
      </c>
      <c r="V956" s="13" t="str">
        <f t="shared" si="2"/>
        <v>Median or Above</v>
      </c>
      <c r="W956" s="13" t="str">
        <f t="shared" si="3"/>
        <v>0–12 Months</v>
      </c>
    </row>
    <row r="957" hidden="1">
      <c r="A957" s="13" t="s">
        <v>797</v>
      </c>
      <c r="B957" s="13" t="s">
        <v>345</v>
      </c>
      <c r="C957" s="14">
        <v>21.0</v>
      </c>
      <c r="D957" s="13" t="s">
        <v>60</v>
      </c>
      <c r="E957" s="13" t="s">
        <v>107</v>
      </c>
      <c r="F957" s="13" t="s">
        <v>62</v>
      </c>
      <c r="G957" s="13" t="s">
        <v>39</v>
      </c>
      <c r="H957" s="16">
        <v>45184.0</v>
      </c>
      <c r="I957" s="14">
        <v>28.0</v>
      </c>
      <c r="J957" s="13" t="s">
        <v>53</v>
      </c>
      <c r="K957" s="13" t="s">
        <v>65</v>
      </c>
      <c r="L957" s="14">
        <v>743.0</v>
      </c>
      <c r="M957" s="18" t="s">
        <v>46</v>
      </c>
      <c r="N957" s="20" t="s">
        <v>38</v>
      </c>
      <c r="O957" s="18">
        <v>19.8</v>
      </c>
      <c r="P957" s="20">
        <v>4.2</v>
      </c>
      <c r="Q957" s="16">
        <v>45801.0</v>
      </c>
      <c r="R957" s="16" t="s">
        <v>38</v>
      </c>
      <c r="S957" s="13" t="s">
        <v>55</v>
      </c>
      <c r="T957" s="13" t="s">
        <v>72</v>
      </c>
      <c r="U957" s="13" t="str">
        <f t="shared" si="1"/>
        <v>Moderate</v>
      </c>
      <c r="V957" s="13" t="str">
        <f t="shared" si="2"/>
        <v>Below Median</v>
      </c>
      <c r="W957" s="13" t="str">
        <f t="shared" si="3"/>
        <v>25–48 Months</v>
      </c>
    </row>
    <row r="958" hidden="1">
      <c r="A958" s="13" t="s">
        <v>868</v>
      </c>
      <c r="B958" s="13" t="s">
        <v>364</v>
      </c>
      <c r="C958" s="14">
        <v>43.0</v>
      </c>
      <c r="D958" s="13" t="s">
        <v>60</v>
      </c>
      <c r="E958" s="13" t="s">
        <v>133</v>
      </c>
      <c r="F958" s="13" t="s">
        <v>79</v>
      </c>
      <c r="G958" s="13" t="s">
        <v>120</v>
      </c>
      <c r="H958" s="16">
        <v>45665.0</v>
      </c>
      <c r="I958" s="14">
        <v>7.0</v>
      </c>
      <c r="J958" s="13" t="s">
        <v>40</v>
      </c>
      <c r="K958" s="13" t="s">
        <v>65</v>
      </c>
      <c r="L958" s="14">
        <v>3802.0</v>
      </c>
      <c r="M958" s="18" t="s">
        <v>46</v>
      </c>
      <c r="N958" s="20">
        <v>0.0</v>
      </c>
      <c r="O958" s="18">
        <v>47.3</v>
      </c>
      <c r="P958" s="20">
        <v>4.0</v>
      </c>
      <c r="Q958" s="16">
        <v>45764.0</v>
      </c>
      <c r="R958" s="16" t="s">
        <v>38</v>
      </c>
      <c r="S958" s="13" t="s">
        <v>55</v>
      </c>
      <c r="T958" s="13" t="s">
        <v>104</v>
      </c>
      <c r="U958" s="13" t="str">
        <f t="shared" si="1"/>
        <v>Moderate</v>
      </c>
      <c r="V958" s="13" t="str">
        <f t="shared" si="2"/>
        <v>Median or Above</v>
      </c>
      <c r="W958" s="13" t="str">
        <f t="shared" si="3"/>
        <v>0–12 Months</v>
      </c>
    </row>
    <row r="959" hidden="1">
      <c r="A959" s="13" t="s">
        <v>1126</v>
      </c>
      <c r="B959" s="13" t="s">
        <v>364</v>
      </c>
      <c r="C959" s="14">
        <v>39.0</v>
      </c>
      <c r="D959" s="13" t="s">
        <v>60</v>
      </c>
      <c r="E959" s="13" t="s">
        <v>61</v>
      </c>
      <c r="F959" s="13" t="s">
        <v>62</v>
      </c>
      <c r="G959" s="13" t="s">
        <v>52</v>
      </c>
      <c r="H959" s="16">
        <v>45854.0</v>
      </c>
      <c r="I959" s="14">
        <v>7.0</v>
      </c>
      <c r="J959" s="13" t="s">
        <v>53</v>
      </c>
      <c r="K959" s="13" t="s">
        <v>81</v>
      </c>
      <c r="L959" s="14">
        <v>882.0</v>
      </c>
      <c r="M959" s="18" t="s">
        <v>46</v>
      </c>
      <c r="N959" s="20">
        <v>0.0</v>
      </c>
      <c r="O959" s="18">
        <v>6.5</v>
      </c>
      <c r="P959" s="20">
        <v>4.3</v>
      </c>
      <c r="Q959" s="16">
        <v>46018.0</v>
      </c>
      <c r="R959" s="16" t="s">
        <v>38</v>
      </c>
      <c r="S959" s="13" t="s">
        <v>55</v>
      </c>
      <c r="T959" s="13" t="s">
        <v>75</v>
      </c>
      <c r="U959" s="13" t="str">
        <f t="shared" si="1"/>
        <v>Moderate</v>
      </c>
      <c r="V959" s="13" t="str">
        <f t="shared" si="2"/>
        <v>Below Median</v>
      </c>
      <c r="W959" s="13" t="str">
        <f t="shared" si="3"/>
        <v>0–12 Months</v>
      </c>
    </row>
    <row r="960" hidden="1">
      <c r="A960" s="13" t="s">
        <v>1548</v>
      </c>
      <c r="B960" s="13" t="s">
        <v>241</v>
      </c>
      <c r="C960" s="14">
        <v>63.0</v>
      </c>
      <c r="D960" s="13" t="s">
        <v>85</v>
      </c>
      <c r="E960" s="13" t="s">
        <v>292</v>
      </c>
      <c r="F960" s="13" t="s">
        <v>62</v>
      </c>
      <c r="G960" s="13" t="s">
        <v>39</v>
      </c>
      <c r="H960" s="16">
        <v>45777.0</v>
      </c>
      <c r="I960" s="14">
        <v>44.0</v>
      </c>
      <c r="J960" s="13" t="s">
        <v>64</v>
      </c>
      <c r="K960" s="13" t="s">
        <v>65</v>
      </c>
      <c r="L960" s="14">
        <v>758.0</v>
      </c>
      <c r="M960" s="18" t="s">
        <v>164</v>
      </c>
      <c r="N960" s="20">
        <v>0.0</v>
      </c>
      <c r="O960" s="18">
        <v>21.9</v>
      </c>
      <c r="P960" s="20">
        <v>3.4</v>
      </c>
      <c r="Q960" s="16">
        <v>46815.0</v>
      </c>
      <c r="R960" s="16">
        <v>46148.0</v>
      </c>
      <c r="S960" s="13" t="s">
        <v>45</v>
      </c>
      <c r="T960" s="13" t="s">
        <v>66</v>
      </c>
      <c r="U960" s="13" t="str">
        <f t="shared" si="1"/>
        <v>Moderate</v>
      </c>
      <c r="V960" s="13" t="str">
        <f t="shared" si="2"/>
        <v>Below Median</v>
      </c>
      <c r="W960" s="13" t="str">
        <f t="shared" si="3"/>
        <v>25–48 Months</v>
      </c>
    </row>
    <row r="961" hidden="1">
      <c r="A961" s="13" t="s">
        <v>1567</v>
      </c>
      <c r="B961" s="13" t="s">
        <v>331</v>
      </c>
      <c r="C961" s="14">
        <v>57.0</v>
      </c>
      <c r="D961" s="13" t="s">
        <v>35</v>
      </c>
      <c r="E961" s="13" t="s">
        <v>161</v>
      </c>
      <c r="F961" s="13" t="s">
        <v>37</v>
      </c>
      <c r="G961" s="13" t="s">
        <v>52</v>
      </c>
      <c r="H961" s="16">
        <v>45620.0</v>
      </c>
      <c r="I961" s="14">
        <v>32.0</v>
      </c>
      <c r="J961" s="13" t="s">
        <v>40</v>
      </c>
      <c r="K961" s="13" t="s">
        <v>65</v>
      </c>
      <c r="L961" s="14">
        <v>1299.0</v>
      </c>
      <c r="M961" s="18" t="s">
        <v>98</v>
      </c>
      <c r="N961" s="20">
        <v>2.0</v>
      </c>
      <c r="O961" s="18">
        <v>35.2</v>
      </c>
      <c r="P961" s="20">
        <v>3.7</v>
      </c>
      <c r="Q961" s="16">
        <v>45796.0</v>
      </c>
      <c r="R961" s="16" t="s">
        <v>38</v>
      </c>
      <c r="S961" s="13" t="s">
        <v>55</v>
      </c>
      <c r="T961" s="13" t="s">
        <v>104</v>
      </c>
      <c r="U961" s="13" t="str">
        <f t="shared" si="1"/>
        <v>Moderate</v>
      </c>
      <c r="V961" s="13" t="str">
        <f t="shared" si="2"/>
        <v>Median or Above</v>
      </c>
      <c r="W961" s="13" t="str">
        <f t="shared" si="3"/>
        <v>25–48 Months</v>
      </c>
    </row>
    <row r="962" hidden="1">
      <c r="A962" s="13" t="s">
        <v>1568</v>
      </c>
      <c r="B962" s="13" t="s">
        <v>308</v>
      </c>
      <c r="C962" s="14">
        <v>38.0</v>
      </c>
      <c r="D962" s="13" t="s">
        <v>69</v>
      </c>
      <c r="E962" s="13" t="s">
        <v>70</v>
      </c>
      <c r="F962" s="13" t="s">
        <v>62</v>
      </c>
      <c r="G962" s="13" t="s">
        <v>120</v>
      </c>
      <c r="H962" s="16">
        <v>45072.0</v>
      </c>
      <c r="I962" s="14">
        <v>1.0</v>
      </c>
      <c r="J962" s="13" t="s">
        <v>40</v>
      </c>
      <c r="K962" s="13" t="s">
        <v>41</v>
      </c>
      <c r="L962" s="14">
        <v>880.0</v>
      </c>
      <c r="M962" s="18" t="s">
        <v>164</v>
      </c>
      <c r="N962" s="20">
        <v>0.0</v>
      </c>
      <c r="O962" s="18">
        <v>18.8</v>
      </c>
      <c r="P962" s="20">
        <v>2.8</v>
      </c>
      <c r="Q962" s="16">
        <v>45093.0</v>
      </c>
      <c r="R962" s="16" t="s">
        <v>38</v>
      </c>
      <c r="S962" s="13" t="s">
        <v>55</v>
      </c>
      <c r="T962" s="13" t="s">
        <v>72</v>
      </c>
      <c r="U962" s="13" t="str">
        <f t="shared" si="1"/>
        <v>Low</v>
      </c>
      <c r="V962" s="13" t="str">
        <f t="shared" si="2"/>
        <v>Below Median</v>
      </c>
      <c r="W962" s="13" t="str">
        <f t="shared" si="3"/>
        <v>0–12 Months</v>
      </c>
    </row>
    <row r="963" hidden="1">
      <c r="A963" s="13" t="s">
        <v>1569</v>
      </c>
      <c r="B963" s="13" t="s">
        <v>239</v>
      </c>
      <c r="C963" s="14">
        <v>47.0</v>
      </c>
      <c r="D963" s="13" t="s">
        <v>85</v>
      </c>
      <c r="E963" s="13" t="s">
        <v>111</v>
      </c>
      <c r="F963" s="13" t="s">
        <v>37</v>
      </c>
      <c r="G963" s="13" t="s">
        <v>128</v>
      </c>
      <c r="H963" s="16">
        <v>45997.0</v>
      </c>
      <c r="I963" s="14">
        <v>8.0</v>
      </c>
      <c r="J963" s="13" t="s">
        <v>53</v>
      </c>
      <c r="K963" s="13" t="s">
        <v>65</v>
      </c>
      <c r="L963" s="14">
        <v>1134.0</v>
      </c>
      <c r="M963" s="18" t="s">
        <v>98</v>
      </c>
      <c r="N963" s="20">
        <v>1.0</v>
      </c>
      <c r="O963" s="18">
        <v>31.1</v>
      </c>
      <c r="P963" s="20">
        <v>3.6</v>
      </c>
      <c r="Q963" s="16">
        <v>46257.0</v>
      </c>
      <c r="R963" s="16" t="s">
        <v>38</v>
      </c>
      <c r="S963" s="13" t="s">
        <v>55</v>
      </c>
      <c r="T963" s="13" t="s">
        <v>75</v>
      </c>
      <c r="U963" s="13" t="str">
        <f t="shared" si="1"/>
        <v>Moderate</v>
      </c>
      <c r="V963" s="13" t="str">
        <f t="shared" si="2"/>
        <v>Median or Above</v>
      </c>
      <c r="W963" s="13" t="str">
        <f t="shared" si="3"/>
        <v>0–12 Months</v>
      </c>
    </row>
    <row r="964" hidden="1">
      <c r="A964" s="13" t="s">
        <v>1570</v>
      </c>
      <c r="B964" s="13" t="s">
        <v>184</v>
      </c>
      <c r="C964" s="14">
        <v>49.0</v>
      </c>
      <c r="D964" s="13" t="s">
        <v>60</v>
      </c>
      <c r="E964" s="13" t="s">
        <v>61</v>
      </c>
      <c r="F964" s="13" t="s">
        <v>62</v>
      </c>
      <c r="G964" s="13" t="s">
        <v>63</v>
      </c>
      <c r="H964" s="16">
        <v>45133.0</v>
      </c>
      <c r="I964" s="14">
        <v>28.0</v>
      </c>
      <c r="J964" s="13" t="s">
        <v>40</v>
      </c>
      <c r="K964" s="13" t="s">
        <v>81</v>
      </c>
      <c r="L964" s="14">
        <v>715.0</v>
      </c>
      <c r="M964" s="18" t="s">
        <v>164</v>
      </c>
      <c r="N964" s="20">
        <v>1.0</v>
      </c>
      <c r="O964" s="18">
        <v>31.7</v>
      </c>
      <c r="P964" s="20">
        <v>3.6</v>
      </c>
      <c r="Q964" s="16">
        <v>45232.0</v>
      </c>
      <c r="R964" s="16" t="s">
        <v>38</v>
      </c>
      <c r="S964" s="13" t="s">
        <v>55</v>
      </c>
      <c r="T964" s="13" t="s">
        <v>47</v>
      </c>
      <c r="U964" s="13" t="str">
        <f t="shared" si="1"/>
        <v>Moderate</v>
      </c>
      <c r="V964" s="13" t="str">
        <f t="shared" si="2"/>
        <v>Median or Above</v>
      </c>
      <c r="W964" s="13" t="str">
        <f t="shared" si="3"/>
        <v>25–48 Months</v>
      </c>
    </row>
    <row r="965" hidden="1">
      <c r="A965" s="13" t="s">
        <v>646</v>
      </c>
      <c r="B965" s="13" t="s">
        <v>169</v>
      </c>
      <c r="C965" s="14">
        <v>23.0</v>
      </c>
      <c r="D965" s="13" t="s">
        <v>35</v>
      </c>
      <c r="E965" s="13" t="s">
        <v>36</v>
      </c>
      <c r="F965" s="13" t="s">
        <v>62</v>
      </c>
      <c r="G965" s="13" t="s">
        <v>80</v>
      </c>
      <c r="H965" s="16">
        <v>44944.0</v>
      </c>
      <c r="I965" s="14">
        <v>43.0</v>
      </c>
      <c r="J965" s="13" t="s">
        <v>64</v>
      </c>
      <c r="K965" s="13" t="s">
        <v>41</v>
      </c>
      <c r="L965" s="14">
        <v>836.0</v>
      </c>
      <c r="M965" s="18" t="s">
        <v>164</v>
      </c>
      <c r="N965" s="20">
        <v>1.0</v>
      </c>
      <c r="O965" s="18">
        <v>12.1</v>
      </c>
      <c r="P965" s="20">
        <v>4.5</v>
      </c>
      <c r="Q965" s="16">
        <v>46095.0</v>
      </c>
      <c r="R965" s="16" t="s">
        <v>38</v>
      </c>
      <c r="S965" s="13" t="s">
        <v>55</v>
      </c>
      <c r="T965" s="13" t="s">
        <v>66</v>
      </c>
      <c r="U965" s="13" t="str">
        <f t="shared" si="1"/>
        <v>Moderate</v>
      </c>
      <c r="V965" s="13" t="str">
        <f t="shared" si="2"/>
        <v>Below Median</v>
      </c>
      <c r="W965" s="13" t="str">
        <f t="shared" si="3"/>
        <v>25–48 Months</v>
      </c>
    </row>
    <row r="966" hidden="1">
      <c r="A966" s="13" t="s">
        <v>1571</v>
      </c>
      <c r="B966" s="13" t="s">
        <v>651</v>
      </c>
      <c r="C966" s="14">
        <v>52.0</v>
      </c>
      <c r="D966" s="13" t="s">
        <v>35</v>
      </c>
      <c r="E966" s="13" t="s">
        <v>36</v>
      </c>
      <c r="F966" s="13" t="s">
        <v>62</v>
      </c>
      <c r="G966" s="13" t="s">
        <v>39</v>
      </c>
      <c r="H966" s="16">
        <v>45177.0</v>
      </c>
      <c r="I966" s="14">
        <v>9.0</v>
      </c>
      <c r="J966" s="13" t="s">
        <v>64</v>
      </c>
      <c r="K966" s="13" t="s">
        <v>65</v>
      </c>
      <c r="L966" s="14">
        <v>699.0</v>
      </c>
      <c r="M966" s="18" t="s">
        <v>99</v>
      </c>
      <c r="N966" s="20">
        <v>1.0</v>
      </c>
      <c r="O966" s="18">
        <v>15.3</v>
      </c>
      <c r="P966" s="20">
        <v>3.9</v>
      </c>
      <c r="Q966" s="16">
        <v>45217.0</v>
      </c>
      <c r="R966" s="16" t="s">
        <v>1572</v>
      </c>
      <c r="S966" s="13" t="s">
        <v>45</v>
      </c>
      <c r="T966" s="13" t="s">
        <v>66</v>
      </c>
      <c r="U966" s="13" t="str">
        <f t="shared" si="1"/>
        <v>Moderate</v>
      </c>
      <c r="V966" s="13" t="str">
        <f t="shared" si="2"/>
        <v>Below Median</v>
      </c>
      <c r="W966" s="13" t="str">
        <f t="shared" si="3"/>
        <v>0–12 Months</v>
      </c>
    </row>
    <row r="967" hidden="1">
      <c r="A967" s="13" t="s">
        <v>728</v>
      </c>
      <c r="B967" s="13" t="s">
        <v>163</v>
      </c>
      <c r="C967" s="14">
        <v>25.0</v>
      </c>
      <c r="D967" s="13" t="s">
        <v>35</v>
      </c>
      <c r="E967" s="13" t="s">
        <v>161</v>
      </c>
      <c r="F967" s="13" t="s">
        <v>79</v>
      </c>
      <c r="G967" s="13" t="s">
        <v>39</v>
      </c>
      <c r="H967" s="16">
        <v>45216.0</v>
      </c>
      <c r="I967" s="14">
        <v>16.0</v>
      </c>
      <c r="J967" s="13" t="s">
        <v>40</v>
      </c>
      <c r="K967" s="13" t="s">
        <v>65</v>
      </c>
      <c r="L967" s="14">
        <v>3358.0</v>
      </c>
      <c r="M967" s="18" t="s">
        <v>164</v>
      </c>
      <c r="N967" s="20">
        <v>0.0</v>
      </c>
      <c r="O967" s="18">
        <v>50.8</v>
      </c>
      <c r="P967" s="20">
        <v>4.2</v>
      </c>
      <c r="Q967" s="16">
        <v>45469.0</v>
      </c>
      <c r="R967" s="16" t="s">
        <v>1573</v>
      </c>
      <c r="S967" s="13" t="s">
        <v>45</v>
      </c>
      <c r="T967" s="13" t="s">
        <v>66</v>
      </c>
      <c r="U967" s="13" t="str">
        <f t="shared" si="1"/>
        <v>Moderate</v>
      </c>
      <c r="V967" s="13" t="str">
        <f t="shared" si="2"/>
        <v>Median or Above</v>
      </c>
      <c r="W967" s="13" t="str">
        <f t="shared" si="3"/>
        <v>13–24 Months</v>
      </c>
    </row>
    <row r="968" hidden="1">
      <c r="A968" s="13" t="s">
        <v>1574</v>
      </c>
      <c r="B968" s="13" t="s">
        <v>160</v>
      </c>
      <c r="C968" s="14">
        <v>59.0</v>
      </c>
      <c r="D968" s="13" t="s">
        <v>35</v>
      </c>
      <c r="E968" s="13" t="s">
        <v>51</v>
      </c>
      <c r="F968" s="13" t="s">
        <v>79</v>
      </c>
      <c r="G968" s="13" t="s">
        <v>128</v>
      </c>
      <c r="H968" s="16">
        <v>45606.0</v>
      </c>
      <c r="I968" s="14">
        <v>10.0</v>
      </c>
      <c r="J968" s="13" t="s">
        <v>53</v>
      </c>
      <c r="K968" s="13" t="s">
        <v>81</v>
      </c>
      <c r="L968" s="14">
        <v>1488.0</v>
      </c>
      <c r="M968" s="18" t="s">
        <v>98</v>
      </c>
      <c r="N968" s="20">
        <v>2.0</v>
      </c>
      <c r="O968" s="18">
        <v>27.0</v>
      </c>
      <c r="P968" s="20">
        <v>4.7</v>
      </c>
      <c r="Q968" s="16">
        <v>45653.0</v>
      </c>
      <c r="R968" s="16" t="s">
        <v>1575</v>
      </c>
      <c r="S968" s="13" t="s">
        <v>45</v>
      </c>
      <c r="T968" s="13" t="s">
        <v>72</v>
      </c>
      <c r="U968" s="13" t="str">
        <f t="shared" si="1"/>
        <v>Moderate</v>
      </c>
      <c r="V968" s="13" t="str">
        <f t="shared" si="2"/>
        <v>Median or Above</v>
      </c>
      <c r="W968" s="13" t="str">
        <f t="shared" si="3"/>
        <v>0–12 Months</v>
      </c>
    </row>
    <row r="969" hidden="1">
      <c r="A969" s="13" t="s">
        <v>1576</v>
      </c>
      <c r="B969" s="13" t="s">
        <v>163</v>
      </c>
      <c r="C969" s="14">
        <v>66.0</v>
      </c>
      <c r="D969" s="13" t="s">
        <v>60</v>
      </c>
      <c r="E969" s="13" t="s">
        <v>133</v>
      </c>
      <c r="F969" s="13" t="s">
        <v>62</v>
      </c>
      <c r="G969" s="13" t="s">
        <v>63</v>
      </c>
      <c r="H969" s="16">
        <v>44649.0</v>
      </c>
      <c r="I969" s="14">
        <v>21.0</v>
      </c>
      <c r="J969" s="13" t="s">
        <v>40</v>
      </c>
      <c r="K969" s="13" t="s">
        <v>65</v>
      </c>
      <c r="L969" s="14">
        <v>513.0</v>
      </c>
      <c r="M969" s="18" t="s">
        <v>164</v>
      </c>
      <c r="N969" s="20">
        <v>1.0</v>
      </c>
      <c r="O969" s="18">
        <v>14.9</v>
      </c>
      <c r="P969" s="20">
        <v>3.9</v>
      </c>
      <c r="Q969" s="16">
        <v>45041.0</v>
      </c>
      <c r="R969" s="16">
        <v>44963.0</v>
      </c>
      <c r="S969" s="13" t="s">
        <v>45</v>
      </c>
      <c r="T969" s="13" t="s">
        <v>66</v>
      </c>
      <c r="U969" s="13" t="str">
        <f t="shared" si="1"/>
        <v>Moderate</v>
      </c>
      <c r="V969" s="13" t="str">
        <f t="shared" si="2"/>
        <v>Below Median</v>
      </c>
      <c r="W969" s="13" t="str">
        <f t="shared" si="3"/>
        <v>13–24 Months</v>
      </c>
    </row>
    <row r="970" hidden="1">
      <c r="A970" s="13" t="s">
        <v>1578</v>
      </c>
      <c r="B970" s="13" t="s">
        <v>247</v>
      </c>
      <c r="C970" s="14">
        <v>64.0</v>
      </c>
      <c r="D970" s="13" t="s">
        <v>85</v>
      </c>
      <c r="E970" s="13" t="s">
        <v>111</v>
      </c>
      <c r="F970" s="13" t="s">
        <v>62</v>
      </c>
      <c r="G970" s="13" t="s">
        <v>80</v>
      </c>
      <c r="H970" s="16">
        <v>45151.0</v>
      </c>
      <c r="I970" s="14">
        <v>32.0</v>
      </c>
      <c r="J970" s="13" t="s">
        <v>40</v>
      </c>
      <c r="K970" s="13" t="s">
        <v>81</v>
      </c>
      <c r="L970" s="14">
        <v>720.0</v>
      </c>
      <c r="M970" s="18" t="s">
        <v>164</v>
      </c>
      <c r="N970" s="20">
        <v>1.0</v>
      </c>
      <c r="O970" s="18">
        <v>29.1</v>
      </c>
      <c r="P970" s="20">
        <v>3.3</v>
      </c>
      <c r="Q970" s="16">
        <v>45588.0</v>
      </c>
      <c r="R970" s="16" t="s">
        <v>1579</v>
      </c>
      <c r="S970" s="13" t="s">
        <v>55</v>
      </c>
      <c r="T970" s="13" t="s">
        <v>104</v>
      </c>
      <c r="U970" s="13" t="str">
        <f t="shared" si="1"/>
        <v>Moderate</v>
      </c>
      <c r="V970" s="13" t="str">
        <f t="shared" si="2"/>
        <v>Median or Above</v>
      </c>
      <c r="W970" s="13" t="str">
        <f t="shared" si="3"/>
        <v>25–48 Months</v>
      </c>
    </row>
    <row r="971" hidden="1">
      <c r="A971" s="13" t="s">
        <v>1580</v>
      </c>
      <c r="B971" s="13" t="s">
        <v>645</v>
      </c>
      <c r="C971" s="14">
        <v>43.0</v>
      </c>
      <c r="D971" s="13" t="s">
        <v>60</v>
      </c>
      <c r="E971" s="13" t="s">
        <v>133</v>
      </c>
      <c r="F971" s="13" t="s">
        <v>62</v>
      </c>
      <c r="G971" s="13" t="s">
        <v>52</v>
      </c>
      <c r="H971" s="16">
        <v>45261.0</v>
      </c>
      <c r="I971" s="14">
        <v>20.0</v>
      </c>
      <c r="J971" s="13" t="s">
        <v>64</v>
      </c>
      <c r="K971" s="13" t="s">
        <v>81</v>
      </c>
      <c r="L971" s="14">
        <v>808.0</v>
      </c>
      <c r="M971" s="18" t="s">
        <v>43</v>
      </c>
      <c r="N971" s="20">
        <v>2.0</v>
      </c>
      <c r="O971" s="18">
        <v>27.4</v>
      </c>
      <c r="P971" s="20">
        <v>5.0</v>
      </c>
      <c r="Q971" s="16">
        <v>45586.0</v>
      </c>
      <c r="R971" s="16" t="s">
        <v>1540</v>
      </c>
      <c r="S971" s="13" t="s">
        <v>45</v>
      </c>
      <c r="T971" s="13" t="s">
        <v>66</v>
      </c>
      <c r="U971" s="13" t="str">
        <f t="shared" si="1"/>
        <v>High</v>
      </c>
      <c r="V971" s="13" t="str">
        <f t="shared" si="2"/>
        <v>Median or Above</v>
      </c>
      <c r="W971" s="13" t="str">
        <f t="shared" si="3"/>
        <v>13–24 Months</v>
      </c>
    </row>
    <row r="972" hidden="1">
      <c r="A972" s="13" t="s">
        <v>1581</v>
      </c>
      <c r="B972" s="13" t="s">
        <v>420</v>
      </c>
      <c r="C972" s="14">
        <v>37.0</v>
      </c>
      <c r="D972" s="13" t="s">
        <v>69</v>
      </c>
      <c r="E972" s="13" t="s">
        <v>119</v>
      </c>
      <c r="F972" s="13" t="s">
        <v>62</v>
      </c>
      <c r="G972" s="13" t="s">
        <v>63</v>
      </c>
      <c r="H972" s="16">
        <v>45564.0</v>
      </c>
      <c r="I972" s="14">
        <v>22.0</v>
      </c>
      <c r="J972" s="13" t="s">
        <v>64</v>
      </c>
      <c r="K972" s="13" t="s">
        <v>81</v>
      </c>
      <c r="L972" s="14">
        <v>814.0</v>
      </c>
      <c r="M972" s="18" t="s">
        <v>98</v>
      </c>
      <c r="N972" s="20">
        <v>0.0</v>
      </c>
      <c r="O972" s="18">
        <v>16.8</v>
      </c>
      <c r="P972" s="20">
        <v>4.2</v>
      </c>
      <c r="Q972" s="16">
        <v>45831.0</v>
      </c>
      <c r="R972" s="16" t="s">
        <v>38</v>
      </c>
      <c r="S972" s="13" t="s">
        <v>55</v>
      </c>
      <c r="T972" s="13" t="s">
        <v>47</v>
      </c>
      <c r="U972" s="13" t="str">
        <f t="shared" si="1"/>
        <v>Moderate</v>
      </c>
      <c r="V972" s="13" t="str">
        <f t="shared" si="2"/>
        <v>Below Median</v>
      </c>
      <c r="W972" s="13" t="str">
        <f t="shared" si="3"/>
        <v>13–24 Months</v>
      </c>
    </row>
    <row r="973" hidden="1">
      <c r="A973" s="13" t="s">
        <v>901</v>
      </c>
      <c r="B973" s="13" t="s">
        <v>34</v>
      </c>
      <c r="C973" s="14">
        <v>61.0</v>
      </c>
      <c r="D973" s="13" t="s">
        <v>35</v>
      </c>
      <c r="E973" s="13" t="s">
        <v>97</v>
      </c>
      <c r="F973" s="13" t="s">
        <v>37</v>
      </c>
      <c r="G973" s="13" t="s">
        <v>210</v>
      </c>
      <c r="H973" s="16">
        <v>45189.0</v>
      </c>
      <c r="I973" s="14">
        <v>13.0</v>
      </c>
      <c r="J973" s="13" t="s">
        <v>64</v>
      </c>
      <c r="K973" s="13" t="s">
        <v>41</v>
      </c>
      <c r="L973" s="14">
        <v>1691.0</v>
      </c>
      <c r="M973" s="18" t="s">
        <v>164</v>
      </c>
      <c r="N973" s="20">
        <v>0.0</v>
      </c>
      <c r="O973" s="18">
        <v>23.5</v>
      </c>
      <c r="P973" s="20">
        <v>2.4</v>
      </c>
      <c r="Q973" s="16">
        <v>45341.0</v>
      </c>
      <c r="R973" s="16">
        <v>45354.0</v>
      </c>
      <c r="S973" s="13" t="s">
        <v>45</v>
      </c>
      <c r="T973" s="13" t="s">
        <v>66</v>
      </c>
      <c r="U973" s="13" t="str">
        <f t="shared" si="1"/>
        <v>Low</v>
      </c>
      <c r="V973" s="13" t="str">
        <f t="shared" si="2"/>
        <v>Below Median</v>
      </c>
      <c r="W973" s="13" t="str">
        <f t="shared" si="3"/>
        <v>13–24 Months</v>
      </c>
    </row>
    <row r="974" hidden="1">
      <c r="A974" s="13" t="s">
        <v>1583</v>
      </c>
      <c r="B974" s="13" t="s">
        <v>736</v>
      </c>
      <c r="C974" s="14">
        <v>59.0</v>
      </c>
      <c r="D974" s="13" t="s">
        <v>60</v>
      </c>
      <c r="E974" s="13" t="s">
        <v>97</v>
      </c>
      <c r="F974" s="13" t="s">
        <v>37</v>
      </c>
      <c r="G974" s="13" t="s">
        <v>210</v>
      </c>
      <c r="H974" s="16">
        <v>45673.0</v>
      </c>
      <c r="I974" s="14">
        <v>36.0</v>
      </c>
      <c r="J974" s="13" t="s">
        <v>40</v>
      </c>
      <c r="K974" s="13" t="s">
        <v>41</v>
      </c>
      <c r="L974" s="14">
        <v>1594.0</v>
      </c>
      <c r="M974" s="18" t="s">
        <v>376</v>
      </c>
      <c r="N974" s="20">
        <v>0.0</v>
      </c>
      <c r="O974" s="18">
        <v>18.5</v>
      </c>
      <c r="P974" s="20">
        <v>3.7</v>
      </c>
      <c r="Q974" s="16">
        <v>46038.0</v>
      </c>
      <c r="R974" s="16" t="s">
        <v>38</v>
      </c>
      <c r="S974" s="13" t="s">
        <v>55</v>
      </c>
      <c r="T974" s="13" t="s">
        <v>66</v>
      </c>
      <c r="U974" s="13" t="str">
        <f t="shared" si="1"/>
        <v>Moderate</v>
      </c>
      <c r="V974" s="13" t="str">
        <f t="shared" si="2"/>
        <v>Below Median</v>
      </c>
      <c r="W974" s="13" t="str">
        <f t="shared" si="3"/>
        <v>25–48 Months</v>
      </c>
    </row>
    <row r="975" hidden="1">
      <c r="A975" s="13" t="s">
        <v>1574</v>
      </c>
      <c r="B975" s="13" t="s">
        <v>257</v>
      </c>
      <c r="C975" s="14">
        <v>28.0</v>
      </c>
      <c r="D975" s="13" t="s">
        <v>60</v>
      </c>
      <c r="E975" s="13" t="s">
        <v>97</v>
      </c>
      <c r="F975" s="13" t="s">
        <v>79</v>
      </c>
      <c r="G975" s="13" t="s">
        <v>128</v>
      </c>
      <c r="H975" s="16">
        <v>45579.0</v>
      </c>
      <c r="I975" s="14">
        <v>24.0</v>
      </c>
      <c r="J975" s="13" t="s">
        <v>53</v>
      </c>
      <c r="K975" s="13" t="s">
        <v>81</v>
      </c>
      <c r="L975" s="14">
        <v>2553.0</v>
      </c>
      <c r="M975" s="18" t="s">
        <v>43</v>
      </c>
      <c r="N975" s="20">
        <v>2.0</v>
      </c>
      <c r="O975" s="18">
        <v>43.0</v>
      </c>
      <c r="P975" s="20">
        <v>3.4</v>
      </c>
      <c r="Q975" s="16">
        <v>46170.0</v>
      </c>
      <c r="R975" s="16" t="s">
        <v>38</v>
      </c>
      <c r="S975" s="13" t="s">
        <v>55</v>
      </c>
      <c r="T975" s="13" t="s">
        <v>104</v>
      </c>
      <c r="U975" s="13" t="str">
        <f t="shared" si="1"/>
        <v>Moderate</v>
      </c>
      <c r="V975" s="13" t="str">
        <f t="shared" si="2"/>
        <v>Median or Above</v>
      </c>
      <c r="W975" s="13" t="str">
        <f t="shared" si="3"/>
        <v>13–24 Months</v>
      </c>
    </row>
    <row r="976" hidden="1">
      <c r="A976" s="13" t="s">
        <v>1584</v>
      </c>
      <c r="B976" s="13" t="s">
        <v>232</v>
      </c>
      <c r="C976" s="14">
        <v>51.0</v>
      </c>
      <c r="D976" s="13" t="s">
        <v>35</v>
      </c>
      <c r="E976" s="13" t="s">
        <v>140</v>
      </c>
      <c r="F976" s="13" t="s">
        <v>37</v>
      </c>
      <c r="G976" s="13" t="s">
        <v>120</v>
      </c>
      <c r="H976" s="16">
        <v>44568.0</v>
      </c>
      <c r="I976" s="14">
        <v>5.0</v>
      </c>
      <c r="J976" s="13" t="s">
        <v>64</v>
      </c>
      <c r="K976" s="13" t="s">
        <v>65</v>
      </c>
      <c r="L976" s="14">
        <v>1505.0</v>
      </c>
      <c r="M976" s="18" t="s">
        <v>43</v>
      </c>
      <c r="N976" s="20">
        <v>2.0</v>
      </c>
      <c r="O976" s="18">
        <v>23.3</v>
      </c>
      <c r="P976" s="20">
        <v>3.6</v>
      </c>
      <c r="Q976" s="16">
        <v>44718.0</v>
      </c>
      <c r="R976" s="16" t="s">
        <v>38</v>
      </c>
      <c r="S976" s="13" t="s">
        <v>55</v>
      </c>
      <c r="T976" s="13" t="s">
        <v>47</v>
      </c>
      <c r="U976" s="13" t="str">
        <f t="shared" si="1"/>
        <v>Moderate</v>
      </c>
      <c r="V976" s="13" t="str">
        <f t="shared" si="2"/>
        <v>Below Median</v>
      </c>
      <c r="W976" s="13" t="str">
        <f t="shared" si="3"/>
        <v>0–12 Months</v>
      </c>
    </row>
    <row r="977" hidden="1">
      <c r="A977" s="13" t="s">
        <v>1585</v>
      </c>
      <c r="B977" s="13" t="s">
        <v>288</v>
      </c>
      <c r="C977" s="14">
        <v>42.0</v>
      </c>
      <c r="D977" s="13" t="s">
        <v>35</v>
      </c>
      <c r="E977" s="13" t="s">
        <v>140</v>
      </c>
      <c r="F977" s="13" t="s">
        <v>37</v>
      </c>
      <c r="G977" s="13" t="s">
        <v>120</v>
      </c>
      <c r="H977" s="16">
        <v>45781.0</v>
      </c>
      <c r="I977" s="14">
        <v>7.0</v>
      </c>
      <c r="J977" s="13" t="s">
        <v>40</v>
      </c>
      <c r="K977" s="13" t="s">
        <v>41</v>
      </c>
      <c r="L977" s="14">
        <v>1319.0</v>
      </c>
      <c r="M977" s="18" t="s">
        <v>38</v>
      </c>
      <c r="N977" s="20">
        <v>1.0</v>
      </c>
      <c r="O977" s="18">
        <v>38.2</v>
      </c>
      <c r="P977" s="20" t="s">
        <v>38</v>
      </c>
      <c r="Q977" s="16">
        <v>45826.0</v>
      </c>
      <c r="R977" s="16" t="s">
        <v>38</v>
      </c>
      <c r="S977" s="13" t="s">
        <v>55</v>
      </c>
      <c r="T977" s="13" t="s">
        <v>104</v>
      </c>
      <c r="U977" s="13" t="str">
        <f t="shared" si="1"/>
        <v/>
      </c>
      <c r="V977" s="13" t="str">
        <f t="shared" si="2"/>
        <v>Median or Above</v>
      </c>
      <c r="W977" s="13" t="str">
        <f t="shared" si="3"/>
        <v>0–12 Months</v>
      </c>
    </row>
    <row r="978" hidden="1">
      <c r="A978" s="13" t="s">
        <v>1209</v>
      </c>
      <c r="B978" s="13" t="s">
        <v>342</v>
      </c>
      <c r="C978" s="14">
        <v>58.0</v>
      </c>
      <c r="D978" s="13" t="s">
        <v>35</v>
      </c>
      <c r="E978" s="13" t="s">
        <v>161</v>
      </c>
      <c r="F978" s="13" t="s">
        <v>62</v>
      </c>
      <c r="G978" s="13" t="s">
        <v>63</v>
      </c>
      <c r="H978" s="16">
        <v>45968.0</v>
      </c>
      <c r="I978" s="14">
        <v>28.0</v>
      </c>
      <c r="J978" s="13" t="s">
        <v>64</v>
      </c>
      <c r="K978" s="13" t="s">
        <v>65</v>
      </c>
      <c r="L978" s="14">
        <v>837.0</v>
      </c>
      <c r="M978" s="18" t="s">
        <v>43</v>
      </c>
      <c r="N978" s="20">
        <v>2.0</v>
      </c>
      <c r="O978" s="18">
        <v>19.0</v>
      </c>
      <c r="P978" s="20">
        <v>3.4</v>
      </c>
      <c r="Q978" s="16">
        <v>45988.0</v>
      </c>
      <c r="R978" s="16" t="s">
        <v>38</v>
      </c>
      <c r="S978" s="13" t="s">
        <v>55</v>
      </c>
      <c r="T978" s="13" t="s">
        <v>72</v>
      </c>
      <c r="U978" s="13" t="str">
        <f t="shared" si="1"/>
        <v>Moderate</v>
      </c>
      <c r="V978" s="13" t="str">
        <f t="shared" si="2"/>
        <v>Below Median</v>
      </c>
      <c r="W978" s="13" t="str">
        <f t="shared" si="3"/>
        <v>25–48 Months</v>
      </c>
    </row>
    <row r="979" hidden="1">
      <c r="A979" s="13" t="s">
        <v>1320</v>
      </c>
      <c r="B979" s="13" t="s">
        <v>459</v>
      </c>
      <c r="C979" s="14">
        <v>43.0</v>
      </c>
      <c r="D979" s="13" t="s">
        <v>69</v>
      </c>
      <c r="E979" s="13" t="s">
        <v>187</v>
      </c>
      <c r="F979" s="13" t="s">
        <v>62</v>
      </c>
      <c r="G979" s="13" t="s">
        <v>80</v>
      </c>
      <c r="H979" s="16">
        <v>45730.0</v>
      </c>
      <c r="I979" s="14">
        <v>18.0</v>
      </c>
      <c r="J979" s="13" t="s">
        <v>40</v>
      </c>
      <c r="K979" s="13" t="s">
        <v>81</v>
      </c>
      <c r="L979" s="14">
        <v>680.0</v>
      </c>
      <c r="M979" s="18" t="s">
        <v>98</v>
      </c>
      <c r="N979" s="20">
        <v>0.0</v>
      </c>
      <c r="O979" s="18">
        <v>15.7</v>
      </c>
      <c r="P979" s="20">
        <v>4.3</v>
      </c>
      <c r="Q979" s="16">
        <v>45763.0</v>
      </c>
      <c r="R979" s="16">
        <v>46084.0</v>
      </c>
      <c r="S979" s="13" t="s">
        <v>45</v>
      </c>
      <c r="T979" s="13" t="s">
        <v>66</v>
      </c>
      <c r="U979" s="13" t="str">
        <f t="shared" si="1"/>
        <v>Moderate</v>
      </c>
      <c r="V979" s="13" t="str">
        <f t="shared" si="2"/>
        <v>Below Median</v>
      </c>
      <c r="W979" s="13" t="str">
        <f t="shared" si="3"/>
        <v>13–24 Months</v>
      </c>
    </row>
    <row r="980" hidden="1">
      <c r="A980" s="13" t="s">
        <v>962</v>
      </c>
      <c r="B980" s="13" t="s">
        <v>190</v>
      </c>
      <c r="C980" s="14">
        <v>30.0</v>
      </c>
      <c r="D980" s="13" t="s">
        <v>69</v>
      </c>
      <c r="E980" s="13" t="s">
        <v>70</v>
      </c>
      <c r="F980" s="13" t="s">
        <v>37</v>
      </c>
      <c r="G980" s="13" t="s">
        <v>80</v>
      </c>
      <c r="H980" s="16">
        <v>45114.0</v>
      </c>
      <c r="I980" s="14">
        <v>32.0</v>
      </c>
      <c r="J980" s="13" t="s">
        <v>40</v>
      </c>
      <c r="K980" s="13" t="s">
        <v>65</v>
      </c>
      <c r="L980" s="14">
        <v>1415.0</v>
      </c>
      <c r="M980" s="18" t="s">
        <v>38</v>
      </c>
      <c r="N980" s="20">
        <v>1.0</v>
      </c>
      <c r="O980" s="18">
        <v>24.5</v>
      </c>
      <c r="P980" s="20">
        <v>5.0</v>
      </c>
      <c r="Q980" s="16">
        <v>45371.0</v>
      </c>
      <c r="R980" s="16" t="s">
        <v>38</v>
      </c>
      <c r="S980" s="13" t="s">
        <v>55</v>
      </c>
      <c r="T980" s="13" t="s">
        <v>104</v>
      </c>
      <c r="U980" s="13" t="str">
        <f t="shared" si="1"/>
        <v>High</v>
      </c>
      <c r="V980" s="13" t="str">
        <f t="shared" si="2"/>
        <v>Median or Above</v>
      </c>
      <c r="W980" s="13" t="str">
        <f t="shared" si="3"/>
        <v>25–48 Months</v>
      </c>
    </row>
    <row r="981" hidden="1">
      <c r="A981" s="13" t="s">
        <v>95</v>
      </c>
      <c r="B981" s="13" t="s">
        <v>118</v>
      </c>
      <c r="C981" s="14">
        <v>47.0</v>
      </c>
      <c r="D981" s="13" t="s">
        <v>35</v>
      </c>
      <c r="E981" s="13" t="s">
        <v>177</v>
      </c>
      <c r="F981" s="13" t="s">
        <v>62</v>
      </c>
      <c r="G981" s="13" t="s">
        <v>128</v>
      </c>
      <c r="H981" s="16">
        <v>45790.0</v>
      </c>
      <c r="I981" s="14">
        <v>25.0</v>
      </c>
      <c r="J981" s="13" t="s">
        <v>40</v>
      </c>
      <c r="K981" s="13" t="s">
        <v>81</v>
      </c>
      <c r="L981" s="14">
        <v>617.0</v>
      </c>
      <c r="M981" s="18" t="s">
        <v>43</v>
      </c>
      <c r="N981" s="20">
        <v>2.0</v>
      </c>
      <c r="O981" s="18">
        <v>14.4</v>
      </c>
      <c r="P981" s="20">
        <v>2.6</v>
      </c>
      <c r="Q981" s="16">
        <v>45883.0</v>
      </c>
      <c r="R981" s="16" t="s">
        <v>38</v>
      </c>
      <c r="S981" s="13" t="s">
        <v>45</v>
      </c>
      <c r="T981" s="13" t="s">
        <v>75</v>
      </c>
      <c r="U981" s="13" t="str">
        <f t="shared" si="1"/>
        <v>Low</v>
      </c>
      <c r="V981" s="13" t="str">
        <f t="shared" si="2"/>
        <v>Below Median</v>
      </c>
      <c r="W981" s="13" t="str">
        <f t="shared" si="3"/>
        <v>25–48 Months</v>
      </c>
    </row>
    <row r="982" hidden="1">
      <c r="A982" s="13" t="s">
        <v>385</v>
      </c>
      <c r="B982" s="13" t="s">
        <v>734</v>
      </c>
      <c r="C982" s="14">
        <v>47.0</v>
      </c>
      <c r="D982" s="13" t="s">
        <v>85</v>
      </c>
      <c r="E982" s="13" t="s">
        <v>292</v>
      </c>
      <c r="F982" s="13" t="s">
        <v>37</v>
      </c>
      <c r="G982" s="13" t="s">
        <v>210</v>
      </c>
      <c r="H982" s="16">
        <v>44982.0</v>
      </c>
      <c r="I982" s="14">
        <v>44.0</v>
      </c>
      <c r="J982" s="13" t="s">
        <v>64</v>
      </c>
      <c r="K982" s="13" t="s">
        <v>41</v>
      </c>
      <c r="L982" s="14">
        <v>1349.0</v>
      </c>
      <c r="M982" s="18" t="s">
        <v>98</v>
      </c>
      <c r="N982" s="20">
        <v>2.0</v>
      </c>
      <c r="O982" s="18">
        <v>36.2</v>
      </c>
      <c r="P982" s="20">
        <v>3.5</v>
      </c>
      <c r="Q982" s="16">
        <v>45034.0</v>
      </c>
      <c r="R982" s="16" t="s">
        <v>38</v>
      </c>
      <c r="S982" s="13" t="s">
        <v>55</v>
      </c>
      <c r="T982" s="13" t="s">
        <v>72</v>
      </c>
      <c r="U982" s="13" t="str">
        <f t="shared" si="1"/>
        <v>Moderate</v>
      </c>
      <c r="V982" s="13" t="str">
        <f t="shared" si="2"/>
        <v>Median or Above</v>
      </c>
      <c r="W982" s="13" t="str">
        <f t="shared" si="3"/>
        <v>25–48 Months</v>
      </c>
    </row>
    <row r="983" hidden="1">
      <c r="A983" s="13" t="s">
        <v>1588</v>
      </c>
      <c r="B983" s="13" t="s">
        <v>250</v>
      </c>
      <c r="C983" s="14">
        <v>43.0</v>
      </c>
      <c r="D983" s="13" t="s">
        <v>35</v>
      </c>
      <c r="E983" s="13" t="s">
        <v>140</v>
      </c>
      <c r="F983" s="13" t="s">
        <v>62</v>
      </c>
      <c r="G983" s="13" t="s">
        <v>120</v>
      </c>
      <c r="H983" s="16">
        <v>44986.0</v>
      </c>
      <c r="I983" s="14">
        <v>14.0</v>
      </c>
      <c r="J983" s="13" t="s">
        <v>64</v>
      </c>
      <c r="K983" s="13" t="s">
        <v>65</v>
      </c>
      <c r="L983" s="14">
        <v>706.0</v>
      </c>
      <c r="M983" s="18" t="s">
        <v>43</v>
      </c>
      <c r="N983" s="20">
        <v>3.0</v>
      </c>
      <c r="O983" s="18">
        <v>8.0</v>
      </c>
      <c r="P983" s="20">
        <v>4.2</v>
      </c>
      <c r="Q983" s="16">
        <v>45362.0</v>
      </c>
      <c r="R983" s="16" t="s">
        <v>38</v>
      </c>
      <c r="S983" s="13" t="s">
        <v>55</v>
      </c>
      <c r="T983" s="13" t="s">
        <v>104</v>
      </c>
      <c r="U983" s="13" t="str">
        <f t="shared" si="1"/>
        <v>Moderate</v>
      </c>
      <c r="V983" s="13" t="str">
        <f t="shared" si="2"/>
        <v>Below Median</v>
      </c>
      <c r="W983" s="13" t="str">
        <f t="shared" si="3"/>
        <v>13–24 Months</v>
      </c>
    </row>
    <row r="984" hidden="1">
      <c r="A984" s="13" t="s">
        <v>1589</v>
      </c>
      <c r="B984" s="13" t="s">
        <v>118</v>
      </c>
      <c r="C984" s="14">
        <v>46.0</v>
      </c>
      <c r="D984" s="13" t="s">
        <v>69</v>
      </c>
      <c r="E984" s="13" t="s">
        <v>70</v>
      </c>
      <c r="F984" s="13" t="s">
        <v>37</v>
      </c>
      <c r="G984" s="13" t="s">
        <v>128</v>
      </c>
      <c r="H984" s="16">
        <v>44606.0</v>
      </c>
      <c r="I984" s="14">
        <v>25.0</v>
      </c>
      <c r="J984" s="13" t="s">
        <v>40</v>
      </c>
      <c r="K984" s="13" t="s">
        <v>65</v>
      </c>
      <c r="L984" s="14">
        <v>1389.0</v>
      </c>
      <c r="M984" s="18" t="s">
        <v>43</v>
      </c>
      <c r="N984" s="20">
        <v>1.0</v>
      </c>
      <c r="O984" s="18">
        <v>27.9</v>
      </c>
      <c r="P984" s="20">
        <v>2.8</v>
      </c>
      <c r="Q984" s="16">
        <v>45118.0</v>
      </c>
      <c r="R984" s="16" t="s">
        <v>38</v>
      </c>
      <c r="S984" s="13" t="s">
        <v>55</v>
      </c>
      <c r="T984" s="13" t="s">
        <v>72</v>
      </c>
      <c r="U984" s="13" t="str">
        <f t="shared" si="1"/>
        <v>Low</v>
      </c>
      <c r="V984" s="13" t="str">
        <f t="shared" si="2"/>
        <v>Median or Above</v>
      </c>
      <c r="W984" s="13" t="str">
        <f t="shared" si="3"/>
        <v>25–48 Months</v>
      </c>
    </row>
    <row r="985" hidden="1">
      <c r="A985" s="13" t="s">
        <v>1591</v>
      </c>
      <c r="B985" s="13" t="s">
        <v>395</v>
      </c>
      <c r="C985" s="14">
        <v>21.0</v>
      </c>
      <c r="D985" s="13" t="s">
        <v>69</v>
      </c>
      <c r="E985" s="13" t="s">
        <v>177</v>
      </c>
      <c r="F985" s="13" t="s">
        <v>62</v>
      </c>
      <c r="G985" s="13" t="s">
        <v>210</v>
      </c>
      <c r="H985" s="16">
        <v>45542.0</v>
      </c>
      <c r="I985" s="14">
        <v>11.0</v>
      </c>
      <c r="J985" s="13" t="s">
        <v>53</v>
      </c>
      <c r="K985" s="13" t="s">
        <v>65</v>
      </c>
      <c r="L985" s="14">
        <v>798.0</v>
      </c>
      <c r="M985" s="18" t="s">
        <v>98</v>
      </c>
      <c r="N985" s="20">
        <v>1.0</v>
      </c>
      <c r="O985" s="18">
        <v>10.8</v>
      </c>
      <c r="P985" s="20">
        <v>4.0</v>
      </c>
      <c r="Q985" s="16">
        <v>45858.0</v>
      </c>
      <c r="R985" s="16" t="s">
        <v>38</v>
      </c>
      <c r="S985" s="13" t="s">
        <v>55</v>
      </c>
      <c r="T985" s="13" t="s">
        <v>104</v>
      </c>
      <c r="U985" s="13" t="str">
        <f t="shared" si="1"/>
        <v>Moderate</v>
      </c>
      <c r="V985" s="13" t="str">
        <f t="shared" si="2"/>
        <v>Below Median</v>
      </c>
      <c r="W985" s="13" t="str">
        <f t="shared" si="3"/>
        <v>0–12 Months</v>
      </c>
    </row>
    <row r="986" hidden="1">
      <c r="A986" s="13" t="s">
        <v>909</v>
      </c>
      <c r="B986" s="13" t="s">
        <v>169</v>
      </c>
      <c r="C986" s="14">
        <v>28.0</v>
      </c>
      <c r="D986" s="13" t="s">
        <v>69</v>
      </c>
      <c r="E986" s="13" t="s">
        <v>70</v>
      </c>
      <c r="F986" s="13" t="s">
        <v>37</v>
      </c>
      <c r="G986" s="13" t="s">
        <v>39</v>
      </c>
      <c r="H986" s="16">
        <v>44751.0</v>
      </c>
      <c r="I986" s="14">
        <v>40.0</v>
      </c>
      <c r="J986" s="13" t="s">
        <v>53</v>
      </c>
      <c r="K986" s="13" t="s">
        <v>41</v>
      </c>
      <c r="L986" s="14">
        <v>1255.0</v>
      </c>
      <c r="M986" s="18" t="s">
        <v>46</v>
      </c>
      <c r="N986" s="20">
        <v>2.0</v>
      </c>
      <c r="O986" s="18">
        <v>35.7</v>
      </c>
      <c r="P986" s="20">
        <v>3.1</v>
      </c>
      <c r="Q986" s="16">
        <v>45836.0</v>
      </c>
      <c r="R986" s="16" t="s">
        <v>38</v>
      </c>
      <c r="S986" s="13" t="s">
        <v>55</v>
      </c>
      <c r="T986" s="13" t="s">
        <v>75</v>
      </c>
      <c r="U986" s="13" t="str">
        <f t="shared" si="1"/>
        <v>Moderate</v>
      </c>
      <c r="V986" s="13" t="str">
        <f t="shared" si="2"/>
        <v>Median or Above</v>
      </c>
      <c r="W986" s="13" t="str">
        <f t="shared" si="3"/>
        <v>25–48 Months</v>
      </c>
    </row>
    <row r="987" hidden="1">
      <c r="A987" s="13" t="s">
        <v>985</v>
      </c>
      <c r="B987" s="13" t="s">
        <v>322</v>
      </c>
      <c r="C987" s="14">
        <v>54.0</v>
      </c>
      <c r="D987" s="13" t="s">
        <v>69</v>
      </c>
      <c r="E987" s="13" t="s">
        <v>187</v>
      </c>
      <c r="F987" s="13" t="s">
        <v>62</v>
      </c>
      <c r="G987" s="13" t="s">
        <v>39</v>
      </c>
      <c r="H987" s="16">
        <v>45628.0</v>
      </c>
      <c r="I987" s="14">
        <v>5.0</v>
      </c>
      <c r="J987" s="13" t="s">
        <v>53</v>
      </c>
      <c r="K987" s="13" t="s">
        <v>65</v>
      </c>
      <c r="L987" s="14">
        <v>546.0</v>
      </c>
      <c r="M987" s="18" t="s">
        <v>98</v>
      </c>
      <c r="N987" s="20">
        <v>1.0</v>
      </c>
      <c r="O987" s="18">
        <v>13.3</v>
      </c>
      <c r="P987" s="20">
        <v>3.5</v>
      </c>
      <c r="Q987" s="16">
        <v>45784.0</v>
      </c>
      <c r="R987" s="16" t="s">
        <v>38</v>
      </c>
      <c r="S987" s="13" t="s">
        <v>55</v>
      </c>
      <c r="T987" s="13" t="s">
        <v>47</v>
      </c>
      <c r="U987" s="13" t="str">
        <f t="shared" si="1"/>
        <v>Moderate</v>
      </c>
      <c r="V987" s="13" t="str">
        <f t="shared" si="2"/>
        <v>Below Median</v>
      </c>
      <c r="W987" s="13" t="str">
        <f t="shared" si="3"/>
        <v>0–12 Months</v>
      </c>
    </row>
    <row r="988" hidden="1">
      <c r="A988" s="13" t="s">
        <v>350</v>
      </c>
      <c r="B988" s="13" t="s">
        <v>257</v>
      </c>
      <c r="C988" s="14">
        <v>65.0</v>
      </c>
      <c r="D988" s="13" t="s">
        <v>35</v>
      </c>
      <c r="E988" s="13" t="s">
        <v>51</v>
      </c>
      <c r="F988" s="13" t="s">
        <v>37</v>
      </c>
      <c r="G988" s="13" t="s">
        <v>63</v>
      </c>
      <c r="H988" s="16">
        <v>44699.0</v>
      </c>
      <c r="I988" s="14">
        <v>7.0</v>
      </c>
      <c r="J988" s="13" t="s">
        <v>40</v>
      </c>
      <c r="K988" s="13" t="s">
        <v>41</v>
      </c>
      <c r="L988" s="14">
        <v>1182.0</v>
      </c>
      <c r="M988" s="18" t="s">
        <v>98</v>
      </c>
      <c r="N988" s="20">
        <v>0.0</v>
      </c>
      <c r="O988" s="18">
        <v>15.5</v>
      </c>
      <c r="P988" s="20">
        <v>5.0</v>
      </c>
      <c r="Q988" s="16">
        <v>44740.0</v>
      </c>
      <c r="R988" s="16" t="s">
        <v>38</v>
      </c>
      <c r="S988" s="13" t="s">
        <v>55</v>
      </c>
      <c r="T988" s="13" t="s">
        <v>66</v>
      </c>
      <c r="U988" s="13" t="str">
        <f t="shared" si="1"/>
        <v>High</v>
      </c>
      <c r="V988" s="13" t="str">
        <f t="shared" si="2"/>
        <v>Below Median</v>
      </c>
      <c r="W988" s="13" t="str">
        <f t="shared" si="3"/>
        <v>0–12 Months</v>
      </c>
    </row>
    <row r="989" hidden="1">
      <c r="A989" s="13" t="s">
        <v>1254</v>
      </c>
      <c r="B989" s="13" t="s">
        <v>106</v>
      </c>
      <c r="C989" s="14">
        <v>22.0</v>
      </c>
      <c r="D989" s="13" t="s">
        <v>69</v>
      </c>
      <c r="E989" s="13" t="s">
        <v>70</v>
      </c>
      <c r="F989" s="13" t="s">
        <v>62</v>
      </c>
      <c r="G989" s="13" t="s">
        <v>39</v>
      </c>
      <c r="H989" s="16">
        <v>45119.0</v>
      </c>
      <c r="I989" s="14">
        <v>33.0</v>
      </c>
      <c r="J989" s="13" t="s">
        <v>53</v>
      </c>
      <c r="K989" s="13" t="s">
        <v>41</v>
      </c>
      <c r="L989" s="14">
        <v>755.0</v>
      </c>
      <c r="M989" s="18" t="s">
        <v>98</v>
      </c>
      <c r="N989" s="20">
        <v>0.0</v>
      </c>
      <c r="O989" s="18">
        <v>23.6</v>
      </c>
      <c r="P989" s="20">
        <v>2.9</v>
      </c>
      <c r="Q989" s="16">
        <v>45187.0</v>
      </c>
      <c r="R989" s="16" t="s">
        <v>1592</v>
      </c>
      <c r="S989" s="13" t="s">
        <v>45</v>
      </c>
      <c r="T989" s="13" t="s">
        <v>47</v>
      </c>
      <c r="U989" s="13" t="str">
        <f t="shared" si="1"/>
        <v>Low</v>
      </c>
      <c r="V989" s="13" t="str">
        <f t="shared" si="2"/>
        <v>Below Median</v>
      </c>
      <c r="W989" s="13" t="str">
        <f t="shared" si="3"/>
        <v>25–48 Months</v>
      </c>
    </row>
    <row r="990" hidden="1">
      <c r="A990" s="13" t="s">
        <v>407</v>
      </c>
      <c r="B990" s="13" t="s">
        <v>651</v>
      </c>
      <c r="C990" s="14">
        <v>43.0</v>
      </c>
      <c r="D990" s="13" t="s">
        <v>60</v>
      </c>
      <c r="E990" s="13" t="s">
        <v>107</v>
      </c>
      <c r="F990" s="13" t="s">
        <v>37</v>
      </c>
      <c r="G990" s="13" t="s">
        <v>120</v>
      </c>
      <c r="H990" s="16">
        <v>44920.0</v>
      </c>
      <c r="I990" s="14">
        <v>46.0</v>
      </c>
      <c r="J990" s="13" t="s">
        <v>40</v>
      </c>
      <c r="K990" s="13" t="s">
        <v>41</v>
      </c>
      <c r="L990" s="14">
        <v>1164.0</v>
      </c>
      <c r="M990" s="18" t="s">
        <v>98</v>
      </c>
      <c r="N990" s="20">
        <v>0.0</v>
      </c>
      <c r="O990" s="18">
        <v>10.5</v>
      </c>
      <c r="P990" s="20">
        <v>3.9</v>
      </c>
      <c r="Q990" s="16">
        <v>46171.0</v>
      </c>
      <c r="R990" s="16" t="s">
        <v>38</v>
      </c>
      <c r="S990" s="13" t="s">
        <v>55</v>
      </c>
      <c r="T990" s="13" t="s">
        <v>72</v>
      </c>
      <c r="U990" s="13" t="str">
        <f t="shared" si="1"/>
        <v>Moderate</v>
      </c>
      <c r="V990" s="13" t="str">
        <f t="shared" si="2"/>
        <v>Below Median</v>
      </c>
      <c r="W990" s="13" t="str">
        <f t="shared" si="3"/>
        <v>25–48 Months</v>
      </c>
    </row>
    <row r="991" hidden="1">
      <c r="A991" s="13" t="s">
        <v>462</v>
      </c>
      <c r="B991" s="13" t="s">
        <v>139</v>
      </c>
      <c r="C991" s="14">
        <v>29.0</v>
      </c>
      <c r="D991" s="13" t="s">
        <v>85</v>
      </c>
      <c r="E991" s="13" t="s">
        <v>87</v>
      </c>
      <c r="F991" s="13" t="s">
        <v>37</v>
      </c>
      <c r="G991" s="13" t="s">
        <v>52</v>
      </c>
      <c r="H991" s="16">
        <v>45389.0</v>
      </c>
      <c r="I991" s="14">
        <v>34.0</v>
      </c>
      <c r="J991" s="13" t="s">
        <v>64</v>
      </c>
      <c r="K991" s="13" t="s">
        <v>65</v>
      </c>
      <c r="L991" s="14">
        <v>1531.0</v>
      </c>
      <c r="M991" s="18" t="s">
        <v>164</v>
      </c>
      <c r="N991" s="20">
        <v>1.0</v>
      </c>
      <c r="O991" s="18">
        <v>31.7</v>
      </c>
      <c r="P991" s="20">
        <v>5.0</v>
      </c>
      <c r="Q991" s="16">
        <v>46228.0</v>
      </c>
      <c r="R991" s="16" t="s">
        <v>38</v>
      </c>
      <c r="S991" s="13" t="s">
        <v>55</v>
      </c>
      <c r="T991" s="13" t="s">
        <v>47</v>
      </c>
      <c r="U991" s="13" t="str">
        <f t="shared" si="1"/>
        <v>High</v>
      </c>
      <c r="V991" s="13" t="str">
        <f t="shared" si="2"/>
        <v>Median or Above</v>
      </c>
      <c r="W991" s="13" t="str">
        <f t="shared" si="3"/>
        <v>25–48 Months</v>
      </c>
    </row>
    <row r="992" hidden="1">
      <c r="A992" s="13" t="s">
        <v>1593</v>
      </c>
      <c r="B992" s="13" t="s">
        <v>74</v>
      </c>
      <c r="C992" s="14">
        <v>39.0</v>
      </c>
      <c r="D992" s="13" t="s">
        <v>69</v>
      </c>
      <c r="E992" s="13" t="s">
        <v>70</v>
      </c>
      <c r="F992" s="13" t="s">
        <v>37</v>
      </c>
      <c r="G992" s="13" t="s">
        <v>210</v>
      </c>
      <c r="H992" s="16">
        <v>45173.0</v>
      </c>
      <c r="I992" s="14">
        <v>8.0</v>
      </c>
      <c r="J992" s="13" t="s">
        <v>53</v>
      </c>
      <c r="K992" s="13" t="s">
        <v>41</v>
      </c>
      <c r="L992" s="14">
        <v>1390.0</v>
      </c>
      <c r="M992" s="18" t="s">
        <v>164</v>
      </c>
      <c r="N992" s="20">
        <v>1.0</v>
      </c>
      <c r="O992" s="18">
        <v>15.0</v>
      </c>
      <c r="P992" s="20">
        <v>1.4</v>
      </c>
      <c r="Q992" s="16">
        <v>45259.0</v>
      </c>
      <c r="R992" s="16" t="s">
        <v>38</v>
      </c>
      <c r="S992" s="13" t="s">
        <v>55</v>
      </c>
      <c r="T992" s="13" t="s">
        <v>104</v>
      </c>
      <c r="U992" s="13" t="str">
        <f t="shared" si="1"/>
        <v>Low</v>
      </c>
      <c r="V992" s="13" t="str">
        <f t="shared" si="2"/>
        <v>Below Median</v>
      </c>
      <c r="W992" s="13" t="str">
        <f t="shared" si="3"/>
        <v>0–12 Months</v>
      </c>
    </row>
    <row r="993" hidden="1">
      <c r="A993" s="13" t="s">
        <v>1594</v>
      </c>
      <c r="B993" s="13" t="s">
        <v>241</v>
      </c>
      <c r="C993" s="14">
        <v>50.0</v>
      </c>
      <c r="D993" s="13" t="s">
        <v>85</v>
      </c>
      <c r="E993" s="13" t="s">
        <v>111</v>
      </c>
      <c r="F993" s="13" t="s">
        <v>62</v>
      </c>
      <c r="G993" s="13" t="s">
        <v>80</v>
      </c>
      <c r="H993" s="16">
        <v>44848.0</v>
      </c>
      <c r="I993" s="14">
        <v>42.0</v>
      </c>
      <c r="J993" s="13" t="s">
        <v>53</v>
      </c>
      <c r="K993" s="13" t="s">
        <v>65</v>
      </c>
      <c r="L993" s="14">
        <v>701.0</v>
      </c>
      <c r="M993" s="18" t="s">
        <v>99</v>
      </c>
      <c r="N993" s="20">
        <v>1.0</v>
      </c>
      <c r="O993" s="18">
        <v>22.1</v>
      </c>
      <c r="P993" s="20">
        <v>3.1</v>
      </c>
      <c r="Q993" s="16">
        <v>44891.0</v>
      </c>
      <c r="R993" s="16" t="s">
        <v>304</v>
      </c>
      <c r="S993" s="13" t="s">
        <v>45</v>
      </c>
      <c r="T993" s="13" t="s">
        <v>75</v>
      </c>
      <c r="U993" s="13" t="str">
        <f t="shared" si="1"/>
        <v>Moderate</v>
      </c>
      <c r="V993" s="13" t="str">
        <f t="shared" si="2"/>
        <v>Below Median</v>
      </c>
      <c r="W993" s="13" t="str">
        <f t="shared" si="3"/>
        <v>25–48 Months</v>
      </c>
    </row>
    <row r="994" hidden="1">
      <c r="A994" s="13" t="s">
        <v>1595</v>
      </c>
      <c r="B994" s="13" t="s">
        <v>734</v>
      </c>
      <c r="C994" s="14">
        <v>60.0</v>
      </c>
      <c r="D994" s="13" t="s">
        <v>69</v>
      </c>
      <c r="E994" s="13" t="s">
        <v>119</v>
      </c>
      <c r="F994" s="13" t="s">
        <v>62</v>
      </c>
      <c r="G994" s="13" t="s">
        <v>63</v>
      </c>
      <c r="H994" s="16">
        <v>45064.0</v>
      </c>
      <c r="I994" s="14">
        <v>10.0</v>
      </c>
      <c r="J994" s="13" t="s">
        <v>40</v>
      </c>
      <c r="K994" s="13" t="s">
        <v>41</v>
      </c>
      <c r="L994" s="14">
        <v>550.0</v>
      </c>
      <c r="M994" s="18" t="s">
        <v>43</v>
      </c>
      <c r="N994" s="20">
        <v>0.0</v>
      </c>
      <c r="O994" s="18">
        <v>17.5</v>
      </c>
      <c r="P994" s="20">
        <v>4.8</v>
      </c>
      <c r="Q994" s="16">
        <v>45101.0</v>
      </c>
      <c r="R994" s="16" t="s">
        <v>1596</v>
      </c>
      <c r="S994" s="13" t="s">
        <v>45</v>
      </c>
      <c r="T994" s="13" t="s">
        <v>66</v>
      </c>
      <c r="U994" s="13" t="str">
        <f t="shared" si="1"/>
        <v>Moderate</v>
      </c>
      <c r="V994" s="13" t="str">
        <f t="shared" si="2"/>
        <v>Below Median</v>
      </c>
      <c r="W994" s="13" t="str">
        <f t="shared" si="3"/>
        <v>0–12 Months</v>
      </c>
    </row>
    <row r="995" hidden="1">
      <c r="A995" s="13" t="s">
        <v>893</v>
      </c>
      <c r="B995" s="13" t="s">
        <v>96</v>
      </c>
      <c r="C995" s="14">
        <v>25.0</v>
      </c>
      <c r="D995" s="13" t="s">
        <v>60</v>
      </c>
      <c r="E995" s="13" t="s">
        <v>133</v>
      </c>
      <c r="F995" s="13" t="s">
        <v>62</v>
      </c>
      <c r="G995" s="13" t="s">
        <v>128</v>
      </c>
      <c r="H995" s="16">
        <v>45543.0</v>
      </c>
      <c r="I995" s="14">
        <v>5.0</v>
      </c>
      <c r="J995" s="13" t="s">
        <v>40</v>
      </c>
      <c r="K995" s="13" t="s">
        <v>81</v>
      </c>
      <c r="L995" s="14">
        <v>598.0</v>
      </c>
      <c r="M995" s="18" t="s">
        <v>98</v>
      </c>
      <c r="N995" s="20">
        <v>1.0</v>
      </c>
      <c r="O995" s="18">
        <v>20.3</v>
      </c>
      <c r="P995" s="20">
        <v>4.3</v>
      </c>
      <c r="Q995" s="16">
        <v>45682.0</v>
      </c>
      <c r="R995" s="16" t="s">
        <v>38</v>
      </c>
      <c r="S995" s="13" t="s">
        <v>55</v>
      </c>
      <c r="T995" s="13" t="s">
        <v>66</v>
      </c>
      <c r="U995" s="13" t="str">
        <f t="shared" si="1"/>
        <v>Moderate</v>
      </c>
      <c r="V995" s="13" t="str">
        <f t="shared" si="2"/>
        <v>Below Median</v>
      </c>
      <c r="W995" s="13" t="str">
        <f t="shared" si="3"/>
        <v>0–12 Months</v>
      </c>
    </row>
    <row r="996" hidden="1">
      <c r="A996" s="13" t="s">
        <v>1597</v>
      </c>
      <c r="B996" s="13" t="s">
        <v>257</v>
      </c>
      <c r="C996" s="14">
        <v>58.0</v>
      </c>
      <c r="D996" s="13" t="s">
        <v>35</v>
      </c>
      <c r="E996" s="13" t="s">
        <v>36</v>
      </c>
      <c r="F996" s="13" t="s">
        <v>37</v>
      </c>
      <c r="G996" s="13" t="s">
        <v>52</v>
      </c>
      <c r="H996" s="16">
        <v>45629.0</v>
      </c>
      <c r="I996" s="14">
        <v>24.0</v>
      </c>
      <c r="J996" s="13" t="s">
        <v>53</v>
      </c>
      <c r="K996" s="13" t="s">
        <v>65</v>
      </c>
      <c r="L996" s="14">
        <v>1341.0</v>
      </c>
      <c r="M996" s="18" t="s">
        <v>43</v>
      </c>
      <c r="N996" s="20">
        <v>1.0</v>
      </c>
      <c r="O996" s="18">
        <v>28.4</v>
      </c>
      <c r="P996" s="20">
        <v>3.0</v>
      </c>
      <c r="Q996" s="16">
        <v>46266.0</v>
      </c>
      <c r="R996" s="16" t="s">
        <v>38</v>
      </c>
      <c r="S996" s="13" t="s">
        <v>55</v>
      </c>
      <c r="T996" s="13" t="s">
        <v>72</v>
      </c>
      <c r="U996" s="13" t="str">
        <f t="shared" si="1"/>
        <v>Moderate</v>
      </c>
      <c r="V996" s="13" t="str">
        <f t="shared" si="2"/>
        <v>Median or Above</v>
      </c>
      <c r="W996" s="13" t="str">
        <f t="shared" si="3"/>
        <v>13–24 Months</v>
      </c>
    </row>
    <row r="997" hidden="1">
      <c r="A997" s="13" t="s">
        <v>1598</v>
      </c>
      <c r="B997" s="13" t="s">
        <v>247</v>
      </c>
      <c r="C997" s="14">
        <v>28.0</v>
      </c>
      <c r="D997" s="13" t="s">
        <v>35</v>
      </c>
      <c r="E997" s="13" t="s">
        <v>140</v>
      </c>
      <c r="F997" s="13" t="s">
        <v>37</v>
      </c>
      <c r="G997" s="13" t="s">
        <v>120</v>
      </c>
      <c r="H997" s="16">
        <v>45614.0</v>
      </c>
      <c r="I997" s="14">
        <v>3.0</v>
      </c>
      <c r="J997" s="13" t="s">
        <v>53</v>
      </c>
      <c r="K997" s="13" t="s">
        <v>65</v>
      </c>
      <c r="L997" s="14">
        <v>1745.0</v>
      </c>
      <c r="M997" s="18" t="s">
        <v>43</v>
      </c>
      <c r="N997" s="20">
        <v>1.0</v>
      </c>
      <c r="O997" s="18">
        <v>28.3</v>
      </c>
      <c r="P997" s="20">
        <v>3.9</v>
      </c>
      <c r="Q997" s="16">
        <v>45696.0</v>
      </c>
      <c r="R997" s="16" t="s">
        <v>38</v>
      </c>
      <c r="S997" s="13" t="s">
        <v>55</v>
      </c>
      <c r="T997" s="13" t="s">
        <v>75</v>
      </c>
      <c r="U997" s="13" t="str">
        <f t="shared" si="1"/>
        <v>Moderate</v>
      </c>
      <c r="V997" s="13" t="str">
        <f t="shared" si="2"/>
        <v>Median or Above</v>
      </c>
      <c r="W997" s="13" t="str">
        <f t="shared" si="3"/>
        <v>0–12 Months</v>
      </c>
    </row>
    <row r="998" hidden="1">
      <c r="A998" s="13" t="s">
        <v>1600</v>
      </c>
      <c r="B998" s="13" t="s">
        <v>152</v>
      </c>
      <c r="C998" s="14">
        <v>27.0</v>
      </c>
      <c r="D998" s="13" t="s">
        <v>60</v>
      </c>
      <c r="E998" s="13" t="s">
        <v>97</v>
      </c>
      <c r="F998" s="13" t="s">
        <v>62</v>
      </c>
      <c r="G998" s="13" t="s">
        <v>39</v>
      </c>
      <c r="H998" s="16">
        <v>44752.0</v>
      </c>
      <c r="I998" s="14">
        <v>40.0</v>
      </c>
      <c r="J998" s="13" t="s">
        <v>40</v>
      </c>
      <c r="K998" s="13" t="s">
        <v>65</v>
      </c>
      <c r="L998" s="14">
        <v>700.0</v>
      </c>
      <c r="M998" s="18" t="s">
        <v>46</v>
      </c>
      <c r="N998" s="20">
        <v>2.0</v>
      </c>
      <c r="O998" s="18">
        <v>32.9</v>
      </c>
      <c r="P998" s="20">
        <v>2.8</v>
      </c>
      <c r="Q998" s="16">
        <v>44852.0</v>
      </c>
      <c r="R998" s="16" t="s">
        <v>38</v>
      </c>
      <c r="S998" s="13" t="s">
        <v>55</v>
      </c>
      <c r="T998" s="13" t="s">
        <v>66</v>
      </c>
      <c r="U998" s="13" t="str">
        <f t="shared" si="1"/>
        <v>Low</v>
      </c>
      <c r="V998" s="13" t="str">
        <f t="shared" si="2"/>
        <v>Median or Above</v>
      </c>
      <c r="W998" s="13" t="str">
        <f t="shared" si="3"/>
        <v>25–48 Months</v>
      </c>
    </row>
    <row r="999" hidden="1">
      <c r="A999" s="13" t="s">
        <v>1601</v>
      </c>
      <c r="B999" s="13" t="s">
        <v>169</v>
      </c>
      <c r="C999" s="14">
        <v>23.0</v>
      </c>
      <c r="D999" s="13" t="s">
        <v>85</v>
      </c>
      <c r="E999" s="13" t="s">
        <v>111</v>
      </c>
      <c r="F999" s="13" t="s">
        <v>62</v>
      </c>
      <c r="G999" s="13" t="s">
        <v>80</v>
      </c>
      <c r="H999" s="16">
        <v>45084.0</v>
      </c>
      <c r="I999" s="14">
        <v>14.0</v>
      </c>
      <c r="J999" s="13" t="s">
        <v>40</v>
      </c>
      <c r="K999" s="13" t="s">
        <v>65</v>
      </c>
      <c r="L999" s="14">
        <v>532.0</v>
      </c>
      <c r="M999" s="18" t="s">
        <v>98</v>
      </c>
      <c r="N999" s="20">
        <v>2.0</v>
      </c>
      <c r="O999" s="18">
        <v>20.5</v>
      </c>
      <c r="P999" s="20">
        <v>4.3</v>
      </c>
      <c r="Q999" s="16">
        <v>45113.0</v>
      </c>
      <c r="R999" s="16" t="s">
        <v>38</v>
      </c>
      <c r="S999" s="13" t="s">
        <v>55</v>
      </c>
      <c r="T999" s="13" t="s">
        <v>47</v>
      </c>
      <c r="U999" s="13" t="str">
        <f t="shared" si="1"/>
        <v>Moderate</v>
      </c>
      <c r="V999" s="13" t="str">
        <f t="shared" si="2"/>
        <v>Below Median</v>
      </c>
      <c r="W999" s="13" t="str">
        <f t="shared" si="3"/>
        <v>13–24 Months</v>
      </c>
    </row>
    <row r="1000" hidden="1">
      <c r="A1000" s="13" t="s">
        <v>1481</v>
      </c>
      <c r="B1000" s="13" t="s">
        <v>167</v>
      </c>
      <c r="C1000" s="14">
        <v>59.0</v>
      </c>
      <c r="D1000" s="13" t="s">
        <v>85</v>
      </c>
      <c r="E1000" s="13" t="s">
        <v>292</v>
      </c>
      <c r="F1000" s="13" t="s">
        <v>62</v>
      </c>
      <c r="G1000" s="13" t="s">
        <v>120</v>
      </c>
      <c r="H1000" s="16">
        <v>45263.0</v>
      </c>
      <c r="I1000" s="14">
        <v>40.0</v>
      </c>
      <c r="J1000" s="13" t="s">
        <v>64</v>
      </c>
      <c r="K1000" s="13" t="s">
        <v>41</v>
      </c>
      <c r="L1000" s="14">
        <v>689.0</v>
      </c>
      <c r="M1000" s="18" t="s">
        <v>43</v>
      </c>
      <c r="N1000" s="20">
        <v>1.0</v>
      </c>
      <c r="O1000" s="18">
        <v>8.2</v>
      </c>
      <c r="P1000" s="20" t="s">
        <v>38</v>
      </c>
      <c r="Q1000" s="16">
        <v>45801.0</v>
      </c>
      <c r="R1000" s="16" t="s">
        <v>1602</v>
      </c>
      <c r="S1000" s="13" t="s">
        <v>45</v>
      </c>
      <c r="T1000" s="13" t="s">
        <v>66</v>
      </c>
      <c r="U1000" s="13" t="str">
        <f t="shared" si="1"/>
        <v/>
      </c>
      <c r="V1000" s="13" t="str">
        <f t="shared" si="2"/>
        <v>Below Median</v>
      </c>
      <c r="W1000" s="13" t="str">
        <f t="shared" si="3"/>
        <v>25–48 Months</v>
      </c>
    </row>
    <row r="1001" hidden="1">
      <c r="A1001" s="13" t="s">
        <v>1603</v>
      </c>
      <c r="B1001" s="13" t="s">
        <v>308</v>
      </c>
      <c r="C1001" s="14">
        <v>56.0</v>
      </c>
      <c r="D1001" s="13" t="s">
        <v>60</v>
      </c>
      <c r="E1001" s="13" t="s">
        <v>97</v>
      </c>
      <c r="F1001" s="13" t="s">
        <v>62</v>
      </c>
      <c r="G1001" s="13" t="s">
        <v>63</v>
      </c>
      <c r="H1001" s="16">
        <v>45450.0</v>
      </c>
      <c r="I1001" s="14">
        <v>31.0</v>
      </c>
      <c r="J1001" s="13" t="s">
        <v>53</v>
      </c>
      <c r="K1001" s="13" t="s">
        <v>65</v>
      </c>
      <c r="L1001" s="14">
        <v>759.0</v>
      </c>
      <c r="M1001" s="18" t="s">
        <v>164</v>
      </c>
      <c r="N1001" s="20">
        <v>0.0</v>
      </c>
      <c r="O1001" s="18">
        <v>5.0</v>
      </c>
      <c r="P1001" s="20">
        <v>3.4</v>
      </c>
      <c r="Q1001" s="16">
        <v>46201.0</v>
      </c>
      <c r="R1001" s="16" t="s">
        <v>38</v>
      </c>
      <c r="S1001" s="13" t="s">
        <v>55</v>
      </c>
      <c r="T1001" s="13" t="s">
        <v>104</v>
      </c>
      <c r="U1001" s="13" t="str">
        <f t="shared" si="1"/>
        <v>Moderate</v>
      </c>
      <c r="V1001" s="13" t="str">
        <f t="shared" si="2"/>
        <v>Below Median</v>
      </c>
      <c r="W1001" s="13" t="str">
        <f t="shared" si="3"/>
        <v>25–48 Months</v>
      </c>
    </row>
    <row r="1002" hidden="1">
      <c r="A1002" s="13" t="s">
        <v>1604</v>
      </c>
      <c r="B1002" s="13" t="s">
        <v>393</v>
      </c>
      <c r="C1002" s="14">
        <v>55.0</v>
      </c>
      <c r="D1002" s="13" t="s">
        <v>69</v>
      </c>
      <c r="E1002" s="13" t="s">
        <v>187</v>
      </c>
      <c r="F1002" s="13" t="s">
        <v>79</v>
      </c>
      <c r="G1002" s="13" t="s">
        <v>39</v>
      </c>
      <c r="H1002" s="16">
        <v>45512.0</v>
      </c>
      <c r="I1002" s="14">
        <v>10.0</v>
      </c>
      <c r="J1002" s="13" t="s">
        <v>40</v>
      </c>
      <c r="K1002" s="13" t="s">
        <v>65</v>
      </c>
      <c r="L1002" s="14">
        <v>3034.0</v>
      </c>
      <c r="M1002" s="18" t="s">
        <v>43</v>
      </c>
      <c r="N1002" s="20">
        <v>1.0</v>
      </c>
      <c r="O1002" s="18">
        <v>39.9</v>
      </c>
      <c r="P1002" s="20">
        <v>3.3</v>
      </c>
      <c r="Q1002" s="16">
        <v>45707.0</v>
      </c>
      <c r="R1002" s="16">
        <v>45812.0</v>
      </c>
      <c r="S1002" s="13" t="s">
        <v>45</v>
      </c>
      <c r="T1002" s="13" t="s">
        <v>104</v>
      </c>
      <c r="U1002" s="13" t="str">
        <f t="shared" si="1"/>
        <v>Moderate</v>
      </c>
      <c r="V1002" s="13" t="str">
        <f t="shared" si="2"/>
        <v>Median or Above</v>
      </c>
      <c r="W1002" s="13" t="str">
        <f t="shared" si="3"/>
        <v>0–12 Months</v>
      </c>
    </row>
    <row r="1003" hidden="1">
      <c r="A1003" s="13" t="s">
        <v>1606</v>
      </c>
      <c r="B1003" s="13" t="s">
        <v>118</v>
      </c>
      <c r="C1003" s="14">
        <v>20.0</v>
      </c>
      <c r="D1003" s="13" t="s">
        <v>69</v>
      </c>
      <c r="E1003" s="13" t="s">
        <v>119</v>
      </c>
      <c r="F1003" s="13" t="s">
        <v>79</v>
      </c>
      <c r="G1003" s="13" t="s">
        <v>52</v>
      </c>
      <c r="H1003" s="16">
        <v>44697.0</v>
      </c>
      <c r="I1003" s="14">
        <v>21.0</v>
      </c>
      <c r="J1003" s="13" t="s">
        <v>53</v>
      </c>
      <c r="K1003" s="13" t="s">
        <v>65</v>
      </c>
      <c r="L1003" s="14">
        <v>2830.0</v>
      </c>
      <c r="M1003" s="18" t="s">
        <v>164</v>
      </c>
      <c r="N1003" s="20">
        <v>1.0</v>
      </c>
      <c r="O1003" s="18">
        <v>31.7</v>
      </c>
      <c r="P1003" s="20">
        <v>3.5</v>
      </c>
      <c r="Q1003" s="16">
        <v>45149.0</v>
      </c>
      <c r="R1003" s="16" t="s">
        <v>1607</v>
      </c>
      <c r="S1003" s="13" t="s">
        <v>45</v>
      </c>
      <c r="T1003" s="13" t="s">
        <v>104</v>
      </c>
      <c r="U1003" s="13" t="str">
        <f t="shared" si="1"/>
        <v>Moderate</v>
      </c>
      <c r="V1003" s="13" t="str">
        <f t="shared" si="2"/>
        <v>Median or Above</v>
      </c>
      <c r="W1003" s="13" t="str">
        <f t="shared" si="3"/>
        <v>13–24 Months</v>
      </c>
    </row>
    <row r="1004" hidden="1">
      <c r="A1004" s="13" t="s">
        <v>1608</v>
      </c>
      <c r="B1004" s="13" t="s">
        <v>605</v>
      </c>
      <c r="C1004" s="14">
        <v>40.0</v>
      </c>
      <c r="D1004" s="13" t="s">
        <v>69</v>
      </c>
      <c r="E1004" s="13" t="s">
        <v>119</v>
      </c>
      <c r="F1004" s="13" t="s">
        <v>79</v>
      </c>
      <c r="G1004" s="13" t="s">
        <v>120</v>
      </c>
      <c r="H1004" s="16">
        <v>45373.0</v>
      </c>
      <c r="I1004" s="14">
        <v>38.0</v>
      </c>
      <c r="J1004" s="13" t="s">
        <v>40</v>
      </c>
      <c r="K1004" s="13" t="s">
        <v>81</v>
      </c>
      <c r="L1004" s="14">
        <v>2585.0</v>
      </c>
      <c r="M1004" s="18" t="s">
        <v>98</v>
      </c>
      <c r="N1004" s="20">
        <v>0.0</v>
      </c>
      <c r="O1004" s="18">
        <v>36.7</v>
      </c>
      <c r="P1004" s="20">
        <v>3.9</v>
      </c>
      <c r="Q1004" s="16">
        <v>45881.0</v>
      </c>
      <c r="R1004" s="16" t="s">
        <v>38</v>
      </c>
      <c r="S1004" s="13" t="s">
        <v>55</v>
      </c>
      <c r="T1004" s="13" t="s">
        <v>72</v>
      </c>
      <c r="U1004" s="13" t="str">
        <f t="shared" si="1"/>
        <v>Moderate</v>
      </c>
      <c r="V1004" s="13" t="str">
        <f t="shared" si="2"/>
        <v>Median or Above</v>
      </c>
      <c r="W1004" s="13" t="str">
        <f t="shared" si="3"/>
        <v>25–48 Months</v>
      </c>
    </row>
    <row r="1005" hidden="1">
      <c r="A1005" s="13" t="s">
        <v>1609</v>
      </c>
      <c r="B1005" s="13" t="s">
        <v>132</v>
      </c>
      <c r="C1005" s="14">
        <v>49.0</v>
      </c>
      <c r="D1005" s="13" t="s">
        <v>85</v>
      </c>
      <c r="E1005" s="13" t="s">
        <v>292</v>
      </c>
      <c r="F1005" s="13" t="s">
        <v>62</v>
      </c>
      <c r="G1005" s="13" t="s">
        <v>63</v>
      </c>
      <c r="H1005" s="16">
        <v>44579.0</v>
      </c>
      <c r="I1005" s="14">
        <v>10.0</v>
      </c>
      <c r="J1005" s="13" t="s">
        <v>40</v>
      </c>
      <c r="K1005" s="13" t="s">
        <v>41</v>
      </c>
      <c r="L1005" s="14">
        <v>751.0</v>
      </c>
      <c r="M1005" s="18" t="s">
        <v>46</v>
      </c>
      <c r="N1005" s="20">
        <v>1.0</v>
      </c>
      <c r="O1005" s="18">
        <v>12.9</v>
      </c>
      <c r="P1005" s="20">
        <v>3.9</v>
      </c>
      <c r="Q1005" s="16">
        <v>44666.0</v>
      </c>
      <c r="R1005" s="16" t="s">
        <v>38</v>
      </c>
      <c r="S1005" s="13" t="s">
        <v>55</v>
      </c>
      <c r="T1005" s="13" t="s">
        <v>47</v>
      </c>
      <c r="U1005" s="13" t="str">
        <f t="shared" si="1"/>
        <v>Moderate</v>
      </c>
      <c r="V1005" s="13" t="str">
        <f t="shared" si="2"/>
        <v>Below Median</v>
      </c>
      <c r="W1005" s="13" t="str">
        <f t="shared" si="3"/>
        <v>0–12 Months</v>
      </c>
    </row>
    <row r="1006" hidden="1">
      <c r="A1006" s="13" t="s">
        <v>1610</v>
      </c>
      <c r="B1006" s="13" t="s">
        <v>132</v>
      </c>
      <c r="C1006" s="14">
        <v>31.0</v>
      </c>
      <c r="D1006" s="13" t="s">
        <v>60</v>
      </c>
      <c r="E1006" s="13" t="s">
        <v>107</v>
      </c>
      <c r="F1006" s="13" t="s">
        <v>37</v>
      </c>
      <c r="G1006" s="13" t="s">
        <v>63</v>
      </c>
      <c r="H1006" s="16">
        <v>44644.0</v>
      </c>
      <c r="I1006" s="14">
        <v>11.0</v>
      </c>
      <c r="J1006" s="13" t="s">
        <v>40</v>
      </c>
      <c r="K1006" s="13" t="s">
        <v>65</v>
      </c>
      <c r="L1006" s="14">
        <v>1101.0</v>
      </c>
      <c r="M1006" s="18" t="s">
        <v>43</v>
      </c>
      <c r="N1006" s="20">
        <v>1.0</v>
      </c>
      <c r="O1006" s="18">
        <v>31.9</v>
      </c>
      <c r="P1006" s="20">
        <v>5.0</v>
      </c>
      <c r="Q1006" s="16">
        <v>44952.0</v>
      </c>
      <c r="R1006" s="16">
        <v>44657.0</v>
      </c>
      <c r="S1006" s="13" t="s">
        <v>45</v>
      </c>
      <c r="T1006" s="13" t="s">
        <v>75</v>
      </c>
      <c r="U1006" s="13" t="str">
        <f t="shared" si="1"/>
        <v>High</v>
      </c>
      <c r="V1006" s="13" t="str">
        <f t="shared" si="2"/>
        <v>Median or Above</v>
      </c>
      <c r="W1006" s="13" t="str">
        <f t="shared" si="3"/>
        <v>0–12 Months</v>
      </c>
    </row>
    <row r="1007" hidden="1">
      <c r="A1007" s="13" t="s">
        <v>1612</v>
      </c>
      <c r="B1007" s="13" t="s">
        <v>288</v>
      </c>
      <c r="C1007" s="14">
        <v>50.0</v>
      </c>
      <c r="D1007" s="13" t="s">
        <v>60</v>
      </c>
      <c r="E1007" s="13" t="s">
        <v>107</v>
      </c>
      <c r="F1007" s="13" t="s">
        <v>37</v>
      </c>
      <c r="G1007" s="13" t="s">
        <v>80</v>
      </c>
      <c r="H1007" s="16">
        <v>44708.0</v>
      </c>
      <c r="I1007" s="14">
        <v>40.0</v>
      </c>
      <c r="J1007" s="13" t="s">
        <v>64</v>
      </c>
      <c r="K1007" s="13" t="s">
        <v>41</v>
      </c>
      <c r="L1007" s="14">
        <v>1472.0</v>
      </c>
      <c r="M1007" s="18" t="s">
        <v>99</v>
      </c>
      <c r="N1007" s="20">
        <v>0.0</v>
      </c>
      <c r="O1007" s="18">
        <v>33.4</v>
      </c>
      <c r="P1007" s="20">
        <v>2.3</v>
      </c>
      <c r="Q1007" s="16">
        <v>45250.0</v>
      </c>
      <c r="R1007" s="16" t="s">
        <v>38</v>
      </c>
      <c r="S1007" s="13" t="s">
        <v>55</v>
      </c>
      <c r="T1007" s="13" t="s">
        <v>72</v>
      </c>
      <c r="U1007" s="13" t="str">
        <f t="shared" si="1"/>
        <v>Low</v>
      </c>
      <c r="V1007" s="13" t="str">
        <f t="shared" si="2"/>
        <v>Median or Above</v>
      </c>
      <c r="W1007" s="13" t="str">
        <f t="shared" si="3"/>
        <v>25–48 Months</v>
      </c>
    </row>
    <row r="1008" hidden="1">
      <c r="A1008" s="13" t="s">
        <v>1123</v>
      </c>
      <c r="B1008" s="13" t="s">
        <v>393</v>
      </c>
      <c r="C1008" s="14">
        <v>34.0</v>
      </c>
      <c r="D1008" s="13" t="s">
        <v>85</v>
      </c>
      <c r="E1008" s="13" t="s">
        <v>92</v>
      </c>
      <c r="F1008" s="13" t="s">
        <v>37</v>
      </c>
      <c r="G1008" s="13" t="s">
        <v>52</v>
      </c>
      <c r="H1008" s="16">
        <v>45530.0</v>
      </c>
      <c r="I1008" s="14">
        <v>29.0</v>
      </c>
      <c r="J1008" s="13" t="s">
        <v>53</v>
      </c>
      <c r="K1008" s="13" t="s">
        <v>81</v>
      </c>
      <c r="L1008" s="14">
        <v>1312.0</v>
      </c>
      <c r="M1008" s="18" t="s">
        <v>43</v>
      </c>
      <c r="N1008" s="20">
        <v>1.0</v>
      </c>
      <c r="O1008" s="18">
        <v>9.9</v>
      </c>
      <c r="P1008" s="20">
        <v>3.4</v>
      </c>
      <c r="Q1008" s="16">
        <v>46209.0</v>
      </c>
      <c r="R1008" s="16" t="s">
        <v>38</v>
      </c>
      <c r="S1008" s="13" t="s">
        <v>55</v>
      </c>
      <c r="T1008" s="13" t="s">
        <v>72</v>
      </c>
      <c r="U1008" s="13" t="str">
        <f t="shared" si="1"/>
        <v>Moderate</v>
      </c>
      <c r="V1008" s="13" t="str">
        <f t="shared" si="2"/>
        <v>Below Median</v>
      </c>
      <c r="W1008" s="13" t="str">
        <f t="shared" si="3"/>
        <v>25–48 Months</v>
      </c>
    </row>
    <row r="1009" hidden="1">
      <c r="A1009" s="13" t="s">
        <v>1313</v>
      </c>
      <c r="B1009" s="13" t="s">
        <v>106</v>
      </c>
      <c r="C1009" s="14">
        <v>65.0</v>
      </c>
      <c r="D1009" s="13" t="s">
        <v>69</v>
      </c>
      <c r="E1009" s="13" t="s">
        <v>119</v>
      </c>
      <c r="F1009" s="13" t="s">
        <v>62</v>
      </c>
      <c r="G1009" s="13" t="s">
        <v>39</v>
      </c>
      <c r="H1009" s="16">
        <v>44637.0</v>
      </c>
      <c r="I1009" s="14">
        <v>6.0</v>
      </c>
      <c r="J1009" s="13" t="s">
        <v>40</v>
      </c>
      <c r="K1009" s="13" t="s">
        <v>65</v>
      </c>
      <c r="L1009" s="14">
        <v>559.0</v>
      </c>
      <c r="M1009" s="18" t="s">
        <v>43</v>
      </c>
      <c r="N1009" s="20">
        <v>2.0</v>
      </c>
      <c r="O1009" s="18">
        <v>27.5</v>
      </c>
      <c r="P1009" s="20">
        <v>5.0</v>
      </c>
      <c r="Q1009" s="16">
        <v>44761.0</v>
      </c>
      <c r="R1009" s="16" t="s">
        <v>38</v>
      </c>
      <c r="S1009" s="13" t="s">
        <v>55</v>
      </c>
      <c r="T1009" s="13" t="s">
        <v>72</v>
      </c>
      <c r="U1009" s="13" t="str">
        <f t="shared" si="1"/>
        <v>High</v>
      </c>
      <c r="V1009" s="13" t="str">
        <f t="shared" si="2"/>
        <v>Median or Above</v>
      </c>
      <c r="W1009" s="13" t="str">
        <f t="shared" si="3"/>
        <v>0–12 Months</v>
      </c>
    </row>
    <row r="1010">
      <c r="A1010" s="13" t="s">
        <v>1365</v>
      </c>
      <c r="B1010" s="13" t="s">
        <v>250</v>
      </c>
      <c r="C1010" s="14">
        <v>49.0</v>
      </c>
      <c r="D1010" s="13" t="s">
        <v>60</v>
      </c>
      <c r="E1010" s="13" t="s">
        <v>97</v>
      </c>
      <c r="F1010" s="13" t="s">
        <v>37</v>
      </c>
      <c r="G1010" s="13" t="s">
        <v>120</v>
      </c>
      <c r="H1010" s="16">
        <v>45401.0</v>
      </c>
      <c r="I1010" s="14">
        <v>8.0</v>
      </c>
      <c r="J1010" s="13" t="s">
        <v>64</v>
      </c>
      <c r="K1010" s="13" t="s">
        <v>41</v>
      </c>
      <c r="L1010" s="14">
        <v>1686.0</v>
      </c>
      <c r="M1010" s="18" t="s">
        <v>46</v>
      </c>
      <c r="N1010" s="20">
        <v>2.0</v>
      </c>
      <c r="O1010" s="18">
        <v>44.7</v>
      </c>
      <c r="P1010" s="20">
        <v>3.7</v>
      </c>
      <c r="Q1010" s="16">
        <v>45597.0</v>
      </c>
      <c r="R1010" s="16" t="s">
        <v>1613</v>
      </c>
      <c r="S1010" s="13" t="s">
        <v>230</v>
      </c>
      <c r="T1010" s="13" t="s">
        <v>72</v>
      </c>
      <c r="U1010" s="13" t="str">
        <f t="shared" si="1"/>
        <v>Moderate</v>
      </c>
      <c r="V1010" s="13" t="str">
        <f t="shared" si="2"/>
        <v>Median or Above</v>
      </c>
      <c r="W1010" s="13" t="str">
        <f t="shared" si="3"/>
        <v>0–12 Months</v>
      </c>
    </row>
    <row r="1011" hidden="1">
      <c r="A1011" s="13" t="s">
        <v>1614</v>
      </c>
      <c r="B1011" s="13" t="s">
        <v>229</v>
      </c>
      <c r="C1011" s="14">
        <v>27.0</v>
      </c>
      <c r="D1011" s="13" t="s">
        <v>85</v>
      </c>
      <c r="E1011" s="13" t="s">
        <v>111</v>
      </c>
      <c r="F1011" s="13" t="s">
        <v>62</v>
      </c>
      <c r="G1011" s="13" t="s">
        <v>63</v>
      </c>
      <c r="H1011" s="16">
        <v>44626.0</v>
      </c>
      <c r="I1011" s="14">
        <v>17.0</v>
      </c>
      <c r="J1011" s="13" t="s">
        <v>53</v>
      </c>
      <c r="K1011" s="13" t="s">
        <v>81</v>
      </c>
      <c r="L1011" s="14">
        <v>753.0</v>
      </c>
      <c r="M1011" s="18" t="s">
        <v>164</v>
      </c>
      <c r="N1011" s="20">
        <v>3.0</v>
      </c>
      <c r="O1011" s="18">
        <v>16.5</v>
      </c>
      <c r="P1011" s="20">
        <v>2.7</v>
      </c>
      <c r="Q1011" s="16">
        <v>45043.0</v>
      </c>
      <c r="R1011" s="16" t="s">
        <v>38</v>
      </c>
      <c r="S1011" s="13" t="s">
        <v>55</v>
      </c>
      <c r="T1011" s="13" t="s">
        <v>75</v>
      </c>
      <c r="U1011" s="13" t="str">
        <f t="shared" si="1"/>
        <v>Low</v>
      </c>
      <c r="V1011" s="13" t="str">
        <f t="shared" si="2"/>
        <v>Below Median</v>
      </c>
      <c r="W1011" s="13" t="str">
        <f t="shared" si="3"/>
        <v>13–24 Months</v>
      </c>
    </row>
    <row r="1012" hidden="1">
      <c r="A1012" s="13" t="s">
        <v>1615</v>
      </c>
      <c r="B1012" s="13" t="s">
        <v>160</v>
      </c>
      <c r="C1012" s="14">
        <v>51.0</v>
      </c>
      <c r="D1012" s="13" t="s">
        <v>60</v>
      </c>
      <c r="E1012" s="13" t="s">
        <v>97</v>
      </c>
      <c r="F1012" s="13" t="s">
        <v>62</v>
      </c>
      <c r="G1012" s="13" t="s">
        <v>128</v>
      </c>
      <c r="H1012" s="16">
        <v>44898.0</v>
      </c>
      <c r="I1012" s="14">
        <v>17.0</v>
      </c>
      <c r="J1012" s="13" t="s">
        <v>64</v>
      </c>
      <c r="K1012" s="13" t="s">
        <v>65</v>
      </c>
      <c r="L1012" s="14">
        <v>748.0</v>
      </c>
      <c r="M1012" s="18" t="s">
        <v>43</v>
      </c>
      <c r="N1012" s="20">
        <v>0.0</v>
      </c>
      <c r="O1012" s="18">
        <v>4.8</v>
      </c>
      <c r="P1012" s="20">
        <v>2.8</v>
      </c>
      <c r="Q1012" s="16">
        <v>44951.0</v>
      </c>
      <c r="R1012" s="16" t="s">
        <v>38</v>
      </c>
      <c r="S1012" s="13" t="s">
        <v>55</v>
      </c>
      <c r="T1012" s="13" t="s">
        <v>72</v>
      </c>
      <c r="U1012" s="13" t="str">
        <f t="shared" si="1"/>
        <v>Low</v>
      </c>
      <c r="V1012" s="13" t="str">
        <f t="shared" si="2"/>
        <v>Below Median</v>
      </c>
      <c r="W1012" s="13" t="str">
        <f t="shared" si="3"/>
        <v>13–24 Months</v>
      </c>
    </row>
    <row r="1013" hidden="1">
      <c r="A1013" s="13" t="s">
        <v>1617</v>
      </c>
      <c r="B1013" s="13" t="s">
        <v>639</v>
      </c>
      <c r="C1013" s="14">
        <v>68.0</v>
      </c>
      <c r="D1013" s="13" t="s">
        <v>69</v>
      </c>
      <c r="E1013" s="13" t="s">
        <v>119</v>
      </c>
      <c r="F1013" s="13" t="s">
        <v>62</v>
      </c>
      <c r="G1013" s="13" t="s">
        <v>63</v>
      </c>
      <c r="H1013" s="16">
        <v>45855.0</v>
      </c>
      <c r="I1013" s="14">
        <v>24.0</v>
      </c>
      <c r="J1013" s="13" t="s">
        <v>64</v>
      </c>
      <c r="K1013" s="13" t="s">
        <v>41</v>
      </c>
      <c r="L1013" s="14">
        <v>813.0</v>
      </c>
      <c r="M1013" s="18" t="s">
        <v>164</v>
      </c>
      <c r="N1013" s="20">
        <v>0.0</v>
      </c>
      <c r="O1013" s="18">
        <v>14.8</v>
      </c>
      <c r="P1013" s="20">
        <v>4.1</v>
      </c>
      <c r="Q1013" s="16">
        <v>45867.0</v>
      </c>
      <c r="R1013" s="16" t="s">
        <v>38</v>
      </c>
      <c r="S1013" s="13" t="s">
        <v>55</v>
      </c>
      <c r="T1013" s="13" t="s">
        <v>47</v>
      </c>
      <c r="U1013" s="13" t="str">
        <f t="shared" si="1"/>
        <v>Moderate</v>
      </c>
      <c r="V1013" s="13" t="str">
        <f t="shared" si="2"/>
        <v>Below Median</v>
      </c>
      <c r="W1013" s="13" t="str">
        <f t="shared" si="3"/>
        <v>13–24 Months</v>
      </c>
    </row>
    <row r="1014" hidden="1">
      <c r="A1014" s="13" t="s">
        <v>1292</v>
      </c>
      <c r="B1014" s="13" t="s">
        <v>232</v>
      </c>
      <c r="C1014" s="14">
        <v>12.0</v>
      </c>
      <c r="D1014" s="13" t="s">
        <v>60</v>
      </c>
      <c r="E1014" s="13" t="s">
        <v>107</v>
      </c>
      <c r="F1014" s="13" t="s">
        <v>37</v>
      </c>
      <c r="G1014" s="13" t="s">
        <v>80</v>
      </c>
      <c r="H1014" s="16">
        <v>45771.0</v>
      </c>
      <c r="I1014" s="14">
        <v>40.0</v>
      </c>
      <c r="J1014" s="13" t="s">
        <v>53</v>
      </c>
      <c r="K1014" s="13" t="s">
        <v>41</v>
      </c>
      <c r="L1014" s="14">
        <v>1444.0</v>
      </c>
      <c r="M1014" s="18" t="s">
        <v>43</v>
      </c>
      <c r="N1014" s="20">
        <v>3.0</v>
      </c>
      <c r="O1014" s="18">
        <v>33.2</v>
      </c>
      <c r="P1014" s="20">
        <v>3.8</v>
      </c>
      <c r="Q1014" s="16">
        <v>45861.0</v>
      </c>
      <c r="R1014" s="16">
        <v>46703.0</v>
      </c>
      <c r="S1014" s="13" t="s">
        <v>45</v>
      </c>
      <c r="T1014" s="13" t="s">
        <v>72</v>
      </c>
      <c r="U1014" s="13" t="str">
        <f t="shared" si="1"/>
        <v>Moderate</v>
      </c>
      <c r="V1014" s="13" t="str">
        <f t="shared" si="2"/>
        <v>Median or Above</v>
      </c>
      <c r="W1014" s="13" t="str">
        <f t="shared" si="3"/>
        <v>25–48 Months</v>
      </c>
    </row>
    <row r="1015" hidden="1">
      <c r="A1015" s="13" t="s">
        <v>1120</v>
      </c>
      <c r="B1015" s="13" t="s">
        <v>172</v>
      </c>
      <c r="C1015" s="14">
        <v>39.0</v>
      </c>
      <c r="D1015" s="13" t="s">
        <v>35</v>
      </c>
      <c r="E1015" s="13" t="s">
        <v>140</v>
      </c>
      <c r="F1015" s="13" t="s">
        <v>37</v>
      </c>
      <c r="G1015" s="13" t="s">
        <v>128</v>
      </c>
      <c r="H1015" s="16">
        <v>44690.0</v>
      </c>
      <c r="I1015" s="14">
        <v>31.0</v>
      </c>
      <c r="J1015" s="13" t="s">
        <v>64</v>
      </c>
      <c r="K1015" s="13" t="s">
        <v>41</v>
      </c>
      <c r="L1015" s="14">
        <v>1473.0</v>
      </c>
      <c r="M1015" s="18" t="s">
        <v>43</v>
      </c>
      <c r="N1015" s="20">
        <v>1.0</v>
      </c>
      <c r="O1015" s="18">
        <v>30.0</v>
      </c>
      <c r="P1015" s="20">
        <v>2.9</v>
      </c>
      <c r="Q1015" s="16">
        <v>45605.0</v>
      </c>
      <c r="R1015" s="16" t="s">
        <v>304</v>
      </c>
      <c r="S1015" s="13" t="s">
        <v>45</v>
      </c>
      <c r="T1015" s="13" t="s">
        <v>75</v>
      </c>
      <c r="U1015" s="13" t="str">
        <f t="shared" si="1"/>
        <v>Low</v>
      </c>
      <c r="V1015" s="13" t="str">
        <f t="shared" si="2"/>
        <v>Median or Above</v>
      </c>
      <c r="W1015" s="13" t="str">
        <f t="shared" si="3"/>
        <v>25–48 Months</v>
      </c>
    </row>
    <row r="1016" hidden="1">
      <c r="A1016" s="13" t="s">
        <v>109</v>
      </c>
      <c r="B1016" s="13" t="s">
        <v>316</v>
      </c>
      <c r="C1016" s="14">
        <v>34.0</v>
      </c>
      <c r="D1016" s="13" t="s">
        <v>60</v>
      </c>
      <c r="E1016" s="13" t="s">
        <v>61</v>
      </c>
      <c r="F1016" s="13" t="s">
        <v>37</v>
      </c>
      <c r="G1016" s="13" t="s">
        <v>52</v>
      </c>
      <c r="H1016" s="16">
        <v>45748.0</v>
      </c>
      <c r="I1016" s="14">
        <v>17.0</v>
      </c>
      <c r="J1016" s="13" t="s">
        <v>53</v>
      </c>
      <c r="K1016" s="13" t="s">
        <v>41</v>
      </c>
      <c r="L1016" s="14">
        <v>1542.0</v>
      </c>
      <c r="M1016" s="18" t="s">
        <v>164</v>
      </c>
      <c r="N1016" s="20">
        <v>1.0</v>
      </c>
      <c r="O1016" s="18">
        <v>28.8</v>
      </c>
      <c r="P1016" s="20">
        <v>1.6</v>
      </c>
      <c r="Q1016" s="16">
        <v>45799.0</v>
      </c>
      <c r="R1016" s="16" t="s">
        <v>38</v>
      </c>
      <c r="S1016" s="13" t="s">
        <v>55</v>
      </c>
      <c r="T1016" s="13" t="s">
        <v>75</v>
      </c>
      <c r="U1016" s="13" t="str">
        <f t="shared" si="1"/>
        <v>Low</v>
      </c>
      <c r="V1016" s="13" t="str">
        <f t="shared" si="2"/>
        <v>Median or Above</v>
      </c>
      <c r="W1016" s="13" t="str">
        <f t="shared" si="3"/>
        <v>13–24 Months</v>
      </c>
    </row>
    <row r="1017" hidden="1">
      <c r="A1017" s="13" t="s">
        <v>1619</v>
      </c>
      <c r="B1017" s="13" t="s">
        <v>239</v>
      </c>
      <c r="C1017" s="14">
        <v>50.0</v>
      </c>
      <c r="D1017" s="13" t="s">
        <v>69</v>
      </c>
      <c r="E1017" s="13" t="s">
        <v>161</v>
      </c>
      <c r="F1017" s="13" t="s">
        <v>37</v>
      </c>
      <c r="G1017" s="13" t="s">
        <v>80</v>
      </c>
      <c r="H1017" s="16">
        <v>45356.0</v>
      </c>
      <c r="I1017" s="14">
        <v>2.0</v>
      </c>
      <c r="J1017" s="13" t="s">
        <v>64</v>
      </c>
      <c r="K1017" s="13" t="s">
        <v>41</v>
      </c>
      <c r="L1017" s="14">
        <v>1784.0</v>
      </c>
      <c r="M1017" s="18" t="s">
        <v>46</v>
      </c>
      <c r="N1017" s="20">
        <v>0.0</v>
      </c>
      <c r="O1017" s="18">
        <v>17.4</v>
      </c>
      <c r="P1017" s="20">
        <v>4.4</v>
      </c>
      <c r="Q1017" s="16">
        <v>45464.0</v>
      </c>
      <c r="R1017" s="16" t="s">
        <v>38</v>
      </c>
      <c r="S1017" s="13" t="s">
        <v>55</v>
      </c>
      <c r="T1017" s="13" t="s">
        <v>66</v>
      </c>
      <c r="U1017" s="13" t="str">
        <f t="shared" si="1"/>
        <v>Moderate</v>
      </c>
      <c r="V1017" s="13" t="str">
        <f t="shared" si="2"/>
        <v>Below Median</v>
      </c>
      <c r="W1017" s="13" t="str">
        <f t="shared" si="3"/>
        <v>0–12 Months</v>
      </c>
    </row>
    <row r="1018" hidden="1">
      <c r="A1018" s="13" t="s">
        <v>1620</v>
      </c>
      <c r="B1018" s="13" t="s">
        <v>135</v>
      </c>
      <c r="C1018" s="14">
        <v>40.0</v>
      </c>
      <c r="D1018" s="13" t="s">
        <v>60</v>
      </c>
      <c r="E1018" s="13" t="s">
        <v>61</v>
      </c>
      <c r="F1018" s="13" t="s">
        <v>79</v>
      </c>
      <c r="G1018" s="13" t="s">
        <v>120</v>
      </c>
      <c r="H1018" s="16">
        <v>45710.0</v>
      </c>
      <c r="I1018" s="14">
        <v>47.0</v>
      </c>
      <c r="J1018" s="13" t="s">
        <v>64</v>
      </c>
      <c r="K1018" s="13" t="s">
        <v>41</v>
      </c>
      <c r="L1018" s="14">
        <v>2409.0</v>
      </c>
      <c r="M1018" s="18" t="s">
        <v>99</v>
      </c>
      <c r="N1018" s="20">
        <v>1.0</v>
      </c>
      <c r="O1018" s="18">
        <v>38.0</v>
      </c>
      <c r="P1018" s="20">
        <v>2.3</v>
      </c>
      <c r="Q1018" s="16">
        <v>45749.0</v>
      </c>
      <c r="R1018" s="16" t="s">
        <v>38</v>
      </c>
      <c r="S1018" s="13" t="s">
        <v>55</v>
      </c>
      <c r="T1018" s="13" t="s">
        <v>75</v>
      </c>
      <c r="U1018" s="13" t="str">
        <f t="shared" si="1"/>
        <v>Low</v>
      </c>
      <c r="V1018" s="13" t="str">
        <f t="shared" si="2"/>
        <v>Median or Above</v>
      </c>
      <c r="W1018" s="13" t="str">
        <f t="shared" si="3"/>
        <v>25–48 Months</v>
      </c>
    </row>
    <row r="1019" hidden="1">
      <c r="A1019" s="13" t="s">
        <v>1570</v>
      </c>
      <c r="B1019" s="13" t="s">
        <v>801</v>
      </c>
      <c r="C1019" s="14">
        <v>65.0</v>
      </c>
      <c r="D1019" s="13" t="s">
        <v>35</v>
      </c>
      <c r="E1019" s="13" t="s">
        <v>51</v>
      </c>
      <c r="F1019" s="13" t="s">
        <v>79</v>
      </c>
      <c r="G1019" s="13" t="s">
        <v>52</v>
      </c>
      <c r="H1019" s="16">
        <v>45090.0</v>
      </c>
      <c r="I1019" s="14">
        <v>11.0</v>
      </c>
      <c r="J1019" s="13" t="s">
        <v>40</v>
      </c>
      <c r="K1019" s="13" t="s">
        <v>65</v>
      </c>
      <c r="L1019" s="14">
        <v>2850.0</v>
      </c>
      <c r="M1019" s="18" t="s">
        <v>43</v>
      </c>
      <c r="N1019" s="20">
        <v>1.0</v>
      </c>
      <c r="O1019" s="18">
        <v>39.1</v>
      </c>
      <c r="P1019" s="20">
        <v>3.1</v>
      </c>
      <c r="Q1019" s="16">
        <v>45182.0</v>
      </c>
      <c r="R1019" s="16" t="s">
        <v>38</v>
      </c>
      <c r="S1019" s="13" t="s">
        <v>55</v>
      </c>
      <c r="T1019" s="13" t="s">
        <v>104</v>
      </c>
      <c r="U1019" s="13" t="str">
        <f t="shared" si="1"/>
        <v>Moderate</v>
      </c>
      <c r="V1019" s="13" t="str">
        <f t="shared" si="2"/>
        <v>Median or Above</v>
      </c>
      <c r="W1019" s="13" t="str">
        <f t="shared" si="3"/>
        <v>0–12 Months</v>
      </c>
    </row>
    <row r="1020" hidden="1">
      <c r="A1020" s="13" t="s">
        <v>1621</v>
      </c>
      <c r="B1020" s="13" t="s">
        <v>215</v>
      </c>
      <c r="C1020" s="14">
        <v>68.0</v>
      </c>
      <c r="D1020" s="13" t="s">
        <v>60</v>
      </c>
      <c r="E1020" s="13" t="s">
        <v>107</v>
      </c>
      <c r="F1020" s="13" t="s">
        <v>79</v>
      </c>
      <c r="G1020" s="13" t="s">
        <v>52</v>
      </c>
      <c r="H1020" s="16">
        <v>45685.0</v>
      </c>
      <c r="I1020" s="14">
        <v>41.0</v>
      </c>
      <c r="J1020" s="13" t="s">
        <v>53</v>
      </c>
      <c r="K1020" s="13" t="s">
        <v>41</v>
      </c>
      <c r="L1020" s="14">
        <v>3746.0</v>
      </c>
      <c r="M1020" s="18" t="s">
        <v>164</v>
      </c>
      <c r="N1020" s="20">
        <v>1.0</v>
      </c>
      <c r="O1020" s="18">
        <v>42.2</v>
      </c>
      <c r="P1020" s="20">
        <v>4.5</v>
      </c>
      <c r="Q1020" s="16">
        <v>45701.0</v>
      </c>
      <c r="R1020" s="16" t="s">
        <v>38</v>
      </c>
      <c r="S1020" s="13" t="s">
        <v>55</v>
      </c>
      <c r="T1020" s="13" t="s">
        <v>104</v>
      </c>
      <c r="U1020" s="13" t="str">
        <f t="shared" si="1"/>
        <v>Moderate</v>
      </c>
      <c r="V1020" s="13" t="str">
        <f t="shared" si="2"/>
        <v>Median or Above</v>
      </c>
      <c r="W1020" s="13" t="str">
        <f t="shared" si="3"/>
        <v>25–48 Months</v>
      </c>
    </row>
    <row r="1021" hidden="1">
      <c r="A1021" s="13" t="s">
        <v>1621</v>
      </c>
      <c r="B1021" s="13" t="s">
        <v>342</v>
      </c>
      <c r="C1021" s="14">
        <v>24.0</v>
      </c>
      <c r="D1021" s="13" t="s">
        <v>85</v>
      </c>
      <c r="E1021" s="13" t="s">
        <v>92</v>
      </c>
      <c r="F1021" s="13" t="s">
        <v>62</v>
      </c>
      <c r="G1021" s="13" t="s">
        <v>128</v>
      </c>
      <c r="H1021" s="16">
        <v>45656.0</v>
      </c>
      <c r="I1021" s="14">
        <v>30.0</v>
      </c>
      <c r="J1021" s="13" t="s">
        <v>53</v>
      </c>
      <c r="K1021" s="13" t="s">
        <v>41</v>
      </c>
      <c r="L1021" s="14">
        <v>745.0</v>
      </c>
      <c r="M1021" s="18" t="s">
        <v>99</v>
      </c>
      <c r="N1021" s="20">
        <v>1.0</v>
      </c>
      <c r="O1021" s="18">
        <v>18.3</v>
      </c>
      <c r="P1021" s="20">
        <v>2.5</v>
      </c>
      <c r="Q1021" s="16">
        <v>45950.0</v>
      </c>
      <c r="R1021" s="16" t="s">
        <v>38</v>
      </c>
      <c r="S1021" s="13" t="s">
        <v>55</v>
      </c>
      <c r="T1021" s="13" t="s">
        <v>75</v>
      </c>
      <c r="U1021" s="13" t="str">
        <f t="shared" si="1"/>
        <v>Low</v>
      </c>
      <c r="V1021" s="13" t="str">
        <f t="shared" si="2"/>
        <v>Below Median</v>
      </c>
      <c r="W1021" s="13" t="str">
        <f t="shared" si="3"/>
        <v>25–48 Months</v>
      </c>
    </row>
    <row r="1022" hidden="1">
      <c r="A1022" s="13" t="s">
        <v>1622</v>
      </c>
      <c r="B1022" s="13" t="s">
        <v>316</v>
      </c>
      <c r="C1022" s="14">
        <v>67.0</v>
      </c>
      <c r="D1022" s="13" t="s">
        <v>60</v>
      </c>
      <c r="E1022" s="13" t="s">
        <v>61</v>
      </c>
      <c r="F1022" s="13" t="s">
        <v>79</v>
      </c>
      <c r="G1022" s="13" t="s">
        <v>80</v>
      </c>
      <c r="H1022" s="16">
        <v>44738.0</v>
      </c>
      <c r="I1022" s="14">
        <v>5.0</v>
      </c>
      <c r="J1022" s="13" t="s">
        <v>64</v>
      </c>
      <c r="K1022" s="13" t="s">
        <v>65</v>
      </c>
      <c r="L1022" s="14">
        <v>3068.0</v>
      </c>
      <c r="M1022" s="18" t="s">
        <v>98</v>
      </c>
      <c r="N1022" s="20">
        <v>1.0</v>
      </c>
      <c r="O1022" s="18">
        <v>37.1</v>
      </c>
      <c r="P1022" s="20">
        <v>3.4</v>
      </c>
      <c r="Q1022" s="16">
        <v>44884.0</v>
      </c>
      <c r="R1022" s="16" t="s">
        <v>38</v>
      </c>
      <c r="S1022" s="13" t="s">
        <v>55</v>
      </c>
      <c r="T1022" s="13" t="s">
        <v>104</v>
      </c>
      <c r="U1022" s="13" t="str">
        <f t="shared" si="1"/>
        <v>Moderate</v>
      </c>
      <c r="V1022" s="13" t="str">
        <f t="shared" si="2"/>
        <v>Median or Above</v>
      </c>
      <c r="W1022" s="13" t="str">
        <f t="shared" si="3"/>
        <v>0–12 Months</v>
      </c>
    </row>
    <row r="1023">
      <c r="A1023" s="13" t="s">
        <v>1623</v>
      </c>
      <c r="B1023" s="13" t="s">
        <v>340</v>
      </c>
      <c r="C1023" s="14">
        <v>66.0</v>
      </c>
      <c r="D1023" s="13" t="s">
        <v>85</v>
      </c>
      <c r="E1023" s="13" t="s">
        <v>87</v>
      </c>
      <c r="F1023" s="13" t="s">
        <v>62</v>
      </c>
      <c r="G1023" s="13" t="s">
        <v>80</v>
      </c>
      <c r="H1023" s="16">
        <v>45386.0</v>
      </c>
      <c r="I1023" s="14">
        <v>14.0</v>
      </c>
      <c r="J1023" s="13" t="s">
        <v>40</v>
      </c>
      <c r="K1023" s="13" t="s">
        <v>81</v>
      </c>
      <c r="L1023" s="14">
        <v>816.0</v>
      </c>
      <c r="M1023" s="18" t="s">
        <v>99</v>
      </c>
      <c r="N1023" s="20">
        <v>0.0</v>
      </c>
      <c r="O1023" s="18">
        <v>20.3</v>
      </c>
      <c r="P1023" s="20">
        <v>2.6</v>
      </c>
      <c r="Q1023" s="16">
        <v>45792.0</v>
      </c>
      <c r="R1023" s="16" t="s">
        <v>38</v>
      </c>
      <c r="S1023" s="13" t="s">
        <v>529</v>
      </c>
      <c r="T1023" s="13" t="s">
        <v>75</v>
      </c>
      <c r="U1023" s="13" t="str">
        <f t="shared" si="1"/>
        <v>Low</v>
      </c>
      <c r="V1023" s="13" t="str">
        <f t="shared" si="2"/>
        <v>Below Median</v>
      </c>
      <c r="W1023" s="13" t="str">
        <f t="shared" si="3"/>
        <v>13–24 Months</v>
      </c>
    </row>
    <row r="1024" hidden="1">
      <c r="A1024" s="13" t="s">
        <v>1624</v>
      </c>
      <c r="B1024" s="13" t="s">
        <v>295</v>
      </c>
      <c r="C1024" s="14">
        <v>60.0</v>
      </c>
      <c r="D1024" s="13" t="s">
        <v>85</v>
      </c>
      <c r="E1024" s="13" t="s">
        <v>87</v>
      </c>
      <c r="F1024" s="13" t="s">
        <v>62</v>
      </c>
      <c r="G1024" s="13" t="s">
        <v>210</v>
      </c>
      <c r="H1024" s="16">
        <v>44969.0</v>
      </c>
      <c r="I1024" s="14">
        <v>3.0</v>
      </c>
      <c r="J1024" s="13" t="s">
        <v>53</v>
      </c>
      <c r="K1024" s="13" t="s">
        <v>65</v>
      </c>
      <c r="L1024" s="14">
        <v>595.0</v>
      </c>
      <c r="M1024" s="18" t="s">
        <v>164</v>
      </c>
      <c r="N1024" s="20">
        <v>0.0</v>
      </c>
      <c r="O1024" s="18">
        <v>18.8</v>
      </c>
      <c r="P1024" s="20">
        <v>2.8</v>
      </c>
      <c r="Q1024" s="16">
        <v>45024.0</v>
      </c>
      <c r="R1024" s="16" t="s">
        <v>38</v>
      </c>
      <c r="S1024" s="13" t="s">
        <v>55</v>
      </c>
      <c r="T1024" s="13" t="s">
        <v>104</v>
      </c>
      <c r="U1024" s="13" t="str">
        <f t="shared" si="1"/>
        <v>Low</v>
      </c>
      <c r="V1024" s="13" t="str">
        <f t="shared" si="2"/>
        <v>Below Median</v>
      </c>
      <c r="W1024" s="13" t="str">
        <f t="shared" si="3"/>
        <v>0–12 Months</v>
      </c>
    </row>
    <row r="1025" hidden="1">
      <c r="A1025" s="13" t="s">
        <v>1625</v>
      </c>
      <c r="B1025" s="13" t="s">
        <v>257</v>
      </c>
      <c r="C1025" s="14">
        <v>26.0</v>
      </c>
      <c r="D1025" s="13" t="s">
        <v>85</v>
      </c>
      <c r="E1025" s="13" t="s">
        <v>292</v>
      </c>
      <c r="F1025" s="13" t="s">
        <v>62</v>
      </c>
      <c r="G1025" s="13" t="s">
        <v>63</v>
      </c>
      <c r="H1025" s="16">
        <v>45779.0</v>
      </c>
      <c r="I1025" s="14">
        <v>34.0</v>
      </c>
      <c r="J1025" s="13" t="s">
        <v>64</v>
      </c>
      <c r="K1025" s="13" t="s">
        <v>41</v>
      </c>
      <c r="L1025" s="14">
        <v>558.0</v>
      </c>
      <c r="M1025" s="18" t="s">
        <v>43</v>
      </c>
      <c r="N1025" s="20">
        <v>1.0</v>
      </c>
      <c r="O1025" s="18">
        <v>21.5</v>
      </c>
      <c r="P1025" s="20">
        <v>3.3</v>
      </c>
      <c r="Q1025" s="16">
        <v>46758.0</v>
      </c>
      <c r="R1025" s="16" t="s">
        <v>38</v>
      </c>
      <c r="S1025" s="13" t="s">
        <v>55</v>
      </c>
      <c r="T1025" s="13" t="s">
        <v>72</v>
      </c>
      <c r="U1025" s="13" t="str">
        <f t="shared" si="1"/>
        <v>Moderate</v>
      </c>
      <c r="V1025" s="13" t="str">
        <f t="shared" si="2"/>
        <v>Below Median</v>
      </c>
      <c r="W1025" s="13" t="str">
        <f t="shared" si="3"/>
        <v>25–48 Months</v>
      </c>
    </row>
    <row r="1026" hidden="1">
      <c r="A1026" s="13" t="s">
        <v>1072</v>
      </c>
      <c r="B1026" s="13" t="s">
        <v>206</v>
      </c>
      <c r="C1026" s="14">
        <v>36.0</v>
      </c>
      <c r="D1026" s="13" t="s">
        <v>60</v>
      </c>
      <c r="E1026" s="13" t="s">
        <v>133</v>
      </c>
      <c r="F1026" s="13" t="s">
        <v>62</v>
      </c>
      <c r="G1026" s="13" t="s">
        <v>128</v>
      </c>
      <c r="H1026" s="16">
        <v>44780.0</v>
      </c>
      <c r="I1026" s="14">
        <v>4.0</v>
      </c>
      <c r="J1026" s="13" t="s">
        <v>53</v>
      </c>
      <c r="K1026" s="13" t="s">
        <v>65</v>
      </c>
      <c r="L1026" s="14">
        <v>839.0</v>
      </c>
      <c r="M1026" s="18" t="s">
        <v>98</v>
      </c>
      <c r="N1026" s="20">
        <v>1.0</v>
      </c>
      <c r="O1026" s="18">
        <v>25.5</v>
      </c>
      <c r="P1026" s="20">
        <v>2.6</v>
      </c>
      <c r="Q1026" s="16">
        <v>44856.0</v>
      </c>
      <c r="R1026" s="16" t="s">
        <v>1626</v>
      </c>
      <c r="S1026" s="13" t="s">
        <v>45</v>
      </c>
      <c r="T1026" s="13" t="s">
        <v>104</v>
      </c>
      <c r="U1026" s="13" t="str">
        <f t="shared" si="1"/>
        <v>Low</v>
      </c>
      <c r="V1026" s="13" t="str">
        <f t="shared" si="2"/>
        <v>Median or Above</v>
      </c>
      <c r="W1026" s="13" t="str">
        <f t="shared" si="3"/>
        <v>0–12 Months</v>
      </c>
    </row>
    <row r="1027" hidden="1">
      <c r="A1027" s="13" t="s">
        <v>1627</v>
      </c>
      <c r="B1027" s="13" t="s">
        <v>336</v>
      </c>
      <c r="C1027" s="14">
        <v>52.0</v>
      </c>
      <c r="D1027" s="13" t="s">
        <v>60</v>
      </c>
      <c r="E1027" s="13" t="s">
        <v>61</v>
      </c>
      <c r="F1027" s="13" t="s">
        <v>37</v>
      </c>
      <c r="G1027" s="13" t="s">
        <v>52</v>
      </c>
      <c r="H1027" s="16">
        <v>45176.0</v>
      </c>
      <c r="I1027" s="14">
        <v>27.0</v>
      </c>
      <c r="J1027" s="13" t="s">
        <v>64</v>
      </c>
      <c r="K1027" s="13" t="s">
        <v>81</v>
      </c>
      <c r="L1027" s="14">
        <v>1334.0</v>
      </c>
      <c r="M1027" s="18" t="s">
        <v>43</v>
      </c>
      <c r="N1027" s="20">
        <v>0.0</v>
      </c>
      <c r="O1027" s="18">
        <v>19.8</v>
      </c>
      <c r="P1027" s="20">
        <v>4.2</v>
      </c>
      <c r="Q1027" s="16">
        <v>45914.0</v>
      </c>
      <c r="R1027" s="16" t="s">
        <v>38</v>
      </c>
      <c r="S1027" s="13" t="s">
        <v>55</v>
      </c>
      <c r="T1027" s="13" t="s">
        <v>104</v>
      </c>
      <c r="U1027" s="13" t="str">
        <f t="shared" si="1"/>
        <v>Moderate</v>
      </c>
      <c r="V1027" s="13" t="str">
        <f t="shared" si="2"/>
        <v>Below Median</v>
      </c>
      <c r="W1027" s="13" t="str">
        <f t="shared" si="3"/>
        <v>25–48 Months</v>
      </c>
    </row>
    <row r="1028" hidden="1">
      <c r="A1028" s="13" t="s">
        <v>1230</v>
      </c>
      <c r="B1028" s="13" t="s">
        <v>424</v>
      </c>
      <c r="C1028" s="14">
        <v>36.0</v>
      </c>
      <c r="D1028" s="13" t="s">
        <v>35</v>
      </c>
      <c r="E1028" s="13" t="s">
        <v>36</v>
      </c>
      <c r="F1028" s="13" t="s">
        <v>79</v>
      </c>
      <c r="G1028" s="13" t="s">
        <v>128</v>
      </c>
      <c r="H1028" s="16">
        <v>45245.0</v>
      </c>
      <c r="I1028" s="14">
        <v>21.0</v>
      </c>
      <c r="J1028" s="13" t="s">
        <v>53</v>
      </c>
      <c r="K1028" s="13" t="s">
        <v>81</v>
      </c>
      <c r="L1028" s="14">
        <v>2433.0</v>
      </c>
      <c r="M1028" s="18" t="s">
        <v>43</v>
      </c>
      <c r="N1028" s="20">
        <v>2.0</v>
      </c>
      <c r="O1028" s="18">
        <v>26.5</v>
      </c>
      <c r="P1028" s="20">
        <v>3.2</v>
      </c>
      <c r="Q1028" s="16">
        <v>45851.0</v>
      </c>
      <c r="R1028" s="16">
        <v>45385.0</v>
      </c>
      <c r="S1028" s="13" t="s">
        <v>45</v>
      </c>
      <c r="T1028" s="13" t="s">
        <v>66</v>
      </c>
      <c r="U1028" s="13" t="str">
        <f t="shared" si="1"/>
        <v>Moderate</v>
      </c>
      <c r="V1028" s="13" t="str">
        <f t="shared" si="2"/>
        <v>Median or Above</v>
      </c>
      <c r="W1028" s="13" t="str">
        <f t="shared" si="3"/>
        <v>13–24 Months</v>
      </c>
    </row>
    <row r="1029" hidden="1">
      <c r="A1029" s="13" t="s">
        <v>1629</v>
      </c>
      <c r="B1029" s="13" t="s">
        <v>126</v>
      </c>
      <c r="C1029" s="14">
        <v>23.0</v>
      </c>
      <c r="D1029" s="13" t="s">
        <v>60</v>
      </c>
      <c r="E1029" s="13" t="s">
        <v>107</v>
      </c>
      <c r="F1029" s="13" t="s">
        <v>37</v>
      </c>
      <c r="G1029" s="13" t="s">
        <v>120</v>
      </c>
      <c r="H1029" s="16">
        <v>44645.0</v>
      </c>
      <c r="I1029" s="14">
        <v>20.0</v>
      </c>
      <c r="J1029" s="13" t="s">
        <v>40</v>
      </c>
      <c r="K1029" s="13" t="s">
        <v>81</v>
      </c>
      <c r="L1029" s="14">
        <v>714.0</v>
      </c>
      <c r="M1029" s="18" t="s">
        <v>99</v>
      </c>
      <c r="N1029" s="20">
        <v>2.0</v>
      </c>
      <c r="O1029" s="18">
        <v>8.6</v>
      </c>
      <c r="P1029" s="20">
        <v>3.9</v>
      </c>
      <c r="Q1029" s="16">
        <v>44996.0</v>
      </c>
      <c r="R1029" s="16" t="s">
        <v>1630</v>
      </c>
      <c r="S1029" s="13" t="s">
        <v>45</v>
      </c>
      <c r="T1029" s="13" t="s">
        <v>104</v>
      </c>
      <c r="U1029" s="13" t="str">
        <f t="shared" si="1"/>
        <v>Moderate</v>
      </c>
      <c r="V1029" s="13" t="str">
        <f t="shared" si="2"/>
        <v>Below Median</v>
      </c>
      <c r="W1029" s="13" t="str">
        <f t="shared" si="3"/>
        <v>13–24 Months</v>
      </c>
    </row>
    <row r="1030" hidden="1">
      <c r="A1030" s="13" t="s">
        <v>1631</v>
      </c>
      <c r="B1030" s="13" t="s">
        <v>342</v>
      </c>
      <c r="C1030" s="14">
        <v>29.0</v>
      </c>
      <c r="D1030" s="13" t="s">
        <v>85</v>
      </c>
      <c r="E1030" s="13" t="s">
        <v>292</v>
      </c>
      <c r="F1030" s="13" t="s">
        <v>37</v>
      </c>
      <c r="G1030" s="13" t="s">
        <v>210</v>
      </c>
      <c r="H1030" s="16">
        <v>45393.0</v>
      </c>
      <c r="I1030" s="14">
        <v>35.0</v>
      </c>
      <c r="J1030" s="13" t="s">
        <v>40</v>
      </c>
      <c r="K1030" s="13" t="s">
        <v>81</v>
      </c>
      <c r="L1030" s="14">
        <v>1604.0</v>
      </c>
      <c r="M1030" s="18" t="s">
        <v>43</v>
      </c>
      <c r="N1030" s="20">
        <v>0.0</v>
      </c>
      <c r="O1030" s="18">
        <v>14.9</v>
      </c>
      <c r="P1030" s="20">
        <v>4.6</v>
      </c>
      <c r="Q1030" s="16">
        <v>45910.0</v>
      </c>
      <c r="R1030" s="16" t="s">
        <v>38</v>
      </c>
      <c r="S1030" s="13" t="s">
        <v>55</v>
      </c>
      <c r="T1030" s="13" t="s">
        <v>66</v>
      </c>
      <c r="U1030" s="13" t="str">
        <f t="shared" si="1"/>
        <v>Moderate</v>
      </c>
      <c r="V1030" s="13" t="str">
        <f t="shared" si="2"/>
        <v>Below Median</v>
      </c>
      <c r="W1030" s="13" t="str">
        <f t="shared" si="3"/>
        <v>25–48 Months</v>
      </c>
    </row>
    <row r="1031" hidden="1">
      <c r="A1031" s="13" t="s">
        <v>313</v>
      </c>
      <c r="B1031" s="13" t="s">
        <v>331</v>
      </c>
      <c r="C1031" s="14">
        <v>55.0</v>
      </c>
      <c r="D1031" s="13" t="s">
        <v>35</v>
      </c>
      <c r="E1031" s="13" t="s">
        <v>36</v>
      </c>
      <c r="F1031" s="13" t="s">
        <v>37</v>
      </c>
      <c r="G1031" s="13" t="s">
        <v>52</v>
      </c>
      <c r="H1031" s="16">
        <v>46012.0</v>
      </c>
      <c r="I1031" s="14">
        <v>9.0</v>
      </c>
      <c r="J1031" s="13" t="s">
        <v>64</v>
      </c>
      <c r="K1031" s="13" t="s">
        <v>41</v>
      </c>
      <c r="L1031" s="14">
        <v>1520.0</v>
      </c>
      <c r="M1031" s="18" t="s">
        <v>46</v>
      </c>
      <c r="N1031" s="20">
        <v>1.0</v>
      </c>
      <c r="O1031" s="18">
        <v>23.6</v>
      </c>
      <c r="P1031" s="20">
        <v>3.8</v>
      </c>
      <c r="Q1031" s="16">
        <v>46230.0</v>
      </c>
      <c r="R1031" s="16" t="s">
        <v>38</v>
      </c>
      <c r="S1031" s="13" t="s">
        <v>55</v>
      </c>
      <c r="T1031" s="13" t="s">
        <v>75</v>
      </c>
      <c r="U1031" s="13" t="str">
        <f t="shared" si="1"/>
        <v>Moderate</v>
      </c>
      <c r="V1031" s="13" t="str">
        <f t="shared" si="2"/>
        <v>Below Median</v>
      </c>
      <c r="W1031" s="13" t="str">
        <f t="shared" si="3"/>
        <v>0–12 Months</v>
      </c>
    </row>
    <row r="1032" hidden="1">
      <c r="A1032" s="13" t="s">
        <v>1633</v>
      </c>
      <c r="B1032" s="13" t="s">
        <v>393</v>
      </c>
      <c r="C1032" s="14">
        <v>56.0</v>
      </c>
      <c r="D1032" s="13" t="s">
        <v>69</v>
      </c>
      <c r="E1032" s="13" t="s">
        <v>70</v>
      </c>
      <c r="F1032" s="13" t="s">
        <v>62</v>
      </c>
      <c r="G1032" s="13" t="s">
        <v>80</v>
      </c>
      <c r="H1032" s="16">
        <v>45927.0</v>
      </c>
      <c r="I1032" s="14">
        <v>25.0</v>
      </c>
      <c r="J1032" s="13" t="s">
        <v>53</v>
      </c>
      <c r="K1032" s="13" t="s">
        <v>65</v>
      </c>
      <c r="L1032" s="14">
        <v>769.0</v>
      </c>
      <c r="M1032" s="18" t="s">
        <v>98</v>
      </c>
      <c r="N1032" s="20">
        <v>1.0</v>
      </c>
      <c r="O1032" s="18">
        <v>4.9</v>
      </c>
      <c r="P1032" s="20">
        <v>3.3</v>
      </c>
      <c r="Q1032" s="16">
        <v>46076.0</v>
      </c>
      <c r="R1032" s="16" t="s">
        <v>38</v>
      </c>
      <c r="S1032" s="13" t="s">
        <v>55</v>
      </c>
      <c r="T1032" s="13" t="s">
        <v>47</v>
      </c>
      <c r="U1032" s="13" t="str">
        <f t="shared" si="1"/>
        <v>Moderate</v>
      </c>
      <c r="V1032" s="13" t="str">
        <f t="shared" si="2"/>
        <v>Below Median</v>
      </c>
      <c r="W1032" s="13" t="str">
        <f t="shared" si="3"/>
        <v>25–48 Months</v>
      </c>
    </row>
    <row r="1033" hidden="1">
      <c r="A1033" s="13" t="s">
        <v>1634</v>
      </c>
      <c r="B1033" s="13" t="s">
        <v>106</v>
      </c>
      <c r="C1033" s="14">
        <v>60.0</v>
      </c>
      <c r="D1033" s="13" t="s">
        <v>35</v>
      </c>
      <c r="E1033" s="13" t="s">
        <v>140</v>
      </c>
      <c r="F1033" s="13" t="s">
        <v>62</v>
      </c>
      <c r="G1033" s="13" t="s">
        <v>80</v>
      </c>
      <c r="H1033" s="16">
        <v>45581.0</v>
      </c>
      <c r="I1033" s="14">
        <v>1.0</v>
      </c>
      <c r="J1033" s="13" t="s">
        <v>64</v>
      </c>
      <c r="K1033" s="13" t="s">
        <v>41</v>
      </c>
      <c r="L1033" s="14">
        <v>706.0</v>
      </c>
      <c r="M1033" s="18" t="s">
        <v>46</v>
      </c>
      <c r="N1033" s="20">
        <v>0.0</v>
      </c>
      <c r="O1033" s="18">
        <v>24.9</v>
      </c>
      <c r="P1033" s="20">
        <v>2.2</v>
      </c>
      <c r="Q1033" s="16">
        <v>45607.0</v>
      </c>
      <c r="R1033" s="16">
        <v>45485.0</v>
      </c>
      <c r="S1033" s="13" t="s">
        <v>55</v>
      </c>
      <c r="T1033" s="13" t="s">
        <v>47</v>
      </c>
      <c r="U1033" s="13" t="str">
        <f t="shared" si="1"/>
        <v>Low</v>
      </c>
      <c r="V1033" s="13" t="str">
        <f t="shared" si="2"/>
        <v>Median or Above</v>
      </c>
      <c r="W1033" s="13" t="str">
        <f t="shared" si="3"/>
        <v>0–12 Months</v>
      </c>
    </row>
    <row r="1034" hidden="1">
      <c r="A1034" s="13" t="s">
        <v>1636</v>
      </c>
      <c r="B1034" s="13" t="s">
        <v>398</v>
      </c>
      <c r="C1034" s="14">
        <v>55.0</v>
      </c>
      <c r="D1034" s="13" t="s">
        <v>35</v>
      </c>
      <c r="E1034" s="13" t="s">
        <v>51</v>
      </c>
      <c r="F1034" s="13" t="s">
        <v>79</v>
      </c>
      <c r="G1034" s="13" t="s">
        <v>52</v>
      </c>
      <c r="H1034" s="16">
        <v>44657.0</v>
      </c>
      <c r="I1034" s="14">
        <v>47.0</v>
      </c>
      <c r="J1034" s="13" t="s">
        <v>40</v>
      </c>
      <c r="K1034" s="13" t="s">
        <v>81</v>
      </c>
      <c r="L1034" s="14">
        <v>3975.0</v>
      </c>
      <c r="M1034" s="18" t="s">
        <v>99</v>
      </c>
      <c r="N1034" s="20">
        <v>2.0</v>
      </c>
      <c r="O1034" s="18">
        <v>44.6</v>
      </c>
      <c r="P1034" s="20">
        <v>4.4</v>
      </c>
      <c r="Q1034" s="16">
        <v>45113.0</v>
      </c>
      <c r="R1034" s="16" t="s">
        <v>38</v>
      </c>
      <c r="S1034" s="13" t="s">
        <v>55</v>
      </c>
      <c r="T1034" s="13" t="s">
        <v>47</v>
      </c>
      <c r="U1034" s="13" t="str">
        <f t="shared" si="1"/>
        <v>Moderate</v>
      </c>
      <c r="V1034" s="13" t="str">
        <f t="shared" si="2"/>
        <v>Median or Above</v>
      </c>
      <c r="W1034" s="13" t="str">
        <f t="shared" si="3"/>
        <v>25–48 Months</v>
      </c>
    </row>
    <row r="1035" hidden="1">
      <c r="A1035" s="13" t="s">
        <v>1917</v>
      </c>
      <c r="B1035" s="13" t="s">
        <v>281</v>
      </c>
      <c r="C1035" s="14">
        <v>45.0</v>
      </c>
      <c r="D1035" s="13" t="s">
        <v>35</v>
      </c>
      <c r="E1035" s="13" t="s">
        <v>36</v>
      </c>
      <c r="F1035" s="13" t="s">
        <v>62</v>
      </c>
      <c r="G1035" s="13" t="s">
        <v>210</v>
      </c>
      <c r="H1035" s="16">
        <v>44984.0</v>
      </c>
      <c r="I1035" s="14">
        <v>29.0</v>
      </c>
      <c r="J1035" s="13" t="s">
        <v>53</v>
      </c>
      <c r="K1035" s="13" t="s">
        <v>81</v>
      </c>
      <c r="L1035" s="14">
        <v>869.0</v>
      </c>
      <c r="M1035" s="18" t="s">
        <v>164</v>
      </c>
      <c r="N1035" s="20">
        <v>3.0</v>
      </c>
      <c r="O1035" s="18">
        <v>7.2</v>
      </c>
      <c r="P1035" s="20">
        <v>2.9</v>
      </c>
      <c r="Q1035" s="16">
        <v>45120.0</v>
      </c>
      <c r="R1035" s="16" t="s">
        <v>38</v>
      </c>
      <c r="S1035" s="13" t="s">
        <v>55</v>
      </c>
      <c r="T1035" s="13" t="s">
        <v>66</v>
      </c>
      <c r="U1035" s="13" t="str">
        <f t="shared" si="1"/>
        <v>Low</v>
      </c>
      <c r="V1035" s="13" t="str">
        <f t="shared" si="2"/>
        <v>Below Median</v>
      </c>
      <c r="W1035" s="13" t="str">
        <f t="shared" si="3"/>
        <v>25–48 Months</v>
      </c>
    </row>
    <row r="1036" hidden="1">
      <c r="A1036" s="13" t="s">
        <v>1638</v>
      </c>
      <c r="B1036" s="13" t="s">
        <v>110</v>
      </c>
      <c r="C1036" s="14">
        <v>36.0</v>
      </c>
      <c r="D1036" s="13" t="s">
        <v>60</v>
      </c>
      <c r="E1036" s="13" t="s">
        <v>133</v>
      </c>
      <c r="F1036" s="13" t="s">
        <v>37</v>
      </c>
      <c r="G1036" s="13" t="s">
        <v>128</v>
      </c>
      <c r="H1036" s="16">
        <v>45862.0</v>
      </c>
      <c r="I1036" s="14">
        <v>10.0</v>
      </c>
      <c r="J1036" s="13" t="s">
        <v>53</v>
      </c>
      <c r="K1036" s="13" t="s">
        <v>41</v>
      </c>
      <c r="L1036" s="14">
        <v>1191.0</v>
      </c>
      <c r="M1036" s="18" t="s">
        <v>43</v>
      </c>
      <c r="N1036" s="20">
        <v>0.0</v>
      </c>
      <c r="O1036" s="18">
        <v>49.1</v>
      </c>
      <c r="P1036" s="20">
        <v>4.2</v>
      </c>
      <c r="Q1036" s="16">
        <v>45996.0</v>
      </c>
      <c r="R1036" s="16" t="s">
        <v>38</v>
      </c>
      <c r="S1036" s="13" t="s">
        <v>55</v>
      </c>
      <c r="T1036" s="13" t="s">
        <v>72</v>
      </c>
      <c r="U1036" s="13" t="str">
        <f t="shared" si="1"/>
        <v>Moderate</v>
      </c>
      <c r="V1036" s="13" t="str">
        <f t="shared" si="2"/>
        <v>Median or Above</v>
      </c>
      <c r="W1036" s="13" t="str">
        <f t="shared" si="3"/>
        <v>0–12 Months</v>
      </c>
    </row>
    <row r="1037" hidden="1">
      <c r="A1037" s="13" t="s">
        <v>95</v>
      </c>
      <c r="B1037" s="13" t="s">
        <v>78</v>
      </c>
      <c r="C1037" s="14">
        <v>37.0</v>
      </c>
      <c r="D1037" s="13" t="s">
        <v>85</v>
      </c>
      <c r="E1037" s="13" t="s">
        <v>87</v>
      </c>
      <c r="F1037" s="13" t="s">
        <v>62</v>
      </c>
      <c r="G1037" s="13" t="s">
        <v>128</v>
      </c>
      <c r="H1037" s="16">
        <v>44684.0</v>
      </c>
      <c r="I1037" s="14">
        <v>48.0</v>
      </c>
      <c r="J1037" s="13" t="s">
        <v>53</v>
      </c>
      <c r="K1037" s="13" t="s">
        <v>41</v>
      </c>
      <c r="L1037" s="14">
        <v>647.0</v>
      </c>
      <c r="M1037" s="18" t="s">
        <v>43</v>
      </c>
      <c r="N1037" s="20">
        <v>2.0</v>
      </c>
      <c r="O1037" s="18">
        <v>18.4</v>
      </c>
      <c r="P1037" s="20">
        <v>4.4</v>
      </c>
      <c r="Q1037" s="16">
        <v>44920.0</v>
      </c>
      <c r="R1037" s="16" t="s">
        <v>38</v>
      </c>
      <c r="S1037" s="13" t="s">
        <v>55</v>
      </c>
      <c r="T1037" s="13" t="s">
        <v>75</v>
      </c>
      <c r="U1037" s="13" t="str">
        <f t="shared" si="1"/>
        <v>Moderate</v>
      </c>
      <c r="V1037" s="13" t="str">
        <f t="shared" si="2"/>
        <v>Below Median</v>
      </c>
      <c r="W1037" s="13" t="str">
        <f t="shared" si="3"/>
        <v>25–48 Months</v>
      </c>
    </row>
    <row r="1038" hidden="1">
      <c r="A1038" s="13" t="s">
        <v>1639</v>
      </c>
      <c r="B1038" s="13" t="s">
        <v>380</v>
      </c>
      <c r="C1038" s="14">
        <v>49.0</v>
      </c>
      <c r="D1038" s="13" t="s">
        <v>35</v>
      </c>
      <c r="E1038" s="13" t="s">
        <v>140</v>
      </c>
      <c r="F1038" s="13" t="s">
        <v>37</v>
      </c>
      <c r="G1038" s="13" t="s">
        <v>80</v>
      </c>
      <c r="H1038" s="16">
        <v>44695.0</v>
      </c>
      <c r="I1038" s="14">
        <v>38.0</v>
      </c>
      <c r="J1038" s="13" t="s">
        <v>53</v>
      </c>
      <c r="K1038" s="13" t="s">
        <v>65</v>
      </c>
      <c r="L1038" s="14">
        <v>1658.0</v>
      </c>
      <c r="M1038" s="18" t="s">
        <v>46</v>
      </c>
      <c r="N1038" s="20">
        <v>1.0</v>
      </c>
      <c r="O1038" s="18">
        <v>34.9</v>
      </c>
      <c r="P1038" s="20">
        <v>3.3</v>
      </c>
      <c r="Q1038" s="16">
        <v>45625.0</v>
      </c>
      <c r="R1038" s="16" t="s">
        <v>38</v>
      </c>
      <c r="S1038" s="13" t="s">
        <v>45</v>
      </c>
      <c r="T1038" s="13" t="s">
        <v>47</v>
      </c>
      <c r="U1038" s="13" t="str">
        <f t="shared" si="1"/>
        <v>Moderate</v>
      </c>
      <c r="V1038" s="13" t="str">
        <f t="shared" si="2"/>
        <v>Median or Above</v>
      </c>
      <c r="W1038" s="13" t="str">
        <f t="shared" si="3"/>
        <v>25–48 Months</v>
      </c>
    </row>
    <row r="1039" hidden="1">
      <c r="A1039" s="13" t="s">
        <v>660</v>
      </c>
      <c r="B1039" s="13" t="s">
        <v>736</v>
      </c>
      <c r="C1039" s="14">
        <v>65.0</v>
      </c>
      <c r="D1039" s="13" t="s">
        <v>69</v>
      </c>
      <c r="E1039" s="13" t="s">
        <v>119</v>
      </c>
      <c r="F1039" s="13" t="s">
        <v>79</v>
      </c>
      <c r="G1039" s="13" t="s">
        <v>63</v>
      </c>
      <c r="H1039" s="16">
        <v>45042.0</v>
      </c>
      <c r="I1039" s="14">
        <v>42.0</v>
      </c>
      <c r="J1039" s="13" t="s">
        <v>53</v>
      </c>
      <c r="K1039" s="13" t="s">
        <v>81</v>
      </c>
      <c r="L1039" s="14">
        <v>3042.0</v>
      </c>
      <c r="M1039" s="18" t="s">
        <v>164</v>
      </c>
      <c r="N1039" s="20">
        <v>0.0</v>
      </c>
      <c r="O1039" s="18">
        <v>43.3</v>
      </c>
      <c r="P1039" s="20">
        <v>3.8</v>
      </c>
      <c r="Q1039" s="16">
        <v>45348.0</v>
      </c>
      <c r="R1039" s="16" t="s">
        <v>38</v>
      </c>
      <c r="S1039" s="13" t="s">
        <v>55</v>
      </c>
      <c r="T1039" s="13" t="s">
        <v>72</v>
      </c>
      <c r="U1039" s="13" t="str">
        <f t="shared" si="1"/>
        <v>Moderate</v>
      </c>
      <c r="V1039" s="13" t="str">
        <f t="shared" si="2"/>
        <v>Median or Above</v>
      </c>
      <c r="W1039" s="13" t="str">
        <f t="shared" si="3"/>
        <v>25–48 Months</v>
      </c>
    </row>
    <row r="1040" hidden="1">
      <c r="A1040" s="13" t="s">
        <v>1432</v>
      </c>
      <c r="B1040" s="13" t="s">
        <v>380</v>
      </c>
      <c r="C1040" s="14">
        <v>35.0</v>
      </c>
      <c r="D1040" s="13" t="s">
        <v>35</v>
      </c>
      <c r="E1040" s="13" t="s">
        <v>161</v>
      </c>
      <c r="F1040" s="13" t="s">
        <v>79</v>
      </c>
      <c r="G1040" s="13" t="s">
        <v>80</v>
      </c>
      <c r="H1040" s="16">
        <v>45197.0</v>
      </c>
      <c r="I1040" s="14">
        <v>48.0</v>
      </c>
      <c r="J1040" s="13" t="s">
        <v>40</v>
      </c>
      <c r="K1040" s="13" t="s">
        <v>81</v>
      </c>
      <c r="L1040" s="14">
        <v>3959.0</v>
      </c>
      <c r="M1040" s="18" t="s">
        <v>46</v>
      </c>
      <c r="N1040" s="20">
        <v>0.0</v>
      </c>
      <c r="O1040" s="18">
        <v>27.3</v>
      </c>
      <c r="P1040" s="20">
        <v>4.9</v>
      </c>
      <c r="Q1040" s="16">
        <v>45426.0</v>
      </c>
      <c r="R1040" s="16" t="s">
        <v>38</v>
      </c>
      <c r="S1040" s="13" t="s">
        <v>55</v>
      </c>
      <c r="T1040" s="13" t="s">
        <v>66</v>
      </c>
      <c r="U1040" s="13" t="str">
        <f t="shared" si="1"/>
        <v>Moderate</v>
      </c>
      <c r="V1040" s="13" t="str">
        <f t="shared" si="2"/>
        <v>Median or Above</v>
      </c>
      <c r="W1040" s="13" t="str">
        <f t="shared" si="3"/>
        <v>25–48 Months</v>
      </c>
    </row>
    <row r="1041" hidden="1">
      <c r="A1041" s="13" t="s">
        <v>1640</v>
      </c>
      <c r="B1041" s="13" t="s">
        <v>448</v>
      </c>
      <c r="C1041" s="14">
        <v>19.0</v>
      </c>
      <c r="D1041" s="13" t="s">
        <v>69</v>
      </c>
      <c r="E1041" s="13" t="s">
        <v>119</v>
      </c>
      <c r="F1041" s="13" t="s">
        <v>79</v>
      </c>
      <c r="G1041" s="13" t="s">
        <v>63</v>
      </c>
      <c r="H1041" s="16">
        <v>44867.0</v>
      </c>
      <c r="I1041" s="14">
        <v>2.0</v>
      </c>
      <c r="J1041" s="13" t="s">
        <v>53</v>
      </c>
      <c r="K1041" s="13" t="s">
        <v>41</v>
      </c>
      <c r="L1041" s="14">
        <v>3133.0</v>
      </c>
      <c r="M1041" s="18" t="s">
        <v>43</v>
      </c>
      <c r="N1041" s="20">
        <v>0.0</v>
      </c>
      <c r="O1041" s="18">
        <v>50.4</v>
      </c>
      <c r="P1041" s="20">
        <v>4.0</v>
      </c>
      <c r="Q1041" s="16">
        <v>44930.0</v>
      </c>
      <c r="R1041" s="16" t="s">
        <v>38</v>
      </c>
      <c r="S1041" s="13" t="s">
        <v>55</v>
      </c>
      <c r="T1041" s="13" t="s">
        <v>47</v>
      </c>
      <c r="U1041" s="13" t="str">
        <f t="shared" si="1"/>
        <v>Moderate</v>
      </c>
      <c r="V1041" s="13" t="str">
        <f t="shared" si="2"/>
        <v>Median or Above</v>
      </c>
      <c r="W1041" s="13" t="str">
        <f t="shared" si="3"/>
        <v>0–12 Months</v>
      </c>
    </row>
    <row r="1042">
      <c r="A1042" s="13" t="s">
        <v>1196</v>
      </c>
      <c r="B1042" s="13" t="s">
        <v>59</v>
      </c>
      <c r="C1042" s="14">
        <v>49.0</v>
      </c>
      <c r="D1042" s="13" t="s">
        <v>60</v>
      </c>
      <c r="E1042" s="13" t="s">
        <v>133</v>
      </c>
      <c r="F1042" s="13" t="s">
        <v>62</v>
      </c>
      <c r="G1042" s="13" t="s">
        <v>128</v>
      </c>
      <c r="H1042" s="16">
        <v>45118.0</v>
      </c>
      <c r="I1042" s="14">
        <v>38.0</v>
      </c>
      <c r="J1042" s="13" t="s">
        <v>64</v>
      </c>
      <c r="K1042" s="13" t="s">
        <v>41</v>
      </c>
      <c r="L1042" s="14">
        <v>704.0</v>
      </c>
      <c r="M1042" s="18" t="s">
        <v>46</v>
      </c>
      <c r="N1042" s="20">
        <v>1.0</v>
      </c>
      <c r="O1042" s="18">
        <v>15.5</v>
      </c>
      <c r="P1042" s="20">
        <v>2.3</v>
      </c>
      <c r="Q1042" s="16">
        <v>45858.0</v>
      </c>
      <c r="R1042" s="16" t="s">
        <v>38</v>
      </c>
      <c r="S1042" s="13" t="s">
        <v>230</v>
      </c>
      <c r="T1042" s="13" t="s">
        <v>47</v>
      </c>
      <c r="U1042" s="13" t="str">
        <f t="shared" si="1"/>
        <v>Low</v>
      </c>
      <c r="V1042" s="13" t="str">
        <f t="shared" si="2"/>
        <v>Below Median</v>
      </c>
      <c r="W1042" s="13" t="str">
        <f t="shared" si="3"/>
        <v>25–48 Months</v>
      </c>
    </row>
    <row r="1043" hidden="1">
      <c r="A1043" s="13" t="s">
        <v>1642</v>
      </c>
      <c r="B1043" s="13" t="s">
        <v>325</v>
      </c>
      <c r="C1043" s="14">
        <v>55.0</v>
      </c>
      <c r="D1043" s="13" t="s">
        <v>35</v>
      </c>
      <c r="E1043" s="13" t="s">
        <v>161</v>
      </c>
      <c r="F1043" s="13" t="s">
        <v>62</v>
      </c>
      <c r="G1043" s="13" t="s">
        <v>128</v>
      </c>
      <c r="H1043" s="16">
        <v>45055.0</v>
      </c>
      <c r="I1043" s="14">
        <v>35.0</v>
      </c>
      <c r="J1043" s="13" t="s">
        <v>40</v>
      </c>
      <c r="K1043" s="13" t="s">
        <v>41</v>
      </c>
      <c r="L1043" s="14">
        <v>615.0</v>
      </c>
      <c r="M1043" s="18" t="s">
        <v>164</v>
      </c>
      <c r="N1043" s="20">
        <v>2.0</v>
      </c>
      <c r="O1043" s="18">
        <v>16.9</v>
      </c>
      <c r="P1043" s="20">
        <v>4.4</v>
      </c>
      <c r="Q1043" s="16">
        <v>45098.0</v>
      </c>
      <c r="R1043" s="16" t="s">
        <v>38</v>
      </c>
      <c r="S1043" s="13" t="s">
        <v>55</v>
      </c>
      <c r="T1043" s="13" t="s">
        <v>75</v>
      </c>
      <c r="U1043" s="13" t="str">
        <f t="shared" si="1"/>
        <v>Moderate</v>
      </c>
      <c r="V1043" s="13" t="str">
        <f t="shared" si="2"/>
        <v>Below Median</v>
      </c>
      <c r="W1043" s="13" t="str">
        <f t="shared" si="3"/>
        <v>25–48 Months</v>
      </c>
    </row>
    <row r="1044" hidden="1">
      <c r="A1044" s="13" t="s">
        <v>1507</v>
      </c>
      <c r="B1044" s="13" t="s">
        <v>362</v>
      </c>
      <c r="C1044" s="14">
        <v>32.0</v>
      </c>
      <c r="D1044" s="13" t="s">
        <v>69</v>
      </c>
      <c r="E1044" s="13" t="s">
        <v>119</v>
      </c>
      <c r="F1044" s="13" t="s">
        <v>62</v>
      </c>
      <c r="G1044" s="13" t="s">
        <v>52</v>
      </c>
      <c r="H1044" s="16">
        <v>44710.0</v>
      </c>
      <c r="I1044" s="14">
        <v>7.0</v>
      </c>
      <c r="J1044" s="13" t="s">
        <v>53</v>
      </c>
      <c r="K1044" s="13" t="s">
        <v>41</v>
      </c>
      <c r="L1044" s="14">
        <v>779.0</v>
      </c>
      <c r="M1044" s="18" t="s">
        <v>164</v>
      </c>
      <c r="N1044" s="20">
        <v>0.0</v>
      </c>
      <c r="O1044" s="18">
        <v>16.7</v>
      </c>
      <c r="P1044" s="20">
        <v>2.9</v>
      </c>
      <c r="Q1044" s="16">
        <v>44754.0</v>
      </c>
      <c r="R1044" s="16" t="s">
        <v>38</v>
      </c>
      <c r="S1044" s="13" t="s">
        <v>55</v>
      </c>
      <c r="T1044" s="13" t="s">
        <v>104</v>
      </c>
      <c r="U1044" s="13" t="str">
        <f t="shared" si="1"/>
        <v>Low</v>
      </c>
      <c r="V1044" s="13" t="str">
        <f t="shared" si="2"/>
        <v>Below Median</v>
      </c>
      <c r="W1044" s="13" t="str">
        <f t="shared" si="3"/>
        <v>0–12 Months</v>
      </c>
    </row>
    <row r="1045" hidden="1">
      <c r="A1045" s="13" t="s">
        <v>1643</v>
      </c>
      <c r="B1045" s="13" t="s">
        <v>736</v>
      </c>
      <c r="C1045" s="14">
        <v>57.0</v>
      </c>
      <c r="D1045" s="13" t="s">
        <v>35</v>
      </c>
      <c r="E1045" s="13" t="s">
        <v>140</v>
      </c>
      <c r="F1045" s="13" t="s">
        <v>62</v>
      </c>
      <c r="G1045" s="13" t="s">
        <v>210</v>
      </c>
      <c r="H1045" s="16">
        <v>45878.0</v>
      </c>
      <c r="I1045" s="14">
        <v>38.0</v>
      </c>
      <c r="J1045" s="13" t="s">
        <v>64</v>
      </c>
      <c r="K1045" s="13" t="s">
        <v>81</v>
      </c>
      <c r="L1045" s="14">
        <v>606.0</v>
      </c>
      <c r="M1045" s="18" t="s">
        <v>43</v>
      </c>
      <c r="N1045" s="20">
        <v>1.0</v>
      </c>
      <c r="O1045" s="18">
        <v>23.6</v>
      </c>
      <c r="P1045" s="20">
        <v>3.9</v>
      </c>
      <c r="Q1045" s="16">
        <v>46372.0</v>
      </c>
      <c r="R1045" s="16">
        <v>46270.0</v>
      </c>
      <c r="S1045" s="13" t="s">
        <v>45</v>
      </c>
      <c r="T1045" s="13" t="s">
        <v>47</v>
      </c>
      <c r="U1045" s="13" t="str">
        <f t="shared" si="1"/>
        <v>Moderate</v>
      </c>
      <c r="V1045" s="13" t="str">
        <f t="shared" si="2"/>
        <v>Below Median</v>
      </c>
      <c r="W1045" s="13" t="str">
        <f t="shared" si="3"/>
        <v>25–48 Months</v>
      </c>
    </row>
    <row r="1046" hidden="1">
      <c r="A1046" s="13" t="s">
        <v>1645</v>
      </c>
      <c r="B1046" s="13" t="s">
        <v>91</v>
      </c>
      <c r="C1046" s="14">
        <v>24.0</v>
      </c>
      <c r="D1046" s="13" t="s">
        <v>85</v>
      </c>
      <c r="E1046" s="13" t="s">
        <v>92</v>
      </c>
      <c r="F1046" s="13" t="s">
        <v>37</v>
      </c>
      <c r="G1046" s="13" t="s">
        <v>52</v>
      </c>
      <c r="H1046" s="16">
        <v>45987.0</v>
      </c>
      <c r="I1046" s="14">
        <v>47.0</v>
      </c>
      <c r="J1046" s="13" t="s">
        <v>64</v>
      </c>
      <c r="K1046" s="13" t="s">
        <v>81</v>
      </c>
      <c r="L1046" s="14">
        <v>1220.0</v>
      </c>
      <c r="M1046" s="18" t="s">
        <v>43</v>
      </c>
      <c r="N1046" s="20">
        <v>1.0</v>
      </c>
      <c r="O1046" s="18">
        <v>20.8</v>
      </c>
      <c r="P1046" s="20">
        <v>4.7</v>
      </c>
      <c r="Q1046" s="16">
        <v>46840.0</v>
      </c>
      <c r="R1046" s="16" t="s">
        <v>38</v>
      </c>
      <c r="S1046" s="13" t="s">
        <v>55</v>
      </c>
      <c r="T1046" s="13" t="s">
        <v>47</v>
      </c>
      <c r="U1046" s="13" t="str">
        <f t="shared" si="1"/>
        <v>Moderate</v>
      </c>
      <c r="V1046" s="13" t="str">
        <f t="shared" si="2"/>
        <v>Below Median</v>
      </c>
      <c r="W1046" s="13" t="str">
        <f t="shared" si="3"/>
        <v>25–48 Months</v>
      </c>
    </row>
    <row r="1047" hidden="1">
      <c r="A1047" s="13" t="s">
        <v>1530</v>
      </c>
      <c r="B1047" s="13" t="s">
        <v>239</v>
      </c>
      <c r="C1047" s="14">
        <v>61.0</v>
      </c>
      <c r="D1047" s="13" t="s">
        <v>60</v>
      </c>
      <c r="E1047" s="13" t="s">
        <v>61</v>
      </c>
      <c r="F1047" s="13" t="s">
        <v>62</v>
      </c>
      <c r="G1047" s="13" t="s">
        <v>210</v>
      </c>
      <c r="H1047" s="16">
        <v>45292.0</v>
      </c>
      <c r="I1047" s="14">
        <v>29.0</v>
      </c>
      <c r="J1047" s="13" t="s">
        <v>53</v>
      </c>
      <c r="K1047" s="13" t="s">
        <v>41</v>
      </c>
      <c r="L1047" s="14">
        <v>583.0</v>
      </c>
      <c r="M1047" s="18" t="s">
        <v>98</v>
      </c>
      <c r="N1047" s="20">
        <v>1.0</v>
      </c>
      <c r="O1047" s="18">
        <v>10.4</v>
      </c>
      <c r="P1047" s="20">
        <v>4.1</v>
      </c>
      <c r="Q1047" s="16">
        <v>45401.0</v>
      </c>
      <c r="R1047" s="16" t="s">
        <v>38</v>
      </c>
      <c r="S1047" s="13" t="s">
        <v>55</v>
      </c>
      <c r="T1047" s="13" t="s">
        <v>47</v>
      </c>
      <c r="U1047" s="13" t="str">
        <f t="shared" si="1"/>
        <v>Moderate</v>
      </c>
      <c r="V1047" s="13" t="str">
        <f t="shared" si="2"/>
        <v>Below Median</v>
      </c>
      <c r="W1047" s="13" t="str">
        <f t="shared" si="3"/>
        <v>25–48 Months</v>
      </c>
    </row>
    <row r="1048" hidden="1">
      <c r="A1048" s="13" t="s">
        <v>1418</v>
      </c>
      <c r="B1048" s="13" t="s">
        <v>459</v>
      </c>
      <c r="C1048" s="14" t="s">
        <v>38</v>
      </c>
      <c r="D1048" s="13" t="s">
        <v>69</v>
      </c>
      <c r="E1048" s="13" t="s">
        <v>70</v>
      </c>
      <c r="F1048" s="13" t="s">
        <v>37</v>
      </c>
      <c r="G1048" s="13" t="s">
        <v>39</v>
      </c>
      <c r="H1048" s="16">
        <v>44990.0</v>
      </c>
      <c r="I1048" s="14">
        <v>13.0</v>
      </c>
      <c r="J1048" s="13" t="s">
        <v>40</v>
      </c>
      <c r="K1048" s="13" t="s">
        <v>65</v>
      </c>
      <c r="L1048" s="14">
        <v>1061.0</v>
      </c>
      <c r="M1048" s="18" t="s">
        <v>164</v>
      </c>
      <c r="N1048" s="20">
        <v>0.0</v>
      </c>
      <c r="O1048" s="18">
        <v>21.2</v>
      </c>
      <c r="P1048" s="20">
        <v>4.5</v>
      </c>
      <c r="Q1048" s="16">
        <v>45230.0</v>
      </c>
      <c r="R1048" s="16" t="s">
        <v>38</v>
      </c>
      <c r="S1048" s="13" t="s">
        <v>55</v>
      </c>
      <c r="T1048" s="13" t="s">
        <v>47</v>
      </c>
      <c r="U1048" s="13" t="str">
        <f t="shared" si="1"/>
        <v>Moderate</v>
      </c>
      <c r="V1048" s="13" t="str">
        <f t="shared" si="2"/>
        <v>Below Median</v>
      </c>
      <c r="W1048" s="13" t="str">
        <f t="shared" si="3"/>
        <v>13–24 Months</v>
      </c>
    </row>
    <row r="1049" hidden="1">
      <c r="A1049" s="13" t="s">
        <v>1646</v>
      </c>
      <c r="B1049" s="13" t="s">
        <v>50</v>
      </c>
      <c r="C1049" s="14">
        <v>25.0</v>
      </c>
      <c r="D1049" s="13" t="s">
        <v>60</v>
      </c>
      <c r="E1049" s="13" t="s">
        <v>133</v>
      </c>
      <c r="F1049" s="13" t="s">
        <v>62</v>
      </c>
      <c r="G1049" s="13" t="s">
        <v>63</v>
      </c>
      <c r="H1049" s="16">
        <v>44887.0</v>
      </c>
      <c r="I1049" s="14">
        <v>31.0</v>
      </c>
      <c r="J1049" s="13" t="s">
        <v>40</v>
      </c>
      <c r="K1049" s="13" t="s">
        <v>41</v>
      </c>
      <c r="L1049" s="14">
        <v>586.0</v>
      </c>
      <c r="M1049" s="18" t="s">
        <v>43</v>
      </c>
      <c r="N1049" s="20">
        <v>1.0</v>
      </c>
      <c r="O1049" s="18">
        <v>30.2</v>
      </c>
      <c r="P1049" s="20">
        <v>3.0</v>
      </c>
      <c r="Q1049" s="16">
        <v>45442.0</v>
      </c>
      <c r="R1049" s="16" t="s">
        <v>38</v>
      </c>
      <c r="S1049" s="13" t="s">
        <v>55</v>
      </c>
      <c r="T1049" s="13" t="s">
        <v>47</v>
      </c>
      <c r="U1049" s="13" t="str">
        <f t="shared" si="1"/>
        <v>Moderate</v>
      </c>
      <c r="V1049" s="13" t="str">
        <f t="shared" si="2"/>
        <v>Median or Above</v>
      </c>
      <c r="W1049" s="13" t="str">
        <f t="shared" si="3"/>
        <v>25–48 Months</v>
      </c>
    </row>
    <row r="1050" hidden="1">
      <c r="A1050" s="13" t="s">
        <v>1499</v>
      </c>
      <c r="B1050" s="13" t="s">
        <v>448</v>
      </c>
      <c r="C1050" s="14">
        <v>47.0</v>
      </c>
      <c r="D1050" s="13" t="s">
        <v>69</v>
      </c>
      <c r="E1050" s="13" t="s">
        <v>119</v>
      </c>
      <c r="F1050" s="13" t="s">
        <v>62</v>
      </c>
      <c r="G1050" s="13" t="s">
        <v>63</v>
      </c>
      <c r="H1050" s="16">
        <v>45994.0</v>
      </c>
      <c r="I1050" s="14">
        <v>11.0</v>
      </c>
      <c r="J1050" s="13" t="s">
        <v>40</v>
      </c>
      <c r="K1050" s="13" t="s">
        <v>81</v>
      </c>
      <c r="L1050" s="14">
        <v>765.0</v>
      </c>
      <c r="M1050" s="18" t="s">
        <v>43</v>
      </c>
      <c r="N1050" s="20">
        <v>0.0</v>
      </c>
      <c r="O1050" s="18">
        <v>18.3</v>
      </c>
      <c r="P1050" s="20">
        <v>5.0</v>
      </c>
      <c r="Q1050" s="16">
        <v>46275.0</v>
      </c>
      <c r="R1050" s="16" t="s">
        <v>38</v>
      </c>
      <c r="S1050" s="13" t="s">
        <v>55</v>
      </c>
      <c r="T1050" s="13" t="s">
        <v>66</v>
      </c>
      <c r="U1050" s="13" t="str">
        <f t="shared" si="1"/>
        <v>High</v>
      </c>
      <c r="V1050" s="13" t="str">
        <f t="shared" si="2"/>
        <v>Below Median</v>
      </c>
      <c r="W1050" s="13" t="str">
        <f t="shared" si="3"/>
        <v>0–12 Months</v>
      </c>
    </row>
    <row r="1051" hidden="1">
      <c r="A1051" s="13" t="s">
        <v>1647</v>
      </c>
      <c r="B1051" s="13" t="s">
        <v>333</v>
      </c>
      <c r="C1051" s="14">
        <v>37.0</v>
      </c>
      <c r="D1051" s="13" t="s">
        <v>69</v>
      </c>
      <c r="E1051" s="13" t="s">
        <v>119</v>
      </c>
      <c r="F1051" s="13" t="s">
        <v>62</v>
      </c>
      <c r="G1051" s="13" t="s">
        <v>80</v>
      </c>
      <c r="H1051" s="16">
        <v>45473.0</v>
      </c>
      <c r="I1051" s="14">
        <v>18.0</v>
      </c>
      <c r="J1051" s="13" t="s">
        <v>53</v>
      </c>
      <c r="K1051" s="13" t="s">
        <v>81</v>
      </c>
      <c r="L1051" s="14">
        <v>809.0</v>
      </c>
      <c r="M1051" s="18" t="s">
        <v>43</v>
      </c>
      <c r="N1051" s="20">
        <v>1.0</v>
      </c>
      <c r="O1051" s="18">
        <v>18.2</v>
      </c>
      <c r="P1051" s="20">
        <v>3.7</v>
      </c>
      <c r="Q1051" s="16">
        <v>45503.0</v>
      </c>
      <c r="R1051" s="16" t="s">
        <v>38</v>
      </c>
      <c r="S1051" s="13" t="s">
        <v>55</v>
      </c>
      <c r="T1051" s="13" t="s">
        <v>75</v>
      </c>
      <c r="U1051" s="13" t="str">
        <f t="shared" si="1"/>
        <v>Moderate</v>
      </c>
      <c r="V1051" s="13" t="str">
        <f t="shared" si="2"/>
        <v>Below Median</v>
      </c>
      <c r="W1051" s="13" t="str">
        <f t="shared" si="3"/>
        <v>13–24 Months</v>
      </c>
    </row>
    <row r="1052" hidden="1">
      <c r="A1052" s="13" t="s">
        <v>1648</v>
      </c>
      <c r="B1052" s="13" t="s">
        <v>126</v>
      </c>
      <c r="C1052" s="14">
        <v>53.0</v>
      </c>
      <c r="D1052" s="13" t="s">
        <v>35</v>
      </c>
      <c r="E1052" s="13" t="s">
        <v>51</v>
      </c>
      <c r="F1052" s="13" t="s">
        <v>79</v>
      </c>
      <c r="G1052" s="13" t="s">
        <v>39</v>
      </c>
      <c r="H1052" s="16">
        <v>45996.0</v>
      </c>
      <c r="I1052" s="14">
        <v>35.0</v>
      </c>
      <c r="J1052" s="13" t="s">
        <v>40</v>
      </c>
      <c r="K1052" s="13" t="s">
        <v>41</v>
      </c>
      <c r="L1052" s="14">
        <v>2980.0</v>
      </c>
      <c r="M1052" s="18" t="s">
        <v>43</v>
      </c>
      <c r="N1052" s="20">
        <v>1.0</v>
      </c>
      <c r="O1052" s="18">
        <v>37.9</v>
      </c>
      <c r="P1052" s="20">
        <v>4.3</v>
      </c>
      <c r="Q1052" s="16">
        <v>46814.0</v>
      </c>
      <c r="R1052" s="16">
        <v>46213.0</v>
      </c>
      <c r="S1052" s="13" t="s">
        <v>45</v>
      </c>
      <c r="T1052" s="13" t="s">
        <v>47</v>
      </c>
      <c r="U1052" s="13" t="str">
        <f t="shared" si="1"/>
        <v>Moderate</v>
      </c>
      <c r="V1052" s="13" t="str">
        <f t="shared" si="2"/>
        <v>Median or Above</v>
      </c>
      <c r="W1052" s="13" t="str">
        <f t="shared" si="3"/>
        <v>25–48 Months</v>
      </c>
    </row>
    <row r="1053" hidden="1">
      <c r="A1053" s="13" t="s">
        <v>1650</v>
      </c>
      <c r="B1053" s="13" t="s">
        <v>96</v>
      </c>
      <c r="C1053" s="14">
        <v>46.0</v>
      </c>
      <c r="D1053" s="13" t="s">
        <v>35</v>
      </c>
      <c r="E1053" s="13" t="s">
        <v>51</v>
      </c>
      <c r="F1053" s="13" t="s">
        <v>37</v>
      </c>
      <c r="G1053" s="13" t="s">
        <v>63</v>
      </c>
      <c r="H1053" s="16">
        <v>45256.0</v>
      </c>
      <c r="I1053" s="14">
        <v>34.0</v>
      </c>
      <c r="J1053" s="13" t="s">
        <v>53</v>
      </c>
      <c r="K1053" s="13" t="s">
        <v>41</v>
      </c>
      <c r="L1053" s="14">
        <v>1266.0</v>
      </c>
      <c r="M1053" s="18" t="s">
        <v>43</v>
      </c>
      <c r="N1053" s="20">
        <v>1.0</v>
      </c>
      <c r="O1053" s="18">
        <v>25.1</v>
      </c>
      <c r="P1053" s="20">
        <v>2.4</v>
      </c>
      <c r="Q1053" s="16">
        <v>45544.0</v>
      </c>
      <c r="R1053" s="16" t="s">
        <v>38</v>
      </c>
      <c r="S1053" s="13" t="s">
        <v>55</v>
      </c>
      <c r="T1053" s="13" t="s">
        <v>47</v>
      </c>
      <c r="U1053" s="13" t="str">
        <f t="shared" si="1"/>
        <v>Low</v>
      </c>
      <c r="V1053" s="13" t="str">
        <f t="shared" si="2"/>
        <v>Median or Above</v>
      </c>
      <c r="W1053" s="13" t="str">
        <f t="shared" si="3"/>
        <v>25–48 Months</v>
      </c>
    </row>
    <row r="1054" hidden="1">
      <c r="A1054" s="13" t="s">
        <v>1136</v>
      </c>
      <c r="B1054" s="13" t="s">
        <v>190</v>
      </c>
      <c r="C1054" s="14">
        <v>62.0</v>
      </c>
      <c r="D1054" s="13" t="s">
        <v>35</v>
      </c>
      <c r="E1054" s="13" t="s">
        <v>51</v>
      </c>
      <c r="F1054" s="13" t="s">
        <v>37</v>
      </c>
      <c r="G1054" s="13" t="s">
        <v>63</v>
      </c>
      <c r="H1054" s="16">
        <v>45426.0</v>
      </c>
      <c r="I1054" s="14">
        <v>47.0</v>
      </c>
      <c r="J1054" s="13" t="s">
        <v>53</v>
      </c>
      <c r="K1054" s="13" t="s">
        <v>65</v>
      </c>
      <c r="L1054" s="14">
        <v>1754.0</v>
      </c>
      <c r="M1054" s="18" t="s">
        <v>46</v>
      </c>
      <c r="N1054" s="20">
        <v>0.0</v>
      </c>
      <c r="O1054" s="18">
        <v>21.8</v>
      </c>
      <c r="P1054" s="20">
        <v>2.9</v>
      </c>
      <c r="Q1054" s="16">
        <v>46095.0</v>
      </c>
      <c r="R1054" s="16" t="s">
        <v>38</v>
      </c>
      <c r="S1054" s="13" t="s">
        <v>55</v>
      </c>
      <c r="T1054" s="13" t="s">
        <v>104</v>
      </c>
      <c r="U1054" s="13" t="str">
        <f t="shared" si="1"/>
        <v>Low</v>
      </c>
      <c r="V1054" s="13" t="str">
        <f t="shared" si="2"/>
        <v>Below Median</v>
      </c>
      <c r="W1054" s="13" t="str">
        <f t="shared" si="3"/>
        <v>25–48 Months</v>
      </c>
    </row>
    <row r="1055" hidden="1">
      <c r="A1055" s="13" t="s">
        <v>1651</v>
      </c>
      <c r="B1055" s="13" t="s">
        <v>340</v>
      </c>
      <c r="C1055" s="14">
        <v>24.0</v>
      </c>
      <c r="D1055" s="13" t="s">
        <v>35</v>
      </c>
      <c r="E1055" s="13" t="s">
        <v>36</v>
      </c>
      <c r="F1055" s="13" t="s">
        <v>37</v>
      </c>
      <c r="G1055" s="13" t="s">
        <v>52</v>
      </c>
      <c r="H1055" s="16">
        <v>44611.0</v>
      </c>
      <c r="I1055" s="14">
        <v>47.0</v>
      </c>
      <c r="J1055" s="13" t="s">
        <v>64</v>
      </c>
      <c r="K1055" s="13" t="s">
        <v>41</v>
      </c>
      <c r="L1055" s="14">
        <v>1167.0</v>
      </c>
      <c r="M1055" s="18" t="s">
        <v>98</v>
      </c>
      <c r="N1055" s="20">
        <v>0.0</v>
      </c>
      <c r="O1055" s="18">
        <v>33.8</v>
      </c>
      <c r="P1055" s="20">
        <v>4.1</v>
      </c>
      <c r="Q1055" s="16">
        <v>45925.0</v>
      </c>
      <c r="R1055" s="16" t="s">
        <v>38</v>
      </c>
      <c r="S1055" s="13" t="s">
        <v>55</v>
      </c>
      <c r="T1055" s="13" t="s">
        <v>75</v>
      </c>
      <c r="U1055" s="13" t="str">
        <f t="shared" si="1"/>
        <v>Moderate</v>
      </c>
      <c r="V1055" s="13" t="str">
        <f t="shared" si="2"/>
        <v>Median or Above</v>
      </c>
      <c r="W1055" s="13" t="str">
        <f t="shared" si="3"/>
        <v>25–48 Months</v>
      </c>
    </row>
    <row r="1056" hidden="1">
      <c r="A1056" s="13" t="s">
        <v>1652</v>
      </c>
      <c r="B1056" s="13" t="s">
        <v>176</v>
      </c>
      <c r="C1056" s="14">
        <v>67.0</v>
      </c>
      <c r="D1056" s="13" t="s">
        <v>85</v>
      </c>
      <c r="E1056" s="13" t="s">
        <v>92</v>
      </c>
      <c r="F1056" s="13" t="s">
        <v>62</v>
      </c>
      <c r="G1056" s="13" t="s">
        <v>52</v>
      </c>
      <c r="H1056" s="16">
        <v>45800.0</v>
      </c>
      <c r="I1056" s="14">
        <v>2.0</v>
      </c>
      <c r="J1056" s="13" t="s">
        <v>53</v>
      </c>
      <c r="K1056" s="13" t="s">
        <v>65</v>
      </c>
      <c r="L1056" s="14">
        <v>679.0</v>
      </c>
      <c r="M1056" s="18" t="s">
        <v>38</v>
      </c>
      <c r="N1056" s="20">
        <v>3.0</v>
      </c>
      <c r="O1056" s="18">
        <v>6.1</v>
      </c>
      <c r="P1056" s="20">
        <v>3.4</v>
      </c>
      <c r="Q1056" s="16">
        <v>45824.0</v>
      </c>
      <c r="R1056" s="16" t="s">
        <v>38</v>
      </c>
      <c r="S1056" s="13" t="s">
        <v>55</v>
      </c>
      <c r="T1056" s="13" t="s">
        <v>47</v>
      </c>
      <c r="U1056" s="13" t="str">
        <f t="shared" si="1"/>
        <v>Moderate</v>
      </c>
      <c r="V1056" s="13" t="str">
        <f t="shared" si="2"/>
        <v>Below Median</v>
      </c>
      <c r="W1056" s="13" t="str">
        <f t="shared" si="3"/>
        <v>0–12 Months</v>
      </c>
    </row>
    <row r="1057" hidden="1">
      <c r="A1057" s="13" t="s">
        <v>240</v>
      </c>
      <c r="B1057" s="13" t="s">
        <v>633</v>
      </c>
      <c r="C1057" s="14">
        <v>49.0</v>
      </c>
      <c r="D1057" s="13" t="s">
        <v>69</v>
      </c>
      <c r="E1057" s="13" t="s">
        <v>119</v>
      </c>
      <c r="F1057" s="13" t="s">
        <v>62</v>
      </c>
      <c r="G1057" s="13" t="s">
        <v>80</v>
      </c>
      <c r="H1057" s="16">
        <v>44718.0</v>
      </c>
      <c r="I1057" s="14">
        <v>10.0</v>
      </c>
      <c r="J1057" s="13" t="s">
        <v>40</v>
      </c>
      <c r="K1057" s="13" t="s">
        <v>81</v>
      </c>
      <c r="L1057" s="14">
        <v>889.0</v>
      </c>
      <c r="M1057" s="18" t="s">
        <v>99</v>
      </c>
      <c r="N1057" s="20">
        <v>1.0</v>
      </c>
      <c r="O1057" s="18">
        <v>7.5</v>
      </c>
      <c r="P1057" s="20">
        <v>2.1</v>
      </c>
      <c r="Q1057" s="16">
        <v>44749.0</v>
      </c>
      <c r="R1057" s="16" t="s">
        <v>38</v>
      </c>
      <c r="S1057" s="13" t="s">
        <v>55</v>
      </c>
      <c r="T1057" s="13" t="s">
        <v>75</v>
      </c>
      <c r="U1057" s="13" t="str">
        <f t="shared" si="1"/>
        <v>Low</v>
      </c>
      <c r="V1057" s="13" t="str">
        <f t="shared" si="2"/>
        <v>Below Median</v>
      </c>
      <c r="W1057" s="13" t="str">
        <f t="shared" si="3"/>
        <v>0–12 Months</v>
      </c>
    </row>
    <row r="1058" hidden="1">
      <c r="A1058" s="13" t="s">
        <v>533</v>
      </c>
      <c r="B1058" s="13" t="s">
        <v>224</v>
      </c>
      <c r="C1058" s="14">
        <v>52.0</v>
      </c>
      <c r="D1058" s="13" t="s">
        <v>35</v>
      </c>
      <c r="E1058" s="13" t="s">
        <v>36</v>
      </c>
      <c r="F1058" s="13" t="s">
        <v>37</v>
      </c>
      <c r="G1058" s="13" t="s">
        <v>63</v>
      </c>
      <c r="H1058" s="16">
        <v>45917.0</v>
      </c>
      <c r="I1058" s="14">
        <v>17.0</v>
      </c>
      <c r="J1058" s="13" t="s">
        <v>40</v>
      </c>
      <c r="K1058" s="13" t="s">
        <v>65</v>
      </c>
      <c r="L1058" s="14">
        <v>1352.0</v>
      </c>
      <c r="M1058" s="18" t="s">
        <v>43</v>
      </c>
      <c r="N1058" s="20">
        <v>1.0</v>
      </c>
      <c r="O1058" s="18">
        <v>24.9</v>
      </c>
      <c r="P1058" s="20">
        <v>2.5</v>
      </c>
      <c r="Q1058" s="16">
        <v>46276.0</v>
      </c>
      <c r="R1058" s="16">
        <v>45669.0</v>
      </c>
      <c r="S1058" s="13" t="s">
        <v>45</v>
      </c>
      <c r="T1058" s="13" t="s">
        <v>75</v>
      </c>
      <c r="U1058" s="13" t="str">
        <f t="shared" si="1"/>
        <v>Low</v>
      </c>
      <c r="V1058" s="13" t="str">
        <f t="shared" si="2"/>
        <v>Median or Above</v>
      </c>
      <c r="W1058" s="13" t="str">
        <f t="shared" si="3"/>
        <v>13–24 Months</v>
      </c>
    </row>
    <row r="1059" hidden="1">
      <c r="A1059" s="13" t="s">
        <v>1070</v>
      </c>
      <c r="B1059" s="13" t="s">
        <v>224</v>
      </c>
      <c r="C1059" s="14">
        <v>29.0</v>
      </c>
      <c r="D1059" s="13" t="s">
        <v>35</v>
      </c>
      <c r="E1059" s="13" t="s">
        <v>51</v>
      </c>
      <c r="F1059" s="13" t="s">
        <v>62</v>
      </c>
      <c r="G1059" s="13" t="s">
        <v>80</v>
      </c>
      <c r="H1059" s="16">
        <v>45113.0</v>
      </c>
      <c r="I1059" s="14">
        <v>33.0</v>
      </c>
      <c r="J1059" s="13" t="s">
        <v>64</v>
      </c>
      <c r="K1059" s="13" t="s">
        <v>65</v>
      </c>
      <c r="L1059" s="14">
        <v>663.0</v>
      </c>
      <c r="M1059" s="18" t="s">
        <v>164</v>
      </c>
      <c r="N1059" s="20">
        <v>2.0</v>
      </c>
      <c r="O1059" s="18">
        <v>10.6</v>
      </c>
      <c r="P1059" s="20">
        <v>5.0</v>
      </c>
      <c r="Q1059" s="16">
        <v>45173.0</v>
      </c>
      <c r="R1059" s="16" t="s">
        <v>38</v>
      </c>
      <c r="S1059" s="13" t="s">
        <v>55</v>
      </c>
      <c r="T1059" s="13" t="s">
        <v>104</v>
      </c>
      <c r="U1059" s="13" t="str">
        <f t="shared" si="1"/>
        <v>High</v>
      </c>
      <c r="V1059" s="13" t="str">
        <f t="shared" si="2"/>
        <v>Below Median</v>
      </c>
      <c r="W1059" s="13" t="str">
        <f t="shared" si="3"/>
        <v>25–48 Months</v>
      </c>
    </row>
    <row r="1060" hidden="1">
      <c r="A1060" s="13" t="s">
        <v>1945</v>
      </c>
      <c r="B1060" s="13" t="s">
        <v>74</v>
      </c>
      <c r="C1060" s="14">
        <v>68.0</v>
      </c>
      <c r="D1060" s="13" t="s">
        <v>35</v>
      </c>
      <c r="E1060" s="13" t="s">
        <v>140</v>
      </c>
      <c r="F1060" s="13" t="s">
        <v>62</v>
      </c>
      <c r="G1060" s="13" t="s">
        <v>39</v>
      </c>
      <c r="H1060" s="16">
        <v>45054.0</v>
      </c>
      <c r="I1060" s="14">
        <v>27.0</v>
      </c>
      <c r="J1060" s="13" t="s">
        <v>64</v>
      </c>
      <c r="K1060" s="13" t="s">
        <v>81</v>
      </c>
      <c r="L1060" s="14">
        <v>813.0</v>
      </c>
      <c r="M1060" s="18" t="s">
        <v>46</v>
      </c>
      <c r="N1060" s="20">
        <v>0.0</v>
      </c>
      <c r="O1060" s="18">
        <v>17.8</v>
      </c>
      <c r="P1060" s="20">
        <v>4.9</v>
      </c>
      <c r="Q1060" s="16">
        <v>45696.0</v>
      </c>
      <c r="R1060" s="16" t="s">
        <v>38</v>
      </c>
      <c r="S1060" s="13" t="s">
        <v>55</v>
      </c>
      <c r="T1060" s="13" t="s">
        <v>66</v>
      </c>
      <c r="U1060" s="13" t="str">
        <f t="shared" si="1"/>
        <v>Moderate</v>
      </c>
      <c r="V1060" s="13" t="str">
        <f t="shared" si="2"/>
        <v>Below Median</v>
      </c>
      <c r="W1060" s="13" t="str">
        <f t="shared" si="3"/>
        <v>25–48 Months</v>
      </c>
    </row>
    <row r="1061" hidden="1">
      <c r="A1061" s="13" t="s">
        <v>434</v>
      </c>
      <c r="B1061" s="13" t="s">
        <v>179</v>
      </c>
      <c r="C1061" s="14">
        <v>35.0</v>
      </c>
      <c r="D1061" s="13" t="s">
        <v>69</v>
      </c>
      <c r="E1061" s="13" t="s">
        <v>70</v>
      </c>
      <c r="F1061" s="13" t="s">
        <v>62</v>
      </c>
      <c r="G1061" s="13" t="s">
        <v>128</v>
      </c>
      <c r="H1061" s="16">
        <v>44658.0</v>
      </c>
      <c r="I1061" s="14">
        <v>8.0</v>
      </c>
      <c r="J1061" s="13" t="s">
        <v>64</v>
      </c>
      <c r="K1061" s="13" t="s">
        <v>81</v>
      </c>
      <c r="L1061" s="14">
        <v>628.0</v>
      </c>
      <c r="M1061" s="18" t="s">
        <v>43</v>
      </c>
      <c r="N1061" s="20">
        <v>1.0</v>
      </c>
      <c r="O1061" s="18">
        <v>26.7</v>
      </c>
      <c r="P1061" s="20">
        <v>2.7</v>
      </c>
      <c r="Q1061" s="16">
        <v>44895.0</v>
      </c>
      <c r="R1061" s="16" t="s">
        <v>1526</v>
      </c>
      <c r="S1061" s="13" t="s">
        <v>45</v>
      </c>
      <c r="T1061" s="13" t="s">
        <v>72</v>
      </c>
      <c r="U1061" s="13" t="str">
        <f t="shared" si="1"/>
        <v>Low</v>
      </c>
      <c r="V1061" s="13" t="str">
        <f t="shared" si="2"/>
        <v>Median or Above</v>
      </c>
      <c r="W1061" s="13" t="str">
        <f t="shared" si="3"/>
        <v>0–12 Months</v>
      </c>
    </row>
    <row r="1062" hidden="1">
      <c r="A1062" s="13" t="s">
        <v>1162</v>
      </c>
      <c r="B1062" s="13" t="s">
        <v>59</v>
      </c>
      <c r="C1062" s="14">
        <v>36.0</v>
      </c>
      <c r="D1062" s="13" t="s">
        <v>69</v>
      </c>
      <c r="E1062" s="13" t="s">
        <v>119</v>
      </c>
      <c r="F1062" s="13" t="s">
        <v>62</v>
      </c>
      <c r="G1062" s="13" t="s">
        <v>39</v>
      </c>
      <c r="H1062" s="16">
        <v>45618.0</v>
      </c>
      <c r="I1062" s="14">
        <v>13.0</v>
      </c>
      <c r="J1062" s="13" t="s">
        <v>40</v>
      </c>
      <c r="K1062" s="13" t="s">
        <v>41</v>
      </c>
      <c r="L1062" s="14">
        <v>1191.0</v>
      </c>
      <c r="M1062" s="18" t="s">
        <v>98</v>
      </c>
      <c r="N1062" s="20">
        <v>0.0</v>
      </c>
      <c r="O1062" s="18">
        <v>23.9</v>
      </c>
      <c r="P1062" s="20">
        <v>3.4</v>
      </c>
      <c r="Q1062" s="16">
        <v>45959.0</v>
      </c>
      <c r="R1062" s="16" t="s">
        <v>38</v>
      </c>
      <c r="S1062" s="13" t="s">
        <v>55</v>
      </c>
      <c r="T1062" s="13" t="s">
        <v>104</v>
      </c>
      <c r="U1062" s="13" t="str">
        <f t="shared" si="1"/>
        <v>Moderate</v>
      </c>
      <c r="V1062" s="13" t="str">
        <f t="shared" si="2"/>
        <v>Below Median</v>
      </c>
      <c r="W1062" s="13" t="str">
        <f t="shared" si="3"/>
        <v>13–24 Months</v>
      </c>
    </row>
    <row r="1063" hidden="1">
      <c r="A1063" s="13" t="s">
        <v>1655</v>
      </c>
      <c r="B1063" s="13" t="s">
        <v>96</v>
      </c>
      <c r="C1063" s="14">
        <v>34.0</v>
      </c>
      <c r="D1063" s="13" t="s">
        <v>85</v>
      </c>
      <c r="E1063" s="13" t="s">
        <v>92</v>
      </c>
      <c r="F1063" s="13" t="s">
        <v>37</v>
      </c>
      <c r="G1063" s="13" t="s">
        <v>63</v>
      </c>
      <c r="H1063" s="16">
        <v>45732.0</v>
      </c>
      <c r="I1063" s="14">
        <v>42.0</v>
      </c>
      <c r="J1063" s="13" t="s">
        <v>53</v>
      </c>
      <c r="K1063" s="13" t="s">
        <v>81</v>
      </c>
      <c r="L1063" s="14">
        <v>1313.0</v>
      </c>
      <c r="M1063" s="18" t="s">
        <v>98</v>
      </c>
      <c r="N1063" s="20">
        <v>1.0</v>
      </c>
      <c r="O1063" s="18">
        <v>23.6</v>
      </c>
      <c r="P1063" s="20">
        <v>2.7</v>
      </c>
      <c r="Q1063" s="16">
        <v>46351.0</v>
      </c>
      <c r="R1063" s="16" t="s">
        <v>38</v>
      </c>
      <c r="S1063" s="13" t="s">
        <v>55</v>
      </c>
      <c r="T1063" s="13" t="s">
        <v>47</v>
      </c>
      <c r="U1063" s="13" t="str">
        <f t="shared" si="1"/>
        <v>Low</v>
      </c>
      <c r="V1063" s="13" t="str">
        <f t="shared" si="2"/>
        <v>Below Median</v>
      </c>
      <c r="W1063" s="13" t="str">
        <f t="shared" si="3"/>
        <v>25–48 Months</v>
      </c>
    </row>
    <row r="1064" hidden="1">
      <c r="A1064" s="13" t="s">
        <v>311</v>
      </c>
      <c r="B1064" s="13" t="s">
        <v>206</v>
      </c>
      <c r="C1064" s="14">
        <v>41.0</v>
      </c>
      <c r="D1064" s="13" t="s">
        <v>85</v>
      </c>
      <c r="E1064" s="13" t="s">
        <v>111</v>
      </c>
      <c r="F1064" s="13" t="s">
        <v>62</v>
      </c>
      <c r="G1064" s="13" t="s">
        <v>128</v>
      </c>
      <c r="H1064" s="16">
        <v>45077.0</v>
      </c>
      <c r="I1064" s="14">
        <v>6.0</v>
      </c>
      <c r="J1064" s="13" t="s">
        <v>53</v>
      </c>
      <c r="K1064" s="13" t="s">
        <v>65</v>
      </c>
      <c r="L1064" s="14">
        <v>519.0</v>
      </c>
      <c r="M1064" s="18" t="s">
        <v>164</v>
      </c>
      <c r="N1064" s="20">
        <v>0.0</v>
      </c>
      <c r="O1064" s="18">
        <v>36.3</v>
      </c>
      <c r="P1064" s="20">
        <v>5.0</v>
      </c>
      <c r="Q1064" s="16">
        <v>45248.0</v>
      </c>
      <c r="R1064" s="16" t="s">
        <v>38</v>
      </c>
      <c r="S1064" s="13" t="s">
        <v>55</v>
      </c>
      <c r="T1064" s="13" t="s">
        <v>104</v>
      </c>
      <c r="U1064" s="13" t="str">
        <f t="shared" si="1"/>
        <v>High</v>
      </c>
      <c r="V1064" s="13" t="str">
        <f t="shared" si="2"/>
        <v>Median or Above</v>
      </c>
      <c r="W1064" s="13" t="str">
        <f t="shared" si="3"/>
        <v>0–12 Months</v>
      </c>
    </row>
    <row r="1065" hidden="1">
      <c r="A1065" s="13" t="s">
        <v>1254</v>
      </c>
      <c r="B1065" s="13" t="s">
        <v>639</v>
      </c>
      <c r="C1065" s="14">
        <v>43.0</v>
      </c>
      <c r="D1065" s="13" t="s">
        <v>85</v>
      </c>
      <c r="E1065" s="13" t="s">
        <v>111</v>
      </c>
      <c r="F1065" s="13" t="s">
        <v>37</v>
      </c>
      <c r="G1065" s="13" t="s">
        <v>210</v>
      </c>
      <c r="H1065" s="16">
        <v>45258.0</v>
      </c>
      <c r="I1065" s="14">
        <v>35.0</v>
      </c>
      <c r="J1065" s="13" t="s">
        <v>53</v>
      </c>
      <c r="K1065" s="13" t="s">
        <v>65</v>
      </c>
      <c r="L1065" s="14">
        <v>1195.0</v>
      </c>
      <c r="M1065" s="18" t="s">
        <v>98</v>
      </c>
      <c r="N1065" s="20">
        <v>1.0</v>
      </c>
      <c r="O1065" s="18">
        <v>45.3</v>
      </c>
      <c r="P1065" s="20">
        <v>2.0</v>
      </c>
      <c r="Q1065" s="16">
        <v>45315.0</v>
      </c>
      <c r="R1065" s="16" t="s">
        <v>38</v>
      </c>
      <c r="S1065" s="13" t="s">
        <v>55</v>
      </c>
      <c r="T1065" s="13" t="s">
        <v>72</v>
      </c>
      <c r="U1065" s="13" t="str">
        <f t="shared" si="1"/>
        <v>Low</v>
      </c>
      <c r="V1065" s="13" t="str">
        <f t="shared" si="2"/>
        <v>Median or Above</v>
      </c>
      <c r="W1065" s="13" t="str">
        <f t="shared" si="3"/>
        <v>25–48 Months</v>
      </c>
    </row>
    <row r="1066" hidden="1">
      <c r="A1066" s="13" t="s">
        <v>1656</v>
      </c>
      <c r="B1066" s="13" t="s">
        <v>68</v>
      </c>
      <c r="C1066" s="14">
        <v>48.0</v>
      </c>
      <c r="D1066" s="13" t="s">
        <v>60</v>
      </c>
      <c r="E1066" s="13" t="s">
        <v>51</v>
      </c>
      <c r="F1066" s="13" t="s">
        <v>37</v>
      </c>
      <c r="G1066" s="13" t="s">
        <v>210</v>
      </c>
      <c r="H1066" s="16">
        <v>45056.0</v>
      </c>
      <c r="I1066" s="14">
        <v>36.0</v>
      </c>
      <c r="J1066" s="13" t="s">
        <v>64</v>
      </c>
      <c r="K1066" s="13" t="s">
        <v>81</v>
      </c>
      <c r="L1066" s="14">
        <v>1181.0</v>
      </c>
      <c r="M1066" s="18" t="s">
        <v>98</v>
      </c>
      <c r="N1066" s="20">
        <v>2.0</v>
      </c>
      <c r="O1066" s="18">
        <v>15.2</v>
      </c>
      <c r="P1066" s="20">
        <v>2.9</v>
      </c>
      <c r="Q1066" s="16">
        <v>45630.0</v>
      </c>
      <c r="R1066" s="16" t="s">
        <v>38</v>
      </c>
      <c r="S1066" s="13" t="s">
        <v>55</v>
      </c>
      <c r="T1066" s="13" t="s">
        <v>104</v>
      </c>
      <c r="U1066" s="13" t="str">
        <f t="shared" si="1"/>
        <v>Low</v>
      </c>
      <c r="V1066" s="13" t="str">
        <f t="shared" si="2"/>
        <v>Below Median</v>
      </c>
      <c r="W1066" s="13" t="str">
        <f t="shared" si="3"/>
        <v>25–48 Months</v>
      </c>
    </row>
    <row r="1067" hidden="1">
      <c r="A1067" s="13" t="s">
        <v>1657</v>
      </c>
      <c r="B1067" s="13" t="s">
        <v>380</v>
      </c>
      <c r="C1067" s="14">
        <v>56.0</v>
      </c>
      <c r="D1067" s="13" t="s">
        <v>60</v>
      </c>
      <c r="E1067" s="13" t="s">
        <v>61</v>
      </c>
      <c r="F1067" s="13" t="s">
        <v>62</v>
      </c>
      <c r="G1067" s="13" t="s">
        <v>52</v>
      </c>
      <c r="H1067" s="16">
        <v>44679.0</v>
      </c>
      <c r="I1067" s="14">
        <v>19.0</v>
      </c>
      <c r="J1067" s="13" t="s">
        <v>53</v>
      </c>
      <c r="K1067" s="13" t="s">
        <v>81</v>
      </c>
      <c r="L1067" s="14">
        <v>609.0</v>
      </c>
      <c r="M1067" s="18" t="s">
        <v>43</v>
      </c>
      <c r="N1067" s="20">
        <v>2.0</v>
      </c>
      <c r="O1067" s="18">
        <v>27.6</v>
      </c>
      <c r="P1067" s="20">
        <v>3.7</v>
      </c>
      <c r="Q1067" s="16">
        <v>45052.0</v>
      </c>
      <c r="R1067" s="16" t="s">
        <v>38</v>
      </c>
      <c r="S1067" s="13" t="s">
        <v>55</v>
      </c>
      <c r="T1067" s="13" t="s">
        <v>104</v>
      </c>
      <c r="U1067" s="13" t="str">
        <f t="shared" si="1"/>
        <v>Moderate</v>
      </c>
      <c r="V1067" s="13" t="str">
        <f t="shared" si="2"/>
        <v>Median or Above</v>
      </c>
      <c r="W1067" s="13" t="str">
        <f t="shared" si="3"/>
        <v>13–24 Months</v>
      </c>
    </row>
    <row r="1068" hidden="1">
      <c r="A1068" s="13" t="s">
        <v>1658</v>
      </c>
      <c r="B1068" s="13" t="s">
        <v>179</v>
      </c>
      <c r="C1068" s="14">
        <v>57.0</v>
      </c>
      <c r="D1068" s="13" t="s">
        <v>69</v>
      </c>
      <c r="E1068" s="13" t="s">
        <v>187</v>
      </c>
      <c r="F1068" s="13" t="s">
        <v>37</v>
      </c>
      <c r="G1068" s="13" t="s">
        <v>63</v>
      </c>
      <c r="H1068" s="16">
        <v>44755.0</v>
      </c>
      <c r="I1068" s="14">
        <v>46.0</v>
      </c>
      <c r="J1068" s="13" t="s">
        <v>40</v>
      </c>
      <c r="K1068" s="13" t="s">
        <v>41</v>
      </c>
      <c r="L1068" s="14">
        <v>1476.0</v>
      </c>
      <c r="M1068" s="18" t="s">
        <v>46</v>
      </c>
      <c r="N1068" s="20">
        <v>1.0</v>
      </c>
      <c r="O1068" s="18">
        <v>34.6</v>
      </c>
      <c r="P1068" s="20">
        <v>3.1</v>
      </c>
      <c r="Q1068" s="16">
        <v>45018.0</v>
      </c>
      <c r="R1068" s="16" t="s">
        <v>38</v>
      </c>
      <c r="S1068" s="13" t="s">
        <v>55</v>
      </c>
      <c r="T1068" s="13" t="s">
        <v>66</v>
      </c>
      <c r="U1068" s="13" t="str">
        <f t="shared" si="1"/>
        <v>Moderate</v>
      </c>
      <c r="V1068" s="13" t="str">
        <f t="shared" si="2"/>
        <v>Median or Above</v>
      </c>
      <c r="W1068" s="13" t="str">
        <f t="shared" si="3"/>
        <v>25–48 Months</v>
      </c>
    </row>
    <row r="1069" hidden="1">
      <c r="A1069" s="13" t="s">
        <v>1659</v>
      </c>
      <c r="B1069" s="13" t="s">
        <v>639</v>
      </c>
      <c r="C1069" s="14">
        <v>67.0</v>
      </c>
      <c r="D1069" s="13" t="s">
        <v>69</v>
      </c>
      <c r="E1069" s="13" t="s">
        <v>119</v>
      </c>
      <c r="F1069" s="13" t="s">
        <v>62</v>
      </c>
      <c r="G1069" s="13" t="s">
        <v>120</v>
      </c>
      <c r="H1069" s="16">
        <v>45880.0</v>
      </c>
      <c r="I1069" s="14">
        <v>21.0</v>
      </c>
      <c r="J1069" s="13" t="s">
        <v>53</v>
      </c>
      <c r="K1069" s="13" t="s">
        <v>65</v>
      </c>
      <c r="L1069" s="14">
        <v>519.0</v>
      </c>
      <c r="M1069" s="18" t="s">
        <v>164</v>
      </c>
      <c r="N1069" s="20">
        <v>0.0</v>
      </c>
      <c r="O1069" s="18">
        <v>14.3</v>
      </c>
      <c r="P1069" s="20">
        <v>4.9</v>
      </c>
      <c r="Q1069" s="16">
        <v>45925.0</v>
      </c>
      <c r="R1069" s="16" t="s">
        <v>1529</v>
      </c>
      <c r="S1069" s="13" t="s">
        <v>45</v>
      </c>
      <c r="T1069" s="13" t="s">
        <v>104</v>
      </c>
      <c r="U1069" s="13" t="str">
        <f t="shared" si="1"/>
        <v>Moderate</v>
      </c>
      <c r="V1069" s="13" t="str">
        <f t="shared" si="2"/>
        <v>Below Median</v>
      </c>
      <c r="W1069" s="13" t="str">
        <f t="shared" si="3"/>
        <v>13–24 Months</v>
      </c>
    </row>
    <row r="1070" hidden="1">
      <c r="A1070" s="13" t="s">
        <v>1532</v>
      </c>
      <c r="B1070" s="13" t="s">
        <v>135</v>
      </c>
      <c r="C1070" s="14">
        <v>54.0</v>
      </c>
      <c r="D1070" s="13" t="s">
        <v>85</v>
      </c>
      <c r="E1070" s="13" t="s">
        <v>292</v>
      </c>
      <c r="F1070" s="13" t="s">
        <v>62</v>
      </c>
      <c r="G1070" s="13" t="s">
        <v>39</v>
      </c>
      <c r="H1070" s="16">
        <v>44989.0</v>
      </c>
      <c r="I1070" s="14">
        <v>2.0</v>
      </c>
      <c r="J1070" s="13" t="s">
        <v>40</v>
      </c>
      <c r="K1070" s="13" t="s">
        <v>81</v>
      </c>
      <c r="L1070" s="14">
        <v>514.0</v>
      </c>
      <c r="M1070" s="18" t="s">
        <v>46</v>
      </c>
      <c r="N1070" s="20">
        <v>1.0</v>
      </c>
      <c r="O1070" s="18">
        <v>12.0</v>
      </c>
      <c r="P1070" s="20">
        <v>4.0</v>
      </c>
      <c r="Q1070" s="16">
        <v>45041.0</v>
      </c>
      <c r="R1070" s="16" t="s">
        <v>1660</v>
      </c>
      <c r="S1070" s="13" t="s">
        <v>45</v>
      </c>
      <c r="T1070" s="13" t="s">
        <v>66</v>
      </c>
      <c r="U1070" s="13" t="str">
        <f t="shared" si="1"/>
        <v>Moderate</v>
      </c>
      <c r="V1070" s="13" t="str">
        <f t="shared" si="2"/>
        <v>Below Median</v>
      </c>
      <c r="W1070" s="13" t="str">
        <f t="shared" si="3"/>
        <v>0–12 Months</v>
      </c>
    </row>
    <row r="1071" hidden="1">
      <c r="A1071" s="13" t="s">
        <v>819</v>
      </c>
      <c r="B1071" s="13" t="s">
        <v>308</v>
      </c>
      <c r="C1071" s="14">
        <v>58.0</v>
      </c>
      <c r="D1071" s="13" t="s">
        <v>69</v>
      </c>
      <c r="E1071" s="13" t="s">
        <v>119</v>
      </c>
      <c r="F1071" s="13" t="s">
        <v>62</v>
      </c>
      <c r="G1071" s="13" t="s">
        <v>52</v>
      </c>
      <c r="H1071" s="16">
        <v>46001.0</v>
      </c>
      <c r="I1071" s="14">
        <v>32.0</v>
      </c>
      <c r="J1071" s="13" t="s">
        <v>64</v>
      </c>
      <c r="K1071" s="13" t="s">
        <v>41</v>
      </c>
      <c r="L1071" s="14">
        <v>644.0</v>
      </c>
      <c r="M1071" s="18" t="s">
        <v>46</v>
      </c>
      <c r="N1071" s="20">
        <v>1.0</v>
      </c>
      <c r="O1071" s="18">
        <v>11.2</v>
      </c>
      <c r="P1071" s="20">
        <v>4.2</v>
      </c>
      <c r="Q1071" s="16">
        <v>46753.0</v>
      </c>
      <c r="R1071" s="16" t="s">
        <v>38</v>
      </c>
      <c r="S1071" s="13" t="s">
        <v>55</v>
      </c>
      <c r="T1071" s="13" t="s">
        <v>75</v>
      </c>
      <c r="U1071" s="13" t="str">
        <f t="shared" si="1"/>
        <v>Moderate</v>
      </c>
      <c r="V1071" s="13" t="str">
        <f t="shared" si="2"/>
        <v>Below Median</v>
      </c>
      <c r="W1071" s="13" t="str">
        <f t="shared" si="3"/>
        <v>25–48 Months</v>
      </c>
    </row>
    <row r="1072" hidden="1">
      <c r="A1072" s="13" t="s">
        <v>1661</v>
      </c>
      <c r="B1072" s="13" t="s">
        <v>398</v>
      </c>
      <c r="C1072" s="14">
        <v>53.0</v>
      </c>
      <c r="D1072" s="13" t="s">
        <v>60</v>
      </c>
      <c r="E1072" s="13" t="s">
        <v>97</v>
      </c>
      <c r="F1072" s="13" t="s">
        <v>79</v>
      </c>
      <c r="G1072" s="13" t="s">
        <v>63</v>
      </c>
      <c r="H1072" s="16">
        <v>45199.0</v>
      </c>
      <c r="I1072" s="14">
        <v>39.0</v>
      </c>
      <c r="J1072" s="13" t="s">
        <v>53</v>
      </c>
      <c r="K1072" s="13" t="s">
        <v>41</v>
      </c>
      <c r="L1072" s="14">
        <v>3308.0</v>
      </c>
      <c r="M1072" s="18" t="s">
        <v>164</v>
      </c>
      <c r="N1072" s="20">
        <v>0.0</v>
      </c>
      <c r="O1072" s="18">
        <v>33.2</v>
      </c>
      <c r="P1072" s="20">
        <v>4.1</v>
      </c>
      <c r="Q1072" s="16">
        <v>46386.0</v>
      </c>
      <c r="R1072" s="16" t="s">
        <v>38</v>
      </c>
      <c r="S1072" s="13" t="s">
        <v>55</v>
      </c>
      <c r="T1072" s="13" t="s">
        <v>47</v>
      </c>
      <c r="U1072" s="13" t="str">
        <f t="shared" si="1"/>
        <v>Moderate</v>
      </c>
      <c r="V1072" s="13" t="str">
        <f t="shared" si="2"/>
        <v>Median or Above</v>
      </c>
      <c r="W1072" s="13" t="str">
        <f t="shared" si="3"/>
        <v>25–48 Months</v>
      </c>
    </row>
    <row r="1073" hidden="1">
      <c r="A1073" s="13" t="s">
        <v>1662</v>
      </c>
      <c r="B1073" s="13" t="s">
        <v>605</v>
      </c>
      <c r="C1073" s="14">
        <v>23.0</v>
      </c>
      <c r="D1073" s="13" t="s">
        <v>85</v>
      </c>
      <c r="E1073" s="13" t="s">
        <v>92</v>
      </c>
      <c r="F1073" s="13" t="s">
        <v>37</v>
      </c>
      <c r="G1073" s="13" t="s">
        <v>80</v>
      </c>
      <c r="H1073" s="16">
        <v>44847.0</v>
      </c>
      <c r="I1073" s="14">
        <v>27.0</v>
      </c>
      <c r="J1073" s="13" t="s">
        <v>40</v>
      </c>
      <c r="K1073" s="13" t="s">
        <v>65</v>
      </c>
      <c r="L1073" s="14">
        <v>1160.0</v>
      </c>
      <c r="M1073" s="18" t="s">
        <v>43</v>
      </c>
      <c r="N1073" s="20">
        <v>0.0</v>
      </c>
      <c r="O1073" s="18">
        <v>28.2</v>
      </c>
      <c r="P1073" s="20">
        <v>2.7</v>
      </c>
      <c r="Q1073" s="16">
        <v>45077.0</v>
      </c>
      <c r="R1073" s="16" t="s">
        <v>38</v>
      </c>
      <c r="S1073" s="13" t="s">
        <v>55</v>
      </c>
      <c r="T1073" s="13" t="s">
        <v>72</v>
      </c>
      <c r="U1073" s="13" t="str">
        <f t="shared" si="1"/>
        <v>Low</v>
      </c>
      <c r="V1073" s="13" t="str">
        <f t="shared" si="2"/>
        <v>Median or Above</v>
      </c>
      <c r="W1073" s="13" t="str">
        <f t="shared" si="3"/>
        <v>25–48 Months</v>
      </c>
    </row>
    <row r="1074" hidden="1">
      <c r="A1074" s="13" t="s">
        <v>431</v>
      </c>
      <c r="B1074" s="13" t="s">
        <v>308</v>
      </c>
      <c r="C1074" s="14">
        <v>42.0</v>
      </c>
      <c r="D1074" s="13" t="s">
        <v>60</v>
      </c>
      <c r="E1074" s="13" t="s">
        <v>133</v>
      </c>
      <c r="F1074" s="13" t="s">
        <v>62</v>
      </c>
      <c r="G1074" s="13" t="s">
        <v>210</v>
      </c>
      <c r="H1074" s="16">
        <v>44636.0</v>
      </c>
      <c r="I1074" s="14">
        <v>45.0</v>
      </c>
      <c r="J1074" s="13" t="s">
        <v>64</v>
      </c>
      <c r="K1074" s="13" t="s">
        <v>41</v>
      </c>
      <c r="L1074" s="14">
        <v>873.0</v>
      </c>
      <c r="M1074" s="18" t="s">
        <v>98</v>
      </c>
      <c r="N1074" s="20">
        <v>0.0</v>
      </c>
      <c r="O1074" s="18">
        <v>24.1</v>
      </c>
      <c r="P1074" s="20">
        <v>3.9</v>
      </c>
      <c r="Q1074" s="16">
        <v>45710.0</v>
      </c>
      <c r="R1074" s="16" t="s">
        <v>1663</v>
      </c>
      <c r="S1074" s="13" t="s">
        <v>45</v>
      </c>
      <c r="T1074" s="13" t="s">
        <v>72</v>
      </c>
      <c r="U1074" s="13" t="str">
        <f t="shared" si="1"/>
        <v>Moderate</v>
      </c>
      <c r="V1074" s="13" t="str">
        <f t="shared" si="2"/>
        <v>Median or Above</v>
      </c>
      <c r="W1074" s="13" t="str">
        <f t="shared" si="3"/>
        <v>25–48 Months</v>
      </c>
    </row>
    <row r="1075" hidden="1">
      <c r="A1075" s="13" t="s">
        <v>869</v>
      </c>
      <c r="B1075" s="13" t="s">
        <v>132</v>
      </c>
      <c r="C1075" s="14">
        <v>31.0</v>
      </c>
      <c r="D1075" s="13" t="s">
        <v>85</v>
      </c>
      <c r="E1075" s="13" t="s">
        <v>87</v>
      </c>
      <c r="F1075" s="13" t="s">
        <v>62</v>
      </c>
      <c r="G1075" s="13" t="s">
        <v>128</v>
      </c>
      <c r="H1075" s="16">
        <v>44656.0</v>
      </c>
      <c r="I1075" s="14">
        <v>34.0</v>
      </c>
      <c r="J1075" s="13" t="s">
        <v>40</v>
      </c>
      <c r="K1075" s="13" t="s">
        <v>81</v>
      </c>
      <c r="L1075" s="14">
        <v>558.0</v>
      </c>
      <c r="M1075" s="18" t="s">
        <v>164</v>
      </c>
      <c r="N1075" s="20">
        <v>1.0</v>
      </c>
      <c r="O1075" s="18">
        <v>29.3</v>
      </c>
      <c r="P1075" s="20">
        <v>4.4</v>
      </c>
      <c r="Q1075" s="16">
        <v>45539.0</v>
      </c>
      <c r="R1075" s="16" t="s">
        <v>38</v>
      </c>
      <c r="S1075" s="13" t="s">
        <v>55</v>
      </c>
      <c r="T1075" s="13" t="s">
        <v>47</v>
      </c>
      <c r="U1075" s="13" t="str">
        <f t="shared" si="1"/>
        <v>Moderate</v>
      </c>
      <c r="V1075" s="13" t="str">
        <f t="shared" si="2"/>
        <v>Median or Above</v>
      </c>
      <c r="W1075" s="13" t="str">
        <f t="shared" si="3"/>
        <v>25–48 Months</v>
      </c>
    </row>
    <row r="1076" hidden="1">
      <c r="A1076" s="13" t="s">
        <v>234</v>
      </c>
      <c r="B1076" s="13" t="s">
        <v>336</v>
      </c>
      <c r="C1076" s="14">
        <v>68.0</v>
      </c>
      <c r="D1076" s="13" t="s">
        <v>85</v>
      </c>
      <c r="E1076" s="13" t="s">
        <v>87</v>
      </c>
      <c r="F1076" s="13" t="s">
        <v>79</v>
      </c>
      <c r="G1076" s="13" t="s">
        <v>63</v>
      </c>
      <c r="H1076" s="16">
        <v>44617.0</v>
      </c>
      <c r="I1076" s="14">
        <v>25.0</v>
      </c>
      <c r="J1076" s="13" t="s">
        <v>40</v>
      </c>
      <c r="K1076" s="13" t="s">
        <v>65</v>
      </c>
      <c r="L1076" s="14">
        <v>2655.0</v>
      </c>
      <c r="M1076" s="18" t="s">
        <v>43</v>
      </c>
      <c r="N1076" s="20">
        <v>0.0</v>
      </c>
      <c r="O1076" s="18">
        <v>38.6</v>
      </c>
      <c r="P1076" s="20">
        <v>4.6</v>
      </c>
      <c r="Q1076" s="16">
        <v>44844.0</v>
      </c>
      <c r="R1076" s="16" t="s">
        <v>38</v>
      </c>
      <c r="S1076" s="13" t="s">
        <v>55</v>
      </c>
      <c r="T1076" s="13" t="s">
        <v>72</v>
      </c>
      <c r="U1076" s="13" t="str">
        <f t="shared" si="1"/>
        <v>Moderate</v>
      </c>
      <c r="V1076" s="13" t="str">
        <f t="shared" si="2"/>
        <v>Median or Above</v>
      </c>
      <c r="W1076" s="13" t="str">
        <f t="shared" si="3"/>
        <v>25–48 Months</v>
      </c>
    </row>
    <row r="1077" hidden="1">
      <c r="A1077" s="13" t="s">
        <v>638</v>
      </c>
      <c r="B1077" s="13" t="s">
        <v>172</v>
      </c>
      <c r="C1077" s="14">
        <v>52.0</v>
      </c>
      <c r="D1077" s="13" t="s">
        <v>35</v>
      </c>
      <c r="E1077" s="13" t="s">
        <v>140</v>
      </c>
      <c r="F1077" s="13" t="s">
        <v>37</v>
      </c>
      <c r="G1077" s="13" t="s">
        <v>39</v>
      </c>
      <c r="H1077" s="16">
        <v>45455.0</v>
      </c>
      <c r="I1077" s="14">
        <v>37.0</v>
      </c>
      <c r="J1077" s="13" t="s">
        <v>53</v>
      </c>
      <c r="K1077" s="13" t="s">
        <v>65</v>
      </c>
      <c r="L1077" s="14">
        <v>1495.0</v>
      </c>
      <c r="M1077" s="18" t="s">
        <v>46</v>
      </c>
      <c r="N1077" s="20">
        <v>1.0</v>
      </c>
      <c r="O1077" s="18">
        <v>25.1</v>
      </c>
      <c r="P1077" s="20">
        <v>4.4</v>
      </c>
      <c r="Q1077" s="16">
        <v>45757.0</v>
      </c>
      <c r="R1077" s="16" t="s">
        <v>38</v>
      </c>
      <c r="S1077" s="13" t="s">
        <v>55</v>
      </c>
      <c r="T1077" s="13" t="s">
        <v>104</v>
      </c>
      <c r="U1077" s="13" t="str">
        <f t="shared" si="1"/>
        <v>Moderate</v>
      </c>
      <c r="V1077" s="13" t="str">
        <f t="shared" si="2"/>
        <v>Median or Above</v>
      </c>
      <c r="W1077" s="13" t="str">
        <f t="shared" si="3"/>
        <v>25–48 Months</v>
      </c>
    </row>
    <row r="1078" hidden="1">
      <c r="A1078" s="13" t="s">
        <v>1664</v>
      </c>
      <c r="B1078" s="13" t="s">
        <v>145</v>
      </c>
      <c r="C1078" s="14">
        <v>45.0</v>
      </c>
      <c r="D1078" s="13" t="s">
        <v>69</v>
      </c>
      <c r="E1078" s="13" t="s">
        <v>38</v>
      </c>
      <c r="F1078" s="13" t="s">
        <v>79</v>
      </c>
      <c r="G1078" s="13" t="s">
        <v>63</v>
      </c>
      <c r="H1078" s="16">
        <v>45642.0</v>
      </c>
      <c r="I1078" s="14">
        <v>29.0</v>
      </c>
      <c r="J1078" s="13" t="s">
        <v>40</v>
      </c>
      <c r="K1078" s="13" t="s">
        <v>41</v>
      </c>
      <c r="L1078" s="14">
        <v>2485.0</v>
      </c>
      <c r="M1078" s="18" t="s">
        <v>164</v>
      </c>
      <c r="N1078" s="20">
        <v>2.0</v>
      </c>
      <c r="O1078" s="18">
        <v>37.4</v>
      </c>
      <c r="P1078" s="20">
        <v>3.3</v>
      </c>
      <c r="Q1078" s="16">
        <v>46140.0</v>
      </c>
      <c r="R1078" s="16" t="s">
        <v>1383</v>
      </c>
      <c r="S1078" s="13" t="s">
        <v>45</v>
      </c>
      <c r="T1078" s="13" t="s">
        <v>47</v>
      </c>
      <c r="U1078" s="13" t="str">
        <f t="shared" si="1"/>
        <v>Moderate</v>
      </c>
      <c r="V1078" s="13" t="str">
        <f t="shared" si="2"/>
        <v>Median or Above</v>
      </c>
      <c r="W1078" s="13" t="str">
        <f t="shared" si="3"/>
        <v>25–48 Months</v>
      </c>
    </row>
    <row r="1079" hidden="1">
      <c r="A1079" s="13" t="s">
        <v>1665</v>
      </c>
      <c r="B1079" s="13" t="s">
        <v>167</v>
      </c>
      <c r="C1079" s="14">
        <v>55.0</v>
      </c>
      <c r="D1079" s="13" t="s">
        <v>60</v>
      </c>
      <c r="E1079" s="13" t="s">
        <v>61</v>
      </c>
      <c r="F1079" s="13" t="s">
        <v>62</v>
      </c>
      <c r="G1079" s="13" t="s">
        <v>52</v>
      </c>
      <c r="H1079" s="16">
        <v>45320.0</v>
      </c>
      <c r="I1079" s="14">
        <v>29.0</v>
      </c>
      <c r="J1079" s="13" t="s">
        <v>64</v>
      </c>
      <c r="K1079" s="13" t="s">
        <v>81</v>
      </c>
      <c r="L1079" s="14">
        <v>508.0</v>
      </c>
      <c r="M1079" s="18" t="s">
        <v>43</v>
      </c>
      <c r="N1079" s="20">
        <v>0.0</v>
      </c>
      <c r="O1079" s="18">
        <v>18.9</v>
      </c>
      <c r="P1079" s="20">
        <v>3.9</v>
      </c>
      <c r="Q1079" s="16">
        <v>45378.0</v>
      </c>
      <c r="R1079" s="16" t="s">
        <v>38</v>
      </c>
      <c r="S1079" s="13" t="s">
        <v>55</v>
      </c>
      <c r="T1079" s="13" t="s">
        <v>104</v>
      </c>
      <c r="U1079" s="13" t="str">
        <f t="shared" si="1"/>
        <v>Moderate</v>
      </c>
      <c r="V1079" s="13" t="str">
        <f t="shared" si="2"/>
        <v>Below Median</v>
      </c>
      <c r="W1079" s="13" t="str">
        <f t="shared" si="3"/>
        <v>25–48 Months</v>
      </c>
    </row>
    <row r="1080" hidden="1">
      <c r="A1080" s="13" t="s">
        <v>1666</v>
      </c>
      <c r="B1080" s="13" t="s">
        <v>34</v>
      </c>
      <c r="C1080" s="14">
        <v>68.0</v>
      </c>
      <c r="D1080" s="13" t="s">
        <v>60</v>
      </c>
      <c r="E1080" s="13" t="s">
        <v>97</v>
      </c>
      <c r="F1080" s="13" t="s">
        <v>79</v>
      </c>
      <c r="G1080" s="13" t="s">
        <v>52</v>
      </c>
      <c r="H1080" s="16">
        <v>45489.0</v>
      </c>
      <c r="I1080" s="14">
        <v>17.0</v>
      </c>
      <c r="J1080" s="13" t="s">
        <v>64</v>
      </c>
      <c r="K1080" s="13" t="s">
        <v>65</v>
      </c>
      <c r="L1080" s="14">
        <v>3547.0</v>
      </c>
      <c r="M1080" s="18" t="s">
        <v>164</v>
      </c>
      <c r="N1080" s="20">
        <v>3.0</v>
      </c>
      <c r="O1080" s="18">
        <v>29.7</v>
      </c>
      <c r="P1080" s="20">
        <v>4.3</v>
      </c>
      <c r="Q1080" s="16">
        <v>45929.0</v>
      </c>
      <c r="R1080" s="16" t="s">
        <v>38</v>
      </c>
      <c r="S1080" s="13" t="s">
        <v>55</v>
      </c>
      <c r="T1080" s="13" t="s">
        <v>66</v>
      </c>
      <c r="U1080" s="13" t="str">
        <f t="shared" si="1"/>
        <v>Moderate</v>
      </c>
      <c r="V1080" s="13" t="str">
        <f t="shared" si="2"/>
        <v>Median or Above</v>
      </c>
      <c r="W1080" s="13" t="str">
        <f t="shared" si="3"/>
        <v>13–24 Months</v>
      </c>
    </row>
    <row r="1081" hidden="1">
      <c r="A1081" s="13" t="s">
        <v>1667</v>
      </c>
      <c r="B1081" s="13" t="s">
        <v>91</v>
      </c>
      <c r="C1081" s="14">
        <v>37.0</v>
      </c>
      <c r="D1081" s="13" t="s">
        <v>85</v>
      </c>
      <c r="E1081" s="13" t="s">
        <v>292</v>
      </c>
      <c r="F1081" s="13" t="s">
        <v>79</v>
      </c>
      <c r="G1081" s="13" t="s">
        <v>210</v>
      </c>
      <c r="H1081" s="16">
        <v>44859.0</v>
      </c>
      <c r="I1081" s="14">
        <v>35.0</v>
      </c>
      <c r="J1081" s="13" t="s">
        <v>40</v>
      </c>
      <c r="K1081" s="13" t="s">
        <v>81</v>
      </c>
      <c r="L1081" s="14">
        <v>3303.0</v>
      </c>
      <c r="M1081" s="18" t="s">
        <v>46</v>
      </c>
      <c r="N1081" s="20">
        <v>0.0</v>
      </c>
      <c r="O1081" s="18">
        <v>30.6</v>
      </c>
      <c r="P1081" s="20">
        <v>2.7</v>
      </c>
      <c r="Q1081" s="16">
        <v>45377.0</v>
      </c>
      <c r="R1081" s="16" t="s">
        <v>1668</v>
      </c>
      <c r="S1081" s="13" t="s">
        <v>45</v>
      </c>
      <c r="T1081" s="13" t="s">
        <v>72</v>
      </c>
      <c r="U1081" s="13" t="str">
        <f t="shared" si="1"/>
        <v>Low</v>
      </c>
      <c r="V1081" s="13" t="str">
        <f t="shared" si="2"/>
        <v>Median or Above</v>
      </c>
      <c r="W1081" s="13" t="str">
        <f t="shared" si="3"/>
        <v>25–48 Months</v>
      </c>
    </row>
    <row r="1082" hidden="1">
      <c r="A1082" s="13" t="s">
        <v>1669</v>
      </c>
      <c r="B1082" s="13" t="s">
        <v>308</v>
      </c>
      <c r="C1082" s="14">
        <v>45.0</v>
      </c>
      <c r="D1082" s="13" t="s">
        <v>69</v>
      </c>
      <c r="E1082" s="13" t="s">
        <v>187</v>
      </c>
      <c r="F1082" s="13" t="s">
        <v>79</v>
      </c>
      <c r="G1082" s="13" t="s">
        <v>63</v>
      </c>
      <c r="H1082" s="16">
        <v>44940.0</v>
      </c>
      <c r="I1082" s="14">
        <v>15.0</v>
      </c>
      <c r="J1082" s="13" t="s">
        <v>64</v>
      </c>
      <c r="K1082" s="13" t="s">
        <v>81</v>
      </c>
      <c r="L1082" s="14">
        <v>3983.0</v>
      </c>
      <c r="M1082" s="18" t="s">
        <v>98</v>
      </c>
      <c r="N1082" s="20">
        <v>2.0</v>
      </c>
      <c r="O1082" s="18">
        <v>36.2</v>
      </c>
      <c r="P1082" s="20">
        <v>2.4</v>
      </c>
      <c r="Q1082" s="16">
        <v>45170.0</v>
      </c>
      <c r="R1082" s="16" t="s">
        <v>38</v>
      </c>
      <c r="S1082" s="13" t="s">
        <v>55</v>
      </c>
      <c r="T1082" s="13" t="s">
        <v>104</v>
      </c>
      <c r="U1082" s="13" t="str">
        <f t="shared" si="1"/>
        <v>Low</v>
      </c>
      <c r="V1082" s="13" t="str">
        <f t="shared" si="2"/>
        <v>Median or Above</v>
      </c>
      <c r="W1082" s="13" t="str">
        <f t="shared" si="3"/>
        <v>13–24 Months</v>
      </c>
    </row>
    <row r="1083" hidden="1">
      <c r="A1083" s="13" t="s">
        <v>1670</v>
      </c>
      <c r="B1083" s="13" t="s">
        <v>380</v>
      </c>
      <c r="C1083" s="14">
        <v>54.0</v>
      </c>
      <c r="D1083" s="13" t="s">
        <v>85</v>
      </c>
      <c r="E1083" s="13" t="s">
        <v>111</v>
      </c>
      <c r="F1083" s="13" t="s">
        <v>79</v>
      </c>
      <c r="G1083" s="13" t="s">
        <v>63</v>
      </c>
      <c r="H1083" s="16">
        <v>45498.0</v>
      </c>
      <c r="I1083" s="14">
        <v>27.0</v>
      </c>
      <c r="J1083" s="13" t="s">
        <v>64</v>
      </c>
      <c r="K1083" s="13" t="s">
        <v>41</v>
      </c>
      <c r="L1083" s="14">
        <v>514.0</v>
      </c>
      <c r="M1083" s="18" t="s">
        <v>43</v>
      </c>
      <c r="N1083" s="20">
        <v>1.0</v>
      </c>
      <c r="O1083" s="18">
        <v>19.0</v>
      </c>
      <c r="P1083" s="20">
        <v>4.4</v>
      </c>
      <c r="Q1083" s="16">
        <v>45686.0</v>
      </c>
      <c r="R1083" s="16" t="s">
        <v>1671</v>
      </c>
      <c r="S1083" s="13" t="s">
        <v>45</v>
      </c>
      <c r="T1083" s="13" t="s">
        <v>66</v>
      </c>
      <c r="U1083" s="13" t="str">
        <f t="shared" si="1"/>
        <v>Moderate</v>
      </c>
      <c r="V1083" s="13" t="str">
        <f t="shared" si="2"/>
        <v>Below Median</v>
      </c>
      <c r="W1083" s="13" t="str">
        <f t="shared" si="3"/>
        <v>25–48 Months</v>
      </c>
    </row>
    <row r="1084" hidden="1">
      <c r="A1084" s="13" t="s">
        <v>1672</v>
      </c>
      <c r="B1084" s="13" t="s">
        <v>331</v>
      </c>
      <c r="C1084" s="14">
        <v>19.0</v>
      </c>
      <c r="D1084" s="13" t="s">
        <v>69</v>
      </c>
      <c r="E1084" s="13" t="s">
        <v>177</v>
      </c>
      <c r="F1084" s="13" t="s">
        <v>37</v>
      </c>
      <c r="G1084" s="13" t="s">
        <v>80</v>
      </c>
      <c r="H1084" s="16">
        <v>45302.0</v>
      </c>
      <c r="I1084" s="14">
        <v>42.0</v>
      </c>
      <c r="J1084" s="13" t="s">
        <v>53</v>
      </c>
      <c r="K1084" s="13" t="s">
        <v>65</v>
      </c>
      <c r="L1084" s="14">
        <v>1140.0</v>
      </c>
      <c r="M1084" s="18" t="s">
        <v>43</v>
      </c>
      <c r="N1084" s="20">
        <v>1.0</v>
      </c>
      <c r="O1084" s="18">
        <v>26.5</v>
      </c>
      <c r="P1084" s="20">
        <v>4.8</v>
      </c>
      <c r="Q1084" s="16">
        <v>46461.0</v>
      </c>
      <c r="R1084" s="16" t="s">
        <v>38</v>
      </c>
      <c r="S1084" s="13" t="s">
        <v>55</v>
      </c>
      <c r="T1084" s="13" t="s">
        <v>104</v>
      </c>
      <c r="U1084" s="13" t="str">
        <f t="shared" si="1"/>
        <v>Moderate</v>
      </c>
      <c r="V1084" s="13" t="str">
        <f t="shared" si="2"/>
        <v>Median or Above</v>
      </c>
      <c r="W1084" s="13" t="str">
        <f t="shared" si="3"/>
        <v>25–48 Months</v>
      </c>
    </row>
    <row r="1085" hidden="1">
      <c r="A1085" s="13" t="s">
        <v>549</v>
      </c>
      <c r="B1085" s="13" t="s">
        <v>222</v>
      </c>
      <c r="C1085" s="14">
        <v>24.0</v>
      </c>
      <c r="D1085" s="13" t="s">
        <v>85</v>
      </c>
      <c r="E1085" s="13" t="s">
        <v>92</v>
      </c>
      <c r="F1085" s="13" t="s">
        <v>37</v>
      </c>
      <c r="G1085" s="13" t="s">
        <v>128</v>
      </c>
      <c r="H1085" s="16">
        <v>44863.0</v>
      </c>
      <c r="I1085" s="14">
        <v>26.0</v>
      </c>
      <c r="J1085" s="13" t="s">
        <v>64</v>
      </c>
      <c r="K1085" s="13" t="s">
        <v>65</v>
      </c>
      <c r="L1085" s="14">
        <v>682.0</v>
      </c>
      <c r="M1085" s="18" t="s">
        <v>99</v>
      </c>
      <c r="N1085" s="20">
        <v>0.0</v>
      </c>
      <c r="O1085" s="18">
        <v>11.5</v>
      </c>
      <c r="P1085" s="20">
        <v>5.0</v>
      </c>
      <c r="Q1085" s="16">
        <v>45023.0</v>
      </c>
      <c r="R1085" s="16" t="s">
        <v>38</v>
      </c>
      <c r="S1085" s="13" t="s">
        <v>55</v>
      </c>
      <c r="T1085" s="13" t="s">
        <v>66</v>
      </c>
      <c r="U1085" s="13" t="str">
        <f t="shared" si="1"/>
        <v>High</v>
      </c>
      <c r="V1085" s="13" t="str">
        <f t="shared" si="2"/>
        <v>Below Median</v>
      </c>
      <c r="W1085" s="13" t="str">
        <f t="shared" si="3"/>
        <v>25–48 Months</v>
      </c>
    </row>
    <row r="1086" hidden="1">
      <c r="A1086" s="13" t="s">
        <v>1673</v>
      </c>
      <c r="B1086" s="13" t="s">
        <v>636</v>
      </c>
      <c r="C1086" s="14">
        <v>55.0</v>
      </c>
      <c r="D1086" s="13" t="s">
        <v>60</v>
      </c>
      <c r="E1086" s="13" t="s">
        <v>133</v>
      </c>
      <c r="F1086" s="13" t="s">
        <v>37</v>
      </c>
      <c r="G1086" s="13" t="s">
        <v>128</v>
      </c>
      <c r="H1086" s="16">
        <v>45005.0</v>
      </c>
      <c r="I1086" s="14">
        <v>1.0</v>
      </c>
      <c r="J1086" s="13" t="s">
        <v>53</v>
      </c>
      <c r="K1086" s="13" t="s">
        <v>41</v>
      </c>
      <c r="L1086" s="14">
        <v>1099.0</v>
      </c>
      <c r="M1086" s="18" t="s">
        <v>98</v>
      </c>
      <c r="N1086" s="20">
        <v>1.0</v>
      </c>
      <c r="O1086" s="18">
        <v>37.6</v>
      </c>
      <c r="P1086" s="20">
        <v>3.4</v>
      </c>
      <c r="Q1086" s="16">
        <v>45024.0</v>
      </c>
      <c r="R1086" s="16" t="s">
        <v>38</v>
      </c>
      <c r="S1086" s="13" t="s">
        <v>55</v>
      </c>
      <c r="T1086" s="13" t="s">
        <v>72</v>
      </c>
      <c r="U1086" s="13" t="str">
        <f t="shared" si="1"/>
        <v>Moderate</v>
      </c>
      <c r="V1086" s="13" t="str">
        <f t="shared" si="2"/>
        <v>Median or Above</v>
      </c>
      <c r="W1086" s="13" t="str">
        <f t="shared" si="3"/>
        <v>0–12 Months</v>
      </c>
    </row>
    <row r="1087" hidden="1">
      <c r="A1087" s="13" t="s">
        <v>1199</v>
      </c>
      <c r="B1087" s="13" t="s">
        <v>383</v>
      </c>
      <c r="C1087" s="14">
        <v>67.0</v>
      </c>
      <c r="D1087" s="13" t="s">
        <v>60</v>
      </c>
      <c r="E1087" s="13" t="s">
        <v>133</v>
      </c>
      <c r="F1087" s="13" t="s">
        <v>37</v>
      </c>
      <c r="G1087" s="13" t="s">
        <v>39</v>
      </c>
      <c r="H1087" s="16">
        <v>45765.0</v>
      </c>
      <c r="I1087" s="14">
        <v>20.0</v>
      </c>
      <c r="J1087" s="13" t="s">
        <v>40</v>
      </c>
      <c r="K1087" s="13" t="s">
        <v>41</v>
      </c>
      <c r="L1087" s="14">
        <v>1640.0</v>
      </c>
      <c r="M1087" s="18" t="s">
        <v>46</v>
      </c>
      <c r="N1087" s="20">
        <v>1.0</v>
      </c>
      <c r="O1087" s="18">
        <v>17.7</v>
      </c>
      <c r="P1087" s="20">
        <v>4.3</v>
      </c>
      <c r="Q1087" s="16">
        <v>45816.0</v>
      </c>
      <c r="R1087" s="16" t="s">
        <v>1674</v>
      </c>
      <c r="S1087" s="13" t="s">
        <v>45</v>
      </c>
      <c r="T1087" s="13" t="s">
        <v>104</v>
      </c>
      <c r="U1087" s="13" t="str">
        <f t="shared" si="1"/>
        <v>Moderate</v>
      </c>
      <c r="V1087" s="13" t="str">
        <f t="shared" si="2"/>
        <v>Below Median</v>
      </c>
      <c r="W1087" s="13" t="str">
        <f t="shared" si="3"/>
        <v>13–24 Months</v>
      </c>
    </row>
    <row r="1088" hidden="1">
      <c r="A1088" s="13" t="s">
        <v>1310</v>
      </c>
      <c r="B1088" s="13" t="s">
        <v>325</v>
      </c>
      <c r="C1088" s="14">
        <v>61.0</v>
      </c>
      <c r="D1088" s="13" t="s">
        <v>85</v>
      </c>
      <c r="E1088" s="13" t="s">
        <v>87</v>
      </c>
      <c r="F1088" s="13" t="s">
        <v>79</v>
      </c>
      <c r="G1088" s="13" t="s">
        <v>120</v>
      </c>
      <c r="H1088" s="16">
        <v>44690.0</v>
      </c>
      <c r="I1088" s="14">
        <v>4.0</v>
      </c>
      <c r="J1088" s="13" t="s">
        <v>40</v>
      </c>
      <c r="K1088" s="13" t="s">
        <v>81</v>
      </c>
      <c r="L1088" s="14">
        <v>3030.0</v>
      </c>
      <c r="M1088" s="18" t="s">
        <v>164</v>
      </c>
      <c r="N1088" s="20">
        <v>0.0</v>
      </c>
      <c r="O1088" s="18">
        <v>43.5</v>
      </c>
      <c r="P1088" s="20">
        <v>3.3</v>
      </c>
      <c r="Q1088" s="16">
        <v>44751.0</v>
      </c>
      <c r="R1088" s="16" t="s">
        <v>38</v>
      </c>
      <c r="S1088" s="13" t="s">
        <v>55</v>
      </c>
      <c r="T1088" s="13" t="s">
        <v>72</v>
      </c>
      <c r="U1088" s="13" t="str">
        <f t="shared" si="1"/>
        <v>Moderate</v>
      </c>
      <c r="V1088" s="13" t="str">
        <f t="shared" si="2"/>
        <v>Median or Above</v>
      </c>
      <c r="W1088" s="13" t="str">
        <f t="shared" si="3"/>
        <v>0–12 Months</v>
      </c>
    </row>
    <row r="1089" hidden="1">
      <c r="A1089" s="13" t="s">
        <v>1155</v>
      </c>
      <c r="B1089" s="13" t="s">
        <v>74</v>
      </c>
      <c r="C1089" s="14">
        <v>48.0</v>
      </c>
      <c r="D1089" s="13" t="s">
        <v>35</v>
      </c>
      <c r="E1089" s="13" t="s">
        <v>36</v>
      </c>
      <c r="F1089" s="13" t="s">
        <v>62</v>
      </c>
      <c r="G1089" s="13" t="s">
        <v>63</v>
      </c>
      <c r="H1089" s="16">
        <v>45815.0</v>
      </c>
      <c r="I1089" s="14">
        <v>42.0</v>
      </c>
      <c r="J1089" s="13" t="s">
        <v>53</v>
      </c>
      <c r="K1089" s="13" t="s">
        <v>41</v>
      </c>
      <c r="L1089" s="14">
        <v>649.0</v>
      </c>
      <c r="M1089" s="18" t="s">
        <v>46</v>
      </c>
      <c r="N1089" s="20">
        <v>1.0</v>
      </c>
      <c r="O1089" s="18">
        <v>14.5</v>
      </c>
      <c r="P1089" s="20">
        <v>5.0</v>
      </c>
      <c r="Q1089" s="16">
        <v>45974.0</v>
      </c>
      <c r="R1089" s="16" t="s">
        <v>38</v>
      </c>
      <c r="S1089" s="13" t="s">
        <v>55</v>
      </c>
      <c r="T1089" s="13" t="s">
        <v>66</v>
      </c>
      <c r="U1089" s="13" t="str">
        <f t="shared" si="1"/>
        <v>High</v>
      </c>
      <c r="V1089" s="13" t="str">
        <f t="shared" si="2"/>
        <v>Below Median</v>
      </c>
      <c r="W1089" s="13" t="str">
        <f t="shared" si="3"/>
        <v>25–48 Months</v>
      </c>
    </row>
    <row r="1090" hidden="1">
      <c r="A1090" s="13" t="s">
        <v>1676</v>
      </c>
      <c r="B1090" s="13" t="s">
        <v>110</v>
      </c>
      <c r="C1090" s="14">
        <v>57.0</v>
      </c>
      <c r="D1090" s="13" t="s">
        <v>85</v>
      </c>
      <c r="E1090" s="13" t="s">
        <v>87</v>
      </c>
      <c r="F1090" s="13" t="s">
        <v>37</v>
      </c>
      <c r="G1090" s="13" t="s">
        <v>63</v>
      </c>
      <c r="H1090" s="16">
        <v>45316.0</v>
      </c>
      <c r="I1090" s="14">
        <v>15.0</v>
      </c>
      <c r="J1090" s="13" t="s">
        <v>53</v>
      </c>
      <c r="K1090" s="13" t="s">
        <v>65</v>
      </c>
      <c r="L1090" s="14">
        <v>1016.0</v>
      </c>
      <c r="M1090" s="18" t="s">
        <v>99</v>
      </c>
      <c r="N1090" s="20">
        <v>0.0</v>
      </c>
      <c r="O1090" s="18">
        <v>26.9</v>
      </c>
      <c r="P1090" s="20">
        <v>3.6</v>
      </c>
      <c r="Q1090" s="16">
        <v>45579.0</v>
      </c>
      <c r="R1090" s="16" t="s">
        <v>38</v>
      </c>
      <c r="S1090" s="13" t="s">
        <v>55</v>
      </c>
      <c r="T1090" s="13" t="s">
        <v>47</v>
      </c>
      <c r="U1090" s="13" t="str">
        <f t="shared" si="1"/>
        <v>Moderate</v>
      </c>
      <c r="V1090" s="13" t="str">
        <f t="shared" si="2"/>
        <v>Median or Above</v>
      </c>
      <c r="W1090" s="13" t="str">
        <f t="shared" si="3"/>
        <v>13–24 Months</v>
      </c>
    </row>
    <row r="1091" hidden="1">
      <c r="A1091" s="13" t="s">
        <v>1509</v>
      </c>
      <c r="B1091" s="13" t="s">
        <v>639</v>
      </c>
      <c r="C1091" s="14">
        <v>65.0</v>
      </c>
      <c r="D1091" s="13" t="s">
        <v>85</v>
      </c>
      <c r="E1091" s="13" t="s">
        <v>111</v>
      </c>
      <c r="F1091" s="13" t="s">
        <v>37</v>
      </c>
      <c r="G1091" s="13" t="s">
        <v>128</v>
      </c>
      <c r="H1091" s="16">
        <v>45405.0</v>
      </c>
      <c r="I1091" s="14">
        <v>43.0</v>
      </c>
      <c r="J1091" s="13" t="s">
        <v>64</v>
      </c>
      <c r="K1091" s="13" t="s">
        <v>81</v>
      </c>
      <c r="L1091" s="14">
        <v>1351.0</v>
      </c>
      <c r="M1091" s="18" t="s">
        <v>164</v>
      </c>
      <c r="N1091" s="20">
        <v>1.0</v>
      </c>
      <c r="O1091" s="18">
        <v>50.2</v>
      </c>
      <c r="P1091" s="20">
        <v>2.8</v>
      </c>
      <c r="Q1091" s="16">
        <v>46552.0</v>
      </c>
      <c r="R1091" s="16" t="s">
        <v>38</v>
      </c>
      <c r="S1091" s="13" t="s">
        <v>55</v>
      </c>
      <c r="T1091" s="13" t="s">
        <v>75</v>
      </c>
      <c r="U1091" s="13" t="str">
        <f t="shared" si="1"/>
        <v>Low</v>
      </c>
      <c r="V1091" s="13" t="str">
        <f t="shared" si="2"/>
        <v>Median or Above</v>
      </c>
      <c r="W1091" s="13" t="str">
        <f t="shared" si="3"/>
        <v>25–48 Months</v>
      </c>
    </row>
    <row r="1092" hidden="1">
      <c r="A1092" s="13" t="s">
        <v>1619</v>
      </c>
      <c r="B1092" s="13" t="s">
        <v>362</v>
      </c>
      <c r="C1092" s="14">
        <v>48.0</v>
      </c>
      <c r="D1092" s="13" t="s">
        <v>69</v>
      </c>
      <c r="E1092" s="13" t="s">
        <v>70</v>
      </c>
      <c r="F1092" s="13" t="s">
        <v>37</v>
      </c>
      <c r="G1092" s="13" t="s">
        <v>210</v>
      </c>
      <c r="H1092" s="16">
        <v>44608.0</v>
      </c>
      <c r="I1092" s="14">
        <v>26.0</v>
      </c>
      <c r="J1092" s="13" t="s">
        <v>40</v>
      </c>
      <c r="K1092" s="13" t="s">
        <v>41</v>
      </c>
      <c r="L1092" s="14">
        <v>1545.0</v>
      </c>
      <c r="M1092" s="18" t="s">
        <v>43</v>
      </c>
      <c r="N1092" s="20">
        <v>1.0</v>
      </c>
      <c r="O1092" s="18">
        <v>11.4</v>
      </c>
      <c r="P1092" s="20">
        <v>3.5</v>
      </c>
      <c r="Q1092" s="16">
        <v>44686.0</v>
      </c>
      <c r="R1092" s="16">
        <v>44630.0</v>
      </c>
      <c r="S1092" s="13" t="s">
        <v>45</v>
      </c>
      <c r="T1092" s="13" t="s">
        <v>47</v>
      </c>
      <c r="U1092" s="13" t="str">
        <f t="shared" si="1"/>
        <v>Moderate</v>
      </c>
      <c r="V1092" s="13" t="str">
        <f t="shared" si="2"/>
        <v>Below Median</v>
      </c>
      <c r="W1092" s="13" t="str">
        <f t="shared" si="3"/>
        <v>25–48 Months</v>
      </c>
    </row>
    <row r="1093" hidden="1">
      <c r="A1093" s="13" t="s">
        <v>1678</v>
      </c>
      <c r="B1093" s="13" t="s">
        <v>288</v>
      </c>
      <c r="C1093" s="14">
        <v>99.0</v>
      </c>
      <c r="D1093" s="13" t="s">
        <v>60</v>
      </c>
      <c r="E1093" s="13" t="s">
        <v>97</v>
      </c>
      <c r="F1093" s="13" t="s">
        <v>62</v>
      </c>
      <c r="G1093" s="13" t="s">
        <v>120</v>
      </c>
      <c r="H1093" s="16">
        <v>44784.0</v>
      </c>
      <c r="I1093" s="14">
        <v>30.0</v>
      </c>
      <c r="J1093" s="13" t="s">
        <v>64</v>
      </c>
      <c r="K1093" s="13" t="s">
        <v>41</v>
      </c>
      <c r="L1093" s="14">
        <v>539.0</v>
      </c>
      <c r="M1093" s="18" t="s">
        <v>43</v>
      </c>
      <c r="N1093" s="20">
        <v>1.0</v>
      </c>
      <c r="O1093" s="18">
        <v>25.3</v>
      </c>
      <c r="P1093" s="20">
        <v>4.2</v>
      </c>
      <c r="Q1093" s="16">
        <v>45003.0</v>
      </c>
      <c r="R1093" s="16" t="s">
        <v>38</v>
      </c>
      <c r="S1093" s="13" t="s">
        <v>55</v>
      </c>
      <c r="T1093" s="13" t="s">
        <v>104</v>
      </c>
      <c r="U1093" s="13" t="str">
        <f t="shared" si="1"/>
        <v>Moderate</v>
      </c>
      <c r="V1093" s="13" t="str">
        <f t="shared" si="2"/>
        <v>Median or Above</v>
      </c>
      <c r="W1093" s="13" t="str">
        <f t="shared" si="3"/>
        <v>25–48 Months</v>
      </c>
    </row>
    <row r="1094" hidden="1">
      <c r="A1094" s="13" t="s">
        <v>422</v>
      </c>
      <c r="B1094" s="13" t="s">
        <v>633</v>
      </c>
      <c r="C1094" s="14">
        <v>26.0</v>
      </c>
      <c r="D1094" s="13" t="s">
        <v>35</v>
      </c>
      <c r="E1094" s="13" t="s">
        <v>51</v>
      </c>
      <c r="F1094" s="13" t="s">
        <v>37</v>
      </c>
      <c r="G1094" s="13" t="s">
        <v>39</v>
      </c>
      <c r="H1094" s="16">
        <v>45613.0</v>
      </c>
      <c r="I1094" s="14">
        <v>43.0</v>
      </c>
      <c r="J1094" s="13" t="s">
        <v>40</v>
      </c>
      <c r="K1094" s="13" t="s">
        <v>41</v>
      </c>
      <c r="L1094" s="14">
        <v>1506.0</v>
      </c>
      <c r="M1094" s="18" t="s">
        <v>98</v>
      </c>
      <c r="N1094" s="20">
        <v>3.0</v>
      </c>
      <c r="O1094" s="18">
        <v>21.4</v>
      </c>
      <c r="P1094" s="20">
        <v>3.3</v>
      </c>
      <c r="Q1094" s="16">
        <v>46797.0</v>
      </c>
      <c r="R1094" s="16" t="s">
        <v>38</v>
      </c>
      <c r="S1094" s="13" t="s">
        <v>55</v>
      </c>
      <c r="T1094" s="13" t="s">
        <v>75</v>
      </c>
      <c r="U1094" s="13" t="str">
        <f t="shared" si="1"/>
        <v>Moderate</v>
      </c>
      <c r="V1094" s="13" t="str">
        <f t="shared" si="2"/>
        <v>Below Median</v>
      </c>
      <c r="W1094" s="13" t="str">
        <f t="shared" si="3"/>
        <v>25–48 Months</v>
      </c>
    </row>
    <row r="1095" hidden="1">
      <c r="A1095" s="13" t="s">
        <v>1080</v>
      </c>
      <c r="B1095" s="13" t="s">
        <v>651</v>
      </c>
      <c r="C1095" s="14">
        <v>46.0</v>
      </c>
      <c r="D1095" s="13" t="s">
        <v>60</v>
      </c>
      <c r="E1095" s="13" t="s">
        <v>107</v>
      </c>
      <c r="F1095" s="13" t="s">
        <v>62</v>
      </c>
      <c r="G1095" s="13" t="s">
        <v>63</v>
      </c>
      <c r="H1095" s="16">
        <v>44907.0</v>
      </c>
      <c r="I1095" s="14">
        <v>38.0</v>
      </c>
      <c r="J1095" s="13" t="s">
        <v>53</v>
      </c>
      <c r="K1095" s="13" t="s">
        <v>65</v>
      </c>
      <c r="L1095" s="14">
        <v>571.0</v>
      </c>
      <c r="M1095" s="18" t="s">
        <v>99</v>
      </c>
      <c r="N1095" s="20">
        <v>0.0</v>
      </c>
      <c r="O1095" s="18">
        <v>16.6</v>
      </c>
      <c r="P1095" s="20">
        <v>4.7</v>
      </c>
      <c r="Q1095" s="16">
        <v>45962.0</v>
      </c>
      <c r="R1095" s="16" t="s">
        <v>38</v>
      </c>
      <c r="S1095" s="13" t="s">
        <v>55</v>
      </c>
      <c r="T1095" s="13" t="s">
        <v>104</v>
      </c>
      <c r="U1095" s="13" t="str">
        <f t="shared" si="1"/>
        <v>Moderate</v>
      </c>
      <c r="V1095" s="13" t="str">
        <f t="shared" si="2"/>
        <v>Below Median</v>
      </c>
      <c r="W1095" s="13" t="str">
        <f t="shared" si="3"/>
        <v>25–48 Months</v>
      </c>
    </row>
    <row r="1096" hidden="1">
      <c r="A1096" s="13" t="s">
        <v>1680</v>
      </c>
      <c r="B1096" s="13" t="s">
        <v>190</v>
      </c>
      <c r="C1096" s="14">
        <v>30.0</v>
      </c>
      <c r="D1096" s="13" t="s">
        <v>85</v>
      </c>
      <c r="E1096" s="13" t="s">
        <v>111</v>
      </c>
      <c r="F1096" s="13" t="s">
        <v>37</v>
      </c>
      <c r="G1096" s="13" t="s">
        <v>128</v>
      </c>
      <c r="H1096" s="16">
        <v>44770.0</v>
      </c>
      <c r="I1096" s="14">
        <v>26.0</v>
      </c>
      <c r="J1096" s="13" t="s">
        <v>40</v>
      </c>
      <c r="K1096" s="13" t="s">
        <v>41</v>
      </c>
      <c r="L1096" s="14">
        <v>1144.0</v>
      </c>
      <c r="M1096" s="18" t="s">
        <v>164</v>
      </c>
      <c r="N1096" s="20">
        <v>2.0</v>
      </c>
      <c r="O1096" s="18">
        <v>44.5</v>
      </c>
      <c r="P1096" s="20">
        <v>2.4</v>
      </c>
      <c r="Q1096" s="16">
        <v>45254.0</v>
      </c>
      <c r="R1096" s="16" t="s">
        <v>38</v>
      </c>
      <c r="S1096" s="13" t="s">
        <v>55</v>
      </c>
      <c r="T1096" s="13" t="s">
        <v>47</v>
      </c>
      <c r="U1096" s="13" t="str">
        <f t="shared" si="1"/>
        <v>Low</v>
      </c>
      <c r="V1096" s="13" t="str">
        <f t="shared" si="2"/>
        <v>Median or Above</v>
      </c>
      <c r="W1096" s="13" t="str">
        <f t="shared" si="3"/>
        <v>25–48 Months</v>
      </c>
    </row>
    <row r="1097" hidden="1">
      <c r="A1097" s="13" t="s">
        <v>1293</v>
      </c>
      <c r="B1097" s="13" t="s">
        <v>405</v>
      </c>
      <c r="C1097" s="14">
        <v>66.0</v>
      </c>
      <c r="D1097" s="13" t="s">
        <v>35</v>
      </c>
      <c r="E1097" s="13" t="s">
        <v>140</v>
      </c>
      <c r="F1097" s="13" t="s">
        <v>79</v>
      </c>
      <c r="G1097" s="13" t="s">
        <v>80</v>
      </c>
      <c r="H1097" s="16">
        <v>45660.0</v>
      </c>
      <c r="I1097" s="14">
        <v>12.0</v>
      </c>
      <c r="J1097" s="13" t="s">
        <v>53</v>
      </c>
      <c r="K1097" s="13" t="s">
        <v>81</v>
      </c>
      <c r="L1097" s="14">
        <v>3062.0</v>
      </c>
      <c r="M1097" s="18" t="s">
        <v>43</v>
      </c>
      <c r="N1097" s="20">
        <v>2.0</v>
      </c>
      <c r="O1097" s="18">
        <v>51.6</v>
      </c>
      <c r="P1097" s="20">
        <v>3.7</v>
      </c>
      <c r="Q1097" s="16">
        <v>45884.0</v>
      </c>
      <c r="R1097" s="16" t="s">
        <v>38</v>
      </c>
      <c r="S1097" s="13" t="s">
        <v>55</v>
      </c>
      <c r="T1097" s="13" t="s">
        <v>66</v>
      </c>
      <c r="U1097" s="13" t="str">
        <f t="shared" si="1"/>
        <v>Moderate</v>
      </c>
      <c r="V1097" s="13" t="str">
        <f t="shared" si="2"/>
        <v>Median or Above</v>
      </c>
      <c r="W1097" s="13" t="str">
        <f t="shared" si="3"/>
        <v>0–12 Months</v>
      </c>
    </row>
    <row r="1098" hidden="1">
      <c r="A1098" s="13" t="s">
        <v>1681</v>
      </c>
      <c r="B1098" s="13" t="s">
        <v>308</v>
      </c>
      <c r="C1098" s="14">
        <v>40.0</v>
      </c>
      <c r="D1098" s="13" t="s">
        <v>69</v>
      </c>
      <c r="E1098" s="13" t="s">
        <v>119</v>
      </c>
      <c r="F1098" s="13" t="s">
        <v>79</v>
      </c>
      <c r="G1098" s="13" t="s">
        <v>39</v>
      </c>
      <c r="H1098" s="16">
        <v>45666.0</v>
      </c>
      <c r="I1098" s="14">
        <v>16.0</v>
      </c>
      <c r="J1098" s="13" t="s">
        <v>40</v>
      </c>
      <c r="K1098" s="13" t="s">
        <v>81</v>
      </c>
      <c r="L1098" s="14">
        <v>3112.0</v>
      </c>
      <c r="M1098" s="18" t="s">
        <v>98</v>
      </c>
      <c r="N1098" s="20">
        <v>1.0</v>
      </c>
      <c r="O1098" s="18">
        <v>45.8</v>
      </c>
      <c r="P1098" s="20">
        <v>2.9</v>
      </c>
      <c r="Q1098" s="16">
        <v>46024.0</v>
      </c>
      <c r="R1098" s="16" t="s">
        <v>1682</v>
      </c>
      <c r="S1098" s="13" t="s">
        <v>45</v>
      </c>
      <c r="T1098" s="13" t="s">
        <v>75</v>
      </c>
      <c r="U1098" s="13" t="str">
        <f t="shared" si="1"/>
        <v>Low</v>
      </c>
      <c r="V1098" s="13" t="str">
        <f t="shared" si="2"/>
        <v>Median or Above</v>
      </c>
      <c r="W1098" s="13" t="str">
        <f t="shared" si="3"/>
        <v>13–24 Months</v>
      </c>
    </row>
    <row r="1099" hidden="1">
      <c r="A1099" s="13" t="s">
        <v>1683</v>
      </c>
      <c r="B1099" s="13" t="s">
        <v>110</v>
      </c>
      <c r="C1099" s="14">
        <v>63.0</v>
      </c>
      <c r="D1099" s="13" t="s">
        <v>35</v>
      </c>
      <c r="E1099" s="13" t="s">
        <v>140</v>
      </c>
      <c r="F1099" s="13" t="s">
        <v>37</v>
      </c>
      <c r="G1099" s="13" t="s">
        <v>80</v>
      </c>
      <c r="H1099" s="16">
        <v>45677.0</v>
      </c>
      <c r="I1099" s="14">
        <v>47.0</v>
      </c>
      <c r="J1099" s="13" t="s">
        <v>40</v>
      </c>
      <c r="K1099" s="13" t="s">
        <v>65</v>
      </c>
      <c r="L1099" s="14">
        <v>1696.0</v>
      </c>
      <c r="M1099" s="18" t="s">
        <v>43</v>
      </c>
      <c r="N1099" s="20">
        <v>0.0</v>
      </c>
      <c r="O1099" s="18">
        <v>21.0</v>
      </c>
      <c r="P1099" s="20">
        <v>4.0</v>
      </c>
      <c r="Q1099" s="16">
        <v>45930.0</v>
      </c>
      <c r="R1099" s="16" t="s">
        <v>38</v>
      </c>
      <c r="S1099" s="13" t="s">
        <v>55</v>
      </c>
      <c r="T1099" s="13" t="s">
        <v>75</v>
      </c>
      <c r="U1099" s="13" t="str">
        <f t="shared" si="1"/>
        <v>Moderate</v>
      </c>
      <c r="V1099" s="13" t="str">
        <f t="shared" si="2"/>
        <v>Below Median</v>
      </c>
      <c r="W1099" s="13" t="str">
        <f t="shared" si="3"/>
        <v>25–48 Months</v>
      </c>
    </row>
    <row r="1100" hidden="1">
      <c r="A1100" s="13" t="s">
        <v>350</v>
      </c>
      <c r="B1100" s="13" t="s">
        <v>160</v>
      </c>
      <c r="C1100" s="14">
        <v>59.0</v>
      </c>
      <c r="D1100" s="13" t="s">
        <v>85</v>
      </c>
      <c r="E1100" s="13" t="s">
        <v>111</v>
      </c>
      <c r="F1100" s="13" t="s">
        <v>79</v>
      </c>
      <c r="G1100" s="13" t="s">
        <v>63</v>
      </c>
      <c r="H1100" s="16">
        <v>45309.0</v>
      </c>
      <c r="I1100" s="14">
        <v>1.0</v>
      </c>
      <c r="J1100" s="13" t="s">
        <v>53</v>
      </c>
      <c r="K1100" s="13" t="s">
        <v>65</v>
      </c>
      <c r="L1100" s="14">
        <v>3348.0</v>
      </c>
      <c r="M1100" s="18" t="s">
        <v>99</v>
      </c>
      <c r="N1100" s="20">
        <v>2.0</v>
      </c>
      <c r="O1100" s="18">
        <v>43.9</v>
      </c>
      <c r="P1100" s="20">
        <v>3.1</v>
      </c>
      <c r="Q1100" s="16">
        <v>45329.0</v>
      </c>
      <c r="R1100" s="16" t="s">
        <v>38</v>
      </c>
      <c r="S1100" s="13" t="s">
        <v>55</v>
      </c>
      <c r="T1100" s="13" t="s">
        <v>47</v>
      </c>
      <c r="U1100" s="13" t="str">
        <f t="shared" si="1"/>
        <v>Moderate</v>
      </c>
      <c r="V1100" s="13" t="str">
        <f t="shared" si="2"/>
        <v>Median or Above</v>
      </c>
      <c r="W1100" s="13" t="str">
        <f t="shared" si="3"/>
        <v>0–12 Months</v>
      </c>
    </row>
    <row r="1101" hidden="1">
      <c r="A1101" s="13" t="s">
        <v>1684</v>
      </c>
      <c r="B1101" s="13" t="s">
        <v>336</v>
      </c>
      <c r="C1101" s="14">
        <v>23.0</v>
      </c>
      <c r="D1101" s="13" t="s">
        <v>85</v>
      </c>
      <c r="E1101" s="13" t="s">
        <v>92</v>
      </c>
      <c r="F1101" s="13" t="s">
        <v>62</v>
      </c>
      <c r="G1101" s="13" t="s">
        <v>210</v>
      </c>
      <c r="H1101" s="16">
        <v>45666.0</v>
      </c>
      <c r="I1101" s="14">
        <v>29.0</v>
      </c>
      <c r="J1101" s="13" t="s">
        <v>64</v>
      </c>
      <c r="K1101" s="13" t="s">
        <v>41</v>
      </c>
      <c r="L1101" s="14">
        <v>850.0</v>
      </c>
      <c r="M1101" s="18" t="s">
        <v>99</v>
      </c>
      <c r="N1101" s="20">
        <v>0.0</v>
      </c>
      <c r="O1101" s="18">
        <v>12.8</v>
      </c>
      <c r="P1101" s="20">
        <v>3.4</v>
      </c>
      <c r="Q1101" s="16">
        <v>46259.0</v>
      </c>
      <c r="R1101" s="16">
        <v>45968.0</v>
      </c>
      <c r="S1101" s="13" t="s">
        <v>45</v>
      </c>
      <c r="T1101" s="13" t="s">
        <v>72</v>
      </c>
      <c r="U1101" s="13" t="str">
        <f t="shared" si="1"/>
        <v>Moderate</v>
      </c>
      <c r="V1101" s="13" t="str">
        <f t="shared" si="2"/>
        <v>Below Median</v>
      </c>
      <c r="W1101" s="13" t="str">
        <f t="shared" si="3"/>
        <v>25–48 Months</v>
      </c>
    </row>
    <row r="1102" hidden="1">
      <c r="A1102" s="13" t="s">
        <v>1685</v>
      </c>
      <c r="B1102" s="13" t="s">
        <v>232</v>
      </c>
      <c r="C1102" s="14">
        <v>53.0</v>
      </c>
      <c r="D1102" s="13" t="s">
        <v>85</v>
      </c>
      <c r="E1102" s="13" t="s">
        <v>87</v>
      </c>
      <c r="F1102" s="13" t="s">
        <v>37</v>
      </c>
      <c r="G1102" s="13" t="s">
        <v>63</v>
      </c>
      <c r="H1102" s="16">
        <v>45703.0</v>
      </c>
      <c r="I1102" s="14">
        <v>120.0</v>
      </c>
      <c r="J1102" s="13" t="s">
        <v>40</v>
      </c>
      <c r="K1102" s="13" t="s">
        <v>41</v>
      </c>
      <c r="L1102" s="14">
        <v>1273.0</v>
      </c>
      <c r="M1102" s="18" t="s">
        <v>98</v>
      </c>
      <c r="N1102" s="20">
        <v>1.0</v>
      </c>
      <c r="O1102" s="18">
        <v>26.1</v>
      </c>
      <c r="P1102" s="20">
        <v>4.2</v>
      </c>
      <c r="Q1102" s="16">
        <v>46593.0</v>
      </c>
      <c r="R1102" s="16" t="s">
        <v>38</v>
      </c>
      <c r="S1102" s="13" t="s">
        <v>55</v>
      </c>
      <c r="T1102" s="13" t="s">
        <v>47</v>
      </c>
      <c r="U1102" s="13" t="str">
        <f t="shared" si="1"/>
        <v>Moderate</v>
      </c>
      <c r="V1102" s="13" t="str">
        <f t="shared" si="2"/>
        <v>Median or Above</v>
      </c>
      <c r="W1102" s="13" t="str">
        <f t="shared" si="3"/>
        <v>49+ Months</v>
      </c>
    </row>
    <row r="1103" hidden="1">
      <c r="A1103" s="13" t="s">
        <v>733</v>
      </c>
      <c r="B1103" s="13" t="s">
        <v>78</v>
      </c>
      <c r="C1103" s="14">
        <v>38.0</v>
      </c>
      <c r="D1103" s="13" t="s">
        <v>60</v>
      </c>
      <c r="E1103" s="13" t="s">
        <v>61</v>
      </c>
      <c r="F1103" s="13" t="s">
        <v>79</v>
      </c>
      <c r="G1103" s="13" t="s">
        <v>52</v>
      </c>
      <c r="H1103" s="16">
        <v>45032.0</v>
      </c>
      <c r="I1103" s="14">
        <v>43.0</v>
      </c>
      <c r="J1103" s="13" t="s">
        <v>64</v>
      </c>
      <c r="K1103" s="13" t="s">
        <v>65</v>
      </c>
      <c r="L1103" s="14">
        <v>3224.0</v>
      </c>
      <c r="M1103" s="18" t="s">
        <v>43</v>
      </c>
      <c r="N1103" s="20">
        <v>1.0</v>
      </c>
      <c r="O1103" s="18">
        <v>42.6</v>
      </c>
      <c r="P1103" s="20">
        <v>2.9</v>
      </c>
      <c r="Q1103" s="16">
        <v>45555.0</v>
      </c>
      <c r="R1103" s="16" t="s">
        <v>1686</v>
      </c>
      <c r="S1103" s="13" t="s">
        <v>45</v>
      </c>
      <c r="T1103" s="13" t="s">
        <v>38</v>
      </c>
      <c r="U1103" s="13" t="str">
        <f t="shared" si="1"/>
        <v>Low</v>
      </c>
      <c r="V1103" s="13" t="str">
        <f t="shared" si="2"/>
        <v>Median or Above</v>
      </c>
      <c r="W1103" s="13" t="str">
        <f t="shared" si="3"/>
        <v>25–48 Months</v>
      </c>
    </row>
    <row r="1104" hidden="1">
      <c r="A1104" s="13" t="s">
        <v>1687</v>
      </c>
      <c r="B1104" s="13" t="s">
        <v>342</v>
      </c>
      <c r="C1104" s="14">
        <v>30.0</v>
      </c>
      <c r="D1104" s="13" t="s">
        <v>35</v>
      </c>
      <c r="E1104" s="13" t="s">
        <v>36</v>
      </c>
      <c r="F1104" s="13" t="s">
        <v>79</v>
      </c>
      <c r="G1104" s="13" t="s">
        <v>120</v>
      </c>
      <c r="H1104" s="16">
        <v>45844.0</v>
      </c>
      <c r="I1104" s="14">
        <v>35.0</v>
      </c>
      <c r="J1104" s="13" t="s">
        <v>40</v>
      </c>
      <c r="K1104" s="13" t="s">
        <v>81</v>
      </c>
      <c r="L1104" s="14">
        <v>883.0</v>
      </c>
      <c r="M1104" s="18" t="s">
        <v>43</v>
      </c>
      <c r="N1104" s="20">
        <v>1.0</v>
      </c>
      <c r="O1104" s="18">
        <v>13.0</v>
      </c>
      <c r="P1104" s="20">
        <v>1.3</v>
      </c>
      <c r="Q1104" s="16">
        <v>46757.0</v>
      </c>
      <c r="R1104" s="16" t="s">
        <v>38</v>
      </c>
      <c r="S1104" s="13" t="s">
        <v>55</v>
      </c>
      <c r="T1104" s="13" t="s">
        <v>75</v>
      </c>
      <c r="U1104" s="13" t="str">
        <f t="shared" si="1"/>
        <v>Low</v>
      </c>
      <c r="V1104" s="13" t="str">
        <f t="shared" si="2"/>
        <v>Below Median</v>
      </c>
      <c r="W1104" s="13" t="str">
        <f t="shared" si="3"/>
        <v>25–48 Months</v>
      </c>
    </row>
    <row r="1105" hidden="1">
      <c r="A1105" s="13" t="s">
        <v>1688</v>
      </c>
      <c r="B1105" s="13" t="s">
        <v>325</v>
      </c>
      <c r="C1105" s="14">
        <v>65.0</v>
      </c>
      <c r="D1105" s="13" t="s">
        <v>85</v>
      </c>
      <c r="E1105" s="13" t="s">
        <v>87</v>
      </c>
      <c r="F1105" s="13" t="s">
        <v>37</v>
      </c>
      <c r="G1105" s="13" t="s">
        <v>128</v>
      </c>
      <c r="H1105" s="16">
        <v>45906.0</v>
      </c>
      <c r="I1105" s="14">
        <v>12.0</v>
      </c>
      <c r="J1105" s="13" t="s">
        <v>64</v>
      </c>
      <c r="K1105" s="13" t="s">
        <v>81</v>
      </c>
      <c r="L1105" s="14">
        <v>814.0</v>
      </c>
      <c r="M1105" s="18" t="s">
        <v>43</v>
      </c>
      <c r="N1105" s="20">
        <v>1.0</v>
      </c>
      <c r="O1105" s="18">
        <v>22.1</v>
      </c>
      <c r="P1105" s="20">
        <v>3.3</v>
      </c>
      <c r="Q1105" s="16">
        <v>46110.0</v>
      </c>
      <c r="R1105" s="16" t="s">
        <v>38</v>
      </c>
      <c r="S1105" s="13" t="s">
        <v>55</v>
      </c>
      <c r="T1105" s="13" t="s">
        <v>75</v>
      </c>
      <c r="U1105" s="13" t="str">
        <f t="shared" si="1"/>
        <v>Moderate</v>
      </c>
      <c r="V1105" s="13" t="str">
        <f t="shared" si="2"/>
        <v>Below Median</v>
      </c>
      <c r="W1105" s="13" t="str">
        <f t="shared" si="3"/>
        <v>0–12 Months</v>
      </c>
    </row>
    <row r="1106" hidden="1">
      <c r="A1106" s="13" t="s">
        <v>990</v>
      </c>
      <c r="B1106" s="13" t="s">
        <v>312</v>
      </c>
      <c r="C1106" s="14">
        <v>50.0</v>
      </c>
      <c r="D1106" s="13" t="s">
        <v>85</v>
      </c>
      <c r="E1106" s="13" t="s">
        <v>87</v>
      </c>
      <c r="F1106" s="13" t="s">
        <v>37</v>
      </c>
      <c r="G1106" s="13" t="s">
        <v>128</v>
      </c>
      <c r="H1106" s="16">
        <v>45839.0</v>
      </c>
      <c r="I1106" s="14">
        <v>37.0</v>
      </c>
      <c r="J1106" s="13" t="s">
        <v>64</v>
      </c>
      <c r="K1106" s="13" t="s">
        <v>41</v>
      </c>
      <c r="L1106" s="14">
        <v>1508.0</v>
      </c>
      <c r="M1106" s="18" t="s">
        <v>46</v>
      </c>
      <c r="N1106" s="20">
        <v>0.0</v>
      </c>
      <c r="O1106" s="18">
        <v>34.3</v>
      </c>
      <c r="P1106" s="20">
        <v>2.9</v>
      </c>
      <c r="Q1106" s="16">
        <v>46164.0</v>
      </c>
      <c r="R1106" s="16" t="s">
        <v>1689</v>
      </c>
      <c r="S1106" s="13" t="s">
        <v>45</v>
      </c>
      <c r="T1106" s="13" t="s">
        <v>66</v>
      </c>
      <c r="U1106" s="13" t="str">
        <f t="shared" si="1"/>
        <v>Low</v>
      </c>
      <c r="V1106" s="13" t="str">
        <f t="shared" si="2"/>
        <v>Median or Above</v>
      </c>
      <c r="W1106" s="13" t="str">
        <f t="shared" si="3"/>
        <v>25–48 Months</v>
      </c>
    </row>
    <row r="1107" hidden="1">
      <c r="A1107" s="13" t="s">
        <v>1690</v>
      </c>
      <c r="B1107" s="13" t="s">
        <v>633</v>
      </c>
      <c r="C1107" s="14">
        <v>43.0</v>
      </c>
      <c r="D1107" s="13" t="s">
        <v>35</v>
      </c>
      <c r="E1107" s="13" t="s">
        <v>140</v>
      </c>
      <c r="F1107" s="13" t="s">
        <v>37</v>
      </c>
      <c r="G1107" s="13" t="s">
        <v>52</v>
      </c>
      <c r="H1107" s="16">
        <v>45842.0</v>
      </c>
      <c r="I1107" s="14">
        <v>16.0</v>
      </c>
      <c r="J1107" s="13" t="s">
        <v>53</v>
      </c>
      <c r="K1107" s="13" t="s">
        <v>81</v>
      </c>
      <c r="L1107" s="14">
        <v>1274.0</v>
      </c>
      <c r="M1107" s="18" t="s">
        <v>43</v>
      </c>
      <c r="N1107" s="20">
        <v>0.0</v>
      </c>
      <c r="O1107" s="18">
        <v>21.9</v>
      </c>
      <c r="P1107" s="20">
        <v>3.3</v>
      </c>
      <c r="Q1107" s="16">
        <v>45867.0</v>
      </c>
      <c r="R1107" s="16" t="s">
        <v>38</v>
      </c>
      <c r="S1107" s="13" t="s">
        <v>55</v>
      </c>
      <c r="T1107" s="13" t="s">
        <v>72</v>
      </c>
      <c r="U1107" s="13" t="str">
        <f t="shared" si="1"/>
        <v>Moderate</v>
      </c>
      <c r="V1107" s="13" t="str">
        <f t="shared" si="2"/>
        <v>Below Median</v>
      </c>
      <c r="W1107" s="13" t="str">
        <f t="shared" si="3"/>
        <v>13–24 Months</v>
      </c>
    </row>
    <row r="1108" hidden="1">
      <c r="A1108" s="13" t="s">
        <v>317</v>
      </c>
      <c r="B1108" s="13" t="s">
        <v>420</v>
      </c>
      <c r="C1108" s="14">
        <v>30.0</v>
      </c>
      <c r="D1108" s="13" t="s">
        <v>85</v>
      </c>
      <c r="E1108" s="13" t="s">
        <v>292</v>
      </c>
      <c r="F1108" s="13" t="s">
        <v>62</v>
      </c>
      <c r="G1108" s="13" t="s">
        <v>63</v>
      </c>
      <c r="H1108" s="16">
        <v>44905.0</v>
      </c>
      <c r="I1108" s="14">
        <v>18.0</v>
      </c>
      <c r="J1108" s="13" t="s">
        <v>64</v>
      </c>
      <c r="K1108" s="13" t="s">
        <v>65</v>
      </c>
      <c r="L1108" s="14">
        <v>589.0</v>
      </c>
      <c r="M1108" s="18" t="s">
        <v>98</v>
      </c>
      <c r="N1108" s="20">
        <v>1.0</v>
      </c>
      <c r="O1108" s="18">
        <v>15.8</v>
      </c>
      <c r="P1108" s="20">
        <v>4.6</v>
      </c>
      <c r="Q1108" s="16">
        <v>45265.0</v>
      </c>
      <c r="R1108" s="16" t="s">
        <v>1691</v>
      </c>
      <c r="S1108" s="13" t="s">
        <v>45</v>
      </c>
      <c r="T1108" s="13" t="s">
        <v>75</v>
      </c>
      <c r="U1108" s="13" t="str">
        <f t="shared" si="1"/>
        <v>Moderate</v>
      </c>
      <c r="V1108" s="13" t="str">
        <f t="shared" si="2"/>
        <v>Below Median</v>
      </c>
      <c r="W1108" s="13" t="str">
        <f t="shared" si="3"/>
        <v>13–24 Months</v>
      </c>
    </row>
    <row r="1109" hidden="1">
      <c r="A1109" s="13" t="s">
        <v>1609</v>
      </c>
      <c r="B1109" s="13" t="s">
        <v>176</v>
      </c>
      <c r="C1109" s="14">
        <v>44.0</v>
      </c>
      <c r="D1109" s="13" t="s">
        <v>85</v>
      </c>
      <c r="E1109" s="13" t="s">
        <v>111</v>
      </c>
      <c r="F1109" s="13" t="s">
        <v>37</v>
      </c>
      <c r="G1109" s="13" t="s">
        <v>128</v>
      </c>
      <c r="H1109" s="16">
        <v>45814.0</v>
      </c>
      <c r="I1109" s="14">
        <v>19.0</v>
      </c>
      <c r="J1109" s="13" t="s">
        <v>40</v>
      </c>
      <c r="K1109" s="13" t="s">
        <v>41</v>
      </c>
      <c r="L1109" s="14">
        <v>625.0</v>
      </c>
      <c r="M1109" s="18" t="s">
        <v>98</v>
      </c>
      <c r="N1109" s="20">
        <v>0.0</v>
      </c>
      <c r="O1109" s="18">
        <v>8.5</v>
      </c>
      <c r="P1109" s="20">
        <v>4.6</v>
      </c>
      <c r="Q1109" s="16">
        <v>45960.0</v>
      </c>
      <c r="R1109" s="16" t="s">
        <v>38</v>
      </c>
      <c r="S1109" s="13" t="s">
        <v>55</v>
      </c>
      <c r="T1109" s="13" t="s">
        <v>66</v>
      </c>
      <c r="U1109" s="13" t="str">
        <f t="shared" si="1"/>
        <v>Moderate</v>
      </c>
      <c r="V1109" s="13" t="str">
        <f t="shared" si="2"/>
        <v>Below Median</v>
      </c>
      <c r="W1109" s="13" t="str">
        <f t="shared" si="3"/>
        <v>13–24 Months</v>
      </c>
    </row>
    <row r="1110" hidden="1">
      <c r="A1110" s="13" t="s">
        <v>546</v>
      </c>
      <c r="B1110" s="13" t="s">
        <v>190</v>
      </c>
      <c r="C1110" s="14">
        <v>40.0</v>
      </c>
      <c r="D1110" s="13" t="s">
        <v>35</v>
      </c>
      <c r="E1110" s="13" t="s">
        <v>161</v>
      </c>
      <c r="F1110" s="13" t="s">
        <v>62</v>
      </c>
      <c r="G1110" s="13" t="s">
        <v>210</v>
      </c>
      <c r="H1110" s="16">
        <v>44725.0</v>
      </c>
      <c r="I1110" s="14">
        <v>44.0</v>
      </c>
      <c r="J1110" s="13" t="s">
        <v>53</v>
      </c>
      <c r="K1110" s="13" t="s">
        <v>41</v>
      </c>
      <c r="L1110" s="14">
        <v>666.0</v>
      </c>
      <c r="M1110" s="18" t="s">
        <v>43</v>
      </c>
      <c r="N1110" s="20">
        <v>0.0</v>
      </c>
      <c r="O1110" s="18">
        <v>23.3</v>
      </c>
      <c r="P1110" s="20">
        <v>3.6</v>
      </c>
      <c r="Q1110" s="16">
        <v>45426.0</v>
      </c>
      <c r="R1110" s="16" t="s">
        <v>38</v>
      </c>
      <c r="S1110" s="13" t="s">
        <v>55</v>
      </c>
      <c r="T1110" s="13" t="s">
        <v>66</v>
      </c>
      <c r="U1110" s="13" t="str">
        <f t="shared" si="1"/>
        <v>Moderate</v>
      </c>
      <c r="V1110" s="13" t="str">
        <f t="shared" si="2"/>
        <v>Below Median</v>
      </c>
      <c r="W1110" s="13" t="str">
        <f t="shared" si="3"/>
        <v>25–48 Months</v>
      </c>
    </row>
    <row r="1111" hidden="1">
      <c r="A1111" s="13" t="s">
        <v>1692</v>
      </c>
      <c r="B1111" s="13" t="s">
        <v>247</v>
      </c>
      <c r="C1111" s="14">
        <v>54.0</v>
      </c>
      <c r="D1111" s="13" t="s">
        <v>85</v>
      </c>
      <c r="E1111" s="13" t="s">
        <v>111</v>
      </c>
      <c r="F1111" s="13" t="s">
        <v>79</v>
      </c>
      <c r="G1111" s="13" t="s">
        <v>39</v>
      </c>
      <c r="H1111" s="16">
        <v>45265.0</v>
      </c>
      <c r="I1111" s="14">
        <v>34.0</v>
      </c>
      <c r="J1111" s="13" t="s">
        <v>64</v>
      </c>
      <c r="K1111" s="13" t="s">
        <v>65</v>
      </c>
      <c r="L1111" s="14">
        <v>2208.0</v>
      </c>
      <c r="M1111" s="18" t="s">
        <v>98</v>
      </c>
      <c r="N1111" s="20">
        <v>1.0</v>
      </c>
      <c r="O1111" s="18">
        <v>36.8</v>
      </c>
      <c r="P1111" s="20">
        <v>3.4</v>
      </c>
      <c r="Q1111" s="16">
        <v>45732.0</v>
      </c>
      <c r="R1111" s="16" t="s">
        <v>38</v>
      </c>
      <c r="S1111" s="13" t="s">
        <v>55</v>
      </c>
      <c r="T1111" s="13" t="s">
        <v>72</v>
      </c>
      <c r="U1111" s="13" t="str">
        <f t="shared" si="1"/>
        <v>Moderate</v>
      </c>
      <c r="V1111" s="13" t="str">
        <f t="shared" si="2"/>
        <v>Median or Above</v>
      </c>
      <c r="W1111" s="13" t="str">
        <f t="shared" si="3"/>
        <v>25–48 Months</v>
      </c>
    </row>
    <row r="1112" hidden="1">
      <c r="A1112" s="13" t="s">
        <v>1693</v>
      </c>
      <c r="B1112" s="13" t="s">
        <v>250</v>
      </c>
      <c r="C1112" s="14">
        <v>19.0</v>
      </c>
      <c r="D1112" s="13" t="s">
        <v>35</v>
      </c>
      <c r="E1112" s="13" t="s">
        <v>140</v>
      </c>
      <c r="F1112" s="13" t="s">
        <v>37</v>
      </c>
      <c r="G1112" s="13" t="s">
        <v>63</v>
      </c>
      <c r="H1112" s="16">
        <v>45706.0</v>
      </c>
      <c r="I1112" s="14">
        <v>21.0</v>
      </c>
      <c r="J1112" s="13" t="s">
        <v>40</v>
      </c>
      <c r="K1112" s="13" t="s">
        <v>65</v>
      </c>
      <c r="L1112" s="14">
        <v>1773.0</v>
      </c>
      <c r="M1112" s="18" t="s">
        <v>43</v>
      </c>
      <c r="N1112" s="20">
        <v>0.0</v>
      </c>
      <c r="O1112" s="18">
        <v>11.4</v>
      </c>
      <c r="P1112" s="20">
        <v>4.6</v>
      </c>
      <c r="Q1112" s="16">
        <v>46010.0</v>
      </c>
      <c r="R1112" s="16" t="s">
        <v>38</v>
      </c>
      <c r="S1112" s="13" t="s">
        <v>55</v>
      </c>
      <c r="T1112" s="13" t="s">
        <v>66</v>
      </c>
      <c r="U1112" s="13" t="str">
        <f t="shared" si="1"/>
        <v>Moderate</v>
      </c>
      <c r="V1112" s="13" t="str">
        <f t="shared" si="2"/>
        <v>Below Median</v>
      </c>
      <c r="W1112" s="13" t="str">
        <f t="shared" si="3"/>
        <v>13–24 Months</v>
      </c>
    </row>
    <row r="1113" hidden="1">
      <c r="A1113" s="13" t="s">
        <v>1695</v>
      </c>
      <c r="B1113" s="13" t="s">
        <v>380</v>
      </c>
      <c r="C1113" s="14">
        <v>21.0</v>
      </c>
      <c r="D1113" s="13" t="s">
        <v>35</v>
      </c>
      <c r="E1113" s="13" t="s">
        <v>36</v>
      </c>
      <c r="F1113" s="13" t="s">
        <v>79</v>
      </c>
      <c r="G1113" s="13" t="s">
        <v>80</v>
      </c>
      <c r="H1113" s="16">
        <v>45553.0</v>
      </c>
      <c r="I1113" s="14">
        <v>11.0</v>
      </c>
      <c r="J1113" s="13" t="s">
        <v>40</v>
      </c>
      <c r="K1113" s="13" t="s">
        <v>65</v>
      </c>
      <c r="L1113" s="14">
        <v>2682.0</v>
      </c>
      <c r="M1113" s="18" t="s">
        <v>98</v>
      </c>
      <c r="N1113" s="20">
        <v>1.0</v>
      </c>
      <c r="O1113" s="18">
        <v>42.9</v>
      </c>
      <c r="P1113" s="20">
        <v>4.0</v>
      </c>
      <c r="Q1113" s="16">
        <v>45860.0</v>
      </c>
      <c r="R1113" s="16" t="s">
        <v>38</v>
      </c>
      <c r="S1113" s="13" t="s">
        <v>55</v>
      </c>
      <c r="T1113" s="13" t="s">
        <v>47</v>
      </c>
      <c r="U1113" s="13" t="str">
        <f t="shared" si="1"/>
        <v>Moderate</v>
      </c>
      <c r="V1113" s="13" t="str">
        <f t="shared" si="2"/>
        <v>Median or Above</v>
      </c>
      <c r="W1113" s="13" t="str">
        <f t="shared" si="3"/>
        <v>0–12 Months</v>
      </c>
    </row>
    <row r="1114" hidden="1">
      <c r="A1114" s="13" t="s">
        <v>1696</v>
      </c>
      <c r="B1114" s="13" t="s">
        <v>172</v>
      </c>
      <c r="C1114" s="14">
        <v>45.0</v>
      </c>
      <c r="D1114" s="13" t="s">
        <v>60</v>
      </c>
      <c r="E1114" s="13" t="s">
        <v>61</v>
      </c>
      <c r="F1114" s="13" t="s">
        <v>62</v>
      </c>
      <c r="G1114" s="13" t="s">
        <v>120</v>
      </c>
      <c r="H1114" s="16">
        <v>44782.0</v>
      </c>
      <c r="I1114" s="14">
        <v>21.0</v>
      </c>
      <c r="J1114" s="13" t="s">
        <v>53</v>
      </c>
      <c r="K1114" s="13" t="s">
        <v>81</v>
      </c>
      <c r="L1114" s="14">
        <v>602.0</v>
      </c>
      <c r="M1114" s="18" t="s">
        <v>46</v>
      </c>
      <c r="N1114" s="20">
        <v>1.0</v>
      </c>
      <c r="O1114" s="18">
        <v>1.5</v>
      </c>
      <c r="P1114" s="20">
        <v>4.4</v>
      </c>
      <c r="Q1114" s="16">
        <v>44969.0</v>
      </c>
      <c r="R1114" s="16" t="s">
        <v>1697</v>
      </c>
      <c r="S1114" s="13" t="s">
        <v>55</v>
      </c>
      <c r="T1114" s="13" t="s">
        <v>66</v>
      </c>
      <c r="U1114" s="13" t="str">
        <f t="shared" si="1"/>
        <v>Moderate</v>
      </c>
      <c r="V1114" s="13" t="str">
        <f t="shared" si="2"/>
        <v>Below Median</v>
      </c>
      <c r="W1114" s="13" t="str">
        <f t="shared" si="3"/>
        <v>13–24 Months</v>
      </c>
    </row>
    <row r="1115" hidden="1">
      <c r="A1115" s="13" t="s">
        <v>991</v>
      </c>
      <c r="B1115" s="13" t="s">
        <v>303</v>
      </c>
      <c r="C1115" s="14">
        <v>68.0</v>
      </c>
      <c r="D1115" s="13" t="s">
        <v>69</v>
      </c>
      <c r="E1115" s="13" t="s">
        <v>119</v>
      </c>
      <c r="F1115" s="13" t="s">
        <v>62</v>
      </c>
      <c r="G1115" s="13" t="s">
        <v>210</v>
      </c>
      <c r="H1115" s="16">
        <v>44655.0</v>
      </c>
      <c r="I1115" s="14">
        <v>2.0</v>
      </c>
      <c r="J1115" s="13" t="s">
        <v>53</v>
      </c>
      <c r="K1115" s="13" t="s">
        <v>41</v>
      </c>
      <c r="L1115" s="14">
        <v>635.0</v>
      </c>
      <c r="M1115" s="18" t="s">
        <v>38</v>
      </c>
      <c r="N1115" s="20">
        <v>2.0</v>
      </c>
      <c r="O1115" s="18">
        <v>16.2</v>
      </c>
      <c r="P1115" s="20">
        <v>2.4</v>
      </c>
      <c r="Q1115" s="16">
        <v>44678.0</v>
      </c>
      <c r="R1115" s="16" t="s">
        <v>1698</v>
      </c>
      <c r="S1115" s="13" t="s">
        <v>45</v>
      </c>
      <c r="T1115" s="13" t="s">
        <v>75</v>
      </c>
      <c r="U1115" s="13" t="str">
        <f t="shared" si="1"/>
        <v>Low</v>
      </c>
      <c r="V1115" s="13" t="str">
        <f t="shared" si="2"/>
        <v>Below Median</v>
      </c>
      <c r="W1115" s="13" t="str">
        <f t="shared" si="3"/>
        <v>0–12 Months</v>
      </c>
    </row>
    <row r="1116" hidden="1">
      <c r="A1116" s="13" t="s">
        <v>1699</v>
      </c>
      <c r="B1116" s="13" t="s">
        <v>167</v>
      </c>
      <c r="C1116" s="14">
        <v>44.0</v>
      </c>
      <c r="D1116" s="13" t="s">
        <v>35</v>
      </c>
      <c r="E1116" s="13" t="s">
        <v>140</v>
      </c>
      <c r="F1116" s="13" t="s">
        <v>37</v>
      </c>
      <c r="G1116" s="13" t="s">
        <v>80</v>
      </c>
      <c r="H1116" s="16">
        <v>44831.0</v>
      </c>
      <c r="I1116" s="14">
        <v>31.0</v>
      </c>
      <c r="J1116" s="13" t="s">
        <v>40</v>
      </c>
      <c r="K1116" s="13" t="s">
        <v>41</v>
      </c>
      <c r="L1116" s="14">
        <v>1131.0</v>
      </c>
      <c r="M1116" s="18" t="s">
        <v>43</v>
      </c>
      <c r="N1116" s="20">
        <v>1.0</v>
      </c>
      <c r="O1116" s="18">
        <v>19.8</v>
      </c>
      <c r="P1116" s="20">
        <v>4.0</v>
      </c>
      <c r="Q1116" s="16">
        <v>45705.0</v>
      </c>
      <c r="R1116" s="16" t="s">
        <v>38</v>
      </c>
      <c r="S1116" s="13" t="s">
        <v>55</v>
      </c>
      <c r="T1116" s="13" t="s">
        <v>72</v>
      </c>
      <c r="U1116" s="13" t="str">
        <f t="shared" si="1"/>
        <v>Moderate</v>
      </c>
      <c r="V1116" s="13" t="str">
        <f t="shared" si="2"/>
        <v>Below Median</v>
      </c>
      <c r="W1116" s="13" t="str">
        <f t="shared" si="3"/>
        <v>25–48 Months</v>
      </c>
    </row>
    <row r="1117" hidden="1">
      <c r="A1117" s="13" t="s">
        <v>1624</v>
      </c>
      <c r="B1117" s="13" t="s">
        <v>420</v>
      </c>
      <c r="C1117" s="14">
        <v>29.0</v>
      </c>
      <c r="D1117" s="13" t="s">
        <v>85</v>
      </c>
      <c r="E1117" s="13" t="s">
        <v>87</v>
      </c>
      <c r="F1117" s="13" t="s">
        <v>62</v>
      </c>
      <c r="G1117" s="13" t="s">
        <v>210</v>
      </c>
      <c r="H1117" s="16">
        <v>45757.0</v>
      </c>
      <c r="I1117" s="14">
        <v>33.0</v>
      </c>
      <c r="J1117" s="13" t="s">
        <v>40</v>
      </c>
      <c r="K1117" s="13" t="s">
        <v>65</v>
      </c>
      <c r="L1117" s="14">
        <v>885.0</v>
      </c>
      <c r="M1117" s="18" t="s">
        <v>173</v>
      </c>
      <c r="N1117" s="20">
        <v>1.0</v>
      </c>
      <c r="O1117" s="18">
        <v>9.2</v>
      </c>
      <c r="P1117" s="20">
        <v>4.3</v>
      </c>
      <c r="Q1117" s="16">
        <v>46219.0</v>
      </c>
      <c r="R1117" s="16" t="s">
        <v>38</v>
      </c>
      <c r="S1117" s="13" t="s">
        <v>55</v>
      </c>
      <c r="T1117" s="13" t="s">
        <v>72</v>
      </c>
      <c r="U1117" s="13" t="str">
        <f t="shared" si="1"/>
        <v>Moderate</v>
      </c>
      <c r="V1117" s="13" t="str">
        <f t="shared" si="2"/>
        <v>Below Median</v>
      </c>
      <c r="W1117" s="13" t="str">
        <f t="shared" si="3"/>
        <v>25–48 Months</v>
      </c>
    </row>
    <row r="1118" hidden="1">
      <c r="A1118" s="13" t="s">
        <v>1700</v>
      </c>
      <c r="B1118" s="13" t="s">
        <v>106</v>
      </c>
      <c r="C1118" s="14">
        <v>38.0</v>
      </c>
      <c r="D1118" s="13" t="s">
        <v>60</v>
      </c>
      <c r="E1118" s="13" t="s">
        <v>107</v>
      </c>
      <c r="F1118" s="13" t="s">
        <v>37</v>
      </c>
      <c r="G1118" s="13" t="s">
        <v>210</v>
      </c>
      <c r="H1118" s="16">
        <v>45766.0</v>
      </c>
      <c r="I1118" s="14">
        <v>28.0</v>
      </c>
      <c r="J1118" s="13" t="s">
        <v>64</v>
      </c>
      <c r="K1118" s="13" t="s">
        <v>41</v>
      </c>
      <c r="L1118" s="14">
        <v>1728.0</v>
      </c>
      <c r="M1118" s="18" t="s">
        <v>164</v>
      </c>
      <c r="N1118" s="20">
        <v>0.0</v>
      </c>
      <c r="O1118" s="18">
        <v>24.7</v>
      </c>
      <c r="P1118" s="20">
        <v>4.2</v>
      </c>
      <c r="Q1118" s="16">
        <v>46404.0</v>
      </c>
      <c r="R1118" s="16">
        <v>46268.0</v>
      </c>
      <c r="S1118" s="13" t="s">
        <v>45</v>
      </c>
      <c r="T1118" s="13" t="s">
        <v>104</v>
      </c>
      <c r="U1118" s="13" t="str">
        <f t="shared" si="1"/>
        <v>Moderate</v>
      </c>
      <c r="V1118" s="13" t="str">
        <f t="shared" si="2"/>
        <v>Median or Above</v>
      </c>
      <c r="W1118" s="13" t="str">
        <f t="shared" si="3"/>
        <v>25–48 Months</v>
      </c>
    </row>
    <row r="1119" hidden="1">
      <c r="A1119" s="13" t="s">
        <v>1702</v>
      </c>
      <c r="B1119" s="13" t="s">
        <v>172</v>
      </c>
      <c r="C1119" s="14">
        <v>23.0</v>
      </c>
      <c r="D1119" s="13" t="s">
        <v>85</v>
      </c>
      <c r="E1119" s="13" t="s">
        <v>92</v>
      </c>
      <c r="F1119" s="13" t="s">
        <v>62</v>
      </c>
      <c r="G1119" s="13" t="s">
        <v>128</v>
      </c>
      <c r="H1119" s="16">
        <v>44574.0</v>
      </c>
      <c r="I1119" s="14">
        <v>3.0</v>
      </c>
      <c r="J1119" s="13" t="s">
        <v>40</v>
      </c>
      <c r="K1119" s="13" t="s">
        <v>41</v>
      </c>
      <c r="L1119" s="14">
        <v>656.0</v>
      </c>
      <c r="M1119" s="18" t="s">
        <v>164</v>
      </c>
      <c r="N1119" s="20">
        <v>0.0</v>
      </c>
      <c r="O1119" s="18">
        <v>8.2</v>
      </c>
      <c r="P1119" s="20">
        <v>5.0</v>
      </c>
      <c r="Q1119" s="16">
        <v>44613.0</v>
      </c>
      <c r="R1119" s="16" t="s">
        <v>38</v>
      </c>
      <c r="S1119" s="13" t="s">
        <v>55</v>
      </c>
      <c r="T1119" s="13" t="s">
        <v>104</v>
      </c>
      <c r="U1119" s="13" t="str">
        <f t="shared" si="1"/>
        <v>High</v>
      </c>
      <c r="V1119" s="13" t="str">
        <f t="shared" si="2"/>
        <v>Below Median</v>
      </c>
      <c r="W1119" s="13" t="str">
        <f t="shared" si="3"/>
        <v>0–12 Months</v>
      </c>
    </row>
    <row r="1120" hidden="1">
      <c r="A1120" s="13" t="s">
        <v>919</v>
      </c>
      <c r="B1120" s="13" t="s">
        <v>145</v>
      </c>
      <c r="C1120" s="14">
        <v>62.0</v>
      </c>
      <c r="D1120" s="13" t="s">
        <v>60</v>
      </c>
      <c r="E1120" s="13" t="s">
        <v>61</v>
      </c>
      <c r="F1120" s="13" t="s">
        <v>62</v>
      </c>
      <c r="G1120" s="13" t="s">
        <v>210</v>
      </c>
      <c r="H1120" s="16">
        <v>45258.0</v>
      </c>
      <c r="I1120" s="14">
        <v>31.0</v>
      </c>
      <c r="J1120" s="13" t="s">
        <v>40</v>
      </c>
      <c r="K1120" s="13" t="s">
        <v>65</v>
      </c>
      <c r="L1120" s="14">
        <v>603.0</v>
      </c>
      <c r="M1120" s="18" t="s">
        <v>164</v>
      </c>
      <c r="N1120" s="20">
        <v>0.0</v>
      </c>
      <c r="O1120" s="18">
        <v>22.7</v>
      </c>
      <c r="P1120" s="20">
        <v>5.0</v>
      </c>
      <c r="Q1120" s="16">
        <v>45703.0</v>
      </c>
      <c r="R1120" s="16" t="s">
        <v>38</v>
      </c>
      <c r="S1120" s="13" t="s">
        <v>55</v>
      </c>
      <c r="T1120" s="13" t="s">
        <v>72</v>
      </c>
      <c r="U1120" s="13" t="str">
        <f t="shared" si="1"/>
        <v>High</v>
      </c>
      <c r="V1120" s="13" t="str">
        <f t="shared" si="2"/>
        <v>Below Median</v>
      </c>
      <c r="W1120" s="13" t="str">
        <f t="shared" si="3"/>
        <v>25–48 Months</v>
      </c>
    </row>
    <row r="1121" hidden="1">
      <c r="A1121" s="13" t="s">
        <v>1703</v>
      </c>
      <c r="B1121" s="13" t="s">
        <v>241</v>
      </c>
      <c r="C1121" s="14">
        <v>60.0</v>
      </c>
      <c r="D1121" s="13" t="s">
        <v>85</v>
      </c>
      <c r="E1121" s="13" t="s">
        <v>87</v>
      </c>
      <c r="F1121" s="13" t="s">
        <v>37</v>
      </c>
      <c r="G1121" s="13" t="s">
        <v>52</v>
      </c>
      <c r="H1121" s="16">
        <v>45566.0</v>
      </c>
      <c r="I1121" s="14">
        <v>10.0</v>
      </c>
      <c r="J1121" s="13" t="s">
        <v>53</v>
      </c>
      <c r="K1121" s="13" t="s">
        <v>41</v>
      </c>
      <c r="L1121" s="14">
        <v>1226.0</v>
      </c>
      <c r="M1121" s="18" t="s">
        <v>164</v>
      </c>
      <c r="N1121" s="20">
        <v>0.0</v>
      </c>
      <c r="O1121" s="18">
        <v>25.1</v>
      </c>
      <c r="P1121" s="20">
        <v>4.4</v>
      </c>
      <c r="Q1121" s="16">
        <v>45805.0</v>
      </c>
      <c r="R1121" s="16" t="s">
        <v>38</v>
      </c>
      <c r="S1121" s="13" t="s">
        <v>55</v>
      </c>
      <c r="T1121" s="13" t="s">
        <v>104</v>
      </c>
      <c r="U1121" s="13" t="str">
        <f t="shared" si="1"/>
        <v>Moderate</v>
      </c>
      <c r="V1121" s="13" t="str">
        <f t="shared" si="2"/>
        <v>Median or Above</v>
      </c>
      <c r="W1121" s="13" t="str">
        <f t="shared" si="3"/>
        <v>0–12 Months</v>
      </c>
    </row>
    <row r="1122" hidden="1">
      <c r="A1122" s="13" t="s">
        <v>1232</v>
      </c>
      <c r="B1122" s="13" t="s">
        <v>160</v>
      </c>
      <c r="C1122" s="14">
        <v>23.0</v>
      </c>
      <c r="D1122" s="13" t="s">
        <v>60</v>
      </c>
      <c r="E1122" s="13" t="s">
        <v>97</v>
      </c>
      <c r="F1122" s="13" t="s">
        <v>79</v>
      </c>
      <c r="G1122" s="13" t="s">
        <v>210</v>
      </c>
      <c r="H1122" s="16">
        <v>44990.0</v>
      </c>
      <c r="I1122" s="14">
        <v>5.0</v>
      </c>
      <c r="J1122" s="13" t="s">
        <v>40</v>
      </c>
      <c r="K1122" s="13" t="s">
        <v>41</v>
      </c>
      <c r="L1122" s="14">
        <v>3111.0</v>
      </c>
      <c r="M1122" s="18" t="s">
        <v>98</v>
      </c>
      <c r="N1122" s="20">
        <v>0.0</v>
      </c>
      <c r="O1122" s="18">
        <v>42.0</v>
      </c>
      <c r="P1122" s="20">
        <v>3.7</v>
      </c>
      <c r="Q1122" s="16">
        <v>45027.0</v>
      </c>
      <c r="R1122" s="16" t="s">
        <v>38</v>
      </c>
      <c r="S1122" s="13" t="s">
        <v>55</v>
      </c>
      <c r="T1122" s="13" t="s">
        <v>66</v>
      </c>
      <c r="U1122" s="13" t="str">
        <f t="shared" si="1"/>
        <v>Moderate</v>
      </c>
      <c r="V1122" s="13" t="str">
        <f t="shared" si="2"/>
        <v>Median or Above</v>
      </c>
      <c r="W1122" s="13" t="str">
        <f t="shared" si="3"/>
        <v>0–12 Months</v>
      </c>
    </row>
    <row r="1123" hidden="1">
      <c r="A1123" s="13" t="s">
        <v>1704</v>
      </c>
      <c r="B1123" s="13" t="s">
        <v>169</v>
      </c>
      <c r="C1123" s="14">
        <v>29.0</v>
      </c>
      <c r="D1123" s="13" t="s">
        <v>85</v>
      </c>
      <c r="E1123" s="13" t="s">
        <v>161</v>
      </c>
      <c r="F1123" s="13" t="s">
        <v>37</v>
      </c>
      <c r="G1123" s="13" t="s">
        <v>63</v>
      </c>
      <c r="H1123" s="16">
        <v>45334.0</v>
      </c>
      <c r="I1123" s="14">
        <v>48.0</v>
      </c>
      <c r="J1123" s="13" t="s">
        <v>40</v>
      </c>
      <c r="K1123" s="13" t="s">
        <v>81</v>
      </c>
      <c r="L1123" s="14">
        <v>1531.0</v>
      </c>
      <c r="M1123" s="18" t="s">
        <v>43</v>
      </c>
      <c r="N1123" s="20">
        <v>2.0</v>
      </c>
      <c r="O1123" s="18">
        <v>32.6</v>
      </c>
      <c r="P1123" s="20">
        <v>4.1</v>
      </c>
      <c r="Q1123" s="16">
        <v>46194.0</v>
      </c>
      <c r="R1123" s="16" t="s">
        <v>38</v>
      </c>
      <c r="S1123" s="13" t="s">
        <v>55</v>
      </c>
      <c r="T1123" s="13" t="s">
        <v>66</v>
      </c>
      <c r="U1123" s="13" t="str">
        <f t="shared" si="1"/>
        <v>Moderate</v>
      </c>
      <c r="V1123" s="13" t="str">
        <f t="shared" si="2"/>
        <v>Median or Above</v>
      </c>
      <c r="W1123" s="13" t="str">
        <f t="shared" si="3"/>
        <v>25–48 Months</v>
      </c>
    </row>
    <row r="1124" hidden="1">
      <c r="A1124" s="13" t="s">
        <v>1705</v>
      </c>
      <c r="B1124" s="13" t="s">
        <v>405</v>
      </c>
      <c r="C1124" s="14">
        <v>49.0</v>
      </c>
      <c r="D1124" s="13" t="s">
        <v>60</v>
      </c>
      <c r="E1124" s="13" t="s">
        <v>61</v>
      </c>
      <c r="F1124" s="13" t="s">
        <v>37</v>
      </c>
      <c r="G1124" s="13" t="s">
        <v>128</v>
      </c>
      <c r="H1124" s="16">
        <v>45527.0</v>
      </c>
      <c r="I1124" s="14">
        <v>26.0</v>
      </c>
      <c r="J1124" s="13" t="s">
        <v>53</v>
      </c>
      <c r="K1124" s="13" t="s">
        <v>65</v>
      </c>
      <c r="L1124" s="14">
        <v>1680.0</v>
      </c>
      <c r="M1124" s="18" t="s">
        <v>46</v>
      </c>
      <c r="N1124" s="20">
        <v>0.0</v>
      </c>
      <c r="O1124" s="18">
        <v>20.4</v>
      </c>
      <c r="P1124" s="20">
        <v>4.3</v>
      </c>
      <c r="Q1124" s="16">
        <v>45718.0</v>
      </c>
      <c r="R1124" s="16" t="s">
        <v>38</v>
      </c>
      <c r="S1124" s="13" t="s">
        <v>55</v>
      </c>
      <c r="T1124" s="13" t="s">
        <v>72</v>
      </c>
      <c r="U1124" s="13" t="str">
        <f t="shared" si="1"/>
        <v>Moderate</v>
      </c>
      <c r="V1124" s="13" t="str">
        <f t="shared" si="2"/>
        <v>Below Median</v>
      </c>
      <c r="W1124" s="13" t="str">
        <f t="shared" si="3"/>
        <v>25–48 Months</v>
      </c>
    </row>
    <row r="1125" hidden="1">
      <c r="A1125" s="13" t="s">
        <v>455</v>
      </c>
      <c r="B1125" s="13" t="s">
        <v>734</v>
      </c>
      <c r="C1125" s="14">
        <v>61.0</v>
      </c>
      <c r="D1125" s="13" t="s">
        <v>60</v>
      </c>
      <c r="E1125" s="13" t="s">
        <v>107</v>
      </c>
      <c r="F1125" s="13" t="s">
        <v>37</v>
      </c>
      <c r="G1125" s="13" t="s">
        <v>120</v>
      </c>
      <c r="H1125" s="16">
        <v>44878.0</v>
      </c>
      <c r="I1125" s="14">
        <v>37.0</v>
      </c>
      <c r="J1125" s="13" t="s">
        <v>64</v>
      </c>
      <c r="K1125" s="13" t="s">
        <v>41</v>
      </c>
      <c r="L1125" s="14">
        <v>1144.0</v>
      </c>
      <c r="M1125" s="18" t="s">
        <v>43</v>
      </c>
      <c r="N1125" s="20">
        <v>0.0</v>
      </c>
      <c r="O1125" s="18">
        <v>23.9</v>
      </c>
      <c r="P1125" s="20">
        <v>2.8</v>
      </c>
      <c r="Q1125" s="16">
        <v>45072.0</v>
      </c>
      <c r="R1125" s="16" t="s">
        <v>1706</v>
      </c>
      <c r="S1125" s="13" t="s">
        <v>45</v>
      </c>
      <c r="T1125" s="13" t="s">
        <v>104</v>
      </c>
      <c r="U1125" s="13" t="str">
        <f t="shared" si="1"/>
        <v>Low</v>
      </c>
      <c r="V1125" s="13" t="str">
        <f t="shared" si="2"/>
        <v>Below Median</v>
      </c>
      <c r="W1125" s="13" t="str">
        <f t="shared" si="3"/>
        <v>25–48 Months</v>
      </c>
    </row>
    <row r="1126" hidden="1">
      <c r="A1126" s="13" t="s">
        <v>1707</v>
      </c>
      <c r="B1126" s="13" t="s">
        <v>163</v>
      </c>
      <c r="C1126" s="14">
        <v>55.0</v>
      </c>
      <c r="D1126" s="13" t="s">
        <v>35</v>
      </c>
      <c r="E1126" s="13" t="s">
        <v>51</v>
      </c>
      <c r="F1126" s="13" t="s">
        <v>79</v>
      </c>
      <c r="G1126" s="13" t="s">
        <v>63</v>
      </c>
      <c r="H1126" s="16">
        <v>45883.0</v>
      </c>
      <c r="I1126" s="14">
        <v>31.0</v>
      </c>
      <c r="J1126" s="13" t="s">
        <v>64</v>
      </c>
      <c r="K1126" s="13" t="s">
        <v>81</v>
      </c>
      <c r="L1126" s="14">
        <v>1702.0</v>
      </c>
      <c r="M1126" s="18" t="s">
        <v>98</v>
      </c>
      <c r="N1126" s="20">
        <v>3.0</v>
      </c>
      <c r="O1126" s="18">
        <v>28.7</v>
      </c>
      <c r="P1126" s="20">
        <v>3.4</v>
      </c>
      <c r="Q1126" s="16">
        <v>46096.0</v>
      </c>
      <c r="R1126" s="16" t="s">
        <v>38</v>
      </c>
      <c r="S1126" s="13" t="s">
        <v>55</v>
      </c>
      <c r="T1126" s="13" t="s">
        <v>47</v>
      </c>
      <c r="U1126" s="13" t="str">
        <f t="shared" si="1"/>
        <v>Moderate</v>
      </c>
      <c r="V1126" s="13" t="str">
        <f t="shared" si="2"/>
        <v>Median or Above</v>
      </c>
      <c r="W1126" s="13" t="str">
        <f t="shared" si="3"/>
        <v>25–48 Months</v>
      </c>
    </row>
    <row r="1127" hidden="1">
      <c r="A1127" s="13" t="s">
        <v>1708</v>
      </c>
      <c r="B1127" s="13" t="s">
        <v>411</v>
      </c>
      <c r="C1127" s="14">
        <v>61.0</v>
      </c>
      <c r="D1127" s="13" t="s">
        <v>60</v>
      </c>
      <c r="E1127" s="13" t="s">
        <v>97</v>
      </c>
      <c r="F1127" s="13" t="s">
        <v>62</v>
      </c>
      <c r="G1127" s="13" t="s">
        <v>80</v>
      </c>
      <c r="H1127" s="16">
        <v>45722.0</v>
      </c>
      <c r="I1127" s="14">
        <v>40.0</v>
      </c>
      <c r="J1127" s="13" t="s">
        <v>64</v>
      </c>
      <c r="K1127" s="13" t="s">
        <v>41</v>
      </c>
      <c r="L1127" s="14">
        <v>709.0</v>
      </c>
      <c r="M1127" s="18" t="s">
        <v>98</v>
      </c>
      <c r="N1127" s="20">
        <v>0.0</v>
      </c>
      <c r="O1127" s="18">
        <v>21.2</v>
      </c>
      <c r="P1127" s="20">
        <v>3.0</v>
      </c>
      <c r="Q1127" s="16">
        <v>45938.0</v>
      </c>
      <c r="R1127" s="16" t="s">
        <v>38</v>
      </c>
      <c r="S1127" s="13" t="s">
        <v>55</v>
      </c>
      <c r="T1127" s="13" t="s">
        <v>72</v>
      </c>
      <c r="U1127" s="13" t="str">
        <f t="shared" si="1"/>
        <v>Moderate</v>
      </c>
      <c r="V1127" s="13" t="str">
        <f t="shared" si="2"/>
        <v>Below Median</v>
      </c>
      <c r="W1127" s="13" t="str">
        <f t="shared" si="3"/>
        <v>25–48 Months</v>
      </c>
    </row>
    <row r="1128" hidden="1">
      <c r="A1128" s="13" t="s">
        <v>350</v>
      </c>
      <c r="B1128" s="13" t="s">
        <v>636</v>
      </c>
      <c r="C1128" s="14">
        <v>54.0</v>
      </c>
      <c r="D1128" s="13" t="s">
        <v>69</v>
      </c>
      <c r="E1128" s="13" t="s">
        <v>187</v>
      </c>
      <c r="F1128" s="13" t="s">
        <v>79</v>
      </c>
      <c r="G1128" s="13" t="s">
        <v>210</v>
      </c>
      <c r="H1128" s="16">
        <v>45899.0</v>
      </c>
      <c r="I1128" s="14">
        <v>24.0</v>
      </c>
      <c r="J1128" s="13" t="s">
        <v>53</v>
      </c>
      <c r="K1128" s="13" t="s">
        <v>65</v>
      </c>
      <c r="L1128" s="14">
        <v>3751.0</v>
      </c>
      <c r="M1128" s="18" t="s">
        <v>173</v>
      </c>
      <c r="N1128" s="20">
        <v>1.0</v>
      </c>
      <c r="O1128" s="18">
        <v>36.9</v>
      </c>
      <c r="P1128" s="20">
        <v>3.8</v>
      </c>
      <c r="Q1128" s="16">
        <v>46462.0</v>
      </c>
      <c r="R1128" s="16" t="s">
        <v>38</v>
      </c>
      <c r="S1128" s="13" t="s">
        <v>55</v>
      </c>
      <c r="T1128" s="13" t="s">
        <v>75</v>
      </c>
      <c r="U1128" s="13" t="str">
        <f t="shared" si="1"/>
        <v>Moderate</v>
      </c>
      <c r="V1128" s="13" t="str">
        <f t="shared" si="2"/>
        <v>Median or Above</v>
      </c>
      <c r="W1128" s="13" t="str">
        <f t="shared" si="3"/>
        <v>13–24 Months</v>
      </c>
    </row>
    <row r="1129" hidden="1">
      <c r="A1129" s="13" t="s">
        <v>1709</v>
      </c>
      <c r="B1129" s="13" t="s">
        <v>224</v>
      </c>
      <c r="C1129" s="14">
        <v>35.0</v>
      </c>
      <c r="D1129" s="13" t="s">
        <v>85</v>
      </c>
      <c r="E1129" s="13" t="s">
        <v>87</v>
      </c>
      <c r="F1129" s="13" t="s">
        <v>37</v>
      </c>
      <c r="G1129" s="13" t="s">
        <v>120</v>
      </c>
      <c r="H1129" s="16">
        <v>45010.0</v>
      </c>
      <c r="I1129" s="14">
        <v>11.0</v>
      </c>
      <c r="J1129" s="13" t="s">
        <v>64</v>
      </c>
      <c r="K1129" s="13" t="s">
        <v>65</v>
      </c>
      <c r="L1129" s="14">
        <v>1252.0</v>
      </c>
      <c r="M1129" s="18" t="s">
        <v>99</v>
      </c>
      <c r="N1129" s="20">
        <v>0.0</v>
      </c>
      <c r="O1129" s="18">
        <v>33.6</v>
      </c>
      <c r="P1129" s="20">
        <v>3.6</v>
      </c>
      <c r="Q1129" s="16">
        <v>45030.0</v>
      </c>
      <c r="R1129" s="16">
        <v>45567.0</v>
      </c>
      <c r="S1129" s="13" t="s">
        <v>45</v>
      </c>
      <c r="T1129" s="13" t="s">
        <v>66</v>
      </c>
      <c r="U1129" s="13" t="str">
        <f t="shared" si="1"/>
        <v>Moderate</v>
      </c>
      <c r="V1129" s="13" t="str">
        <f t="shared" si="2"/>
        <v>Median or Above</v>
      </c>
      <c r="W1129" s="13" t="str">
        <f t="shared" si="3"/>
        <v>0–12 Months</v>
      </c>
    </row>
    <row r="1130" hidden="1">
      <c r="A1130" s="13" t="s">
        <v>989</v>
      </c>
      <c r="B1130" s="13" t="s">
        <v>96</v>
      </c>
      <c r="C1130" s="14">
        <v>40.0</v>
      </c>
      <c r="D1130" s="13" t="s">
        <v>35</v>
      </c>
      <c r="E1130" s="13" t="s">
        <v>51</v>
      </c>
      <c r="F1130" s="13" t="s">
        <v>79</v>
      </c>
      <c r="G1130" s="13" t="s">
        <v>80</v>
      </c>
      <c r="H1130" s="16">
        <v>45754.0</v>
      </c>
      <c r="I1130" s="14">
        <v>29.0</v>
      </c>
      <c r="J1130" s="13" t="s">
        <v>40</v>
      </c>
      <c r="K1130" s="13" t="s">
        <v>81</v>
      </c>
      <c r="L1130" s="14">
        <v>2900.0</v>
      </c>
      <c r="M1130" s="18" t="s">
        <v>43</v>
      </c>
      <c r="N1130" s="20">
        <v>1.0</v>
      </c>
      <c r="O1130" s="18">
        <v>42.0</v>
      </c>
      <c r="P1130" s="20">
        <v>3.7</v>
      </c>
      <c r="Q1130" s="16">
        <v>45835.0</v>
      </c>
      <c r="R1130" s="16" t="s">
        <v>38</v>
      </c>
      <c r="S1130" s="13" t="s">
        <v>55</v>
      </c>
      <c r="T1130" s="13" t="s">
        <v>66</v>
      </c>
      <c r="U1130" s="13" t="str">
        <f t="shared" si="1"/>
        <v>Moderate</v>
      </c>
      <c r="V1130" s="13" t="str">
        <f t="shared" si="2"/>
        <v>Median or Above</v>
      </c>
      <c r="W1130" s="13" t="str">
        <f t="shared" si="3"/>
        <v>25–48 Months</v>
      </c>
    </row>
    <row r="1131" hidden="1">
      <c r="A1131" s="13" t="s">
        <v>1711</v>
      </c>
      <c r="B1131" s="13" t="s">
        <v>96</v>
      </c>
      <c r="C1131" s="14">
        <v>62.0</v>
      </c>
      <c r="D1131" s="13" t="s">
        <v>85</v>
      </c>
      <c r="E1131" s="13" t="s">
        <v>292</v>
      </c>
      <c r="F1131" s="13" t="s">
        <v>62</v>
      </c>
      <c r="G1131" s="13" t="s">
        <v>52</v>
      </c>
      <c r="H1131" s="16">
        <v>45231.0</v>
      </c>
      <c r="I1131" s="14">
        <v>9.0</v>
      </c>
      <c r="J1131" s="13" t="s">
        <v>40</v>
      </c>
      <c r="K1131" s="13" t="s">
        <v>41</v>
      </c>
      <c r="L1131" s="14">
        <v>784.0</v>
      </c>
      <c r="M1131" s="18" t="s">
        <v>98</v>
      </c>
      <c r="N1131" s="20">
        <v>0.0</v>
      </c>
      <c r="O1131" s="18">
        <v>19.3</v>
      </c>
      <c r="P1131" s="20">
        <v>4.7</v>
      </c>
      <c r="Q1131" s="16">
        <v>45307.0</v>
      </c>
      <c r="R1131" s="16" t="s">
        <v>38</v>
      </c>
      <c r="S1131" s="13" t="s">
        <v>55</v>
      </c>
      <c r="T1131" s="13" t="s">
        <v>72</v>
      </c>
      <c r="U1131" s="13" t="str">
        <f t="shared" si="1"/>
        <v>Moderate</v>
      </c>
      <c r="V1131" s="13" t="str">
        <f t="shared" si="2"/>
        <v>Below Median</v>
      </c>
      <c r="W1131" s="13" t="str">
        <f t="shared" si="3"/>
        <v>0–12 Months</v>
      </c>
    </row>
    <row r="1132" hidden="1">
      <c r="A1132" s="13" t="s">
        <v>1662</v>
      </c>
      <c r="B1132" s="13" t="s">
        <v>645</v>
      </c>
      <c r="C1132" s="14">
        <v>41.0</v>
      </c>
      <c r="D1132" s="13" t="s">
        <v>35</v>
      </c>
      <c r="E1132" s="13" t="s">
        <v>51</v>
      </c>
      <c r="F1132" s="13" t="s">
        <v>62</v>
      </c>
      <c r="G1132" s="13" t="s">
        <v>63</v>
      </c>
      <c r="H1132" s="16">
        <v>45105.0</v>
      </c>
      <c r="I1132" s="14">
        <v>36.0</v>
      </c>
      <c r="J1132" s="13" t="s">
        <v>64</v>
      </c>
      <c r="K1132" s="13" t="s">
        <v>41</v>
      </c>
      <c r="L1132" s="14">
        <v>850.0</v>
      </c>
      <c r="M1132" s="18" t="s">
        <v>98</v>
      </c>
      <c r="N1132" s="20">
        <v>0.0</v>
      </c>
      <c r="O1132" s="18">
        <v>12.8</v>
      </c>
      <c r="P1132" s="20">
        <v>3.7</v>
      </c>
      <c r="Q1132" s="16">
        <v>46146.0</v>
      </c>
      <c r="R1132" s="16" t="s">
        <v>38</v>
      </c>
      <c r="S1132" s="13" t="s">
        <v>55</v>
      </c>
      <c r="T1132" s="13" t="s">
        <v>72</v>
      </c>
      <c r="U1132" s="13" t="str">
        <f t="shared" si="1"/>
        <v>Moderate</v>
      </c>
      <c r="V1132" s="13" t="str">
        <f t="shared" si="2"/>
        <v>Below Median</v>
      </c>
      <c r="W1132" s="13" t="str">
        <f t="shared" si="3"/>
        <v>25–48 Months</v>
      </c>
    </row>
    <row r="1133" hidden="1">
      <c r="A1133" s="13" t="s">
        <v>1712</v>
      </c>
      <c r="B1133" s="13" t="s">
        <v>420</v>
      </c>
      <c r="C1133" s="14">
        <v>34.0</v>
      </c>
      <c r="D1133" s="13" t="s">
        <v>60</v>
      </c>
      <c r="E1133" s="13" t="s">
        <v>97</v>
      </c>
      <c r="F1133" s="13" t="s">
        <v>62</v>
      </c>
      <c r="G1133" s="13" t="s">
        <v>80</v>
      </c>
      <c r="H1133" s="16">
        <v>45369.0</v>
      </c>
      <c r="I1133" s="14">
        <v>4.0</v>
      </c>
      <c r="J1133" s="13" t="s">
        <v>53</v>
      </c>
      <c r="K1133" s="13" t="s">
        <v>81</v>
      </c>
      <c r="L1133" s="14">
        <v>883.0</v>
      </c>
      <c r="M1133" s="18" t="s">
        <v>99</v>
      </c>
      <c r="N1133" s="20">
        <v>0.0</v>
      </c>
      <c r="O1133" s="18">
        <v>15.8</v>
      </c>
      <c r="P1133" s="20">
        <v>2.3</v>
      </c>
      <c r="Q1133" s="16">
        <v>45430.0</v>
      </c>
      <c r="R1133" s="16" t="s">
        <v>972</v>
      </c>
      <c r="S1133" s="13" t="s">
        <v>45</v>
      </c>
      <c r="T1133" s="13" t="s">
        <v>104</v>
      </c>
      <c r="U1133" s="13" t="str">
        <f t="shared" si="1"/>
        <v>Low</v>
      </c>
      <c r="V1133" s="13" t="str">
        <f t="shared" si="2"/>
        <v>Below Median</v>
      </c>
      <c r="W1133" s="13" t="str">
        <f t="shared" si="3"/>
        <v>0–12 Months</v>
      </c>
    </row>
    <row r="1134" hidden="1">
      <c r="A1134" s="13" t="s">
        <v>546</v>
      </c>
      <c r="B1134" s="13" t="s">
        <v>605</v>
      </c>
      <c r="C1134" s="14">
        <v>68.0</v>
      </c>
      <c r="D1134" s="13" t="s">
        <v>60</v>
      </c>
      <c r="E1134" s="13" t="s">
        <v>61</v>
      </c>
      <c r="F1134" s="13" t="s">
        <v>37</v>
      </c>
      <c r="G1134" s="13" t="s">
        <v>210</v>
      </c>
      <c r="H1134" s="16">
        <v>44895.0</v>
      </c>
      <c r="I1134" s="14">
        <v>14.0</v>
      </c>
      <c r="J1134" s="13" t="s">
        <v>64</v>
      </c>
      <c r="K1134" s="13" t="s">
        <v>81</v>
      </c>
      <c r="L1134" s="14">
        <v>1094.0</v>
      </c>
      <c r="M1134" s="18" t="s">
        <v>164</v>
      </c>
      <c r="N1134" s="20">
        <v>0.0</v>
      </c>
      <c r="O1134" s="18">
        <v>26.3</v>
      </c>
      <c r="P1134" s="20">
        <v>2.6</v>
      </c>
      <c r="Q1134" s="16">
        <v>45303.0</v>
      </c>
      <c r="R1134" s="16" t="s">
        <v>1714</v>
      </c>
      <c r="S1134" s="13" t="s">
        <v>45</v>
      </c>
      <c r="T1134" s="13" t="s">
        <v>72</v>
      </c>
      <c r="U1134" s="13" t="str">
        <f t="shared" si="1"/>
        <v>Low</v>
      </c>
      <c r="V1134" s="13" t="str">
        <f t="shared" si="2"/>
        <v>Median or Above</v>
      </c>
      <c r="W1134" s="13" t="str">
        <f t="shared" si="3"/>
        <v>13–24 Months</v>
      </c>
    </row>
    <row r="1135" hidden="1">
      <c r="A1135" s="13" t="s">
        <v>1715</v>
      </c>
      <c r="B1135" s="13" t="s">
        <v>202</v>
      </c>
      <c r="C1135" s="14">
        <v>49.0</v>
      </c>
      <c r="D1135" s="13" t="s">
        <v>35</v>
      </c>
      <c r="E1135" s="13" t="s">
        <v>36</v>
      </c>
      <c r="F1135" s="13" t="s">
        <v>62</v>
      </c>
      <c r="G1135" s="13" t="s">
        <v>120</v>
      </c>
      <c r="H1135" s="16">
        <v>45129.0</v>
      </c>
      <c r="I1135" s="14">
        <v>42.0</v>
      </c>
      <c r="J1135" s="13" t="s">
        <v>40</v>
      </c>
      <c r="K1135" s="13" t="s">
        <v>41</v>
      </c>
      <c r="L1135" s="14">
        <v>760.0</v>
      </c>
      <c r="M1135" s="18" t="s">
        <v>43</v>
      </c>
      <c r="N1135" s="20">
        <v>2.0</v>
      </c>
      <c r="O1135" s="18">
        <v>21.2</v>
      </c>
      <c r="P1135" s="20">
        <v>2.4</v>
      </c>
      <c r="Q1135" s="16">
        <v>46392.0</v>
      </c>
      <c r="R1135" s="16" t="s">
        <v>1716</v>
      </c>
      <c r="S1135" s="13" t="s">
        <v>45</v>
      </c>
      <c r="T1135" s="13" t="s">
        <v>66</v>
      </c>
      <c r="U1135" s="13" t="str">
        <f t="shared" si="1"/>
        <v>Low</v>
      </c>
      <c r="V1135" s="13" t="str">
        <f t="shared" si="2"/>
        <v>Below Median</v>
      </c>
      <c r="W1135" s="13" t="str">
        <f t="shared" si="3"/>
        <v>25–48 Months</v>
      </c>
    </row>
    <row r="1136" hidden="1">
      <c r="A1136" s="13" t="s">
        <v>1167</v>
      </c>
      <c r="B1136" s="13" t="s">
        <v>118</v>
      </c>
      <c r="C1136" s="14">
        <v>67.0</v>
      </c>
      <c r="D1136" s="13" t="s">
        <v>35</v>
      </c>
      <c r="E1136" s="13" t="s">
        <v>36</v>
      </c>
      <c r="F1136" s="13" t="s">
        <v>62</v>
      </c>
      <c r="G1136" s="13" t="s">
        <v>80</v>
      </c>
      <c r="H1136" s="16">
        <v>45858.0</v>
      </c>
      <c r="I1136" s="14">
        <v>10.0</v>
      </c>
      <c r="J1136" s="13" t="s">
        <v>64</v>
      </c>
      <c r="K1136" s="13" t="s">
        <v>41</v>
      </c>
      <c r="L1136" s="14">
        <v>558.0</v>
      </c>
      <c r="M1136" s="18" t="s">
        <v>43</v>
      </c>
      <c r="N1136" s="20">
        <v>1.0</v>
      </c>
      <c r="O1136" s="18">
        <v>21.6</v>
      </c>
      <c r="P1136" s="20">
        <v>3.7</v>
      </c>
      <c r="Q1136" s="16" t="s">
        <v>38</v>
      </c>
      <c r="R1136" s="16">
        <v>46330.0</v>
      </c>
      <c r="S1136" s="13" t="s">
        <v>45</v>
      </c>
      <c r="T1136" s="13" t="s">
        <v>104</v>
      </c>
      <c r="U1136" s="13" t="str">
        <f t="shared" si="1"/>
        <v>Moderate</v>
      </c>
      <c r="V1136" s="13" t="str">
        <f t="shared" si="2"/>
        <v>Below Median</v>
      </c>
      <c r="W1136" s="13" t="str">
        <f t="shared" si="3"/>
        <v>0–12 Months</v>
      </c>
    </row>
    <row r="1137" hidden="1">
      <c r="A1137" s="13" t="s">
        <v>307</v>
      </c>
      <c r="B1137" s="13" t="s">
        <v>405</v>
      </c>
      <c r="C1137" s="14">
        <v>61.0</v>
      </c>
      <c r="D1137" s="13" t="s">
        <v>35</v>
      </c>
      <c r="E1137" s="13" t="s">
        <v>36</v>
      </c>
      <c r="F1137" s="13" t="s">
        <v>62</v>
      </c>
      <c r="G1137" s="13" t="s">
        <v>120</v>
      </c>
      <c r="H1137" s="16">
        <v>44776.0</v>
      </c>
      <c r="I1137" s="14">
        <v>9.0</v>
      </c>
      <c r="J1137" s="13" t="s">
        <v>64</v>
      </c>
      <c r="K1137" s="13" t="s">
        <v>81</v>
      </c>
      <c r="L1137" s="14">
        <v>520.0</v>
      </c>
      <c r="M1137" s="18" t="s">
        <v>99</v>
      </c>
      <c r="N1137" s="20">
        <v>2.0</v>
      </c>
      <c r="O1137" s="18">
        <v>23.5</v>
      </c>
      <c r="P1137" s="20">
        <v>4.6</v>
      </c>
      <c r="Q1137" s="16">
        <v>44802.0</v>
      </c>
      <c r="R1137" s="16" t="s">
        <v>1718</v>
      </c>
      <c r="S1137" s="13" t="s">
        <v>45</v>
      </c>
      <c r="T1137" s="13" t="s">
        <v>75</v>
      </c>
      <c r="U1137" s="13" t="str">
        <f t="shared" si="1"/>
        <v>Moderate</v>
      </c>
      <c r="V1137" s="13" t="str">
        <f t="shared" si="2"/>
        <v>Below Median</v>
      </c>
      <c r="W1137" s="13" t="str">
        <f t="shared" si="3"/>
        <v>0–12 Months</v>
      </c>
    </row>
    <row r="1138" hidden="1">
      <c r="A1138" s="13" t="s">
        <v>1719</v>
      </c>
      <c r="B1138" s="13" t="s">
        <v>383</v>
      </c>
      <c r="C1138" s="14">
        <v>60.0</v>
      </c>
      <c r="D1138" s="13" t="s">
        <v>69</v>
      </c>
      <c r="E1138" s="13" t="s">
        <v>187</v>
      </c>
      <c r="F1138" s="13" t="s">
        <v>62</v>
      </c>
      <c r="G1138" s="13" t="s">
        <v>80</v>
      </c>
      <c r="H1138" s="16">
        <v>44956.0</v>
      </c>
      <c r="I1138" s="14">
        <v>28.0</v>
      </c>
      <c r="J1138" s="13" t="s">
        <v>64</v>
      </c>
      <c r="K1138" s="13" t="s">
        <v>41</v>
      </c>
      <c r="L1138" s="14">
        <v>605.0</v>
      </c>
      <c r="M1138" s="18" t="s">
        <v>46</v>
      </c>
      <c r="N1138" s="20">
        <v>0.0</v>
      </c>
      <c r="O1138" s="18">
        <v>6.5</v>
      </c>
      <c r="P1138" s="20">
        <v>3.5</v>
      </c>
      <c r="Q1138" s="16">
        <v>45642.0</v>
      </c>
      <c r="R1138" s="16" t="s">
        <v>38</v>
      </c>
      <c r="S1138" s="13" t="s">
        <v>55</v>
      </c>
      <c r="T1138" s="13" t="s">
        <v>66</v>
      </c>
      <c r="U1138" s="13" t="str">
        <f t="shared" si="1"/>
        <v>Moderate</v>
      </c>
      <c r="V1138" s="13" t="str">
        <f t="shared" si="2"/>
        <v>Below Median</v>
      </c>
      <c r="W1138" s="13" t="str">
        <f t="shared" si="3"/>
        <v>25–48 Months</v>
      </c>
    </row>
    <row r="1139" hidden="1">
      <c r="A1139" s="13" t="s">
        <v>631</v>
      </c>
      <c r="B1139" s="13" t="s">
        <v>74</v>
      </c>
      <c r="C1139" s="14">
        <v>55.0</v>
      </c>
      <c r="D1139" s="13" t="s">
        <v>69</v>
      </c>
      <c r="E1139" s="13" t="s">
        <v>177</v>
      </c>
      <c r="F1139" s="13" t="s">
        <v>62</v>
      </c>
      <c r="G1139" s="13" t="s">
        <v>63</v>
      </c>
      <c r="H1139" s="16">
        <v>45144.0</v>
      </c>
      <c r="I1139" s="14">
        <v>2.0</v>
      </c>
      <c r="J1139" s="13" t="s">
        <v>64</v>
      </c>
      <c r="K1139" s="13" t="s">
        <v>65</v>
      </c>
      <c r="L1139" s="14">
        <v>848.0</v>
      </c>
      <c r="M1139" s="18" t="s">
        <v>164</v>
      </c>
      <c r="N1139" s="20">
        <v>0.0</v>
      </c>
      <c r="O1139" s="18">
        <v>1.0</v>
      </c>
      <c r="P1139" s="20">
        <v>3.9</v>
      </c>
      <c r="Q1139" s="16">
        <v>45221.0</v>
      </c>
      <c r="R1139" s="16" t="s">
        <v>1721</v>
      </c>
      <c r="S1139" s="13" t="s">
        <v>45</v>
      </c>
      <c r="T1139" s="13" t="s">
        <v>47</v>
      </c>
      <c r="U1139" s="13" t="str">
        <f t="shared" si="1"/>
        <v>Moderate</v>
      </c>
      <c r="V1139" s="13" t="str">
        <f t="shared" si="2"/>
        <v>Below Median</v>
      </c>
      <c r="W1139" s="13" t="str">
        <f t="shared" si="3"/>
        <v>0–12 Months</v>
      </c>
    </row>
    <row r="1140" hidden="1">
      <c r="A1140" s="13" t="s">
        <v>1334</v>
      </c>
      <c r="B1140" s="13" t="s">
        <v>303</v>
      </c>
      <c r="C1140" s="14">
        <v>32.0</v>
      </c>
      <c r="D1140" s="13" t="s">
        <v>60</v>
      </c>
      <c r="E1140" s="13" t="s">
        <v>133</v>
      </c>
      <c r="F1140" s="13" t="s">
        <v>62</v>
      </c>
      <c r="G1140" s="13" t="s">
        <v>128</v>
      </c>
      <c r="H1140" s="16">
        <v>45773.0</v>
      </c>
      <c r="I1140" s="14">
        <v>13.0</v>
      </c>
      <c r="J1140" s="13" t="s">
        <v>64</v>
      </c>
      <c r="K1140" s="13" t="s">
        <v>81</v>
      </c>
      <c r="L1140" s="14">
        <v>686.0</v>
      </c>
      <c r="M1140" s="18" t="s">
        <v>98</v>
      </c>
      <c r="N1140" s="20">
        <v>0.0</v>
      </c>
      <c r="O1140" s="18">
        <v>30.1</v>
      </c>
      <c r="P1140" s="20">
        <v>4.1</v>
      </c>
      <c r="Q1140" s="16">
        <v>45977.0</v>
      </c>
      <c r="R1140" s="16" t="s">
        <v>38</v>
      </c>
      <c r="S1140" s="13" t="s">
        <v>55</v>
      </c>
      <c r="T1140" s="13" t="s">
        <v>66</v>
      </c>
      <c r="U1140" s="13" t="str">
        <f t="shared" si="1"/>
        <v>Moderate</v>
      </c>
      <c r="V1140" s="13" t="str">
        <f t="shared" si="2"/>
        <v>Median or Above</v>
      </c>
      <c r="W1140" s="13" t="str">
        <f t="shared" si="3"/>
        <v>13–24 Months</v>
      </c>
    </row>
    <row r="1141" hidden="1">
      <c r="A1141" s="13" t="s">
        <v>1723</v>
      </c>
      <c r="B1141" s="13" t="s">
        <v>333</v>
      </c>
      <c r="C1141" s="14">
        <v>41.0</v>
      </c>
      <c r="D1141" s="13" t="s">
        <v>60</v>
      </c>
      <c r="E1141" s="13" t="s">
        <v>97</v>
      </c>
      <c r="F1141" s="13" t="s">
        <v>79</v>
      </c>
      <c r="G1141" s="13" t="s">
        <v>80</v>
      </c>
      <c r="H1141" s="16">
        <v>45578.0</v>
      </c>
      <c r="I1141" s="14">
        <v>2.0</v>
      </c>
      <c r="J1141" s="13" t="s">
        <v>64</v>
      </c>
      <c r="K1141" s="13" t="s">
        <v>65</v>
      </c>
      <c r="L1141" s="14">
        <v>1463.0</v>
      </c>
      <c r="M1141" s="18" t="s">
        <v>46</v>
      </c>
      <c r="N1141" s="20">
        <v>1.0</v>
      </c>
      <c r="O1141" s="18">
        <v>24.9</v>
      </c>
      <c r="P1141" s="20">
        <v>3.0</v>
      </c>
      <c r="Q1141" s="16">
        <v>45606.0</v>
      </c>
      <c r="R1141" s="16" t="s">
        <v>1725</v>
      </c>
      <c r="S1141" s="13" t="s">
        <v>45</v>
      </c>
      <c r="T1141" s="13" t="s">
        <v>66</v>
      </c>
      <c r="U1141" s="13" t="str">
        <f t="shared" si="1"/>
        <v>Moderate</v>
      </c>
      <c r="V1141" s="13" t="str">
        <f t="shared" si="2"/>
        <v>Median or Above</v>
      </c>
      <c r="W1141" s="13" t="str">
        <f t="shared" si="3"/>
        <v>0–12 Months</v>
      </c>
    </row>
    <row r="1142" hidden="1">
      <c r="A1142" s="13" t="s">
        <v>1646</v>
      </c>
      <c r="B1142" s="13" t="s">
        <v>126</v>
      </c>
      <c r="C1142" s="14">
        <v>49.0</v>
      </c>
      <c r="D1142" s="13" t="s">
        <v>85</v>
      </c>
      <c r="E1142" s="13" t="s">
        <v>92</v>
      </c>
      <c r="F1142" s="13" t="s">
        <v>37</v>
      </c>
      <c r="G1142" s="13" t="s">
        <v>80</v>
      </c>
      <c r="H1142" s="16">
        <v>44996.0</v>
      </c>
      <c r="I1142" s="14">
        <v>2.0</v>
      </c>
      <c r="J1142" s="13" t="s">
        <v>40</v>
      </c>
      <c r="K1142" s="13" t="s">
        <v>65</v>
      </c>
      <c r="L1142" s="14">
        <v>1759.0</v>
      </c>
      <c r="M1142" s="18" t="s">
        <v>98</v>
      </c>
      <c r="N1142" s="20">
        <v>2.0</v>
      </c>
      <c r="O1142" s="18">
        <v>25.8</v>
      </c>
      <c r="P1142" s="20">
        <v>3.4</v>
      </c>
      <c r="Q1142" s="16">
        <v>45025.0</v>
      </c>
      <c r="R1142" s="16" t="s">
        <v>38</v>
      </c>
      <c r="S1142" s="13" t="s">
        <v>55</v>
      </c>
      <c r="T1142" s="13" t="s">
        <v>104</v>
      </c>
      <c r="U1142" s="13" t="str">
        <f t="shared" si="1"/>
        <v>Moderate</v>
      </c>
      <c r="V1142" s="13" t="str">
        <f t="shared" si="2"/>
        <v>Median or Above</v>
      </c>
      <c r="W1142" s="13" t="str">
        <f t="shared" si="3"/>
        <v>0–12 Months</v>
      </c>
    </row>
    <row r="1143" hidden="1">
      <c r="A1143" s="13" t="s">
        <v>220</v>
      </c>
      <c r="B1143" s="13" t="s">
        <v>393</v>
      </c>
      <c r="C1143" s="14">
        <v>56.0</v>
      </c>
      <c r="D1143" s="13" t="s">
        <v>69</v>
      </c>
      <c r="E1143" s="13" t="s">
        <v>119</v>
      </c>
      <c r="F1143" s="13" t="s">
        <v>62</v>
      </c>
      <c r="G1143" s="13" t="s">
        <v>63</v>
      </c>
      <c r="H1143" s="16">
        <v>45131.0</v>
      </c>
      <c r="I1143" s="14">
        <v>4.0</v>
      </c>
      <c r="J1143" s="13" t="s">
        <v>40</v>
      </c>
      <c r="K1143" s="13" t="s">
        <v>65</v>
      </c>
      <c r="L1143" s="14">
        <v>816.0</v>
      </c>
      <c r="M1143" s="18" t="s">
        <v>43</v>
      </c>
      <c r="N1143" s="20">
        <v>0.0</v>
      </c>
      <c r="O1143" s="18">
        <v>14.8</v>
      </c>
      <c r="P1143" s="20">
        <v>3.7</v>
      </c>
      <c r="Q1143" s="16">
        <v>45162.0</v>
      </c>
      <c r="R1143" s="16" t="s">
        <v>38</v>
      </c>
      <c r="S1143" s="13" t="s">
        <v>55</v>
      </c>
      <c r="T1143" s="13" t="s">
        <v>47</v>
      </c>
      <c r="U1143" s="13" t="str">
        <f t="shared" si="1"/>
        <v>Moderate</v>
      </c>
      <c r="V1143" s="13" t="str">
        <f t="shared" si="2"/>
        <v>Below Median</v>
      </c>
      <c r="W1143" s="13" t="str">
        <f t="shared" si="3"/>
        <v>0–12 Months</v>
      </c>
    </row>
    <row r="1144" hidden="1">
      <c r="A1144" s="13" t="s">
        <v>1726</v>
      </c>
      <c r="B1144" s="13" t="s">
        <v>380</v>
      </c>
      <c r="C1144" s="14">
        <v>21.0</v>
      </c>
      <c r="D1144" s="13" t="s">
        <v>69</v>
      </c>
      <c r="E1144" s="13" t="s">
        <v>177</v>
      </c>
      <c r="F1144" s="13" t="s">
        <v>37</v>
      </c>
      <c r="G1144" s="13" t="s">
        <v>63</v>
      </c>
      <c r="H1144" s="16">
        <v>45263.0</v>
      </c>
      <c r="I1144" s="14">
        <v>21.0</v>
      </c>
      <c r="J1144" s="13" t="s">
        <v>40</v>
      </c>
      <c r="K1144" s="13" t="s">
        <v>41</v>
      </c>
      <c r="L1144" s="14">
        <v>1699.0</v>
      </c>
      <c r="M1144" s="18" t="s">
        <v>98</v>
      </c>
      <c r="N1144" s="20">
        <v>2.0</v>
      </c>
      <c r="O1144" s="18">
        <v>20.2</v>
      </c>
      <c r="P1144" s="20" t="s">
        <v>38</v>
      </c>
      <c r="Q1144" s="16">
        <v>45280.0</v>
      </c>
      <c r="R1144" s="16" t="s">
        <v>38</v>
      </c>
      <c r="S1144" s="13" t="s">
        <v>55</v>
      </c>
      <c r="T1144" s="13" t="s">
        <v>104</v>
      </c>
      <c r="U1144" s="13" t="str">
        <f t="shared" si="1"/>
        <v/>
      </c>
      <c r="V1144" s="13" t="str">
        <f t="shared" si="2"/>
        <v>Below Median</v>
      </c>
      <c r="W1144" s="13" t="str">
        <f t="shared" si="3"/>
        <v>13–24 Months</v>
      </c>
    </row>
    <row r="1145" hidden="1">
      <c r="A1145" s="13" t="s">
        <v>1157</v>
      </c>
      <c r="B1145" s="13" t="s">
        <v>257</v>
      </c>
      <c r="C1145" s="14">
        <v>42.0</v>
      </c>
      <c r="D1145" s="13" t="s">
        <v>60</v>
      </c>
      <c r="E1145" s="13" t="s">
        <v>133</v>
      </c>
      <c r="F1145" s="13" t="s">
        <v>79</v>
      </c>
      <c r="G1145" s="13" t="s">
        <v>80</v>
      </c>
      <c r="H1145" s="16">
        <v>45872.0</v>
      </c>
      <c r="I1145" s="14">
        <v>29.0</v>
      </c>
      <c r="J1145" s="13" t="s">
        <v>53</v>
      </c>
      <c r="K1145" s="13" t="s">
        <v>65</v>
      </c>
      <c r="L1145" s="14">
        <v>2131.0</v>
      </c>
      <c r="M1145" s="18" t="s">
        <v>46</v>
      </c>
      <c r="N1145" s="20">
        <v>1.0</v>
      </c>
      <c r="O1145" s="18">
        <v>43.3</v>
      </c>
      <c r="P1145" s="20">
        <v>4.7</v>
      </c>
      <c r="Q1145" s="16">
        <v>46261.0</v>
      </c>
      <c r="R1145" s="16" t="s">
        <v>38</v>
      </c>
      <c r="S1145" s="13" t="s">
        <v>55</v>
      </c>
      <c r="T1145" s="13" t="s">
        <v>47</v>
      </c>
      <c r="U1145" s="13" t="str">
        <f t="shared" si="1"/>
        <v>Moderate</v>
      </c>
      <c r="V1145" s="13" t="str">
        <f t="shared" si="2"/>
        <v>Median or Above</v>
      </c>
      <c r="W1145" s="13" t="str">
        <f t="shared" si="3"/>
        <v>25–48 Months</v>
      </c>
    </row>
    <row r="1146" hidden="1">
      <c r="A1146" s="13" t="s">
        <v>1729</v>
      </c>
      <c r="B1146" s="13" t="s">
        <v>325</v>
      </c>
      <c r="C1146" s="14">
        <v>21.0</v>
      </c>
      <c r="D1146" s="13" t="s">
        <v>60</v>
      </c>
      <c r="E1146" s="13" t="s">
        <v>133</v>
      </c>
      <c r="F1146" s="13" t="s">
        <v>37</v>
      </c>
      <c r="G1146" s="13" t="s">
        <v>39</v>
      </c>
      <c r="H1146" s="16">
        <v>45076.0</v>
      </c>
      <c r="I1146" s="14">
        <v>30.0</v>
      </c>
      <c r="J1146" s="13" t="s">
        <v>40</v>
      </c>
      <c r="K1146" s="13" t="s">
        <v>41</v>
      </c>
      <c r="L1146" s="14">
        <v>1044.0</v>
      </c>
      <c r="M1146" s="18" t="s">
        <v>99</v>
      </c>
      <c r="N1146" s="20">
        <v>2.0</v>
      </c>
      <c r="O1146" s="18">
        <v>17.8</v>
      </c>
      <c r="P1146" s="20">
        <v>5.0</v>
      </c>
      <c r="Q1146" s="16">
        <v>45146.0</v>
      </c>
      <c r="R1146" s="16" t="s">
        <v>38</v>
      </c>
      <c r="S1146" s="13" t="s">
        <v>55</v>
      </c>
      <c r="T1146" s="13" t="s">
        <v>75</v>
      </c>
      <c r="U1146" s="13" t="str">
        <f t="shared" si="1"/>
        <v>High</v>
      </c>
      <c r="V1146" s="13" t="str">
        <f t="shared" si="2"/>
        <v>Below Median</v>
      </c>
      <c r="W1146" s="13" t="str">
        <f t="shared" si="3"/>
        <v>25–48 Months</v>
      </c>
    </row>
    <row r="1147" hidden="1">
      <c r="A1147" s="13" t="s">
        <v>1730</v>
      </c>
      <c r="B1147" s="13" t="s">
        <v>247</v>
      </c>
      <c r="C1147" s="14">
        <v>65.0</v>
      </c>
      <c r="D1147" s="13" t="s">
        <v>85</v>
      </c>
      <c r="E1147" s="13" t="s">
        <v>70</v>
      </c>
      <c r="F1147" s="13" t="s">
        <v>62</v>
      </c>
      <c r="G1147" s="13" t="s">
        <v>210</v>
      </c>
      <c r="H1147" s="16">
        <v>44746.0</v>
      </c>
      <c r="I1147" s="14">
        <v>32.0</v>
      </c>
      <c r="J1147" s="13" t="s">
        <v>64</v>
      </c>
      <c r="K1147" s="13" t="s">
        <v>65</v>
      </c>
      <c r="L1147" s="14">
        <v>763.0</v>
      </c>
      <c r="M1147" s="18" t="s">
        <v>98</v>
      </c>
      <c r="N1147" s="20">
        <v>0.0</v>
      </c>
      <c r="O1147" s="18">
        <v>24.9</v>
      </c>
      <c r="P1147" s="20">
        <v>1.3</v>
      </c>
      <c r="Q1147" s="16">
        <v>44769.0</v>
      </c>
      <c r="R1147" s="16" t="s">
        <v>38</v>
      </c>
      <c r="S1147" s="13" t="s">
        <v>55</v>
      </c>
      <c r="T1147" s="13" t="s">
        <v>75</v>
      </c>
      <c r="U1147" s="13" t="str">
        <f t="shared" si="1"/>
        <v>Low</v>
      </c>
      <c r="V1147" s="13" t="str">
        <f t="shared" si="2"/>
        <v>Median or Above</v>
      </c>
      <c r="W1147" s="13" t="str">
        <f t="shared" si="3"/>
        <v>25–48 Months</v>
      </c>
    </row>
    <row r="1148" hidden="1">
      <c r="A1148" s="13" t="s">
        <v>811</v>
      </c>
      <c r="B1148" s="13" t="s">
        <v>118</v>
      </c>
      <c r="C1148" s="14">
        <v>25.0</v>
      </c>
      <c r="D1148" s="13" t="s">
        <v>35</v>
      </c>
      <c r="E1148" s="13" t="s">
        <v>70</v>
      </c>
      <c r="F1148" s="13" t="s">
        <v>79</v>
      </c>
      <c r="G1148" s="13" t="s">
        <v>63</v>
      </c>
      <c r="H1148" s="16">
        <v>45263.0</v>
      </c>
      <c r="I1148" s="14">
        <v>46.0</v>
      </c>
      <c r="J1148" s="13" t="s">
        <v>40</v>
      </c>
      <c r="K1148" s="13" t="s">
        <v>41</v>
      </c>
      <c r="L1148" s="14">
        <v>3040.0</v>
      </c>
      <c r="M1148" s="18" t="s">
        <v>43</v>
      </c>
      <c r="N1148" s="20">
        <v>0.0</v>
      </c>
      <c r="O1148" s="18">
        <v>34.4</v>
      </c>
      <c r="P1148" s="20">
        <v>2.1</v>
      </c>
      <c r="Q1148" s="16">
        <v>45359.0</v>
      </c>
      <c r="R1148" s="16" t="s">
        <v>38</v>
      </c>
      <c r="S1148" s="13" t="s">
        <v>55</v>
      </c>
      <c r="T1148" s="13" t="s">
        <v>75</v>
      </c>
      <c r="U1148" s="13" t="str">
        <f t="shared" si="1"/>
        <v>Low</v>
      </c>
      <c r="V1148" s="13" t="str">
        <f t="shared" si="2"/>
        <v>Median or Above</v>
      </c>
      <c r="W1148" s="13" t="str">
        <f t="shared" si="3"/>
        <v>25–48 Months</v>
      </c>
    </row>
    <row r="1149" hidden="1">
      <c r="A1149" s="13" t="s">
        <v>1731</v>
      </c>
      <c r="B1149" s="13" t="s">
        <v>288</v>
      </c>
      <c r="C1149" s="14">
        <v>64.0</v>
      </c>
      <c r="D1149" s="13" t="s">
        <v>69</v>
      </c>
      <c r="E1149" s="13" t="s">
        <v>177</v>
      </c>
      <c r="F1149" s="13" t="s">
        <v>62</v>
      </c>
      <c r="G1149" s="13" t="s">
        <v>63</v>
      </c>
      <c r="H1149" s="16">
        <v>45151.0</v>
      </c>
      <c r="I1149" s="14">
        <v>24.0</v>
      </c>
      <c r="J1149" s="13" t="s">
        <v>40</v>
      </c>
      <c r="K1149" s="13" t="s">
        <v>41</v>
      </c>
      <c r="L1149" s="14">
        <v>640.0</v>
      </c>
      <c r="M1149" s="18" t="s">
        <v>98</v>
      </c>
      <c r="N1149" s="20">
        <v>0.0</v>
      </c>
      <c r="O1149" s="18">
        <v>28.5</v>
      </c>
      <c r="P1149" s="20">
        <v>4.9</v>
      </c>
      <c r="Q1149" s="16">
        <v>45365.0</v>
      </c>
      <c r="R1149" s="16" t="s">
        <v>1732</v>
      </c>
      <c r="S1149" s="13" t="s">
        <v>45</v>
      </c>
      <c r="T1149" s="13" t="s">
        <v>104</v>
      </c>
      <c r="U1149" s="13" t="str">
        <f t="shared" si="1"/>
        <v>Moderate</v>
      </c>
      <c r="V1149" s="13" t="str">
        <f t="shared" si="2"/>
        <v>Median or Above</v>
      </c>
      <c r="W1149" s="13" t="str">
        <f t="shared" si="3"/>
        <v>13–24 Months</v>
      </c>
    </row>
    <row r="1150" hidden="1">
      <c r="A1150" s="13" t="s">
        <v>1733</v>
      </c>
      <c r="B1150" s="13" t="s">
        <v>169</v>
      </c>
      <c r="C1150" s="14">
        <v>20.0</v>
      </c>
      <c r="D1150" s="13" t="s">
        <v>85</v>
      </c>
      <c r="E1150" s="13" t="s">
        <v>111</v>
      </c>
      <c r="F1150" s="13" t="s">
        <v>62</v>
      </c>
      <c r="G1150" s="13" t="s">
        <v>128</v>
      </c>
      <c r="H1150" s="16">
        <v>45643.0</v>
      </c>
      <c r="I1150" s="14">
        <v>44.0</v>
      </c>
      <c r="J1150" s="13" t="s">
        <v>40</v>
      </c>
      <c r="K1150" s="13" t="s">
        <v>41</v>
      </c>
      <c r="L1150" s="14">
        <v>717.0</v>
      </c>
      <c r="M1150" s="18" t="s">
        <v>46</v>
      </c>
      <c r="N1150" s="20">
        <v>1.0</v>
      </c>
      <c r="O1150" s="18">
        <v>25.5</v>
      </c>
      <c r="P1150" s="20">
        <v>4.4</v>
      </c>
      <c r="Q1150" s="16">
        <v>46873.0</v>
      </c>
      <c r="R1150" s="16" t="s">
        <v>38</v>
      </c>
      <c r="S1150" s="13" t="s">
        <v>55</v>
      </c>
      <c r="T1150" s="13" t="s">
        <v>66</v>
      </c>
      <c r="U1150" s="13" t="str">
        <f t="shared" si="1"/>
        <v>Moderate</v>
      </c>
      <c r="V1150" s="13" t="str">
        <f t="shared" si="2"/>
        <v>Median or Above</v>
      </c>
      <c r="W1150" s="13" t="str">
        <f t="shared" si="3"/>
        <v>25–48 Months</v>
      </c>
    </row>
    <row r="1151" hidden="1">
      <c r="A1151" s="13" t="s">
        <v>1442</v>
      </c>
      <c r="B1151" s="13" t="s">
        <v>393</v>
      </c>
      <c r="C1151" s="14">
        <v>28.0</v>
      </c>
      <c r="D1151" s="13" t="s">
        <v>60</v>
      </c>
      <c r="E1151" s="13" t="s">
        <v>97</v>
      </c>
      <c r="F1151" s="13" t="s">
        <v>79</v>
      </c>
      <c r="G1151" s="13" t="s">
        <v>128</v>
      </c>
      <c r="H1151" s="16">
        <v>44972.0</v>
      </c>
      <c r="I1151" s="14">
        <v>39.0</v>
      </c>
      <c r="J1151" s="13" t="s">
        <v>40</v>
      </c>
      <c r="K1151" s="13" t="s">
        <v>65</v>
      </c>
      <c r="L1151" s="14">
        <v>3715.0</v>
      </c>
      <c r="M1151" s="18" t="s">
        <v>46</v>
      </c>
      <c r="N1151" s="20">
        <v>2.0</v>
      </c>
      <c r="O1151" s="18">
        <v>41.8</v>
      </c>
      <c r="P1151" s="20">
        <v>3.3</v>
      </c>
      <c r="Q1151" s="16">
        <v>45877.0</v>
      </c>
      <c r="R1151" s="16" t="s">
        <v>38</v>
      </c>
      <c r="S1151" s="13" t="s">
        <v>55</v>
      </c>
      <c r="T1151" s="13" t="s">
        <v>66</v>
      </c>
      <c r="U1151" s="13" t="str">
        <f t="shared" si="1"/>
        <v>Moderate</v>
      </c>
      <c r="V1151" s="13" t="str">
        <f t="shared" si="2"/>
        <v>Median or Above</v>
      </c>
      <c r="W1151" s="13" t="str">
        <f t="shared" si="3"/>
        <v>25–48 Months</v>
      </c>
    </row>
    <row r="1152" hidden="1">
      <c r="A1152" s="13" t="s">
        <v>197</v>
      </c>
      <c r="B1152" s="13" t="s">
        <v>736</v>
      </c>
      <c r="C1152" s="14">
        <v>40.0</v>
      </c>
      <c r="D1152" s="13" t="s">
        <v>69</v>
      </c>
      <c r="E1152" s="13" t="s">
        <v>187</v>
      </c>
      <c r="F1152" s="13" t="s">
        <v>37</v>
      </c>
      <c r="G1152" s="13" t="s">
        <v>120</v>
      </c>
      <c r="H1152" s="16">
        <v>44600.0</v>
      </c>
      <c r="I1152" s="14">
        <v>3.0</v>
      </c>
      <c r="J1152" s="13" t="s">
        <v>40</v>
      </c>
      <c r="K1152" s="13" t="s">
        <v>81</v>
      </c>
      <c r="L1152" s="14">
        <v>1411.0</v>
      </c>
      <c r="M1152" s="18" t="s">
        <v>98</v>
      </c>
      <c r="N1152" s="20" t="s">
        <v>38</v>
      </c>
      <c r="O1152" s="18">
        <v>18.0</v>
      </c>
      <c r="P1152" s="20">
        <v>3.9</v>
      </c>
      <c r="Q1152" s="16">
        <v>44664.0</v>
      </c>
      <c r="R1152" s="16" t="s">
        <v>38</v>
      </c>
      <c r="S1152" s="13" t="s">
        <v>55</v>
      </c>
      <c r="T1152" s="13" t="s">
        <v>104</v>
      </c>
      <c r="U1152" s="13" t="str">
        <f t="shared" si="1"/>
        <v>Moderate</v>
      </c>
      <c r="V1152" s="13" t="str">
        <f t="shared" si="2"/>
        <v>Below Median</v>
      </c>
      <c r="W1152" s="13" t="str">
        <f t="shared" si="3"/>
        <v>0–12 Months</v>
      </c>
    </row>
    <row r="1153" hidden="1">
      <c r="A1153" s="13" t="s">
        <v>1734</v>
      </c>
      <c r="B1153" s="13" t="s">
        <v>172</v>
      </c>
      <c r="C1153" s="14">
        <v>53.0</v>
      </c>
      <c r="D1153" s="13" t="s">
        <v>35</v>
      </c>
      <c r="E1153" s="13" t="s">
        <v>36</v>
      </c>
      <c r="F1153" s="13" t="s">
        <v>62</v>
      </c>
      <c r="G1153" s="13" t="s">
        <v>80</v>
      </c>
      <c r="H1153" s="16">
        <v>45556.0</v>
      </c>
      <c r="I1153" s="14">
        <v>43.0</v>
      </c>
      <c r="J1153" s="13" t="s">
        <v>64</v>
      </c>
      <c r="K1153" s="13" t="s">
        <v>41</v>
      </c>
      <c r="L1153" s="14">
        <v>628.0</v>
      </c>
      <c r="M1153" s="18" t="s">
        <v>46</v>
      </c>
      <c r="N1153" s="20">
        <v>2.0</v>
      </c>
      <c r="O1153" s="18">
        <v>21.8</v>
      </c>
      <c r="P1153" s="20">
        <v>3.1</v>
      </c>
      <c r="Q1153" s="16">
        <v>46103.0</v>
      </c>
      <c r="R1153" s="16" t="s">
        <v>38</v>
      </c>
      <c r="S1153" s="13" t="s">
        <v>55</v>
      </c>
      <c r="T1153" s="13" t="s">
        <v>66</v>
      </c>
      <c r="U1153" s="13" t="str">
        <f t="shared" si="1"/>
        <v>Moderate</v>
      </c>
      <c r="V1153" s="13" t="str">
        <f t="shared" si="2"/>
        <v>Below Median</v>
      </c>
      <c r="W1153" s="13" t="str">
        <f t="shared" si="3"/>
        <v>25–48 Months</v>
      </c>
    </row>
    <row r="1154" hidden="1">
      <c r="A1154" s="13" t="s">
        <v>1735</v>
      </c>
      <c r="B1154" s="13" t="s">
        <v>239</v>
      </c>
      <c r="C1154" s="14">
        <v>56.0</v>
      </c>
      <c r="D1154" s="13" t="s">
        <v>60</v>
      </c>
      <c r="E1154" s="13" t="s">
        <v>61</v>
      </c>
      <c r="F1154" s="13" t="s">
        <v>62</v>
      </c>
      <c r="G1154" s="13" t="s">
        <v>63</v>
      </c>
      <c r="H1154" s="16">
        <v>46011.0</v>
      </c>
      <c r="I1154" s="14">
        <v>5.0</v>
      </c>
      <c r="J1154" s="13" t="s">
        <v>53</v>
      </c>
      <c r="K1154" s="13" t="s">
        <v>81</v>
      </c>
      <c r="L1154" s="14">
        <v>587.0</v>
      </c>
      <c r="M1154" s="18" t="s">
        <v>164</v>
      </c>
      <c r="N1154" s="20">
        <v>3.0</v>
      </c>
      <c r="O1154" s="18">
        <v>22.2</v>
      </c>
      <c r="P1154" s="20">
        <v>2.7</v>
      </c>
      <c r="Q1154" s="16">
        <v>46177.0</v>
      </c>
      <c r="R1154" s="16" t="s">
        <v>38</v>
      </c>
      <c r="S1154" s="13" t="s">
        <v>45</v>
      </c>
      <c r="T1154" s="13" t="s">
        <v>66</v>
      </c>
      <c r="U1154" s="13" t="str">
        <f t="shared" si="1"/>
        <v>Low</v>
      </c>
      <c r="V1154" s="13" t="str">
        <f t="shared" si="2"/>
        <v>Below Median</v>
      </c>
      <c r="W1154" s="13" t="str">
        <f t="shared" si="3"/>
        <v>0–12 Months</v>
      </c>
    </row>
    <row r="1155" hidden="1">
      <c r="A1155" s="13" t="s">
        <v>1736</v>
      </c>
      <c r="B1155" s="13" t="s">
        <v>222</v>
      </c>
      <c r="C1155" s="14">
        <v>25.0</v>
      </c>
      <c r="D1155" s="13" t="s">
        <v>85</v>
      </c>
      <c r="E1155" s="13" t="s">
        <v>87</v>
      </c>
      <c r="F1155" s="13" t="s">
        <v>37</v>
      </c>
      <c r="G1155" s="13" t="s">
        <v>52</v>
      </c>
      <c r="H1155" s="16">
        <v>44695.0</v>
      </c>
      <c r="I1155" s="14">
        <v>13.0</v>
      </c>
      <c r="J1155" s="13" t="s">
        <v>53</v>
      </c>
      <c r="K1155" s="13" t="s">
        <v>65</v>
      </c>
      <c r="L1155" s="14">
        <v>1700.0</v>
      </c>
      <c r="M1155" s="18" t="s">
        <v>98</v>
      </c>
      <c r="N1155" s="20">
        <v>1.0</v>
      </c>
      <c r="O1155" s="18">
        <v>10.2</v>
      </c>
      <c r="P1155" s="20">
        <v>2.4</v>
      </c>
      <c r="Q1155" s="16">
        <v>44917.0</v>
      </c>
      <c r="R1155" s="16" t="s">
        <v>38</v>
      </c>
      <c r="S1155" s="13" t="s">
        <v>55</v>
      </c>
      <c r="T1155" s="13" t="s">
        <v>104</v>
      </c>
      <c r="U1155" s="13" t="str">
        <f t="shared" si="1"/>
        <v>Low</v>
      </c>
      <c r="V1155" s="13" t="str">
        <f t="shared" si="2"/>
        <v>Below Median</v>
      </c>
      <c r="W1155" s="13" t="str">
        <f t="shared" si="3"/>
        <v>13–24 Months</v>
      </c>
    </row>
    <row r="1156" hidden="1">
      <c r="A1156" s="13" t="s">
        <v>1737</v>
      </c>
      <c r="B1156" s="13" t="s">
        <v>633</v>
      </c>
      <c r="C1156" s="14">
        <v>30.0</v>
      </c>
      <c r="D1156" s="13" t="s">
        <v>69</v>
      </c>
      <c r="E1156" s="13" t="s">
        <v>119</v>
      </c>
      <c r="F1156" s="13" t="s">
        <v>62</v>
      </c>
      <c r="G1156" s="13" t="s">
        <v>63</v>
      </c>
      <c r="H1156" s="16">
        <v>45555.0</v>
      </c>
      <c r="I1156" s="14">
        <v>31.0</v>
      </c>
      <c r="J1156" s="13" t="s">
        <v>40</v>
      </c>
      <c r="K1156" s="13" t="s">
        <v>65</v>
      </c>
      <c r="L1156" s="14">
        <v>626.0</v>
      </c>
      <c r="M1156" s="18" t="s">
        <v>164</v>
      </c>
      <c r="N1156" s="20">
        <v>2.0</v>
      </c>
      <c r="O1156" s="18">
        <v>29.7</v>
      </c>
      <c r="P1156" s="20">
        <v>3.4</v>
      </c>
      <c r="Q1156" s="16">
        <v>45743.0</v>
      </c>
      <c r="R1156" s="16" t="s">
        <v>38</v>
      </c>
      <c r="S1156" s="13" t="s">
        <v>55</v>
      </c>
      <c r="T1156" s="13" t="s">
        <v>66</v>
      </c>
      <c r="U1156" s="13" t="str">
        <f t="shared" si="1"/>
        <v>Moderate</v>
      </c>
      <c r="V1156" s="13" t="str">
        <f t="shared" si="2"/>
        <v>Median or Above</v>
      </c>
      <c r="W1156" s="13" t="str">
        <f t="shared" si="3"/>
        <v>25–48 Months</v>
      </c>
    </row>
    <row r="1157" hidden="1">
      <c r="A1157" s="13" t="s">
        <v>1738</v>
      </c>
      <c r="B1157" s="13" t="s">
        <v>96</v>
      </c>
      <c r="C1157" s="14">
        <v>32.0</v>
      </c>
      <c r="D1157" s="13" t="s">
        <v>60</v>
      </c>
      <c r="E1157" s="13" t="s">
        <v>61</v>
      </c>
      <c r="F1157" s="13" t="s">
        <v>79</v>
      </c>
      <c r="G1157" s="13" t="s">
        <v>120</v>
      </c>
      <c r="H1157" s="16">
        <v>44592.0</v>
      </c>
      <c r="I1157" s="14">
        <v>5.0</v>
      </c>
      <c r="J1157" s="13" t="s">
        <v>53</v>
      </c>
      <c r="K1157" s="13" t="s">
        <v>41</v>
      </c>
      <c r="L1157" s="14">
        <v>3808.0</v>
      </c>
      <c r="M1157" s="18" t="s">
        <v>173</v>
      </c>
      <c r="N1157" s="20">
        <v>1.0</v>
      </c>
      <c r="O1157" s="18">
        <v>31.4</v>
      </c>
      <c r="P1157" s="20">
        <v>3.3</v>
      </c>
      <c r="Q1157" s="16">
        <v>44712.0</v>
      </c>
      <c r="R1157" s="16" t="s">
        <v>38</v>
      </c>
      <c r="S1157" s="13" t="s">
        <v>55</v>
      </c>
      <c r="T1157" s="13" t="s">
        <v>66</v>
      </c>
      <c r="U1157" s="13" t="str">
        <f t="shared" si="1"/>
        <v>Moderate</v>
      </c>
      <c r="V1157" s="13" t="str">
        <f t="shared" si="2"/>
        <v>Median or Above</v>
      </c>
      <c r="W1157" s="13" t="str">
        <f t="shared" si="3"/>
        <v>0–12 Months</v>
      </c>
    </row>
    <row r="1158" hidden="1">
      <c r="A1158" s="13" t="s">
        <v>462</v>
      </c>
      <c r="B1158" s="13" t="s">
        <v>398</v>
      </c>
      <c r="C1158" s="14">
        <v>53.0</v>
      </c>
      <c r="D1158" s="13" t="s">
        <v>69</v>
      </c>
      <c r="E1158" s="13" t="s">
        <v>70</v>
      </c>
      <c r="F1158" s="13" t="s">
        <v>62</v>
      </c>
      <c r="G1158" s="13" t="s">
        <v>63</v>
      </c>
      <c r="H1158" s="16">
        <v>44886.0</v>
      </c>
      <c r="I1158" s="14">
        <v>43.0</v>
      </c>
      <c r="J1158" s="13" t="s">
        <v>40</v>
      </c>
      <c r="K1158" s="13" t="s">
        <v>41</v>
      </c>
      <c r="L1158" s="14">
        <v>513.0</v>
      </c>
      <c r="M1158" s="18" t="s">
        <v>43</v>
      </c>
      <c r="N1158" s="20">
        <v>1.0</v>
      </c>
      <c r="O1158" s="18">
        <v>29.3</v>
      </c>
      <c r="P1158" s="20">
        <v>3.8</v>
      </c>
      <c r="Q1158" s="16">
        <v>46181.0</v>
      </c>
      <c r="R1158" s="16" t="s">
        <v>38</v>
      </c>
      <c r="S1158" s="13" t="s">
        <v>55</v>
      </c>
      <c r="T1158" s="13" t="s">
        <v>72</v>
      </c>
      <c r="U1158" s="13" t="str">
        <f t="shared" si="1"/>
        <v>Moderate</v>
      </c>
      <c r="V1158" s="13" t="str">
        <f t="shared" si="2"/>
        <v>Median or Above</v>
      </c>
      <c r="W1158" s="13" t="str">
        <f t="shared" si="3"/>
        <v>25–48 Months</v>
      </c>
    </row>
    <row r="1159" hidden="1">
      <c r="A1159" s="13" t="s">
        <v>1740</v>
      </c>
      <c r="B1159" s="13" t="s">
        <v>179</v>
      </c>
      <c r="C1159" s="14">
        <v>23.0</v>
      </c>
      <c r="D1159" s="13" t="s">
        <v>85</v>
      </c>
      <c r="E1159" s="13" t="s">
        <v>111</v>
      </c>
      <c r="F1159" s="13" t="s">
        <v>79</v>
      </c>
      <c r="G1159" s="13" t="s">
        <v>39</v>
      </c>
      <c r="H1159" s="16">
        <v>45472.0</v>
      </c>
      <c r="I1159" s="14">
        <v>2.0</v>
      </c>
      <c r="J1159" s="13" t="s">
        <v>64</v>
      </c>
      <c r="K1159" s="13" t="s">
        <v>65</v>
      </c>
      <c r="L1159" s="14">
        <v>3280.0</v>
      </c>
      <c r="M1159" s="18" t="s">
        <v>43</v>
      </c>
      <c r="N1159" s="20">
        <v>3.0</v>
      </c>
      <c r="O1159" s="18">
        <v>29.6</v>
      </c>
      <c r="P1159" s="20">
        <v>5.0</v>
      </c>
      <c r="Q1159" s="16">
        <v>45519.0</v>
      </c>
      <c r="R1159" s="16" t="s">
        <v>1716</v>
      </c>
      <c r="S1159" s="13" t="s">
        <v>45</v>
      </c>
      <c r="T1159" s="13" t="s">
        <v>72</v>
      </c>
      <c r="U1159" s="13" t="str">
        <f t="shared" si="1"/>
        <v>High</v>
      </c>
      <c r="V1159" s="13" t="str">
        <f t="shared" si="2"/>
        <v>Median or Above</v>
      </c>
      <c r="W1159" s="13" t="str">
        <f t="shared" si="3"/>
        <v>0–12 Months</v>
      </c>
    </row>
    <row r="1160" hidden="1">
      <c r="A1160" s="13" t="s">
        <v>1741</v>
      </c>
      <c r="B1160" s="13" t="s">
        <v>364</v>
      </c>
      <c r="C1160" s="14">
        <v>53.0</v>
      </c>
      <c r="D1160" s="13" t="s">
        <v>69</v>
      </c>
      <c r="E1160" s="13" t="s">
        <v>187</v>
      </c>
      <c r="F1160" s="13" t="s">
        <v>37</v>
      </c>
      <c r="G1160" s="13" t="s">
        <v>120</v>
      </c>
      <c r="H1160" s="16">
        <v>45291.0</v>
      </c>
      <c r="I1160" s="14">
        <v>34.0</v>
      </c>
      <c r="J1160" s="13" t="s">
        <v>40</v>
      </c>
      <c r="K1160" s="13" t="s">
        <v>41</v>
      </c>
      <c r="L1160" s="14">
        <v>1583.0</v>
      </c>
      <c r="M1160" s="18" t="s">
        <v>173</v>
      </c>
      <c r="N1160" s="20">
        <v>0.0</v>
      </c>
      <c r="O1160" s="18">
        <v>30.3</v>
      </c>
      <c r="P1160" s="20">
        <v>4.4</v>
      </c>
      <c r="Q1160" s="16">
        <v>46066.0</v>
      </c>
      <c r="R1160" s="16" t="s">
        <v>38</v>
      </c>
      <c r="S1160" s="13" t="s">
        <v>45</v>
      </c>
      <c r="T1160" s="13" t="s">
        <v>104</v>
      </c>
      <c r="U1160" s="13" t="str">
        <f t="shared" si="1"/>
        <v>Moderate</v>
      </c>
      <c r="V1160" s="13" t="str">
        <f t="shared" si="2"/>
        <v>Median or Above</v>
      </c>
      <c r="W1160" s="13" t="str">
        <f t="shared" si="3"/>
        <v>25–48 Months</v>
      </c>
    </row>
    <row r="1161" hidden="1">
      <c r="A1161" s="13" t="s">
        <v>534</v>
      </c>
      <c r="B1161" s="13" t="s">
        <v>139</v>
      </c>
      <c r="C1161" s="14">
        <v>24.0</v>
      </c>
      <c r="D1161" s="13" t="s">
        <v>35</v>
      </c>
      <c r="E1161" s="13" t="s">
        <v>140</v>
      </c>
      <c r="F1161" s="13" t="s">
        <v>37</v>
      </c>
      <c r="G1161" s="13" t="s">
        <v>120</v>
      </c>
      <c r="H1161" s="16">
        <v>45927.0</v>
      </c>
      <c r="I1161" s="14">
        <v>6.0</v>
      </c>
      <c r="J1161" s="13" t="s">
        <v>64</v>
      </c>
      <c r="K1161" s="13" t="s">
        <v>81</v>
      </c>
      <c r="L1161" s="14">
        <v>1192.0</v>
      </c>
      <c r="M1161" s="18" t="s">
        <v>98</v>
      </c>
      <c r="N1161" s="20">
        <v>1.0</v>
      </c>
      <c r="O1161" s="18">
        <v>15.5</v>
      </c>
      <c r="P1161" s="20">
        <v>2.4</v>
      </c>
      <c r="Q1161" s="16">
        <v>46081.0</v>
      </c>
      <c r="R1161" s="16" t="s">
        <v>1742</v>
      </c>
      <c r="S1161" s="13" t="s">
        <v>45</v>
      </c>
      <c r="T1161" s="13" t="s">
        <v>104</v>
      </c>
      <c r="U1161" s="13" t="str">
        <f t="shared" si="1"/>
        <v>Low</v>
      </c>
      <c r="V1161" s="13" t="str">
        <f t="shared" si="2"/>
        <v>Below Median</v>
      </c>
      <c r="W1161" s="13" t="str">
        <f t="shared" si="3"/>
        <v>0–12 Months</v>
      </c>
    </row>
    <row r="1162" hidden="1">
      <c r="A1162" s="13" t="s">
        <v>1743</v>
      </c>
      <c r="B1162" s="13" t="s">
        <v>118</v>
      </c>
      <c r="C1162" s="14">
        <v>61.0</v>
      </c>
      <c r="D1162" s="13" t="s">
        <v>85</v>
      </c>
      <c r="E1162" s="13" t="s">
        <v>92</v>
      </c>
      <c r="F1162" s="13" t="s">
        <v>37</v>
      </c>
      <c r="G1162" s="13" t="s">
        <v>80</v>
      </c>
      <c r="H1162" s="16">
        <v>45935.0</v>
      </c>
      <c r="I1162" s="14">
        <v>28.0</v>
      </c>
      <c r="J1162" s="13" t="s">
        <v>64</v>
      </c>
      <c r="K1162" s="13" t="s">
        <v>41</v>
      </c>
      <c r="L1162" s="14">
        <v>1153.0</v>
      </c>
      <c r="M1162" s="18" t="s">
        <v>98</v>
      </c>
      <c r="N1162" s="20">
        <v>0.0</v>
      </c>
      <c r="O1162" s="18">
        <v>20.4</v>
      </c>
      <c r="P1162" s="20">
        <v>4.2</v>
      </c>
      <c r="Q1162" s="16">
        <v>46688.0</v>
      </c>
      <c r="R1162" s="16" t="s">
        <v>38</v>
      </c>
      <c r="S1162" s="13" t="s">
        <v>55</v>
      </c>
      <c r="T1162" s="13" t="s">
        <v>72</v>
      </c>
      <c r="U1162" s="13" t="str">
        <f t="shared" si="1"/>
        <v>Moderate</v>
      </c>
      <c r="V1162" s="13" t="str">
        <f t="shared" si="2"/>
        <v>Below Median</v>
      </c>
      <c r="W1162" s="13" t="str">
        <f t="shared" si="3"/>
        <v>25–48 Months</v>
      </c>
    </row>
    <row r="1163" hidden="1">
      <c r="A1163" s="13" t="s">
        <v>1744</v>
      </c>
      <c r="B1163" s="13" t="s">
        <v>395</v>
      </c>
      <c r="C1163" s="14">
        <v>30.0</v>
      </c>
      <c r="D1163" s="13" t="s">
        <v>60</v>
      </c>
      <c r="E1163" s="13" t="s">
        <v>97</v>
      </c>
      <c r="F1163" s="13" t="s">
        <v>37</v>
      </c>
      <c r="G1163" s="13" t="s">
        <v>210</v>
      </c>
      <c r="H1163" s="16">
        <v>44743.0</v>
      </c>
      <c r="I1163" s="14">
        <v>38.0</v>
      </c>
      <c r="J1163" s="13" t="s">
        <v>53</v>
      </c>
      <c r="K1163" s="13" t="s">
        <v>65</v>
      </c>
      <c r="L1163" s="14">
        <v>1436.0</v>
      </c>
      <c r="M1163" s="18" t="s">
        <v>98</v>
      </c>
      <c r="N1163" s="20">
        <v>2.0</v>
      </c>
      <c r="O1163" s="18">
        <v>31.3</v>
      </c>
      <c r="P1163" s="20">
        <v>4.0</v>
      </c>
      <c r="Q1163" s="16">
        <v>45765.0</v>
      </c>
      <c r="R1163" s="16" t="s">
        <v>38</v>
      </c>
      <c r="S1163" s="13" t="s">
        <v>55</v>
      </c>
      <c r="T1163" s="13" t="s">
        <v>66</v>
      </c>
      <c r="U1163" s="13" t="str">
        <f t="shared" si="1"/>
        <v>Moderate</v>
      </c>
      <c r="V1163" s="13" t="str">
        <f t="shared" si="2"/>
        <v>Median or Above</v>
      </c>
      <c r="W1163" s="13" t="str">
        <f t="shared" si="3"/>
        <v>25–48 Months</v>
      </c>
    </row>
    <row r="1164" hidden="1">
      <c r="A1164" s="13" t="s">
        <v>925</v>
      </c>
      <c r="B1164" s="13" t="s">
        <v>322</v>
      </c>
      <c r="C1164" s="14">
        <v>59.0</v>
      </c>
      <c r="D1164" s="13" t="s">
        <v>69</v>
      </c>
      <c r="E1164" s="13" t="s">
        <v>177</v>
      </c>
      <c r="F1164" s="13" t="s">
        <v>37</v>
      </c>
      <c r="G1164" s="13" t="s">
        <v>210</v>
      </c>
      <c r="H1164" s="16">
        <v>44781.0</v>
      </c>
      <c r="I1164" s="14">
        <v>30.0</v>
      </c>
      <c r="J1164" s="13" t="s">
        <v>40</v>
      </c>
      <c r="K1164" s="13" t="s">
        <v>81</v>
      </c>
      <c r="L1164" s="14">
        <v>1685.0</v>
      </c>
      <c r="M1164" s="18" t="s">
        <v>98</v>
      </c>
      <c r="N1164" s="20">
        <v>1.0</v>
      </c>
      <c r="O1164" s="18">
        <v>44.5</v>
      </c>
      <c r="P1164" s="20">
        <v>3.8</v>
      </c>
      <c r="Q1164" s="16">
        <v>45198.0</v>
      </c>
      <c r="R1164" s="16" t="s">
        <v>38</v>
      </c>
      <c r="S1164" s="13" t="s">
        <v>55</v>
      </c>
      <c r="T1164" s="13" t="s">
        <v>75</v>
      </c>
      <c r="U1164" s="13" t="str">
        <f t="shared" si="1"/>
        <v>Moderate</v>
      </c>
      <c r="V1164" s="13" t="str">
        <f t="shared" si="2"/>
        <v>Median or Above</v>
      </c>
      <c r="W1164" s="13" t="str">
        <f t="shared" si="3"/>
        <v>25–48 Months</v>
      </c>
    </row>
    <row r="1165" hidden="1">
      <c r="A1165" s="13" t="s">
        <v>73</v>
      </c>
      <c r="B1165" s="13" t="s">
        <v>288</v>
      </c>
      <c r="C1165" s="14">
        <v>47.0</v>
      </c>
      <c r="D1165" s="13" t="s">
        <v>60</v>
      </c>
      <c r="E1165" s="13" t="s">
        <v>133</v>
      </c>
      <c r="F1165" s="13" t="s">
        <v>62</v>
      </c>
      <c r="G1165" s="13" t="s">
        <v>39</v>
      </c>
      <c r="H1165" s="16">
        <v>45104.0</v>
      </c>
      <c r="I1165" s="14">
        <v>40.0</v>
      </c>
      <c r="J1165" s="13" t="s">
        <v>40</v>
      </c>
      <c r="K1165" s="13" t="s">
        <v>41</v>
      </c>
      <c r="L1165" s="14">
        <v>635.0</v>
      </c>
      <c r="M1165" s="18" t="s">
        <v>43</v>
      </c>
      <c r="N1165" s="20">
        <v>1.0</v>
      </c>
      <c r="O1165" s="18">
        <v>20.4</v>
      </c>
      <c r="P1165" s="20">
        <v>5.0</v>
      </c>
      <c r="Q1165" s="16">
        <v>45753.0</v>
      </c>
      <c r="R1165" s="16" t="s">
        <v>38</v>
      </c>
      <c r="S1165" s="13" t="s">
        <v>55</v>
      </c>
      <c r="T1165" s="13" t="s">
        <v>66</v>
      </c>
      <c r="U1165" s="13" t="str">
        <f t="shared" si="1"/>
        <v>High</v>
      </c>
      <c r="V1165" s="13" t="str">
        <f t="shared" si="2"/>
        <v>Below Median</v>
      </c>
      <c r="W1165" s="13" t="str">
        <f t="shared" si="3"/>
        <v>25–48 Months</v>
      </c>
    </row>
    <row r="1166" hidden="1">
      <c r="A1166" s="13" t="s">
        <v>113</v>
      </c>
      <c r="B1166" s="13" t="s">
        <v>470</v>
      </c>
      <c r="C1166" s="14">
        <v>36.0</v>
      </c>
      <c r="D1166" s="13" t="s">
        <v>35</v>
      </c>
      <c r="E1166" s="13" t="s">
        <v>140</v>
      </c>
      <c r="F1166" s="13" t="s">
        <v>79</v>
      </c>
      <c r="G1166" s="13" t="s">
        <v>210</v>
      </c>
      <c r="H1166" s="16">
        <v>45749.0</v>
      </c>
      <c r="I1166" s="14">
        <v>16.0</v>
      </c>
      <c r="J1166" s="13" t="s">
        <v>64</v>
      </c>
      <c r="K1166" s="13" t="s">
        <v>65</v>
      </c>
      <c r="L1166" s="14">
        <v>707.0</v>
      </c>
      <c r="M1166" s="18" t="s">
        <v>98</v>
      </c>
      <c r="N1166" s="20">
        <v>1.0</v>
      </c>
      <c r="O1166" s="18">
        <v>23.7</v>
      </c>
      <c r="P1166" s="20">
        <v>4.1</v>
      </c>
      <c r="Q1166" s="16">
        <v>46038.0</v>
      </c>
      <c r="R1166" s="16">
        <v>45784.0</v>
      </c>
      <c r="S1166" s="13" t="s">
        <v>45</v>
      </c>
      <c r="T1166" s="13" t="s">
        <v>66</v>
      </c>
      <c r="U1166" s="13" t="str">
        <f t="shared" si="1"/>
        <v>Moderate</v>
      </c>
      <c r="V1166" s="13" t="str">
        <f t="shared" si="2"/>
        <v>Below Median</v>
      </c>
      <c r="W1166" s="13" t="str">
        <f t="shared" si="3"/>
        <v>13–24 Months</v>
      </c>
    </row>
    <row r="1167" hidden="1">
      <c r="A1167" s="13" t="s">
        <v>1748</v>
      </c>
      <c r="B1167" s="13" t="s">
        <v>340</v>
      </c>
      <c r="C1167" s="14">
        <v>46.0</v>
      </c>
      <c r="D1167" s="13" t="s">
        <v>69</v>
      </c>
      <c r="E1167" s="13" t="s">
        <v>70</v>
      </c>
      <c r="F1167" s="13" t="s">
        <v>79</v>
      </c>
      <c r="G1167" s="13" t="s">
        <v>39</v>
      </c>
      <c r="H1167" s="16">
        <v>45091.0</v>
      </c>
      <c r="I1167" s="14">
        <v>26.0</v>
      </c>
      <c r="J1167" s="13" t="s">
        <v>40</v>
      </c>
      <c r="K1167" s="13" t="s">
        <v>81</v>
      </c>
      <c r="L1167" s="14">
        <v>2910.0</v>
      </c>
      <c r="M1167" s="18" t="s">
        <v>99</v>
      </c>
      <c r="N1167" s="20">
        <v>0.0</v>
      </c>
      <c r="O1167" s="18">
        <v>43.8</v>
      </c>
      <c r="P1167" s="20">
        <v>2.5</v>
      </c>
      <c r="Q1167" s="16">
        <v>45717.0</v>
      </c>
      <c r="R1167" s="16" t="s">
        <v>38</v>
      </c>
      <c r="S1167" s="13" t="s">
        <v>55</v>
      </c>
      <c r="T1167" s="13" t="s">
        <v>104</v>
      </c>
      <c r="U1167" s="13" t="str">
        <f t="shared" si="1"/>
        <v>Low</v>
      </c>
      <c r="V1167" s="13" t="str">
        <f t="shared" si="2"/>
        <v>Median or Above</v>
      </c>
      <c r="W1167" s="13" t="str">
        <f t="shared" si="3"/>
        <v>25–48 Months</v>
      </c>
    </row>
    <row r="1168" hidden="1">
      <c r="A1168" s="13" t="s">
        <v>1163</v>
      </c>
      <c r="B1168" s="13" t="s">
        <v>135</v>
      </c>
      <c r="C1168" s="14">
        <v>33.0</v>
      </c>
      <c r="D1168" s="13" t="s">
        <v>60</v>
      </c>
      <c r="E1168" s="13" t="s">
        <v>61</v>
      </c>
      <c r="F1168" s="13" t="s">
        <v>62</v>
      </c>
      <c r="G1168" s="13" t="s">
        <v>128</v>
      </c>
      <c r="H1168" s="16">
        <v>44793.0</v>
      </c>
      <c r="I1168" s="14">
        <v>38.0</v>
      </c>
      <c r="J1168" s="13" t="s">
        <v>40</v>
      </c>
      <c r="K1168" s="13" t="s">
        <v>65</v>
      </c>
      <c r="L1168" s="14">
        <v>870.0</v>
      </c>
      <c r="M1168" s="18" t="s">
        <v>98</v>
      </c>
      <c r="N1168" s="20">
        <v>1.0</v>
      </c>
      <c r="O1168" s="18">
        <v>18.1</v>
      </c>
      <c r="P1168" s="20">
        <v>2.5</v>
      </c>
      <c r="Q1168" s="16">
        <v>45137.0</v>
      </c>
      <c r="R1168" s="16">
        <v>45241.0</v>
      </c>
      <c r="S1168" s="13" t="s">
        <v>45</v>
      </c>
      <c r="T1168" s="13" t="s">
        <v>75</v>
      </c>
      <c r="U1168" s="13" t="str">
        <f t="shared" si="1"/>
        <v>Low</v>
      </c>
      <c r="V1168" s="13" t="str">
        <f t="shared" si="2"/>
        <v>Below Median</v>
      </c>
      <c r="W1168" s="13" t="str">
        <f t="shared" si="3"/>
        <v>25–48 Months</v>
      </c>
    </row>
    <row r="1169" hidden="1">
      <c r="A1169" s="13" t="s">
        <v>1751</v>
      </c>
      <c r="B1169" s="13" t="s">
        <v>405</v>
      </c>
      <c r="C1169" s="14">
        <v>36.0</v>
      </c>
      <c r="D1169" s="13" t="s">
        <v>60</v>
      </c>
      <c r="E1169" s="13" t="s">
        <v>97</v>
      </c>
      <c r="F1169" s="13" t="s">
        <v>79</v>
      </c>
      <c r="G1169" s="13" t="s">
        <v>63</v>
      </c>
      <c r="H1169" s="16">
        <v>45083.0</v>
      </c>
      <c r="I1169" s="14">
        <v>21.0</v>
      </c>
      <c r="J1169" s="13" t="s">
        <v>53</v>
      </c>
      <c r="K1169" s="13" t="s">
        <v>65</v>
      </c>
      <c r="L1169" s="14">
        <v>2679.0</v>
      </c>
      <c r="M1169" s="18" t="s">
        <v>43</v>
      </c>
      <c r="N1169" s="20">
        <v>0.0</v>
      </c>
      <c r="O1169" s="18">
        <v>34.6</v>
      </c>
      <c r="P1169" s="20">
        <v>4.3</v>
      </c>
      <c r="Q1169" s="16">
        <v>45115.0</v>
      </c>
      <c r="R1169" s="16" t="s">
        <v>38</v>
      </c>
      <c r="S1169" s="13" t="s">
        <v>55</v>
      </c>
      <c r="T1169" s="13" t="s">
        <v>47</v>
      </c>
      <c r="U1169" s="13" t="str">
        <f t="shared" si="1"/>
        <v>Moderate</v>
      </c>
      <c r="V1169" s="13" t="str">
        <f t="shared" si="2"/>
        <v>Median or Above</v>
      </c>
      <c r="W1169" s="13" t="str">
        <f t="shared" si="3"/>
        <v>13–24 Months</v>
      </c>
    </row>
    <row r="1170" hidden="1">
      <c r="A1170" s="13" t="s">
        <v>1753</v>
      </c>
      <c r="B1170" s="13" t="s">
        <v>393</v>
      </c>
      <c r="C1170" s="14">
        <v>23.0</v>
      </c>
      <c r="D1170" s="13" t="s">
        <v>35</v>
      </c>
      <c r="E1170" s="13" t="s">
        <v>36</v>
      </c>
      <c r="F1170" s="13" t="s">
        <v>62</v>
      </c>
      <c r="G1170" s="13" t="s">
        <v>52</v>
      </c>
      <c r="H1170" s="16">
        <v>44626.0</v>
      </c>
      <c r="I1170" s="14">
        <v>0.0</v>
      </c>
      <c r="J1170" s="13" t="s">
        <v>53</v>
      </c>
      <c r="K1170" s="13" t="s">
        <v>81</v>
      </c>
      <c r="L1170" s="14">
        <v>639.0</v>
      </c>
      <c r="M1170" s="18" t="s">
        <v>99</v>
      </c>
      <c r="N1170" s="20">
        <v>1.0</v>
      </c>
      <c r="O1170" s="18">
        <v>5.0</v>
      </c>
      <c r="P1170" s="20">
        <v>3.1</v>
      </c>
      <c r="Q1170" s="16">
        <v>44926.0</v>
      </c>
      <c r="R1170" s="16" t="s">
        <v>38</v>
      </c>
      <c r="S1170" s="13" t="s">
        <v>55</v>
      </c>
      <c r="T1170" s="13" t="s">
        <v>75</v>
      </c>
      <c r="U1170" s="13" t="str">
        <f t="shared" si="1"/>
        <v>Moderate</v>
      </c>
      <c r="V1170" s="13" t="str">
        <f t="shared" si="2"/>
        <v>Below Median</v>
      </c>
      <c r="W1170" s="13" t="str">
        <f t="shared" si="3"/>
        <v>0–12 Months</v>
      </c>
    </row>
    <row r="1171" hidden="1">
      <c r="A1171" s="13" t="s">
        <v>1754</v>
      </c>
      <c r="B1171" s="13" t="s">
        <v>118</v>
      </c>
      <c r="C1171" s="14">
        <v>54.0</v>
      </c>
      <c r="D1171" s="13" t="s">
        <v>35</v>
      </c>
      <c r="E1171" s="13" t="s">
        <v>51</v>
      </c>
      <c r="F1171" s="13" t="s">
        <v>37</v>
      </c>
      <c r="G1171" s="13" t="s">
        <v>80</v>
      </c>
      <c r="H1171" s="16">
        <v>45664.0</v>
      </c>
      <c r="I1171" s="14">
        <v>37.0</v>
      </c>
      <c r="J1171" s="13" t="s">
        <v>40</v>
      </c>
      <c r="K1171" s="13" t="s">
        <v>41</v>
      </c>
      <c r="L1171" s="14">
        <v>1041.0</v>
      </c>
      <c r="M1171" s="18" t="s">
        <v>43</v>
      </c>
      <c r="N1171" s="20">
        <v>0.0</v>
      </c>
      <c r="O1171" s="18">
        <v>20.4</v>
      </c>
      <c r="P1171" s="20">
        <v>2.9</v>
      </c>
      <c r="Q1171" s="16">
        <v>46782.0</v>
      </c>
      <c r="R1171" s="16">
        <v>45963.0</v>
      </c>
      <c r="S1171" s="13" t="s">
        <v>45</v>
      </c>
      <c r="T1171" s="13" t="s">
        <v>72</v>
      </c>
      <c r="U1171" s="13" t="str">
        <f t="shared" si="1"/>
        <v>Low</v>
      </c>
      <c r="V1171" s="13" t="str">
        <f t="shared" si="2"/>
        <v>Below Median</v>
      </c>
      <c r="W1171" s="13" t="str">
        <f t="shared" si="3"/>
        <v>25–48 Months</v>
      </c>
    </row>
    <row r="1172" hidden="1">
      <c r="A1172" s="13" t="s">
        <v>1629</v>
      </c>
      <c r="B1172" s="13" t="s">
        <v>222</v>
      </c>
      <c r="C1172" s="14">
        <v>53.0</v>
      </c>
      <c r="D1172" s="13" t="s">
        <v>85</v>
      </c>
      <c r="E1172" s="13" t="s">
        <v>92</v>
      </c>
      <c r="F1172" s="13" t="s">
        <v>62</v>
      </c>
      <c r="G1172" s="13" t="s">
        <v>128</v>
      </c>
      <c r="H1172" s="16">
        <v>44776.0</v>
      </c>
      <c r="I1172" s="14">
        <v>15.0</v>
      </c>
      <c r="J1172" s="13" t="s">
        <v>53</v>
      </c>
      <c r="K1172" s="13" t="s">
        <v>81</v>
      </c>
      <c r="L1172" s="14">
        <v>817.0</v>
      </c>
      <c r="M1172" s="18" t="s">
        <v>98</v>
      </c>
      <c r="N1172" s="20">
        <v>0.0</v>
      </c>
      <c r="O1172" s="18">
        <v>10.7</v>
      </c>
      <c r="P1172" s="20">
        <v>4.3</v>
      </c>
      <c r="Q1172" s="16">
        <v>44987.0</v>
      </c>
      <c r="R1172" s="16" t="s">
        <v>1757</v>
      </c>
      <c r="S1172" s="13" t="s">
        <v>45</v>
      </c>
      <c r="T1172" s="13" t="s">
        <v>66</v>
      </c>
      <c r="U1172" s="13" t="str">
        <f t="shared" si="1"/>
        <v>Moderate</v>
      </c>
      <c r="V1172" s="13" t="str">
        <f t="shared" si="2"/>
        <v>Below Median</v>
      </c>
      <c r="W1172" s="13" t="str">
        <f t="shared" si="3"/>
        <v>13–24 Months</v>
      </c>
    </row>
    <row r="1173" hidden="1">
      <c r="A1173" s="13" t="s">
        <v>1082</v>
      </c>
      <c r="B1173" s="13" t="s">
        <v>224</v>
      </c>
      <c r="C1173" s="14">
        <v>39.0</v>
      </c>
      <c r="D1173" s="13" t="s">
        <v>69</v>
      </c>
      <c r="E1173" s="13" t="s">
        <v>119</v>
      </c>
      <c r="F1173" s="13" t="s">
        <v>37</v>
      </c>
      <c r="G1173" s="13" t="s">
        <v>80</v>
      </c>
      <c r="H1173" s="16">
        <v>45463.0</v>
      </c>
      <c r="I1173" s="14">
        <v>20.0</v>
      </c>
      <c r="J1173" s="13" t="s">
        <v>64</v>
      </c>
      <c r="K1173" s="13" t="s">
        <v>41</v>
      </c>
      <c r="L1173" s="14">
        <v>1579.0</v>
      </c>
      <c r="M1173" s="18" t="s">
        <v>43</v>
      </c>
      <c r="N1173" s="20">
        <v>0.0</v>
      </c>
      <c r="O1173" s="18">
        <v>13.4</v>
      </c>
      <c r="P1173" s="20">
        <v>4.8</v>
      </c>
      <c r="Q1173" s="16">
        <v>45565.0</v>
      </c>
      <c r="R1173" s="16" t="s">
        <v>1759</v>
      </c>
      <c r="S1173" s="13" t="s">
        <v>45</v>
      </c>
      <c r="T1173" s="13" t="s">
        <v>104</v>
      </c>
      <c r="U1173" s="13" t="str">
        <f t="shared" si="1"/>
        <v>Moderate</v>
      </c>
      <c r="V1173" s="13" t="str">
        <f t="shared" si="2"/>
        <v>Below Median</v>
      </c>
      <c r="W1173" s="13" t="str">
        <f t="shared" si="3"/>
        <v>13–24 Months</v>
      </c>
    </row>
    <row r="1174" hidden="1">
      <c r="A1174" s="13" t="s">
        <v>1760</v>
      </c>
      <c r="B1174" s="13" t="s">
        <v>325</v>
      </c>
      <c r="C1174" s="14">
        <v>49.0</v>
      </c>
      <c r="D1174" s="13" t="s">
        <v>69</v>
      </c>
      <c r="E1174" s="13" t="s">
        <v>187</v>
      </c>
      <c r="F1174" s="13" t="s">
        <v>62</v>
      </c>
      <c r="G1174" s="13" t="s">
        <v>52</v>
      </c>
      <c r="H1174" s="16">
        <v>45540.0</v>
      </c>
      <c r="I1174" s="14">
        <v>24.0</v>
      </c>
      <c r="J1174" s="13" t="s">
        <v>40</v>
      </c>
      <c r="K1174" s="13" t="s">
        <v>65</v>
      </c>
      <c r="L1174" s="14">
        <v>694.0</v>
      </c>
      <c r="M1174" s="18" t="s">
        <v>98</v>
      </c>
      <c r="N1174" s="20">
        <v>1.0</v>
      </c>
      <c r="O1174" s="18">
        <v>16.6</v>
      </c>
      <c r="P1174" s="20">
        <v>4.6</v>
      </c>
      <c r="Q1174" s="16">
        <v>45909.0</v>
      </c>
      <c r="R1174" s="16" t="s">
        <v>38</v>
      </c>
      <c r="S1174" s="13" t="s">
        <v>55</v>
      </c>
      <c r="T1174" s="13" t="s">
        <v>104</v>
      </c>
      <c r="U1174" s="13" t="str">
        <f t="shared" si="1"/>
        <v>Moderate</v>
      </c>
      <c r="V1174" s="13" t="str">
        <f t="shared" si="2"/>
        <v>Below Median</v>
      </c>
      <c r="W1174" s="13" t="str">
        <f t="shared" si="3"/>
        <v>13–24 Months</v>
      </c>
    </row>
    <row r="1175" hidden="1">
      <c r="A1175" s="13" t="s">
        <v>294</v>
      </c>
      <c r="B1175" s="13" t="s">
        <v>281</v>
      </c>
      <c r="C1175" s="14">
        <v>57.0</v>
      </c>
      <c r="D1175" s="13" t="s">
        <v>85</v>
      </c>
      <c r="E1175" s="13" t="s">
        <v>111</v>
      </c>
      <c r="F1175" s="13" t="s">
        <v>62</v>
      </c>
      <c r="G1175" s="13" t="s">
        <v>39</v>
      </c>
      <c r="H1175" s="16">
        <v>45403.0</v>
      </c>
      <c r="I1175" s="14">
        <v>46.0</v>
      </c>
      <c r="J1175" s="13" t="s">
        <v>40</v>
      </c>
      <c r="K1175" s="13" t="s">
        <v>65</v>
      </c>
      <c r="L1175" s="14">
        <v>550.0</v>
      </c>
      <c r="M1175" s="18" t="s">
        <v>98</v>
      </c>
      <c r="N1175" s="20">
        <v>2.0</v>
      </c>
      <c r="O1175" s="18">
        <v>32.1</v>
      </c>
      <c r="P1175" s="20">
        <v>4.2</v>
      </c>
      <c r="Q1175" s="16">
        <v>45945.0</v>
      </c>
      <c r="R1175" s="16" t="s">
        <v>38</v>
      </c>
      <c r="S1175" s="13" t="s">
        <v>55</v>
      </c>
      <c r="T1175" s="13" t="s">
        <v>75</v>
      </c>
      <c r="U1175" s="13" t="str">
        <f t="shared" si="1"/>
        <v>Moderate</v>
      </c>
      <c r="V1175" s="13" t="str">
        <f t="shared" si="2"/>
        <v>Median or Above</v>
      </c>
      <c r="W1175" s="13" t="str">
        <f t="shared" si="3"/>
        <v>25–48 Months</v>
      </c>
    </row>
    <row r="1176" hidden="1">
      <c r="A1176" s="13" t="s">
        <v>1762</v>
      </c>
      <c r="B1176" s="13" t="s">
        <v>96</v>
      </c>
      <c r="C1176" s="14">
        <v>37.0</v>
      </c>
      <c r="D1176" s="13" t="s">
        <v>35</v>
      </c>
      <c r="E1176" s="13" t="s">
        <v>36</v>
      </c>
      <c r="F1176" s="13" t="s">
        <v>37</v>
      </c>
      <c r="G1176" s="13" t="s">
        <v>52</v>
      </c>
      <c r="H1176" s="16">
        <v>45734.0</v>
      </c>
      <c r="I1176" s="14">
        <v>20.0</v>
      </c>
      <c r="J1176" s="13" t="s">
        <v>53</v>
      </c>
      <c r="K1176" s="13" t="s">
        <v>65</v>
      </c>
      <c r="L1176" s="14">
        <v>1542.0</v>
      </c>
      <c r="M1176" s="18" t="s">
        <v>46</v>
      </c>
      <c r="N1176" s="20">
        <v>0.0</v>
      </c>
      <c r="O1176" s="18">
        <v>16.0</v>
      </c>
      <c r="P1176" s="20">
        <v>3.7</v>
      </c>
      <c r="Q1176" s="16">
        <v>46367.0</v>
      </c>
      <c r="R1176" s="16" t="s">
        <v>1443</v>
      </c>
      <c r="S1176" s="13" t="s">
        <v>45</v>
      </c>
      <c r="T1176" s="13" t="s">
        <v>72</v>
      </c>
      <c r="U1176" s="13" t="str">
        <f t="shared" si="1"/>
        <v>Moderate</v>
      </c>
      <c r="V1176" s="13" t="str">
        <f t="shared" si="2"/>
        <v>Below Median</v>
      </c>
      <c r="W1176" s="13" t="str">
        <f t="shared" si="3"/>
        <v>13–24 Months</v>
      </c>
    </row>
    <row r="1177" hidden="1">
      <c r="A1177" s="13" t="s">
        <v>521</v>
      </c>
      <c r="B1177" s="13" t="s">
        <v>229</v>
      </c>
      <c r="C1177" s="14">
        <v>67.0</v>
      </c>
      <c r="D1177" s="13" t="s">
        <v>85</v>
      </c>
      <c r="E1177" s="13" t="s">
        <v>87</v>
      </c>
      <c r="F1177" s="13" t="s">
        <v>37</v>
      </c>
      <c r="G1177" s="13" t="s">
        <v>63</v>
      </c>
      <c r="H1177" s="16">
        <v>45231.0</v>
      </c>
      <c r="I1177" s="14">
        <v>28.0</v>
      </c>
      <c r="J1177" s="13" t="s">
        <v>53</v>
      </c>
      <c r="K1177" s="13" t="s">
        <v>65</v>
      </c>
      <c r="L1177" s="14">
        <v>1317.0</v>
      </c>
      <c r="M1177" s="18" t="s">
        <v>98</v>
      </c>
      <c r="N1177" s="20">
        <v>0.0</v>
      </c>
      <c r="O1177" s="18">
        <v>31.5</v>
      </c>
      <c r="P1177" s="20">
        <v>3.0</v>
      </c>
      <c r="Q1177" s="16">
        <v>45674.0</v>
      </c>
      <c r="R1177" s="16" t="s">
        <v>38</v>
      </c>
      <c r="S1177" s="13" t="s">
        <v>55</v>
      </c>
      <c r="T1177" s="13" t="s">
        <v>66</v>
      </c>
      <c r="U1177" s="13" t="str">
        <f t="shared" si="1"/>
        <v>Moderate</v>
      </c>
      <c r="V1177" s="13" t="str">
        <f t="shared" si="2"/>
        <v>Median or Above</v>
      </c>
      <c r="W1177" s="13" t="str">
        <f t="shared" si="3"/>
        <v>25–48 Months</v>
      </c>
    </row>
    <row r="1178" hidden="1">
      <c r="A1178" s="13" t="s">
        <v>1708</v>
      </c>
      <c r="B1178" s="13" t="s">
        <v>224</v>
      </c>
      <c r="C1178" s="14">
        <v>44.0</v>
      </c>
      <c r="D1178" s="13" t="s">
        <v>85</v>
      </c>
      <c r="E1178" s="13" t="s">
        <v>92</v>
      </c>
      <c r="F1178" s="13" t="s">
        <v>37</v>
      </c>
      <c r="G1178" s="13" t="s">
        <v>39</v>
      </c>
      <c r="H1178" s="16">
        <v>44955.0</v>
      </c>
      <c r="I1178" s="14">
        <v>33.0</v>
      </c>
      <c r="J1178" s="13" t="s">
        <v>53</v>
      </c>
      <c r="K1178" s="13" t="s">
        <v>41</v>
      </c>
      <c r="L1178" s="14">
        <v>1434.0</v>
      </c>
      <c r="M1178" s="18" t="s">
        <v>43</v>
      </c>
      <c r="N1178" s="20">
        <v>0.0</v>
      </c>
      <c r="O1178" s="18">
        <v>24.1</v>
      </c>
      <c r="P1178" s="20">
        <v>4.1</v>
      </c>
      <c r="Q1178" s="16">
        <v>45213.0</v>
      </c>
      <c r="R1178" s="16" t="s">
        <v>432</v>
      </c>
      <c r="S1178" s="13" t="s">
        <v>45</v>
      </c>
      <c r="T1178" s="13" t="s">
        <v>47</v>
      </c>
      <c r="U1178" s="13" t="str">
        <f t="shared" si="1"/>
        <v>Moderate</v>
      </c>
      <c r="V1178" s="13" t="str">
        <f t="shared" si="2"/>
        <v>Median or Above</v>
      </c>
      <c r="W1178" s="13" t="str">
        <f t="shared" si="3"/>
        <v>25–48 Months</v>
      </c>
    </row>
    <row r="1179" hidden="1">
      <c r="A1179" s="13" t="s">
        <v>1203</v>
      </c>
      <c r="B1179" s="13" t="s">
        <v>132</v>
      </c>
      <c r="C1179" s="14" t="s">
        <v>38</v>
      </c>
      <c r="D1179" s="13" t="s">
        <v>85</v>
      </c>
      <c r="E1179" s="13" t="s">
        <v>92</v>
      </c>
      <c r="F1179" s="13" t="s">
        <v>37</v>
      </c>
      <c r="G1179" s="13" t="s">
        <v>63</v>
      </c>
      <c r="H1179" s="16">
        <v>44784.0</v>
      </c>
      <c r="I1179" s="14">
        <v>26.0</v>
      </c>
      <c r="J1179" s="13" t="s">
        <v>64</v>
      </c>
      <c r="K1179" s="13" t="s">
        <v>41</v>
      </c>
      <c r="L1179" s="14">
        <v>1621.0</v>
      </c>
      <c r="M1179" s="18" t="s">
        <v>98</v>
      </c>
      <c r="N1179" s="20">
        <v>1.0</v>
      </c>
      <c r="O1179" s="18">
        <v>27.4</v>
      </c>
      <c r="P1179" s="20">
        <v>3.6</v>
      </c>
      <c r="Q1179" s="16">
        <v>45028.0</v>
      </c>
      <c r="R1179" s="16" t="s">
        <v>38</v>
      </c>
      <c r="S1179" s="13" t="s">
        <v>55</v>
      </c>
      <c r="T1179" s="13" t="s">
        <v>47</v>
      </c>
      <c r="U1179" s="13" t="str">
        <f t="shared" si="1"/>
        <v>Moderate</v>
      </c>
      <c r="V1179" s="13" t="str">
        <f t="shared" si="2"/>
        <v>Median or Above</v>
      </c>
      <c r="W1179" s="13" t="str">
        <f t="shared" si="3"/>
        <v>25–48 Months</v>
      </c>
    </row>
    <row r="1180" hidden="1">
      <c r="A1180" s="13" t="s">
        <v>1254</v>
      </c>
      <c r="B1180" s="13" t="s">
        <v>206</v>
      </c>
      <c r="C1180" s="14">
        <v>67.0</v>
      </c>
      <c r="D1180" s="13" t="s">
        <v>35</v>
      </c>
      <c r="E1180" s="13" t="s">
        <v>51</v>
      </c>
      <c r="F1180" s="13" t="s">
        <v>62</v>
      </c>
      <c r="G1180" s="13" t="s">
        <v>39</v>
      </c>
      <c r="H1180" s="16">
        <v>45487.0</v>
      </c>
      <c r="I1180" s="14">
        <v>28.0</v>
      </c>
      <c r="J1180" s="13" t="s">
        <v>40</v>
      </c>
      <c r="K1180" s="13" t="s">
        <v>81</v>
      </c>
      <c r="L1180" s="14">
        <v>743.0</v>
      </c>
      <c r="M1180" s="18" t="s">
        <v>99</v>
      </c>
      <c r="N1180" s="20">
        <v>2.0</v>
      </c>
      <c r="O1180" s="18">
        <v>18.1</v>
      </c>
      <c r="P1180" s="20">
        <v>3.4</v>
      </c>
      <c r="Q1180" s="16">
        <v>45982.0</v>
      </c>
      <c r="R1180" s="16" t="s">
        <v>1764</v>
      </c>
      <c r="S1180" s="13" t="s">
        <v>45</v>
      </c>
      <c r="T1180" s="13" t="s">
        <v>104</v>
      </c>
      <c r="U1180" s="13" t="str">
        <f t="shared" si="1"/>
        <v>Moderate</v>
      </c>
      <c r="V1180" s="13" t="str">
        <f t="shared" si="2"/>
        <v>Below Median</v>
      </c>
      <c r="W1180" s="13" t="str">
        <f t="shared" si="3"/>
        <v>25–48 Months</v>
      </c>
    </row>
    <row r="1181" hidden="1">
      <c r="A1181" s="13" t="s">
        <v>1765</v>
      </c>
      <c r="B1181" s="13" t="s">
        <v>308</v>
      </c>
      <c r="C1181" s="14">
        <v>19.0</v>
      </c>
      <c r="D1181" s="13" t="s">
        <v>35</v>
      </c>
      <c r="E1181" s="13" t="s">
        <v>36</v>
      </c>
      <c r="F1181" s="13" t="s">
        <v>62</v>
      </c>
      <c r="G1181" s="13" t="s">
        <v>210</v>
      </c>
      <c r="H1181" s="16">
        <v>44766.0</v>
      </c>
      <c r="I1181" s="14">
        <v>6.0</v>
      </c>
      <c r="J1181" s="13" t="s">
        <v>64</v>
      </c>
      <c r="K1181" s="13" t="s">
        <v>41</v>
      </c>
      <c r="L1181" s="14">
        <v>756.0</v>
      </c>
      <c r="M1181" s="18" t="s">
        <v>164</v>
      </c>
      <c r="N1181" s="20">
        <v>2.0</v>
      </c>
      <c r="O1181" s="18">
        <v>11.7</v>
      </c>
      <c r="P1181" s="20">
        <v>2.9</v>
      </c>
      <c r="Q1181" s="16">
        <v>44908.0</v>
      </c>
      <c r="R1181" s="16" t="s">
        <v>38</v>
      </c>
      <c r="S1181" s="13" t="s">
        <v>55</v>
      </c>
      <c r="T1181" s="13" t="s">
        <v>104</v>
      </c>
      <c r="U1181" s="13" t="str">
        <f t="shared" si="1"/>
        <v>Low</v>
      </c>
      <c r="V1181" s="13" t="str">
        <f t="shared" si="2"/>
        <v>Below Median</v>
      </c>
      <c r="W1181" s="13" t="str">
        <f t="shared" si="3"/>
        <v>0–12 Months</v>
      </c>
    </row>
    <row r="1182" hidden="1">
      <c r="A1182" s="13" t="s">
        <v>695</v>
      </c>
      <c r="B1182" s="13" t="s">
        <v>331</v>
      </c>
      <c r="C1182" s="14">
        <v>47.0</v>
      </c>
      <c r="D1182" s="13" t="s">
        <v>85</v>
      </c>
      <c r="E1182" s="13" t="s">
        <v>87</v>
      </c>
      <c r="F1182" s="13" t="s">
        <v>37</v>
      </c>
      <c r="G1182" s="13" t="s">
        <v>80</v>
      </c>
      <c r="H1182" s="16">
        <v>44823.0</v>
      </c>
      <c r="I1182" s="14">
        <v>13.0</v>
      </c>
      <c r="J1182" s="13" t="s">
        <v>40</v>
      </c>
      <c r="K1182" s="13" t="s">
        <v>81</v>
      </c>
      <c r="L1182" s="14">
        <v>1590.0</v>
      </c>
      <c r="M1182" s="18" t="s">
        <v>173</v>
      </c>
      <c r="N1182" s="20">
        <v>0.0</v>
      </c>
      <c r="O1182" s="18">
        <v>21.4</v>
      </c>
      <c r="P1182" s="20">
        <v>5.0</v>
      </c>
      <c r="Q1182" s="16">
        <v>45016.0</v>
      </c>
      <c r="R1182" s="16">
        <v>44991.0</v>
      </c>
      <c r="S1182" s="13" t="s">
        <v>45</v>
      </c>
      <c r="T1182" s="13" t="s">
        <v>75</v>
      </c>
      <c r="U1182" s="13" t="str">
        <f t="shared" si="1"/>
        <v>High</v>
      </c>
      <c r="V1182" s="13" t="str">
        <f t="shared" si="2"/>
        <v>Below Median</v>
      </c>
      <c r="W1182" s="13" t="str">
        <f t="shared" si="3"/>
        <v>13–24 Months</v>
      </c>
    </row>
    <row r="1183" hidden="1">
      <c r="A1183" s="13" t="s">
        <v>82</v>
      </c>
      <c r="B1183" s="13" t="s">
        <v>312</v>
      </c>
      <c r="C1183" s="14">
        <v>46.0</v>
      </c>
      <c r="D1183" s="13" t="s">
        <v>69</v>
      </c>
      <c r="E1183" s="13" t="s">
        <v>119</v>
      </c>
      <c r="F1183" s="13" t="s">
        <v>62</v>
      </c>
      <c r="G1183" s="13" t="s">
        <v>52</v>
      </c>
      <c r="H1183" s="16">
        <v>44789.0</v>
      </c>
      <c r="I1183" s="14">
        <v>11.0</v>
      </c>
      <c r="J1183" s="13" t="s">
        <v>53</v>
      </c>
      <c r="K1183" s="13" t="s">
        <v>81</v>
      </c>
      <c r="L1183" s="14">
        <v>769.0</v>
      </c>
      <c r="M1183" s="18" t="s">
        <v>164</v>
      </c>
      <c r="N1183" s="20">
        <v>0.0</v>
      </c>
      <c r="O1183" s="18">
        <v>11.7</v>
      </c>
      <c r="P1183" s="20">
        <v>4.3</v>
      </c>
      <c r="Q1183" s="16">
        <v>45044.0</v>
      </c>
      <c r="R1183" s="16" t="s">
        <v>38</v>
      </c>
      <c r="S1183" s="13" t="s">
        <v>55</v>
      </c>
      <c r="T1183" s="13" t="s">
        <v>66</v>
      </c>
      <c r="U1183" s="13" t="str">
        <f t="shared" si="1"/>
        <v>Moderate</v>
      </c>
      <c r="V1183" s="13" t="str">
        <f t="shared" si="2"/>
        <v>Below Median</v>
      </c>
      <c r="W1183" s="13" t="str">
        <f t="shared" si="3"/>
        <v>0–12 Months</v>
      </c>
    </row>
    <row r="1184" hidden="1">
      <c r="A1184" s="13" t="s">
        <v>1191</v>
      </c>
      <c r="B1184" s="13" t="s">
        <v>288</v>
      </c>
      <c r="C1184" s="14">
        <v>61.0</v>
      </c>
      <c r="D1184" s="13" t="s">
        <v>85</v>
      </c>
      <c r="E1184" s="13" t="s">
        <v>292</v>
      </c>
      <c r="F1184" s="13" t="s">
        <v>37</v>
      </c>
      <c r="G1184" s="13" t="s">
        <v>210</v>
      </c>
      <c r="H1184" s="16">
        <v>45863.0</v>
      </c>
      <c r="I1184" s="14">
        <v>11.0</v>
      </c>
      <c r="J1184" s="13" t="s">
        <v>64</v>
      </c>
      <c r="K1184" s="13" t="s">
        <v>81</v>
      </c>
      <c r="L1184" s="14">
        <v>1525.0</v>
      </c>
      <c r="M1184" s="18" t="s">
        <v>98</v>
      </c>
      <c r="N1184" s="20">
        <v>0.0</v>
      </c>
      <c r="O1184" s="18">
        <v>17.2</v>
      </c>
      <c r="P1184" s="20">
        <v>2.9</v>
      </c>
      <c r="Q1184" s="16">
        <v>46031.0</v>
      </c>
      <c r="R1184" s="16" t="s">
        <v>38</v>
      </c>
      <c r="S1184" s="13" t="s">
        <v>55</v>
      </c>
      <c r="T1184" s="13" t="s">
        <v>47</v>
      </c>
      <c r="U1184" s="13" t="str">
        <f t="shared" si="1"/>
        <v>Low</v>
      </c>
      <c r="V1184" s="13" t="str">
        <f t="shared" si="2"/>
        <v>Below Median</v>
      </c>
      <c r="W1184" s="13" t="str">
        <f t="shared" si="3"/>
        <v>0–12 Months</v>
      </c>
    </row>
    <row r="1185" hidden="1">
      <c r="A1185" s="13" t="s">
        <v>1139</v>
      </c>
      <c r="B1185" s="13" t="s">
        <v>169</v>
      </c>
      <c r="C1185" s="14">
        <v>40.0</v>
      </c>
      <c r="D1185" s="13" t="s">
        <v>69</v>
      </c>
      <c r="E1185" s="13" t="s">
        <v>107</v>
      </c>
      <c r="F1185" s="13" t="s">
        <v>62</v>
      </c>
      <c r="G1185" s="13" t="s">
        <v>128</v>
      </c>
      <c r="H1185" s="16">
        <v>45111.0</v>
      </c>
      <c r="I1185" s="14">
        <v>4.0</v>
      </c>
      <c r="J1185" s="13" t="s">
        <v>64</v>
      </c>
      <c r="K1185" s="13" t="s">
        <v>41</v>
      </c>
      <c r="L1185" s="14">
        <v>718.0</v>
      </c>
      <c r="M1185" s="18" t="s">
        <v>43</v>
      </c>
      <c r="N1185" s="20">
        <v>0.0</v>
      </c>
      <c r="O1185" s="18">
        <v>1.0</v>
      </c>
      <c r="P1185" s="20">
        <v>2.9</v>
      </c>
      <c r="Q1185" s="16">
        <v>45215.0</v>
      </c>
      <c r="R1185" s="16" t="s">
        <v>38</v>
      </c>
      <c r="S1185" s="13" t="s">
        <v>55</v>
      </c>
      <c r="T1185" s="13" t="s">
        <v>47</v>
      </c>
      <c r="U1185" s="13" t="str">
        <f t="shared" si="1"/>
        <v>Low</v>
      </c>
      <c r="V1185" s="13" t="str">
        <f t="shared" si="2"/>
        <v>Below Median</v>
      </c>
      <c r="W1185" s="13" t="str">
        <f t="shared" si="3"/>
        <v>0–12 Months</v>
      </c>
    </row>
    <row r="1186" hidden="1">
      <c r="A1186" s="13" t="s">
        <v>473</v>
      </c>
      <c r="B1186" s="13" t="s">
        <v>110</v>
      </c>
      <c r="C1186" s="14">
        <v>68.0</v>
      </c>
      <c r="D1186" s="13" t="s">
        <v>35</v>
      </c>
      <c r="E1186" s="13" t="s">
        <v>51</v>
      </c>
      <c r="F1186" s="13" t="s">
        <v>79</v>
      </c>
      <c r="G1186" s="13" t="s">
        <v>39</v>
      </c>
      <c r="H1186" s="16">
        <v>45478.0</v>
      </c>
      <c r="I1186" s="14">
        <v>19.0</v>
      </c>
      <c r="J1186" s="13" t="s">
        <v>53</v>
      </c>
      <c r="K1186" s="13" t="s">
        <v>41</v>
      </c>
      <c r="L1186" s="14">
        <v>3507.0</v>
      </c>
      <c r="M1186" s="18" t="s">
        <v>43</v>
      </c>
      <c r="N1186" s="20">
        <v>1.0</v>
      </c>
      <c r="O1186" s="18">
        <v>51.5</v>
      </c>
      <c r="P1186" s="20">
        <v>5.0</v>
      </c>
      <c r="Q1186" s="16">
        <v>45991.0</v>
      </c>
      <c r="R1186" s="16" t="s">
        <v>1768</v>
      </c>
      <c r="S1186" s="13" t="s">
        <v>45</v>
      </c>
      <c r="T1186" s="13" t="s">
        <v>47</v>
      </c>
      <c r="U1186" s="13" t="str">
        <f t="shared" si="1"/>
        <v>High</v>
      </c>
      <c r="V1186" s="13" t="str">
        <f t="shared" si="2"/>
        <v>Median or Above</v>
      </c>
      <c r="W1186" s="13" t="str">
        <f t="shared" si="3"/>
        <v>13–24 Months</v>
      </c>
    </row>
    <row r="1187" hidden="1">
      <c r="A1187" s="13" t="s">
        <v>1769</v>
      </c>
      <c r="B1187" s="13" t="s">
        <v>257</v>
      </c>
      <c r="C1187" s="14">
        <v>64.0</v>
      </c>
      <c r="D1187" s="13" t="s">
        <v>60</v>
      </c>
      <c r="E1187" s="13" t="s">
        <v>97</v>
      </c>
      <c r="F1187" s="13" t="s">
        <v>37</v>
      </c>
      <c r="G1187" s="13" t="s">
        <v>63</v>
      </c>
      <c r="H1187" s="16">
        <v>44954.0</v>
      </c>
      <c r="I1187" s="14">
        <v>36.0</v>
      </c>
      <c r="J1187" s="13" t="s">
        <v>40</v>
      </c>
      <c r="K1187" s="13" t="s">
        <v>81</v>
      </c>
      <c r="L1187" s="14">
        <v>1172.0</v>
      </c>
      <c r="M1187" s="18" t="s">
        <v>98</v>
      </c>
      <c r="N1187" s="20">
        <v>2.0</v>
      </c>
      <c r="O1187" s="18">
        <v>18.0</v>
      </c>
      <c r="P1187" s="20">
        <v>4.1</v>
      </c>
      <c r="Q1187" s="16">
        <v>45113.0</v>
      </c>
      <c r="R1187" s="16" t="s">
        <v>38</v>
      </c>
      <c r="S1187" s="13" t="s">
        <v>55</v>
      </c>
      <c r="T1187" s="13" t="s">
        <v>66</v>
      </c>
      <c r="U1187" s="13" t="str">
        <f t="shared" si="1"/>
        <v>Moderate</v>
      </c>
      <c r="V1187" s="13" t="str">
        <f t="shared" si="2"/>
        <v>Below Median</v>
      </c>
      <c r="W1187" s="13" t="str">
        <f t="shared" si="3"/>
        <v>25–48 Months</v>
      </c>
    </row>
    <row r="1188" hidden="1">
      <c r="A1188" s="13" t="s">
        <v>121</v>
      </c>
      <c r="B1188" s="13" t="s">
        <v>172</v>
      </c>
      <c r="C1188" s="14">
        <v>39.0</v>
      </c>
      <c r="D1188" s="13" t="s">
        <v>35</v>
      </c>
      <c r="E1188" s="13" t="s">
        <v>140</v>
      </c>
      <c r="F1188" s="13" t="s">
        <v>79</v>
      </c>
      <c r="G1188" s="13" t="s">
        <v>128</v>
      </c>
      <c r="H1188" s="16">
        <v>44647.0</v>
      </c>
      <c r="I1188" s="14">
        <v>17.0</v>
      </c>
      <c r="J1188" s="13" t="s">
        <v>64</v>
      </c>
      <c r="K1188" s="13" t="s">
        <v>81</v>
      </c>
      <c r="L1188" s="14">
        <v>2066.0</v>
      </c>
      <c r="M1188" s="18" t="s">
        <v>98</v>
      </c>
      <c r="N1188" s="20">
        <v>1.0</v>
      </c>
      <c r="O1188" s="18">
        <v>29.4</v>
      </c>
      <c r="P1188" s="20">
        <v>3.1</v>
      </c>
      <c r="Q1188" s="16">
        <v>45052.0</v>
      </c>
      <c r="R1188" s="16" t="s">
        <v>38</v>
      </c>
      <c r="S1188" s="13" t="s">
        <v>55</v>
      </c>
      <c r="T1188" s="13" t="s">
        <v>66</v>
      </c>
      <c r="U1188" s="13" t="str">
        <f t="shared" si="1"/>
        <v>Moderate</v>
      </c>
      <c r="V1188" s="13" t="str">
        <f t="shared" si="2"/>
        <v>Median or Above</v>
      </c>
      <c r="W1188" s="13" t="str">
        <f t="shared" si="3"/>
        <v>13–24 Months</v>
      </c>
    </row>
    <row r="1189" hidden="1">
      <c r="A1189" s="13" t="s">
        <v>1003</v>
      </c>
      <c r="B1189" s="13" t="s">
        <v>247</v>
      </c>
      <c r="C1189" s="14">
        <v>64.0</v>
      </c>
      <c r="D1189" s="13" t="s">
        <v>60</v>
      </c>
      <c r="E1189" s="13" t="s">
        <v>97</v>
      </c>
      <c r="F1189" s="13" t="s">
        <v>62</v>
      </c>
      <c r="G1189" s="13" t="s">
        <v>39</v>
      </c>
      <c r="H1189" s="16">
        <v>45187.0</v>
      </c>
      <c r="I1189" s="14">
        <v>1.0</v>
      </c>
      <c r="J1189" s="13" t="s">
        <v>53</v>
      </c>
      <c r="K1189" s="13" t="s">
        <v>65</v>
      </c>
      <c r="L1189" s="14">
        <v>857.0</v>
      </c>
      <c r="M1189" s="18" t="s">
        <v>46</v>
      </c>
      <c r="N1189" s="20">
        <v>1.0</v>
      </c>
      <c r="O1189" s="18">
        <v>22.6</v>
      </c>
      <c r="P1189" s="20">
        <v>4.2</v>
      </c>
      <c r="Q1189" s="16">
        <v>45203.0</v>
      </c>
      <c r="R1189" s="16" t="s">
        <v>38</v>
      </c>
      <c r="S1189" s="13" t="s">
        <v>55</v>
      </c>
      <c r="T1189" s="13" t="s">
        <v>75</v>
      </c>
      <c r="U1189" s="13" t="str">
        <f t="shared" si="1"/>
        <v>Moderate</v>
      </c>
      <c r="V1189" s="13" t="str">
        <f t="shared" si="2"/>
        <v>Below Median</v>
      </c>
      <c r="W1189" s="13" t="str">
        <f t="shared" si="3"/>
        <v>0–12 Months</v>
      </c>
    </row>
    <row r="1190" hidden="1">
      <c r="A1190" s="13" t="s">
        <v>1770</v>
      </c>
      <c r="B1190" s="13" t="s">
        <v>308</v>
      </c>
      <c r="C1190" s="14">
        <v>53.0</v>
      </c>
      <c r="D1190" s="13" t="s">
        <v>60</v>
      </c>
      <c r="E1190" s="13" t="s">
        <v>61</v>
      </c>
      <c r="F1190" s="13" t="s">
        <v>37</v>
      </c>
      <c r="G1190" s="13" t="s">
        <v>210</v>
      </c>
      <c r="H1190" s="16">
        <v>44914.0</v>
      </c>
      <c r="I1190" s="14">
        <v>18.0</v>
      </c>
      <c r="J1190" s="13" t="s">
        <v>40</v>
      </c>
      <c r="K1190" s="13" t="s">
        <v>81</v>
      </c>
      <c r="L1190" s="14">
        <v>1367.0</v>
      </c>
      <c r="M1190" s="18" t="s">
        <v>164</v>
      </c>
      <c r="N1190" s="20">
        <v>1.0</v>
      </c>
      <c r="O1190" s="18">
        <v>21.1</v>
      </c>
      <c r="P1190" s="20">
        <v>2.9</v>
      </c>
      <c r="Q1190" s="16">
        <v>45192.0</v>
      </c>
      <c r="R1190" s="16" t="s">
        <v>38</v>
      </c>
      <c r="S1190" s="13" t="s">
        <v>55</v>
      </c>
      <c r="T1190" s="13" t="s">
        <v>72</v>
      </c>
      <c r="U1190" s="13" t="str">
        <f t="shared" si="1"/>
        <v>Low</v>
      </c>
      <c r="V1190" s="13" t="str">
        <f t="shared" si="2"/>
        <v>Below Median</v>
      </c>
      <c r="W1190" s="13" t="str">
        <f t="shared" si="3"/>
        <v>13–24 Months</v>
      </c>
    </row>
    <row r="1191" hidden="1">
      <c r="A1191" s="13" t="s">
        <v>1519</v>
      </c>
      <c r="B1191" s="13" t="s">
        <v>312</v>
      </c>
      <c r="C1191" s="14">
        <v>60.0</v>
      </c>
      <c r="D1191" s="13" t="s">
        <v>35</v>
      </c>
      <c r="E1191" s="13" t="s">
        <v>140</v>
      </c>
      <c r="F1191" s="13" t="s">
        <v>37</v>
      </c>
      <c r="G1191" s="13" t="s">
        <v>39</v>
      </c>
      <c r="H1191" s="16">
        <v>45484.0</v>
      </c>
      <c r="I1191" s="14">
        <v>46.0</v>
      </c>
      <c r="J1191" s="13" t="s">
        <v>64</v>
      </c>
      <c r="K1191" s="13" t="s">
        <v>41</v>
      </c>
      <c r="L1191" s="14">
        <v>1014.0</v>
      </c>
      <c r="M1191" s="18" t="s">
        <v>98</v>
      </c>
      <c r="N1191" s="20">
        <v>0.0</v>
      </c>
      <c r="O1191" s="18">
        <v>22.5</v>
      </c>
      <c r="P1191" s="20">
        <v>9.0</v>
      </c>
      <c r="Q1191" s="16">
        <v>46827.0</v>
      </c>
      <c r="R1191" s="16">
        <v>47092.0</v>
      </c>
      <c r="S1191" s="13" t="s">
        <v>45</v>
      </c>
      <c r="T1191" s="13" t="s">
        <v>47</v>
      </c>
      <c r="U1191" s="13" t="str">
        <f t="shared" si="1"/>
        <v>Very High</v>
      </c>
      <c r="V1191" s="13" t="str">
        <f t="shared" si="2"/>
        <v>Below Median</v>
      </c>
      <c r="W1191" s="13" t="str">
        <f t="shared" si="3"/>
        <v>25–48 Months</v>
      </c>
    </row>
    <row r="1192" hidden="1">
      <c r="A1192" s="13" t="s">
        <v>1773</v>
      </c>
      <c r="B1192" s="13" t="s">
        <v>96</v>
      </c>
      <c r="C1192" s="14">
        <v>38.0</v>
      </c>
      <c r="D1192" s="13" t="s">
        <v>35</v>
      </c>
      <c r="E1192" s="13" t="s">
        <v>92</v>
      </c>
      <c r="F1192" s="13" t="s">
        <v>79</v>
      </c>
      <c r="G1192" s="13" t="s">
        <v>52</v>
      </c>
      <c r="H1192" s="16">
        <v>45352.0</v>
      </c>
      <c r="I1192" s="14">
        <v>40.0</v>
      </c>
      <c r="J1192" s="13" t="s">
        <v>53</v>
      </c>
      <c r="K1192" s="13" t="s">
        <v>65</v>
      </c>
      <c r="L1192" s="14">
        <v>3079.0</v>
      </c>
      <c r="M1192" s="18" t="s">
        <v>164</v>
      </c>
      <c r="N1192" s="20">
        <v>2.0</v>
      </c>
      <c r="O1192" s="18">
        <v>44.4</v>
      </c>
      <c r="P1192" s="20">
        <v>5.0</v>
      </c>
      <c r="Q1192" s="16">
        <v>46415.0</v>
      </c>
      <c r="R1192" s="16" t="s">
        <v>38</v>
      </c>
      <c r="S1192" s="13" t="s">
        <v>55</v>
      </c>
      <c r="T1192" s="13" t="s">
        <v>66</v>
      </c>
      <c r="U1192" s="13" t="str">
        <f t="shared" si="1"/>
        <v>High</v>
      </c>
      <c r="V1192" s="13" t="str">
        <f t="shared" si="2"/>
        <v>Median or Above</v>
      </c>
      <c r="W1192" s="13" t="str">
        <f t="shared" si="3"/>
        <v>25–48 Months</v>
      </c>
    </row>
    <row r="1193" hidden="1">
      <c r="A1193" s="13" t="s">
        <v>1775</v>
      </c>
      <c r="B1193" s="13" t="s">
        <v>34</v>
      </c>
      <c r="C1193" s="14">
        <v>64.0</v>
      </c>
      <c r="D1193" s="13" t="s">
        <v>69</v>
      </c>
      <c r="E1193" s="13" t="s">
        <v>119</v>
      </c>
      <c r="F1193" s="13" t="s">
        <v>62</v>
      </c>
      <c r="G1193" s="13" t="s">
        <v>128</v>
      </c>
      <c r="H1193" s="16">
        <v>45482.0</v>
      </c>
      <c r="I1193" s="14">
        <v>44.0</v>
      </c>
      <c r="J1193" s="13" t="s">
        <v>53</v>
      </c>
      <c r="K1193" s="13" t="s">
        <v>41</v>
      </c>
      <c r="L1193" s="14">
        <v>691.0</v>
      </c>
      <c r="M1193" s="18" t="s">
        <v>43</v>
      </c>
      <c r="N1193" s="20">
        <v>1.0</v>
      </c>
      <c r="O1193" s="18">
        <v>21.5</v>
      </c>
      <c r="P1193" s="20">
        <v>3.1</v>
      </c>
      <c r="Q1193" s="16">
        <v>45675.0</v>
      </c>
      <c r="R1193" s="16" t="s">
        <v>38</v>
      </c>
      <c r="S1193" s="13" t="s">
        <v>55</v>
      </c>
      <c r="T1193" s="13" t="s">
        <v>72</v>
      </c>
      <c r="U1193" s="13" t="str">
        <f t="shared" si="1"/>
        <v>Moderate</v>
      </c>
      <c r="V1193" s="13" t="str">
        <f t="shared" si="2"/>
        <v>Below Median</v>
      </c>
      <c r="W1193" s="13" t="str">
        <f t="shared" si="3"/>
        <v>25–48 Months</v>
      </c>
    </row>
    <row r="1194" hidden="1">
      <c r="A1194" s="13" t="s">
        <v>677</v>
      </c>
      <c r="B1194" s="13" t="s">
        <v>645</v>
      </c>
      <c r="C1194" s="14">
        <v>20.0</v>
      </c>
      <c r="D1194" s="13" t="s">
        <v>69</v>
      </c>
      <c r="E1194" s="13" t="s">
        <v>187</v>
      </c>
      <c r="F1194" s="13" t="s">
        <v>37</v>
      </c>
      <c r="G1194" s="13" t="s">
        <v>39</v>
      </c>
      <c r="H1194" s="16">
        <v>45629.0</v>
      </c>
      <c r="I1194" s="14">
        <v>16.0</v>
      </c>
      <c r="J1194" s="13" t="s">
        <v>53</v>
      </c>
      <c r="K1194" s="13" t="s">
        <v>41</v>
      </c>
      <c r="L1194" s="14">
        <v>1153.0</v>
      </c>
      <c r="M1194" s="18" t="s">
        <v>98</v>
      </c>
      <c r="N1194" s="20">
        <v>3.0</v>
      </c>
      <c r="O1194" s="18">
        <v>40.7</v>
      </c>
      <c r="P1194" s="20">
        <v>3.6</v>
      </c>
      <c r="Q1194" s="16">
        <v>45696.0</v>
      </c>
      <c r="R1194" s="16" t="s">
        <v>38</v>
      </c>
      <c r="S1194" s="13" t="s">
        <v>55</v>
      </c>
      <c r="T1194" s="13" t="s">
        <v>66</v>
      </c>
      <c r="U1194" s="13" t="str">
        <f t="shared" si="1"/>
        <v>Moderate</v>
      </c>
      <c r="V1194" s="13" t="str">
        <f t="shared" si="2"/>
        <v>Median or Above</v>
      </c>
      <c r="W1194" s="13" t="str">
        <f t="shared" si="3"/>
        <v>13–24 Months</v>
      </c>
    </row>
    <row r="1195" hidden="1">
      <c r="A1195" s="13" t="s">
        <v>1090</v>
      </c>
      <c r="B1195" s="13" t="s">
        <v>459</v>
      </c>
      <c r="C1195" s="14">
        <v>19.0</v>
      </c>
      <c r="D1195" s="13" t="s">
        <v>69</v>
      </c>
      <c r="E1195" s="13" t="s">
        <v>70</v>
      </c>
      <c r="F1195" s="13" t="s">
        <v>37</v>
      </c>
      <c r="G1195" s="13" t="s">
        <v>80</v>
      </c>
      <c r="H1195" s="16">
        <v>44996.0</v>
      </c>
      <c r="I1195" s="14">
        <v>11.0</v>
      </c>
      <c r="J1195" s="13" t="s">
        <v>40</v>
      </c>
      <c r="K1195" s="13" t="s">
        <v>41</v>
      </c>
      <c r="L1195" s="14">
        <v>1118.0</v>
      </c>
      <c r="M1195" s="18" t="s">
        <v>43</v>
      </c>
      <c r="N1195" s="20">
        <v>2.0</v>
      </c>
      <c r="O1195" s="18">
        <v>26.0</v>
      </c>
      <c r="P1195" s="20">
        <v>3.4</v>
      </c>
      <c r="Q1195" s="16">
        <v>45100.0</v>
      </c>
      <c r="R1195" s="16" t="s">
        <v>38</v>
      </c>
      <c r="S1195" s="13" t="s">
        <v>45</v>
      </c>
      <c r="T1195" s="13" t="s">
        <v>66</v>
      </c>
      <c r="U1195" s="13" t="str">
        <f t="shared" si="1"/>
        <v>Moderate</v>
      </c>
      <c r="V1195" s="13" t="str">
        <f t="shared" si="2"/>
        <v>Median or Above</v>
      </c>
      <c r="W1195" s="13" t="str">
        <f t="shared" si="3"/>
        <v>0–12 Months</v>
      </c>
    </row>
    <row r="1196" hidden="1">
      <c r="A1196" s="13" t="s">
        <v>940</v>
      </c>
      <c r="B1196" s="13" t="s">
        <v>734</v>
      </c>
      <c r="C1196" s="14">
        <v>26.0</v>
      </c>
      <c r="D1196" s="13" t="s">
        <v>85</v>
      </c>
      <c r="E1196" s="13" t="s">
        <v>87</v>
      </c>
      <c r="F1196" s="13" t="s">
        <v>62</v>
      </c>
      <c r="G1196" s="13" t="s">
        <v>63</v>
      </c>
      <c r="H1196" s="16">
        <v>44623.0</v>
      </c>
      <c r="I1196" s="14">
        <v>33.0</v>
      </c>
      <c r="J1196" s="13" t="s">
        <v>40</v>
      </c>
      <c r="K1196" s="13" t="s">
        <v>81</v>
      </c>
      <c r="L1196" s="14">
        <v>804.0</v>
      </c>
      <c r="M1196" s="18" t="s">
        <v>98</v>
      </c>
      <c r="N1196" s="20">
        <v>1.0</v>
      </c>
      <c r="O1196" s="18">
        <v>26.1</v>
      </c>
      <c r="P1196" s="20">
        <v>2.0</v>
      </c>
      <c r="Q1196" s="16">
        <v>45204.0</v>
      </c>
      <c r="R1196" s="16" t="s">
        <v>1768</v>
      </c>
      <c r="S1196" s="13" t="s">
        <v>45</v>
      </c>
      <c r="T1196" s="13" t="s">
        <v>104</v>
      </c>
      <c r="U1196" s="13" t="str">
        <f t="shared" si="1"/>
        <v>Low</v>
      </c>
      <c r="V1196" s="13" t="str">
        <f t="shared" si="2"/>
        <v>Median or Above</v>
      </c>
      <c r="W1196" s="13" t="str">
        <f t="shared" si="3"/>
        <v>25–48 Months</v>
      </c>
    </row>
    <row r="1197" hidden="1">
      <c r="A1197" s="13" t="s">
        <v>814</v>
      </c>
      <c r="B1197" s="13" t="s">
        <v>215</v>
      </c>
      <c r="C1197" s="14">
        <v>56.0</v>
      </c>
      <c r="D1197" s="13" t="s">
        <v>69</v>
      </c>
      <c r="E1197" s="13" t="s">
        <v>177</v>
      </c>
      <c r="F1197" s="13" t="s">
        <v>62</v>
      </c>
      <c r="G1197" s="13" t="s">
        <v>39</v>
      </c>
      <c r="H1197" s="16">
        <v>45153.0</v>
      </c>
      <c r="I1197" s="14">
        <v>4.0</v>
      </c>
      <c r="J1197" s="13" t="s">
        <v>64</v>
      </c>
      <c r="K1197" s="13" t="s">
        <v>41</v>
      </c>
      <c r="L1197" s="14">
        <v>619.0</v>
      </c>
      <c r="M1197" s="18" t="s">
        <v>98</v>
      </c>
      <c r="N1197" s="20">
        <v>0.0</v>
      </c>
      <c r="O1197" s="18">
        <v>26.1</v>
      </c>
      <c r="P1197" s="20">
        <v>2.5</v>
      </c>
      <c r="Q1197" s="16">
        <v>45244.0</v>
      </c>
      <c r="R1197" s="16">
        <v>45089.0</v>
      </c>
      <c r="S1197" s="13" t="s">
        <v>45</v>
      </c>
      <c r="T1197" s="13" t="s">
        <v>75</v>
      </c>
      <c r="U1197" s="13" t="str">
        <f t="shared" si="1"/>
        <v>Low</v>
      </c>
      <c r="V1197" s="13" t="str">
        <f t="shared" si="2"/>
        <v>Median or Above</v>
      </c>
      <c r="W1197" s="13" t="str">
        <f t="shared" si="3"/>
        <v>0–12 Months</v>
      </c>
    </row>
    <row r="1198" hidden="1">
      <c r="A1198" s="13" t="s">
        <v>1778</v>
      </c>
      <c r="B1198" s="13" t="s">
        <v>424</v>
      </c>
      <c r="C1198" s="14">
        <v>48.0</v>
      </c>
      <c r="D1198" s="13" t="s">
        <v>85</v>
      </c>
      <c r="E1198" s="13" t="s">
        <v>111</v>
      </c>
      <c r="F1198" s="13" t="s">
        <v>62</v>
      </c>
      <c r="G1198" s="13" t="s">
        <v>210</v>
      </c>
      <c r="H1198" s="16">
        <v>45398.0</v>
      </c>
      <c r="I1198" s="14">
        <v>38.0</v>
      </c>
      <c r="J1198" s="13" t="s">
        <v>53</v>
      </c>
      <c r="K1198" s="13" t="s">
        <v>41</v>
      </c>
      <c r="L1198" s="14">
        <v>845.0</v>
      </c>
      <c r="M1198" s="18" t="s">
        <v>164</v>
      </c>
      <c r="N1198" s="20">
        <v>1.0</v>
      </c>
      <c r="O1198" s="18">
        <v>10.0</v>
      </c>
      <c r="P1198" s="20">
        <v>2.1</v>
      </c>
      <c r="Q1198" s="16">
        <v>45415.0</v>
      </c>
      <c r="R1198" s="16" t="s">
        <v>38</v>
      </c>
      <c r="S1198" s="13" t="s">
        <v>55</v>
      </c>
      <c r="T1198" s="13" t="s">
        <v>104</v>
      </c>
      <c r="U1198" s="13" t="str">
        <f t="shared" si="1"/>
        <v>Low</v>
      </c>
      <c r="V1198" s="13" t="str">
        <f t="shared" si="2"/>
        <v>Below Median</v>
      </c>
      <c r="W1198" s="13" t="str">
        <f t="shared" si="3"/>
        <v>25–48 Months</v>
      </c>
    </row>
    <row r="1199" hidden="1">
      <c r="A1199" s="13" t="s">
        <v>1344</v>
      </c>
      <c r="B1199" s="13" t="s">
        <v>393</v>
      </c>
      <c r="C1199" s="14">
        <v>61.0</v>
      </c>
      <c r="D1199" s="13" t="s">
        <v>60</v>
      </c>
      <c r="E1199" s="13" t="s">
        <v>107</v>
      </c>
      <c r="F1199" s="13" t="s">
        <v>79</v>
      </c>
      <c r="G1199" s="13" t="s">
        <v>80</v>
      </c>
      <c r="H1199" s="16">
        <v>45338.0</v>
      </c>
      <c r="I1199" s="14">
        <v>29.0</v>
      </c>
      <c r="J1199" s="13" t="s">
        <v>53</v>
      </c>
      <c r="K1199" s="13" t="s">
        <v>65</v>
      </c>
      <c r="L1199" s="14">
        <v>3848.0</v>
      </c>
      <c r="M1199" s="18" t="s">
        <v>43</v>
      </c>
      <c r="N1199" s="20">
        <v>3.0</v>
      </c>
      <c r="O1199" s="18">
        <v>46.9</v>
      </c>
      <c r="P1199" s="20">
        <v>3.9</v>
      </c>
      <c r="Q1199" s="16">
        <v>46053.0</v>
      </c>
      <c r="R1199" s="16">
        <v>45356.0</v>
      </c>
      <c r="S1199" s="13" t="s">
        <v>45</v>
      </c>
      <c r="T1199" s="13" t="s">
        <v>72</v>
      </c>
      <c r="U1199" s="13" t="str">
        <f t="shared" si="1"/>
        <v>Moderate</v>
      </c>
      <c r="V1199" s="13" t="str">
        <f t="shared" si="2"/>
        <v>Median or Above</v>
      </c>
      <c r="W1199" s="13" t="str">
        <f t="shared" si="3"/>
        <v>25–48 Months</v>
      </c>
    </row>
    <row r="1200" hidden="1">
      <c r="A1200" s="13" t="s">
        <v>902</v>
      </c>
      <c r="B1200" s="13" t="s">
        <v>345</v>
      </c>
      <c r="C1200" s="14">
        <v>53.0</v>
      </c>
      <c r="D1200" s="13" t="s">
        <v>35</v>
      </c>
      <c r="E1200" s="13" t="s">
        <v>36</v>
      </c>
      <c r="F1200" s="13" t="s">
        <v>79</v>
      </c>
      <c r="G1200" s="13" t="s">
        <v>120</v>
      </c>
      <c r="H1200" s="16">
        <v>45321.0</v>
      </c>
      <c r="I1200" s="14">
        <v>20.0</v>
      </c>
      <c r="J1200" s="13" t="s">
        <v>53</v>
      </c>
      <c r="K1200" s="13" t="s">
        <v>41</v>
      </c>
      <c r="L1200" s="14">
        <v>3440.0</v>
      </c>
      <c r="M1200" s="18" t="s">
        <v>43</v>
      </c>
      <c r="N1200" s="20">
        <v>0.0</v>
      </c>
      <c r="O1200" s="18">
        <v>34.2</v>
      </c>
      <c r="P1200" s="20">
        <v>3.7</v>
      </c>
      <c r="Q1200" s="16">
        <v>45561.0</v>
      </c>
      <c r="R1200" s="16" t="s">
        <v>1781</v>
      </c>
      <c r="S1200" s="13" t="s">
        <v>45</v>
      </c>
      <c r="T1200" s="13" t="s">
        <v>75</v>
      </c>
      <c r="U1200" s="13" t="str">
        <f t="shared" si="1"/>
        <v>Moderate</v>
      </c>
      <c r="V1200" s="13" t="str">
        <f t="shared" si="2"/>
        <v>Median or Above</v>
      </c>
      <c r="W1200" s="13" t="str">
        <f t="shared" si="3"/>
        <v>13–24 Months</v>
      </c>
    </row>
    <row r="1201" hidden="1">
      <c r="A1201" s="13" t="s">
        <v>907</v>
      </c>
      <c r="B1201" s="13" t="s">
        <v>380</v>
      </c>
      <c r="C1201" s="14">
        <v>54.0</v>
      </c>
      <c r="D1201" s="13" t="s">
        <v>60</v>
      </c>
      <c r="E1201" s="13" t="s">
        <v>133</v>
      </c>
      <c r="F1201" s="13" t="s">
        <v>62</v>
      </c>
      <c r="G1201" s="13" t="s">
        <v>80</v>
      </c>
      <c r="H1201" s="16">
        <v>44592.0</v>
      </c>
      <c r="I1201" s="14">
        <v>24.0</v>
      </c>
      <c r="J1201" s="13" t="s">
        <v>40</v>
      </c>
      <c r="K1201" s="13" t="s">
        <v>65</v>
      </c>
      <c r="L1201" s="14">
        <v>888.0</v>
      </c>
      <c r="M1201" s="18" t="s">
        <v>173</v>
      </c>
      <c r="N1201" s="20" t="s">
        <v>38</v>
      </c>
      <c r="O1201" s="18">
        <v>18.9</v>
      </c>
      <c r="P1201" s="20">
        <v>3.1</v>
      </c>
      <c r="Q1201" s="16">
        <v>45031.0</v>
      </c>
      <c r="R1201" s="16" t="s">
        <v>1784</v>
      </c>
      <c r="S1201" s="13" t="s">
        <v>45</v>
      </c>
      <c r="T1201" s="13" t="s">
        <v>66</v>
      </c>
      <c r="U1201" s="13" t="str">
        <f t="shared" si="1"/>
        <v>Moderate</v>
      </c>
      <c r="V1201" s="13" t="str">
        <f t="shared" si="2"/>
        <v>Below Median</v>
      </c>
      <c r="W1201" s="13" t="str">
        <f t="shared" si="3"/>
        <v>13–24 Months</v>
      </c>
    </row>
    <row r="1202" hidden="1">
      <c r="A1202" s="13" t="s">
        <v>1475</v>
      </c>
      <c r="B1202" s="13" t="s">
        <v>110</v>
      </c>
      <c r="C1202" s="14">
        <v>58.0</v>
      </c>
      <c r="D1202" s="13" t="s">
        <v>85</v>
      </c>
      <c r="E1202" s="13" t="s">
        <v>111</v>
      </c>
      <c r="F1202" s="13" t="s">
        <v>62</v>
      </c>
      <c r="G1202" s="13" t="s">
        <v>120</v>
      </c>
      <c r="H1202" s="16">
        <v>44593.0</v>
      </c>
      <c r="I1202" s="14">
        <v>34.0</v>
      </c>
      <c r="J1202" s="13" t="s">
        <v>40</v>
      </c>
      <c r="K1202" s="13" t="s">
        <v>65</v>
      </c>
      <c r="L1202" s="14">
        <v>720.0</v>
      </c>
      <c r="M1202" s="18" t="s">
        <v>43</v>
      </c>
      <c r="N1202" s="20">
        <v>1.0</v>
      </c>
      <c r="O1202" s="18">
        <v>33.5</v>
      </c>
      <c r="P1202" s="20">
        <v>4.5</v>
      </c>
      <c r="Q1202" s="16">
        <v>44845.0</v>
      </c>
      <c r="R1202" s="16" t="s">
        <v>38</v>
      </c>
      <c r="S1202" s="13" t="s">
        <v>55</v>
      </c>
      <c r="T1202" s="13" t="s">
        <v>104</v>
      </c>
      <c r="U1202" s="13" t="str">
        <f t="shared" si="1"/>
        <v>Moderate</v>
      </c>
      <c r="V1202" s="13" t="str">
        <f t="shared" si="2"/>
        <v>Median or Above</v>
      </c>
      <c r="W1202" s="13" t="str">
        <f t="shared" si="3"/>
        <v>25–48 Months</v>
      </c>
    </row>
    <row r="1203" hidden="1">
      <c r="A1203" s="13" t="s">
        <v>1785</v>
      </c>
      <c r="B1203" s="13" t="s">
        <v>96</v>
      </c>
      <c r="C1203" s="14">
        <v>24.0</v>
      </c>
      <c r="D1203" s="13" t="s">
        <v>85</v>
      </c>
      <c r="E1203" s="13" t="s">
        <v>111</v>
      </c>
      <c r="F1203" s="13" t="s">
        <v>62</v>
      </c>
      <c r="G1203" s="13" t="s">
        <v>128</v>
      </c>
      <c r="H1203" s="16">
        <v>44720.0</v>
      </c>
      <c r="I1203" s="14">
        <v>37.0</v>
      </c>
      <c r="J1203" s="13" t="s">
        <v>53</v>
      </c>
      <c r="K1203" s="13" t="s">
        <v>65</v>
      </c>
      <c r="L1203" s="14">
        <v>692.0</v>
      </c>
      <c r="M1203" s="18" t="s">
        <v>98</v>
      </c>
      <c r="N1203" s="20">
        <v>1.0</v>
      </c>
      <c r="O1203" s="18">
        <v>15.8</v>
      </c>
      <c r="P1203" s="20">
        <v>3.1</v>
      </c>
      <c r="Q1203" s="16">
        <v>45214.0</v>
      </c>
      <c r="R1203" s="16" t="s">
        <v>38</v>
      </c>
      <c r="S1203" s="13" t="s">
        <v>55</v>
      </c>
      <c r="T1203" s="13" t="s">
        <v>72</v>
      </c>
      <c r="U1203" s="13" t="str">
        <f t="shared" si="1"/>
        <v>Moderate</v>
      </c>
      <c r="V1203" s="13" t="str">
        <f t="shared" si="2"/>
        <v>Below Median</v>
      </c>
      <c r="W1203" s="13" t="str">
        <f t="shared" si="3"/>
        <v>25–48 Months</v>
      </c>
    </row>
    <row r="1204" hidden="1">
      <c r="A1204" s="13" t="s">
        <v>528</v>
      </c>
      <c r="B1204" s="13" t="s">
        <v>639</v>
      </c>
      <c r="C1204" s="14">
        <v>42.0</v>
      </c>
      <c r="D1204" s="13" t="s">
        <v>69</v>
      </c>
      <c r="E1204" s="13" t="s">
        <v>119</v>
      </c>
      <c r="F1204" s="13" t="s">
        <v>62</v>
      </c>
      <c r="G1204" s="13" t="s">
        <v>63</v>
      </c>
      <c r="H1204" s="16">
        <v>45695.0</v>
      </c>
      <c r="I1204" s="14">
        <v>1.0</v>
      </c>
      <c r="J1204" s="13" t="s">
        <v>53</v>
      </c>
      <c r="K1204" s="13" t="s">
        <v>81</v>
      </c>
      <c r="L1204" s="14">
        <v>791.0</v>
      </c>
      <c r="M1204" s="18" t="s">
        <v>99</v>
      </c>
      <c r="N1204" s="20">
        <v>0.0</v>
      </c>
      <c r="O1204" s="18">
        <v>17.8</v>
      </c>
      <c r="P1204" s="20">
        <v>3.6</v>
      </c>
      <c r="Q1204" s="16">
        <v>45713.0</v>
      </c>
      <c r="R1204" s="16">
        <v>45873.0</v>
      </c>
      <c r="S1204" s="13" t="s">
        <v>45</v>
      </c>
      <c r="T1204" s="13" t="s">
        <v>72</v>
      </c>
      <c r="U1204" s="13" t="str">
        <f t="shared" si="1"/>
        <v>Moderate</v>
      </c>
      <c r="V1204" s="13" t="str">
        <f t="shared" si="2"/>
        <v>Below Median</v>
      </c>
      <c r="W1204" s="13" t="str">
        <f t="shared" si="3"/>
        <v>0–12 Months</v>
      </c>
    </row>
    <row r="1205" hidden="1">
      <c r="A1205" s="13" t="s">
        <v>696</v>
      </c>
      <c r="B1205" s="13" t="s">
        <v>325</v>
      </c>
      <c r="C1205" s="14">
        <v>53.0</v>
      </c>
      <c r="D1205" s="13" t="s">
        <v>85</v>
      </c>
      <c r="E1205" s="13" t="s">
        <v>87</v>
      </c>
      <c r="F1205" s="13" t="s">
        <v>37</v>
      </c>
      <c r="G1205" s="13" t="s">
        <v>52</v>
      </c>
      <c r="H1205" s="16">
        <v>44746.0</v>
      </c>
      <c r="I1205" s="14">
        <v>43.0</v>
      </c>
      <c r="J1205" s="13" t="s">
        <v>64</v>
      </c>
      <c r="K1205" s="13" t="s">
        <v>81</v>
      </c>
      <c r="L1205" s="14">
        <v>1302.0</v>
      </c>
      <c r="M1205" s="18" t="s">
        <v>43</v>
      </c>
      <c r="N1205" s="20">
        <v>0.0</v>
      </c>
      <c r="O1205" s="18">
        <v>34.2</v>
      </c>
      <c r="P1205" s="20">
        <v>3.2</v>
      </c>
      <c r="Q1205" s="16">
        <v>45989.0</v>
      </c>
      <c r="R1205" s="16" t="s">
        <v>1787</v>
      </c>
      <c r="S1205" s="13" t="s">
        <v>45</v>
      </c>
      <c r="T1205" s="13" t="s">
        <v>66</v>
      </c>
      <c r="U1205" s="13" t="str">
        <f t="shared" si="1"/>
        <v>Moderate</v>
      </c>
      <c r="V1205" s="13" t="str">
        <f t="shared" si="2"/>
        <v>Median or Above</v>
      </c>
      <c r="W1205" s="13" t="str">
        <f t="shared" si="3"/>
        <v>25–48 Months</v>
      </c>
    </row>
    <row r="1206" hidden="1">
      <c r="A1206" s="13" t="s">
        <v>1003</v>
      </c>
      <c r="B1206" s="13" t="s">
        <v>91</v>
      </c>
      <c r="C1206" s="14">
        <v>47.0</v>
      </c>
      <c r="D1206" s="13" t="s">
        <v>60</v>
      </c>
      <c r="E1206" s="13" t="s">
        <v>61</v>
      </c>
      <c r="F1206" s="13" t="s">
        <v>37</v>
      </c>
      <c r="G1206" s="13" t="s">
        <v>80</v>
      </c>
      <c r="H1206" s="16">
        <v>45386.0</v>
      </c>
      <c r="I1206" s="14">
        <v>9.0</v>
      </c>
      <c r="J1206" s="13" t="s">
        <v>40</v>
      </c>
      <c r="K1206" s="13" t="s">
        <v>81</v>
      </c>
      <c r="L1206" s="14">
        <v>1165.0</v>
      </c>
      <c r="M1206" s="18" t="s">
        <v>46</v>
      </c>
      <c r="N1206" s="20">
        <v>1.0</v>
      </c>
      <c r="O1206" s="18">
        <v>34.3</v>
      </c>
      <c r="P1206" s="20">
        <v>2.1</v>
      </c>
      <c r="Q1206" s="16">
        <v>45640.0</v>
      </c>
      <c r="R1206" s="16" t="s">
        <v>38</v>
      </c>
      <c r="S1206" s="13" t="s">
        <v>55</v>
      </c>
      <c r="T1206" s="13" t="s">
        <v>72</v>
      </c>
      <c r="U1206" s="13" t="str">
        <f t="shared" si="1"/>
        <v>Low</v>
      </c>
      <c r="V1206" s="13" t="str">
        <f t="shared" si="2"/>
        <v>Median or Above</v>
      </c>
      <c r="W1206" s="13" t="str">
        <f t="shared" si="3"/>
        <v>0–12 Months</v>
      </c>
    </row>
    <row r="1207" hidden="1">
      <c r="A1207" s="13" t="s">
        <v>1788</v>
      </c>
      <c r="B1207" s="13" t="s">
        <v>633</v>
      </c>
      <c r="C1207" s="14">
        <v>68.0</v>
      </c>
      <c r="D1207" s="13" t="s">
        <v>60</v>
      </c>
      <c r="E1207" s="13" t="s">
        <v>107</v>
      </c>
      <c r="F1207" s="13" t="s">
        <v>79</v>
      </c>
      <c r="G1207" s="13" t="s">
        <v>63</v>
      </c>
      <c r="H1207" s="16">
        <v>45695.0</v>
      </c>
      <c r="I1207" s="14">
        <v>23.0</v>
      </c>
      <c r="J1207" s="13" t="s">
        <v>64</v>
      </c>
      <c r="K1207" s="13" t="s">
        <v>41</v>
      </c>
      <c r="L1207" s="14">
        <v>3705.0</v>
      </c>
      <c r="M1207" s="18" t="s">
        <v>99</v>
      </c>
      <c r="N1207" s="20">
        <v>3.0</v>
      </c>
      <c r="O1207" s="18">
        <v>38.4</v>
      </c>
      <c r="P1207" s="20">
        <v>3.8</v>
      </c>
      <c r="Q1207" s="16">
        <v>45751.0</v>
      </c>
      <c r="R1207" s="16" t="s">
        <v>38</v>
      </c>
      <c r="S1207" s="13" t="s">
        <v>55</v>
      </c>
      <c r="T1207" s="13" t="s">
        <v>104</v>
      </c>
      <c r="U1207" s="13" t="str">
        <f t="shared" si="1"/>
        <v>Moderate</v>
      </c>
      <c r="V1207" s="13" t="str">
        <f t="shared" si="2"/>
        <v>Median or Above</v>
      </c>
      <c r="W1207" s="13" t="str">
        <f t="shared" si="3"/>
        <v>13–24 Months</v>
      </c>
    </row>
    <row r="1208" hidden="1">
      <c r="A1208" s="13" t="s">
        <v>332</v>
      </c>
      <c r="B1208" s="13" t="s">
        <v>801</v>
      </c>
      <c r="C1208" s="14">
        <v>64.0</v>
      </c>
      <c r="D1208" s="13" t="s">
        <v>69</v>
      </c>
      <c r="E1208" s="13" t="s">
        <v>187</v>
      </c>
      <c r="F1208" s="13" t="s">
        <v>37</v>
      </c>
      <c r="G1208" s="13" t="s">
        <v>210</v>
      </c>
      <c r="H1208" s="16">
        <v>45579.0</v>
      </c>
      <c r="I1208" s="14">
        <v>1.0</v>
      </c>
      <c r="J1208" s="13" t="s">
        <v>53</v>
      </c>
      <c r="K1208" s="13" t="s">
        <v>65</v>
      </c>
      <c r="L1208" s="14">
        <v>1750.0</v>
      </c>
      <c r="M1208" s="18" t="s">
        <v>46</v>
      </c>
      <c r="N1208" s="20">
        <v>1.0</v>
      </c>
      <c r="O1208" s="18">
        <v>25.5</v>
      </c>
      <c r="P1208" s="20">
        <v>4.1</v>
      </c>
      <c r="Q1208" s="16">
        <v>45593.0</v>
      </c>
      <c r="R1208" s="16" t="s">
        <v>38</v>
      </c>
      <c r="S1208" s="13" t="s">
        <v>55</v>
      </c>
      <c r="T1208" s="13" t="s">
        <v>72</v>
      </c>
      <c r="U1208" s="13" t="str">
        <f t="shared" si="1"/>
        <v>Moderate</v>
      </c>
      <c r="V1208" s="13" t="str">
        <f t="shared" si="2"/>
        <v>Median or Above</v>
      </c>
      <c r="W1208" s="13" t="str">
        <f t="shared" si="3"/>
        <v>0–12 Months</v>
      </c>
    </row>
    <row r="1209" hidden="1">
      <c r="A1209" s="13" t="s">
        <v>1790</v>
      </c>
      <c r="B1209" s="13" t="s">
        <v>224</v>
      </c>
      <c r="C1209" s="14">
        <v>19.0</v>
      </c>
      <c r="D1209" s="13" t="s">
        <v>85</v>
      </c>
      <c r="E1209" s="13" t="s">
        <v>111</v>
      </c>
      <c r="F1209" s="13" t="s">
        <v>62</v>
      </c>
      <c r="G1209" s="13" t="s">
        <v>39</v>
      </c>
      <c r="H1209" s="16">
        <v>45132.0</v>
      </c>
      <c r="I1209" s="14">
        <v>31.0</v>
      </c>
      <c r="J1209" s="13" t="s">
        <v>40</v>
      </c>
      <c r="K1209" s="13" t="s">
        <v>41</v>
      </c>
      <c r="L1209" s="14">
        <v>756.0</v>
      </c>
      <c r="M1209" s="18" t="s">
        <v>43</v>
      </c>
      <c r="N1209" s="20">
        <v>2.0</v>
      </c>
      <c r="O1209" s="18">
        <v>16.3</v>
      </c>
      <c r="P1209" s="20">
        <v>4.8</v>
      </c>
      <c r="Q1209" s="16">
        <v>45715.0</v>
      </c>
      <c r="R1209" s="16">
        <v>45935.0</v>
      </c>
      <c r="S1209" s="13" t="s">
        <v>45</v>
      </c>
      <c r="T1209" s="13" t="s">
        <v>75</v>
      </c>
      <c r="U1209" s="13" t="str">
        <f t="shared" si="1"/>
        <v>Moderate</v>
      </c>
      <c r="V1209" s="13" t="str">
        <f t="shared" si="2"/>
        <v>Below Median</v>
      </c>
      <c r="W1209" s="13" t="str">
        <f t="shared" si="3"/>
        <v>25–48 Months</v>
      </c>
    </row>
    <row r="1210" hidden="1">
      <c r="A1210" s="13" t="s">
        <v>535</v>
      </c>
      <c r="B1210" s="13" t="s">
        <v>167</v>
      </c>
      <c r="C1210" s="14">
        <v>19.0</v>
      </c>
      <c r="D1210" s="13" t="s">
        <v>69</v>
      </c>
      <c r="E1210" s="13" t="s">
        <v>187</v>
      </c>
      <c r="F1210" s="13" t="s">
        <v>37</v>
      </c>
      <c r="G1210" s="13" t="s">
        <v>52</v>
      </c>
      <c r="H1210" s="16">
        <v>45488.0</v>
      </c>
      <c r="I1210" s="14">
        <v>16.0</v>
      </c>
      <c r="J1210" s="13" t="s">
        <v>53</v>
      </c>
      <c r="K1210" s="13" t="s">
        <v>41</v>
      </c>
      <c r="L1210" s="14">
        <v>1073.0</v>
      </c>
      <c r="M1210" s="18" t="s">
        <v>98</v>
      </c>
      <c r="N1210" s="20">
        <v>2.0</v>
      </c>
      <c r="O1210" s="18">
        <v>41.0</v>
      </c>
      <c r="P1210" s="20">
        <v>5.0</v>
      </c>
      <c r="Q1210" s="16">
        <v>45980.0</v>
      </c>
      <c r="R1210" s="16" t="s">
        <v>38</v>
      </c>
      <c r="S1210" s="13" t="s">
        <v>55</v>
      </c>
      <c r="T1210" s="13" t="s">
        <v>104</v>
      </c>
      <c r="U1210" s="13" t="str">
        <f t="shared" si="1"/>
        <v>High</v>
      </c>
      <c r="V1210" s="13" t="str">
        <f t="shared" si="2"/>
        <v>Median or Above</v>
      </c>
      <c r="W1210" s="13" t="str">
        <f t="shared" si="3"/>
        <v>13–24 Months</v>
      </c>
    </row>
    <row r="1211" hidden="1">
      <c r="A1211" s="13" t="s">
        <v>1792</v>
      </c>
      <c r="B1211" s="13" t="s">
        <v>68</v>
      </c>
      <c r="C1211" s="14">
        <v>46.0</v>
      </c>
      <c r="D1211" s="13" t="s">
        <v>35</v>
      </c>
      <c r="E1211" s="13" t="s">
        <v>36</v>
      </c>
      <c r="F1211" s="13" t="s">
        <v>62</v>
      </c>
      <c r="G1211" s="13" t="s">
        <v>210</v>
      </c>
      <c r="H1211" s="16">
        <v>44564.0</v>
      </c>
      <c r="I1211" s="14">
        <v>40.0</v>
      </c>
      <c r="J1211" s="13" t="s">
        <v>40</v>
      </c>
      <c r="K1211" s="13" t="s">
        <v>81</v>
      </c>
      <c r="L1211" s="14">
        <v>736.0</v>
      </c>
      <c r="M1211" s="18" t="s">
        <v>43</v>
      </c>
      <c r="N1211" s="20">
        <v>1.0</v>
      </c>
      <c r="O1211" s="18">
        <v>22.0</v>
      </c>
      <c r="P1211" s="20">
        <v>2.8</v>
      </c>
      <c r="Q1211" s="16">
        <v>44750.0</v>
      </c>
      <c r="R1211" s="16" t="s">
        <v>38</v>
      </c>
      <c r="S1211" s="13" t="s">
        <v>55</v>
      </c>
      <c r="T1211" s="13" t="s">
        <v>104</v>
      </c>
      <c r="U1211" s="13" t="str">
        <f t="shared" si="1"/>
        <v>Low</v>
      </c>
      <c r="V1211" s="13" t="str">
        <f t="shared" si="2"/>
        <v>Below Median</v>
      </c>
      <c r="W1211" s="13" t="str">
        <f t="shared" si="3"/>
        <v>25–48 Months</v>
      </c>
    </row>
    <row r="1212" hidden="1">
      <c r="A1212" s="13" t="s">
        <v>1793</v>
      </c>
      <c r="B1212" s="13" t="s">
        <v>59</v>
      </c>
      <c r="C1212" s="14">
        <v>56.0</v>
      </c>
      <c r="D1212" s="13" t="s">
        <v>60</v>
      </c>
      <c r="E1212" s="13" t="s">
        <v>97</v>
      </c>
      <c r="F1212" s="13" t="s">
        <v>79</v>
      </c>
      <c r="G1212" s="13" t="s">
        <v>128</v>
      </c>
      <c r="H1212" s="16">
        <v>45464.0</v>
      </c>
      <c r="I1212" s="14">
        <v>4.0</v>
      </c>
      <c r="J1212" s="13" t="s">
        <v>53</v>
      </c>
      <c r="K1212" s="13" t="s">
        <v>81</v>
      </c>
      <c r="L1212" s="14">
        <v>2088.0</v>
      </c>
      <c r="M1212" s="18" t="s">
        <v>164</v>
      </c>
      <c r="N1212" s="20">
        <v>3.0</v>
      </c>
      <c r="O1212" s="18">
        <v>34.9</v>
      </c>
      <c r="P1212" s="20">
        <v>2.0</v>
      </c>
      <c r="Q1212" s="16">
        <v>45482.0</v>
      </c>
      <c r="R1212" s="16" t="s">
        <v>1795</v>
      </c>
      <c r="S1212" s="13" t="s">
        <v>45</v>
      </c>
      <c r="T1212" s="13" t="s">
        <v>104</v>
      </c>
      <c r="U1212" s="13" t="str">
        <f t="shared" si="1"/>
        <v>Low</v>
      </c>
      <c r="V1212" s="13" t="str">
        <f t="shared" si="2"/>
        <v>Median or Above</v>
      </c>
      <c r="W1212" s="13" t="str">
        <f t="shared" si="3"/>
        <v>0–12 Months</v>
      </c>
    </row>
    <row r="1213">
      <c r="A1213" s="13" t="s">
        <v>1796</v>
      </c>
      <c r="B1213" s="13" t="s">
        <v>250</v>
      </c>
      <c r="C1213" s="14">
        <v>60.0</v>
      </c>
      <c r="D1213" s="13" t="s">
        <v>85</v>
      </c>
      <c r="E1213" s="13" t="s">
        <v>92</v>
      </c>
      <c r="F1213" s="13" t="s">
        <v>79</v>
      </c>
      <c r="G1213" s="13" t="s">
        <v>128</v>
      </c>
      <c r="H1213" s="16">
        <v>45900.0</v>
      </c>
      <c r="I1213" s="14">
        <v>-3.0</v>
      </c>
      <c r="J1213" s="13" t="s">
        <v>53</v>
      </c>
      <c r="K1213" s="13" t="s">
        <v>81</v>
      </c>
      <c r="L1213" s="14">
        <v>3149.0</v>
      </c>
      <c r="M1213" s="18" t="s">
        <v>98</v>
      </c>
      <c r="N1213" s="20">
        <v>1.0</v>
      </c>
      <c r="O1213" s="18">
        <v>25.0</v>
      </c>
      <c r="P1213" s="20">
        <v>4.2</v>
      </c>
      <c r="Q1213" s="16">
        <v>46092.0</v>
      </c>
      <c r="R1213" s="16" t="s">
        <v>426</v>
      </c>
      <c r="S1213" s="13" t="s">
        <v>230</v>
      </c>
      <c r="T1213" s="13" t="s">
        <v>66</v>
      </c>
      <c r="U1213" s="13" t="str">
        <f t="shared" si="1"/>
        <v>Moderate</v>
      </c>
      <c r="V1213" s="13" t="str">
        <f t="shared" si="2"/>
        <v>Median or Above</v>
      </c>
      <c r="W1213" s="13" t="str">
        <f t="shared" si="3"/>
        <v>Invalid Tenure</v>
      </c>
    </row>
    <row r="1214" hidden="1">
      <c r="A1214" s="13" t="s">
        <v>1711</v>
      </c>
      <c r="B1214" s="13" t="s">
        <v>135</v>
      </c>
      <c r="C1214" s="14">
        <v>58.0</v>
      </c>
      <c r="D1214" s="13" t="s">
        <v>85</v>
      </c>
      <c r="E1214" s="13" t="s">
        <v>111</v>
      </c>
      <c r="F1214" s="13" t="s">
        <v>79</v>
      </c>
      <c r="G1214" s="13" t="s">
        <v>120</v>
      </c>
      <c r="H1214" s="16">
        <v>45267.0</v>
      </c>
      <c r="I1214" s="14">
        <v>9.0</v>
      </c>
      <c r="J1214" s="13" t="s">
        <v>64</v>
      </c>
      <c r="K1214" s="13" t="s">
        <v>81</v>
      </c>
      <c r="L1214" s="14">
        <v>3567.0</v>
      </c>
      <c r="M1214" s="18" t="s">
        <v>164</v>
      </c>
      <c r="N1214" s="20">
        <v>1.0</v>
      </c>
      <c r="O1214" s="18">
        <v>46.9</v>
      </c>
      <c r="P1214" s="20">
        <v>2.5</v>
      </c>
      <c r="Q1214" s="16">
        <v>45336.0</v>
      </c>
      <c r="R1214" s="16" t="s">
        <v>38</v>
      </c>
      <c r="S1214" s="13" t="s">
        <v>55</v>
      </c>
      <c r="T1214" s="13" t="s">
        <v>47</v>
      </c>
      <c r="U1214" s="13" t="str">
        <f t="shared" si="1"/>
        <v>Low</v>
      </c>
      <c r="V1214" s="13" t="str">
        <f t="shared" si="2"/>
        <v>Median or Above</v>
      </c>
      <c r="W1214" s="13" t="str">
        <f t="shared" si="3"/>
        <v>0–12 Months</v>
      </c>
    </row>
    <row r="1215">
      <c r="A1215" s="13" t="s">
        <v>695</v>
      </c>
      <c r="B1215" s="13" t="s">
        <v>633</v>
      </c>
      <c r="C1215" s="14">
        <v>33.0</v>
      </c>
      <c r="D1215" s="13" t="s">
        <v>69</v>
      </c>
      <c r="E1215" s="13" t="s">
        <v>177</v>
      </c>
      <c r="F1215" s="13" t="s">
        <v>37</v>
      </c>
      <c r="G1215" s="13" t="s">
        <v>63</v>
      </c>
      <c r="H1215" s="16">
        <v>44998.0</v>
      </c>
      <c r="I1215" s="14">
        <v>47.0</v>
      </c>
      <c r="J1215" s="13" t="s">
        <v>64</v>
      </c>
      <c r="K1215" s="13" t="s">
        <v>41</v>
      </c>
      <c r="L1215" s="14">
        <v>1263.0</v>
      </c>
      <c r="M1215" s="18" t="s">
        <v>99</v>
      </c>
      <c r="N1215" s="20">
        <v>0.0</v>
      </c>
      <c r="O1215" s="18">
        <v>28.2</v>
      </c>
      <c r="P1215" s="20">
        <v>3.5</v>
      </c>
      <c r="Q1215" s="16">
        <v>45100.0</v>
      </c>
      <c r="R1215" s="16" t="s">
        <v>1797</v>
      </c>
      <c r="S1215" s="13" t="s">
        <v>230</v>
      </c>
      <c r="T1215" s="13" t="s">
        <v>104</v>
      </c>
      <c r="U1215" s="13" t="str">
        <f t="shared" si="1"/>
        <v>Moderate</v>
      </c>
      <c r="V1215" s="13" t="str">
        <f t="shared" si="2"/>
        <v>Median or Above</v>
      </c>
      <c r="W1215" s="13" t="str">
        <f t="shared" si="3"/>
        <v>25–48 Months</v>
      </c>
    </row>
    <row r="1216" hidden="1">
      <c r="A1216" s="13" t="s">
        <v>1711</v>
      </c>
      <c r="B1216" s="13" t="s">
        <v>308</v>
      </c>
      <c r="C1216" s="14">
        <v>44.0</v>
      </c>
      <c r="D1216" s="13" t="s">
        <v>60</v>
      </c>
      <c r="E1216" s="13" t="s">
        <v>97</v>
      </c>
      <c r="F1216" s="13" t="s">
        <v>79</v>
      </c>
      <c r="G1216" s="13" t="s">
        <v>128</v>
      </c>
      <c r="H1216" s="16">
        <v>45299.0</v>
      </c>
      <c r="I1216" s="14">
        <v>29.0</v>
      </c>
      <c r="J1216" s="13" t="s">
        <v>53</v>
      </c>
      <c r="K1216" s="13" t="s">
        <v>81</v>
      </c>
      <c r="L1216" s="14">
        <v>2689.0</v>
      </c>
      <c r="M1216" s="18" t="s">
        <v>46</v>
      </c>
      <c r="N1216" s="20">
        <v>1.0</v>
      </c>
      <c r="O1216" s="18">
        <v>25.6</v>
      </c>
      <c r="P1216" s="20">
        <v>4.3</v>
      </c>
      <c r="Q1216" s="16">
        <v>45464.0</v>
      </c>
      <c r="R1216" s="16" t="s">
        <v>38</v>
      </c>
      <c r="S1216" s="13" t="s">
        <v>55</v>
      </c>
      <c r="T1216" s="13" t="s">
        <v>75</v>
      </c>
      <c r="U1216" s="13" t="str">
        <f t="shared" si="1"/>
        <v>Moderate</v>
      </c>
      <c r="V1216" s="13" t="str">
        <f t="shared" si="2"/>
        <v>Median or Above</v>
      </c>
      <c r="W1216" s="13" t="str">
        <f t="shared" si="3"/>
        <v>25–48 Months</v>
      </c>
    </row>
    <row r="1217" hidden="1">
      <c r="A1217" s="13" t="s">
        <v>1799</v>
      </c>
      <c r="B1217" s="13" t="s">
        <v>78</v>
      </c>
      <c r="C1217" s="14">
        <v>39.0</v>
      </c>
      <c r="D1217" s="13" t="s">
        <v>85</v>
      </c>
      <c r="E1217" s="13" t="s">
        <v>87</v>
      </c>
      <c r="F1217" s="13" t="s">
        <v>62</v>
      </c>
      <c r="G1217" s="13" t="s">
        <v>80</v>
      </c>
      <c r="H1217" s="16">
        <v>45010.0</v>
      </c>
      <c r="I1217" s="14">
        <v>46.0</v>
      </c>
      <c r="J1217" s="13" t="s">
        <v>40</v>
      </c>
      <c r="K1217" s="13" t="s">
        <v>65</v>
      </c>
      <c r="L1217" s="14">
        <v>652.0</v>
      </c>
      <c r="M1217" s="18" t="s">
        <v>164</v>
      </c>
      <c r="N1217" s="20">
        <v>1.0</v>
      </c>
      <c r="O1217" s="18">
        <v>27.6</v>
      </c>
      <c r="P1217" s="20">
        <v>2.9</v>
      </c>
      <c r="Q1217" s="16">
        <v>45419.0</v>
      </c>
      <c r="R1217" s="16" t="s">
        <v>1800</v>
      </c>
      <c r="S1217" s="13" t="s">
        <v>45</v>
      </c>
      <c r="T1217" s="13" t="s">
        <v>72</v>
      </c>
      <c r="U1217" s="13" t="str">
        <f t="shared" si="1"/>
        <v>Low</v>
      </c>
      <c r="V1217" s="13" t="str">
        <f t="shared" si="2"/>
        <v>Median or Above</v>
      </c>
      <c r="W1217" s="13" t="str">
        <f t="shared" si="3"/>
        <v>25–48 Months</v>
      </c>
    </row>
    <row r="1218" hidden="1">
      <c r="A1218" s="13" t="s">
        <v>1511</v>
      </c>
      <c r="B1218" s="13" t="s">
        <v>448</v>
      </c>
      <c r="C1218" s="14">
        <v>41.0</v>
      </c>
      <c r="D1218" s="13" t="s">
        <v>69</v>
      </c>
      <c r="E1218" s="13" t="s">
        <v>70</v>
      </c>
      <c r="F1218" s="13" t="s">
        <v>62</v>
      </c>
      <c r="G1218" s="13" t="s">
        <v>63</v>
      </c>
      <c r="H1218" s="16">
        <v>45474.0</v>
      </c>
      <c r="I1218" s="14">
        <v>29.0</v>
      </c>
      <c r="J1218" s="13" t="s">
        <v>40</v>
      </c>
      <c r="K1218" s="13" t="s">
        <v>65</v>
      </c>
      <c r="L1218" s="14">
        <v>859.0</v>
      </c>
      <c r="M1218" s="18" t="s">
        <v>43</v>
      </c>
      <c r="N1218" s="20">
        <v>0.0</v>
      </c>
      <c r="O1218" s="18">
        <v>22.5</v>
      </c>
      <c r="P1218" s="20">
        <v>3.6</v>
      </c>
      <c r="Q1218" s="16">
        <v>45852.0</v>
      </c>
      <c r="R1218" s="16">
        <v>45699.0</v>
      </c>
      <c r="S1218" s="13" t="s">
        <v>45</v>
      </c>
      <c r="T1218" s="13" t="s">
        <v>75</v>
      </c>
      <c r="U1218" s="13" t="str">
        <f t="shared" si="1"/>
        <v>Moderate</v>
      </c>
      <c r="V1218" s="13" t="str">
        <f t="shared" si="2"/>
        <v>Below Median</v>
      </c>
      <c r="W1218" s="13" t="str">
        <f t="shared" si="3"/>
        <v>25–48 Months</v>
      </c>
    </row>
    <row r="1219" hidden="1">
      <c r="A1219" s="13" t="s">
        <v>1801</v>
      </c>
      <c r="B1219" s="13" t="s">
        <v>345</v>
      </c>
      <c r="C1219" s="14">
        <v>59.0</v>
      </c>
      <c r="D1219" s="13" t="s">
        <v>69</v>
      </c>
      <c r="E1219" s="13" t="s">
        <v>187</v>
      </c>
      <c r="F1219" s="13" t="s">
        <v>79</v>
      </c>
      <c r="G1219" s="13" t="s">
        <v>63</v>
      </c>
      <c r="H1219" s="16">
        <v>45778.0</v>
      </c>
      <c r="I1219" s="14">
        <v>3.0</v>
      </c>
      <c r="J1219" s="13" t="s">
        <v>64</v>
      </c>
      <c r="K1219" s="13" t="s">
        <v>65</v>
      </c>
      <c r="L1219" s="14">
        <v>1783.0</v>
      </c>
      <c r="M1219" s="18" t="s">
        <v>43</v>
      </c>
      <c r="N1219" s="20">
        <v>1.0</v>
      </c>
      <c r="O1219" s="18">
        <v>25.5</v>
      </c>
      <c r="P1219" s="20">
        <v>1.8</v>
      </c>
      <c r="Q1219" s="16">
        <v>45801.0</v>
      </c>
      <c r="R1219" s="16" t="s">
        <v>38</v>
      </c>
      <c r="S1219" s="13" t="s">
        <v>55</v>
      </c>
      <c r="T1219" s="13" t="s">
        <v>104</v>
      </c>
      <c r="U1219" s="13" t="str">
        <f t="shared" si="1"/>
        <v>Low</v>
      </c>
      <c r="V1219" s="13" t="str">
        <f t="shared" si="2"/>
        <v>Median or Above</v>
      </c>
      <c r="W1219" s="13" t="str">
        <f t="shared" si="3"/>
        <v>0–12 Months</v>
      </c>
    </row>
    <row r="1220" hidden="1">
      <c r="A1220" s="13" t="s">
        <v>1802</v>
      </c>
      <c r="B1220" s="13" t="s">
        <v>405</v>
      </c>
      <c r="C1220" s="14">
        <v>37.0</v>
      </c>
      <c r="D1220" s="13" t="s">
        <v>35</v>
      </c>
      <c r="E1220" s="13" t="s">
        <v>51</v>
      </c>
      <c r="F1220" s="13" t="s">
        <v>62</v>
      </c>
      <c r="G1220" s="13" t="s">
        <v>63</v>
      </c>
      <c r="H1220" s="16">
        <v>44767.0</v>
      </c>
      <c r="I1220" s="14">
        <v>30.0</v>
      </c>
      <c r="J1220" s="13" t="s">
        <v>64</v>
      </c>
      <c r="K1220" s="13" t="s">
        <v>65</v>
      </c>
      <c r="L1220" s="14">
        <v>697.0</v>
      </c>
      <c r="M1220" s="18" t="s">
        <v>43</v>
      </c>
      <c r="N1220" s="20">
        <v>0.0</v>
      </c>
      <c r="O1220" s="18">
        <v>32.2</v>
      </c>
      <c r="P1220" s="20">
        <v>3.9</v>
      </c>
      <c r="Q1220" s="16">
        <v>45480.0</v>
      </c>
      <c r="R1220" s="16">
        <v>44904.0</v>
      </c>
      <c r="S1220" s="13" t="s">
        <v>45</v>
      </c>
      <c r="T1220" s="13" t="s">
        <v>75</v>
      </c>
      <c r="U1220" s="13" t="str">
        <f t="shared" si="1"/>
        <v>Moderate</v>
      </c>
      <c r="V1220" s="13" t="str">
        <f t="shared" si="2"/>
        <v>Median or Above</v>
      </c>
      <c r="W1220" s="13" t="str">
        <f t="shared" si="3"/>
        <v>25–48 Months</v>
      </c>
    </row>
    <row r="1221" hidden="1">
      <c r="A1221" s="13" t="s">
        <v>1169</v>
      </c>
      <c r="B1221" s="13" t="s">
        <v>96</v>
      </c>
      <c r="C1221" s="14">
        <v>24.0</v>
      </c>
      <c r="D1221" s="13" t="s">
        <v>85</v>
      </c>
      <c r="E1221" s="13" t="s">
        <v>187</v>
      </c>
      <c r="F1221" s="13" t="s">
        <v>37</v>
      </c>
      <c r="G1221" s="13" t="s">
        <v>63</v>
      </c>
      <c r="H1221" s="16">
        <v>45833.0</v>
      </c>
      <c r="I1221" s="14">
        <v>24.0</v>
      </c>
      <c r="J1221" s="13" t="s">
        <v>64</v>
      </c>
      <c r="K1221" s="13" t="s">
        <v>41</v>
      </c>
      <c r="L1221" s="14">
        <v>1273.0</v>
      </c>
      <c r="M1221" s="18" t="s">
        <v>43</v>
      </c>
      <c r="N1221" s="20">
        <v>0.0</v>
      </c>
      <c r="O1221" s="18">
        <v>27.5</v>
      </c>
      <c r="P1221" s="20">
        <v>5.0</v>
      </c>
      <c r="Q1221" s="16">
        <v>45928.0</v>
      </c>
      <c r="R1221" s="16" t="s">
        <v>1804</v>
      </c>
      <c r="S1221" s="13" t="s">
        <v>45</v>
      </c>
      <c r="T1221" s="13" t="s">
        <v>47</v>
      </c>
      <c r="U1221" s="13" t="str">
        <f t="shared" si="1"/>
        <v>High</v>
      </c>
      <c r="V1221" s="13" t="str">
        <f t="shared" si="2"/>
        <v>Median or Above</v>
      </c>
      <c r="W1221" s="13" t="str">
        <f t="shared" si="3"/>
        <v>13–24 Months</v>
      </c>
    </row>
    <row r="1222" hidden="1">
      <c r="A1222" s="13" t="s">
        <v>1681</v>
      </c>
      <c r="B1222" s="13" t="s">
        <v>91</v>
      </c>
      <c r="C1222" s="14">
        <v>40.0</v>
      </c>
      <c r="D1222" s="13" t="s">
        <v>60</v>
      </c>
      <c r="E1222" s="13" t="s">
        <v>107</v>
      </c>
      <c r="F1222" s="13" t="s">
        <v>79</v>
      </c>
      <c r="G1222" s="13" t="s">
        <v>63</v>
      </c>
      <c r="H1222" s="16">
        <v>44583.0</v>
      </c>
      <c r="I1222" s="14">
        <v>11.0</v>
      </c>
      <c r="J1222" s="13" t="s">
        <v>40</v>
      </c>
      <c r="K1222" s="13" t="s">
        <v>81</v>
      </c>
      <c r="L1222" s="14">
        <v>3881.0</v>
      </c>
      <c r="M1222" s="18" t="s">
        <v>43</v>
      </c>
      <c r="N1222" s="20">
        <v>1.0</v>
      </c>
      <c r="O1222" s="18">
        <v>27.9</v>
      </c>
      <c r="P1222" s="20">
        <v>4.5</v>
      </c>
      <c r="Q1222" s="16">
        <v>44618.0</v>
      </c>
      <c r="R1222" s="16">
        <v>44596.0</v>
      </c>
      <c r="S1222" s="13" t="s">
        <v>45</v>
      </c>
      <c r="T1222" s="13" t="s">
        <v>47</v>
      </c>
      <c r="U1222" s="13" t="str">
        <f t="shared" si="1"/>
        <v>Moderate</v>
      </c>
      <c r="V1222" s="13" t="str">
        <f t="shared" si="2"/>
        <v>Median or Above</v>
      </c>
      <c r="W1222" s="13" t="str">
        <f t="shared" si="3"/>
        <v>0–12 Months</v>
      </c>
    </row>
    <row r="1223" hidden="1">
      <c r="A1223" s="13" t="s">
        <v>1806</v>
      </c>
      <c r="B1223" s="13" t="s">
        <v>163</v>
      </c>
      <c r="C1223" s="14">
        <v>27.0</v>
      </c>
      <c r="D1223" s="13" t="s">
        <v>60</v>
      </c>
      <c r="E1223" s="13" t="s">
        <v>133</v>
      </c>
      <c r="F1223" s="13" t="s">
        <v>37</v>
      </c>
      <c r="G1223" s="13" t="s">
        <v>80</v>
      </c>
      <c r="H1223" s="16">
        <v>45257.0</v>
      </c>
      <c r="I1223" s="14">
        <v>3.0</v>
      </c>
      <c r="J1223" s="13" t="s">
        <v>53</v>
      </c>
      <c r="K1223" s="13" t="s">
        <v>81</v>
      </c>
      <c r="L1223" s="14">
        <v>1503.0</v>
      </c>
      <c r="M1223" s="18" t="s">
        <v>164</v>
      </c>
      <c r="N1223" s="20">
        <v>0.0</v>
      </c>
      <c r="O1223" s="18">
        <v>20.2</v>
      </c>
      <c r="P1223" s="20">
        <v>3.8</v>
      </c>
      <c r="Q1223" s="16">
        <v>45364.0</v>
      </c>
      <c r="R1223" s="16" t="s">
        <v>38</v>
      </c>
      <c r="S1223" s="13" t="s">
        <v>55</v>
      </c>
      <c r="T1223" s="13" t="s">
        <v>66</v>
      </c>
      <c r="U1223" s="13" t="str">
        <f t="shared" si="1"/>
        <v>Moderate</v>
      </c>
      <c r="V1223" s="13" t="str">
        <f t="shared" si="2"/>
        <v>Below Median</v>
      </c>
      <c r="W1223" s="13" t="str">
        <f t="shared" si="3"/>
        <v>0–12 Months</v>
      </c>
    </row>
    <row r="1224" hidden="1">
      <c r="A1224" s="13" t="s">
        <v>341</v>
      </c>
      <c r="B1224" s="13" t="s">
        <v>380</v>
      </c>
      <c r="C1224" s="14">
        <v>68.0</v>
      </c>
      <c r="D1224" s="13" t="s">
        <v>60</v>
      </c>
      <c r="E1224" s="13" t="s">
        <v>107</v>
      </c>
      <c r="F1224" s="13" t="s">
        <v>37</v>
      </c>
      <c r="G1224" s="13" t="s">
        <v>39</v>
      </c>
      <c r="H1224" s="16">
        <v>45926.0</v>
      </c>
      <c r="I1224" s="14">
        <v>5.0</v>
      </c>
      <c r="J1224" s="13" t="s">
        <v>64</v>
      </c>
      <c r="K1224" s="13" t="s">
        <v>41</v>
      </c>
      <c r="L1224" s="14">
        <v>1293.0</v>
      </c>
      <c r="M1224" s="18" t="s">
        <v>98</v>
      </c>
      <c r="N1224" s="20">
        <v>2.0</v>
      </c>
      <c r="O1224" s="18">
        <v>26.6</v>
      </c>
      <c r="P1224" s="20">
        <v>4.8</v>
      </c>
      <c r="Q1224" s="16">
        <v>46095.0</v>
      </c>
      <c r="R1224" s="16" t="s">
        <v>38</v>
      </c>
      <c r="S1224" s="13" t="s">
        <v>55</v>
      </c>
      <c r="T1224" s="13" t="s">
        <v>47</v>
      </c>
      <c r="U1224" s="13" t="str">
        <f t="shared" si="1"/>
        <v>Moderate</v>
      </c>
      <c r="V1224" s="13" t="str">
        <f t="shared" si="2"/>
        <v>Median or Above</v>
      </c>
      <c r="W1224" s="13" t="str">
        <f t="shared" si="3"/>
        <v>0–12 Months</v>
      </c>
    </row>
    <row r="1225" hidden="1">
      <c r="A1225" s="13" t="s">
        <v>1807</v>
      </c>
      <c r="B1225" s="13" t="s">
        <v>398</v>
      </c>
      <c r="C1225" s="14">
        <v>23.0</v>
      </c>
      <c r="D1225" s="13" t="s">
        <v>35</v>
      </c>
      <c r="E1225" s="13" t="s">
        <v>36</v>
      </c>
      <c r="F1225" s="13" t="s">
        <v>62</v>
      </c>
      <c r="G1225" s="13" t="s">
        <v>39</v>
      </c>
      <c r="H1225" s="16">
        <v>44626.0</v>
      </c>
      <c r="I1225" s="14">
        <v>14.0</v>
      </c>
      <c r="J1225" s="13" t="s">
        <v>64</v>
      </c>
      <c r="K1225" s="13" t="s">
        <v>65</v>
      </c>
      <c r="L1225" s="14">
        <v>758.0</v>
      </c>
      <c r="M1225" s="18" t="s">
        <v>43</v>
      </c>
      <c r="N1225" s="20">
        <v>0.0</v>
      </c>
      <c r="O1225" s="18">
        <v>14.5</v>
      </c>
      <c r="P1225" s="20">
        <v>2.9</v>
      </c>
      <c r="Q1225" s="16">
        <v>45025.0</v>
      </c>
      <c r="R1225" s="16" t="s">
        <v>38</v>
      </c>
      <c r="S1225" s="13" t="s">
        <v>55</v>
      </c>
      <c r="T1225" s="13" t="s">
        <v>66</v>
      </c>
      <c r="U1225" s="13" t="str">
        <f t="shared" si="1"/>
        <v>Low</v>
      </c>
      <c r="V1225" s="13" t="str">
        <f t="shared" si="2"/>
        <v>Below Median</v>
      </c>
      <c r="W1225" s="13" t="str">
        <f t="shared" si="3"/>
        <v>13–24 Months</v>
      </c>
    </row>
    <row r="1226" hidden="1">
      <c r="A1226" s="13" t="s">
        <v>1808</v>
      </c>
      <c r="B1226" s="13" t="s">
        <v>448</v>
      </c>
      <c r="C1226" s="14">
        <v>28.0</v>
      </c>
      <c r="D1226" s="13" t="s">
        <v>69</v>
      </c>
      <c r="E1226" s="13" t="s">
        <v>177</v>
      </c>
      <c r="F1226" s="13" t="s">
        <v>79</v>
      </c>
      <c r="G1226" s="13" t="s">
        <v>80</v>
      </c>
      <c r="H1226" s="16">
        <v>44918.0</v>
      </c>
      <c r="I1226" s="14">
        <v>120.0</v>
      </c>
      <c r="J1226" s="13" t="s">
        <v>40</v>
      </c>
      <c r="K1226" s="13" t="s">
        <v>65</v>
      </c>
      <c r="L1226" s="14">
        <v>2497.0</v>
      </c>
      <c r="M1226" s="18" t="s">
        <v>99</v>
      </c>
      <c r="N1226" s="20">
        <v>0.0</v>
      </c>
      <c r="O1226" s="18">
        <v>48.7</v>
      </c>
      <c r="P1226" s="20">
        <v>2.0</v>
      </c>
      <c r="Q1226" s="16">
        <v>45693.0</v>
      </c>
      <c r="R1226" s="16" t="s">
        <v>38</v>
      </c>
      <c r="S1226" s="13" t="s">
        <v>55</v>
      </c>
      <c r="T1226" s="13" t="s">
        <v>75</v>
      </c>
      <c r="U1226" s="13" t="str">
        <f t="shared" si="1"/>
        <v>Low</v>
      </c>
      <c r="V1226" s="13" t="str">
        <f t="shared" si="2"/>
        <v>Median or Above</v>
      </c>
      <c r="W1226" s="13" t="str">
        <f t="shared" si="3"/>
        <v>49+ Months</v>
      </c>
    </row>
    <row r="1227" hidden="1">
      <c r="A1227" s="13" t="s">
        <v>1776</v>
      </c>
      <c r="B1227" s="13" t="s">
        <v>179</v>
      </c>
      <c r="C1227" s="14">
        <v>23.0</v>
      </c>
      <c r="D1227" s="13" t="s">
        <v>35</v>
      </c>
      <c r="E1227" s="13" t="s">
        <v>36</v>
      </c>
      <c r="F1227" s="13" t="s">
        <v>62</v>
      </c>
      <c r="G1227" s="13" t="s">
        <v>120</v>
      </c>
      <c r="H1227" s="16">
        <v>45728.0</v>
      </c>
      <c r="I1227" s="14">
        <v>37.0</v>
      </c>
      <c r="J1227" s="13" t="s">
        <v>64</v>
      </c>
      <c r="K1227" s="13" t="s">
        <v>65</v>
      </c>
      <c r="L1227" s="14">
        <v>508.0</v>
      </c>
      <c r="M1227" s="18" t="s">
        <v>43</v>
      </c>
      <c r="N1227" s="20">
        <v>0.0</v>
      </c>
      <c r="O1227" s="18">
        <v>22.7</v>
      </c>
      <c r="P1227" s="20">
        <v>3.8</v>
      </c>
      <c r="Q1227" s="16">
        <v>46615.0</v>
      </c>
      <c r="R1227" s="16" t="s">
        <v>38</v>
      </c>
      <c r="S1227" s="13" t="s">
        <v>55</v>
      </c>
      <c r="T1227" s="13" t="s">
        <v>75</v>
      </c>
      <c r="U1227" s="13" t="str">
        <f t="shared" si="1"/>
        <v>Moderate</v>
      </c>
      <c r="V1227" s="13" t="str">
        <f t="shared" si="2"/>
        <v>Below Median</v>
      </c>
      <c r="W1227" s="13" t="str">
        <f t="shared" si="3"/>
        <v>25–48 Months</v>
      </c>
    </row>
    <row r="1228" hidden="1">
      <c r="A1228" s="13" t="s">
        <v>1810</v>
      </c>
      <c r="B1228" s="13" t="s">
        <v>362</v>
      </c>
      <c r="C1228" s="14">
        <v>55.0</v>
      </c>
      <c r="D1228" s="13" t="s">
        <v>60</v>
      </c>
      <c r="E1228" s="13" t="s">
        <v>61</v>
      </c>
      <c r="F1228" s="13" t="s">
        <v>37</v>
      </c>
      <c r="G1228" s="13" t="s">
        <v>39</v>
      </c>
      <c r="H1228" s="16">
        <v>45542.0</v>
      </c>
      <c r="I1228" s="14">
        <v>33.0</v>
      </c>
      <c r="J1228" s="13" t="s">
        <v>53</v>
      </c>
      <c r="K1228" s="13" t="s">
        <v>65</v>
      </c>
      <c r="L1228" s="14">
        <v>1127.0</v>
      </c>
      <c r="M1228" s="18" t="s">
        <v>43</v>
      </c>
      <c r="N1228" s="20">
        <v>1.0</v>
      </c>
      <c r="O1228" s="18">
        <v>23.8</v>
      </c>
      <c r="P1228" s="20">
        <v>4.9</v>
      </c>
      <c r="Q1228" s="16">
        <v>46463.0</v>
      </c>
      <c r="R1228" s="16" t="s">
        <v>38</v>
      </c>
      <c r="S1228" s="13" t="s">
        <v>55</v>
      </c>
      <c r="T1228" s="13" t="s">
        <v>66</v>
      </c>
      <c r="U1228" s="13" t="str">
        <f t="shared" si="1"/>
        <v>Moderate</v>
      </c>
      <c r="V1228" s="13" t="str">
        <f t="shared" si="2"/>
        <v>Below Median</v>
      </c>
      <c r="W1228" s="13" t="str">
        <f t="shared" si="3"/>
        <v>25–48 Months</v>
      </c>
    </row>
    <row r="1229" hidden="1">
      <c r="A1229" s="13" t="s">
        <v>1811</v>
      </c>
      <c r="B1229" s="13" t="s">
        <v>459</v>
      </c>
      <c r="C1229" s="14">
        <v>59.0</v>
      </c>
      <c r="D1229" s="13" t="s">
        <v>60</v>
      </c>
      <c r="E1229" s="13" t="s">
        <v>97</v>
      </c>
      <c r="F1229" s="13" t="s">
        <v>62</v>
      </c>
      <c r="G1229" s="13" t="s">
        <v>120</v>
      </c>
      <c r="H1229" s="16">
        <v>45567.0</v>
      </c>
      <c r="I1229" s="14">
        <v>30.0</v>
      </c>
      <c r="J1229" s="13" t="s">
        <v>53</v>
      </c>
      <c r="K1229" s="13" t="s">
        <v>41</v>
      </c>
      <c r="L1229" s="14">
        <v>579.0</v>
      </c>
      <c r="M1229" s="18" t="s">
        <v>164</v>
      </c>
      <c r="N1229" s="20">
        <v>2.0</v>
      </c>
      <c r="O1229" s="18">
        <v>14.2</v>
      </c>
      <c r="P1229" s="20">
        <v>5.0</v>
      </c>
      <c r="Q1229" s="16">
        <v>45585.0</v>
      </c>
      <c r="R1229" s="16" t="s">
        <v>38</v>
      </c>
      <c r="S1229" s="13" t="s">
        <v>55</v>
      </c>
      <c r="T1229" s="13" t="s">
        <v>104</v>
      </c>
      <c r="U1229" s="13" t="str">
        <f t="shared" si="1"/>
        <v>High</v>
      </c>
      <c r="V1229" s="13" t="str">
        <f t="shared" si="2"/>
        <v>Below Median</v>
      </c>
      <c r="W1229" s="13" t="str">
        <f t="shared" si="3"/>
        <v>25–48 Months</v>
      </c>
    </row>
    <row r="1230" hidden="1">
      <c r="A1230" s="13" t="s">
        <v>806</v>
      </c>
      <c r="B1230" s="13" t="s">
        <v>239</v>
      </c>
      <c r="C1230" s="14">
        <v>59.0</v>
      </c>
      <c r="D1230" s="13" t="s">
        <v>69</v>
      </c>
      <c r="E1230" s="13" t="s">
        <v>119</v>
      </c>
      <c r="F1230" s="13" t="s">
        <v>62</v>
      </c>
      <c r="G1230" s="13" t="s">
        <v>39</v>
      </c>
      <c r="H1230" s="16">
        <v>45363.0</v>
      </c>
      <c r="I1230" s="14">
        <v>12.0</v>
      </c>
      <c r="J1230" s="13" t="s">
        <v>40</v>
      </c>
      <c r="K1230" s="13" t="s">
        <v>81</v>
      </c>
      <c r="L1230" s="14">
        <v>734.0</v>
      </c>
      <c r="M1230" s="18" t="s">
        <v>43</v>
      </c>
      <c r="N1230" s="20">
        <v>0.0</v>
      </c>
      <c r="O1230" s="18">
        <v>14.9</v>
      </c>
      <c r="P1230" s="20">
        <v>1.8</v>
      </c>
      <c r="Q1230" s="16">
        <v>45467.0</v>
      </c>
      <c r="R1230" s="16" t="s">
        <v>38</v>
      </c>
      <c r="S1230" s="13" t="s">
        <v>55</v>
      </c>
      <c r="T1230" s="13" t="s">
        <v>66</v>
      </c>
      <c r="U1230" s="13" t="str">
        <f t="shared" si="1"/>
        <v>Low</v>
      </c>
      <c r="V1230" s="13" t="str">
        <f t="shared" si="2"/>
        <v>Below Median</v>
      </c>
      <c r="W1230" s="13" t="str">
        <f t="shared" si="3"/>
        <v>0–12 Months</v>
      </c>
    </row>
    <row r="1231" hidden="1">
      <c r="A1231" s="13" t="s">
        <v>1812</v>
      </c>
      <c r="B1231" s="13" t="s">
        <v>308</v>
      </c>
      <c r="C1231" s="14">
        <v>41.0</v>
      </c>
      <c r="D1231" s="13" t="s">
        <v>69</v>
      </c>
      <c r="E1231" s="13" t="s">
        <v>187</v>
      </c>
      <c r="F1231" s="13" t="s">
        <v>37</v>
      </c>
      <c r="G1231" s="13" t="s">
        <v>210</v>
      </c>
      <c r="H1231" s="16">
        <v>45239.0</v>
      </c>
      <c r="I1231" s="14">
        <v>7.0</v>
      </c>
      <c r="J1231" s="13" t="s">
        <v>40</v>
      </c>
      <c r="K1231" s="13" t="s">
        <v>41</v>
      </c>
      <c r="L1231" s="14">
        <v>1031.0</v>
      </c>
      <c r="M1231" s="18" t="s">
        <v>43</v>
      </c>
      <c r="N1231" s="20">
        <v>0.0</v>
      </c>
      <c r="O1231" s="18">
        <v>30.2</v>
      </c>
      <c r="P1231" s="20">
        <v>3.6</v>
      </c>
      <c r="Q1231" s="16">
        <v>45259.0</v>
      </c>
      <c r="R1231" s="16" t="s">
        <v>38</v>
      </c>
      <c r="S1231" s="13" t="s">
        <v>55</v>
      </c>
      <c r="T1231" s="13" t="s">
        <v>66</v>
      </c>
      <c r="U1231" s="13" t="str">
        <f t="shared" si="1"/>
        <v>Moderate</v>
      </c>
      <c r="V1231" s="13" t="str">
        <f t="shared" si="2"/>
        <v>Median or Above</v>
      </c>
      <c r="W1231" s="13" t="str">
        <f t="shared" si="3"/>
        <v>0–12 Months</v>
      </c>
    </row>
    <row r="1232" hidden="1">
      <c r="A1232" s="13" t="s">
        <v>226</v>
      </c>
      <c r="B1232" s="13" t="s">
        <v>239</v>
      </c>
      <c r="C1232" s="14">
        <v>37.0</v>
      </c>
      <c r="D1232" s="13" t="s">
        <v>85</v>
      </c>
      <c r="E1232" s="13" t="s">
        <v>92</v>
      </c>
      <c r="F1232" s="13" t="s">
        <v>62</v>
      </c>
      <c r="G1232" s="13" t="s">
        <v>39</v>
      </c>
      <c r="H1232" s="16">
        <v>44800.0</v>
      </c>
      <c r="I1232" s="14">
        <v>6.0</v>
      </c>
      <c r="J1232" s="13" t="s">
        <v>64</v>
      </c>
      <c r="K1232" s="13" t="s">
        <v>65</v>
      </c>
      <c r="L1232" s="14">
        <v>726.0</v>
      </c>
      <c r="M1232" s="18" t="s">
        <v>43</v>
      </c>
      <c r="N1232" s="20">
        <v>0.0</v>
      </c>
      <c r="O1232" s="18">
        <v>33.2</v>
      </c>
      <c r="P1232" s="20">
        <v>3.6</v>
      </c>
      <c r="Q1232" s="16">
        <v>44844.0</v>
      </c>
      <c r="R1232" s="16" t="s">
        <v>38</v>
      </c>
      <c r="S1232" s="13" t="s">
        <v>55</v>
      </c>
      <c r="T1232" s="13" t="s">
        <v>75</v>
      </c>
      <c r="U1232" s="13" t="str">
        <f t="shared" si="1"/>
        <v>Moderate</v>
      </c>
      <c r="V1232" s="13" t="str">
        <f t="shared" si="2"/>
        <v>Median or Above</v>
      </c>
      <c r="W1232" s="13" t="str">
        <f t="shared" si="3"/>
        <v>0–12 Months</v>
      </c>
    </row>
    <row r="1233" hidden="1">
      <c r="A1233" s="13" t="s">
        <v>918</v>
      </c>
      <c r="B1233" s="13" t="s">
        <v>78</v>
      </c>
      <c r="C1233" s="14">
        <v>44.0</v>
      </c>
      <c r="D1233" s="13" t="s">
        <v>85</v>
      </c>
      <c r="E1233" s="13" t="s">
        <v>92</v>
      </c>
      <c r="F1233" s="13" t="s">
        <v>79</v>
      </c>
      <c r="G1233" s="13" t="s">
        <v>128</v>
      </c>
      <c r="H1233" s="16">
        <v>44943.0</v>
      </c>
      <c r="I1233" s="14">
        <v>6.0</v>
      </c>
      <c r="J1233" s="13" t="s">
        <v>40</v>
      </c>
      <c r="K1233" s="13" t="s">
        <v>41</v>
      </c>
      <c r="L1233" s="14">
        <v>3578.0</v>
      </c>
      <c r="M1233" s="18" t="s">
        <v>164</v>
      </c>
      <c r="N1233" s="20">
        <v>0.0</v>
      </c>
      <c r="O1233" s="18">
        <v>36.7</v>
      </c>
      <c r="P1233" s="20">
        <v>4.2</v>
      </c>
      <c r="Q1233" s="16">
        <v>45061.0</v>
      </c>
      <c r="R1233" s="16" t="s">
        <v>38</v>
      </c>
      <c r="S1233" s="13" t="s">
        <v>55</v>
      </c>
      <c r="T1233" s="13" t="s">
        <v>47</v>
      </c>
      <c r="U1233" s="13" t="str">
        <f t="shared" si="1"/>
        <v>Moderate</v>
      </c>
      <c r="V1233" s="13" t="str">
        <f t="shared" si="2"/>
        <v>Median or Above</v>
      </c>
      <c r="W1233" s="13" t="str">
        <f t="shared" si="3"/>
        <v>0–12 Months</v>
      </c>
    </row>
    <row r="1234" hidden="1">
      <c r="A1234" s="13" t="s">
        <v>315</v>
      </c>
      <c r="B1234" s="13" t="s">
        <v>364</v>
      </c>
      <c r="C1234" s="14">
        <v>63.0</v>
      </c>
      <c r="D1234" s="13" t="s">
        <v>69</v>
      </c>
      <c r="E1234" s="13" t="s">
        <v>70</v>
      </c>
      <c r="F1234" s="13" t="s">
        <v>79</v>
      </c>
      <c r="G1234" s="13" t="s">
        <v>39</v>
      </c>
      <c r="H1234" s="16">
        <v>45499.0</v>
      </c>
      <c r="I1234" s="14">
        <v>24.0</v>
      </c>
      <c r="J1234" s="13" t="s">
        <v>64</v>
      </c>
      <c r="K1234" s="13" t="s">
        <v>41</v>
      </c>
      <c r="L1234" s="14">
        <v>2522.0</v>
      </c>
      <c r="M1234" s="18" t="s">
        <v>43</v>
      </c>
      <c r="N1234" s="20">
        <v>2.0</v>
      </c>
      <c r="O1234" s="18">
        <v>31.9</v>
      </c>
      <c r="P1234" s="20">
        <v>3.3</v>
      </c>
      <c r="Q1234" s="16">
        <v>45982.0</v>
      </c>
      <c r="R1234" s="16" t="s">
        <v>38</v>
      </c>
      <c r="S1234" s="13" t="s">
        <v>55</v>
      </c>
      <c r="T1234" s="13" t="s">
        <v>104</v>
      </c>
      <c r="U1234" s="13" t="str">
        <f t="shared" si="1"/>
        <v>Moderate</v>
      </c>
      <c r="V1234" s="13" t="str">
        <f t="shared" si="2"/>
        <v>Median or Above</v>
      </c>
      <c r="W1234" s="13" t="str">
        <f t="shared" si="3"/>
        <v>13–24 Months</v>
      </c>
    </row>
    <row r="1235" hidden="1">
      <c r="A1235" s="13" t="s">
        <v>1337</v>
      </c>
      <c r="B1235" s="13" t="s">
        <v>206</v>
      </c>
      <c r="C1235" s="14">
        <v>25.0</v>
      </c>
      <c r="D1235" s="13" t="s">
        <v>35</v>
      </c>
      <c r="E1235" s="13" t="s">
        <v>36</v>
      </c>
      <c r="F1235" s="13" t="s">
        <v>37</v>
      </c>
      <c r="G1235" s="13" t="s">
        <v>128</v>
      </c>
      <c r="H1235" s="16">
        <v>44893.0</v>
      </c>
      <c r="I1235" s="14">
        <v>15.0</v>
      </c>
      <c r="J1235" s="13" t="s">
        <v>64</v>
      </c>
      <c r="K1235" s="13" t="s">
        <v>81</v>
      </c>
      <c r="L1235" s="14">
        <v>1005.0</v>
      </c>
      <c r="M1235" s="18" t="s">
        <v>376</v>
      </c>
      <c r="N1235" s="20">
        <v>2.0</v>
      </c>
      <c r="O1235" s="18">
        <v>12.2</v>
      </c>
      <c r="P1235" s="20">
        <v>3.3</v>
      </c>
      <c r="Q1235" s="16">
        <v>44999.0</v>
      </c>
      <c r="R1235" s="16" t="s">
        <v>38</v>
      </c>
      <c r="S1235" s="13" t="s">
        <v>55</v>
      </c>
      <c r="T1235" s="13" t="s">
        <v>47</v>
      </c>
      <c r="U1235" s="13" t="str">
        <f t="shared" si="1"/>
        <v>Moderate</v>
      </c>
      <c r="V1235" s="13" t="str">
        <f t="shared" si="2"/>
        <v>Below Median</v>
      </c>
      <c r="W1235" s="13" t="str">
        <f t="shared" si="3"/>
        <v>13–24 Months</v>
      </c>
    </row>
    <row r="1236" hidden="1">
      <c r="A1236" s="13" t="s">
        <v>844</v>
      </c>
      <c r="B1236" s="13" t="s">
        <v>476</v>
      </c>
      <c r="C1236" s="14">
        <v>32.0</v>
      </c>
      <c r="D1236" s="13" t="s">
        <v>60</v>
      </c>
      <c r="E1236" s="13" t="s">
        <v>61</v>
      </c>
      <c r="F1236" s="13" t="s">
        <v>62</v>
      </c>
      <c r="G1236" s="13" t="s">
        <v>120</v>
      </c>
      <c r="H1236" s="16">
        <v>44570.0</v>
      </c>
      <c r="I1236" s="14">
        <v>44.0</v>
      </c>
      <c r="J1236" s="13" t="s">
        <v>64</v>
      </c>
      <c r="K1236" s="13" t="s">
        <v>65</v>
      </c>
      <c r="L1236" s="14">
        <v>1443.0</v>
      </c>
      <c r="M1236" s="18" t="s">
        <v>164</v>
      </c>
      <c r="N1236" s="20">
        <v>2.0</v>
      </c>
      <c r="O1236" s="18">
        <v>27.3</v>
      </c>
      <c r="P1236" s="20">
        <v>4.1</v>
      </c>
      <c r="Q1236" s="16">
        <v>44809.0</v>
      </c>
      <c r="R1236" s="16" t="s">
        <v>38</v>
      </c>
      <c r="S1236" s="13" t="s">
        <v>55</v>
      </c>
      <c r="T1236" s="13" t="s">
        <v>72</v>
      </c>
      <c r="U1236" s="13" t="str">
        <f t="shared" si="1"/>
        <v>Moderate</v>
      </c>
      <c r="V1236" s="13" t="str">
        <f t="shared" si="2"/>
        <v>Median or Above</v>
      </c>
      <c r="W1236" s="13" t="str">
        <f t="shared" si="3"/>
        <v>25–48 Months</v>
      </c>
    </row>
    <row r="1237" hidden="1">
      <c r="A1237" s="13" t="s">
        <v>1542</v>
      </c>
      <c r="B1237" s="13" t="s">
        <v>179</v>
      </c>
      <c r="C1237" s="14" t="s">
        <v>38</v>
      </c>
      <c r="D1237" s="13" t="s">
        <v>35</v>
      </c>
      <c r="E1237" s="13" t="s">
        <v>161</v>
      </c>
      <c r="F1237" s="13" t="s">
        <v>37</v>
      </c>
      <c r="G1237" s="13" t="s">
        <v>120</v>
      </c>
      <c r="H1237" s="16">
        <v>45975.0</v>
      </c>
      <c r="I1237" s="14">
        <v>31.0</v>
      </c>
      <c r="J1237" s="13" t="s">
        <v>40</v>
      </c>
      <c r="K1237" s="13" t="s">
        <v>65</v>
      </c>
      <c r="L1237" s="14">
        <v>1095.0</v>
      </c>
      <c r="M1237" s="18" t="s">
        <v>43</v>
      </c>
      <c r="N1237" s="20">
        <v>1.0</v>
      </c>
      <c r="O1237" s="18">
        <v>30.2</v>
      </c>
      <c r="P1237" s="20">
        <v>5.0</v>
      </c>
      <c r="Q1237" s="16">
        <v>46554.0</v>
      </c>
      <c r="R1237" s="16" t="s">
        <v>38</v>
      </c>
      <c r="S1237" s="13" t="s">
        <v>55</v>
      </c>
      <c r="T1237" s="13" t="s">
        <v>47</v>
      </c>
      <c r="U1237" s="13" t="str">
        <f t="shared" si="1"/>
        <v>High</v>
      </c>
      <c r="V1237" s="13" t="str">
        <f t="shared" si="2"/>
        <v>Median or Above</v>
      </c>
      <c r="W1237" s="13" t="str">
        <f t="shared" si="3"/>
        <v>25–48 Months</v>
      </c>
    </row>
    <row r="1238" hidden="1">
      <c r="A1238" s="13" t="s">
        <v>318</v>
      </c>
      <c r="B1238" s="13" t="s">
        <v>176</v>
      </c>
      <c r="C1238" s="14">
        <v>40.0</v>
      </c>
      <c r="D1238" s="13" t="s">
        <v>69</v>
      </c>
      <c r="E1238" s="13" t="s">
        <v>70</v>
      </c>
      <c r="F1238" s="13" t="s">
        <v>37</v>
      </c>
      <c r="G1238" s="13" t="s">
        <v>120</v>
      </c>
      <c r="H1238" s="16">
        <v>45808.0</v>
      </c>
      <c r="I1238" s="14">
        <v>10.0</v>
      </c>
      <c r="J1238" s="13" t="s">
        <v>53</v>
      </c>
      <c r="K1238" s="13" t="s">
        <v>41</v>
      </c>
      <c r="L1238" s="14">
        <v>1490.0</v>
      </c>
      <c r="M1238" s="18" t="s">
        <v>43</v>
      </c>
      <c r="N1238" s="20">
        <v>1.0</v>
      </c>
      <c r="O1238" s="18">
        <v>41.9</v>
      </c>
      <c r="P1238" s="20">
        <v>3.8</v>
      </c>
      <c r="Q1238" s="16">
        <v>45906.0</v>
      </c>
      <c r="R1238" s="16" t="s">
        <v>38</v>
      </c>
      <c r="S1238" s="13" t="s">
        <v>55</v>
      </c>
      <c r="T1238" s="13" t="s">
        <v>104</v>
      </c>
      <c r="U1238" s="13" t="str">
        <f t="shared" si="1"/>
        <v>Moderate</v>
      </c>
      <c r="V1238" s="13" t="str">
        <f t="shared" si="2"/>
        <v>Median or Above</v>
      </c>
      <c r="W1238" s="13" t="str">
        <f t="shared" si="3"/>
        <v>0–12 Months</v>
      </c>
    </row>
    <row r="1239" hidden="1">
      <c r="A1239" s="13" t="s">
        <v>1813</v>
      </c>
      <c r="B1239" s="13" t="s">
        <v>145</v>
      </c>
      <c r="C1239" s="14">
        <v>59.0</v>
      </c>
      <c r="D1239" s="13" t="s">
        <v>69</v>
      </c>
      <c r="E1239" s="13" t="s">
        <v>187</v>
      </c>
      <c r="F1239" s="13" t="s">
        <v>37</v>
      </c>
      <c r="G1239" s="13" t="s">
        <v>120</v>
      </c>
      <c r="H1239" s="16">
        <v>44894.0</v>
      </c>
      <c r="I1239" s="14">
        <v>1.0</v>
      </c>
      <c r="J1239" s="13" t="s">
        <v>40</v>
      </c>
      <c r="K1239" s="13" t="s">
        <v>41</v>
      </c>
      <c r="L1239" s="14">
        <v>1217.0</v>
      </c>
      <c r="M1239" s="18" t="s">
        <v>46</v>
      </c>
      <c r="N1239" s="20">
        <v>1.0</v>
      </c>
      <c r="O1239" s="18">
        <v>26.4</v>
      </c>
      <c r="P1239" s="20">
        <v>5.0</v>
      </c>
      <c r="Q1239" s="16">
        <v>44922.0</v>
      </c>
      <c r="R1239" s="16" t="s">
        <v>38</v>
      </c>
      <c r="S1239" s="13" t="s">
        <v>55</v>
      </c>
      <c r="T1239" s="13" t="s">
        <v>47</v>
      </c>
      <c r="U1239" s="13" t="str">
        <f t="shared" si="1"/>
        <v>High</v>
      </c>
      <c r="V1239" s="13" t="str">
        <f t="shared" si="2"/>
        <v>Median or Above</v>
      </c>
      <c r="W1239" s="13" t="str">
        <f t="shared" si="3"/>
        <v>0–12 Months</v>
      </c>
    </row>
    <row r="1240" hidden="1">
      <c r="A1240" s="13" t="s">
        <v>1814</v>
      </c>
      <c r="B1240" s="13" t="s">
        <v>325</v>
      </c>
      <c r="C1240" s="14">
        <v>45.0</v>
      </c>
      <c r="D1240" s="13" t="s">
        <v>60</v>
      </c>
      <c r="E1240" s="13" t="s">
        <v>61</v>
      </c>
      <c r="F1240" s="13" t="s">
        <v>62</v>
      </c>
      <c r="G1240" s="13" t="s">
        <v>120</v>
      </c>
      <c r="H1240" s="16">
        <v>45132.0</v>
      </c>
      <c r="I1240" s="14">
        <v>42.0</v>
      </c>
      <c r="J1240" s="13" t="s">
        <v>53</v>
      </c>
      <c r="K1240" s="13" t="s">
        <v>81</v>
      </c>
      <c r="L1240" s="14">
        <v>566.0</v>
      </c>
      <c r="M1240" s="18" t="s">
        <v>99</v>
      </c>
      <c r="N1240" s="20">
        <v>3.0</v>
      </c>
      <c r="O1240" s="18">
        <v>31.1</v>
      </c>
      <c r="P1240" s="20">
        <v>4.7</v>
      </c>
      <c r="Q1240" s="16">
        <v>46216.0</v>
      </c>
      <c r="R1240" s="16" t="s">
        <v>38</v>
      </c>
      <c r="S1240" s="13" t="s">
        <v>55</v>
      </c>
      <c r="T1240" s="13" t="s">
        <v>66</v>
      </c>
      <c r="U1240" s="13" t="str">
        <f t="shared" si="1"/>
        <v>Moderate</v>
      </c>
      <c r="V1240" s="13" t="str">
        <f t="shared" si="2"/>
        <v>Median or Above</v>
      </c>
      <c r="W1240" s="13" t="str">
        <f t="shared" si="3"/>
        <v>25–48 Months</v>
      </c>
    </row>
    <row r="1241" hidden="1">
      <c r="A1241" s="13" t="s">
        <v>544</v>
      </c>
      <c r="B1241" s="13" t="s">
        <v>78</v>
      </c>
      <c r="C1241" s="14">
        <v>33.0</v>
      </c>
      <c r="D1241" s="13" t="s">
        <v>69</v>
      </c>
      <c r="E1241" s="13" t="s">
        <v>70</v>
      </c>
      <c r="F1241" s="13" t="s">
        <v>37</v>
      </c>
      <c r="G1241" s="13" t="s">
        <v>52</v>
      </c>
      <c r="H1241" s="16">
        <v>45846.0</v>
      </c>
      <c r="I1241" s="14">
        <v>48.0</v>
      </c>
      <c r="J1241" s="13" t="s">
        <v>40</v>
      </c>
      <c r="K1241" s="13" t="s">
        <v>41</v>
      </c>
      <c r="L1241" s="14">
        <v>1648.0</v>
      </c>
      <c r="M1241" s="18" t="s">
        <v>43</v>
      </c>
      <c r="N1241" s="20">
        <v>0.0</v>
      </c>
      <c r="O1241" s="18">
        <v>20.5</v>
      </c>
      <c r="P1241" s="20">
        <v>2.8</v>
      </c>
      <c r="Q1241" s="16">
        <v>45959.0</v>
      </c>
      <c r="R1241" s="16" t="s">
        <v>38</v>
      </c>
      <c r="S1241" s="13" t="s">
        <v>55</v>
      </c>
      <c r="T1241" s="13" t="s">
        <v>75</v>
      </c>
      <c r="U1241" s="13" t="str">
        <f t="shared" si="1"/>
        <v>Low</v>
      </c>
      <c r="V1241" s="13" t="str">
        <f t="shared" si="2"/>
        <v>Below Median</v>
      </c>
      <c r="W1241" s="13" t="str">
        <f t="shared" si="3"/>
        <v>25–48 Months</v>
      </c>
    </row>
    <row r="1242" hidden="1">
      <c r="A1242" s="13" t="s">
        <v>1815</v>
      </c>
      <c r="B1242" s="13" t="s">
        <v>247</v>
      </c>
      <c r="C1242" s="14">
        <v>45.0</v>
      </c>
      <c r="D1242" s="13" t="s">
        <v>60</v>
      </c>
      <c r="E1242" s="13" t="s">
        <v>97</v>
      </c>
      <c r="F1242" s="13" t="s">
        <v>37</v>
      </c>
      <c r="G1242" s="13" t="s">
        <v>80</v>
      </c>
      <c r="H1242" s="16">
        <v>45061.0</v>
      </c>
      <c r="I1242" s="14">
        <v>24.0</v>
      </c>
      <c r="J1242" s="13" t="s">
        <v>53</v>
      </c>
      <c r="K1242" s="13" t="s">
        <v>41</v>
      </c>
      <c r="L1242" s="14">
        <v>1794.0</v>
      </c>
      <c r="M1242" s="18" t="s">
        <v>43</v>
      </c>
      <c r="N1242" s="20">
        <v>0.0</v>
      </c>
      <c r="O1242" s="18">
        <v>21.2</v>
      </c>
      <c r="P1242" s="20">
        <v>3.1</v>
      </c>
      <c r="Q1242" s="16">
        <v>45204.0</v>
      </c>
      <c r="R1242" s="16" t="s">
        <v>38</v>
      </c>
      <c r="S1242" s="13" t="s">
        <v>55</v>
      </c>
      <c r="T1242" s="13" t="s">
        <v>75</v>
      </c>
      <c r="U1242" s="13" t="str">
        <f t="shared" si="1"/>
        <v>Moderate</v>
      </c>
      <c r="V1242" s="13" t="str">
        <f t="shared" si="2"/>
        <v>Below Median</v>
      </c>
      <c r="W1242" s="13" t="str">
        <f t="shared" si="3"/>
        <v>13–24 Months</v>
      </c>
    </row>
    <row r="1243" hidden="1">
      <c r="A1243" s="13" t="s">
        <v>1816</v>
      </c>
      <c r="B1243" s="13" t="s">
        <v>110</v>
      </c>
      <c r="C1243" s="14">
        <v>41.0</v>
      </c>
      <c r="D1243" s="13" t="s">
        <v>85</v>
      </c>
      <c r="E1243" s="13" t="s">
        <v>111</v>
      </c>
      <c r="F1243" s="13" t="s">
        <v>62</v>
      </c>
      <c r="G1243" s="13" t="s">
        <v>128</v>
      </c>
      <c r="H1243" s="16">
        <v>44679.0</v>
      </c>
      <c r="I1243" s="14">
        <v>23.0</v>
      </c>
      <c r="J1243" s="13" t="s">
        <v>53</v>
      </c>
      <c r="K1243" s="13" t="s">
        <v>81</v>
      </c>
      <c r="L1243" s="14">
        <v>803.0</v>
      </c>
      <c r="M1243" s="18" t="s">
        <v>46</v>
      </c>
      <c r="N1243" s="20">
        <v>2.0</v>
      </c>
      <c r="O1243" s="18">
        <v>2.7</v>
      </c>
      <c r="P1243" s="20">
        <v>2.4</v>
      </c>
      <c r="Q1243" s="16">
        <v>45139.0</v>
      </c>
      <c r="R1243" s="16" t="s">
        <v>38</v>
      </c>
      <c r="S1243" s="13" t="s">
        <v>55</v>
      </c>
      <c r="T1243" s="13" t="s">
        <v>104</v>
      </c>
      <c r="U1243" s="13" t="str">
        <f t="shared" si="1"/>
        <v>Low</v>
      </c>
      <c r="V1243" s="13" t="str">
        <f t="shared" si="2"/>
        <v>Below Median</v>
      </c>
      <c r="W1243" s="13" t="str">
        <f t="shared" si="3"/>
        <v>13–24 Months</v>
      </c>
    </row>
    <row r="1244" hidden="1">
      <c r="A1244" s="13" t="s">
        <v>1817</v>
      </c>
      <c r="B1244" s="13" t="s">
        <v>241</v>
      </c>
      <c r="C1244" s="14">
        <v>43.0</v>
      </c>
      <c r="D1244" s="13" t="s">
        <v>69</v>
      </c>
      <c r="E1244" s="13" t="s">
        <v>187</v>
      </c>
      <c r="F1244" s="13" t="s">
        <v>37</v>
      </c>
      <c r="G1244" s="13" t="s">
        <v>52</v>
      </c>
      <c r="H1244" s="16">
        <v>44608.0</v>
      </c>
      <c r="I1244" s="14">
        <v>42.0</v>
      </c>
      <c r="J1244" s="13" t="s">
        <v>64</v>
      </c>
      <c r="K1244" s="13" t="s">
        <v>81</v>
      </c>
      <c r="L1244" s="14">
        <v>1090.0</v>
      </c>
      <c r="M1244" s="18" t="s">
        <v>164</v>
      </c>
      <c r="N1244" s="20">
        <v>1.0</v>
      </c>
      <c r="O1244" s="18">
        <v>33.8</v>
      </c>
      <c r="P1244" s="20">
        <v>5.0</v>
      </c>
      <c r="Q1244" s="16">
        <v>44769.0</v>
      </c>
      <c r="R1244" s="16" t="s">
        <v>38</v>
      </c>
      <c r="S1244" s="13" t="s">
        <v>55</v>
      </c>
      <c r="T1244" s="13" t="s">
        <v>47</v>
      </c>
      <c r="U1244" s="13" t="str">
        <f t="shared" si="1"/>
        <v>High</v>
      </c>
      <c r="V1244" s="13" t="str">
        <f t="shared" si="2"/>
        <v>Median or Above</v>
      </c>
      <c r="W1244" s="13" t="str">
        <f t="shared" si="3"/>
        <v>25–48 Months</v>
      </c>
    </row>
    <row r="1245" hidden="1">
      <c r="A1245" s="13" t="s">
        <v>1818</v>
      </c>
      <c r="B1245" s="13" t="s">
        <v>34</v>
      </c>
      <c r="C1245" s="14">
        <v>44.0</v>
      </c>
      <c r="D1245" s="13" t="s">
        <v>69</v>
      </c>
      <c r="E1245" s="13" t="s">
        <v>70</v>
      </c>
      <c r="F1245" s="13" t="s">
        <v>79</v>
      </c>
      <c r="G1245" s="13" t="s">
        <v>63</v>
      </c>
      <c r="H1245" s="16">
        <v>45101.0</v>
      </c>
      <c r="I1245" s="14">
        <v>16.0</v>
      </c>
      <c r="J1245" s="13" t="s">
        <v>40</v>
      </c>
      <c r="K1245" s="13" t="s">
        <v>41</v>
      </c>
      <c r="L1245" s="14">
        <v>3680.0</v>
      </c>
      <c r="M1245" s="18" t="s">
        <v>99</v>
      </c>
      <c r="N1245" s="20">
        <v>1.0</v>
      </c>
      <c r="O1245" s="18">
        <v>53.9</v>
      </c>
      <c r="P1245" s="20">
        <v>3.7</v>
      </c>
      <c r="Q1245" s="16">
        <v>45252.0</v>
      </c>
      <c r="R1245" s="16" t="s">
        <v>1819</v>
      </c>
      <c r="S1245" s="13" t="s">
        <v>45</v>
      </c>
      <c r="T1245" s="13" t="s">
        <v>66</v>
      </c>
      <c r="U1245" s="13" t="str">
        <f t="shared" si="1"/>
        <v>Moderate</v>
      </c>
      <c r="V1245" s="13" t="str">
        <f t="shared" si="2"/>
        <v>Median or Above</v>
      </c>
      <c r="W1245" s="13" t="str">
        <f t="shared" si="3"/>
        <v>13–24 Months</v>
      </c>
    </row>
    <row r="1246" hidden="1">
      <c r="A1246" s="13" t="s">
        <v>1388</v>
      </c>
      <c r="B1246" s="13" t="s">
        <v>118</v>
      </c>
      <c r="C1246" s="14">
        <v>67.0</v>
      </c>
      <c r="D1246" s="13" t="s">
        <v>69</v>
      </c>
      <c r="E1246" s="13" t="s">
        <v>70</v>
      </c>
      <c r="F1246" s="13" t="s">
        <v>62</v>
      </c>
      <c r="G1246" s="13" t="s">
        <v>63</v>
      </c>
      <c r="H1246" s="16">
        <v>45588.0</v>
      </c>
      <c r="I1246" s="14">
        <v>4.0</v>
      </c>
      <c r="J1246" s="13" t="s">
        <v>40</v>
      </c>
      <c r="K1246" s="13" t="s">
        <v>65</v>
      </c>
      <c r="L1246" s="14">
        <v>784.0</v>
      </c>
      <c r="M1246" s="18" t="s">
        <v>43</v>
      </c>
      <c r="N1246" s="20">
        <v>0.0</v>
      </c>
      <c r="O1246" s="18">
        <v>21.5</v>
      </c>
      <c r="P1246" s="20">
        <v>1.9</v>
      </c>
      <c r="Q1246" s="16">
        <v>45704.0</v>
      </c>
      <c r="R1246" s="16" t="s">
        <v>38</v>
      </c>
      <c r="S1246" s="13" t="s">
        <v>55</v>
      </c>
      <c r="T1246" s="13" t="s">
        <v>47</v>
      </c>
      <c r="U1246" s="13" t="str">
        <f t="shared" si="1"/>
        <v>Low</v>
      </c>
      <c r="V1246" s="13" t="str">
        <f t="shared" si="2"/>
        <v>Below Median</v>
      </c>
      <c r="W1246" s="13" t="str">
        <f t="shared" si="3"/>
        <v>0–12 Months</v>
      </c>
    </row>
    <row r="1247" hidden="1">
      <c r="A1247" s="13" t="s">
        <v>1820</v>
      </c>
      <c r="B1247" s="13" t="s">
        <v>152</v>
      </c>
      <c r="C1247" s="14">
        <v>47.0</v>
      </c>
      <c r="D1247" s="13" t="s">
        <v>85</v>
      </c>
      <c r="E1247" s="13" t="s">
        <v>111</v>
      </c>
      <c r="F1247" s="13" t="s">
        <v>62</v>
      </c>
      <c r="G1247" s="13" t="s">
        <v>80</v>
      </c>
      <c r="H1247" s="16">
        <v>45368.0</v>
      </c>
      <c r="I1247" s="14">
        <v>24.0</v>
      </c>
      <c r="J1247" s="13" t="s">
        <v>53</v>
      </c>
      <c r="K1247" s="13" t="s">
        <v>65</v>
      </c>
      <c r="L1247" s="14">
        <v>654.0</v>
      </c>
      <c r="M1247" s="18" t="s">
        <v>164</v>
      </c>
      <c r="N1247" s="20">
        <v>1.0</v>
      </c>
      <c r="O1247" s="18">
        <v>25.0</v>
      </c>
      <c r="P1247" s="20">
        <v>5.0</v>
      </c>
      <c r="Q1247" s="16">
        <v>45638.0</v>
      </c>
      <c r="R1247" s="16" t="s">
        <v>38</v>
      </c>
      <c r="S1247" s="13" t="s">
        <v>55</v>
      </c>
      <c r="T1247" s="13" t="s">
        <v>47</v>
      </c>
      <c r="U1247" s="13" t="str">
        <f t="shared" si="1"/>
        <v>High</v>
      </c>
      <c r="V1247" s="13" t="str">
        <f t="shared" si="2"/>
        <v>Median or Above</v>
      </c>
      <c r="W1247" s="13" t="str">
        <f t="shared" si="3"/>
        <v>13–24 Months</v>
      </c>
    </row>
    <row r="1248" hidden="1">
      <c r="A1248" s="13" t="s">
        <v>1441</v>
      </c>
      <c r="B1248" s="13" t="s">
        <v>163</v>
      </c>
      <c r="C1248" s="14">
        <v>27.0</v>
      </c>
      <c r="D1248" s="13" t="s">
        <v>60</v>
      </c>
      <c r="E1248" s="13" t="s">
        <v>97</v>
      </c>
      <c r="F1248" s="13" t="s">
        <v>37</v>
      </c>
      <c r="G1248" s="13" t="s">
        <v>80</v>
      </c>
      <c r="H1248" s="16">
        <v>45415.0</v>
      </c>
      <c r="I1248" s="14">
        <v>23.0</v>
      </c>
      <c r="J1248" s="13" t="s">
        <v>40</v>
      </c>
      <c r="K1248" s="13" t="s">
        <v>65</v>
      </c>
      <c r="L1248" s="14">
        <v>1618.0</v>
      </c>
      <c r="M1248" s="18" t="s">
        <v>46</v>
      </c>
      <c r="N1248" s="20">
        <v>2.0</v>
      </c>
      <c r="O1248" s="18">
        <v>26.6</v>
      </c>
      <c r="P1248" s="20">
        <v>5.0</v>
      </c>
      <c r="Q1248" s="16">
        <v>45596.0</v>
      </c>
      <c r="R1248" s="16" t="s">
        <v>38</v>
      </c>
      <c r="S1248" s="13" t="s">
        <v>55</v>
      </c>
      <c r="T1248" s="13" t="s">
        <v>47</v>
      </c>
      <c r="U1248" s="13" t="str">
        <f t="shared" si="1"/>
        <v>High</v>
      </c>
      <c r="V1248" s="13" t="str">
        <f t="shared" si="2"/>
        <v>Median or Above</v>
      </c>
      <c r="W1248" s="13" t="str">
        <f t="shared" si="3"/>
        <v>13–24 Months</v>
      </c>
    </row>
    <row r="1249" hidden="1">
      <c r="A1249" s="13" t="s">
        <v>1175</v>
      </c>
      <c r="B1249" s="13" t="s">
        <v>281</v>
      </c>
      <c r="C1249" s="14">
        <v>36.0</v>
      </c>
      <c r="D1249" s="13" t="s">
        <v>35</v>
      </c>
      <c r="E1249" s="13" t="s">
        <v>36</v>
      </c>
      <c r="F1249" s="13" t="s">
        <v>62</v>
      </c>
      <c r="G1249" s="13" t="s">
        <v>39</v>
      </c>
      <c r="H1249" s="16">
        <v>45085.0</v>
      </c>
      <c r="I1249" s="14">
        <v>14.0</v>
      </c>
      <c r="J1249" s="13" t="s">
        <v>64</v>
      </c>
      <c r="K1249" s="13" t="s">
        <v>41</v>
      </c>
      <c r="L1249" s="14">
        <v>839.0</v>
      </c>
      <c r="M1249" s="18" t="s">
        <v>46</v>
      </c>
      <c r="N1249" s="20">
        <v>1.0</v>
      </c>
      <c r="O1249" s="18">
        <v>17.4</v>
      </c>
      <c r="P1249" s="20">
        <v>3.7</v>
      </c>
      <c r="Q1249" s="16">
        <v>45519.0</v>
      </c>
      <c r="R1249" s="16" t="s">
        <v>984</v>
      </c>
      <c r="S1249" s="13" t="s">
        <v>45</v>
      </c>
      <c r="T1249" s="13" t="s">
        <v>104</v>
      </c>
      <c r="U1249" s="13" t="str">
        <f t="shared" si="1"/>
        <v>Moderate</v>
      </c>
      <c r="V1249" s="13" t="str">
        <f t="shared" si="2"/>
        <v>Below Median</v>
      </c>
      <c r="W1249" s="13" t="str">
        <f t="shared" si="3"/>
        <v>13–24 Months</v>
      </c>
    </row>
    <row r="1250" hidden="1">
      <c r="A1250" s="13" t="s">
        <v>1821</v>
      </c>
      <c r="B1250" s="13" t="s">
        <v>398</v>
      </c>
      <c r="C1250" s="14">
        <v>61.0</v>
      </c>
      <c r="D1250" s="13" t="s">
        <v>35</v>
      </c>
      <c r="E1250" s="13" t="s">
        <v>140</v>
      </c>
      <c r="F1250" s="13" t="s">
        <v>79</v>
      </c>
      <c r="G1250" s="13" t="s">
        <v>80</v>
      </c>
      <c r="H1250" s="16">
        <v>45969.0</v>
      </c>
      <c r="I1250" s="14">
        <v>40.0</v>
      </c>
      <c r="J1250" s="13" t="s">
        <v>64</v>
      </c>
      <c r="K1250" s="13" t="s">
        <v>81</v>
      </c>
      <c r="L1250" s="14">
        <v>2301.0</v>
      </c>
      <c r="M1250" s="18" t="s">
        <v>99</v>
      </c>
      <c r="N1250" s="20">
        <v>1.0</v>
      </c>
      <c r="O1250" s="18">
        <v>48.0</v>
      </c>
      <c r="P1250" s="20">
        <v>2.7</v>
      </c>
      <c r="Q1250" s="16">
        <v>46470.0</v>
      </c>
      <c r="R1250" s="16" t="s">
        <v>38</v>
      </c>
      <c r="S1250" s="13" t="s">
        <v>55</v>
      </c>
      <c r="T1250" s="13" t="s">
        <v>75</v>
      </c>
      <c r="U1250" s="13" t="str">
        <f t="shared" si="1"/>
        <v>Low</v>
      </c>
      <c r="V1250" s="13" t="str">
        <f t="shared" si="2"/>
        <v>Median or Above</v>
      </c>
      <c r="W1250" s="13" t="str">
        <f t="shared" si="3"/>
        <v>25–48 Months</v>
      </c>
    </row>
    <row r="1251" hidden="1">
      <c r="A1251" s="13" t="s">
        <v>1822</v>
      </c>
      <c r="B1251" s="13" t="s">
        <v>295</v>
      </c>
      <c r="C1251" s="14">
        <v>53.0</v>
      </c>
      <c r="D1251" s="13" t="s">
        <v>69</v>
      </c>
      <c r="E1251" s="13" t="s">
        <v>187</v>
      </c>
      <c r="F1251" s="13" t="s">
        <v>37</v>
      </c>
      <c r="G1251" s="13" t="s">
        <v>128</v>
      </c>
      <c r="H1251" s="16">
        <v>45052.0</v>
      </c>
      <c r="I1251" s="14">
        <v>9.0</v>
      </c>
      <c r="J1251" s="13" t="s">
        <v>40</v>
      </c>
      <c r="K1251" s="13" t="s">
        <v>41</v>
      </c>
      <c r="L1251" s="14">
        <v>1470.0</v>
      </c>
      <c r="M1251" s="18" t="s">
        <v>43</v>
      </c>
      <c r="N1251" s="20">
        <v>1.0</v>
      </c>
      <c r="O1251" s="18">
        <v>26.8</v>
      </c>
      <c r="P1251" s="20">
        <v>3.6</v>
      </c>
      <c r="Q1251" s="16">
        <v>45157.0</v>
      </c>
      <c r="R1251" s="16">
        <v>45181.0</v>
      </c>
      <c r="S1251" s="13" t="s">
        <v>45</v>
      </c>
      <c r="T1251" s="13" t="s">
        <v>47</v>
      </c>
      <c r="U1251" s="13" t="str">
        <f t="shared" si="1"/>
        <v>Moderate</v>
      </c>
      <c r="V1251" s="13" t="str">
        <f t="shared" si="2"/>
        <v>Median or Above</v>
      </c>
      <c r="W1251" s="13" t="str">
        <f t="shared" si="3"/>
        <v>0–12 Months</v>
      </c>
    </row>
    <row r="1252" hidden="1">
      <c r="A1252" s="13" t="s">
        <v>1824</v>
      </c>
      <c r="B1252" s="13" t="s">
        <v>308</v>
      </c>
      <c r="C1252" s="14">
        <v>42.0</v>
      </c>
      <c r="D1252" s="13" t="s">
        <v>69</v>
      </c>
      <c r="E1252" s="13" t="s">
        <v>70</v>
      </c>
      <c r="F1252" s="13" t="s">
        <v>37</v>
      </c>
      <c r="G1252" s="13" t="s">
        <v>39</v>
      </c>
      <c r="H1252" s="16">
        <v>44720.0</v>
      </c>
      <c r="I1252" s="14">
        <v>6.0</v>
      </c>
      <c r="J1252" s="13" t="s">
        <v>64</v>
      </c>
      <c r="K1252" s="13" t="s">
        <v>65</v>
      </c>
      <c r="L1252" s="14">
        <v>1683.0</v>
      </c>
      <c r="M1252" s="18" t="s">
        <v>98</v>
      </c>
      <c r="N1252" s="20">
        <v>1.0</v>
      </c>
      <c r="O1252" s="18">
        <v>22.7</v>
      </c>
      <c r="P1252" s="20">
        <v>3.2</v>
      </c>
      <c r="Q1252" s="16">
        <v>44857.0</v>
      </c>
      <c r="R1252" s="16" t="s">
        <v>38</v>
      </c>
      <c r="S1252" s="13" t="s">
        <v>55</v>
      </c>
      <c r="T1252" s="13" t="s">
        <v>72</v>
      </c>
      <c r="U1252" s="13" t="str">
        <f t="shared" si="1"/>
        <v>Moderate</v>
      </c>
      <c r="V1252" s="13" t="str">
        <f t="shared" si="2"/>
        <v>Below Median</v>
      </c>
      <c r="W1252" s="13" t="str">
        <f t="shared" si="3"/>
        <v>0–12 Months</v>
      </c>
    </row>
    <row r="1253">
      <c r="A1253" s="13" t="s">
        <v>1394</v>
      </c>
      <c r="B1253" s="13" t="s">
        <v>312</v>
      </c>
      <c r="C1253" s="14">
        <v>42.0</v>
      </c>
      <c r="D1253" s="13" t="s">
        <v>85</v>
      </c>
      <c r="E1253" s="13" t="s">
        <v>92</v>
      </c>
      <c r="F1253" s="13" t="s">
        <v>37</v>
      </c>
      <c r="G1253" s="13" t="s">
        <v>63</v>
      </c>
      <c r="H1253" s="16">
        <v>45490.0</v>
      </c>
      <c r="I1253" s="14">
        <v>26.0</v>
      </c>
      <c r="J1253" s="13" t="s">
        <v>40</v>
      </c>
      <c r="K1253" s="13" t="s">
        <v>65</v>
      </c>
      <c r="L1253" s="14">
        <v>1273.0</v>
      </c>
      <c r="M1253" s="18" t="s">
        <v>98</v>
      </c>
      <c r="N1253" s="20">
        <v>0.0</v>
      </c>
      <c r="O1253" s="18">
        <v>36.2</v>
      </c>
      <c r="P1253" s="20">
        <v>5.0</v>
      </c>
      <c r="Q1253" s="16">
        <v>46290.0</v>
      </c>
      <c r="R1253" s="16" t="s">
        <v>38</v>
      </c>
      <c r="S1253" s="13" t="s">
        <v>230</v>
      </c>
      <c r="T1253" s="13" t="s">
        <v>72</v>
      </c>
      <c r="U1253" s="13" t="str">
        <f t="shared" si="1"/>
        <v>High</v>
      </c>
      <c r="V1253" s="13" t="str">
        <f t="shared" si="2"/>
        <v>Median or Above</v>
      </c>
      <c r="W1253" s="13" t="str">
        <f t="shared" si="3"/>
        <v>25–48 Months</v>
      </c>
    </row>
    <row r="1254" hidden="1">
      <c r="A1254" s="13" t="s">
        <v>1825</v>
      </c>
      <c r="B1254" s="13" t="s">
        <v>78</v>
      </c>
      <c r="C1254" s="14">
        <v>24.0</v>
      </c>
      <c r="D1254" s="13" t="s">
        <v>85</v>
      </c>
      <c r="E1254" s="13" t="s">
        <v>92</v>
      </c>
      <c r="F1254" s="13" t="s">
        <v>62</v>
      </c>
      <c r="G1254" s="13" t="s">
        <v>52</v>
      </c>
      <c r="H1254" s="16">
        <v>45779.0</v>
      </c>
      <c r="I1254" s="14">
        <v>33.0</v>
      </c>
      <c r="J1254" s="13" t="s">
        <v>40</v>
      </c>
      <c r="K1254" s="13" t="s">
        <v>65</v>
      </c>
      <c r="L1254" s="14">
        <v>531.0</v>
      </c>
      <c r="M1254" s="18" t="s">
        <v>98</v>
      </c>
      <c r="N1254" s="20" t="s">
        <v>38</v>
      </c>
      <c r="O1254" s="18">
        <v>12.2</v>
      </c>
      <c r="P1254" s="20">
        <v>3.3</v>
      </c>
      <c r="Q1254" s="16">
        <v>46716.0</v>
      </c>
      <c r="R1254" s="16" t="s">
        <v>38</v>
      </c>
      <c r="S1254" s="13" t="s">
        <v>55</v>
      </c>
      <c r="T1254" s="13" t="s">
        <v>72</v>
      </c>
      <c r="U1254" s="13" t="str">
        <f t="shared" si="1"/>
        <v>Moderate</v>
      </c>
      <c r="V1254" s="13" t="str">
        <f t="shared" si="2"/>
        <v>Below Median</v>
      </c>
      <c r="W1254" s="13" t="str">
        <f t="shared" si="3"/>
        <v>25–48 Months</v>
      </c>
    </row>
    <row r="1255" hidden="1">
      <c r="A1255" s="13" t="s">
        <v>1344</v>
      </c>
      <c r="B1255" s="13" t="s">
        <v>605</v>
      </c>
      <c r="C1255" s="14">
        <v>39.0</v>
      </c>
      <c r="D1255" s="13" t="s">
        <v>35</v>
      </c>
      <c r="E1255" s="13" t="s">
        <v>36</v>
      </c>
      <c r="F1255" s="13" t="s">
        <v>37</v>
      </c>
      <c r="G1255" s="13" t="s">
        <v>128</v>
      </c>
      <c r="H1255" s="16">
        <v>45828.0</v>
      </c>
      <c r="I1255" s="14">
        <v>20.0</v>
      </c>
      <c r="J1255" s="13" t="s">
        <v>53</v>
      </c>
      <c r="K1255" s="13" t="s">
        <v>81</v>
      </c>
      <c r="L1255" s="14">
        <v>1188.0</v>
      </c>
      <c r="M1255" s="18" t="s">
        <v>98</v>
      </c>
      <c r="N1255" s="20">
        <v>1.0</v>
      </c>
      <c r="O1255" s="18">
        <v>39.7</v>
      </c>
      <c r="P1255" s="20">
        <v>3.0</v>
      </c>
      <c r="Q1255" s="16">
        <v>46246.0</v>
      </c>
      <c r="R1255" s="16" t="s">
        <v>38</v>
      </c>
      <c r="S1255" s="13" t="s">
        <v>55</v>
      </c>
      <c r="T1255" s="13" t="s">
        <v>75</v>
      </c>
      <c r="U1255" s="13" t="str">
        <f t="shared" si="1"/>
        <v>Moderate</v>
      </c>
      <c r="V1255" s="13" t="str">
        <f t="shared" si="2"/>
        <v>Median or Above</v>
      </c>
      <c r="W1255" s="13" t="str">
        <f t="shared" si="3"/>
        <v>13–24 Months</v>
      </c>
    </row>
    <row r="1256" hidden="1">
      <c r="A1256" s="13" t="s">
        <v>1662</v>
      </c>
      <c r="B1256" s="13" t="s">
        <v>340</v>
      </c>
      <c r="C1256" s="14">
        <v>36.0</v>
      </c>
      <c r="D1256" s="13" t="s">
        <v>60</v>
      </c>
      <c r="E1256" s="13" t="s">
        <v>133</v>
      </c>
      <c r="F1256" s="13" t="s">
        <v>62</v>
      </c>
      <c r="G1256" s="13" t="s">
        <v>128</v>
      </c>
      <c r="H1256" s="16">
        <v>45052.0</v>
      </c>
      <c r="I1256" s="14">
        <v>1.0</v>
      </c>
      <c r="J1256" s="13" t="s">
        <v>40</v>
      </c>
      <c r="K1256" s="13" t="s">
        <v>65</v>
      </c>
      <c r="L1256" s="14">
        <v>640.0</v>
      </c>
      <c r="M1256" s="18" t="s">
        <v>43</v>
      </c>
      <c r="N1256" s="20">
        <v>3.0</v>
      </c>
      <c r="O1256" s="18">
        <v>16.8</v>
      </c>
      <c r="P1256" s="20">
        <v>3.0</v>
      </c>
      <c r="Q1256" s="16">
        <v>45085.0</v>
      </c>
      <c r="R1256" s="16" t="s">
        <v>38</v>
      </c>
      <c r="S1256" s="13" t="s">
        <v>55</v>
      </c>
      <c r="T1256" s="13" t="s">
        <v>104</v>
      </c>
      <c r="U1256" s="13" t="str">
        <f t="shared" si="1"/>
        <v>Moderate</v>
      </c>
      <c r="V1256" s="13" t="str">
        <f t="shared" si="2"/>
        <v>Below Median</v>
      </c>
      <c r="W1256" s="13" t="str">
        <f t="shared" si="3"/>
        <v>0–12 Months</v>
      </c>
    </row>
    <row r="1257" hidden="1">
      <c r="A1257" s="13" t="s">
        <v>768</v>
      </c>
      <c r="B1257" s="13" t="s">
        <v>224</v>
      </c>
      <c r="C1257" s="14">
        <v>32.0</v>
      </c>
      <c r="D1257" s="13" t="s">
        <v>35</v>
      </c>
      <c r="E1257" s="13" t="s">
        <v>161</v>
      </c>
      <c r="F1257" s="13" t="s">
        <v>37</v>
      </c>
      <c r="G1257" s="13" t="s">
        <v>80</v>
      </c>
      <c r="H1257" s="16">
        <v>44962.0</v>
      </c>
      <c r="I1257" s="14">
        <v>16.0</v>
      </c>
      <c r="J1257" s="13" t="s">
        <v>64</v>
      </c>
      <c r="K1257" s="13" t="s">
        <v>41</v>
      </c>
      <c r="L1257" s="14">
        <v>1424.0</v>
      </c>
      <c r="M1257" s="18" t="s">
        <v>164</v>
      </c>
      <c r="N1257" s="20">
        <v>5.0</v>
      </c>
      <c r="O1257" s="18">
        <v>17.0</v>
      </c>
      <c r="P1257" s="20">
        <v>3.3</v>
      </c>
      <c r="Q1257" s="16">
        <v>45031.0</v>
      </c>
      <c r="R1257" s="16">
        <v>45146.0</v>
      </c>
      <c r="S1257" s="13" t="s">
        <v>45</v>
      </c>
      <c r="T1257" s="13" t="s">
        <v>75</v>
      </c>
      <c r="U1257" s="13" t="str">
        <f t="shared" si="1"/>
        <v>Moderate</v>
      </c>
      <c r="V1257" s="13" t="str">
        <f t="shared" si="2"/>
        <v>Below Median</v>
      </c>
      <c r="W1257" s="13" t="str">
        <f t="shared" si="3"/>
        <v>13–24 Months</v>
      </c>
    </row>
    <row r="1258" hidden="1">
      <c r="A1258" s="13" t="s">
        <v>1827</v>
      </c>
      <c r="B1258" s="13" t="s">
        <v>639</v>
      </c>
      <c r="C1258" s="14">
        <v>52.0</v>
      </c>
      <c r="D1258" s="13" t="s">
        <v>85</v>
      </c>
      <c r="E1258" s="13" t="s">
        <v>111</v>
      </c>
      <c r="F1258" s="13" t="s">
        <v>37</v>
      </c>
      <c r="G1258" s="13" t="s">
        <v>120</v>
      </c>
      <c r="H1258" s="16">
        <v>45024.0</v>
      </c>
      <c r="I1258" s="14">
        <v>7.0</v>
      </c>
      <c r="J1258" s="13" t="s">
        <v>53</v>
      </c>
      <c r="K1258" s="13" t="s">
        <v>41</v>
      </c>
      <c r="L1258" s="14">
        <v>1017.0</v>
      </c>
      <c r="M1258" s="18" t="s">
        <v>164</v>
      </c>
      <c r="N1258" s="20">
        <v>0.0</v>
      </c>
      <c r="O1258" s="18">
        <v>27.7</v>
      </c>
      <c r="P1258" s="20">
        <v>2.1</v>
      </c>
      <c r="Q1258" s="16">
        <v>45170.0</v>
      </c>
      <c r="R1258" s="16" t="s">
        <v>1828</v>
      </c>
      <c r="S1258" s="13" t="s">
        <v>45</v>
      </c>
      <c r="T1258" s="13" t="s">
        <v>47</v>
      </c>
      <c r="U1258" s="13" t="str">
        <f t="shared" si="1"/>
        <v>Low</v>
      </c>
      <c r="V1258" s="13" t="str">
        <f t="shared" si="2"/>
        <v>Median or Above</v>
      </c>
      <c r="W1258" s="13" t="str">
        <f t="shared" si="3"/>
        <v>0–12 Months</v>
      </c>
    </row>
    <row r="1259" hidden="1">
      <c r="A1259" s="13" t="s">
        <v>1553</v>
      </c>
      <c r="B1259" s="13" t="s">
        <v>50</v>
      </c>
      <c r="C1259" s="14">
        <v>51.0</v>
      </c>
      <c r="D1259" s="13" t="s">
        <v>35</v>
      </c>
      <c r="E1259" s="13" t="s">
        <v>161</v>
      </c>
      <c r="F1259" s="13" t="s">
        <v>37</v>
      </c>
      <c r="G1259" s="13" t="s">
        <v>120</v>
      </c>
      <c r="H1259" s="16">
        <v>44751.0</v>
      </c>
      <c r="I1259" s="14">
        <v>36.0</v>
      </c>
      <c r="J1259" s="13" t="s">
        <v>53</v>
      </c>
      <c r="K1259" s="13" t="s">
        <v>65</v>
      </c>
      <c r="L1259" s="14">
        <v>1213.0</v>
      </c>
      <c r="M1259" s="18" t="s">
        <v>98</v>
      </c>
      <c r="N1259" s="20">
        <v>0.0</v>
      </c>
      <c r="O1259" s="18">
        <v>22.1</v>
      </c>
      <c r="P1259" s="20">
        <v>4.2</v>
      </c>
      <c r="Q1259" s="16">
        <v>45333.0</v>
      </c>
      <c r="R1259" s="16" t="s">
        <v>38</v>
      </c>
      <c r="S1259" s="13" t="s">
        <v>55</v>
      </c>
      <c r="T1259" s="13" t="s">
        <v>72</v>
      </c>
      <c r="U1259" s="13" t="str">
        <f t="shared" si="1"/>
        <v>Moderate</v>
      </c>
      <c r="V1259" s="13" t="str">
        <f t="shared" si="2"/>
        <v>Below Median</v>
      </c>
      <c r="W1259" s="13" t="str">
        <f t="shared" si="3"/>
        <v>25–48 Months</v>
      </c>
    </row>
    <row r="1260" hidden="1">
      <c r="A1260" s="13" t="s">
        <v>1638</v>
      </c>
      <c r="B1260" s="13" t="s">
        <v>68</v>
      </c>
      <c r="C1260" s="14">
        <v>33.0</v>
      </c>
      <c r="D1260" s="13" t="s">
        <v>85</v>
      </c>
      <c r="E1260" s="13" t="s">
        <v>292</v>
      </c>
      <c r="F1260" s="13" t="s">
        <v>62</v>
      </c>
      <c r="G1260" s="13" t="s">
        <v>39</v>
      </c>
      <c r="H1260" s="16">
        <v>45878.0</v>
      </c>
      <c r="I1260" s="14">
        <v>11.0</v>
      </c>
      <c r="J1260" s="13" t="s">
        <v>53</v>
      </c>
      <c r="K1260" s="13" t="s">
        <v>65</v>
      </c>
      <c r="L1260" s="14">
        <v>845.0</v>
      </c>
      <c r="M1260" s="18" t="s">
        <v>98</v>
      </c>
      <c r="N1260" s="20">
        <v>1.0</v>
      </c>
      <c r="O1260" s="18">
        <v>10.8</v>
      </c>
      <c r="P1260" s="20">
        <v>5.0</v>
      </c>
      <c r="Q1260" s="16">
        <v>46158.0</v>
      </c>
      <c r="R1260" s="16">
        <v>46177.0</v>
      </c>
      <c r="S1260" s="13" t="s">
        <v>45</v>
      </c>
      <c r="T1260" s="13" t="s">
        <v>75</v>
      </c>
      <c r="U1260" s="13" t="str">
        <f t="shared" si="1"/>
        <v>High</v>
      </c>
      <c r="V1260" s="13" t="str">
        <f t="shared" si="2"/>
        <v>Below Median</v>
      </c>
      <c r="W1260" s="13" t="str">
        <f t="shared" si="3"/>
        <v>0–12 Months</v>
      </c>
    </row>
    <row r="1261" hidden="1">
      <c r="A1261" s="13" t="s">
        <v>677</v>
      </c>
      <c r="B1261" s="13" t="s">
        <v>295</v>
      </c>
      <c r="C1261" s="14">
        <v>28.0</v>
      </c>
      <c r="D1261" s="13" t="s">
        <v>85</v>
      </c>
      <c r="E1261" s="13" t="s">
        <v>87</v>
      </c>
      <c r="F1261" s="13" t="s">
        <v>37</v>
      </c>
      <c r="G1261" s="13" t="s">
        <v>120</v>
      </c>
      <c r="H1261" s="16">
        <v>44947.0</v>
      </c>
      <c r="I1261" s="14">
        <v>13.0</v>
      </c>
      <c r="J1261" s="13" t="s">
        <v>53</v>
      </c>
      <c r="K1261" s="13" t="s">
        <v>81</v>
      </c>
      <c r="L1261" s="14">
        <v>1284.0</v>
      </c>
      <c r="M1261" s="18" t="s">
        <v>38</v>
      </c>
      <c r="N1261" s="20">
        <v>1.0</v>
      </c>
      <c r="O1261" s="18">
        <v>38.5</v>
      </c>
      <c r="P1261" s="20">
        <v>4.5</v>
      </c>
      <c r="Q1261" s="16">
        <v>44988.0</v>
      </c>
      <c r="R1261" s="16" t="s">
        <v>38</v>
      </c>
      <c r="S1261" s="13" t="s">
        <v>55</v>
      </c>
      <c r="T1261" s="13" t="s">
        <v>104</v>
      </c>
      <c r="U1261" s="13" t="str">
        <f t="shared" si="1"/>
        <v>Moderate</v>
      </c>
      <c r="V1261" s="13" t="str">
        <f t="shared" si="2"/>
        <v>Median or Above</v>
      </c>
      <c r="W1261" s="13" t="str">
        <f t="shared" si="3"/>
        <v>13–24 Months</v>
      </c>
    </row>
    <row r="1262" hidden="1">
      <c r="A1262" s="13" t="s">
        <v>1830</v>
      </c>
      <c r="B1262" s="13" t="s">
        <v>106</v>
      </c>
      <c r="C1262" s="14">
        <v>23.0</v>
      </c>
      <c r="D1262" s="13" t="s">
        <v>60</v>
      </c>
      <c r="E1262" s="13" t="s">
        <v>107</v>
      </c>
      <c r="F1262" s="13" t="s">
        <v>37</v>
      </c>
      <c r="G1262" s="13" t="s">
        <v>52</v>
      </c>
      <c r="H1262" s="16">
        <v>44655.0</v>
      </c>
      <c r="I1262" s="14">
        <v>3.0</v>
      </c>
      <c r="J1262" s="13" t="s">
        <v>53</v>
      </c>
      <c r="K1262" s="13" t="s">
        <v>81</v>
      </c>
      <c r="L1262" s="14">
        <v>1494.0</v>
      </c>
      <c r="M1262" s="18" t="s">
        <v>173</v>
      </c>
      <c r="N1262" s="20">
        <v>0.0</v>
      </c>
      <c r="O1262" s="18">
        <v>23.1</v>
      </c>
      <c r="P1262" s="20">
        <v>2.7</v>
      </c>
      <c r="Q1262" s="16">
        <v>44752.0</v>
      </c>
      <c r="R1262" s="16" t="s">
        <v>38</v>
      </c>
      <c r="S1262" s="13" t="s">
        <v>55</v>
      </c>
      <c r="T1262" s="13" t="s">
        <v>72</v>
      </c>
      <c r="U1262" s="13" t="str">
        <f t="shared" si="1"/>
        <v>Low</v>
      </c>
      <c r="V1262" s="13" t="str">
        <f t="shared" si="2"/>
        <v>Below Median</v>
      </c>
      <c r="W1262" s="13" t="str">
        <f t="shared" si="3"/>
        <v>0–12 Months</v>
      </c>
    </row>
    <row r="1263" hidden="1">
      <c r="A1263" s="13" t="s">
        <v>1705</v>
      </c>
      <c r="B1263" s="13" t="s">
        <v>135</v>
      </c>
      <c r="C1263" s="14">
        <v>50.0</v>
      </c>
      <c r="D1263" s="13" t="s">
        <v>69</v>
      </c>
      <c r="E1263" s="13" t="s">
        <v>70</v>
      </c>
      <c r="F1263" s="13" t="s">
        <v>62</v>
      </c>
      <c r="G1263" s="13" t="s">
        <v>80</v>
      </c>
      <c r="H1263" s="16">
        <v>45178.0</v>
      </c>
      <c r="I1263" s="14">
        <v>15.0</v>
      </c>
      <c r="J1263" s="13" t="s">
        <v>40</v>
      </c>
      <c r="K1263" s="13" t="s">
        <v>41</v>
      </c>
      <c r="L1263" s="14">
        <v>853.0</v>
      </c>
      <c r="M1263" s="18" t="s">
        <v>43</v>
      </c>
      <c r="N1263" s="20">
        <v>2.0</v>
      </c>
      <c r="O1263" s="18">
        <v>19.7</v>
      </c>
      <c r="P1263" s="20">
        <v>3.8</v>
      </c>
      <c r="Q1263" s="16">
        <v>45299.0</v>
      </c>
      <c r="R1263" s="16">
        <v>45333.0</v>
      </c>
      <c r="S1263" s="13" t="s">
        <v>45</v>
      </c>
      <c r="T1263" s="13" t="s">
        <v>47</v>
      </c>
      <c r="U1263" s="13" t="str">
        <f t="shared" si="1"/>
        <v>Moderate</v>
      </c>
      <c r="V1263" s="13" t="str">
        <f t="shared" si="2"/>
        <v>Below Median</v>
      </c>
      <c r="W1263" s="13" t="str">
        <f t="shared" si="3"/>
        <v>13–24 Months</v>
      </c>
    </row>
    <row r="1264" hidden="1">
      <c r="A1264" s="13" t="s">
        <v>2119</v>
      </c>
      <c r="B1264" s="13" t="s">
        <v>163</v>
      </c>
      <c r="C1264" s="14">
        <v>41.0</v>
      </c>
      <c r="D1264" s="13" t="s">
        <v>69</v>
      </c>
      <c r="E1264" s="13" t="s">
        <v>119</v>
      </c>
      <c r="F1264" s="13" t="s">
        <v>37</v>
      </c>
      <c r="G1264" s="13" t="s">
        <v>210</v>
      </c>
      <c r="H1264" s="16">
        <v>44877.0</v>
      </c>
      <c r="I1264" s="14">
        <v>34.0</v>
      </c>
      <c r="J1264" s="13" t="s">
        <v>40</v>
      </c>
      <c r="K1264" s="13" t="s">
        <v>81</v>
      </c>
      <c r="L1264" s="14">
        <v>1737.0</v>
      </c>
      <c r="M1264" s="18" t="s">
        <v>43</v>
      </c>
      <c r="N1264" s="20">
        <v>0.0</v>
      </c>
      <c r="O1264" s="18">
        <v>32.6</v>
      </c>
      <c r="P1264" s="20">
        <v>4.1</v>
      </c>
      <c r="Q1264" s="16">
        <v>45268.0</v>
      </c>
      <c r="R1264" s="16" t="s">
        <v>1309</v>
      </c>
      <c r="S1264" s="13" t="s">
        <v>45</v>
      </c>
      <c r="T1264" s="13" t="s">
        <v>72</v>
      </c>
      <c r="U1264" s="13" t="str">
        <f t="shared" si="1"/>
        <v>Moderate</v>
      </c>
      <c r="V1264" s="13" t="str">
        <f t="shared" si="2"/>
        <v>Median or Above</v>
      </c>
      <c r="W1264" s="13" t="str">
        <f t="shared" si="3"/>
        <v>25–48 Months</v>
      </c>
    </row>
    <row r="1265" hidden="1">
      <c r="A1265" s="13" t="s">
        <v>1833</v>
      </c>
      <c r="B1265" s="13" t="s">
        <v>145</v>
      </c>
      <c r="C1265" s="14">
        <v>19.0</v>
      </c>
      <c r="D1265" s="13" t="s">
        <v>60</v>
      </c>
      <c r="E1265" s="13" t="s">
        <v>97</v>
      </c>
      <c r="F1265" s="13" t="s">
        <v>79</v>
      </c>
      <c r="G1265" s="13" t="s">
        <v>39</v>
      </c>
      <c r="H1265" s="16">
        <v>44908.0</v>
      </c>
      <c r="I1265" s="14">
        <v>10.0</v>
      </c>
      <c r="J1265" s="13" t="s">
        <v>53</v>
      </c>
      <c r="K1265" s="13" t="s">
        <v>65</v>
      </c>
      <c r="L1265" s="14">
        <v>2463.0</v>
      </c>
      <c r="M1265" s="18" t="s">
        <v>46</v>
      </c>
      <c r="N1265" s="20">
        <v>2.0</v>
      </c>
      <c r="O1265" s="18">
        <v>36.0</v>
      </c>
      <c r="P1265" s="20">
        <v>4.0</v>
      </c>
      <c r="Q1265" s="16">
        <v>45015.0</v>
      </c>
      <c r="R1265" s="16" t="s">
        <v>38</v>
      </c>
      <c r="S1265" s="13" t="s">
        <v>55</v>
      </c>
      <c r="T1265" s="13" t="s">
        <v>75</v>
      </c>
      <c r="U1265" s="13" t="str">
        <f t="shared" si="1"/>
        <v>Moderate</v>
      </c>
      <c r="V1265" s="13" t="str">
        <f t="shared" si="2"/>
        <v>Median or Above</v>
      </c>
      <c r="W1265" s="13" t="str">
        <f t="shared" si="3"/>
        <v>0–12 Months</v>
      </c>
    </row>
    <row r="1266" hidden="1">
      <c r="A1266" s="13" t="s">
        <v>1834</v>
      </c>
      <c r="B1266" s="13" t="s">
        <v>303</v>
      </c>
      <c r="C1266" s="14">
        <v>54.0</v>
      </c>
      <c r="D1266" s="13" t="s">
        <v>69</v>
      </c>
      <c r="E1266" s="13" t="s">
        <v>177</v>
      </c>
      <c r="F1266" s="13" t="s">
        <v>62</v>
      </c>
      <c r="G1266" s="13" t="s">
        <v>39</v>
      </c>
      <c r="H1266" s="16">
        <v>45428.0</v>
      </c>
      <c r="I1266" s="14">
        <v>28.0</v>
      </c>
      <c r="J1266" s="13" t="s">
        <v>53</v>
      </c>
      <c r="K1266" s="13" t="s">
        <v>41</v>
      </c>
      <c r="L1266" s="14">
        <v>678.0</v>
      </c>
      <c r="M1266" s="18" t="s">
        <v>164</v>
      </c>
      <c r="N1266" s="20">
        <v>0.0</v>
      </c>
      <c r="O1266" s="18">
        <v>21.5</v>
      </c>
      <c r="P1266" s="20">
        <v>4.4</v>
      </c>
      <c r="Q1266" s="16">
        <v>45844.0</v>
      </c>
      <c r="R1266" s="16" t="s">
        <v>38</v>
      </c>
      <c r="S1266" s="13" t="s">
        <v>55</v>
      </c>
      <c r="T1266" s="13" t="s">
        <v>66</v>
      </c>
      <c r="U1266" s="13" t="str">
        <f t="shared" si="1"/>
        <v>Moderate</v>
      </c>
      <c r="V1266" s="13" t="str">
        <f t="shared" si="2"/>
        <v>Below Median</v>
      </c>
      <c r="W1266" s="13" t="str">
        <f t="shared" si="3"/>
        <v>25–48 Months</v>
      </c>
    </row>
    <row r="1267" hidden="1">
      <c r="A1267" s="13" t="s">
        <v>780</v>
      </c>
      <c r="B1267" s="13" t="s">
        <v>235</v>
      </c>
      <c r="C1267" s="14">
        <v>28.0</v>
      </c>
      <c r="D1267" s="13" t="s">
        <v>85</v>
      </c>
      <c r="E1267" s="13" t="s">
        <v>87</v>
      </c>
      <c r="F1267" s="13" t="s">
        <v>37</v>
      </c>
      <c r="G1267" s="13" t="s">
        <v>63</v>
      </c>
      <c r="H1267" s="16">
        <v>45597.0</v>
      </c>
      <c r="I1267" s="14">
        <v>11.0</v>
      </c>
      <c r="J1267" s="13" t="s">
        <v>53</v>
      </c>
      <c r="K1267" s="13" t="s">
        <v>41</v>
      </c>
      <c r="L1267" s="14">
        <v>1389.0</v>
      </c>
      <c r="M1267" s="18" t="s">
        <v>99</v>
      </c>
      <c r="N1267" s="20">
        <v>0.0</v>
      </c>
      <c r="O1267" s="18">
        <v>54.2</v>
      </c>
      <c r="P1267" s="20">
        <v>4.2</v>
      </c>
      <c r="Q1267" s="16">
        <v>45657.0</v>
      </c>
      <c r="R1267" s="16">
        <v>45516.0</v>
      </c>
      <c r="S1267" s="13" t="s">
        <v>45</v>
      </c>
      <c r="T1267" s="13" t="s">
        <v>72</v>
      </c>
      <c r="U1267" s="13" t="str">
        <f t="shared" si="1"/>
        <v>Moderate</v>
      </c>
      <c r="V1267" s="13" t="str">
        <f t="shared" si="2"/>
        <v>Median or Above</v>
      </c>
      <c r="W1267" s="13" t="str">
        <f t="shared" si="3"/>
        <v>0–12 Months</v>
      </c>
    </row>
    <row r="1268" hidden="1">
      <c r="A1268" s="13" t="s">
        <v>1836</v>
      </c>
      <c r="B1268" s="13" t="s">
        <v>139</v>
      </c>
      <c r="C1268" s="14">
        <v>49.0</v>
      </c>
      <c r="D1268" s="13" t="s">
        <v>69</v>
      </c>
      <c r="E1268" s="13" t="s">
        <v>187</v>
      </c>
      <c r="F1268" s="13" t="s">
        <v>37</v>
      </c>
      <c r="G1268" s="13" t="s">
        <v>128</v>
      </c>
      <c r="H1268" s="16">
        <v>45571.0</v>
      </c>
      <c r="I1268" s="14">
        <v>43.0</v>
      </c>
      <c r="J1268" s="13" t="s">
        <v>40</v>
      </c>
      <c r="K1268" s="13" t="s">
        <v>65</v>
      </c>
      <c r="L1268" s="14">
        <v>1444.0</v>
      </c>
      <c r="M1268" s="18" t="s">
        <v>43</v>
      </c>
      <c r="N1268" s="20">
        <v>0.0</v>
      </c>
      <c r="O1268" s="18">
        <v>34.5</v>
      </c>
      <c r="P1268" s="20">
        <v>2.7</v>
      </c>
      <c r="Q1268" s="16">
        <v>46117.0</v>
      </c>
      <c r="R1268" s="16">
        <v>46457.0</v>
      </c>
      <c r="S1268" s="13" t="s">
        <v>45</v>
      </c>
      <c r="T1268" s="13" t="s">
        <v>75</v>
      </c>
      <c r="U1268" s="13" t="str">
        <f t="shared" si="1"/>
        <v>Low</v>
      </c>
      <c r="V1268" s="13" t="str">
        <f t="shared" si="2"/>
        <v>Median or Above</v>
      </c>
      <c r="W1268" s="13" t="str">
        <f t="shared" si="3"/>
        <v>25–48 Months</v>
      </c>
    </row>
    <row r="1269" hidden="1">
      <c r="A1269" s="13" t="s">
        <v>201</v>
      </c>
      <c r="B1269" s="13" t="s">
        <v>736</v>
      </c>
      <c r="C1269" s="14">
        <v>35.0</v>
      </c>
      <c r="D1269" s="13" t="s">
        <v>60</v>
      </c>
      <c r="E1269" s="13" t="s">
        <v>97</v>
      </c>
      <c r="F1269" s="13" t="s">
        <v>62</v>
      </c>
      <c r="G1269" s="13" t="s">
        <v>39</v>
      </c>
      <c r="H1269" s="16">
        <v>45976.0</v>
      </c>
      <c r="I1269" s="14">
        <v>10.0</v>
      </c>
      <c r="J1269" s="13" t="s">
        <v>40</v>
      </c>
      <c r="K1269" s="13" t="s">
        <v>65</v>
      </c>
      <c r="L1269" s="14">
        <v>581.0</v>
      </c>
      <c r="M1269" s="18" t="s">
        <v>99</v>
      </c>
      <c r="N1269" s="20">
        <v>1.0</v>
      </c>
      <c r="O1269" s="18">
        <v>23.4</v>
      </c>
      <c r="P1269" s="20">
        <v>2.2</v>
      </c>
      <c r="Q1269" s="16">
        <v>45994.0</v>
      </c>
      <c r="R1269" s="16" t="s">
        <v>38</v>
      </c>
      <c r="S1269" s="13" t="s">
        <v>55</v>
      </c>
      <c r="T1269" s="13" t="s">
        <v>66</v>
      </c>
      <c r="U1269" s="13" t="str">
        <f t="shared" si="1"/>
        <v>Low</v>
      </c>
      <c r="V1269" s="13" t="str">
        <f t="shared" si="2"/>
        <v>Below Median</v>
      </c>
      <c r="W1269" s="13" t="str">
        <f t="shared" si="3"/>
        <v>0–12 Months</v>
      </c>
    </row>
    <row r="1270" hidden="1">
      <c r="A1270" s="13" t="s">
        <v>1838</v>
      </c>
      <c r="B1270" s="13" t="s">
        <v>202</v>
      </c>
      <c r="C1270" s="14">
        <v>34.0</v>
      </c>
      <c r="D1270" s="13" t="s">
        <v>69</v>
      </c>
      <c r="E1270" s="13" t="s">
        <v>187</v>
      </c>
      <c r="F1270" s="13" t="s">
        <v>62</v>
      </c>
      <c r="G1270" s="13" t="s">
        <v>210</v>
      </c>
      <c r="H1270" s="16">
        <v>45391.0</v>
      </c>
      <c r="I1270" s="14">
        <v>4.0</v>
      </c>
      <c r="J1270" s="13" t="s">
        <v>64</v>
      </c>
      <c r="K1270" s="13" t="s">
        <v>81</v>
      </c>
      <c r="L1270" s="14">
        <v>815.0</v>
      </c>
      <c r="M1270" s="18" t="s">
        <v>98</v>
      </c>
      <c r="N1270" s="20">
        <v>0.0</v>
      </c>
      <c r="O1270" s="18">
        <v>24.3</v>
      </c>
      <c r="P1270" s="20">
        <v>2.9</v>
      </c>
      <c r="Q1270" s="16">
        <v>45496.0</v>
      </c>
      <c r="R1270" s="16" t="s">
        <v>38</v>
      </c>
      <c r="S1270" s="13" t="s">
        <v>55</v>
      </c>
      <c r="T1270" s="13" t="s">
        <v>75</v>
      </c>
      <c r="U1270" s="13" t="str">
        <f t="shared" si="1"/>
        <v>Low</v>
      </c>
      <c r="V1270" s="13" t="str">
        <f t="shared" si="2"/>
        <v>Median or Above</v>
      </c>
      <c r="W1270" s="13" t="str">
        <f t="shared" si="3"/>
        <v>0–12 Months</v>
      </c>
    </row>
    <row r="1271" hidden="1">
      <c r="A1271" s="13" t="s">
        <v>1839</v>
      </c>
      <c r="B1271" s="13" t="s">
        <v>257</v>
      </c>
      <c r="C1271" s="14">
        <v>33.0</v>
      </c>
      <c r="D1271" s="13" t="s">
        <v>35</v>
      </c>
      <c r="E1271" s="13" t="s">
        <v>36</v>
      </c>
      <c r="F1271" s="13" t="s">
        <v>37</v>
      </c>
      <c r="G1271" s="13" t="s">
        <v>63</v>
      </c>
      <c r="H1271" s="16">
        <v>45374.0</v>
      </c>
      <c r="I1271" s="14">
        <v>44.0</v>
      </c>
      <c r="J1271" s="13" t="s">
        <v>64</v>
      </c>
      <c r="K1271" s="13" t="s">
        <v>65</v>
      </c>
      <c r="L1271" s="14">
        <v>1106.0</v>
      </c>
      <c r="M1271" s="18" t="s">
        <v>46</v>
      </c>
      <c r="N1271" s="20">
        <v>1.0</v>
      </c>
      <c r="O1271" s="18">
        <v>20.8</v>
      </c>
      <c r="P1271" s="20">
        <v>1.0</v>
      </c>
      <c r="Q1271" s="16">
        <v>45867.0</v>
      </c>
      <c r="R1271" s="16">
        <v>45387.0</v>
      </c>
      <c r="S1271" s="13" t="s">
        <v>45</v>
      </c>
      <c r="T1271" s="13" t="s">
        <v>104</v>
      </c>
      <c r="U1271" s="13" t="str">
        <f t="shared" si="1"/>
        <v>Low</v>
      </c>
      <c r="V1271" s="13" t="str">
        <f t="shared" si="2"/>
        <v>Below Median</v>
      </c>
      <c r="W1271" s="13" t="str">
        <f t="shared" si="3"/>
        <v>25–48 Months</v>
      </c>
    </row>
    <row r="1272" hidden="1">
      <c r="A1272" s="13" t="s">
        <v>1330</v>
      </c>
      <c r="B1272" s="13" t="s">
        <v>139</v>
      </c>
      <c r="C1272" s="14">
        <v>33.0</v>
      </c>
      <c r="D1272" s="13" t="s">
        <v>60</v>
      </c>
      <c r="E1272" s="13" t="s">
        <v>97</v>
      </c>
      <c r="F1272" s="13" t="s">
        <v>62</v>
      </c>
      <c r="G1272" s="13" t="s">
        <v>52</v>
      </c>
      <c r="H1272" s="16">
        <v>44708.0</v>
      </c>
      <c r="I1272" s="14">
        <v>15.0</v>
      </c>
      <c r="J1272" s="13" t="s">
        <v>64</v>
      </c>
      <c r="K1272" s="13" t="s">
        <v>81</v>
      </c>
      <c r="L1272" s="14">
        <v>588.0</v>
      </c>
      <c r="M1272" s="18" t="s">
        <v>98</v>
      </c>
      <c r="N1272" s="20">
        <v>0.0</v>
      </c>
      <c r="O1272" s="18">
        <v>3.6</v>
      </c>
      <c r="P1272" s="20">
        <v>4.2</v>
      </c>
      <c r="Q1272" s="16">
        <v>44747.0</v>
      </c>
      <c r="R1272" s="16" t="s">
        <v>1841</v>
      </c>
      <c r="S1272" s="13" t="s">
        <v>45</v>
      </c>
      <c r="T1272" s="13" t="s">
        <v>75</v>
      </c>
      <c r="U1272" s="13" t="str">
        <f t="shared" si="1"/>
        <v>Moderate</v>
      </c>
      <c r="V1272" s="13" t="str">
        <f t="shared" si="2"/>
        <v>Below Median</v>
      </c>
      <c r="W1272" s="13" t="str">
        <f t="shared" si="3"/>
        <v>13–24 Months</v>
      </c>
    </row>
    <row r="1273" hidden="1">
      <c r="A1273" s="13" t="s">
        <v>1842</v>
      </c>
      <c r="B1273" s="13" t="s">
        <v>288</v>
      </c>
      <c r="C1273" s="14">
        <v>42.0</v>
      </c>
      <c r="D1273" s="13" t="s">
        <v>60</v>
      </c>
      <c r="E1273" s="13" t="s">
        <v>133</v>
      </c>
      <c r="F1273" s="13" t="s">
        <v>62</v>
      </c>
      <c r="G1273" s="13" t="s">
        <v>52</v>
      </c>
      <c r="H1273" s="16">
        <v>45128.0</v>
      </c>
      <c r="I1273" s="14">
        <v>31.0</v>
      </c>
      <c r="J1273" s="13" t="s">
        <v>40</v>
      </c>
      <c r="K1273" s="13" t="s">
        <v>65</v>
      </c>
      <c r="L1273" s="14">
        <v>662.0</v>
      </c>
      <c r="M1273" s="18" t="s">
        <v>98</v>
      </c>
      <c r="N1273" s="20">
        <v>2.0</v>
      </c>
      <c r="O1273" s="18">
        <v>6.8</v>
      </c>
      <c r="P1273" s="20">
        <v>3.8</v>
      </c>
      <c r="Q1273" s="16">
        <v>45212.0</v>
      </c>
      <c r="R1273" s="16" t="s">
        <v>38</v>
      </c>
      <c r="S1273" s="13" t="s">
        <v>55</v>
      </c>
      <c r="T1273" s="13" t="s">
        <v>72</v>
      </c>
      <c r="U1273" s="13" t="str">
        <f t="shared" si="1"/>
        <v>Moderate</v>
      </c>
      <c r="V1273" s="13" t="str">
        <f t="shared" si="2"/>
        <v>Below Median</v>
      </c>
      <c r="W1273" s="13" t="str">
        <f t="shared" si="3"/>
        <v>25–48 Months</v>
      </c>
    </row>
    <row r="1274" hidden="1">
      <c r="A1274" s="13" t="s">
        <v>1843</v>
      </c>
      <c r="B1274" s="13" t="s">
        <v>448</v>
      </c>
      <c r="C1274" s="14">
        <v>47.0</v>
      </c>
      <c r="D1274" s="13" t="s">
        <v>35</v>
      </c>
      <c r="E1274" s="13" t="s">
        <v>161</v>
      </c>
      <c r="F1274" s="13" t="s">
        <v>62</v>
      </c>
      <c r="G1274" s="13" t="s">
        <v>210</v>
      </c>
      <c r="H1274" s="16">
        <v>44596.0</v>
      </c>
      <c r="I1274" s="14">
        <v>37.0</v>
      </c>
      <c r="J1274" s="13" t="s">
        <v>64</v>
      </c>
      <c r="K1274" s="13" t="s">
        <v>65</v>
      </c>
      <c r="L1274" s="14">
        <v>545.0</v>
      </c>
      <c r="M1274" s="18" t="s">
        <v>43</v>
      </c>
      <c r="N1274" s="20">
        <v>2.0</v>
      </c>
      <c r="O1274" s="18">
        <v>11.8</v>
      </c>
      <c r="P1274" s="20">
        <v>3.6</v>
      </c>
      <c r="Q1274" s="16">
        <v>45375.0</v>
      </c>
      <c r="R1274" s="16" t="s">
        <v>1845</v>
      </c>
      <c r="S1274" s="13" t="s">
        <v>45</v>
      </c>
      <c r="T1274" s="13" t="s">
        <v>72</v>
      </c>
      <c r="U1274" s="13" t="str">
        <f t="shared" si="1"/>
        <v>Moderate</v>
      </c>
      <c r="V1274" s="13" t="str">
        <f t="shared" si="2"/>
        <v>Below Median</v>
      </c>
      <c r="W1274" s="13" t="str">
        <f t="shared" si="3"/>
        <v>25–48 Months</v>
      </c>
    </row>
    <row r="1275" hidden="1">
      <c r="A1275" s="13" t="s">
        <v>434</v>
      </c>
      <c r="B1275" s="13" t="s">
        <v>639</v>
      </c>
      <c r="C1275" s="14">
        <v>25.0</v>
      </c>
      <c r="D1275" s="13" t="s">
        <v>35</v>
      </c>
      <c r="E1275" s="13" t="s">
        <v>140</v>
      </c>
      <c r="F1275" s="13" t="s">
        <v>37</v>
      </c>
      <c r="G1275" s="13" t="s">
        <v>128</v>
      </c>
      <c r="H1275" s="16">
        <v>44842.0</v>
      </c>
      <c r="I1275" s="14">
        <v>2.0</v>
      </c>
      <c r="J1275" s="13" t="s">
        <v>40</v>
      </c>
      <c r="K1275" s="13" t="s">
        <v>81</v>
      </c>
      <c r="L1275" s="14">
        <v>1161.0</v>
      </c>
      <c r="M1275" s="18" t="s">
        <v>99</v>
      </c>
      <c r="N1275" s="20">
        <v>2.0</v>
      </c>
      <c r="O1275" s="18">
        <v>13.8</v>
      </c>
      <c r="P1275" s="20">
        <v>5.0</v>
      </c>
      <c r="Q1275" s="16">
        <v>44853.0</v>
      </c>
      <c r="R1275" s="16" t="s">
        <v>38</v>
      </c>
      <c r="S1275" s="13" t="s">
        <v>55</v>
      </c>
      <c r="T1275" s="13" t="s">
        <v>104</v>
      </c>
      <c r="U1275" s="13" t="str">
        <f t="shared" si="1"/>
        <v>High</v>
      </c>
      <c r="V1275" s="13" t="str">
        <f t="shared" si="2"/>
        <v>Below Median</v>
      </c>
      <c r="W1275" s="13" t="str">
        <f t="shared" si="3"/>
        <v>0–12 Months</v>
      </c>
    </row>
    <row r="1276" hidden="1">
      <c r="A1276" s="13" t="s">
        <v>374</v>
      </c>
      <c r="B1276" s="13" t="s">
        <v>351</v>
      </c>
      <c r="C1276" s="14">
        <v>44.0</v>
      </c>
      <c r="D1276" s="13" t="s">
        <v>60</v>
      </c>
      <c r="E1276" s="13" t="s">
        <v>61</v>
      </c>
      <c r="F1276" s="13" t="s">
        <v>79</v>
      </c>
      <c r="G1276" s="13" t="s">
        <v>80</v>
      </c>
      <c r="H1276" s="16">
        <v>45060.0</v>
      </c>
      <c r="I1276" s="14">
        <v>46.0</v>
      </c>
      <c r="J1276" s="13" t="s">
        <v>40</v>
      </c>
      <c r="K1276" s="13" t="s">
        <v>81</v>
      </c>
      <c r="L1276" s="14">
        <v>2946.0</v>
      </c>
      <c r="M1276" s="18" t="s">
        <v>98</v>
      </c>
      <c r="N1276" s="20">
        <v>1.0</v>
      </c>
      <c r="O1276" s="18">
        <v>29.5</v>
      </c>
      <c r="P1276" s="20">
        <v>4.6</v>
      </c>
      <c r="Q1276" s="16">
        <v>46159.0</v>
      </c>
      <c r="R1276" s="16" t="s">
        <v>38</v>
      </c>
      <c r="S1276" s="13" t="s">
        <v>55</v>
      </c>
      <c r="T1276" s="13" t="s">
        <v>66</v>
      </c>
      <c r="U1276" s="13" t="str">
        <f t="shared" si="1"/>
        <v>Moderate</v>
      </c>
      <c r="V1276" s="13" t="str">
        <f t="shared" si="2"/>
        <v>Median or Above</v>
      </c>
      <c r="W1276" s="13" t="str">
        <f t="shared" si="3"/>
        <v>25–48 Months</v>
      </c>
    </row>
    <row r="1277" hidden="1">
      <c r="A1277" s="13" t="s">
        <v>695</v>
      </c>
      <c r="B1277" s="13" t="s">
        <v>734</v>
      </c>
      <c r="C1277" s="14">
        <v>62.0</v>
      </c>
      <c r="D1277" s="13" t="s">
        <v>69</v>
      </c>
      <c r="E1277" s="13" t="s">
        <v>70</v>
      </c>
      <c r="F1277" s="13" t="s">
        <v>62</v>
      </c>
      <c r="G1277" s="13" t="s">
        <v>120</v>
      </c>
      <c r="H1277" s="16">
        <v>45552.0</v>
      </c>
      <c r="I1277" s="14">
        <v>15.0</v>
      </c>
      <c r="J1277" s="13" t="s">
        <v>40</v>
      </c>
      <c r="K1277" s="13" t="s">
        <v>65</v>
      </c>
      <c r="L1277" s="14">
        <v>807.0</v>
      </c>
      <c r="M1277" s="18" t="s">
        <v>98</v>
      </c>
      <c r="N1277" s="20">
        <v>2.0</v>
      </c>
      <c r="O1277" s="18">
        <v>13.1</v>
      </c>
      <c r="P1277" s="20">
        <v>2.5</v>
      </c>
      <c r="Q1277" s="16">
        <v>45629.0</v>
      </c>
      <c r="R1277" s="16" t="s">
        <v>38</v>
      </c>
      <c r="S1277" s="13" t="s">
        <v>55</v>
      </c>
      <c r="T1277" s="13" t="s">
        <v>72</v>
      </c>
      <c r="U1277" s="13" t="str">
        <f t="shared" si="1"/>
        <v>Low</v>
      </c>
      <c r="V1277" s="13" t="str">
        <f t="shared" si="2"/>
        <v>Below Median</v>
      </c>
      <c r="W1277" s="13" t="str">
        <f t="shared" si="3"/>
        <v>13–24 Months</v>
      </c>
    </row>
    <row r="1278">
      <c r="A1278" s="13" t="s">
        <v>1848</v>
      </c>
      <c r="B1278" s="13" t="s">
        <v>250</v>
      </c>
      <c r="C1278" s="14">
        <v>26.0</v>
      </c>
      <c r="D1278" s="13" t="s">
        <v>85</v>
      </c>
      <c r="E1278" s="13" t="s">
        <v>87</v>
      </c>
      <c r="F1278" s="13" t="s">
        <v>62</v>
      </c>
      <c r="G1278" s="13" t="s">
        <v>128</v>
      </c>
      <c r="H1278" s="16">
        <v>45867.0</v>
      </c>
      <c r="I1278" s="14">
        <v>14.0</v>
      </c>
      <c r="J1278" s="13" t="s">
        <v>64</v>
      </c>
      <c r="K1278" s="13" t="s">
        <v>41</v>
      </c>
      <c r="L1278" s="14">
        <v>849.0</v>
      </c>
      <c r="M1278" s="18" t="s">
        <v>98</v>
      </c>
      <c r="N1278" s="20">
        <v>0.0</v>
      </c>
      <c r="O1278" s="18">
        <v>13.7</v>
      </c>
      <c r="P1278" s="20">
        <v>2.0</v>
      </c>
      <c r="Q1278" s="16">
        <v>46234.0</v>
      </c>
      <c r="R1278" s="16" t="s">
        <v>1849</v>
      </c>
      <c r="S1278" s="13" t="s">
        <v>529</v>
      </c>
      <c r="T1278" s="13" t="s">
        <v>75</v>
      </c>
      <c r="U1278" s="13" t="str">
        <f t="shared" si="1"/>
        <v>Low</v>
      </c>
      <c r="V1278" s="13" t="str">
        <f t="shared" si="2"/>
        <v>Below Median</v>
      </c>
      <c r="W1278" s="13" t="str">
        <f t="shared" si="3"/>
        <v>13–24 Months</v>
      </c>
    </row>
    <row r="1279" hidden="1">
      <c r="A1279" s="13" t="s">
        <v>1850</v>
      </c>
      <c r="B1279" s="13" t="s">
        <v>96</v>
      </c>
      <c r="C1279" s="14">
        <v>29.0</v>
      </c>
      <c r="D1279" s="13" t="s">
        <v>69</v>
      </c>
      <c r="E1279" s="13" t="s">
        <v>97</v>
      </c>
      <c r="F1279" s="13" t="s">
        <v>62</v>
      </c>
      <c r="G1279" s="13" t="s">
        <v>80</v>
      </c>
      <c r="H1279" s="16">
        <v>45938.0</v>
      </c>
      <c r="I1279" s="14">
        <v>47.0</v>
      </c>
      <c r="J1279" s="13" t="s">
        <v>40</v>
      </c>
      <c r="K1279" s="13" t="s">
        <v>81</v>
      </c>
      <c r="L1279" s="14">
        <v>825.0</v>
      </c>
      <c r="M1279" s="18" t="s">
        <v>164</v>
      </c>
      <c r="N1279" s="20">
        <v>1.0</v>
      </c>
      <c r="O1279" s="18">
        <v>14.6</v>
      </c>
      <c r="P1279" s="20">
        <v>4.3</v>
      </c>
      <c r="Q1279" s="16">
        <v>46425.0</v>
      </c>
      <c r="R1279" s="16" t="s">
        <v>1393</v>
      </c>
      <c r="S1279" s="13" t="s">
        <v>45</v>
      </c>
      <c r="T1279" s="13" t="s">
        <v>104</v>
      </c>
      <c r="U1279" s="13" t="str">
        <f t="shared" si="1"/>
        <v>Moderate</v>
      </c>
      <c r="V1279" s="13" t="str">
        <f t="shared" si="2"/>
        <v>Below Median</v>
      </c>
      <c r="W1279" s="13" t="str">
        <f t="shared" si="3"/>
        <v>25–48 Months</v>
      </c>
    </row>
    <row r="1280" hidden="1">
      <c r="A1280" s="13" t="s">
        <v>1008</v>
      </c>
      <c r="B1280" s="13" t="s">
        <v>132</v>
      </c>
      <c r="C1280" s="14">
        <v>27.0</v>
      </c>
      <c r="D1280" s="13" t="s">
        <v>35</v>
      </c>
      <c r="E1280" s="13" t="s">
        <v>161</v>
      </c>
      <c r="F1280" s="13" t="s">
        <v>37</v>
      </c>
      <c r="G1280" s="13" t="s">
        <v>120</v>
      </c>
      <c r="H1280" s="16">
        <v>45119.0</v>
      </c>
      <c r="I1280" s="14">
        <v>19.0</v>
      </c>
      <c r="J1280" s="13" t="s">
        <v>53</v>
      </c>
      <c r="K1280" s="13" t="s">
        <v>81</v>
      </c>
      <c r="L1280" s="14">
        <v>1289.0</v>
      </c>
      <c r="M1280" s="18" t="s">
        <v>173</v>
      </c>
      <c r="N1280" s="20">
        <v>1.0</v>
      </c>
      <c r="O1280" s="18">
        <v>27.2</v>
      </c>
      <c r="P1280" s="20">
        <v>5.0</v>
      </c>
      <c r="Q1280" s="16">
        <v>45136.0</v>
      </c>
      <c r="R1280" s="16" t="s">
        <v>38</v>
      </c>
      <c r="S1280" s="13" t="s">
        <v>55</v>
      </c>
      <c r="T1280" s="13" t="s">
        <v>75</v>
      </c>
      <c r="U1280" s="13" t="str">
        <f t="shared" si="1"/>
        <v>High</v>
      </c>
      <c r="V1280" s="13" t="str">
        <f t="shared" si="2"/>
        <v>Median or Above</v>
      </c>
      <c r="W1280" s="13" t="str">
        <f t="shared" si="3"/>
        <v>13–24 Months</v>
      </c>
    </row>
    <row r="1281" hidden="1">
      <c r="A1281" s="13" t="s">
        <v>1851</v>
      </c>
      <c r="B1281" s="13" t="s">
        <v>398</v>
      </c>
      <c r="C1281" s="14">
        <v>45.0</v>
      </c>
      <c r="D1281" s="13" t="s">
        <v>60</v>
      </c>
      <c r="E1281" s="13" t="s">
        <v>107</v>
      </c>
      <c r="F1281" s="13" t="s">
        <v>37</v>
      </c>
      <c r="G1281" s="13" t="s">
        <v>128</v>
      </c>
      <c r="H1281" s="16">
        <v>45453.0</v>
      </c>
      <c r="I1281" s="14">
        <v>32.0</v>
      </c>
      <c r="J1281" s="13" t="s">
        <v>40</v>
      </c>
      <c r="K1281" s="13" t="s">
        <v>65</v>
      </c>
      <c r="L1281" s="14">
        <v>1457.0</v>
      </c>
      <c r="M1281" s="18" t="s">
        <v>173</v>
      </c>
      <c r="N1281" s="20">
        <v>0.0</v>
      </c>
      <c r="O1281" s="18">
        <v>26.2</v>
      </c>
      <c r="P1281" s="20">
        <v>4.0</v>
      </c>
      <c r="Q1281" s="16">
        <v>45923.0</v>
      </c>
      <c r="R1281" s="16" t="s">
        <v>38</v>
      </c>
      <c r="S1281" s="13" t="s">
        <v>55</v>
      </c>
      <c r="T1281" s="13" t="s">
        <v>72</v>
      </c>
      <c r="U1281" s="13" t="str">
        <f t="shared" si="1"/>
        <v>Moderate</v>
      </c>
      <c r="V1281" s="13" t="str">
        <f t="shared" si="2"/>
        <v>Median or Above</v>
      </c>
      <c r="W1281" s="13" t="str">
        <f t="shared" si="3"/>
        <v>25–48 Months</v>
      </c>
    </row>
    <row r="1282" hidden="1">
      <c r="A1282" s="13" t="s">
        <v>1852</v>
      </c>
      <c r="B1282" s="13" t="s">
        <v>424</v>
      </c>
      <c r="C1282" s="14">
        <v>56.0</v>
      </c>
      <c r="D1282" s="13" t="s">
        <v>35</v>
      </c>
      <c r="E1282" s="13" t="s">
        <v>161</v>
      </c>
      <c r="F1282" s="13" t="s">
        <v>79</v>
      </c>
      <c r="G1282" s="13" t="s">
        <v>63</v>
      </c>
      <c r="H1282" s="16">
        <v>44609.0</v>
      </c>
      <c r="I1282" s="14">
        <v>27.0</v>
      </c>
      <c r="J1282" s="13" t="s">
        <v>64</v>
      </c>
      <c r="K1282" s="13" t="s">
        <v>65</v>
      </c>
      <c r="L1282" s="14">
        <v>2450.0</v>
      </c>
      <c r="M1282" s="18" t="s">
        <v>164</v>
      </c>
      <c r="N1282" s="20">
        <v>0.0</v>
      </c>
      <c r="O1282" s="18">
        <v>44.6</v>
      </c>
      <c r="P1282" s="20">
        <v>2.3</v>
      </c>
      <c r="Q1282" s="16">
        <v>45100.0</v>
      </c>
      <c r="R1282" s="16" t="s">
        <v>38</v>
      </c>
      <c r="S1282" s="13" t="s">
        <v>55</v>
      </c>
      <c r="T1282" s="13" t="s">
        <v>72</v>
      </c>
      <c r="U1282" s="13" t="str">
        <f t="shared" si="1"/>
        <v>Low</v>
      </c>
      <c r="V1282" s="13" t="str">
        <f t="shared" si="2"/>
        <v>Median or Above</v>
      </c>
      <c r="W1282" s="13" t="str">
        <f t="shared" si="3"/>
        <v>25–48 Months</v>
      </c>
    </row>
    <row r="1283" hidden="1">
      <c r="A1283" s="13" t="s">
        <v>1733</v>
      </c>
      <c r="B1283" s="13" t="s">
        <v>801</v>
      </c>
      <c r="C1283" s="14">
        <v>39.0</v>
      </c>
      <c r="D1283" s="13" t="s">
        <v>85</v>
      </c>
      <c r="E1283" s="13" t="s">
        <v>111</v>
      </c>
      <c r="F1283" s="13" t="s">
        <v>79</v>
      </c>
      <c r="G1283" s="13" t="s">
        <v>120</v>
      </c>
      <c r="H1283" s="16">
        <v>44723.0</v>
      </c>
      <c r="I1283" s="14">
        <v>8.0</v>
      </c>
      <c r="J1283" s="13" t="s">
        <v>40</v>
      </c>
      <c r="K1283" s="13" t="s">
        <v>41</v>
      </c>
      <c r="L1283" s="14">
        <v>2732.0</v>
      </c>
      <c r="M1283" s="18" t="s">
        <v>98</v>
      </c>
      <c r="N1283" s="20">
        <v>0.0</v>
      </c>
      <c r="O1283" s="18">
        <v>35.9</v>
      </c>
      <c r="P1283" s="20">
        <v>3.0</v>
      </c>
      <c r="Q1283" s="16">
        <v>44768.0</v>
      </c>
      <c r="R1283" s="16">
        <v>44632.0</v>
      </c>
      <c r="S1283" s="13" t="s">
        <v>45</v>
      </c>
      <c r="T1283" s="13" t="s">
        <v>72</v>
      </c>
      <c r="U1283" s="13" t="str">
        <f t="shared" si="1"/>
        <v>Moderate</v>
      </c>
      <c r="V1283" s="13" t="str">
        <f t="shared" si="2"/>
        <v>Median or Above</v>
      </c>
      <c r="W1283" s="13" t="str">
        <f t="shared" si="3"/>
        <v>0–12 Months</v>
      </c>
    </row>
    <row r="1284" hidden="1">
      <c r="A1284" s="13" t="s">
        <v>1609</v>
      </c>
      <c r="B1284" s="13" t="s">
        <v>222</v>
      </c>
      <c r="C1284" s="14">
        <v>34.0</v>
      </c>
      <c r="D1284" s="13" t="s">
        <v>85</v>
      </c>
      <c r="E1284" s="13" t="s">
        <v>292</v>
      </c>
      <c r="F1284" s="13" t="s">
        <v>62</v>
      </c>
      <c r="G1284" s="13" t="s">
        <v>210</v>
      </c>
      <c r="H1284" s="16">
        <v>44787.0</v>
      </c>
      <c r="I1284" s="14">
        <v>11.0</v>
      </c>
      <c r="J1284" s="13" t="s">
        <v>40</v>
      </c>
      <c r="K1284" s="13" t="s">
        <v>65</v>
      </c>
      <c r="L1284" s="14">
        <v>735.0</v>
      </c>
      <c r="M1284" s="18" t="s">
        <v>43</v>
      </c>
      <c r="N1284" s="20">
        <v>1.0</v>
      </c>
      <c r="O1284" s="18">
        <v>21.9</v>
      </c>
      <c r="P1284" s="20">
        <v>2.7</v>
      </c>
      <c r="Q1284" s="16">
        <v>44902.0</v>
      </c>
      <c r="R1284" s="16" t="s">
        <v>38</v>
      </c>
      <c r="S1284" s="13" t="s">
        <v>55</v>
      </c>
      <c r="T1284" s="13" t="s">
        <v>66</v>
      </c>
      <c r="U1284" s="13" t="str">
        <f t="shared" si="1"/>
        <v>Low</v>
      </c>
      <c r="V1284" s="13" t="str">
        <f t="shared" si="2"/>
        <v>Below Median</v>
      </c>
      <c r="W1284" s="13" t="str">
        <f t="shared" si="3"/>
        <v>0–12 Months</v>
      </c>
    </row>
    <row r="1285" hidden="1">
      <c r="A1285" s="13" t="s">
        <v>1297</v>
      </c>
      <c r="B1285" s="13" t="s">
        <v>250</v>
      </c>
      <c r="C1285" s="14">
        <v>38.0</v>
      </c>
      <c r="D1285" s="13" t="s">
        <v>60</v>
      </c>
      <c r="E1285" s="13" t="s">
        <v>38</v>
      </c>
      <c r="F1285" s="13" t="s">
        <v>62</v>
      </c>
      <c r="G1285" s="13" t="s">
        <v>210</v>
      </c>
      <c r="H1285" s="16">
        <v>45409.0</v>
      </c>
      <c r="I1285" s="14">
        <v>43.0</v>
      </c>
      <c r="J1285" s="13" t="s">
        <v>64</v>
      </c>
      <c r="K1285" s="13" t="s">
        <v>65</v>
      </c>
      <c r="L1285" s="14">
        <v>651.0</v>
      </c>
      <c r="M1285" s="18" t="s">
        <v>164</v>
      </c>
      <c r="N1285" s="20">
        <v>0.0</v>
      </c>
      <c r="O1285" s="18">
        <v>31.8</v>
      </c>
      <c r="P1285" s="20">
        <v>3.8</v>
      </c>
      <c r="Q1285" s="16">
        <v>45955.0</v>
      </c>
      <c r="R1285" s="16" t="s">
        <v>38</v>
      </c>
      <c r="S1285" s="13" t="s">
        <v>55</v>
      </c>
      <c r="T1285" s="13" t="s">
        <v>104</v>
      </c>
      <c r="U1285" s="13" t="str">
        <f t="shared" si="1"/>
        <v>Moderate</v>
      </c>
      <c r="V1285" s="13" t="str">
        <f t="shared" si="2"/>
        <v>Median or Above</v>
      </c>
      <c r="W1285" s="13" t="str">
        <f t="shared" si="3"/>
        <v>25–48 Months</v>
      </c>
    </row>
    <row r="1286" hidden="1">
      <c r="A1286" s="13" t="s">
        <v>1854</v>
      </c>
      <c r="B1286" s="13" t="s">
        <v>169</v>
      </c>
      <c r="C1286" s="14">
        <v>37.0</v>
      </c>
      <c r="D1286" s="13" t="s">
        <v>35</v>
      </c>
      <c r="E1286" s="13" t="s">
        <v>140</v>
      </c>
      <c r="F1286" s="13" t="s">
        <v>37</v>
      </c>
      <c r="G1286" s="13" t="s">
        <v>80</v>
      </c>
      <c r="H1286" s="16">
        <v>45768.0</v>
      </c>
      <c r="I1286" s="14">
        <v>16.0</v>
      </c>
      <c r="J1286" s="13" t="s">
        <v>40</v>
      </c>
      <c r="K1286" s="13" t="s">
        <v>81</v>
      </c>
      <c r="L1286" s="14">
        <v>1721.0</v>
      </c>
      <c r="M1286" s="18" t="s">
        <v>98</v>
      </c>
      <c r="N1286" s="20">
        <v>1.0</v>
      </c>
      <c r="O1286" s="18">
        <v>15.7</v>
      </c>
      <c r="P1286" s="20">
        <v>4.4</v>
      </c>
      <c r="Q1286" s="16">
        <v>46217.0</v>
      </c>
      <c r="R1286" s="16" t="s">
        <v>1855</v>
      </c>
      <c r="S1286" s="13" t="s">
        <v>45</v>
      </c>
      <c r="T1286" s="13" t="s">
        <v>72</v>
      </c>
      <c r="U1286" s="13" t="str">
        <f t="shared" si="1"/>
        <v>Moderate</v>
      </c>
      <c r="V1286" s="13" t="str">
        <f t="shared" si="2"/>
        <v>Below Median</v>
      </c>
      <c r="W1286" s="13" t="str">
        <f t="shared" si="3"/>
        <v>13–24 Months</v>
      </c>
    </row>
    <row r="1287" hidden="1">
      <c r="A1287" s="13" t="s">
        <v>1368</v>
      </c>
      <c r="B1287" s="13" t="s">
        <v>633</v>
      </c>
      <c r="C1287" s="14">
        <v>27.0</v>
      </c>
      <c r="D1287" s="13" t="s">
        <v>60</v>
      </c>
      <c r="E1287" s="13" t="s">
        <v>61</v>
      </c>
      <c r="F1287" s="13" t="s">
        <v>37</v>
      </c>
      <c r="G1287" s="13" t="s">
        <v>52</v>
      </c>
      <c r="H1287" s="16">
        <v>45908.0</v>
      </c>
      <c r="I1287" s="14">
        <v>45.0</v>
      </c>
      <c r="J1287" s="13" t="s">
        <v>64</v>
      </c>
      <c r="K1287" s="13" t="s">
        <v>81</v>
      </c>
      <c r="L1287" s="14">
        <v>1228.0</v>
      </c>
      <c r="M1287" s="18" t="s">
        <v>98</v>
      </c>
      <c r="N1287" s="20">
        <v>2.0</v>
      </c>
      <c r="O1287" s="18">
        <v>35.4</v>
      </c>
      <c r="P1287" s="20">
        <v>5.0</v>
      </c>
      <c r="Q1287" s="16">
        <v>47133.0</v>
      </c>
      <c r="R1287" s="16" t="s">
        <v>38</v>
      </c>
      <c r="S1287" s="13" t="s">
        <v>55</v>
      </c>
      <c r="T1287" s="13" t="s">
        <v>75</v>
      </c>
      <c r="U1287" s="13" t="str">
        <f t="shared" si="1"/>
        <v>High</v>
      </c>
      <c r="V1287" s="13" t="str">
        <f t="shared" si="2"/>
        <v>Median or Above</v>
      </c>
      <c r="W1287" s="13" t="str">
        <f t="shared" si="3"/>
        <v>25–48 Months</v>
      </c>
    </row>
    <row r="1288" hidden="1">
      <c r="A1288" s="13" t="s">
        <v>1856</v>
      </c>
      <c r="B1288" s="13" t="s">
        <v>288</v>
      </c>
      <c r="C1288" s="14">
        <v>49.0</v>
      </c>
      <c r="D1288" s="13" t="s">
        <v>69</v>
      </c>
      <c r="E1288" s="13" t="s">
        <v>177</v>
      </c>
      <c r="F1288" s="13" t="s">
        <v>62</v>
      </c>
      <c r="G1288" s="13" t="s">
        <v>39</v>
      </c>
      <c r="H1288" s="16">
        <v>44774.0</v>
      </c>
      <c r="I1288" s="14">
        <v>1.0</v>
      </c>
      <c r="J1288" s="13" t="s">
        <v>40</v>
      </c>
      <c r="K1288" s="13" t="s">
        <v>65</v>
      </c>
      <c r="L1288" s="14">
        <v>888.0</v>
      </c>
      <c r="M1288" s="18" t="s">
        <v>43</v>
      </c>
      <c r="N1288" s="20">
        <v>2.0</v>
      </c>
      <c r="O1288" s="18">
        <v>25.9</v>
      </c>
      <c r="P1288" s="20">
        <v>2.3</v>
      </c>
      <c r="Q1288" s="16">
        <v>44792.0</v>
      </c>
      <c r="R1288" s="16">
        <v>44570.0</v>
      </c>
      <c r="S1288" s="13" t="s">
        <v>45</v>
      </c>
      <c r="T1288" s="13" t="s">
        <v>72</v>
      </c>
      <c r="U1288" s="13" t="str">
        <f t="shared" si="1"/>
        <v>Low</v>
      </c>
      <c r="V1288" s="13" t="str">
        <f t="shared" si="2"/>
        <v>Median or Above</v>
      </c>
      <c r="W1288" s="13" t="str">
        <f t="shared" si="3"/>
        <v>0–12 Months</v>
      </c>
    </row>
    <row r="1289" hidden="1">
      <c r="A1289" s="13" t="s">
        <v>1371</v>
      </c>
      <c r="B1289" s="13" t="s">
        <v>470</v>
      </c>
      <c r="C1289" s="14">
        <v>19.0</v>
      </c>
      <c r="D1289" s="13" t="s">
        <v>60</v>
      </c>
      <c r="E1289" s="13" t="s">
        <v>97</v>
      </c>
      <c r="F1289" s="13" t="s">
        <v>62</v>
      </c>
      <c r="G1289" s="13" t="s">
        <v>52</v>
      </c>
      <c r="H1289" s="16">
        <v>45407.0</v>
      </c>
      <c r="I1289" s="14">
        <v>24.0</v>
      </c>
      <c r="J1289" s="13" t="s">
        <v>40</v>
      </c>
      <c r="K1289" s="13" t="s">
        <v>65</v>
      </c>
      <c r="L1289" s="14">
        <v>798.0</v>
      </c>
      <c r="M1289" s="18" t="s">
        <v>43</v>
      </c>
      <c r="N1289" s="20">
        <v>1.0</v>
      </c>
      <c r="O1289" s="18">
        <v>26.1</v>
      </c>
      <c r="P1289" s="20">
        <v>3.3</v>
      </c>
      <c r="Q1289" s="16">
        <v>45545.0</v>
      </c>
      <c r="R1289" s="16" t="s">
        <v>38</v>
      </c>
      <c r="S1289" s="13" t="s">
        <v>55</v>
      </c>
      <c r="T1289" s="13" t="s">
        <v>72</v>
      </c>
      <c r="U1289" s="13" t="str">
        <f t="shared" si="1"/>
        <v>Moderate</v>
      </c>
      <c r="V1289" s="13" t="str">
        <f t="shared" si="2"/>
        <v>Median or Above</v>
      </c>
      <c r="W1289" s="13" t="str">
        <f t="shared" si="3"/>
        <v>13–24 Months</v>
      </c>
    </row>
    <row r="1290" hidden="1">
      <c r="A1290" s="13" t="s">
        <v>1827</v>
      </c>
      <c r="B1290" s="13" t="s">
        <v>405</v>
      </c>
      <c r="C1290" s="14">
        <v>25.0</v>
      </c>
      <c r="D1290" s="13" t="s">
        <v>85</v>
      </c>
      <c r="E1290" s="13" t="s">
        <v>92</v>
      </c>
      <c r="F1290" s="13" t="s">
        <v>62</v>
      </c>
      <c r="G1290" s="13" t="s">
        <v>63</v>
      </c>
      <c r="H1290" s="16">
        <v>44865.0</v>
      </c>
      <c r="I1290" s="14">
        <v>47.0</v>
      </c>
      <c r="J1290" s="13" t="s">
        <v>40</v>
      </c>
      <c r="K1290" s="13" t="s">
        <v>41</v>
      </c>
      <c r="L1290" s="14">
        <v>789.0</v>
      </c>
      <c r="M1290" s="18" t="s">
        <v>98</v>
      </c>
      <c r="N1290" s="20">
        <v>1.0</v>
      </c>
      <c r="O1290" s="18">
        <v>8.0</v>
      </c>
      <c r="P1290" s="20">
        <v>4.0</v>
      </c>
      <c r="Q1290" s="16">
        <v>44931.0</v>
      </c>
      <c r="R1290" s="16" t="s">
        <v>38</v>
      </c>
      <c r="S1290" s="13" t="s">
        <v>55</v>
      </c>
      <c r="T1290" s="13" t="s">
        <v>47</v>
      </c>
      <c r="U1290" s="13" t="str">
        <f t="shared" si="1"/>
        <v>Moderate</v>
      </c>
      <c r="V1290" s="13" t="str">
        <f t="shared" si="2"/>
        <v>Below Median</v>
      </c>
      <c r="W1290" s="13" t="str">
        <f t="shared" si="3"/>
        <v>25–48 Months</v>
      </c>
    </row>
    <row r="1291" hidden="1">
      <c r="A1291" s="13" t="s">
        <v>1858</v>
      </c>
      <c r="B1291" s="13" t="s">
        <v>364</v>
      </c>
      <c r="C1291" s="14">
        <v>54.0</v>
      </c>
      <c r="D1291" s="13" t="s">
        <v>85</v>
      </c>
      <c r="E1291" s="13" t="s">
        <v>92</v>
      </c>
      <c r="F1291" s="13" t="s">
        <v>79</v>
      </c>
      <c r="G1291" s="13" t="s">
        <v>128</v>
      </c>
      <c r="H1291" s="16">
        <v>45291.0</v>
      </c>
      <c r="I1291" s="14">
        <v>34.0</v>
      </c>
      <c r="J1291" s="13" t="s">
        <v>53</v>
      </c>
      <c r="K1291" s="13" t="s">
        <v>41</v>
      </c>
      <c r="L1291" s="14">
        <v>2676.0</v>
      </c>
      <c r="M1291" s="18" t="s">
        <v>98</v>
      </c>
      <c r="N1291" s="20">
        <v>3.0</v>
      </c>
      <c r="O1291" s="18">
        <v>37.7</v>
      </c>
      <c r="P1291" s="20">
        <v>3.2</v>
      </c>
      <c r="Q1291" s="16">
        <v>45991.0</v>
      </c>
      <c r="R1291" s="16" t="s">
        <v>38</v>
      </c>
      <c r="S1291" s="13" t="s">
        <v>55</v>
      </c>
      <c r="T1291" s="13" t="s">
        <v>66</v>
      </c>
      <c r="U1291" s="13" t="str">
        <f t="shared" si="1"/>
        <v>Moderate</v>
      </c>
      <c r="V1291" s="13" t="str">
        <f t="shared" si="2"/>
        <v>Median or Above</v>
      </c>
      <c r="W1291" s="13" t="str">
        <f t="shared" si="3"/>
        <v>25–48 Months</v>
      </c>
    </row>
    <row r="1292" hidden="1">
      <c r="A1292" s="13" t="s">
        <v>1859</v>
      </c>
      <c r="B1292" s="13" t="s">
        <v>215</v>
      </c>
      <c r="C1292" s="14">
        <v>23.0</v>
      </c>
      <c r="D1292" s="13" t="s">
        <v>69</v>
      </c>
      <c r="E1292" s="13" t="s">
        <v>70</v>
      </c>
      <c r="F1292" s="13" t="s">
        <v>62</v>
      </c>
      <c r="G1292" s="13" t="s">
        <v>210</v>
      </c>
      <c r="H1292" s="16">
        <v>45693.0</v>
      </c>
      <c r="I1292" s="14">
        <v>20.0</v>
      </c>
      <c r="J1292" s="13" t="s">
        <v>40</v>
      </c>
      <c r="K1292" s="13" t="s">
        <v>81</v>
      </c>
      <c r="L1292" s="14">
        <v>855.0</v>
      </c>
      <c r="M1292" s="18" t="s">
        <v>43</v>
      </c>
      <c r="N1292" s="20">
        <v>2.0</v>
      </c>
      <c r="O1292" s="18">
        <v>33.4</v>
      </c>
      <c r="P1292" s="20">
        <v>3.7</v>
      </c>
      <c r="Q1292" s="16">
        <v>46100.0</v>
      </c>
      <c r="R1292" s="16" t="s">
        <v>38</v>
      </c>
      <c r="S1292" s="13" t="s">
        <v>55</v>
      </c>
      <c r="T1292" s="13" t="s">
        <v>66</v>
      </c>
      <c r="U1292" s="13" t="str">
        <f t="shared" si="1"/>
        <v>Moderate</v>
      </c>
      <c r="V1292" s="13" t="str">
        <f t="shared" si="2"/>
        <v>Median or Above</v>
      </c>
      <c r="W1292" s="13" t="str">
        <f t="shared" si="3"/>
        <v>13–24 Months</v>
      </c>
    </row>
    <row r="1293" hidden="1">
      <c r="A1293" s="13" t="s">
        <v>1785</v>
      </c>
      <c r="B1293" s="13" t="s">
        <v>362</v>
      </c>
      <c r="C1293" s="14">
        <v>38.0</v>
      </c>
      <c r="D1293" s="13" t="s">
        <v>35</v>
      </c>
      <c r="E1293" s="13" t="s">
        <v>38</v>
      </c>
      <c r="F1293" s="13" t="s">
        <v>62</v>
      </c>
      <c r="G1293" s="13" t="s">
        <v>39</v>
      </c>
      <c r="H1293" s="16">
        <v>44952.0</v>
      </c>
      <c r="I1293" s="14">
        <v>27.0</v>
      </c>
      <c r="J1293" s="13" t="s">
        <v>53</v>
      </c>
      <c r="K1293" s="13" t="s">
        <v>65</v>
      </c>
      <c r="L1293" s="14">
        <v>842.0</v>
      </c>
      <c r="M1293" s="18" t="s">
        <v>99</v>
      </c>
      <c r="N1293" s="20">
        <v>0.0</v>
      </c>
      <c r="O1293" s="18">
        <v>27.2</v>
      </c>
      <c r="P1293" s="20">
        <v>2.3</v>
      </c>
      <c r="Q1293" s="16">
        <v>44996.0</v>
      </c>
      <c r="R1293" s="16" t="s">
        <v>38</v>
      </c>
      <c r="S1293" s="13" t="s">
        <v>55</v>
      </c>
      <c r="T1293" s="13" t="s">
        <v>47</v>
      </c>
      <c r="U1293" s="13" t="str">
        <f t="shared" si="1"/>
        <v>Low</v>
      </c>
      <c r="V1293" s="13" t="str">
        <f t="shared" si="2"/>
        <v>Median or Above</v>
      </c>
      <c r="W1293" s="13" t="str">
        <f t="shared" si="3"/>
        <v>25–48 Months</v>
      </c>
    </row>
    <row r="1294" hidden="1">
      <c r="A1294" s="13" t="s">
        <v>109</v>
      </c>
      <c r="B1294" s="13" t="s">
        <v>308</v>
      </c>
      <c r="C1294" s="14">
        <v>21.0</v>
      </c>
      <c r="D1294" s="13" t="s">
        <v>85</v>
      </c>
      <c r="E1294" s="13" t="s">
        <v>111</v>
      </c>
      <c r="F1294" s="13" t="s">
        <v>37</v>
      </c>
      <c r="G1294" s="13" t="s">
        <v>63</v>
      </c>
      <c r="H1294" s="16">
        <v>45178.0</v>
      </c>
      <c r="I1294" s="14">
        <v>15.0</v>
      </c>
      <c r="J1294" s="13" t="s">
        <v>64</v>
      </c>
      <c r="K1294" s="13" t="s">
        <v>81</v>
      </c>
      <c r="L1294" s="14">
        <v>1592.0</v>
      </c>
      <c r="M1294" s="18" t="s">
        <v>164</v>
      </c>
      <c r="N1294" s="20">
        <v>0.0</v>
      </c>
      <c r="O1294" s="18">
        <v>26.9</v>
      </c>
      <c r="P1294" s="20">
        <v>3.2</v>
      </c>
      <c r="Q1294" s="16">
        <v>45446.0</v>
      </c>
      <c r="R1294" s="16" t="s">
        <v>38</v>
      </c>
      <c r="S1294" s="13" t="s">
        <v>55</v>
      </c>
      <c r="T1294" s="13" t="s">
        <v>72</v>
      </c>
      <c r="U1294" s="13" t="str">
        <f t="shared" si="1"/>
        <v>Moderate</v>
      </c>
      <c r="V1294" s="13" t="str">
        <f t="shared" si="2"/>
        <v>Median or Above</v>
      </c>
      <c r="W1294" s="13" t="str">
        <f t="shared" si="3"/>
        <v>13–24 Months</v>
      </c>
    </row>
    <row r="1295" hidden="1">
      <c r="A1295" s="13" t="s">
        <v>544</v>
      </c>
      <c r="B1295" s="13" t="s">
        <v>398</v>
      </c>
      <c r="C1295" s="14">
        <v>48.0</v>
      </c>
      <c r="D1295" s="13" t="s">
        <v>69</v>
      </c>
      <c r="E1295" s="13" t="s">
        <v>177</v>
      </c>
      <c r="F1295" s="13" t="s">
        <v>62</v>
      </c>
      <c r="G1295" s="13" t="s">
        <v>80</v>
      </c>
      <c r="H1295" s="16">
        <v>44664.0</v>
      </c>
      <c r="I1295" s="14">
        <v>10.0</v>
      </c>
      <c r="J1295" s="13" t="s">
        <v>53</v>
      </c>
      <c r="K1295" s="13" t="s">
        <v>41</v>
      </c>
      <c r="L1295" s="14">
        <v>833.0</v>
      </c>
      <c r="M1295" s="18" t="s">
        <v>98</v>
      </c>
      <c r="N1295" s="20">
        <v>2.0</v>
      </c>
      <c r="O1295" s="18">
        <v>20.9</v>
      </c>
      <c r="P1295" s="20">
        <v>2.2</v>
      </c>
      <c r="Q1295" s="16">
        <v>44923.0</v>
      </c>
      <c r="R1295" s="16" t="s">
        <v>1516</v>
      </c>
      <c r="S1295" s="13" t="s">
        <v>45</v>
      </c>
      <c r="T1295" s="13" t="s">
        <v>104</v>
      </c>
      <c r="U1295" s="13" t="str">
        <f t="shared" si="1"/>
        <v>Low</v>
      </c>
      <c r="V1295" s="13" t="str">
        <f t="shared" si="2"/>
        <v>Below Median</v>
      </c>
      <c r="W1295" s="13" t="str">
        <f t="shared" si="3"/>
        <v>0–12 Months</v>
      </c>
    </row>
    <row r="1296" hidden="1">
      <c r="A1296" s="13" t="s">
        <v>1373</v>
      </c>
      <c r="B1296" s="13" t="s">
        <v>139</v>
      </c>
      <c r="C1296" s="14">
        <v>44.0</v>
      </c>
      <c r="D1296" s="13" t="s">
        <v>69</v>
      </c>
      <c r="E1296" s="13" t="s">
        <v>177</v>
      </c>
      <c r="F1296" s="13" t="s">
        <v>62</v>
      </c>
      <c r="G1296" s="13" t="s">
        <v>63</v>
      </c>
      <c r="H1296" s="16">
        <v>45660.0</v>
      </c>
      <c r="I1296" s="14">
        <v>24.0</v>
      </c>
      <c r="J1296" s="13" t="s">
        <v>53</v>
      </c>
      <c r="K1296" s="13" t="s">
        <v>41</v>
      </c>
      <c r="L1296" s="14">
        <v>582.0</v>
      </c>
      <c r="M1296" s="18" t="s">
        <v>43</v>
      </c>
      <c r="N1296" s="20">
        <v>1.0</v>
      </c>
      <c r="O1296" s="18">
        <v>4.1</v>
      </c>
      <c r="P1296" s="20">
        <v>2.7</v>
      </c>
      <c r="Q1296" s="16">
        <v>46242.0</v>
      </c>
      <c r="R1296" s="16" t="s">
        <v>1860</v>
      </c>
      <c r="S1296" s="13" t="s">
        <v>45</v>
      </c>
      <c r="T1296" s="13" t="s">
        <v>75</v>
      </c>
      <c r="U1296" s="13" t="str">
        <f t="shared" si="1"/>
        <v>Low</v>
      </c>
      <c r="V1296" s="13" t="str">
        <f t="shared" si="2"/>
        <v>Below Median</v>
      </c>
      <c r="W1296" s="13" t="str">
        <f t="shared" si="3"/>
        <v>13–24 Months</v>
      </c>
    </row>
    <row r="1297" hidden="1">
      <c r="A1297" s="13" t="s">
        <v>1455</v>
      </c>
      <c r="B1297" s="13" t="s">
        <v>405</v>
      </c>
      <c r="C1297" s="14">
        <v>44.0</v>
      </c>
      <c r="D1297" s="13" t="s">
        <v>69</v>
      </c>
      <c r="E1297" s="13" t="s">
        <v>97</v>
      </c>
      <c r="F1297" s="13" t="s">
        <v>79</v>
      </c>
      <c r="G1297" s="13" t="s">
        <v>39</v>
      </c>
      <c r="H1297" s="16">
        <v>45627.0</v>
      </c>
      <c r="I1297" s="14">
        <v>10.0</v>
      </c>
      <c r="J1297" s="13" t="s">
        <v>64</v>
      </c>
      <c r="K1297" s="13" t="s">
        <v>41</v>
      </c>
      <c r="L1297" s="14">
        <v>618.0</v>
      </c>
      <c r="M1297" s="18" t="s">
        <v>43</v>
      </c>
      <c r="N1297" s="20">
        <v>1.0</v>
      </c>
      <c r="O1297" s="18">
        <v>12.1</v>
      </c>
      <c r="P1297" s="20">
        <v>2.4</v>
      </c>
      <c r="Q1297" s="16">
        <v>45645.0</v>
      </c>
      <c r="R1297" s="16" t="s">
        <v>38</v>
      </c>
      <c r="S1297" s="13" t="s">
        <v>55</v>
      </c>
      <c r="T1297" s="13" t="s">
        <v>47</v>
      </c>
      <c r="U1297" s="13" t="str">
        <f t="shared" si="1"/>
        <v>Low</v>
      </c>
      <c r="V1297" s="13" t="str">
        <f t="shared" si="2"/>
        <v>Below Median</v>
      </c>
      <c r="W1297" s="13" t="str">
        <f t="shared" si="3"/>
        <v>0–12 Months</v>
      </c>
    </row>
    <row r="1298" hidden="1">
      <c r="A1298" s="13" t="s">
        <v>1861</v>
      </c>
      <c r="B1298" s="13" t="s">
        <v>118</v>
      </c>
      <c r="C1298" s="14">
        <v>42.0</v>
      </c>
      <c r="D1298" s="13" t="s">
        <v>35</v>
      </c>
      <c r="E1298" s="13" t="s">
        <v>51</v>
      </c>
      <c r="F1298" s="13" t="s">
        <v>62</v>
      </c>
      <c r="G1298" s="13" t="s">
        <v>39</v>
      </c>
      <c r="H1298" s="16">
        <v>45081.0</v>
      </c>
      <c r="I1298" s="14">
        <v>27.0</v>
      </c>
      <c r="J1298" s="13" t="s">
        <v>40</v>
      </c>
      <c r="K1298" s="13" t="s">
        <v>65</v>
      </c>
      <c r="L1298" s="14">
        <v>533.0</v>
      </c>
      <c r="M1298" s="18" t="s">
        <v>46</v>
      </c>
      <c r="N1298" s="20">
        <v>3.0</v>
      </c>
      <c r="O1298" s="18">
        <v>13.1</v>
      </c>
      <c r="P1298" s="20">
        <v>4.2</v>
      </c>
      <c r="Q1298" s="16">
        <v>45216.0</v>
      </c>
      <c r="R1298" s="16" t="s">
        <v>38</v>
      </c>
      <c r="S1298" s="13" t="s">
        <v>55</v>
      </c>
      <c r="T1298" s="13" t="s">
        <v>75</v>
      </c>
      <c r="U1298" s="13" t="str">
        <f t="shared" si="1"/>
        <v>Moderate</v>
      </c>
      <c r="V1298" s="13" t="str">
        <f t="shared" si="2"/>
        <v>Below Median</v>
      </c>
      <c r="W1298" s="13" t="str">
        <f t="shared" si="3"/>
        <v>25–48 Months</v>
      </c>
    </row>
    <row r="1299" hidden="1">
      <c r="A1299" s="13" t="s">
        <v>1862</v>
      </c>
      <c r="B1299" s="13" t="s">
        <v>651</v>
      </c>
      <c r="C1299" s="14">
        <v>30.0</v>
      </c>
      <c r="D1299" s="13" t="s">
        <v>85</v>
      </c>
      <c r="E1299" s="13" t="s">
        <v>92</v>
      </c>
      <c r="F1299" s="13" t="s">
        <v>37</v>
      </c>
      <c r="G1299" s="13" t="s">
        <v>210</v>
      </c>
      <c r="H1299" s="16">
        <v>45072.0</v>
      </c>
      <c r="I1299" s="14">
        <v>48.0</v>
      </c>
      <c r="J1299" s="13" t="s">
        <v>40</v>
      </c>
      <c r="K1299" s="13" t="s">
        <v>81</v>
      </c>
      <c r="L1299" s="14">
        <v>1656.0</v>
      </c>
      <c r="M1299" s="18" t="s">
        <v>164</v>
      </c>
      <c r="N1299" s="20">
        <v>5.0</v>
      </c>
      <c r="O1299" s="18">
        <v>33.3</v>
      </c>
      <c r="P1299" s="20">
        <v>3.0</v>
      </c>
      <c r="Q1299" s="16">
        <v>45513.0</v>
      </c>
      <c r="R1299" s="16" t="s">
        <v>38</v>
      </c>
      <c r="S1299" s="13" t="s">
        <v>55</v>
      </c>
      <c r="T1299" s="13" t="s">
        <v>66</v>
      </c>
      <c r="U1299" s="13" t="str">
        <f t="shared" si="1"/>
        <v>Moderate</v>
      </c>
      <c r="V1299" s="13" t="str">
        <f t="shared" si="2"/>
        <v>Median or Above</v>
      </c>
      <c r="W1299" s="13" t="str">
        <f t="shared" si="3"/>
        <v>25–48 Months</v>
      </c>
    </row>
    <row r="1300" hidden="1">
      <c r="A1300" s="13" t="s">
        <v>226</v>
      </c>
      <c r="B1300" s="13" t="s">
        <v>235</v>
      </c>
      <c r="C1300" s="14">
        <v>56.0</v>
      </c>
      <c r="D1300" s="13" t="s">
        <v>60</v>
      </c>
      <c r="E1300" s="13" t="s">
        <v>133</v>
      </c>
      <c r="F1300" s="13" t="s">
        <v>62</v>
      </c>
      <c r="G1300" s="13" t="s">
        <v>63</v>
      </c>
      <c r="H1300" s="16">
        <v>45005.0</v>
      </c>
      <c r="I1300" s="14">
        <v>18.0</v>
      </c>
      <c r="J1300" s="13" t="s">
        <v>64</v>
      </c>
      <c r="K1300" s="13" t="s">
        <v>41</v>
      </c>
      <c r="L1300" s="14">
        <v>566.0</v>
      </c>
      <c r="M1300" s="18" t="s">
        <v>43</v>
      </c>
      <c r="N1300" s="20">
        <v>0.0</v>
      </c>
      <c r="O1300" s="18">
        <v>12.0</v>
      </c>
      <c r="P1300" s="20">
        <v>3.6</v>
      </c>
      <c r="Q1300" s="16">
        <v>45318.0</v>
      </c>
      <c r="R1300" s="16" t="s">
        <v>38</v>
      </c>
      <c r="S1300" s="13" t="s">
        <v>55</v>
      </c>
      <c r="T1300" s="13" t="s">
        <v>104</v>
      </c>
      <c r="U1300" s="13" t="str">
        <f t="shared" si="1"/>
        <v>Moderate</v>
      </c>
      <c r="V1300" s="13" t="str">
        <f t="shared" si="2"/>
        <v>Below Median</v>
      </c>
      <c r="W1300" s="13" t="str">
        <f t="shared" si="3"/>
        <v>13–24 Months</v>
      </c>
    </row>
    <row r="1301" hidden="1">
      <c r="A1301" s="13" t="s">
        <v>528</v>
      </c>
      <c r="B1301" s="13" t="s">
        <v>169</v>
      </c>
      <c r="C1301" s="14">
        <v>65.0</v>
      </c>
      <c r="D1301" s="13" t="s">
        <v>69</v>
      </c>
      <c r="E1301" s="13" t="s">
        <v>187</v>
      </c>
      <c r="F1301" s="13" t="s">
        <v>37</v>
      </c>
      <c r="G1301" s="13" t="s">
        <v>39</v>
      </c>
      <c r="H1301" s="16">
        <v>45161.0</v>
      </c>
      <c r="I1301" s="14">
        <v>4.0</v>
      </c>
      <c r="J1301" s="13" t="s">
        <v>40</v>
      </c>
      <c r="K1301" s="13" t="s">
        <v>65</v>
      </c>
      <c r="L1301" s="14">
        <v>1448.0</v>
      </c>
      <c r="M1301" s="18" t="s">
        <v>46</v>
      </c>
      <c r="N1301" s="20">
        <v>1.0</v>
      </c>
      <c r="O1301" s="18">
        <v>36.0</v>
      </c>
      <c r="P1301" s="20">
        <v>3.9</v>
      </c>
      <c r="Q1301" s="16">
        <v>45276.0</v>
      </c>
      <c r="R1301" s="16" t="s">
        <v>1863</v>
      </c>
      <c r="S1301" s="13" t="s">
        <v>45</v>
      </c>
      <c r="T1301" s="13" t="s">
        <v>75</v>
      </c>
      <c r="U1301" s="13" t="str">
        <f t="shared" si="1"/>
        <v>Moderate</v>
      </c>
      <c r="V1301" s="13" t="str">
        <f t="shared" si="2"/>
        <v>Median or Above</v>
      </c>
      <c r="W1301" s="13" t="str">
        <f t="shared" si="3"/>
        <v>0–12 Months</v>
      </c>
    </row>
    <row r="1302" hidden="1">
      <c r="A1302" s="13" t="s">
        <v>875</v>
      </c>
      <c r="B1302" s="13" t="s">
        <v>316</v>
      </c>
      <c r="C1302" s="14">
        <v>28.0</v>
      </c>
      <c r="D1302" s="13" t="s">
        <v>60</v>
      </c>
      <c r="E1302" s="13" t="s">
        <v>133</v>
      </c>
      <c r="F1302" s="13" t="s">
        <v>62</v>
      </c>
      <c r="G1302" s="13" t="s">
        <v>128</v>
      </c>
      <c r="H1302" s="16">
        <v>45792.0</v>
      </c>
      <c r="I1302" s="14">
        <v>12.0</v>
      </c>
      <c r="J1302" s="13" t="s">
        <v>64</v>
      </c>
      <c r="K1302" s="13" t="s">
        <v>65</v>
      </c>
      <c r="L1302" s="14">
        <v>524.0</v>
      </c>
      <c r="M1302" s="18" t="s">
        <v>43</v>
      </c>
      <c r="N1302" s="20">
        <v>1.0</v>
      </c>
      <c r="O1302" s="18">
        <v>12.9</v>
      </c>
      <c r="P1302" s="20">
        <v>4.0</v>
      </c>
      <c r="Q1302" s="16">
        <v>46129.0</v>
      </c>
      <c r="R1302" s="16" t="s">
        <v>1865</v>
      </c>
      <c r="S1302" s="13" t="s">
        <v>45</v>
      </c>
      <c r="T1302" s="13" t="s">
        <v>47</v>
      </c>
      <c r="U1302" s="13" t="str">
        <f t="shared" si="1"/>
        <v>Moderate</v>
      </c>
      <c r="V1302" s="13" t="str">
        <f t="shared" si="2"/>
        <v>Below Median</v>
      </c>
      <c r="W1302" s="13" t="str">
        <f t="shared" si="3"/>
        <v>0–12 Months</v>
      </c>
    </row>
    <row r="1303" hidden="1">
      <c r="A1303" s="13" t="s">
        <v>1866</v>
      </c>
      <c r="B1303" s="13" t="s">
        <v>78</v>
      </c>
      <c r="C1303" s="14">
        <v>34.0</v>
      </c>
      <c r="D1303" s="13" t="s">
        <v>35</v>
      </c>
      <c r="E1303" s="13" t="s">
        <v>51</v>
      </c>
      <c r="F1303" s="13" t="s">
        <v>62</v>
      </c>
      <c r="G1303" s="13" t="s">
        <v>80</v>
      </c>
      <c r="H1303" s="16">
        <v>44644.0</v>
      </c>
      <c r="I1303" s="14">
        <v>38.0</v>
      </c>
      <c r="J1303" s="13" t="s">
        <v>53</v>
      </c>
      <c r="K1303" s="13" t="s">
        <v>41</v>
      </c>
      <c r="L1303" s="14">
        <v>674.0</v>
      </c>
      <c r="M1303" s="18" t="s">
        <v>43</v>
      </c>
      <c r="N1303" s="20">
        <v>0.0</v>
      </c>
      <c r="O1303" s="18">
        <v>15.0</v>
      </c>
      <c r="P1303" s="20">
        <v>3.7</v>
      </c>
      <c r="Q1303" s="16">
        <v>45747.0</v>
      </c>
      <c r="R1303" s="16" t="s">
        <v>1867</v>
      </c>
      <c r="S1303" s="13" t="s">
        <v>45</v>
      </c>
      <c r="T1303" s="13" t="s">
        <v>47</v>
      </c>
      <c r="U1303" s="13" t="str">
        <f t="shared" si="1"/>
        <v>Moderate</v>
      </c>
      <c r="V1303" s="13" t="str">
        <f t="shared" si="2"/>
        <v>Below Median</v>
      </c>
      <c r="W1303" s="13" t="str">
        <f t="shared" si="3"/>
        <v>25–48 Months</v>
      </c>
    </row>
    <row r="1304" hidden="1">
      <c r="A1304" s="13" t="s">
        <v>1868</v>
      </c>
      <c r="B1304" s="13" t="s">
        <v>633</v>
      </c>
      <c r="C1304" s="14">
        <v>66.0</v>
      </c>
      <c r="D1304" s="13" t="s">
        <v>35</v>
      </c>
      <c r="E1304" s="13" t="s">
        <v>51</v>
      </c>
      <c r="F1304" s="13" t="s">
        <v>62</v>
      </c>
      <c r="G1304" s="13" t="s">
        <v>63</v>
      </c>
      <c r="H1304" s="16">
        <v>44738.0</v>
      </c>
      <c r="I1304" s="14">
        <v>4.0</v>
      </c>
      <c r="J1304" s="13" t="s">
        <v>64</v>
      </c>
      <c r="K1304" s="13" t="s">
        <v>41</v>
      </c>
      <c r="L1304" s="14">
        <v>733.0</v>
      </c>
      <c r="M1304" s="18" t="s">
        <v>164</v>
      </c>
      <c r="N1304" s="20">
        <v>0.0</v>
      </c>
      <c r="O1304" s="18">
        <v>30.0</v>
      </c>
      <c r="P1304" s="20">
        <v>2.7</v>
      </c>
      <c r="Q1304" s="16">
        <v>44808.0</v>
      </c>
      <c r="R1304" s="16" t="s">
        <v>38</v>
      </c>
      <c r="S1304" s="13" t="s">
        <v>55</v>
      </c>
      <c r="T1304" s="13" t="s">
        <v>104</v>
      </c>
      <c r="U1304" s="13" t="str">
        <f t="shared" si="1"/>
        <v>Low</v>
      </c>
      <c r="V1304" s="13" t="str">
        <f t="shared" si="2"/>
        <v>Median or Above</v>
      </c>
      <c r="W1304" s="13" t="str">
        <f t="shared" si="3"/>
        <v>0–12 Months</v>
      </c>
    </row>
    <row r="1305" hidden="1">
      <c r="A1305" s="13" t="s">
        <v>528</v>
      </c>
      <c r="B1305" s="13" t="s">
        <v>232</v>
      </c>
      <c r="C1305" s="14">
        <v>63.0</v>
      </c>
      <c r="D1305" s="13" t="s">
        <v>35</v>
      </c>
      <c r="E1305" s="13" t="s">
        <v>140</v>
      </c>
      <c r="F1305" s="13" t="s">
        <v>62</v>
      </c>
      <c r="G1305" s="13" t="s">
        <v>63</v>
      </c>
      <c r="H1305" s="16">
        <v>45850.0</v>
      </c>
      <c r="I1305" s="14">
        <v>15.0</v>
      </c>
      <c r="J1305" s="13" t="s">
        <v>53</v>
      </c>
      <c r="K1305" s="13" t="s">
        <v>41</v>
      </c>
      <c r="L1305" s="14">
        <v>679.0</v>
      </c>
      <c r="M1305" s="18" t="s">
        <v>98</v>
      </c>
      <c r="N1305" s="20">
        <v>2.0</v>
      </c>
      <c r="O1305" s="18">
        <v>14.0</v>
      </c>
      <c r="P1305" s="20" t="s">
        <v>38</v>
      </c>
      <c r="Q1305" s="16">
        <v>46177.0</v>
      </c>
      <c r="R1305" s="16" t="s">
        <v>38</v>
      </c>
      <c r="S1305" s="13" t="s">
        <v>55</v>
      </c>
      <c r="T1305" s="13" t="s">
        <v>66</v>
      </c>
      <c r="U1305" s="13" t="str">
        <f t="shared" si="1"/>
        <v/>
      </c>
      <c r="V1305" s="13" t="str">
        <f t="shared" si="2"/>
        <v>Below Median</v>
      </c>
      <c r="W1305" s="13" t="str">
        <f t="shared" si="3"/>
        <v>13–24 Months</v>
      </c>
    </row>
    <row r="1306" hidden="1">
      <c r="A1306" s="13" t="s">
        <v>1690</v>
      </c>
      <c r="B1306" s="13" t="s">
        <v>190</v>
      </c>
      <c r="C1306" s="14">
        <v>29.0</v>
      </c>
      <c r="D1306" s="13" t="s">
        <v>35</v>
      </c>
      <c r="E1306" s="13" t="s">
        <v>140</v>
      </c>
      <c r="F1306" s="13" t="s">
        <v>62</v>
      </c>
      <c r="G1306" s="13" t="s">
        <v>39</v>
      </c>
      <c r="H1306" s="16">
        <v>44853.0</v>
      </c>
      <c r="I1306" s="14">
        <v>32.0</v>
      </c>
      <c r="J1306" s="13" t="s">
        <v>40</v>
      </c>
      <c r="K1306" s="13" t="s">
        <v>65</v>
      </c>
      <c r="L1306" s="14">
        <v>882.0</v>
      </c>
      <c r="M1306" s="18" t="s">
        <v>43</v>
      </c>
      <c r="N1306" s="20">
        <v>0.0</v>
      </c>
      <c r="O1306" s="18">
        <v>26.8</v>
      </c>
      <c r="P1306" s="20">
        <v>4.1</v>
      </c>
      <c r="Q1306" s="16">
        <v>45088.0</v>
      </c>
      <c r="R1306" s="16">
        <v>45571.0</v>
      </c>
      <c r="S1306" s="13" t="s">
        <v>45</v>
      </c>
      <c r="T1306" s="13" t="s">
        <v>72</v>
      </c>
      <c r="U1306" s="13" t="str">
        <f t="shared" si="1"/>
        <v>Moderate</v>
      </c>
      <c r="V1306" s="13" t="str">
        <f t="shared" si="2"/>
        <v>Median or Above</v>
      </c>
      <c r="W1306" s="13" t="str">
        <f t="shared" si="3"/>
        <v>25–48 Months</v>
      </c>
    </row>
    <row r="1307" hidden="1">
      <c r="A1307" s="13" t="s">
        <v>374</v>
      </c>
      <c r="B1307" s="13" t="s">
        <v>362</v>
      </c>
      <c r="C1307" s="14">
        <v>66.0</v>
      </c>
      <c r="D1307" s="13" t="s">
        <v>69</v>
      </c>
      <c r="E1307" s="13" t="s">
        <v>70</v>
      </c>
      <c r="F1307" s="13" t="s">
        <v>62</v>
      </c>
      <c r="G1307" s="13" t="s">
        <v>120</v>
      </c>
      <c r="H1307" s="16">
        <v>45952.0</v>
      </c>
      <c r="I1307" s="14">
        <v>21.0</v>
      </c>
      <c r="J1307" s="13" t="s">
        <v>64</v>
      </c>
      <c r="K1307" s="13" t="s">
        <v>41</v>
      </c>
      <c r="L1307" s="14">
        <v>632.0</v>
      </c>
      <c r="M1307" s="18" t="s">
        <v>46</v>
      </c>
      <c r="N1307" s="20">
        <v>0.0</v>
      </c>
      <c r="O1307" s="18">
        <v>26.6</v>
      </c>
      <c r="P1307" s="20">
        <v>2.9</v>
      </c>
      <c r="Q1307" s="16">
        <v>46353.0</v>
      </c>
      <c r="R1307" s="16" t="s">
        <v>38</v>
      </c>
      <c r="S1307" s="13" t="s">
        <v>55</v>
      </c>
      <c r="T1307" s="13" t="s">
        <v>66</v>
      </c>
      <c r="U1307" s="13" t="str">
        <f t="shared" si="1"/>
        <v>Low</v>
      </c>
      <c r="V1307" s="13" t="str">
        <f t="shared" si="2"/>
        <v>Median or Above</v>
      </c>
      <c r="W1307" s="13" t="str">
        <f t="shared" si="3"/>
        <v>13–24 Months</v>
      </c>
    </row>
    <row r="1308" hidden="1">
      <c r="A1308" s="13" t="s">
        <v>891</v>
      </c>
      <c r="B1308" s="13" t="s">
        <v>74</v>
      </c>
      <c r="C1308" s="14">
        <v>36.0</v>
      </c>
      <c r="D1308" s="13" t="s">
        <v>85</v>
      </c>
      <c r="E1308" s="13" t="s">
        <v>177</v>
      </c>
      <c r="F1308" s="13" t="s">
        <v>62</v>
      </c>
      <c r="G1308" s="13" t="s">
        <v>120</v>
      </c>
      <c r="H1308" s="16">
        <v>44599.0</v>
      </c>
      <c r="I1308" s="14">
        <v>20.0</v>
      </c>
      <c r="J1308" s="13" t="s">
        <v>53</v>
      </c>
      <c r="K1308" s="13" t="s">
        <v>41</v>
      </c>
      <c r="L1308" s="14">
        <v>764.0</v>
      </c>
      <c r="M1308" s="18" t="s">
        <v>43</v>
      </c>
      <c r="N1308" s="20">
        <v>0.0</v>
      </c>
      <c r="O1308" s="18">
        <v>25.7</v>
      </c>
      <c r="P1308" s="20">
        <v>4.3</v>
      </c>
      <c r="Q1308" s="16">
        <v>45203.0</v>
      </c>
      <c r="R1308" s="16" t="s">
        <v>38</v>
      </c>
      <c r="S1308" s="13" t="s">
        <v>55</v>
      </c>
      <c r="T1308" s="13" t="s">
        <v>47</v>
      </c>
      <c r="U1308" s="13" t="str">
        <f t="shared" si="1"/>
        <v>Moderate</v>
      </c>
      <c r="V1308" s="13" t="str">
        <f t="shared" si="2"/>
        <v>Median or Above</v>
      </c>
      <c r="W1308" s="13" t="str">
        <f t="shared" si="3"/>
        <v>13–24 Months</v>
      </c>
    </row>
    <row r="1309" hidden="1">
      <c r="A1309" s="13" t="s">
        <v>797</v>
      </c>
      <c r="B1309" s="13" t="s">
        <v>241</v>
      </c>
      <c r="C1309" s="14">
        <v>58.0</v>
      </c>
      <c r="D1309" s="13" t="s">
        <v>60</v>
      </c>
      <c r="E1309" s="13" t="s">
        <v>133</v>
      </c>
      <c r="F1309" s="13" t="s">
        <v>37</v>
      </c>
      <c r="G1309" s="13" t="s">
        <v>52</v>
      </c>
      <c r="H1309" s="16">
        <v>45277.0</v>
      </c>
      <c r="I1309" s="14">
        <v>5.0</v>
      </c>
      <c r="J1309" s="13" t="s">
        <v>64</v>
      </c>
      <c r="K1309" s="13" t="s">
        <v>41</v>
      </c>
      <c r="L1309" s="14">
        <v>1193.0</v>
      </c>
      <c r="M1309" s="18" t="s">
        <v>98</v>
      </c>
      <c r="N1309" s="20">
        <v>1.0</v>
      </c>
      <c r="O1309" s="18">
        <v>39.5</v>
      </c>
      <c r="P1309" s="20">
        <v>2.1</v>
      </c>
      <c r="Q1309" s="16">
        <v>45401.0</v>
      </c>
      <c r="R1309" s="16" t="s">
        <v>38</v>
      </c>
      <c r="S1309" s="13" t="s">
        <v>55</v>
      </c>
      <c r="T1309" s="13" t="s">
        <v>75</v>
      </c>
      <c r="U1309" s="13" t="str">
        <f t="shared" si="1"/>
        <v>Low</v>
      </c>
      <c r="V1309" s="13" t="str">
        <f t="shared" si="2"/>
        <v>Median or Above</v>
      </c>
      <c r="W1309" s="13" t="str">
        <f t="shared" si="3"/>
        <v>0–12 Months</v>
      </c>
    </row>
    <row r="1310" hidden="1">
      <c r="A1310" s="13" t="s">
        <v>1200</v>
      </c>
      <c r="B1310" s="13" t="s">
        <v>257</v>
      </c>
      <c r="C1310" s="14">
        <v>29.0</v>
      </c>
      <c r="D1310" s="13" t="s">
        <v>69</v>
      </c>
      <c r="E1310" s="13" t="s">
        <v>187</v>
      </c>
      <c r="F1310" s="13" t="s">
        <v>79</v>
      </c>
      <c r="G1310" s="13" t="s">
        <v>63</v>
      </c>
      <c r="H1310" s="16">
        <v>45210.0</v>
      </c>
      <c r="I1310" s="14">
        <v>27.0</v>
      </c>
      <c r="J1310" s="13" t="s">
        <v>40</v>
      </c>
      <c r="K1310" s="13" t="s">
        <v>65</v>
      </c>
      <c r="L1310" s="14">
        <v>3885.0</v>
      </c>
      <c r="M1310" s="18" t="s">
        <v>164</v>
      </c>
      <c r="N1310" s="20">
        <v>0.0</v>
      </c>
      <c r="O1310" s="18">
        <v>34.5</v>
      </c>
      <c r="P1310" s="20">
        <v>3.7</v>
      </c>
      <c r="Q1310" s="16">
        <v>45729.0</v>
      </c>
      <c r="R1310" s="16" t="s">
        <v>38</v>
      </c>
      <c r="S1310" s="13" t="s">
        <v>55</v>
      </c>
      <c r="T1310" s="13" t="s">
        <v>66</v>
      </c>
      <c r="U1310" s="13" t="str">
        <f t="shared" si="1"/>
        <v>Moderate</v>
      </c>
      <c r="V1310" s="13" t="str">
        <f t="shared" si="2"/>
        <v>Median or Above</v>
      </c>
      <c r="W1310" s="13" t="str">
        <f t="shared" si="3"/>
        <v>25–48 Months</v>
      </c>
    </row>
    <row r="1311" hidden="1">
      <c r="A1311" s="13" t="s">
        <v>1870</v>
      </c>
      <c r="B1311" s="13" t="s">
        <v>605</v>
      </c>
      <c r="C1311" s="14">
        <v>28.0</v>
      </c>
      <c r="D1311" s="13" t="s">
        <v>35</v>
      </c>
      <c r="E1311" s="13" t="s">
        <v>140</v>
      </c>
      <c r="F1311" s="13" t="s">
        <v>62</v>
      </c>
      <c r="G1311" s="13" t="s">
        <v>120</v>
      </c>
      <c r="H1311" s="16">
        <v>45277.0</v>
      </c>
      <c r="I1311" s="14">
        <v>35.0</v>
      </c>
      <c r="J1311" s="13" t="s">
        <v>64</v>
      </c>
      <c r="K1311" s="13" t="s">
        <v>65</v>
      </c>
      <c r="L1311" s="14">
        <v>808.0</v>
      </c>
      <c r="M1311" s="18" t="s">
        <v>99</v>
      </c>
      <c r="N1311" s="20">
        <v>1.0</v>
      </c>
      <c r="O1311" s="18">
        <v>11.0</v>
      </c>
      <c r="P1311" s="20">
        <v>2.3</v>
      </c>
      <c r="Q1311" s="16">
        <v>46042.0</v>
      </c>
      <c r="R1311" s="16" t="s">
        <v>38</v>
      </c>
      <c r="S1311" s="13" t="s">
        <v>55</v>
      </c>
      <c r="T1311" s="13" t="s">
        <v>104</v>
      </c>
      <c r="U1311" s="13" t="str">
        <f t="shared" si="1"/>
        <v>Low</v>
      </c>
      <c r="V1311" s="13" t="str">
        <f t="shared" si="2"/>
        <v>Below Median</v>
      </c>
      <c r="W1311" s="13" t="str">
        <f t="shared" si="3"/>
        <v>25–48 Months</v>
      </c>
    </row>
    <row r="1312" hidden="1">
      <c r="A1312" s="13" t="s">
        <v>1333</v>
      </c>
      <c r="B1312" s="13" t="s">
        <v>333</v>
      </c>
      <c r="C1312" s="14">
        <v>34.0</v>
      </c>
      <c r="D1312" s="13" t="s">
        <v>60</v>
      </c>
      <c r="E1312" s="13" t="s">
        <v>133</v>
      </c>
      <c r="F1312" s="13" t="s">
        <v>62</v>
      </c>
      <c r="G1312" s="13" t="s">
        <v>39</v>
      </c>
      <c r="H1312" s="16">
        <v>45773.0</v>
      </c>
      <c r="I1312" s="14">
        <v>21.0</v>
      </c>
      <c r="J1312" s="13" t="s">
        <v>53</v>
      </c>
      <c r="K1312" s="13" t="s">
        <v>81</v>
      </c>
      <c r="L1312" s="14">
        <v>839.0</v>
      </c>
      <c r="M1312" s="18" t="s">
        <v>164</v>
      </c>
      <c r="N1312" s="20">
        <v>2.0</v>
      </c>
      <c r="O1312" s="18">
        <v>24.1</v>
      </c>
      <c r="P1312" s="20">
        <v>2.9</v>
      </c>
      <c r="Q1312" s="16">
        <v>46194.0</v>
      </c>
      <c r="R1312" s="16" t="s">
        <v>38</v>
      </c>
      <c r="S1312" s="13" t="s">
        <v>55</v>
      </c>
      <c r="T1312" s="13" t="s">
        <v>47</v>
      </c>
      <c r="U1312" s="13" t="str">
        <f t="shared" si="1"/>
        <v>Low</v>
      </c>
      <c r="V1312" s="13" t="str">
        <f t="shared" si="2"/>
        <v>Median or Above</v>
      </c>
      <c r="W1312" s="13" t="str">
        <f t="shared" si="3"/>
        <v>13–24 Months</v>
      </c>
    </row>
    <row r="1313" hidden="1">
      <c r="A1313" s="13" t="s">
        <v>1552</v>
      </c>
      <c r="B1313" s="13" t="s">
        <v>224</v>
      </c>
      <c r="C1313" s="14">
        <v>58.0</v>
      </c>
      <c r="D1313" s="13" t="s">
        <v>85</v>
      </c>
      <c r="E1313" s="13" t="s">
        <v>111</v>
      </c>
      <c r="F1313" s="13" t="s">
        <v>37</v>
      </c>
      <c r="G1313" s="13" t="s">
        <v>52</v>
      </c>
      <c r="H1313" s="16">
        <v>45169.0</v>
      </c>
      <c r="I1313" s="14">
        <v>43.0</v>
      </c>
      <c r="J1313" s="13" t="s">
        <v>64</v>
      </c>
      <c r="K1313" s="13" t="s">
        <v>41</v>
      </c>
      <c r="L1313" s="14">
        <v>1042.0</v>
      </c>
      <c r="M1313" s="18" t="s">
        <v>98</v>
      </c>
      <c r="N1313" s="20">
        <v>1.0</v>
      </c>
      <c r="O1313" s="18">
        <v>11.6</v>
      </c>
      <c r="P1313" s="20">
        <v>3.1</v>
      </c>
      <c r="Q1313" s="16">
        <v>45951.0</v>
      </c>
      <c r="R1313" s="16">
        <v>45354.0</v>
      </c>
      <c r="S1313" s="13" t="s">
        <v>45</v>
      </c>
      <c r="T1313" s="13" t="s">
        <v>66</v>
      </c>
      <c r="U1313" s="13" t="str">
        <f t="shared" si="1"/>
        <v>Moderate</v>
      </c>
      <c r="V1313" s="13" t="str">
        <f t="shared" si="2"/>
        <v>Below Median</v>
      </c>
      <c r="W1313" s="13" t="str">
        <f t="shared" si="3"/>
        <v>25–48 Months</v>
      </c>
    </row>
    <row r="1314" hidden="1">
      <c r="A1314" s="13" t="s">
        <v>1866</v>
      </c>
      <c r="B1314" s="13" t="s">
        <v>395</v>
      </c>
      <c r="C1314" s="14">
        <v>64.0</v>
      </c>
      <c r="D1314" s="13" t="s">
        <v>35</v>
      </c>
      <c r="E1314" s="13" t="s">
        <v>51</v>
      </c>
      <c r="F1314" s="13" t="s">
        <v>62</v>
      </c>
      <c r="G1314" s="13" t="s">
        <v>63</v>
      </c>
      <c r="H1314" s="16">
        <v>45018.0</v>
      </c>
      <c r="I1314" s="14">
        <v>42.0</v>
      </c>
      <c r="J1314" s="13" t="s">
        <v>40</v>
      </c>
      <c r="K1314" s="13" t="s">
        <v>41</v>
      </c>
      <c r="L1314" s="14">
        <v>519.0</v>
      </c>
      <c r="M1314" s="18" t="s">
        <v>98</v>
      </c>
      <c r="N1314" s="20">
        <v>0.0</v>
      </c>
      <c r="O1314" s="18">
        <v>17.1</v>
      </c>
      <c r="P1314" s="20">
        <v>2.3</v>
      </c>
      <c r="Q1314" s="16">
        <v>46203.0</v>
      </c>
      <c r="R1314" s="16" t="s">
        <v>38</v>
      </c>
      <c r="S1314" s="13" t="s">
        <v>55</v>
      </c>
      <c r="T1314" s="13" t="s">
        <v>104</v>
      </c>
      <c r="U1314" s="13" t="str">
        <f t="shared" si="1"/>
        <v>Low</v>
      </c>
      <c r="V1314" s="13" t="str">
        <f t="shared" si="2"/>
        <v>Below Median</v>
      </c>
      <c r="W1314" s="13" t="str">
        <f t="shared" si="3"/>
        <v>25–48 Months</v>
      </c>
    </row>
    <row r="1315" hidden="1">
      <c r="A1315" s="13" t="s">
        <v>1871</v>
      </c>
      <c r="B1315" s="13" t="s">
        <v>145</v>
      </c>
      <c r="C1315" s="14">
        <v>46.0</v>
      </c>
      <c r="D1315" s="13" t="s">
        <v>69</v>
      </c>
      <c r="E1315" s="13" t="s">
        <v>70</v>
      </c>
      <c r="F1315" s="13" t="s">
        <v>79</v>
      </c>
      <c r="G1315" s="13" t="s">
        <v>39</v>
      </c>
      <c r="H1315" s="16">
        <v>44718.0</v>
      </c>
      <c r="I1315" s="14">
        <v>24.0</v>
      </c>
      <c r="J1315" s="13" t="s">
        <v>64</v>
      </c>
      <c r="K1315" s="13" t="s">
        <v>65</v>
      </c>
      <c r="L1315" s="14">
        <v>3866.0</v>
      </c>
      <c r="M1315" s="18" t="s">
        <v>99</v>
      </c>
      <c r="N1315" s="20">
        <v>2.0</v>
      </c>
      <c r="O1315" s="18">
        <v>42.3</v>
      </c>
      <c r="P1315" s="20">
        <v>3.0</v>
      </c>
      <c r="Q1315" s="16">
        <v>44843.0</v>
      </c>
      <c r="R1315" s="16" t="s">
        <v>1873</v>
      </c>
      <c r="S1315" s="13" t="s">
        <v>45</v>
      </c>
      <c r="T1315" s="13" t="s">
        <v>66</v>
      </c>
      <c r="U1315" s="13" t="str">
        <f t="shared" si="1"/>
        <v>Moderate</v>
      </c>
      <c r="V1315" s="13" t="str">
        <f t="shared" si="2"/>
        <v>Median or Above</v>
      </c>
      <c r="W1315" s="13" t="str">
        <f t="shared" si="3"/>
        <v>13–24 Months</v>
      </c>
    </row>
    <row r="1316" hidden="1">
      <c r="A1316" s="13" t="s">
        <v>1874</v>
      </c>
      <c r="B1316" s="13" t="s">
        <v>222</v>
      </c>
      <c r="C1316" s="14">
        <v>38.0</v>
      </c>
      <c r="D1316" s="13" t="s">
        <v>85</v>
      </c>
      <c r="E1316" s="13" t="s">
        <v>92</v>
      </c>
      <c r="F1316" s="13" t="s">
        <v>37</v>
      </c>
      <c r="G1316" s="13" t="s">
        <v>63</v>
      </c>
      <c r="H1316" s="16">
        <v>45755.0</v>
      </c>
      <c r="I1316" s="14">
        <v>8.0</v>
      </c>
      <c r="J1316" s="13" t="s">
        <v>40</v>
      </c>
      <c r="K1316" s="13" t="s">
        <v>81</v>
      </c>
      <c r="L1316" s="14">
        <v>3099.0</v>
      </c>
      <c r="M1316" s="18" t="s">
        <v>98</v>
      </c>
      <c r="N1316" s="20">
        <v>1.0</v>
      </c>
      <c r="O1316" s="18">
        <v>36.1</v>
      </c>
      <c r="P1316" s="20">
        <v>3.5</v>
      </c>
      <c r="Q1316" s="16">
        <v>45779.0</v>
      </c>
      <c r="R1316" s="16" t="s">
        <v>38</v>
      </c>
      <c r="S1316" s="13" t="s">
        <v>55</v>
      </c>
      <c r="T1316" s="13" t="s">
        <v>104</v>
      </c>
      <c r="U1316" s="13" t="str">
        <f t="shared" si="1"/>
        <v>Moderate</v>
      </c>
      <c r="V1316" s="13" t="str">
        <f t="shared" si="2"/>
        <v>Median or Above</v>
      </c>
      <c r="W1316" s="13" t="str">
        <f t="shared" si="3"/>
        <v>0–12 Months</v>
      </c>
    </row>
    <row r="1317" hidden="1">
      <c r="A1317" s="13" t="s">
        <v>978</v>
      </c>
      <c r="B1317" s="13" t="s">
        <v>167</v>
      </c>
      <c r="C1317" s="14">
        <v>68.0</v>
      </c>
      <c r="D1317" s="13" t="s">
        <v>85</v>
      </c>
      <c r="E1317" s="13" t="s">
        <v>111</v>
      </c>
      <c r="F1317" s="13" t="s">
        <v>37</v>
      </c>
      <c r="G1317" s="13" t="s">
        <v>80</v>
      </c>
      <c r="H1317" s="16">
        <v>45581.0</v>
      </c>
      <c r="I1317" s="14">
        <v>29.0</v>
      </c>
      <c r="J1317" s="13" t="s">
        <v>64</v>
      </c>
      <c r="K1317" s="13" t="s">
        <v>65</v>
      </c>
      <c r="L1317" s="14">
        <v>1249.0</v>
      </c>
      <c r="M1317" s="18" t="s">
        <v>98</v>
      </c>
      <c r="N1317" s="20">
        <v>0.0</v>
      </c>
      <c r="O1317" s="18">
        <v>32.9</v>
      </c>
      <c r="P1317" s="20">
        <v>5.0</v>
      </c>
      <c r="Q1317" s="16">
        <v>45912.0</v>
      </c>
      <c r="R1317" s="16" t="s">
        <v>38</v>
      </c>
      <c r="S1317" s="13" t="s">
        <v>55</v>
      </c>
      <c r="T1317" s="13" t="s">
        <v>75</v>
      </c>
      <c r="U1317" s="13" t="str">
        <f t="shared" si="1"/>
        <v>High</v>
      </c>
      <c r="V1317" s="13" t="str">
        <f t="shared" si="2"/>
        <v>Median or Above</v>
      </c>
      <c r="W1317" s="13" t="str">
        <f t="shared" si="3"/>
        <v>25–48 Months</v>
      </c>
    </row>
    <row r="1318">
      <c r="A1318" s="13" t="s">
        <v>1186</v>
      </c>
      <c r="B1318" s="13" t="s">
        <v>605</v>
      </c>
      <c r="C1318" s="14">
        <v>64.0</v>
      </c>
      <c r="D1318" s="13" t="s">
        <v>85</v>
      </c>
      <c r="E1318" s="13" t="s">
        <v>92</v>
      </c>
      <c r="F1318" s="13" t="s">
        <v>37</v>
      </c>
      <c r="G1318" s="13" t="s">
        <v>63</v>
      </c>
      <c r="H1318" s="16">
        <v>45782.0</v>
      </c>
      <c r="I1318" s="14">
        <v>28.0</v>
      </c>
      <c r="J1318" s="13" t="s">
        <v>53</v>
      </c>
      <c r="K1318" s="13" t="s">
        <v>41</v>
      </c>
      <c r="L1318" s="14">
        <v>1302.0</v>
      </c>
      <c r="M1318" s="18" t="s">
        <v>164</v>
      </c>
      <c r="N1318" s="20">
        <v>1.0</v>
      </c>
      <c r="O1318" s="18">
        <v>18.9</v>
      </c>
      <c r="P1318" s="20">
        <v>4.5</v>
      </c>
      <c r="Q1318" s="16">
        <v>45976.0</v>
      </c>
      <c r="R1318" s="16" t="s">
        <v>1875</v>
      </c>
      <c r="S1318" s="13" t="s">
        <v>230</v>
      </c>
      <c r="T1318" s="13" t="s">
        <v>47</v>
      </c>
      <c r="U1318" s="13" t="str">
        <f t="shared" si="1"/>
        <v>Moderate</v>
      </c>
      <c r="V1318" s="13" t="str">
        <f t="shared" si="2"/>
        <v>Below Median</v>
      </c>
      <c r="W1318" s="13" t="str">
        <f t="shared" si="3"/>
        <v>25–48 Months</v>
      </c>
    </row>
    <row r="1319" hidden="1">
      <c r="A1319" s="13" t="s">
        <v>1876</v>
      </c>
      <c r="B1319" s="13" t="s">
        <v>736</v>
      </c>
      <c r="C1319" s="14">
        <v>65.0</v>
      </c>
      <c r="D1319" s="13" t="s">
        <v>69</v>
      </c>
      <c r="E1319" s="13" t="s">
        <v>187</v>
      </c>
      <c r="F1319" s="13" t="s">
        <v>62</v>
      </c>
      <c r="G1319" s="13" t="s">
        <v>52</v>
      </c>
      <c r="H1319" s="16">
        <v>44692.0</v>
      </c>
      <c r="I1319" s="14">
        <v>3.0</v>
      </c>
      <c r="J1319" s="13" t="s">
        <v>53</v>
      </c>
      <c r="K1319" s="13" t="s">
        <v>81</v>
      </c>
      <c r="L1319" s="14">
        <v>812.0</v>
      </c>
      <c r="M1319" s="18" t="s">
        <v>43</v>
      </c>
      <c r="N1319" s="20">
        <v>0.0</v>
      </c>
      <c r="O1319" s="18">
        <v>17.8</v>
      </c>
      <c r="P1319" s="20">
        <v>2.8</v>
      </c>
      <c r="Q1319" s="16">
        <v>44729.0</v>
      </c>
      <c r="R1319" s="16" t="s">
        <v>38</v>
      </c>
      <c r="S1319" s="13" t="s">
        <v>55</v>
      </c>
      <c r="T1319" s="13" t="s">
        <v>66</v>
      </c>
      <c r="U1319" s="13" t="str">
        <f t="shared" si="1"/>
        <v>Low</v>
      </c>
      <c r="V1319" s="13" t="str">
        <f t="shared" si="2"/>
        <v>Below Median</v>
      </c>
      <c r="W1319" s="13" t="str">
        <f t="shared" si="3"/>
        <v>0–12 Months</v>
      </c>
    </row>
    <row r="1320" hidden="1">
      <c r="A1320" s="13" t="s">
        <v>629</v>
      </c>
      <c r="B1320" s="13" t="s">
        <v>340</v>
      </c>
      <c r="C1320" s="14">
        <v>60.0</v>
      </c>
      <c r="D1320" s="13" t="s">
        <v>35</v>
      </c>
      <c r="E1320" s="13" t="s">
        <v>36</v>
      </c>
      <c r="F1320" s="13" t="s">
        <v>37</v>
      </c>
      <c r="G1320" s="13" t="s">
        <v>80</v>
      </c>
      <c r="H1320" s="16">
        <v>45476.0</v>
      </c>
      <c r="I1320" s="14">
        <v>10.0</v>
      </c>
      <c r="J1320" s="13" t="s">
        <v>40</v>
      </c>
      <c r="K1320" s="13" t="s">
        <v>81</v>
      </c>
      <c r="L1320" s="14">
        <v>1601.0</v>
      </c>
      <c r="M1320" s="18" t="s">
        <v>43</v>
      </c>
      <c r="N1320" s="20">
        <v>1.0</v>
      </c>
      <c r="O1320" s="18">
        <v>34.0</v>
      </c>
      <c r="P1320" s="20">
        <v>3.8</v>
      </c>
      <c r="Q1320" s="16">
        <v>45790.0</v>
      </c>
      <c r="R1320" s="16" t="s">
        <v>1877</v>
      </c>
      <c r="S1320" s="13" t="s">
        <v>45</v>
      </c>
      <c r="T1320" s="13" t="s">
        <v>47</v>
      </c>
      <c r="U1320" s="13" t="str">
        <f t="shared" si="1"/>
        <v>Moderate</v>
      </c>
      <c r="V1320" s="13" t="str">
        <f t="shared" si="2"/>
        <v>Median or Above</v>
      </c>
      <c r="W1320" s="13" t="str">
        <f t="shared" si="3"/>
        <v>0–12 Months</v>
      </c>
    </row>
    <row r="1321" hidden="1">
      <c r="A1321" s="13" t="s">
        <v>1878</v>
      </c>
      <c r="B1321" s="13" t="s">
        <v>132</v>
      </c>
      <c r="C1321" s="14">
        <v>19.0</v>
      </c>
      <c r="D1321" s="13" t="s">
        <v>35</v>
      </c>
      <c r="E1321" s="13" t="s">
        <v>36</v>
      </c>
      <c r="F1321" s="13" t="s">
        <v>62</v>
      </c>
      <c r="G1321" s="13" t="s">
        <v>120</v>
      </c>
      <c r="H1321" s="16">
        <v>45426.0</v>
      </c>
      <c r="I1321" s="14">
        <v>27.0</v>
      </c>
      <c r="J1321" s="13" t="s">
        <v>53</v>
      </c>
      <c r="K1321" s="13" t="s">
        <v>41</v>
      </c>
      <c r="L1321" s="14">
        <v>851.0</v>
      </c>
      <c r="M1321" s="18" t="s">
        <v>164</v>
      </c>
      <c r="N1321" s="20">
        <v>0.0</v>
      </c>
      <c r="O1321" s="18">
        <v>28.4</v>
      </c>
      <c r="P1321" s="20">
        <v>4.3</v>
      </c>
      <c r="Q1321" s="16">
        <v>46159.0</v>
      </c>
      <c r="R1321" s="16" t="s">
        <v>38</v>
      </c>
      <c r="S1321" s="13" t="s">
        <v>55</v>
      </c>
      <c r="T1321" s="13" t="s">
        <v>47</v>
      </c>
      <c r="U1321" s="13" t="str">
        <f t="shared" si="1"/>
        <v>Moderate</v>
      </c>
      <c r="V1321" s="13" t="str">
        <f t="shared" si="2"/>
        <v>Median or Above</v>
      </c>
      <c r="W1321" s="13" t="str">
        <f t="shared" si="3"/>
        <v>25–48 Months</v>
      </c>
    </row>
    <row r="1322" hidden="1">
      <c r="A1322" s="13" t="s">
        <v>1879</v>
      </c>
      <c r="B1322" s="13" t="s">
        <v>250</v>
      </c>
      <c r="C1322" s="14">
        <v>52.0</v>
      </c>
      <c r="D1322" s="13" t="s">
        <v>60</v>
      </c>
      <c r="E1322" s="13" t="s">
        <v>97</v>
      </c>
      <c r="F1322" s="13" t="s">
        <v>37</v>
      </c>
      <c r="G1322" s="13" t="s">
        <v>39</v>
      </c>
      <c r="H1322" s="16">
        <v>44759.0</v>
      </c>
      <c r="I1322" s="14">
        <v>1.0</v>
      </c>
      <c r="J1322" s="13" t="s">
        <v>40</v>
      </c>
      <c r="K1322" s="13" t="s">
        <v>81</v>
      </c>
      <c r="L1322" s="14">
        <v>1333.0</v>
      </c>
      <c r="M1322" s="18" t="s">
        <v>164</v>
      </c>
      <c r="N1322" s="20">
        <v>1.0</v>
      </c>
      <c r="O1322" s="18">
        <v>38.9</v>
      </c>
      <c r="P1322" s="20">
        <v>3.4</v>
      </c>
      <c r="Q1322" s="16">
        <v>44780.0</v>
      </c>
      <c r="R1322" s="16" t="s">
        <v>38</v>
      </c>
      <c r="S1322" s="13" t="s">
        <v>55</v>
      </c>
      <c r="T1322" s="13" t="s">
        <v>104</v>
      </c>
      <c r="U1322" s="13" t="str">
        <f t="shared" si="1"/>
        <v>Moderate</v>
      </c>
      <c r="V1322" s="13" t="str">
        <f t="shared" si="2"/>
        <v>Median or Above</v>
      </c>
      <c r="W1322" s="13" t="str">
        <f t="shared" si="3"/>
        <v>0–12 Months</v>
      </c>
    </row>
    <row r="1323" hidden="1">
      <c r="A1323" s="13" t="s">
        <v>1881</v>
      </c>
      <c r="B1323" s="13" t="s">
        <v>393</v>
      </c>
      <c r="C1323" s="14">
        <v>29.0</v>
      </c>
      <c r="D1323" s="13" t="s">
        <v>69</v>
      </c>
      <c r="E1323" s="13" t="s">
        <v>119</v>
      </c>
      <c r="F1323" s="13" t="s">
        <v>37</v>
      </c>
      <c r="G1323" s="13" t="s">
        <v>80</v>
      </c>
      <c r="H1323" s="16">
        <v>44912.0</v>
      </c>
      <c r="I1323" s="14">
        <v>43.0</v>
      </c>
      <c r="J1323" s="13" t="s">
        <v>53</v>
      </c>
      <c r="K1323" s="13" t="s">
        <v>65</v>
      </c>
      <c r="L1323" s="14">
        <v>1625.0</v>
      </c>
      <c r="M1323" s="18" t="s">
        <v>164</v>
      </c>
      <c r="N1323" s="20">
        <v>0.0</v>
      </c>
      <c r="O1323" s="18">
        <v>40.6</v>
      </c>
      <c r="P1323" s="20">
        <v>2.9</v>
      </c>
      <c r="Q1323" s="16">
        <v>45044.0</v>
      </c>
      <c r="R1323" s="16" t="s">
        <v>1882</v>
      </c>
      <c r="S1323" s="13" t="s">
        <v>45</v>
      </c>
      <c r="T1323" s="13" t="s">
        <v>47</v>
      </c>
      <c r="U1323" s="13" t="str">
        <f t="shared" si="1"/>
        <v>Low</v>
      </c>
      <c r="V1323" s="13" t="str">
        <f t="shared" si="2"/>
        <v>Median or Above</v>
      </c>
      <c r="W1323" s="13" t="str">
        <f t="shared" si="3"/>
        <v>25–48 Months</v>
      </c>
    </row>
    <row r="1324" hidden="1">
      <c r="A1324" s="13" t="s">
        <v>294</v>
      </c>
      <c r="B1324" s="13" t="s">
        <v>135</v>
      </c>
      <c r="C1324" s="14">
        <v>51.0</v>
      </c>
      <c r="D1324" s="13" t="s">
        <v>69</v>
      </c>
      <c r="E1324" s="13" t="s">
        <v>187</v>
      </c>
      <c r="F1324" s="13" t="s">
        <v>79</v>
      </c>
      <c r="G1324" s="13" t="s">
        <v>80</v>
      </c>
      <c r="H1324" s="16">
        <v>45810.0</v>
      </c>
      <c r="I1324" s="14">
        <v>25.0</v>
      </c>
      <c r="J1324" s="13" t="s">
        <v>53</v>
      </c>
      <c r="K1324" s="13" t="s">
        <v>81</v>
      </c>
      <c r="L1324" s="14">
        <v>3667.0</v>
      </c>
      <c r="M1324" s="18" t="s">
        <v>98</v>
      </c>
      <c r="N1324" s="20">
        <v>0.0</v>
      </c>
      <c r="O1324" s="18">
        <v>34.8</v>
      </c>
      <c r="P1324" s="20">
        <v>3.7</v>
      </c>
      <c r="Q1324" s="16">
        <v>46315.0</v>
      </c>
      <c r="R1324" s="16" t="s">
        <v>38</v>
      </c>
      <c r="S1324" s="13" t="s">
        <v>55</v>
      </c>
      <c r="T1324" s="13" t="s">
        <v>104</v>
      </c>
      <c r="U1324" s="13" t="str">
        <f t="shared" si="1"/>
        <v>Moderate</v>
      </c>
      <c r="V1324" s="13" t="str">
        <f t="shared" si="2"/>
        <v>Median or Above</v>
      </c>
      <c r="W1324" s="13" t="str">
        <f t="shared" si="3"/>
        <v>25–48 Months</v>
      </c>
    </row>
    <row r="1325" hidden="1">
      <c r="A1325" s="13" t="s">
        <v>689</v>
      </c>
      <c r="B1325" s="13" t="s">
        <v>459</v>
      </c>
      <c r="C1325" s="14">
        <v>61.0</v>
      </c>
      <c r="D1325" s="13" t="s">
        <v>85</v>
      </c>
      <c r="E1325" s="13" t="s">
        <v>111</v>
      </c>
      <c r="F1325" s="13" t="s">
        <v>62</v>
      </c>
      <c r="G1325" s="13" t="s">
        <v>63</v>
      </c>
      <c r="H1325" s="16">
        <v>45069.0</v>
      </c>
      <c r="I1325" s="14">
        <v>28.0</v>
      </c>
      <c r="J1325" s="13" t="s">
        <v>64</v>
      </c>
      <c r="K1325" s="13" t="s">
        <v>41</v>
      </c>
      <c r="L1325" s="14">
        <v>896.0</v>
      </c>
      <c r="M1325" s="18" t="s">
        <v>99</v>
      </c>
      <c r="N1325" s="20">
        <v>1.0</v>
      </c>
      <c r="O1325" s="18">
        <v>18.8</v>
      </c>
      <c r="P1325" s="20">
        <v>2.1</v>
      </c>
      <c r="Q1325" s="16">
        <v>45155.0</v>
      </c>
      <c r="R1325" s="16" t="s">
        <v>38</v>
      </c>
      <c r="S1325" s="13" t="s">
        <v>55</v>
      </c>
      <c r="T1325" s="13" t="s">
        <v>47</v>
      </c>
      <c r="U1325" s="13" t="str">
        <f t="shared" si="1"/>
        <v>Low</v>
      </c>
      <c r="V1325" s="13" t="str">
        <f t="shared" si="2"/>
        <v>Below Median</v>
      </c>
      <c r="W1325" s="13" t="str">
        <f t="shared" si="3"/>
        <v>25–48 Months</v>
      </c>
    </row>
    <row r="1326" hidden="1">
      <c r="A1326" s="13" t="s">
        <v>1390</v>
      </c>
      <c r="B1326" s="13" t="s">
        <v>645</v>
      </c>
      <c r="C1326" s="14">
        <v>39.0</v>
      </c>
      <c r="D1326" s="13" t="s">
        <v>69</v>
      </c>
      <c r="E1326" s="13" t="s">
        <v>70</v>
      </c>
      <c r="F1326" s="13" t="s">
        <v>37</v>
      </c>
      <c r="G1326" s="13" t="s">
        <v>128</v>
      </c>
      <c r="H1326" s="16">
        <v>45602.0</v>
      </c>
      <c r="I1326" s="14">
        <v>47.0</v>
      </c>
      <c r="J1326" s="13" t="s">
        <v>64</v>
      </c>
      <c r="K1326" s="13" t="s">
        <v>81</v>
      </c>
      <c r="L1326" s="14">
        <v>1190.0</v>
      </c>
      <c r="M1326" s="18" t="s">
        <v>173</v>
      </c>
      <c r="N1326" s="20">
        <v>0.0</v>
      </c>
      <c r="O1326" s="18">
        <v>31.1</v>
      </c>
      <c r="P1326" s="20">
        <v>3.0</v>
      </c>
      <c r="Q1326" s="16">
        <v>46840.0</v>
      </c>
      <c r="R1326" s="16" t="s">
        <v>1883</v>
      </c>
      <c r="S1326" s="13" t="s">
        <v>45</v>
      </c>
      <c r="T1326" s="13" t="s">
        <v>104</v>
      </c>
      <c r="U1326" s="13" t="str">
        <f t="shared" si="1"/>
        <v>Moderate</v>
      </c>
      <c r="V1326" s="13" t="str">
        <f t="shared" si="2"/>
        <v>Median or Above</v>
      </c>
      <c r="W1326" s="13" t="str">
        <f t="shared" si="3"/>
        <v>25–48 Months</v>
      </c>
    </row>
    <row r="1327" hidden="1">
      <c r="A1327" s="13" t="s">
        <v>1511</v>
      </c>
      <c r="B1327" s="13" t="s">
        <v>651</v>
      </c>
      <c r="C1327" s="14">
        <v>60.0</v>
      </c>
      <c r="D1327" s="13" t="s">
        <v>85</v>
      </c>
      <c r="E1327" s="13" t="s">
        <v>87</v>
      </c>
      <c r="F1327" s="13" t="s">
        <v>62</v>
      </c>
      <c r="G1327" s="13" t="s">
        <v>52</v>
      </c>
      <c r="H1327" s="16">
        <v>44650.0</v>
      </c>
      <c r="I1327" s="14">
        <v>-3.0</v>
      </c>
      <c r="J1327" s="13" t="s">
        <v>53</v>
      </c>
      <c r="K1327" s="13" t="s">
        <v>41</v>
      </c>
      <c r="L1327" s="14">
        <v>869.0</v>
      </c>
      <c r="M1327" s="18" t="s">
        <v>173</v>
      </c>
      <c r="N1327" s="20">
        <v>0.0</v>
      </c>
      <c r="O1327" s="18">
        <v>13.7</v>
      </c>
      <c r="P1327" s="20">
        <v>4.3</v>
      </c>
      <c r="Q1327" s="16">
        <v>45255.0</v>
      </c>
      <c r="R1327" s="16" t="s">
        <v>1884</v>
      </c>
      <c r="S1327" s="13" t="s">
        <v>45</v>
      </c>
      <c r="T1327" s="13" t="s">
        <v>104</v>
      </c>
      <c r="U1327" s="13" t="str">
        <f t="shared" si="1"/>
        <v>Moderate</v>
      </c>
      <c r="V1327" s="13" t="str">
        <f t="shared" si="2"/>
        <v>Below Median</v>
      </c>
      <c r="W1327" s="13" t="str">
        <f t="shared" si="3"/>
        <v>Invalid Tenure</v>
      </c>
    </row>
    <row r="1328" hidden="1">
      <c r="A1328" s="13" t="s">
        <v>1885</v>
      </c>
      <c r="B1328" s="13" t="s">
        <v>172</v>
      </c>
      <c r="C1328" s="14">
        <v>53.0</v>
      </c>
      <c r="D1328" s="13" t="s">
        <v>69</v>
      </c>
      <c r="E1328" s="13" t="s">
        <v>119</v>
      </c>
      <c r="F1328" s="13" t="s">
        <v>37</v>
      </c>
      <c r="G1328" s="13" t="s">
        <v>120</v>
      </c>
      <c r="H1328" s="16">
        <v>44801.0</v>
      </c>
      <c r="I1328" s="14">
        <v>30.0</v>
      </c>
      <c r="J1328" s="13" t="s">
        <v>64</v>
      </c>
      <c r="K1328" s="13" t="s">
        <v>65</v>
      </c>
      <c r="L1328" s="14">
        <v>1112.0</v>
      </c>
      <c r="M1328" s="18" t="s">
        <v>98</v>
      </c>
      <c r="N1328" s="20">
        <v>2.0</v>
      </c>
      <c r="O1328" s="18">
        <v>38.5</v>
      </c>
      <c r="P1328" s="20">
        <v>4.3</v>
      </c>
      <c r="Q1328" s="16">
        <v>45448.0</v>
      </c>
      <c r="R1328" s="16" t="s">
        <v>1021</v>
      </c>
      <c r="S1328" s="13" t="s">
        <v>45</v>
      </c>
      <c r="T1328" s="13" t="s">
        <v>72</v>
      </c>
      <c r="U1328" s="13" t="str">
        <f t="shared" si="1"/>
        <v>Moderate</v>
      </c>
      <c r="V1328" s="13" t="str">
        <f t="shared" si="2"/>
        <v>Median or Above</v>
      </c>
      <c r="W1328" s="13" t="str">
        <f t="shared" si="3"/>
        <v>25–48 Months</v>
      </c>
    </row>
    <row r="1329" hidden="1">
      <c r="A1329" s="13" t="s">
        <v>478</v>
      </c>
      <c r="B1329" s="13" t="s">
        <v>476</v>
      </c>
      <c r="C1329" s="14">
        <v>67.0</v>
      </c>
      <c r="D1329" s="13" t="s">
        <v>85</v>
      </c>
      <c r="E1329" s="13" t="s">
        <v>111</v>
      </c>
      <c r="F1329" s="13" t="s">
        <v>37</v>
      </c>
      <c r="G1329" s="13" t="s">
        <v>63</v>
      </c>
      <c r="H1329" s="16">
        <v>44870.0</v>
      </c>
      <c r="I1329" s="14">
        <v>45.0</v>
      </c>
      <c r="J1329" s="13" t="s">
        <v>40</v>
      </c>
      <c r="K1329" s="13" t="s">
        <v>81</v>
      </c>
      <c r="L1329" s="14">
        <v>1711.0</v>
      </c>
      <c r="M1329" s="18" t="s">
        <v>164</v>
      </c>
      <c r="N1329" s="20">
        <v>1.0</v>
      </c>
      <c r="O1329" s="18">
        <v>40.3</v>
      </c>
      <c r="P1329" s="20">
        <v>3.9</v>
      </c>
      <c r="Q1329" s="16">
        <v>45697.0</v>
      </c>
      <c r="R1329" s="16" t="s">
        <v>38</v>
      </c>
      <c r="S1329" s="13" t="s">
        <v>55</v>
      </c>
      <c r="T1329" s="13" t="s">
        <v>72</v>
      </c>
      <c r="U1329" s="13" t="str">
        <f t="shared" si="1"/>
        <v>Moderate</v>
      </c>
      <c r="V1329" s="13" t="str">
        <f t="shared" si="2"/>
        <v>Median or Above</v>
      </c>
      <c r="W1329" s="13" t="str">
        <f t="shared" si="3"/>
        <v>25–48 Months</v>
      </c>
    </row>
    <row r="1330" hidden="1">
      <c r="A1330" s="13" t="s">
        <v>1886</v>
      </c>
      <c r="B1330" s="13" t="s">
        <v>380</v>
      </c>
      <c r="C1330" s="14">
        <v>61.0</v>
      </c>
      <c r="D1330" s="13" t="s">
        <v>35</v>
      </c>
      <c r="E1330" s="13" t="s">
        <v>51</v>
      </c>
      <c r="F1330" s="13" t="s">
        <v>62</v>
      </c>
      <c r="G1330" s="13" t="s">
        <v>39</v>
      </c>
      <c r="H1330" s="16">
        <v>45192.0</v>
      </c>
      <c r="I1330" s="14">
        <v>40.0</v>
      </c>
      <c r="J1330" s="13" t="s">
        <v>53</v>
      </c>
      <c r="K1330" s="13" t="s">
        <v>81</v>
      </c>
      <c r="L1330" s="14">
        <v>788.0</v>
      </c>
      <c r="M1330" s="18" t="s">
        <v>173</v>
      </c>
      <c r="N1330" s="20">
        <v>1.0</v>
      </c>
      <c r="O1330" s="18">
        <v>24.6</v>
      </c>
      <c r="P1330" s="20">
        <v>2.9</v>
      </c>
      <c r="Q1330" s="16">
        <v>45869.0</v>
      </c>
      <c r="R1330" s="16" t="s">
        <v>38</v>
      </c>
      <c r="S1330" s="13" t="s">
        <v>55</v>
      </c>
      <c r="T1330" s="13" t="s">
        <v>104</v>
      </c>
      <c r="U1330" s="13" t="str">
        <f t="shared" si="1"/>
        <v>Low</v>
      </c>
      <c r="V1330" s="13" t="str">
        <f t="shared" si="2"/>
        <v>Median or Above</v>
      </c>
      <c r="W1330" s="13" t="str">
        <f t="shared" si="3"/>
        <v>25–48 Months</v>
      </c>
    </row>
    <row r="1331" hidden="1">
      <c r="A1331" s="13" t="s">
        <v>1887</v>
      </c>
      <c r="B1331" s="13" t="s">
        <v>222</v>
      </c>
      <c r="C1331" s="14">
        <v>23.0</v>
      </c>
      <c r="D1331" s="13" t="s">
        <v>85</v>
      </c>
      <c r="E1331" s="13" t="s">
        <v>92</v>
      </c>
      <c r="F1331" s="13" t="s">
        <v>79</v>
      </c>
      <c r="G1331" s="13" t="s">
        <v>80</v>
      </c>
      <c r="H1331" s="16">
        <v>45806.0</v>
      </c>
      <c r="I1331" s="14">
        <v>2.0</v>
      </c>
      <c r="J1331" s="13" t="s">
        <v>53</v>
      </c>
      <c r="K1331" s="13" t="s">
        <v>81</v>
      </c>
      <c r="L1331" s="14">
        <v>2291.0</v>
      </c>
      <c r="M1331" s="18" t="s">
        <v>164</v>
      </c>
      <c r="N1331" s="20">
        <v>2.0</v>
      </c>
      <c r="O1331" s="18">
        <v>47.7</v>
      </c>
      <c r="P1331" s="20">
        <v>2.1</v>
      </c>
      <c r="Q1331" s="16">
        <v>45868.0</v>
      </c>
      <c r="R1331" s="16" t="s">
        <v>38</v>
      </c>
      <c r="S1331" s="13" t="s">
        <v>55</v>
      </c>
      <c r="T1331" s="13" t="s">
        <v>66</v>
      </c>
      <c r="U1331" s="13" t="str">
        <f t="shared" si="1"/>
        <v>Low</v>
      </c>
      <c r="V1331" s="13" t="str">
        <f t="shared" si="2"/>
        <v>Median or Above</v>
      </c>
      <c r="W1331" s="13" t="str">
        <f t="shared" si="3"/>
        <v>0–12 Months</v>
      </c>
    </row>
    <row r="1332" hidden="1">
      <c r="A1332" s="13" t="s">
        <v>1888</v>
      </c>
      <c r="B1332" s="13" t="s">
        <v>224</v>
      </c>
      <c r="C1332" s="14">
        <v>44.0</v>
      </c>
      <c r="D1332" s="13" t="s">
        <v>85</v>
      </c>
      <c r="E1332" s="13" t="s">
        <v>292</v>
      </c>
      <c r="F1332" s="13" t="s">
        <v>37</v>
      </c>
      <c r="G1332" s="13" t="s">
        <v>80</v>
      </c>
      <c r="H1332" s="16">
        <v>45781.0</v>
      </c>
      <c r="I1332" s="14">
        <v>30.0</v>
      </c>
      <c r="J1332" s="13" t="s">
        <v>53</v>
      </c>
      <c r="K1332" s="13" t="s">
        <v>41</v>
      </c>
      <c r="L1332" s="14">
        <v>1508.0</v>
      </c>
      <c r="M1332" s="18" t="s">
        <v>98</v>
      </c>
      <c r="N1332" s="20">
        <v>3.0</v>
      </c>
      <c r="O1332" s="18">
        <v>28.9</v>
      </c>
      <c r="P1332" s="20">
        <v>3.0</v>
      </c>
      <c r="Q1332" s="16">
        <v>46363.0</v>
      </c>
      <c r="R1332" s="16" t="s">
        <v>38</v>
      </c>
      <c r="S1332" s="13" t="s">
        <v>55</v>
      </c>
      <c r="T1332" s="13" t="s">
        <v>66</v>
      </c>
      <c r="U1332" s="13" t="str">
        <f t="shared" si="1"/>
        <v>Moderate</v>
      </c>
      <c r="V1332" s="13" t="str">
        <f t="shared" si="2"/>
        <v>Median or Above</v>
      </c>
      <c r="W1332" s="13" t="str">
        <f t="shared" si="3"/>
        <v>25–48 Months</v>
      </c>
    </row>
    <row r="1333" hidden="1">
      <c r="A1333" s="13" t="s">
        <v>1601</v>
      </c>
      <c r="B1333" s="13" t="s">
        <v>340</v>
      </c>
      <c r="C1333" s="14">
        <v>43.0</v>
      </c>
      <c r="D1333" s="13" t="s">
        <v>60</v>
      </c>
      <c r="E1333" s="13" t="s">
        <v>61</v>
      </c>
      <c r="F1333" s="13" t="s">
        <v>62</v>
      </c>
      <c r="G1333" s="13" t="s">
        <v>39</v>
      </c>
      <c r="H1333" s="16">
        <v>45153.0</v>
      </c>
      <c r="I1333" s="14">
        <v>30.0</v>
      </c>
      <c r="J1333" s="13" t="s">
        <v>53</v>
      </c>
      <c r="K1333" s="13" t="s">
        <v>81</v>
      </c>
      <c r="L1333" s="14">
        <v>821.0</v>
      </c>
      <c r="M1333" s="18" t="s">
        <v>43</v>
      </c>
      <c r="N1333" s="20">
        <v>1.0</v>
      </c>
      <c r="O1333" s="18">
        <v>7.3</v>
      </c>
      <c r="P1333" s="20">
        <v>3.4</v>
      </c>
      <c r="Q1333" s="16">
        <v>45571.0</v>
      </c>
      <c r="R1333" s="16" t="s">
        <v>38</v>
      </c>
      <c r="S1333" s="13" t="s">
        <v>55</v>
      </c>
      <c r="T1333" s="13" t="s">
        <v>66</v>
      </c>
      <c r="U1333" s="13" t="str">
        <f t="shared" si="1"/>
        <v>Moderate</v>
      </c>
      <c r="V1333" s="13" t="str">
        <f t="shared" si="2"/>
        <v>Below Median</v>
      </c>
      <c r="W1333" s="13" t="str">
        <f t="shared" si="3"/>
        <v>25–48 Months</v>
      </c>
    </row>
    <row r="1334" hidden="1">
      <c r="A1334" s="13" t="s">
        <v>1889</v>
      </c>
      <c r="B1334" s="13" t="s">
        <v>68</v>
      </c>
      <c r="C1334" s="14">
        <v>26.0</v>
      </c>
      <c r="D1334" s="13" t="s">
        <v>60</v>
      </c>
      <c r="E1334" s="13" t="s">
        <v>107</v>
      </c>
      <c r="F1334" s="13" t="s">
        <v>62</v>
      </c>
      <c r="G1334" s="13" t="s">
        <v>128</v>
      </c>
      <c r="H1334" s="16">
        <v>45800.0</v>
      </c>
      <c r="I1334" s="14">
        <v>11.0</v>
      </c>
      <c r="J1334" s="13" t="s">
        <v>40</v>
      </c>
      <c r="K1334" s="13" t="s">
        <v>41</v>
      </c>
      <c r="L1334" s="14">
        <v>762.0</v>
      </c>
      <c r="M1334" s="18" t="s">
        <v>46</v>
      </c>
      <c r="N1334" s="20">
        <v>0.0</v>
      </c>
      <c r="O1334" s="18">
        <v>21.6</v>
      </c>
      <c r="P1334" s="20">
        <v>2.5</v>
      </c>
      <c r="Q1334" s="16">
        <v>45815.0</v>
      </c>
      <c r="R1334" s="16" t="s">
        <v>38</v>
      </c>
      <c r="S1334" s="13" t="s">
        <v>55</v>
      </c>
      <c r="T1334" s="13" t="s">
        <v>75</v>
      </c>
      <c r="U1334" s="13" t="str">
        <f t="shared" si="1"/>
        <v>Low</v>
      </c>
      <c r="V1334" s="13" t="str">
        <f t="shared" si="2"/>
        <v>Below Median</v>
      </c>
      <c r="W1334" s="13" t="str">
        <f t="shared" si="3"/>
        <v>0–12 Months</v>
      </c>
    </row>
    <row r="1335" hidden="1">
      <c r="A1335" s="13" t="s">
        <v>1583</v>
      </c>
      <c r="B1335" s="13" t="s">
        <v>184</v>
      </c>
      <c r="C1335" s="14">
        <v>52.0</v>
      </c>
      <c r="D1335" s="13" t="s">
        <v>85</v>
      </c>
      <c r="E1335" s="13" t="s">
        <v>292</v>
      </c>
      <c r="F1335" s="13" t="s">
        <v>62</v>
      </c>
      <c r="G1335" s="13" t="s">
        <v>80</v>
      </c>
      <c r="H1335" s="16">
        <v>45694.0</v>
      </c>
      <c r="I1335" s="14">
        <v>39.0</v>
      </c>
      <c r="J1335" s="13" t="s">
        <v>40</v>
      </c>
      <c r="K1335" s="13" t="s">
        <v>41</v>
      </c>
      <c r="L1335" s="14">
        <v>508.0</v>
      </c>
      <c r="M1335" s="18" t="s">
        <v>43</v>
      </c>
      <c r="N1335" s="20">
        <v>0.0</v>
      </c>
      <c r="O1335" s="18">
        <v>29.4</v>
      </c>
      <c r="P1335" s="20">
        <v>3.0</v>
      </c>
      <c r="Q1335" s="16">
        <v>46258.0</v>
      </c>
      <c r="R1335" s="16">
        <v>46907.0</v>
      </c>
      <c r="S1335" s="13" t="s">
        <v>45</v>
      </c>
      <c r="T1335" s="13" t="s">
        <v>104</v>
      </c>
      <c r="U1335" s="13" t="str">
        <f t="shared" si="1"/>
        <v>Moderate</v>
      </c>
      <c r="V1335" s="13" t="str">
        <f t="shared" si="2"/>
        <v>Median or Above</v>
      </c>
      <c r="W1335" s="13" t="str">
        <f t="shared" si="3"/>
        <v>25–48 Months</v>
      </c>
    </row>
    <row r="1336" hidden="1">
      <c r="A1336" s="13" t="s">
        <v>1890</v>
      </c>
      <c r="B1336" s="13" t="s">
        <v>398</v>
      </c>
      <c r="C1336" s="14">
        <v>54.0</v>
      </c>
      <c r="D1336" s="13" t="s">
        <v>69</v>
      </c>
      <c r="E1336" s="13" t="s">
        <v>70</v>
      </c>
      <c r="F1336" s="13" t="s">
        <v>62</v>
      </c>
      <c r="G1336" s="13" t="s">
        <v>210</v>
      </c>
      <c r="H1336" s="16">
        <v>45927.0</v>
      </c>
      <c r="I1336" s="14">
        <v>35.0</v>
      </c>
      <c r="J1336" s="13" t="s">
        <v>53</v>
      </c>
      <c r="K1336" s="13" t="s">
        <v>65</v>
      </c>
      <c r="L1336" s="14">
        <v>815.0</v>
      </c>
      <c r="M1336" s="18" t="s">
        <v>43</v>
      </c>
      <c r="N1336" s="20">
        <v>1.0</v>
      </c>
      <c r="O1336" s="18">
        <v>23.8</v>
      </c>
      <c r="P1336" s="20">
        <v>4.0</v>
      </c>
      <c r="Q1336" s="16">
        <v>46907.0</v>
      </c>
      <c r="R1336" s="16" t="s">
        <v>38</v>
      </c>
      <c r="S1336" s="13" t="s">
        <v>55</v>
      </c>
      <c r="T1336" s="13" t="s">
        <v>47</v>
      </c>
      <c r="U1336" s="13" t="str">
        <f t="shared" si="1"/>
        <v>Moderate</v>
      </c>
      <c r="V1336" s="13" t="str">
        <f t="shared" si="2"/>
        <v>Below Median</v>
      </c>
      <c r="W1336" s="13" t="str">
        <f t="shared" si="3"/>
        <v>25–48 Months</v>
      </c>
    </row>
    <row r="1337" hidden="1">
      <c r="A1337" s="13" t="s">
        <v>1891</v>
      </c>
      <c r="B1337" s="13" t="s">
        <v>135</v>
      </c>
      <c r="C1337" s="14">
        <v>56.0</v>
      </c>
      <c r="D1337" s="13" t="s">
        <v>69</v>
      </c>
      <c r="E1337" s="13" t="s">
        <v>119</v>
      </c>
      <c r="F1337" s="13" t="s">
        <v>37</v>
      </c>
      <c r="G1337" s="13" t="s">
        <v>63</v>
      </c>
      <c r="H1337" s="16">
        <v>44658.0</v>
      </c>
      <c r="I1337" s="14">
        <v>1.0</v>
      </c>
      <c r="J1337" s="13" t="s">
        <v>64</v>
      </c>
      <c r="K1337" s="13" t="s">
        <v>65</v>
      </c>
      <c r="L1337" s="14">
        <v>1352.0</v>
      </c>
      <c r="M1337" s="18" t="s">
        <v>98</v>
      </c>
      <c r="N1337" s="20">
        <v>3.0</v>
      </c>
      <c r="O1337" s="18">
        <v>32.8</v>
      </c>
      <c r="P1337" s="20">
        <v>4.5</v>
      </c>
      <c r="Q1337" s="16">
        <v>44692.0</v>
      </c>
      <c r="R1337" s="16" t="s">
        <v>38</v>
      </c>
      <c r="S1337" s="13" t="s">
        <v>55</v>
      </c>
      <c r="T1337" s="13" t="s">
        <v>47</v>
      </c>
      <c r="U1337" s="13" t="str">
        <f t="shared" si="1"/>
        <v>Moderate</v>
      </c>
      <c r="V1337" s="13" t="str">
        <f t="shared" si="2"/>
        <v>Median or Above</v>
      </c>
      <c r="W1337" s="13" t="str">
        <f t="shared" si="3"/>
        <v>0–12 Months</v>
      </c>
    </row>
    <row r="1338" hidden="1">
      <c r="A1338" s="13" t="s">
        <v>962</v>
      </c>
      <c r="B1338" s="13" t="s">
        <v>118</v>
      </c>
      <c r="C1338" s="14">
        <v>55.0</v>
      </c>
      <c r="D1338" s="13" t="s">
        <v>60</v>
      </c>
      <c r="E1338" s="13" t="s">
        <v>133</v>
      </c>
      <c r="F1338" s="13" t="s">
        <v>62</v>
      </c>
      <c r="G1338" s="13" t="s">
        <v>80</v>
      </c>
      <c r="H1338" s="16">
        <v>45096.0</v>
      </c>
      <c r="I1338" s="14">
        <v>37.0</v>
      </c>
      <c r="J1338" s="13" t="s">
        <v>40</v>
      </c>
      <c r="K1338" s="13" t="s">
        <v>81</v>
      </c>
      <c r="L1338" s="14">
        <v>723.0</v>
      </c>
      <c r="M1338" s="18" t="s">
        <v>98</v>
      </c>
      <c r="N1338" s="20">
        <v>1.0</v>
      </c>
      <c r="O1338" s="18">
        <v>17.5</v>
      </c>
      <c r="P1338" s="20">
        <v>3.5</v>
      </c>
      <c r="Q1338" s="16">
        <v>45708.0</v>
      </c>
      <c r="R1338" s="16" t="s">
        <v>38</v>
      </c>
      <c r="S1338" s="13" t="s">
        <v>55</v>
      </c>
      <c r="T1338" s="13" t="s">
        <v>75</v>
      </c>
      <c r="U1338" s="13" t="str">
        <f t="shared" si="1"/>
        <v>Moderate</v>
      </c>
      <c r="V1338" s="13" t="str">
        <f t="shared" si="2"/>
        <v>Below Median</v>
      </c>
      <c r="W1338" s="13" t="str">
        <f t="shared" si="3"/>
        <v>25–48 Months</v>
      </c>
    </row>
    <row r="1339" hidden="1">
      <c r="A1339" s="13" t="s">
        <v>1788</v>
      </c>
      <c r="B1339" s="13" t="s">
        <v>91</v>
      </c>
      <c r="C1339" s="14">
        <v>22.0</v>
      </c>
      <c r="D1339" s="13" t="s">
        <v>35</v>
      </c>
      <c r="E1339" s="13" t="s">
        <v>36</v>
      </c>
      <c r="F1339" s="13" t="s">
        <v>37</v>
      </c>
      <c r="G1339" s="13" t="s">
        <v>39</v>
      </c>
      <c r="H1339" s="16">
        <v>45410.0</v>
      </c>
      <c r="I1339" s="14">
        <v>42.0</v>
      </c>
      <c r="J1339" s="13" t="s">
        <v>40</v>
      </c>
      <c r="K1339" s="13" t="s">
        <v>65</v>
      </c>
      <c r="L1339" s="14">
        <v>1114.0</v>
      </c>
      <c r="M1339" s="18" t="s">
        <v>46</v>
      </c>
      <c r="N1339" s="20">
        <v>1.0</v>
      </c>
      <c r="O1339" s="18">
        <v>33.1</v>
      </c>
      <c r="P1339" s="20">
        <v>3.5</v>
      </c>
      <c r="Q1339" s="16">
        <v>45837.0</v>
      </c>
      <c r="R1339" s="16" t="s">
        <v>472</v>
      </c>
      <c r="S1339" s="13" t="s">
        <v>45</v>
      </c>
      <c r="T1339" s="13" t="s">
        <v>72</v>
      </c>
      <c r="U1339" s="13" t="str">
        <f t="shared" si="1"/>
        <v>Moderate</v>
      </c>
      <c r="V1339" s="13" t="str">
        <f t="shared" si="2"/>
        <v>Median or Above</v>
      </c>
      <c r="W1339" s="13" t="str">
        <f t="shared" si="3"/>
        <v>25–48 Months</v>
      </c>
    </row>
    <row r="1340" hidden="1">
      <c r="A1340" s="13" t="s">
        <v>1893</v>
      </c>
      <c r="B1340" s="13" t="s">
        <v>411</v>
      </c>
      <c r="C1340" s="14">
        <v>29.0</v>
      </c>
      <c r="D1340" s="13" t="s">
        <v>60</v>
      </c>
      <c r="E1340" s="13" t="s">
        <v>97</v>
      </c>
      <c r="F1340" s="13" t="s">
        <v>37</v>
      </c>
      <c r="G1340" s="13" t="s">
        <v>63</v>
      </c>
      <c r="H1340" s="16">
        <v>45367.0</v>
      </c>
      <c r="I1340" s="14">
        <v>31.0</v>
      </c>
      <c r="J1340" s="13" t="s">
        <v>53</v>
      </c>
      <c r="K1340" s="13" t="s">
        <v>41</v>
      </c>
      <c r="L1340" s="14">
        <v>1431.0</v>
      </c>
      <c r="M1340" s="18" t="s">
        <v>99</v>
      </c>
      <c r="N1340" s="20">
        <v>3.0</v>
      </c>
      <c r="O1340" s="18">
        <v>14.6</v>
      </c>
      <c r="P1340" s="20">
        <v>3.3</v>
      </c>
      <c r="Q1340" s="16">
        <v>46301.0</v>
      </c>
      <c r="R1340" s="16" t="s">
        <v>38</v>
      </c>
      <c r="S1340" s="13" t="s">
        <v>55</v>
      </c>
      <c r="T1340" s="13" t="s">
        <v>75</v>
      </c>
      <c r="U1340" s="13" t="str">
        <f t="shared" si="1"/>
        <v>Moderate</v>
      </c>
      <c r="V1340" s="13" t="str">
        <f t="shared" si="2"/>
        <v>Below Median</v>
      </c>
      <c r="W1340" s="13" t="str">
        <f t="shared" si="3"/>
        <v>25–48 Months</v>
      </c>
    </row>
    <row r="1341" hidden="1">
      <c r="A1341" s="13" t="s">
        <v>1862</v>
      </c>
      <c r="B1341" s="13" t="s">
        <v>106</v>
      </c>
      <c r="C1341" s="14">
        <v>30.0</v>
      </c>
      <c r="D1341" s="13" t="s">
        <v>69</v>
      </c>
      <c r="E1341" s="13" t="s">
        <v>70</v>
      </c>
      <c r="F1341" s="13" t="s">
        <v>62</v>
      </c>
      <c r="G1341" s="13" t="s">
        <v>210</v>
      </c>
      <c r="H1341" s="16">
        <v>45813.0</v>
      </c>
      <c r="I1341" s="14">
        <v>39.0</v>
      </c>
      <c r="J1341" s="13" t="s">
        <v>40</v>
      </c>
      <c r="K1341" s="13" t="s">
        <v>81</v>
      </c>
      <c r="L1341" s="14">
        <v>743.0</v>
      </c>
      <c r="M1341" s="18" t="s">
        <v>173</v>
      </c>
      <c r="N1341" s="20">
        <v>0.0</v>
      </c>
      <c r="O1341" s="18">
        <v>12.8</v>
      </c>
      <c r="P1341" s="20">
        <v>3.4</v>
      </c>
      <c r="Q1341" s="16">
        <v>46694.0</v>
      </c>
      <c r="R1341" s="16" t="s">
        <v>38</v>
      </c>
      <c r="S1341" s="13" t="s">
        <v>55</v>
      </c>
      <c r="T1341" s="13" t="s">
        <v>104</v>
      </c>
      <c r="U1341" s="13" t="str">
        <f t="shared" si="1"/>
        <v>Moderate</v>
      </c>
      <c r="V1341" s="13" t="str">
        <f t="shared" si="2"/>
        <v>Below Median</v>
      </c>
      <c r="W1341" s="13" t="str">
        <f t="shared" si="3"/>
        <v>25–48 Months</v>
      </c>
    </row>
    <row r="1342" hidden="1">
      <c r="A1342" s="13" t="s">
        <v>1490</v>
      </c>
      <c r="B1342" s="13" t="s">
        <v>734</v>
      </c>
      <c r="C1342" s="14">
        <v>38.0</v>
      </c>
      <c r="D1342" s="13" t="s">
        <v>69</v>
      </c>
      <c r="E1342" s="13" t="s">
        <v>187</v>
      </c>
      <c r="F1342" s="13" t="s">
        <v>79</v>
      </c>
      <c r="G1342" s="13" t="s">
        <v>52</v>
      </c>
      <c r="H1342" s="16">
        <v>45913.0</v>
      </c>
      <c r="I1342" s="14">
        <v>19.0</v>
      </c>
      <c r="J1342" s="13" t="s">
        <v>64</v>
      </c>
      <c r="K1342" s="13" t="s">
        <v>65</v>
      </c>
      <c r="L1342" s="14">
        <v>3020.0</v>
      </c>
      <c r="M1342" s="18" t="s">
        <v>98</v>
      </c>
      <c r="N1342" s="20">
        <v>0.0</v>
      </c>
      <c r="O1342" s="18">
        <v>27.9</v>
      </c>
      <c r="P1342" s="20">
        <v>4.6</v>
      </c>
      <c r="Q1342" s="16">
        <v>46237.0</v>
      </c>
      <c r="R1342" s="16" t="s">
        <v>38</v>
      </c>
      <c r="S1342" s="13" t="s">
        <v>55</v>
      </c>
      <c r="T1342" s="13" t="s">
        <v>72</v>
      </c>
      <c r="U1342" s="13" t="str">
        <f t="shared" si="1"/>
        <v>Moderate</v>
      </c>
      <c r="V1342" s="13" t="str">
        <f t="shared" si="2"/>
        <v>Median or Above</v>
      </c>
      <c r="W1342" s="13" t="str">
        <f t="shared" si="3"/>
        <v>13–24 Months</v>
      </c>
    </row>
    <row r="1343" hidden="1">
      <c r="A1343" s="13" t="s">
        <v>668</v>
      </c>
      <c r="B1343" s="13" t="s">
        <v>322</v>
      </c>
      <c r="C1343" s="14">
        <v>40.0</v>
      </c>
      <c r="D1343" s="13" t="s">
        <v>69</v>
      </c>
      <c r="E1343" s="13" t="s">
        <v>119</v>
      </c>
      <c r="F1343" s="13" t="s">
        <v>62</v>
      </c>
      <c r="G1343" s="13" t="s">
        <v>63</v>
      </c>
      <c r="H1343" s="16">
        <v>45036.0</v>
      </c>
      <c r="I1343" s="14">
        <v>35.0</v>
      </c>
      <c r="J1343" s="13" t="s">
        <v>64</v>
      </c>
      <c r="K1343" s="13" t="s">
        <v>65</v>
      </c>
      <c r="L1343" s="14">
        <v>502.0</v>
      </c>
      <c r="M1343" s="18" t="s">
        <v>43</v>
      </c>
      <c r="N1343" s="20">
        <v>0.0</v>
      </c>
      <c r="O1343" s="18">
        <v>1.0</v>
      </c>
      <c r="P1343" s="20">
        <v>4.2</v>
      </c>
      <c r="Q1343" s="16">
        <v>45213.0</v>
      </c>
      <c r="R1343" s="16" t="s">
        <v>38</v>
      </c>
      <c r="S1343" s="13" t="s">
        <v>55</v>
      </c>
      <c r="T1343" s="13" t="s">
        <v>47</v>
      </c>
      <c r="U1343" s="13" t="str">
        <f t="shared" si="1"/>
        <v>Moderate</v>
      </c>
      <c r="V1343" s="13" t="str">
        <f t="shared" si="2"/>
        <v>Below Median</v>
      </c>
      <c r="W1343" s="13" t="str">
        <f t="shared" si="3"/>
        <v>25–48 Months</v>
      </c>
    </row>
    <row r="1344" hidden="1">
      <c r="A1344" s="13" t="s">
        <v>218</v>
      </c>
      <c r="B1344" s="13" t="s">
        <v>459</v>
      </c>
      <c r="C1344" s="14">
        <v>59.0</v>
      </c>
      <c r="D1344" s="13" t="s">
        <v>69</v>
      </c>
      <c r="E1344" s="13" t="s">
        <v>70</v>
      </c>
      <c r="F1344" s="13" t="s">
        <v>62</v>
      </c>
      <c r="G1344" s="13" t="s">
        <v>39</v>
      </c>
      <c r="H1344" s="16">
        <v>45369.0</v>
      </c>
      <c r="I1344" s="14">
        <v>9.0</v>
      </c>
      <c r="J1344" s="13" t="s">
        <v>53</v>
      </c>
      <c r="K1344" s="13" t="s">
        <v>65</v>
      </c>
      <c r="L1344" s="14">
        <v>545.0</v>
      </c>
      <c r="M1344" s="18" t="s">
        <v>164</v>
      </c>
      <c r="N1344" s="20">
        <v>1.0</v>
      </c>
      <c r="O1344" s="18">
        <v>14.3</v>
      </c>
      <c r="P1344" s="20">
        <v>2.8</v>
      </c>
      <c r="Q1344" s="16">
        <v>45620.0</v>
      </c>
      <c r="R1344" s="16" t="s">
        <v>38</v>
      </c>
      <c r="S1344" s="13" t="s">
        <v>55</v>
      </c>
      <c r="T1344" s="13" t="s">
        <v>47</v>
      </c>
      <c r="U1344" s="13" t="str">
        <f t="shared" si="1"/>
        <v>Low</v>
      </c>
      <c r="V1344" s="13" t="str">
        <f t="shared" si="2"/>
        <v>Below Median</v>
      </c>
      <c r="W1344" s="13" t="str">
        <f t="shared" si="3"/>
        <v>0–12 Months</v>
      </c>
    </row>
    <row r="1345" hidden="1">
      <c r="A1345" s="13" t="s">
        <v>1894</v>
      </c>
      <c r="B1345" s="13" t="s">
        <v>232</v>
      </c>
      <c r="C1345" s="14">
        <v>29.0</v>
      </c>
      <c r="D1345" s="13" t="s">
        <v>60</v>
      </c>
      <c r="E1345" s="13" t="s">
        <v>97</v>
      </c>
      <c r="F1345" s="13" t="s">
        <v>37</v>
      </c>
      <c r="G1345" s="13" t="s">
        <v>39</v>
      </c>
      <c r="H1345" s="16">
        <v>45219.0</v>
      </c>
      <c r="I1345" s="14">
        <v>46.0</v>
      </c>
      <c r="J1345" s="13" t="s">
        <v>64</v>
      </c>
      <c r="K1345" s="13" t="s">
        <v>65</v>
      </c>
      <c r="L1345" s="14">
        <v>1331.0</v>
      </c>
      <c r="M1345" s="18" t="s">
        <v>164</v>
      </c>
      <c r="N1345" s="20">
        <v>1.0</v>
      </c>
      <c r="O1345" s="18">
        <v>50.9</v>
      </c>
      <c r="P1345" s="20">
        <v>2.9</v>
      </c>
      <c r="Q1345" s="16">
        <v>45599.0</v>
      </c>
      <c r="R1345" s="16" t="s">
        <v>38</v>
      </c>
      <c r="S1345" s="13" t="s">
        <v>55</v>
      </c>
      <c r="T1345" s="13" t="s">
        <v>47</v>
      </c>
      <c r="U1345" s="13" t="str">
        <f t="shared" si="1"/>
        <v>Low</v>
      </c>
      <c r="V1345" s="13" t="str">
        <f t="shared" si="2"/>
        <v>Median or Above</v>
      </c>
      <c r="W1345" s="13" t="str">
        <f t="shared" si="3"/>
        <v>25–48 Months</v>
      </c>
    </row>
    <row r="1346" hidden="1">
      <c r="A1346" s="13" t="s">
        <v>1731</v>
      </c>
      <c r="B1346" s="13" t="s">
        <v>74</v>
      </c>
      <c r="C1346" s="14">
        <v>52.0</v>
      </c>
      <c r="D1346" s="13" t="s">
        <v>60</v>
      </c>
      <c r="E1346" s="13" t="s">
        <v>61</v>
      </c>
      <c r="F1346" s="13" t="s">
        <v>62</v>
      </c>
      <c r="G1346" s="13" t="s">
        <v>80</v>
      </c>
      <c r="H1346" s="16">
        <v>45233.0</v>
      </c>
      <c r="I1346" s="14">
        <v>32.0</v>
      </c>
      <c r="J1346" s="13" t="s">
        <v>64</v>
      </c>
      <c r="K1346" s="13" t="s">
        <v>41</v>
      </c>
      <c r="L1346" s="14">
        <v>542.0</v>
      </c>
      <c r="M1346" s="18" t="s">
        <v>99</v>
      </c>
      <c r="N1346" s="20">
        <v>1.0</v>
      </c>
      <c r="O1346" s="18">
        <v>7.4</v>
      </c>
      <c r="P1346" s="20">
        <v>3.5</v>
      </c>
      <c r="Q1346" s="16">
        <v>45299.0</v>
      </c>
      <c r="R1346" s="16" t="s">
        <v>38</v>
      </c>
      <c r="S1346" s="13" t="s">
        <v>55</v>
      </c>
      <c r="T1346" s="13" t="s">
        <v>72</v>
      </c>
      <c r="U1346" s="13" t="str">
        <f t="shared" si="1"/>
        <v>Moderate</v>
      </c>
      <c r="V1346" s="13" t="str">
        <f t="shared" si="2"/>
        <v>Below Median</v>
      </c>
      <c r="W1346" s="13" t="str">
        <f t="shared" si="3"/>
        <v>25–48 Months</v>
      </c>
    </row>
    <row r="1347" hidden="1">
      <c r="A1347" s="13" t="s">
        <v>1896</v>
      </c>
      <c r="B1347" s="13" t="s">
        <v>322</v>
      </c>
      <c r="C1347" s="14">
        <v>47.0</v>
      </c>
      <c r="D1347" s="13" t="s">
        <v>35</v>
      </c>
      <c r="E1347" s="13" t="s">
        <v>161</v>
      </c>
      <c r="F1347" s="13" t="s">
        <v>62</v>
      </c>
      <c r="G1347" s="13" t="s">
        <v>210</v>
      </c>
      <c r="H1347" s="16">
        <v>45113.0</v>
      </c>
      <c r="I1347" s="14">
        <v>31.0</v>
      </c>
      <c r="J1347" s="13" t="s">
        <v>64</v>
      </c>
      <c r="K1347" s="13" t="s">
        <v>81</v>
      </c>
      <c r="L1347" s="14">
        <v>686.0</v>
      </c>
      <c r="M1347" s="18" t="s">
        <v>98</v>
      </c>
      <c r="N1347" s="20">
        <v>1.0</v>
      </c>
      <c r="O1347" s="18">
        <v>2.8</v>
      </c>
      <c r="P1347" s="20">
        <v>4.3</v>
      </c>
      <c r="Q1347" s="16">
        <v>45488.0</v>
      </c>
      <c r="R1347" s="16" t="s">
        <v>38</v>
      </c>
      <c r="S1347" s="13" t="s">
        <v>55</v>
      </c>
      <c r="T1347" s="13" t="s">
        <v>72</v>
      </c>
      <c r="U1347" s="13" t="str">
        <f t="shared" si="1"/>
        <v>Moderate</v>
      </c>
      <c r="V1347" s="13" t="str">
        <f t="shared" si="2"/>
        <v>Below Median</v>
      </c>
      <c r="W1347" s="13" t="str">
        <f t="shared" si="3"/>
        <v>25–48 Months</v>
      </c>
    </row>
    <row r="1348" hidden="1">
      <c r="A1348" s="13" t="s">
        <v>105</v>
      </c>
      <c r="B1348" s="13" t="s">
        <v>295</v>
      </c>
      <c r="C1348" s="14">
        <v>33.0</v>
      </c>
      <c r="D1348" s="13" t="s">
        <v>85</v>
      </c>
      <c r="E1348" s="13" t="s">
        <v>292</v>
      </c>
      <c r="F1348" s="13" t="s">
        <v>62</v>
      </c>
      <c r="G1348" s="13" t="s">
        <v>210</v>
      </c>
      <c r="H1348" s="16">
        <v>46000.0</v>
      </c>
      <c r="I1348" s="14">
        <v>37.0</v>
      </c>
      <c r="J1348" s="13" t="s">
        <v>53</v>
      </c>
      <c r="K1348" s="13" t="s">
        <v>81</v>
      </c>
      <c r="L1348" s="14">
        <v>632.0</v>
      </c>
      <c r="M1348" s="18" t="s">
        <v>98</v>
      </c>
      <c r="N1348" s="20">
        <v>3.0</v>
      </c>
      <c r="O1348" s="18">
        <v>15.3</v>
      </c>
      <c r="P1348" s="20">
        <v>1.9</v>
      </c>
      <c r="Q1348" s="16">
        <v>46426.0</v>
      </c>
      <c r="R1348" s="16" t="s">
        <v>38</v>
      </c>
      <c r="S1348" s="13" t="s">
        <v>55</v>
      </c>
      <c r="T1348" s="13" t="s">
        <v>66</v>
      </c>
      <c r="U1348" s="13" t="str">
        <f t="shared" si="1"/>
        <v>Low</v>
      </c>
      <c r="V1348" s="13" t="str">
        <f t="shared" si="2"/>
        <v>Below Median</v>
      </c>
      <c r="W1348" s="13" t="str">
        <f t="shared" si="3"/>
        <v>25–48 Months</v>
      </c>
    </row>
    <row r="1349" hidden="1">
      <c r="A1349" s="13" t="s">
        <v>1897</v>
      </c>
      <c r="B1349" s="13" t="s">
        <v>145</v>
      </c>
      <c r="C1349" s="14">
        <v>46.0</v>
      </c>
      <c r="D1349" s="13" t="s">
        <v>69</v>
      </c>
      <c r="E1349" s="13" t="s">
        <v>187</v>
      </c>
      <c r="F1349" s="13" t="s">
        <v>62</v>
      </c>
      <c r="G1349" s="13" t="s">
        <v>39</v>
      </c>
      <c r="H1349" s="16">
        <v>45424.0</v>
      </c>
      <c r="I1349" s="14">
        <v>6.0</v>
      </c>
      <c r="J1349" s="13" t="s">
        <v>40</v>
      </c>
      <c r="K1349" s="13" t="s">
        <v>81</v>
      </c>
      <c r="L1349" s="14">
        <v>534.0</v>
      </c>
      <c r="M1349" s="18" t="s">
        <v>98</v>
      </c>
      <c r="N1349" s="20">
        <v>1.0</v>
      </c>
      <c r="O1349" s="18">
        <v>13.5</v>
      </c>
      <c r="P1349" s="20">
        <v>2.6</v>
      </c>
      <c r="Q1349" s="16">
        <v>45495.0</v>
      </c>
      <c r="R1349" s="16" t="s">
        <v>1898</v>
      </c>
      <c r="S1349" s="13" t="s">
        <v>45</v>
      </c>
      <c r="T1349" s="13" t="s">
        <v>75</v>
      </c>
      <c r="U1349" s="13" t="str">
        <f t="shared" si="1"/>
        <v>Low</v>
      </c>
      <c r="V1349" s="13" t="str">
        <f t="shared" si="2"/>
        <v>Below Median</v>
      </c>
      <c r="W1349" s="13" t="str">
        <f t="shared" si="3"/>
        <v>0–12 Months</v>
      </c>
    </row>
    <row r="1350" hidden="1">
      <c r="A1350" s="13" t="s">
        <v>1899</v>
      </c>
      <c r="B1350" s="13" t="s">
        <v>405</v>
      </c>
      <c r="C1350" s="14">
        <v>62.0</v>
      </c>
      <c r="D1350" s="13" t="s">
        <v>69</v>
      </c>
      <c r="E1350" s="13" t="s">
        <v>70</v>
      </c>
      <c r="F1350" s="13" t="s">
        <v>62</v>
      </c>
      <c r="G1350" s="13" t="s">
        <v>39</v>
      </c>
      <c r="H1350" s="16">
        <v>45544.0</v>
      </c>
      <c r="I1350" s="14">
        <v>35.0</v>
      </c>
      <c r="J1350" s="13" t="s">
        <v>40</v>
      </c>
      <c r="K1350" s="13" t="s">
        <v>65</v>
      </c>
      <c r="L1350" s="14">
        <v>503.0</v>
      </c>
      <c r="M1350" s="18" t="s">
        <v>173</v>
      </c>
      <c r="N1350" s="20">
        <v>0.0</v>
      </c>
      <c r="O1350" s="18">
        <v>28.0</v>
      </c>
      <c r="P1350" s="20">
        <v>4.3</v>
      </c>
      <c r="Q1350" s="16">
        <v>46444.0</v>
      </c>
      <c r="R1350" s="16" t="s">
        <v>38</v>
      </c>
      <c r="S1350" s="13" t="s">
        <v>55</v>
      </c>
      <c r="T1350" s="13" t="s">
        <v>47</v>
      </c>
      <c r="U1350" s="13" t="str">
        <f t="shared" si="1"/>
        <v>Moderate</v>
      </c>
      <c r="V1350" s="13" t="str">
        <f t="shared" si="2"/>
        <v>Median or Above</v>
      </c>
      <c r="W1350" s="13" t="str">
        <f t="shared" si="3"/>
        <v>25–48 Months</v>
      </c>
    </row>
    <row r="1351" hidden="1">
      <c r="A1351" s="13" t="s">
        <v>1709</v>
      </c>
      <c r="B1351" s="13" t="s">
        <v>179</v>
      </c>
      <c r="C1351" s="14">
        <v>25.0</v>
      </c>
      <c r="D1351" s="13" t="s">
        <v>85</v>
      </c>
      <c r="E1351" s="13" t="s">
        <v>92</v>
      </c>
      <c r="F1351" s="13" t="s">
        <v>62</v>
      </c>
      <c r="G1351" s="13" t="s">
        <v>128</v>
      </c>
      <c r="H1351" s="16">
        <v>45915.0</v>
      </c>
      <c r="I1351" s="14">
        <v>14.0</v>
      </c>
      <c r="J1351" s="13" t="s">
        <v>64</v>
      </c>
      <c r="K1351" s="13" t="s">
        <v>81</v>
      </c>
      <c r="L1351" s="14">
        <v>872.0</v>
      </c>
      <c r="M1351" s="18" t="s">
        <v>98</v>
      </c>
      <c r="N1351" s="20">
        <v>1.0</v>
      </c>
      <c r="O1351" s="18">
        <v>15.8</v>
      </c>
      <c r="P1351" s="20">
        <v>3.3</v>
      </c>
      <c r="Q1351" s="16">
        <v>46340.0</v>
      </c>
      <c r="R1351" s="16">
        <v>46034.0</v>
      </c>
      <c r="S1351" s="13" t="s">
        <v>45</v>
      </c>
      <c r="T1351" s="13" t="s">
        <v>104</v>
      </c>
      <c r="U1351" s="13" t="str">
        <f t="shared" si="1"/>
        <v>Moderate</v>
      </c>
      <c r="V1351" s="13" t="str">
        <f t="shared" si="2"/>
        <v>Below Median</v>
      </c>
      <c r="W1351" s="13" t="str">
        <f t="shared" si="3"/>
        <v>13–24 Months</v>
      </c>
    </row>
    <row r="1352" hidden="1">
      <c r="A1352" s="13" t="s">
        <v>1901</v>
      </c>
      <c r="B1352" s="13" t="s">
        <v>50</v>
      </c>
      <c r="C1352" s="14">
        <v>56.0</v>
      </c>
      <c r="D1352" s="13" t="s">
        <v>85</v>
      </c>
      <c r="E1352" s="13" t="s">
        <v>87</v>
      </c>
      <c r="F1352" s="13" t="s">
        <v>62</v>
      </c>
      <c r="G1352" s="13" t="s">
        <v>210</v>
      </c>
      <c r="H1352" s="16">
        <v>45343.0</v>
      </c>
      <c r="I1352" s="14">
        <v>32.0</v>
      </c>
      <c r="J1352" s="13" t="s">
        <v>40</v>
      </c>
      <c r="K1352" s="13" t="s">
        <v>41</v>
      </c>
      <c r="L1352" s="14">
        <v>744.0</v>
      </c>
      <c r="M1352" s="18" t="s">
        <v>99</v>
      </c>
      <c r="N1352" s="20">
        <v>4.0</v>
      </c>
      <c r="O1352" s="18">
        <v>12.5</v>
      </c>
      <c r="P1352" s="20">
        <v>4.1</v>
      </c>
      <c r="Q1352" s="16">
        <v>45740.0</v>
      </c>
      <c r="R1352" s="16" t="s">
        <v>38</v>
      </c>
      <c r="S1352" s="13" t="s">
        <v>55</v>
      </c>
      <c r="T1352" s="13" t="s">
        <v>47</v>
      </c>
      <c r="U1352" s="13" t="str">
        <f t="shared" si="1"/>
        <v>Moderate</v>
      </c>
      <c r="V1352" s="13" t="str">
        <f t="shared" si="2"/>
        <v>Below Median</v>
      </c>
      <c r="W1352" s="13" t="str">
        <f t="shared" si="3"/>
        <v>25–48 Months</v>
      </c>
    </row>
    <row r="1353" hidden="1">
      <c r="A1353" s="13" t="s">
        <v>1902</v>
      </c>
      <c r="B1353" s="13" t="s">
        <v>132</v>
      </c>
      <c r="C1353" s="14">
        <v>63.0</v>
      </c>
      <c r="D1353" s="13" t="s">
        <v>85</v>
      </c>
      <c r="E1353" s="13" t="s">
        <v>111</v>
      </c>
      <c r="F1353" s="13" t="s">
        <v>37</v>
      </c>
      <c r="G1353" s="13" t="s">
        <v>80</v>
      </c>
      <c r="H1353" s="16">
        <v>45088.0</v>
      </c>
      <c r="I1353" s="14">
        <v>25.0</v>
      </c>
      <c r="J1353" s="13" t="s">
        <v>64</v>
      </c>
      <c r="K1353" s="13" t="s">
        <v>41</v>
      </c>
      <c r="L1353" s="14">
        <v>1267.0</v>
      </c>
      <c r="M1353" s="18" t="s">
        <v>98</v>
      </c>
      <c r="N1353" s="20">
        <v>1.0</v>
      </c>
      <c r="O1353" s="18">
        <v>25.5</v>
      </c>
      <c r="P1353" s="20">
        <v>4.2</v>
      </c>
      <c r="Q1353" s="16">
        <v>45447.0</v>
      </c>
      <c r="R1353" s="16" t="s">
        <v>38</v>
      </c>
      <c r="S1353" s="13" t="s">
        <v>55</v>
      </c>
      <c r="T1353" s="13" t="s">
        <v>104</v>
      </c>
      <c r="U1353" s="13" t="str">
        <f t="shared" si="1"/>
        <v>Moderate</v>
      </c>
      <c r="V1353" s="13" t="str">
        <f t="shared" si="2"/>
        <v>Median or Above</v>
      </c>
      <c r="W1353" s="13" t="str">
        <f t="shared" si="3"/>
        <v>25–48 Months</v>
      </c>
    </row>
    <row r="1354" hidden="1">
      <c r="A1354" s="13" t="s">
        <v>1096</v>
      </c>
      <c r="B1354" s="13" t="s">
        <v>59</v>
      </c>
      <c r="C1354" s="14">
        <v>61.0</v>
      </c>
      <c r="D1354" s="13" t="s">
        <v>60</v>
      </c>
      <c r="E1354" s="13" t="s">
        <v>133</v>
      </c>
      <c r="F1354" s="13" t="s">
        <v>62</v>
      </c>
      <c r="G1354" s="13" t="s">
        <v>63</v>
      </c>
      <c r="H1354" s="16">
        <v>45650.0</v>
      </c>
      <c r="I1354" s="14">
        <v>15.0</v>
      </c>
      <c r="J1354" s="13" t="s">
        <v>64</v>
      </c>
      <c r="K1354" s="13" t="s">
        <v>65</v>
      </c>
      <c r="L1354" s="14">
        <v>849.0</v>
      </c>
      <c r="M1354" s="18" t="s">
        <v>43</v>
      </c>
      <c r="N1354" s="20">
        <v>0.0</v>
      </c>
      <c r="O1354" s="18">
        <v>20.5</v>
      </c>
      <c r="P1354" s="20">
        <v>2.4</v>
      </c>
      <c r="Q1354" s="16">
        <v>45743.0</v>
      </c>
      <c r="R1354" s="16">
        <v>45994.0</v>
      </c>
      <c r="S1354" s="13" t="s">
        <v>45</v>
      </c>
      <c r="T1354" s="13" t="s">
        <v>72</v>
      </c>
      <c r="U1354" s="13" t="str">
        <f t="shared" si="1"/>
        <v>Low</v>
      </c>
      <c r="V1354" s="13" t="str">
        <f t="shared" si="2"/>
        <v>Below Median</v>
      </c>
      <c r="W1354" s="13" t="str">
        <f t="shared" si="3"/>
        <v>13–24 Months</v>
      </c>
    </row>
    <row r="1355" hidden="1">
      <c r="A1355" s="13" t="s">
        <v>1905</v>
      </c>
      <c r="B1355" s="13" t="s">
        <v>448</v>
      </c>
      <c r="C1355" s="14">
        <v>47.0</v>
      </c>
      <c r="D1355" s="13" t="s">
        <v>85</v>
      </c>
      <c r="E1355" s="13" t="s">
        <v>133</v>
      </c>
      <c r="F1355" s="13" t="s">
        <v>62</v>
      </c>
      <c r="G1355" s="13" t="s">
        <v>80</v>
      </c>
      <c r="H1355" s="16">
        <v>45620.0</v>
      </c>
      <c r="I1355" s="14">
        <v>20.0</v>
      </c>
      <c r="J1355" s="13" t="s">
        <v>40</v>
      </c>
      <c r="K1355" s="13" t="s">
        <v>81</v>
      </c>
      <c r="L1355" s="14">
        <v>842.0</v>
      </c>
      <c r="M1355" s="18" t="s">
        <v>164</v>
      </c>
      <c r="N1355" s="20">
        <v>1.0</v>
      </c>
      <c r="O1355" s="18">
        <v>16.6</v>
      </c>
      <c r="P1355" s="20">
        <v>4.9</v>
      </c>
      <c r="Q1355" s="16">
        <v>46098.0</v>
      </c>
      <c r="R1355" s="16" t="s">
        <v>38</v>
      </c>
      <c r="S1355" s="13" t="s">
        <v>55</v>
      </c>
      <c r="T1355" s="13" t="s">
        <v>72</v>
      </c>
      <c r="U1355" s="13" t="str">
        <f t="shared" si="1"/>
        <v>Moderate</v>
      </c>
      <c r="V1355" s="13" t="str">
        <f t="shared" si="2"/>
        <v>Below Median</v>
      </c>
      <c r="W1355" s="13" t="str">
        <f t="shared" si="3"/>
        <v>13–24 Months</v>
      </c>
    </row>
    <row r="1356" hidden="1">
      <c r="A1356" s="13" t="s">
        <v>1447</v>
      </c>
      <c r="B1356" s="13" t="s">
        <v>106</v>
      </c>
      <c r="C1356" s="14">
        <v>23.0</v>
      </c>
      <c r="D1356" s="13" t="s">
        <v>85</v>
      </c>
      <c r="E1356" s="13" t="s">
        <v>92</v>
      </c>
      <c r="F1356" s="13" t="s">
        <v>37</v>
      </c>
      <c r="G1356" s="13" t="s">
        <v>80</v>
      </c>
      <c r="H1356" s="16">
        <v>45275.0</v>
      </c>
      <c r="I1356" s="14">
        <v>34.0</v>
      </c>
      <c r="J1356" s="13" t="s">
        <v>53</v>
      </c>
      <c r="K1356" s="13" t="s">
        <v>81</v>
      </c>
      <c r="L1356" s="14">
        <v>1758.0</v>
      </c>
      <c r="M1356" s="18" t="s">
        <v>98</v>
      </c>
      <c r="N1356" s="20">
        <v>1.0</v>
      </c>
      <c r="O1356" s="18">
        <v>12.2</v>
      </c>
      <c r="P1356" s="20">
        <v>4.0</v>
      </c>
      <c r="Q1356" s="16">
        <v>45390.0</v>
      </c>
      <c r="R1356" s="16" t="s">
        <v>38</v>
      </c>
      <c r="S1356" s="13" t="s">
        <v>55</v>
      </c>
      <c r="T1356" s="13" t="s">
        <v>66</v>
      </c>
      <c r="U1356" s="13" t="str">
        <f t="shared" si="1"/>
        <v>Moderate</v>
      </c>
      <c r="V1356" s="13" t="str">
        <f t="shared" si="2"/>
        <v>Below Median</v>
      </c>
      <c r="W1356" s="13" t="str">
        <f t="shared" si="3"/>
        <v>25–48 Months</v>
      </c>
    </row>
    <row r="1357" hidden="1">
      <c r="A1357" s="13" t="s">
        <v>867</v>
      </c>
      <c r="B1357" s="13" t="s">
        <v>224</v>
      </c>
      <c r="C1357" s="14">
        <v>35.0</v>
      </c>
      <c r="D1357" s="13" t="s">
        <v>35</v>
      </c>
      <c r="E1357" s="13" t="s">
        <v>51</v>
      </c>
      <c r="F1357" s="13" t="s">
        <v>62</v>
      </c>
      <c r="G1357" s="13" t="s">
        <v>80</v>
      </c>
      <c r="H1357" s="16">
        <v>44946.0</v>
      </c>
      <c r="I1357" s="14">
        <v>41.0</v>
      </c>
      <c r="J1357" s="13" t="s">
        <v>53</v>
      </c>
      <c r="K1357" s="13" t="s">
        <v>41</v>
      </c>
      <c r="L1357" s="14">
        <v>730.0</v>
      </c>
      <c r="M1357" s="18" t="s">
        <v>376</v>
      </c>
      <c r="N1357" s="20">
        <v>0.0</v>
      </c>
      <c r="O1357" s="18">
        <v>21.3</v>
      </c>
      <c r="P1357" s="20">
        <v>2.9</v>
      </c>
      <c r="Q1357" s="16">
        <v>44985.0</v>
      </c>
      <c r="R1357" s="16" t="s">
        <v>38</v>
      </c>
      <c r="S1357" s="13" t="s">
        <v>55</v>
      </c>
      <c r="T1357" s="13" t="s">
        <v>72</v>
      </c>
      <c r="U1357" s="13" t="str">
        <f t="shared" si="1"/>
        <v>Low</v>
      </c>
      <c r="V1357" s="13" t="str">
        <f t="shared" si="2"/>
        <v>Below Median</v>
      </c>
      <c r="W1357" s="13" t="str">
        <f t="shared" si="3"/>
        <v>25–48 Months</v>
      </c>
    </row>
    <row r="1358" hidden="1">
      <c r="A1358" s="13" t="s">
        <v>1906</v>
      </c>
      <c r="B1358" s="13" t="s">
        <v>470</v>
      </c>
      <c r="C1358" s="14">
        <v>52.0</v>
      </c>
      <c r="D1358" s="13" t="s">
        <v>85</v>
      </c>
      <c r="E1358" s="13" t="s">
        <v>87</v>
      </c>
      <c r="F1358" s="13" t="s">
        <v>37</v>
      </c>
      <c r="G1358" s="13" t="s">
        <v>39</v>
      </c>
      <c r="H1358" s="16">
        <v>45633.0</v>
      </c>
      <c r="I1358" s="14">
        <v>26.0</v>
      </c>
      <c r="J1358" s="13" t="s">
        <v>64</v>
      </c>
      <c r="K1358" s="13" t="s">
        <v>65</v>
      </c>
      <c r="L1358" s="14">
        <v>1083.0</v>
      </c>
      <c r="M1358" s="18" t="s">
        <v>46</v>
      </c>
      <c r="N1358" s="20">
        <v>2.0</v>
      </c>
      <c r="O1358" s="18">
        <v>25.8</v>
      </c>
      <c r="P1358" s="20">
        <v>2.4</v>
      </c>
      <c r="Q1358" s="16">
        <v>46386.0</v>
      </c>
      <c r="R1358" s="16" t="s">
        <v>1907</v>
      </c>
      <c r="S1358" s="13" t="s">
        <v>45</v>
      </c>
      <c r="T1358" s="13" t="s">
        <v>75</v>
      </c>
      <c r="U1358" s="13" t="str">
        <f t="shared" si="1"/>
        <v>Low</v>
      </c>
      <c r="V1358" s="13" t="str">
        <f t="shared" si="2"/>
        <v>Median or Above</v>
      </c>
      <c r="W1358" s="13" t="str">
        <f t="shared" si="3"/>
        <v>25–48 Months</v>
      </c>
    </row>
    <row r="1359" hidden="1">
      <c r="A1359" s="13" t="s">
        <v>849</v>
      </c>
      <c r="B1359" s="13" t="s">
        <v>605</v>
      </c>
      <c r="C1359" s="14">
        <v>25.0</v>
      </c>
      <c r="D1359" s="13" t="s">
        <v>35</v>
      </c>
      <c r="E1359" s="13" t="s">
        <v>36</v>
      </c>
      <c r="F1359" s="13" t="s">
        <v>37</v>
      </c>
      <c r="G1359" s="13" t="s">
        <v>80</v>
      </c>
      <c r="H1359" s="16">
        <v>45568.0</v>
      </c>
      <c r="I1359" s="14">
        <v>35.0</v>
      </c>
      <c r="J1359" s="13" t="s">
        <v>53</v>
      </c>
      <c r="K1359" s="13" t="s">
        <v>65</v>
      </c>
      <c r="L1359" s="14">
        <v>1589.0</v>
      </c>
      <c r="M1359" s="18" t="s">
        <v>46</v>
      </c>
      <c r="N1359" s="20">
        <v>2.0</v>
      </c>
      <c r="O1359" s="18">
        <v>27.7</v>
      </c>
      <c r="P1359" s="20">
        <v>5.0</v>
      </c>
      <c r="Q1359" s="16">
        <v>45624.0</v>
      </c>
      <c r="R1359" s="16" t="s">
        <v>38</v>
      </c>
      <c r="S1359" s="13" t="s">
        <v>55</v>
      </c>
      <c r="T1359" s="13" t="s">
        <v>66</v>
      </c>
      <c r="U1359" s="13" t="str">
        <f t="shared" si="1"/>
        <v>High</v>
      </c>
      <c r="V1359" s="13" t="str">
        <f t="shared" si="2"/>
        <v>Median or Above</v>
      </c>
      <c r="W1359" s="13" t="str">
        <f t="shared" si="3"/>
        <v>25–48 Months</v>
      </c>
    </row>
    <row r="1360" hidden="1">
      <c r="A1360" s="13" t="s">
        <v>1908</v>
      </c>
      <c r="B1360" s="13" t="s">
        <v>74</v>
      </c>
      <c r="C1360" s="14">
        <v>67.0</v>
      </c>
      <c r="D1360" s="13" t="s">
        <v>60</v>
      </c>
      <c r="E1360" s="13" t="s">
        <v>107</v>
      </c>
      <c r="F1360" s="13" t="s">
        <v>62</v>
      </c>
      <c r="G1360" s="13" t="s">
        <v>128</v>
      </c>
      <c r="H1360" s="16">
        <v>45432.0</v>
      </c>
      <c r="I1360" s="14">
        <v>28.0</v>
      </c>
      <c r="J1360" s="13" t="s">
        <v>64</v>
      </c>
      <c r="K1360" s="13" t="s">
        <v>65</v>
      </c>
      <c r="L1360" s="14">
        <v>612.0</v>
      </c>
      <c r="M1360" s="18" t="s">
        <v>98</v>
      </c>
      <c r="N1360" s="20">
        <v>1.0</v>
      </c>
      <c r="O1360" s="18">
        <v>11.8</v>
      </c>
      <c r="P1360" s="20">
        <v>4.4</v>
      </c>
      <c r="Q1360" s="16">
        <v>46085.0</v>
      </c>
      <c r="R1360" s="16" t="s">
        <v>38</v>
      </c>
      <c r="S1360" s="13" t="s">
        <v>55</v>
      </c>
      <c r="T1360" s="13" t="s">
        <v>104</v>
      </c>
      <c r="U1360" s="13" t="str">
        <f t="shared" si="1"/>
        <v>Moderate</v>
      </c>
      <c r="V1360" s="13" t="str">
        <f t="shared" si="2"/>
        <v>Below Median</v>
      </c>
      <c r="W1360" s="13" t="str">
        <f t="shared" si="3"/>
        <v>25–48 Months</v>
      </c>
    </row>
    <row r="1361" hidden="1">
      <c r="A1361" s="13" t="s">
        <v>527</v>
      </c>
      <c r="B1361" s="13" t="s">
        <v>470</v>
      </c>
      <c r="C1361" s="14">
        <v>53.0</v>
      </c>
      <c r="D1361" s="13" t="s">
        <v>60</v>
      </c>
      <c r="E1361" s="13" t="s">
        <v>97</v>
      </c>
      <c r="F1361" s="13" t="s">
        <v>62</v>
      </c>
      <c r="G1361" s="13" t="s">
        <v>120</v>
      </c>
      <c r="H1361" s="16">
        <v>44602.0</v>
      </c>
      <c r="I1361" s="14">
        <v>48.0</v>
      </c>
      <c r="J1361" s="13" t="s">
        <v>40</v>
      </c>
      <c r="K1361" s="13" t="s">
        <v>81</v>
      </c>
      <c r="L1361" s="14">
        <v>561.0</v>
      </c>
      <c r="M1361" s="18" t="s">
        <v>43</v>
      </c>
      <c r="N1361" s="20">
        <v>0.0</v>
      </c>
      <c r="O1361" s="18">
        <v>14.8</v>
      </c>
      <c r="P1361" s="20">
        <v>4.7</v>
      </c>
      <c r="Q1361" s="16">
        <v>45809.0</v>
      </c>
      <c r="R1361" s="16" t="s">
        <v>1909</v>
      </c>
      <c r="S1361" s="13" t="s">
        <v>45</v>
      </c>
      <c r="T1361" s="13" t="s">
        <v>75</v>
      </c>
      <c r="U1361" s="13" t="str">
        <f t="shared" si="1"/>
        <v>Moderate</v>
      </c>
      <c r="V1361" s="13" t="str">
        <f t="shared" si="2"/>
        <v>Below Median</v>
      </c>
      <c r="W1361" s="13" t="str">
        <f t="shared" si="3"/>
        <v>25–48 Months</v>
      </c>
    </row>
    <row r="1362" hidden="1">
      <c r="A1362" s="13" t="s">
        <v>1910</v>
      </c>
      <c r="B1362" s="13" t="s">
        <v>325</v>
      </c>
      <c r="C1362" s="14">
        <v>21.0</v>
      </c>
      <c r="D1362" s="13" t="s">
        <v>69</v>
      </c>
      <c r="E1362" s="13" t="s">
        <v>177</v>
      </c>
      <c r="F1362" s="13" t="s">
        <v>62</v>
      </c>
      <c r="G1362" s="13" t="s">
        <v>39</v>
      </c>
      <c r="H1362" s="16">
        <v>45435.0</v>
      </c>
      <c r="I1362" s="14">
        <v>3.0</v>
      </c>
      <c r="J1362" s="13" t="s">
        <v>53</v>
      </c>
      <c r="K1362" s="13" t="s">
        <v>65</v>
      </c>
      <c r="L1362" s="14">
        <v>852.0</v>
      </c>
      <c r="M1362" s="18" t="s">
        <v>164</v>
      </c>
      <c r="N1362" s="20">
        <v>0.0</v>
      </c>
      <c r="O1362" s="18">
        <v>18.6</v>
      </c>
      <c r="P1362" s="20">
        <v>4.0</v>
      </c>
      <c r="Q1362" s="16">
        <v>45513.0</v>
      </c>
      <c r="R1362" s="16" t="s">
        <v>38</v>
      </c>
      <c r="S1362" s="13" t="s">
        <v>55</v>
      </c>
      <c r="T1362" s="13" t="s">
        <v>104</v>
      </c>
      <c r="U1362" s="13" t="str">
        <f t="shared" si="1"/>
        <v>Moderate</v>
      </c>
      <c r="V1362" s="13" t="str">
        <f t="shared" si="2"/>
        <v>Below Median</v>
      </c>
      <c r="W1362" s="13" t="str">
        <f t="shared" si="3"/>
        <v>0–12 Months</v>
      </c>
    </row>
    <row r="1363" hidden="1">
      <c r="A1363" s="13" t="s">
        <v>852</v>
      </c>
      <c r="B1363" s="13" t="s">
        <v>206</v>
      </c>
      <c r="C1363" s="14">
        <v>47.0</v>
      </c>
      <c r="D1363" s="13" t="s">
        <v>60</v>
      </c>
      <c r="E1363" s="13" t="s">
        <v>97</v>
      </c>
      <c r="F1363" s="13" t="s">
        <v>37</v>
      </c>
      <c r="G1363" s="13" t="s">
        <v>39</v>
      </c>
      <c r="H1363" s="16">
        <v>45382.0</v>
      </c>
      <c r="I1363" s="14">
        <v>5.0</v>
      </c>
      <c r="J1363" s="13" t="s">
        <v>40</v>
      </c>
      <c r="K1363" s="13" t="s">
        <v>41</v>
      </c>
      <c r="L1363" s="14">
        <v>1542.0</v>
      </c>
      <c r="M1363" s="18" t="s">
        <v>98</v>
      </c>
      <c r="N1363" s="20">
        <v>0.0</v>
      </c>
      <c r="O1363" s="18">
        <v>11.9</v>
      </c>
      <c r="P1363" s="20">
        <v>3.8</v>
      </c>
      <c r="Q1363" s="16">
        <v>45444.0</v>
      </c>
      <c r="R1363" s="16">
        <v>45420.0</v>
      </c>
      <c r="S1363" s="13" t="s">
        <v>45</v>
      </c>
      <c r="T1363" s="13" t="s">
        <v>72</v>
      </c>
      <c r="U1363" s="13" t="str">
        <f t="shared" si="1"/>
        <v>Moderate</v>
      </c>
      <c r="V1363" s="13" t="str">
        <f t="shared" si="2"/>
        <v>Below Median</v>
      </c>
      <c r="W1363" s="13" t="str">
        <f t="shared" si="3"/>
        <v>0–12 Months</v>
      </c>
    </row>
    <row r="1364" hidden="1">
      <c r="A1364" s="13" t="s">
        <v>1578</v>
      </c>
      <c r="B1364" s="13" t="s">
        <v>135</v>
      </c>
      <c r="C1364" s="14">
        <v>42.0</v>
      </c>
      <c r="D1364" s="13" t="s">
        <v>85</v>
      </c>
      <c r="E1364" s="13" t="s">
        <v>111</v>
      </c>
      <c r="F1364" s="13" t="s">
        <v>62</v>
      </c>
      <c r="G1364" s="13" t="s">
        <v>39</v>
      </c>
      <c r="H1364" s="16">
        <v>45829.0</v>
      </c>
      <c r="I1364" s="14">
        <v>4.0</v>
      </c>
      <c r="J1364" s="13" t="s">
        <v>64</v>
      </c>
      <c r="K1364" s="13" t="s">
        <v>65</v>
      </c>
      <c r="L1364" s="14">
        <v>819.0</v>
      </c>
      <c r="M1364" s="18" t="s">
        <v>46</v>
      </c>
      <c r="N1364" s="20">
        <v>0.0</v>
      </c>
      <c r="O1364" s="18">
        <v>17.4</v>
      </c>
      <c r="P1364" s="20">
        <v>5.0</v>
      </c>
      <c r="Q1364" s="16">
        <v>45921.0</v>
      </c>
      <c r="R1364" s="16" t="s">
        <v>38</v>
      </c>
      <c r="S1364" s="13" t="s">
        <v>55</v>
      </c>
      <c r="T1364" s="13" t="s">
        <v>75</v>
      </c>
      <c r="U1364" s="13" t="str">
        <f t="shared" si="1"/>
        <v>High</v>
      </c>
      <c r="V1364" s="13" t="str">
        <f t="shared" si="2"/>
        <v>Below Median</v>
      </c>
      <c r="W1364" s="13" t="str">
        <f t="shared" si="3"/>
        <v>0–12 Months</v>
      </c>
    </row>
    <row r="1365" hidden="1">
      <c r="A1365" s="13" t="s">
        <v>1912</v>
      </c>
      <c r="B1365" s="13" t="s">
        <v>91</v>
      </c>
      <c r="C1365" s="14">
        <v>25.0</v>
      </c>
      <c r="D1365" s="13" t="s">
        <v>69</v>
      </c>
      <c r="E1365" s="13" t="s">
        <v>70</v>
      </c>
      <c r="F1365" s="13" t="s">
        <v>37</v>
      </c>
      <c r="G1365" s="13" t="s">
        <v>128</v>
      </c>
      <c r="H1365" s="16">
        <v>45352.0</v>
      </c>
      <c r="I1365" s="14">
        <v>25.0</v>
      </c>
      <c r="J1365" s="13" t="s">
        <v>53</v>
      </c>
      <c r="K1365" s="13" t="s">
        <v>65</v>
      </c>
      <c r="L1365" s="14">
        <v>1580.0</v>
      </c>
      <c r="M1365" s="18" t="s">
        <v>46</v>
      </c>
      <c r="N1365" s="20">
        <v>1.0</v>
      </c>
      <c r="O1365" s="18">
        <v>29.9</v>
      </c>
      <c r="P1365" s="20">
        <v>2.9</v>
      </c>
      <c r="Q1365" s="16">
        <v>45727.0</v>
      </c>
      <c r="R1365" s="16" t="s">
        <v>38</v>
      </c>
      <c r="S1365" s="13" t="s">
        <v>55</v>
      </c>
      <c r="T1365" s="13" t="s">
        <v>47</v>
      </c>
      <c r="U1365" s="13" t="str">
        <f t="shared" si="1"/>
        <v>Low</v>
      </c>
      <c r="V1365" s="13" t="str">
        <f t="shared" si="2"/>
        <v>Median or Above</v>
      </c>
      <c r="W1365" s="13" t="str">
        <f t="shared" si="3"/>
        <v>25–48 Months</v>
      </c>
    </row>
    <row r="1366" hidden="1">
      <c r="A1366" s="13" t="s">
        <v>1913</v>
      </c>
      <c r="B1366" s="13" t="s">
        <v>393</v>
      </c>
      <c r="C1366" s="14">
        <v>45.0</v>
      </c>
      <c r="D1366" s="13" t="s">
        <v>35</v>
      </c>
      <c r="E1366" s="13" t="s">
        <v>51</v>
      </c>
      <c r="F1366" s="13" t="s">
        <v>37</v>
      </c>
      <c r="G1366" s="13" t="s">
        <v>39</v>
      </c>
      <c r="H1366" s="16">
        <v>45527.0</v>
      </c>
      <c r="I1366" s="14">
        <v>32.0</v>
      </c>
      <c r="J1366" s="13" t="s">
        <v>40</v>
      </c>
      <c r="K1366" s="13" t="s">
        <v>65</v>
      </c>
      <c r="L1366" s="14">
        <v>1161.0</v>
      </c>
      <c r="M1366" s="18" t="s">
        <v>98</v>
      </c>
      <c r="N1366" s="20" t="s">
        <v>38</v>
      </c>
      <c r="O1366" s="18">
        <v>31.7</v>
      </c>
      <c r="P1366" s="20">
        <v>3.4</v>
      </c>
      <c r="Q1366" s="16">
        <v>46145.0</v>
      </c>
      <c r="R1366" s="16" t="s">
        <v>38</v>
      </c>
      <c r="S1366" s="13" t="s">
        <v>55</v>
      </c>
      <c r="T1366" s="13" t="s">
        <v>47</v>
      </c>
      <c r="U1366" s="13" t="str">
        <f t="shared" si="1"/>
        <v>Moderate</v>
      </c>
      <c r="V1366" s="13" t="str">
        <f t="shared" si="2"/>
        <v>Median or Above</v>
      </c>
      <c r="W1366" s="13" t="str">
        <f t="shared" si="3"/>
        <v>25–48 Months</v>
      </c>
    </row>
    <row r="1367" hidden="1">
      <c r="A1367" s="13" t="s">
        <v>1427</v>
      </c>
      <c r="B1367" s="13" t="s">
        <v>351</v>
      </c>
      <c r="C1367" s="14">
        <v>39.0</v>
      </c>
      <c r="D1367" s="13" t="s">
        <v>69</v>
      </c>
      <c r="E1367" s="13" t="s">
        <v>70</v>
      </c>
      <c r="F1367" s="13" t="s">
        <v>62</v>
      </c>
      <c r="G1367" s="13" t="s">
        <v>210</v>
      </c>
      <c r="H1367" s="16">
        <v>45087.0</v>
      </c>
      <c r="I1367" s="14">
        <v>5.0</v>
      </c>
      <c r="J1367" s="13" t="s">
        <v>64</v>
      </c>
      <c r="K1367" s="13" t="s">
        <v>41</v>
      </c>
      <c r="L1367" s="14">
        <v>848.0</v>
      </c>
      <c r="M1367" s="18" t="s">
        <v>164</v>
      </c>
      <c r="N1367" s="20">
        <v>0.0</v>
      </c>
      <c r="O1367" s="18">
        <v>31.1</v>
      </c>
      <c r="P1367" s="20">
        <v>4.5</v>
      </c>
      <c r="Q1367" s="16">
        <v>45105.0</v>
      </c>
      <c r="R1367" s="16">
        <v>45054.0</v>
      </c>
      <c r="S1367" s="13" t="s">
        <v>45</v>
      </c>
      <c r="T1367" s="13" t="s">
        <v>72</v>
      </c>
      <c r="U1367" s="13" t="str">
        <f t="shared" si="1"/>
        <v>Moderate</v>
      </c>
      <c r="V1367" s="13" t="str">
        <f t="shared" si="2"/>
        <v>Median or Above</v>
      </c>
      <c r="W1367" s="13" t="str">
        <f t="shared" si="3"/>
        <v>0–12 Months</v>
      </c>
    </row>
    <row r="1368" hidden="1">
      <c r="A1368" s="13" t="s">
        <v>1915</v>
      </c>
      <c r="B1368" s="13" t="s">
        <v>383</v>
      </c>
      <c r="C1368" s="14">
        <v>32.0</v>
      </c>
      <c r="D1368" s="13" t="s">
        <v>60</v>
      </c>
      <c r="E1368" s="13" t="s">
        <v>133</v>
      </c>
      <c r="F1368" s="13" t="s">
        <v>37</v>
      </c>
      <c r="G1368" s="13" t="s">
        <v>63</v>
      </c>
      <c r="H1368" s="16">
        <v>45326.0</v>
      </c>
      <c r="I1368" s="14">
        <v>8.0</v>
      </c>
      <c r="J1368" s="13" t="s">
        <v>40</v>
      </c>
      <c r="K1368" s="13" t="s">
        <v>65</v>
      </c>
      <c r="L1368" s="14">
        <v>1572.0</v>
      </c>
      <c r="M1368" s="18" t="s">
        <v>98</v>
      </c>
      <c r="N1368" s="20">
        <v>2.0</v>
      </c>
      <c r="O1368" s="18">
        <v>34.9</v>
      </c>
      <c r="P1368" s="20">
        <v>5.0</v>
      </c>
      <c r="Q1368" s="16">
        <v>45336.0</v>
      </c>
      <c r="R1368" s="16" t="s">
        <v>38</v>
      </c>
      <c r="S1368" s="13" t="s">
        <v>55</v>
      </c>
      <c r="T1368" s="13" t="s">
        <v>47</v>
      </c>
      <c r="U1368" s="13" t="str">
        <f t="shared" si="1"/>
        <v>High</v>
      </c>
      <c r="V1368" s="13" t="str">
        <f t="shared" si="2"/>
        <v>Median or Above</v>
      </c>
      <c r="W1368" s="13" t="str">
        <f t="shared" si="3"/>
        <v>0–12 Months</v>
      </c>
    </row>
    <row r="1369" hidden="1">
      <c r="A1369" s="13" t="s">
        <v>343</v>
      </c>
      <c r="B1369" s="13" t="s">
        <v>349</v>
      </c>
      <c r="C1369" s="14">
        <v>56.0</v>
      </c>
      <c r="D1369" s="13" t="s">
        <v>85</v>
      </c>
      <c r="E1369" s="13" t="s">
        <v>111</v>
      </c>
      <c r="F1369" s="13" t="s">
        <v>62</v>
      </c>
      <c r="G1369" s="13" t="s">
        <v>128</v>
      </c>
      <c r="H1369" s="16">
        <v>45515.0</v>
      </c>
      <c r="I1369" s="14">
        <v>7.0</v>
      </c>
      <c r="J1369" s="13" t="s">
        <v>53</v>
      </c>
      <c r="K1369" s="13" t="s">
        <v>41</v>
      </c>
      <c r="L1369" s="14">
        <v>631.0</v>
      </c>
      <c r="M1369" s="18" t="s">
        <v>99</v>
      </c>
      <c r="N1369" s="20">
        <v>0.0</v>
      </c>
      <c r="O1369" s="18">
        <v>28.2</v>
      </c>
      <c r="P1369" s="20">
        <v>4.2</v>
      </c>
      <c r="Q1369" s="16">
        <v>45730.0</v>
      </c>
      <c r="R1369" s="16" t="s">
        <v>38</v>
      </c>
      <c r="S1369" s="13" t="s">
        <v>55</v>
      </c>
      <c r="T1369" s="13" t="s">
        <v>38</v>
      </c>
      <c r="U1369" s="13" t="str">
        <f t="shared" si="1"/>
        <v>Moderate</v>
      </c>
      <c r="V1369" s="13" t="str">
        <f t="shared" si="2"/>
        <v>Median or Above</v>
      </c>
      <c r="W1369" s="13" t="str">
        <f t="shared" si="3"/>
        <v>0–12 Months</v>
      </c>
    </row>
    <row r="1370" hidden="1">
      <c r="A1370" s="13" t="s">
        <v>1530</v>
      </c>
      <c r="B1370" s="13" t="s">
        <v>106</v>
      </c>
      <c r="C1370" s="14">
        <v>51.0</v>
      </c>
      <c r="D1370" s="13" t="s">
        <v>85</v>
      </c>
      <c r="E1370" s="13" t="s">
        <v>292</v>
      </c>
      <c r="F1370" s="13" t="s">
        <v>62</v>
      </c>
      <c r="G1370" s="13" t="s">
        <v>120</v>
      </c>
      <c r="H1370" s="16">
        <v>45094.0</v>
      </c>
      <c r="I1370" s="14">
        <v>45.0</v>
      </c>
      <c r="J1370" s="13" t="s">
        <v>64</v>
      </c>
      <c r="K1370" s="13" t="s">
        <v>65</v>
      </c>
      <c r="L1370" s="14">
        <v>836.0</v>
      </c>
      <c r="M1370" s="18" t="s">
        <v>43</v>
      </c>
      <c r="N1370" s="20">
        <v>0.0</v>
      </c>
      <c r="O1370" s="18">
        <v>17.1</v>
      </c>
      <c r="P1370" s="20">
        <v>3.6</v>
      </c>
      <c r="Q1370" s="16">
        <v>45111.0</v>
      </c>
      <c r="R1370" s="16" t="s">
        <v>1916</v>
      </c>
      <c r="S1370" s="13" t="s">
        <v>45</v>
      </c>
      <c r="T1370" s="13" t="s">
        <v>66</v>
      </c>
      <c r="U1370" s="13" t="str">
        <f t="shared" si="1"/>
        <v>Moderate</v>
      </c>
      <c r="V1370" s="13" t="str">
        <f t="shared" si="2"/>
        <v>Below Median</v>
      </c>
      <c r="W1370" s="13" t="str">
        <f t="shared" si="3"/>
        <v>25–48 Months</v>
      </c>
    </row>
    <row r="1371" hidden="1">
      <c r="A1371" s="13" t="s">
        <v>272</v>
      </c>
      <c r="B1371" s="13" t="s">
        <v>190</v>
      </c>
      <c r="C1371" s="14">
        <v>50.0</v>
      </c>
      <c r="D1371" s="13" t="s">
        <v>85</v>
      </c>
      <c r="E1371" s="13" t="s">
        <v>92</v>
      </c>
      <c r="F1371" s="13" t="s">
        <v>79</v>
      </c>
      <c r="G1371" s="13" t="s">
        <v>128</v>
      </c>
      <c r="H1371" s="16">
        <v>45280.0</v>
      </c>
      <c r="I1371" s="14">
        <v>8.0</v>
      </c>
      <c r="J1371" s="13" t="s">
        <v>40</v>
      </c>
      <c r="K1371" s="13" t="s">
        <v>65</v>
      </c>
      <c r="L1371" s="14">
        <v>2672.0</v>
      </c>
      <c r="M1371" s="18" t="s">
        <v>164</v>
      </c>
      <c r="N1371" s="20">
        <v>1.0</v>
      </c>
      <c r="O1371" s="18">
        <v>55.0</v>
      </c>
      <c r="P1371" s="20">
        <v>4.6</v>
      </c>
      <c r="Q1371" s="16">
        <v>45427.0</v>
      </c>
      <c r="R1371" s="16" t="s">
        <v>1918</v>
      </c>
      <c r="S1371" s="13" t="s">
        <v>55</v>
      </c>
      <c r="T1371" s="13" t="s">
        <v>72</v>
      </c>
      <c r="U1371" s="13" t="str">
        <f t="shared" si="1"/>
        <v>Moderate</v>
      </c>
      <c r="V1371" s="13" t="str">
        <f t="shared" si="2"/>
        <v>Median or Above</v>
      </c>
      <c r="W1371" s="13" t="str">
        <f t="shared" si="3"/>
        <v>0–12 Months</v>
      </c>
    </row>
    <row r="1372" hidden="1">
      <c r="A1372" s="13" t="s">
        <v>1919</v>
      </c>
      <c r="B1372" s="13" t="s">
        <v>380</v>
      </c>
      <c r="C1372" s="14">
        <v>32.0</v>
      </c>
      <c r="D1372" s="13" t="s">
        <v>35</v>
      </c>
      <c r="E1372" s="13" t="s">
        <v>140</v>
      </c>
      <c r="F1372" s="13" t="s">
        <v>37</v>
      </c>
      <c r="G1372" s="13" t="s">
        <v>80</v>
      </c>
      <c r="H1372" s="16">
        <v>44807.0</v>
      </c>
      <c r="I1372" s="14">
        <v>7.0</v>
      </c>
      <c r="J1372" s="13" t="s">
        <v>64</v>
      </c>
      <c r="K1372" s="13" t="s">
        <v>81</v>
      </c>
      <c r="L1372" s="14">
        <v>1793.0</v>
      </c>
      <c r="M1372" s="18" t="s">
        <v>98</v>
      </c>
      <c r="N1372" s="20">
        <v>1.0</v>
      </c>
      <c r="O1372" s="18">
        <v>2.9</v>
      </c>
      <c r="P1372" s="20">
        <v>3.6</v>
      </c>
      <c r="Q1372" s="16">
        <v>45013.0</v>
      </c>
      <c r="R1372" s="16">
        <v>44875.0</v>
      </c>
      <c r="S1372" s="13" t="s">
        <v>45</v>
      </c>
      <c r="T1372" s="13" t="s">
        <v>66</v>
      </c>
      <c r="U1372" s="13" t="str">
        <f t="shared" si="1"/>
        <v>Moderate</v>
      </c>
      <c r="V1372" s="13" t="str">
        <f t="shared" si="2"/>
        <v>Below Median</v>
      </c>
      <c r="W1372" s="13" t="str">
        <f t="shared" si="3"/>
        <v>0–12 Months</v>
      </c>
    </row>
    <row r="1373" hidden="1">
      <c r="A1373" s="13" t="s">
        <v>1921</v>
      </c>
      <c r="B1373" s="13" t="s">
        <v>333</v>
      </c>
      <c r="C1373" s="14">
        <v>37.0</v>
      </c>
      <c r="D1373" s="13" t="s">
        <v>85</v>
      </c>
      <c r="E1373" s="13" t="s">
        <v>111</v>
      </c>
      <c r="F1373" s="13" t="s">
        <v>37</v>
      </c>
      <c r="G1373" s="13" t="s">
        <v>120</v>
      </c>
      <c r="H1373" s="16">
        <v>45897.0</v>
      </c>
      <c r="I1373" s="14">
        <v>48.0</v>
      </c>
      <c r="J1373" s="13" t="s">
        <v>53</v>
      </c>
      <c r="K1373" s="13" t="s">
        <v>65</v>
      </c>
      <c r="L1373" s="14">
        <v>1226.0</v>
      </c>
      <c r="M1373" s="18" t="s">
        <v>99</v>
      </c>
      <c r="N1373" s="20">
        <v>1.0</v>
      </c>
      <c r="O1373" s="18">
        <v>24.7</v>
      </c>
      <c r="P1373" s="20">
        <v>5.0</v>
      </c>
      <c r="Q1373" s="16">
        <v>46386.0</v>
      </c>
      <c r="R1373" s="16" t="s">
        <v>38</v>
      </c>
      <c r="S1373" s="13" t="s">
        <v>55</v>
      </c>
      <c r="T1373" s="13" t="s">
        <v>104</v>
      </c>
      <c r="U1373" s="13" t="str">
        <f t="shared" si="1"/>
        <v>High</v>
      </c>
      <c r="V1373" s="13" t="str">
        <f t="shared" si="2"/>
        <v>Median or Above</v>
      </c>
      <c r="W1373" s="13" t="str">
        <f t="shared" si="3"/>
        <v>25–48 Months</v>
      </c>
    </row>
    <row r="1374" hidden="1">
      <c r="A1374" s="13" t="s">
        <v>2186</v>
      </c>
      <c r="B1374" s="13" t="s">
        <v>106</v>
      </c>
      <c r="C1374" s="14">
        <v>44.0</v>
      </c>
      <c r="D1374" s="13" t="s">
        <v>35</v>
      </c>
      <c r="E1374" s="13" t="s">
        <v>51</v>
      </c>
      <c r="F1374" s="13" t="s">
        <v>37</v>
      </c>
      <c r="G1374" s="13" t="s">
        <v>80</v>
      </c>
      <c r="H1374" s="16">
        <v>44587.0</v>
      </c>
      <c r="I1374" s="14">
        <v>40.0</v>
      </c>
      <c r="J1374" s="13" t="s">
        <v>40</v>
      </c>
      <c r="K1374" s="13" t="s">
        <v>65</v>
      </c>
      <c r="L1374" s="14">
        <v>1196.0</v>
      </c>
      <c r="M1374" s="18" t="s">
        <v>43</v>
      </c>
      <c r="N1374" s="20">
        <v>1.0</v>
      </c>
      <c r="O1374" s="18">
        <v>37.6</v>
      </c>
      <c r="P1374" s="20">
        <v>3.7</v>
      </c>
      <c r="Q1374" s="16">
        <v>45455.0</v>
      </c>
      <c r="R1374" s="16" t="s">
        <v>1923</v>
      </c>
      <c r="S1374" s="13" t="s">
        <v>45</v>
      </c>
      <c r="T1374" s="13" t="s">
        <v>72</v>
      </c>
      <c r="U1374" s="13" t="str">
        <f t="shared" si="1"/>
        <v>Moderate</v>
      </c>
      <c r="V1374" s="13" t="str">
        <f t="shared" si="2"/>
        <v>Median or Above</v>
      </c>
      <c r="W1374" s="13" t="str">
        <f t="shared" si="3"/>
        <v>25–48 Months</v>
      </c>
    </row>
    <row r="1375" hidden="1">
      <c r="A1375" s="13" t="s">
        <v>2187</v>
      </c>
      <c r="B1375" s="13" t="s">
        <v>110</v>
      </c>
      <c r="C1375" s="14">
        <v>27.0</v>
      </c>
      <c r="D1375" s="13" t="s">
        <v>35</v>
      </c>
      <c r="E1375" s="13" t="s">
        <v>161</v>
      </c>
      <c r="F1375" s="13" t="s">
        <v>62</v>
      </c>
      <c r="G1375" s="13" t="s">
        <v>128</v>
      </c>
      <c r="H1375" s="16">
        <v>44910.0</v>
      </c>
      <c r="I1375" s="14">
        <v>15.0</v>
      </c>
      <c r="J1375" s="13" t="s">
        <v>40</v>
      </c>
      <c r="K1375" s="13" t="s">
        <v>65</v>
      </c>
      <c r="L1375" s="14">
        <v>811.0</v>
      </c>
      <c r="M1375" s="18" t="s">
        <v>98</v>
      </c>
      <c r="N1375" s="20">
        <v>1.0</v>
      </c>
      <c r="O1375" s="18">
        <v>25.6</v>
      </c>
      <c r="P1375" s="20">
        <v>4.4</v>
      </c>
      <c r="Q1375" s="16">
        <v>45254.0</v>
      </c>
      <c r="R1375" s="16" t="s">
        <v>1925</v>
      </c>
      <c r="S1375" s="13" t="s">
        <v>45</v>
      </c>
      <c r="T1375" s="13" t="s">
        <v>72</v>
      </c>
      <c r="U1375" s="13" t="str">
        <f t="shared" si="1"/>
        <v>Moderate</v>
      </c>
      <c r="V1375" s="13" t="str">
        <f t="shared" si="2"/>
        <v>Median or Above</v>
      </c>
      <c r="W1375" s="13" t="str">
        <f t="shared" si="3"/>
        <v>13–24 Months</v>
      </c>
    </row>
    <row r="1376" hidden="1">
      <c r="A1376" s="13" t="s">
        <v>1262</v>
      </c>
      <c r="B1376" s="13" t="s">
        <v>184</v>
      </c>
      <c r="C1376" s="14">
        <v>68.0</v>
      </c>
      <c r="D1376" s="13" t="s">
        <v>35</v>
      </c>
      <c r="E1376" s="13" t="s">
        <v>36</v>
      </c>
      <c r="F1376" s="13" t="s">
        <v>37</v>
      </c>
      <c r="G1376" s="13" t="s">
        <v>120</v>
      </c>
      <c r="H1376" s="16">
        <v>45974.0</v>
      </c>
      <c r="I1376" s="14">
        <v>38.0</v>
      </c>
      <c r="J1376" s="13" t="s">
        <v>40</v>
      </c>
      <c r="K1376" s="13" t="s">
        <v>81</v>
      </c>
      <c r="L1376" s="14">
        <v>1101.0</v>
      </c>
      <c r="M1376" s="18" t="s">
        <v>98</v>
      </c>
      <c r="N1376" s="20">
        <v>1.0</v>
      </c>
      <c r="O1376" s="18">
        <v>19.4</v>
      </c>
      <c r="P1376" s="20">
        <v>2.6</v>
      </c>
      <c r="Q1376" s="16">
        <v>46424.0</v>
      </c>
      <c r="R1376" s="16">
        <v>46123.0</v>
      </c>
      <c r="S1376" s="13" t="s">
        <v>45</v>
      </c>
      <c r="T1376" s="13" t="s">
        <v>104</v>
      </c>
      <c r="U1376" s="13" t="str">
        <f t="shared" si="1"/>
        <v>Low</v>
      </c>
      <c r="V1376" s="13" t="str">
        <f t="shared" si="2"/>
        <v>Below Median</v>
      </c>
      <c r="W1376" s="13" t="str">
        <f t="shared" si="3"/>
        <v>25–48 Months</v>
      </c>
    </row>
    <row r="1377" hidden="1">
      <c r="A1377" s="13" t="s">
        <v>1814</v>
      </c>
      <c r="B1377" s="13" t="s">
        <v>190</v>
      </c>
      <c r="C1377" s="14">
        <v>66.0</v>
      </c>
      <c r="D1377" s="13" t="s">
        <v>85</v>
      </c>
      <c r="E1377" s="13" t="s">
        <v>92</v>
      </c>
      <c r="F1377" s="13" t="s">
        <v>62</v>
      </c>
      <c r="G1377" s="13" t="s">
        <v>52</v>
      </c>
      <c r="H1377" s="16">
        <v>44857.0</v>
      </c>
      <c r="I1377" s="14">
        <v>10.0</v>
      </c>
      <c r="J1377" s="13" t="s">
        <v>53</v>
      </c>
      <c r="K1377" s="13" t="s">
        <v>65</v>
      </c>
      <c r="L1377" s="14" t="s">
        <v>38</v>
      </c>
      <c r="M1377" s="18" t="s">
        <v>43</v>
      </c>
      <c r="N1377" s="20">
        <v>3.0</v>
      </c>
      <c r="O1377" s="18">
        <v>18.6</v>
      </c>
      <c r="P1377" s="20">
        <v>3.4</v>
      </c>
      <c r="Q1377" s="16">
        <v>45167.0</v>
      </c>
      <c r="R1377" s="16">
        <v>44994.0</v>
      </c>
      <c r="S1377" s="13" t="s">
        <v>55</v>
      </c>
      <c r="T1377" s="13" t="s">
        <v>66</v>
      </c>
      <c r="U1377" s="13" t="str">
        <f t="shared" si="1"/>
        <v>Moderate</v>
      </c>
      <c r="V1377" s="13" t="str">
        <f t="shared" si="2"/>
        <v>Below Median</v>
      </c>
      <c r="W1377" s="13" t="str">
        <f t="shared" si="3"/>
        <v>0–12 Months</v>
      </c>
    </row>
    <row r="1378" hidden="1">
      <c r="A1378" s="13" t="s">
        <v>1559</v>
      </c>
      <c r="B1378" s="13" t="s">
        <v>50</v>
      </c>
      <c r="C1378" s="14">
        <v>25.0</v>
      </c>
      <c r="D1378" s="13" t="s">
        <v>69</v>
      </c>
      <c r="E1378" s="13" t="s">
        <v>187</v>
      </c>
      <c r="F1378" s="13" t="s">
        <v>62</v>
      </c>
      <c r="G1378" s="13" t="s">
        <v>63</v>
      </c>
      <c r="H1378" s="16">
        <v>45577.0</v>
      </c>
      <c r="I1378" s="14">
        <v>20.0</v>
      </c>
      <c r="J1378" s="13" t="s">
        <v>40</v>
      </c>
      <c r="K1378" s="13" t="s">
        <v>81</v>
      </c>
      <c r="L1378" s="14">
        <v>593.0</v>
      </c>
      <c r="M1378" s="18" t="s">
        <v>46</v>
      </c>
      <c r="N1378" s="20">
        <v>3.0</v>
      </c>
      <c r="O1378" s="18">
        <v>21.5</v>
      </c>
      <c r="P1378" s="20">
        <v>2.0</v>
      </c>
      <c r="Q1378" s="16">
        <v>45858.0</v>
      </c>
      <c r="R1378" s="16" t="s">
        <v>1928</v>
      </c>
      <c r="S1378" s="13" t="s">
        <v>45</v>
      </c>
      <c r="T1378" s="13" t="s">
        <v>66</v>
      </c>
      <c r="U1378" s="13" t="str">
        <f t="shared" si="1"/>
        <v>Low</v>
      </c>
      <c r="V1378" s="13" t="str">
        <f t="shared" si="2"/>
        <v>Below Median</v>
      </c>
      <c r="W1378" s="13" t="str">
        <f t="shared" si="3"/>
        <v>13–24 Months</v>
      </c>
    </row>
    <row r="1379" hidden="1">
      <c r="A1379" s="13" t="s">
        <v>1929</v>
      </c>
      <c r="B1379" s="13" t="s">
        <v>50</v>
      </c>
      <c r="C1379" s="14">
        <v>47.0</v>
      </c>
      <c r="D1379" s="13" t="s">
        <v>35</v>
      </c>
      <c r="E1379" s="13" t="s">
        <v>51</v>
      </c>
      <c r="F1379" s="13" t="s">
        <v>62</v>
      </c>
      <c r="G1379" s="13" t="s">
        <v>80</v>
      </c>
      <c r="H1379" s="16">
        <v>45445.0</v>
      </c>
      <c r="I1379" s="14">
        <v>7.0</v>
      </c>
      <c r="J1379" s="13" t="s">
        <v>64</v>
      </c>
      <c r="K1379" s="13" t="s">
        <v>81</v>
      </c>
      <c r="L1379" s="14">
        <v>609.0</v>
      </c>
      <c r="M1379" s="18" t="s">
        <v>43</v>
      </c>
      <c r="N1379" s="20">
        <v>0.0</v>
      </c>
      <c r="O1379" s="18">
        <v>18.3</v>
      </c>
      <c r="P1379" s="20">
        <v>3.4</v>
      </c>
      <c r="Q1379" s="16">
        <v>45458.0</v>
      </c>
      <c r="R1379" s="16" t="s">
        <v>38</v>
      </c>
      <c r="S1379" s="13" t="s">
        <v>55</v>
      </c>
      <c r="T1379" s="13" t="s">
        <v>47</v>
      </c>
      <c r="U1379" s="13" t="str">
        <f t="shared" si="1"/>
        <v>Moderate</v>
      </c>
      <c r="V1379" s="13" t="str">
        <f t="shared" si="2"/>
        <v>Below Median</v>
      </c>
      <c r="W1379" s="13" t="str">
        <f t="shared" si="3"/>
        <v>0–12 Months</v>
      </c>
    </row>
    <row r="1380" hidden="1">
      <c r="A1380" s="13" t="s">
        <v>1930</v>
      </c>
      <c r="B1380" s="13" t="s">
        <v>312</v>
      </c>
      <c r="C1380" s="14">
        <v>45.0</v>
      </c>
      <c r="D1380" s="13" t="s">
        <v>69</v>
      </c>
      <c r="E1380" s="13" t="s">
        <v>70</v>
      </c>
      <c r="F1380" s="13" t="s">
        <v>62</v>
      </c>
      <c r="G1380" s="13" t="s">
        <v>210</v>
      </c>
      <c r="H1380" s="16">
        <v>45046.0</v>
      </c>
      <c r="I1380" s="14">
        <v>26.0</v>
      </c>
      <c r="J1380" s="13" t="s">
        <v>64</v>
      </c>
      <c r="K1380" s="13" t="s">
        <v>41</v>
      </c>
      <c r="L1380" s="14">
        <v>711.0</v>
      </c>
      <c r="M1380" s="18" t="s">
        <v>173</v>
      </c>
      <c r="N1380" s="20">
        <v>1.0</v>
      </c>
      <c r="O1380" s="18">
        <v>1.4</v>
      </c>
      <c r="P1380" s="20">
        <v>3.8</v>
      </c>
      <c r="Q1380" s="16">
        <v>45127.0</v>
      </c>
      <c r="R1380" s="16">
        <v>45717.0</v>
      </c>
      <c r="S1380" s="13" t="s">
        <v>45</v>
      </c>
      <c r="T1380" s="13" t="s">
        <v>104</v>
      </c>
      <c r="U1380" s="13" t="str">
        <f t="shared" si="1"/>
        <v>Moderate</v>
      </c>
      <c r="V1380" s="13" t="str">
        <f t="shared" si="2"/>
        <v>Below Median</v>
      </c>
      <c r="W1380" s="13" t="str">
        <f t="shared" si="3"/>
        <v>25–48 Months</v>
      </c>
    </row>
    <row r="1381" hidden="1">
      <c r="A1381" s="13" t="s">
        <v>1244</v>
      </c>
      <c r="B1381" s="13" t="s">
        <v>345</v>
      </c>
      <c r="C1381" s="14">
        <v>32.0</v>
      </c>
      <c r="D1381" s="13" t="s">
        <v>60</v>
      </c>
      <c r="E1381" s="13" t="s">
        <v>133</v>
      </c>
      <c r="F1381" s="13" t="s">
        <v>37</v>
      </c>
      <c r="G1381" s="13" t="s">
        <v>210</v>
      </c>
      <c r="H1381" s="16">
        <v>44623.0</v>
      </c>
      <c r="I1381" s="14">
        <v>4.0</v>
      </c>
      <c r="J1381" s="13" t="s">
        <v>64</v>
      </c>
      <c r="K1381" s="13" t="s">
        <v>65</v>
      </c>
      <c r="L1381" s="14">
        <v>1138.0</v>
      </c>
      <c r="M1381" s="18" t="s">
        <v>43</v>
      </c>
      <c r="N1381" s="20">
        <v>1.0</v>
      </c>
      <c r="O1381" s="18">
        <v>16.3</v>
      </c>
      <c r="P1381" s="20">
        <v>3.9</v>
      </c>
      <c r="Q1381" s="16">
        <v>44636.0</v>
      </c>
      <c r="R1381" s="16" t="s">
        <v>38</v>
      </c>
      <c r="S1381" s="13" t="s">
        <v>55</v>
      </c>
      <c r="T1381" s="13" t="s">
        <v>104</v>
      </c>
      <c r="U1381" s="13" t="str">
        <f t="shared" si="1"/>
        <v>Moderate</v>
      </c>
      <c r="V1381" s="13" t="str">
        <f t="shared" si="2"/>
        <v>Below Median</v>
      </c>
      <c r="W1381" s="13" t="str">
        <f t="shared" si="3"/>
        <v>0–12 Months</v>
      </c>
    </row>
    <row r="1382" hidden="1">
      <c r="A1382" s="13" t="s">
        <v>1932</v>
      </c>
      <c r="B1382" s="13" t="s">
        <v>645</v>
      </c>
      <c r="C1382" s="14">
        <v>23.0</v>
      </c>
      <c r="D1382" s="13" t="s">
        <v>35</v>
      </c>
      <c r="E1382" s="13" t="s">
        <v>140</v>
      </c>
      <c r="F1382" s="13" t="s">
        <v>62</v>
      </c>
      <c r="G1382" s="13" t="s">
        <v>63</v>
      </c>
      <c r="H1382" s="16">
        <v>44785.0</v>
      </c>
      <c r="I1382" s="14">
        <v>14.0</v>
      </c>
      <c r="J1382" s="13" t="s">
        <v>64</v>
      </c>
      <c r="K1382" s="13" t="s">
        <v>65</v>
      </c>
      <c r="L1382" s="14">
        <v>693.0</v>
      </c>
      <c r="M1382" s="18" t="s">
        <v>46</v>
      </c>
      <c r="N1382" s="20">
        <v>1.0</v>
      </c>
      <c r="O1382" s="18">
        <v>23.3</v>
      </c>
      <c r="P1382" s="20">
        <v>3.6</v>
      </c>
      <c r="Q1382" s="16">
        <v>45175.0</v>
      </c>
      <c r="R1382" s="16" t="s">
        <v>38</v>
      </c>
      <c r="S1382" s="13" t="s">
        <v>55</v>
      </c>
      <c r="T1382" s="13" t="s">
        <v>75</v>
      </c>
      <c r="U1382" s="13" t="str">
        <f t="shared" si="1"/>
        <v>Moderate</v>
      </c>
      <c r="V1382" s="13" t="str">
        <f t="shared" si="2"/>
        <v>Below Median</v>
      </c>
      <c r="W1382" s="13" t="str">
        <f t="shared" si="3"/>
        <v>13–24 Months</v>
      </c>
    </row>
    <row r="1383" hidden="1">
      <c r="A1383" s="13" t="s">
        <v>549</v>
      </c>
      <c r="B1383" s="13" t="s">
        <v>235</v>
      </c>
      <c r="C1383" s="14">
        <v>55.0</v>
      </c>
      <c r="D1383" s="13" t="s">
        <v>69</v>
      </c>
      <c r="E1383" s="13" t="s">
        <v>70</v>
      </c>
      <c r="F1383" s="13" t="s">
        <v>62</v>
      </c>
      <c r="G1383" s="13" t="s">
        <v>128</v>
      </c>
      <c r="H1383" s="16">
        <v>45081.0</v>
      </c>
      <c r="I1383" s="14">
        <v>21.0</v>
      </c>
      <c r="J1383" s="13" t="s">
        <v>40</v>
      </c>
      <c r="K1383" s="13" t="s">
        <v>81</v>
      </c>
      <c r="L1383" s="14">
        <v>862.0</v>
      </c>
      <c r="M1383" s="18" t="s">
        <v>164</v>
      </c>
      <c r="N1383" s="20">
        <v>1.0</v>
      </c>
      <c r="O1383" s="18">
        <v>27.2</v>
      </c>
      <c r="P1383" s="20">
        <v>4.7</v>
      </c>
      <c r="Q1383" s="16">
        <v>45508.0</v>
      </c>
      <c r="R1383" s="16" t="s">
        <v>1188</v>
      </c>
      <c r="S1383" s="13" t="s">
        <v>45</v>
      </c>
      <c r="T1383" s="13" t="s">
        <v>104</v>
      </c>
      <c r="U1383" s="13" t="str">
        <f t="shared" si="1"/>
        <v>Moderate</v>
      </c>
      <c r="V1383" s="13" t="str">
        <f t="shared" si="2"/>
        <v>Median or Above</v>
      </c>
      <c r="W1383" s="13" t="str">
        <f t="shared" si="3"/>
        <v>13–24 Months</v>
      </c>
    </row>
    <row r="1384" hidden="1">
      <c r="A1384" s="13" t="s">
        <v>1933</v>
      </c>
      <c r="B1384" s="13" t="s">
        <v>106</v>
      </c>
      <c r="C1384" s="14">
        <v>42.0</v>
      </c>
      <c r="D1384" s="13" t="s">
        <v>35</v>
      </c>
      <c r="E1384" s="13" t="s">
        <v>140</v>
      </c>
      <c r="F1384" s="13" t="s">
        <v>62</v>
      </c>
      <c r="G1384" s="13" t="s">
        <v>39</v>
      </c>
      <c r="H1384" s="16">
        <v>45395.0</v>
      </c>
      <c r="I1384" s="14">
        <v>4.0</v>
      </c>
      <c r="J1384" s="13" t="s">
        <v>40</v>
      </c>
      <c r="K1384" s="13" t="s">
        <v>41</v>
      </c>
      <c r="L1384" s="14">
        <v>573.0</v>
      </c>
      <c r="M1384" s="18" t="s">
        <v>164</v>
      </c>
      <c r="N1384" s="20">
        <v>2.0</v>
      </c>
      <c r="O1384" s="18">
        <v>14.2</v>
      </c>
      <c r="P1384" s="20">
        <v>2.0</v>
      </c>
      <c r="Q1384" s="16">
        <v>45482.0</v>
      </c>
      <c r="R1384" s="16" t="s">
        <v>1934</v>
      </c>
      <c r="S1384" s="13" t="s">
        <v>45</v>
      </c>
      <c r="T1384" s="13" t="s">
        <v>75</v>
      </c>
      <c r="U1384" s="13" t="str">
        <f t="shared" si="1"/>
        <v>Low</v>
      </c>
      <c r="V1384" s="13" t="str">
        <f t="shared" si="2"/>
        <v>Below Median</v>
      </c>
      <c r="W1384" s="13" t="str">
        <f t="shared" si="3"/>
        <v>0–12 Months</v>
      </c>
    </row>
    <row r="1385" hidden="1">
      <c r="A1385" s="13" t="s">
        <v>1340</v>
      </c>
      <c r="B1385" s="13" t="s">
        <v>232</v>
      </c>
      <c r="C1385" s="14">
        <v>99.0</v>
      </c>
      <c r="D1385" s="13" t="s">
        <v>69</v>
      </c>
      <c r="E1385" s="13" t="s">
        <v>177</v>
      </c>
      <c r="F1385" s="13" t="s">
        <v>62</v>
      </c>
      <c r="G1385" s="13" t="s">
        <v>80</v>
      </c>
      <c r="H1385" s="16">
        <v>45114.0</v>
      </c>
      <c r="I1385" s="14">
        <v>6.0</v>
      </c>
      <c r="J1385" s="13" t="s">
        <v>64</v>
      </c>
      <c r="K1385" s="13" t="s">
        <v>65</v>
      </c>
      <c r="L1385" s="14">
        <v>874.0</v>
      </c>
      <c r="M1385" s="18" t="s">
        <v>43</v>
      </c>
      <c r="N1385" s="20">
        <v>2.0</v>
      </c>
      <c r="O1385" s="18">
        <v>14.4</v>
      </c>
      <c r="P1385" s="20">
        <v>4.7</v>
      </c>
      <c r="Q1385" s="16">
        <v>45128.0</v>
      </c>
      <c r="R1385" s="16" t="s">
        <v>38</v>
      </c>
      <c r="S1385" s="13" t="s">
        <v>55</v>
      </c>
      <c r="T1385" s="13" t="s">
        <v>75</v>
      </c>
      <c r="U1385" s="13" t="str">
        <f t="shared" si="1"/>
        <v>Moderate</v>
      </c>
      <c r="V1385" s="13" t="str">
        <f t="shared" si="2"/>
        <v>Below Median</v>
      </c>
      <c r="W1385" s="13" t="str">
        <f t="shared" si="3"/>
        <v>0–12 Months</v>
      </c>
    </row>
    <row r="1386" hidden="1">
      <c r="A1386" s="13" t="s">
        <v>1935</v>
      </c>
      <c r="B1386" s="13" t="s">
        <v>734</v>
      </c>
      <c r="C1386" s="14">
        <v>24.0</v>
      </c>
      <c r="D1386" s="13" t="s">
        <v>85</v>
      </c>
      <c r="E1386" s="13" t="s">
        <v>292</v>
      </c>
      <c r="F1386" s="13" t="s">
        <v>62</v>
      </c>
      <c r="G1386" s="13" t="s">
        <v>39</v>
      </c>
      <c r="H1386" s="16">
        <v>45423.0</v>
      </c>
      <c r="I1386" s="14">
        <v>42.0</v>
      </c>
      <c r="J1386" s="13" t="s">
        <v>64</v>
      </c>
      <c r="K1386" s="13" t="s">
        <v>65</v>
      </c>
      <c r="L1386" s="14">
        <v>660.0</v>
      </c>
      <c r="M1386" s="18" t="s">
        <v>46</v>
      </c>
      <c r="N1386" s="20">
        <v>1.0</v>
      </c>
      <c r="O1386" s="18">
        <v>16.6</v>
      </c>
      <c r="P1386" s="20">
        <v>2.9</v>
      </c>
      <c r="Q1386" s="16">
        <v>45700.0</v>
      </c>
      <c r="R1386" s="16" t="s">
        <v>38</v>
      </c>
      <c r="S1386" s="13" t="s">
        <v>55</v>
      </c>
      <c r="T1386" s="13" t="s">
        <v>66</v>
      </c>
      <c r="U1386" s="13" t="str">
        <f t="shared" si="1"/>
        <v>Low</v>
      </c>
      <c r="V1386" s="13" t="str">
        <f t="shared" si="2"/>
        <v>Below Median</v>
      </c>
      <c r="W1386" s="13" t="str">
        <f t="shared" si="3"/>
        <v>25–48 Months</v>
      </c>
    </row>
    <row r="1387" hidden="1">
      <c r="A1387" s="13" t="s">
        <v>1936</v>
      </c>
      <c r="B1387" s="13" t="s">
        <v>288</v>
      </c>
      <c r="C1387" s="14">
        <v>25.0</v>
      </c>
      <c r="D1387" s="13" t="s">
        <v>35</v>
      </c>
      <c r="E1387" s="13" t="s">
        <v>51</v>
      </c>
      <c r="F1387" s="13" t="s">
        <v>62</v>
      </c>
      <c r="G1387" s="13" t="s">
        <v>210</v>
      </c>
      <c r="H1387" s="16">
        <v>45979.0</v>
      </c>
      <c r="I1387" s="14">
        <v>23.0</v>
      </c>
      <c r="J1387" s="13" t="s">
        <v>64</v>
      </c>
      <c r="K1387" s="13" t="s">
        <v>81</v>
      </c>
      <c r="L1387" s="14">
        <v>678.0</v>
      </c>
      <c r="M1387" s="18" t="s">
        <v>43</v>
      </c>
      <c r="N1387" s="20">
        <v>2.0</v>
      </c>
      <c r="O1387" s="18">
        <v>16.1</v>
      </c>
      <c r="P1387" s="20">
        <v>3.7</v>
      </c>
      <c r="Q1387" s="16">
        <v>46026.0</v>
      </c>
      <c r="R1387" s="16" t="s">
        <v>38</v>
      </c>
      <c r="S1387" s="13" t="s">
        <v>55</v>
      </c>
      <c r="T1387" s="13" t="s">
        <v>104</v>
      </c>
      <c r="U1387" s="13" t="str">
        <f t="shared" si="1"/>
        <v>Moderate</v>
      </c>
      <c r="V1387" s="13" t="str">
        <f t="shared" si="2"/>
        <v>Below Median</v>
      </c>
      <c r="W1387" s="13" t="str">
        <f t="shared" si="3"/>
        <v>13–24 Months</v>
      </c>
    </row>
    <row r="1388" hidden="1">
      <c r="A1388" s="13" t="s">
        <v>1937</v>
      </c>
      <c r="B1388" s="13" t="s">
        <v>169</v>
      </c>
      <c r="C1388" s="14">
        <v>54.0</v>
      </c>
      <c r="D1388" s="13" t="s">
        <v>35</v>
      </c>
      <c r="E1388" s="13" t="s">
        <v>51</v>
      </c>
      <c r="F1388" s="13" t="s">
        <v>37</v>
      </c>
      <c r="G1388" s="13" t="s">
        <v>80</v>
      </c>
      <c r="H1388" s="16">
        <v>45390.0</v>
      </c>
      <c r="I1388" s="14">
        <v>45.0</v>
      </c>
      <c r="J1388" s="13" t="s">
        <v>53</v>
      </c>
      <c r="K1388" s="13" t="s">
        <v>81</v>
      </c>
      <c r="L1388" s="14">
        <v>1547.0</v>
      </c>
      <c r="M1388" s="18" t="s">
        <v>164</v>
      </c>
      <c r="N1388" s="20">
        <v>1.0</v>
      </c>
      <c r="O1388" s="18">
        <v>35.0</v>
      </c>
      <c r="P1388" s="20">
        <v>2.8</v>
      </c>
      <c r="Q1388" s="16">
        <v>46247.0</v>
      </c>
      <c r="R1388" s="16" t="s">
        <v>38</v>
      </c>
      <c r="S1388" s="13" t="s">
        <v>55</v>
      </c>
      <c r="T1388" s="13" t="s">
        <v>75</v>
      </c>
      <c r="U1388" s="13" t="str">
        <f t="shared" si="1"/>
        <v>Low</v>
      </c>
      <c r="V1388" s="13" t="str">
        <f t="shared" si="2"/>
        <v>Median or Above</v>
      </c>
      <c r="W1388" s="13" t="str">
        <f t="shared" si="3"/>
        <v>25–48 Months</v>
      </c>
    </row>
    <row r="1389" hidden="1">
      <c r="A1389" s="13" t="s">
        <v>1938</v>
      </c>
      <c r="B1389" s="13" t="s">
        <v>395</v>
      </c>
      <c r="C1389" s="14" t="s">
        <v>38</v>
      </c>
      <c r="D1389" s="13" t="s">
        <v>69</v>
      </c>
      <c r="E1389" s="13" t="s">
        <v>119</v>
      </c>
      <c r="F1389" s="13" t="s">
        <v>62</v>
      </c>
      <c r="G1389" s="13" t="s">
        <v>63</v>
      </c>
      <c r="H1389" s="16">
        <v>44581.0</v>
      </c>
      <c r="I1389" s="14">
        <v>33.0</v>
      </c>
      <c r="J1389" s="13" t="s">
        <v>64</v>
      </c>
      <c r="K1389" s="13" t="s">
        <v>81</v>
      </c>
      <c r="L1389" s="14">
        <v>658.0</v>
      </c>
      <c r="M1389" s="18" t="s">
        <v>98</v>
      </c>
      <c r="N1389" s="20">
        <v>1.0</v>
      </c>
      <c r="O1389" s="18">
        <v>20.2</v>
      </c>
      <c r="P1389" s="20">
        <v>5.0</v>
      </c>
      <c r="Q1389" s="16">
        <v>44615.0</v>
      </c>
      <c r="R1389" s="16" t="s">
        <v>38</v>
      </c>
      <c r="S1389" s="13" t="s">
        <v>55</v>
      </c>
      <c r="T1389" s="13" t="s">
        <v>104</v>
      </c>
      <c r="U1389" s="13" t="str">
        <f t="shared" si="1"/>
        <v>High</v>
      </c>
      <c r="V1389" s="13" t="str">
        <f t="shared" si="2"/>
        <v>Below Median</v>
      </c>
      <c r="W1389" s="13" t="str">
        <f t="shared" si="3"/>
        <v>25–48 Months</v>
      </c>
    </row>
    <row r="1390" hidden="1">
      <c r="A1390" s="13" t="s">
        <v>320</v>
      </c>
      <c r="B1390" s="13" t="s">
        <v>172</v>
      </c>
      <c r="C1390" s="14">
        <v>44.0</v>
      </c>
      <c r="D1390" s="13" t="s">
        <v>35</v>
      </c>
      <c r="E1390" s="13" t="s">
        <v>36</v>
      </c>
      <c r="F1390" s="13" t="s">
        <v>37</v>
      </c>
      <c r="G1390" s="13" t="s">
        <v>80</v>
      </c>
      <c r="H1390" s="16">
        <v>45723.0</v>
      </c>
      <c r="I1390" s="14">
        <v>9.0</v>
      </c>
      <c r="J1390" s="13" t="s">
        <v>64</v>
      </c>
      <c r="K1390" s="13" t="s">
        <v>81</v>
      </c>
      <c r="L1390" s="14">
        <v>1043.0</v>
      </c>
      <c r="M1390" s="18" t="s">
        <v>98</v>
      </c>
      <c r="N1390" s="20">
        <v>0.0</v>
      </c>
      <c r="O1390" s="18">
        <v>15.1</v>
      </c>
      <c r="P1390" s="20">
        <v>4.0</v>
      </c>
      <c r="Q1390" s="16">
        <v>45939.0</v>
      </c>
      <c r="R1390" s="16" t="s">
        <v>38</v>
      </c>
      <c r="S1390" s="13" t="s">
        <v>55</v>
      </c>
      <c r="T1390" s="13" t="s">
        <v>47</v>
      </c>
      <c r="U1390" s="13" t="str">
        <f t="shared" si="1"/>
        <v>Moderate</v>
      </c>
      <c r="V1390" s="13" t="str">
        <f t="shared" si="2"/>
        <v>Below Median</v>
      </c>
      <c r="W1390" s="13" t="str">
        <f t="shared" si="3"/>
        <v>0–12 Months</v>
      </c>
    </row>
    <row r="1391" hidden="1">
      <c r="A1391" s="13" t="s">
        <v>1528</v>
      </c>
      <c r="B1391" s="13" t="s">
        <v>333</v>
      </c>
      <c r="C1391" s="14">
        <v>39.0</v>
      </c>
      <c r="D1391" s="13" t="s">
        <v>60</v>
      </c>
      <c r="E1391" s="13" t="s">
        <v>97</v>
      </c>
      <c r="F1391" s="13" t="s">
        <v>62</v>
      </c>
      <c r="G1391" s="13" t="s">
        <v>210</v>
      </c>
      <c r="H1391" s="16">
        <v>45606.0</v>
      </c>
      <c r="I1391" s="14">
        <v>28.0</v>
      </c>
      <c r="J1391" s="13" t="s">
        <v>53</v>
      </c>
      <c r="K1391" s="13" t="s">
        <v>65</v>
      </c>
      <c r="L1391" s="14">
        <v>519.0</v>
      </c>
      <c r="M1391" s="18" t="s">
        <v>98</v>
      </c>
      <c r="N1391" s="20">
        <v>2.0</v>
      </c>
      <c r="O1391" s="18">
        <v>14.0</v>
      </c>
      <c r="P1391" s="20">
        <v>2.4</v>
      </c>
      <c r="Q1391" s="16">
        <v>45736.0</v>
      </c>
      <c r="R1391" s="16" t="s">
        <v>38</v>
      </c>
      <c r="S1391" s="13" t="s">
        <v>55</v>
      </c>
      <c r="T1391" s="13" t="s">
        <v>47</v>
      </c>
      <c r="U1391" s="13" t="str">
        <f t="shared" si="1"/>
        <v>Low</v>
      </c>
      <c r="V1391" s="13" t="str">
        <f t="shared" si="2"/>
        <v>Below Median</v>
      </c>
      <c r="W1391" s="13" t="str">
        <f t="shared" si="3"/>
        <v>25–48 Months</v>
      </c>
    </row>
    <row r="1392" hidden="1">
      <c r="A1392" s="13" t="s">
        <v>1604</v>
      </c>
      <c r="B1392" s="13" t="s">
        <v>74</v>
      </c>
      <c r="C1392" s="14">
        <v>32.0</v>
      </c>
      <c r="D1392" s="13" t="s">
        <v>35</v>
      </c>
      <c r="E1392" s="13" t="s">
        <v>38</v>
      </c>
      <c r="F1392" s="13" t="s">
        <v>62</v>
      </c>
      <c r="G1392" s="13" t="s">
        <v>39</v>
      </c>
      <c r="H1392" s="16">
        <v>44970.0</v>
      </c>
      <c r="I1392" s="14">
        <v>48.0</v>
      </c>
      <c r="J1392" s="13" t="s">
        <v>40</v>
      </c>
      <c r="K1392" s="13" t="s">
        <v>41</v>
      </c>
      <c r="L1392" s="14">
        <v>850.0</v>
      </c>
      <c r="M1392" s="18" t="s">
        <v>98</v>
      </c>
      <c r="N1392" s="20">
        <v>0.0</v>
      </c>
      <c r="O1392" s="18">
        <v>20.1</v>
      </c>
      <c r="P1392" s="20">
        <v>3.2</v>
      </c>
      <c r="Q1392" s="16">
        <v>45009.0</v>
      </c>
      <c r="R1392" s="16" t="s">
        <v>1939</v>
      </c>
      <c r="S1392" s="13" t="s">
        <v>45</v>
      </c>
      <c r="T1392" s="13" t="s">
        <v>104</v>
      </c>
      <c r="U1392" s="13" t="str">
        <f t="shared" si="1"/>
        <v>Moderate</v>
      </c>
      <c r="V1392" s="13" t="str">
        <f t="shared" si="2"/>
        <v>Below Median</v>
      </c>
      <c r="W1392" s="13" t="str">
        <f t="shared" si="3"/>
        <v>25–48 Months</v>
      </c>
    </row>
    <row r="1393" hidden="1">
      <c r="A1393" s="13" t="s">
        <v>1570</v>
      </c>
      <c r="B1393" s="13" t="s">
        <v>247</v>
      </c>
      <c r="C1393" s="14">
        <v>26.0</v>
      </c>
      <c r="D1393" s="13" t="s">
        <v>35</v>
      </c>
      <c r="E1393" s="13" t="s">
        <v>140</v>
      </c>
      <c r="F1393" s="13" t="s">
        <v>62</v>
      </c>
      <c r="G1393" s="13" t="s">
        <v>210</v>
      </c>
      <c r="H1393" s="16">
        <v>45387.0</v>
      </c>
      <c r="I1393" s="14">
        <v>30.0</v>
      </c>
      <c r="J1393" s="13" t="s">
        <v>53</v>
      </c>
      <c r="K1393" s="13" t="s">
        <v>41</v>
      </c>
      <c r="L1393" s="14">
        <v>555.0</v>
      </c>
      <c r="M1393" s="18" t="s">
        <v>98</v>
      </c>
      <c r="N1393" s="20">
        <v>1.0</v>
      </c>
      <c r="O1393" s="18">
        <v>3.5</v>
      </c>
      <c r="P1393" s="20">
        <v>2.8</v>
      </c>
      <c r="Q1393" s="16">
        <v>45400.0</v>
      </c>
      <c r="R1393" s="16" t="s">
        <v>38</v>
      </c>
      <c r="S1393" s="13" t="s">
        <v>55</v>
      </c>
      <c r="T1393" s="13" t="s">
        <v>75</v>
      </c>
      <c r="U1393" s="13" t="str">
        <f t="shared" si="1"/>
        <v>Low</v>
      </c>
      <c r="V1393" s="13" t="str">
        <f t="shared" si="2"/>
        <v>Below Median</v>
      </c>
      <c r="W1393" s="13" t="str">
        <f t="shared" si="3"/>
        <v>25–48 Months</v>
      </c>
    </row>
    <row r="1394">
      <c r="A1394" s="13" t="s">
        <v>1940</v>
      </c>
      <c r="B1394" s="13" t="s">
        <v>351</v>
      </c>
      <c r="C1394" s="14">
        <v>66.0</v>
      </c>
      <c r="D1394" s="13" t="s">
        <v>35</v>
      </c>
      <c r="E1394" s="13" t="s">
        <v>36</v>
      </c>
      <c r="F1394" s="13" t="s">
        <v>62</v>
      </c>
      <c r="G1394" s="13" t="s">
        <v>128</v>
      </c>
      <c r="H1394" s="16">
        <v>45847.0</v>
      </c>
      <c r="I1394" s="14">
        <v>10.0</v>
      </c>
      <c r="J1394" s="13" t="s">
        <v>64</v>
      </c>
      <c r="K1394" s="13" t="s">
        <v>81</v>
      </c>
      <c r="L1394" s="14">
        <v>570.0</v>
      </c>
      <c r="M1394" s="18" t="s">
        <v>164</v>
      </c>
      <c r="N1394" s="20">
        <v>1.0</v>
      </c>
      <c r="O1394" s="18">
        <v>22.4</v>
      </c>
      <c r="P1394" s="20">
        <v>4.0</v>
      </c>
      <c r="Q1394" s="16">
        <v>45960.0</v>
      </c>
      <c r="R1394" s="16" t="s">
        <v>1941</v>
      </c>
      <c r="S1394" s="13" t="s">
        <v>529</v>
      </c>
      <c r="T1394" s="13" t="s">
        <v>104</v>
      </c>
      <c r="U1394" s="13" t="str">
        <f t="shared" si="1"/>
        <v>Moderate</v>
      </c>
      <c r="V1394" s="13" t="str">
        <f t="shared" si="2"/>
        <v>Below Median</v>
      </c>
      <c r="W1394" s="13" t="str">
        <f t="shared" si="3"/>
        <v>0–12 Months</v>
      </c>
    </row>
    <row r="1395" hidden="1">
      <c r="A1395" s="13" t="s">
        <v>1510</v>
      </c>
      <c r="B1395" s="13" t="s">
        <v>132</v>
      </c>
      <c r="C1395" s="14">
        <v>57.0</v>
      </c>
      <c r="D1395" s="13" t="s">
        <v>35</v>
      </c>
      <c r="E1395" s="13" t="s">
        <v>161</v>
      </c>
      <c r="F1395" s="13" t="s">
        <v>62</v>
      </c>
      <c r="G1395" s="13" t="s">
        <v>63</v>
      </c>
      <c r="H1395" s="16">
        <v>44730.0</v>
      </c>
      <c r="I1395" s="14">
        <v>36.0</v>
      </c>
      <c r="J1395" s="13" t="s">
        <v>64</v>
      </c>
      <c r="K1395" s="13" t="s">
        <v>81</v>
      </c>
      <c r="L1395" s="14">
        <v>631.0</v>
      </c>
      <c r="M1395" s="18" t="s">
        <v>43</v>
      </c>
      <c r="N1395" s="20">
        <v>1.0</v>
      </c>
      <c r="O1395" s="18">
        <v>12.7</v>
      </c>
      <c r="P1395" s="20">
        <v>4.0</v>
      </c>
      <c r="Q1395" s="16">
        <v>44823.0</v>
      </c>
      <c r="R1395" s="16" t="s">
        <v>38</v>
      </c>
      <c r="S1395" s="13" t="s">
        <v>55</v>
      </c>
      <c r="T1395" s="13" t="s">
        <v>72</v>
      </c>
      <c r="U1395" s="13" t="str">
        <f t="shared" si="1"/>
        <v>Moderate</v>
      </c>
      <c r="V1395" s="13" t="str">
        <f t="shared" si="2"/>
        <v>Below Median</v>
      </c>
      <c r="W1395" s="13" t="str">
        <f t="shared" si="3"/>
        <v>25–48 Months</v>
      </c>
    </row>
    <row r="1396" hidden="1">
      <c r="A1396" s="13" t="s">
        <v>1740</v>
      </c>
      <c r="B1396" s="13" t="s">
        <v>91</v>
      </c>
      <c r="C1396" s="14">
        <v>61.0</v>
      </c>
      <c r="D1396" s="13" t="s">
        <v>69</v>
      </c>
      <c r="E1396" s="13" t="s">
        <v>187</v>
      </c>
      <c r="F1396" s="13" t="s">
        <v>62</v>
      </c>
      <c r="G1396" s="13" t="s">
        <v>63</v>
      </c>
      <c r="H1396" s="16">
        <v>45062.0</v>
      </c>
      <c r="I1396" s="14">
        <v>29.0</v>
      </c>
      <c r="J1396" s="13" t="s">
        <v>64</v>
      </c>
      <c r="K1396" s="13" t="s">
        <v>81</v>
      </c>
      <c r="L1396" s="14">
        <v>548.0</v>
      </c>
      <c r="M1396" s="18" t="s">
        <v>99</v>
      </c>
      <c r="N1396" s="20">
        <v>1.0</v>
      </c>
      <c r="O1396" s="18">
        <v>20.1</v>
      </c>
      <c r="P1396" s="20">
        <v>3.0</v>
      </c>
      <c r="Q1396" s="16">
        <v>45159.0</v>
      </c>
      <c r="R1396" s="16" t="s">
        <v>38</v>
      </c>
      <c r="S1396" s="13" t="s">
        <v>55</v>
      </c>
      <c r="T1396" s="13" t="s">
        <v>72</v>
      </c>
      <c r="U1396" s="13" t="str">
        <f t="shared" si="1"/>
        <v>Moderate</v>
      </c>
      <c r="V1396" s="13" t="str">
        <f t="shared" si="2"/>
        <v>Below Median</v>
      </c>
      <c r="W1396" s="13" t="str">
        <f t="shared" si="3"/>
        <v>25–48 Months</v>
      </c>
    </row>
    <row r="1397" hidden="1">
      <c r="A1397" s="13" t="s">
        <v>1942</v>
      </c>
      <c r="B1397" s="13" t="s">
        <v>651</v>
      </c>
      <c r="C1397" s="14">
        <v>42.0</v>
      </c>
      <c r="D1397" s="13" t="s">
        <v>60</v>
      </c>
      <c r="E1397" s="13" t="s">
        <v>107</v>
      </c>
      <c r="F1397" s="13" t="s">
        <v>37</v>
      </c>
      <c r="G1397" s="13" t="s">
        <v>128</v>
      </c>
      <c r="H1397" s="16">
        <v>45736.0</v>
      </c>
      <c r="I1397" s="14">
        <v>20.0</v>
      </c>
      <c r="J1397" s="13" t="s">
        <v>40</v>
      </c>
      <c r="K1397" s="13" t="s">
        <v>65</v>
      </c>
      <c r="L1397" s="14">
        <v>1192.0</v>
      </c>
      <c r="M1397" s="18" t="s">
        <v>164</v>
      </c>
      <c r="N1397" s="20">
        <v>2.0</v>
      </c>
      <c r="O1397" s="18">
        <v>38.1</v>
      </c>
      <c r="P1397" s="20" t="s">
        <v>38</v>
      </c>
      <c r="Q1397" s="16">
        <v>46012.0</v>
      </c>
      <c r="R1397" s="16" t="s">
        <v>38</v>
      </c>
      <c r="S1397" s="13" t="s">
        <v>55</v>
      </c>
      <c r="T1397" s="13" t="s">
        <v>47</v>
      </c>
      <c r="U1397" s="13" t="str">
        <f t="shared" si="1"/>
        <v/>
      </c>
      <c r="V1397" s="13" t="str">
        <f t="shared" si="2"/>
        <v>Median or Above</v>
      </c>
      <c r="W1397" s="13" t="str">
        <f t="shared" si="3"/>
        <v>13–24 Months</v>
      </c>
    </row>
    <row r="1398" hidden="1">
      <c r="A1398" s="13" t="s">
        <v>1209</v>
      </c>
      <c r="B1398" s="13" t="s">
        <v>393</v>
      </c>
      <c r="C1398" s="14">
        <v>47.0</v>
      </c>
      <c r="D1398" s="13" t="s">
        <v>85</v>
      </c>
      <c r="E1398" s="13" t="s">
        <v>87</v>
      </c>
      <c r="F1398" s="13" t="s">
        <v>62</v>
      </c>
      <c r="G1398" s="13" t="s">
        <v>210</v>
      </c>
      <c r="H1398" s="16">
        <v>45330.0</v>
      </c>
      <c r="I1398" s="14">
        <v>37.0</v>
      </c>
      <c r="J1398" s="13" t="s">
        <v>40</v>
      </c>
      <c r="K1398" s="13" t="s">
        <v>81</v>
      </c>
      <c r="L1398" s="14">
        <v>627.0</v>
      </c>
      <c r="M1398" s="18" t="s">
        <v>99</v>
      </c>
      <c r="N1398" s="20">
        <v>2.0</v>
      </c>
      <c r="O1398" s="18">
        <v>18.4</v>
      </c>
      <c r="P1398" s="20">
        <v>2.5</v>
      </c>
      <c r="Q1398" s="16">
        <v>45899.0</v>
      </c>
      <c r="R1398" s="16" t="s">
        <v>38</v>
      </c>
      <c r="S1398" s="13" t="s">
        <v>55</v>
      </c>
      <c r="T1398" s="13" t="s">
        <v>104</v>
      </c>
      <c r="U1398" s="13" t="str">
        <f t="shared" si="1"/>
        <v>Low</v>
      </c>
      <c r="V1398" s="13" t="str">
        <f t="shared" si="2"/>
        <v>Below Median</v>
      </c>
      <c r="W1398" s="13" t="str">
        <f t="shared" si="3"/>
        <v>25–48 Months</v>
      </c>
    </row>
    <row r="1399" hidden="1">
      <c r="A1399" s="13" t="s">
        <v>632</v>
      </c>
      <c r="B1399" s="13" t="s">
        <v>106</v>
      </c>
      <c r="C1399" s="14">
        <v>60.0</v>
      </c>
      <c r="D1399" s="13" t="s">
        <v>35</v>
      </c>
      <c r="E1399" s="13" t="s">
        <v>51</v>
      </c>
      <c r="F1399" s="13" t="s">
        <v>62</v>
      </c>
      <c r="G1399" s="13" t="s">
        <v>52</v>
      </c>
      <c r="H1399" s="16">
        <v>44594.0</v>
      </c>
      <c r="I1399" s="14">
        <v>9.0</v>
      </c>
      <c r="J1399" s="13" t="s">
        <v>40</v>
      </c>
      <c r="K1399" s="13" t="s">
        <v>81</v>
      </c>
      <c r="L1399" s="14">
        <v>775.0</v>
      </c>
      <c r="M1399" s="18" t="s">
        <v>43</v>
      </c>
      <c r="N1399" s="20">
        <v>2.0</v>
      </c>
      <c r="O1399" s="18">
        <v>18.9</v>
      </c>
      <c r="P1399" s="20">
        <v>4.6</v>
      </c>
      <c r="Q1399" s="16">
        <v>44863.0</v>
      </c>
      <c r="R1399" s="16" t="s">
        <v>38</v>
      </c>
      <c r="S1399" s="13" t="s">
        <v>55</v>
      </c>
      <c r="T1399" s="13" t="s">
        <v>75</v>
      </c>
      <c r="U1399" s="13" t="str">
        <f t="shared" si="1"/>
        <v>Moderate</v>
      </c>
      <c r="V1399" s="13" t="str">
        <f t="shared" si="2"/>
        <v>Below Median</v>
      </c>
      <c r="W1399" s="13" t="str">
        <f t="shared" si="3"/>
        <v>0–12 Months</v>
      </c>
    </row>
    <row r="1400" hidden="1">
      <c r="A1400" s="13" t="s">
        <v>1723</v>
      </c>
      <c r="B1400" s="13" t="s">
        <v>68</v>
      </c>
      <c r="C1400" s="14">
        <v>48.0</v>
      </c>
      <c r="D1400" s="13" t="s">
        <v>60</v>
      </c>
      <c r="E1400" s="13" t="s">
        <v>61</v>
      </c>
      <c r="F1400" s="13" t="s">
        <v>62</v>
      </c>
      <c r="G1400" s="13" t="s">
        <v>120</v>
      </c>
      <c r="H1400" s="16">
        <v>44850.0</v>
      </c>
      <c r="I1400" s="14">
        <v>3.0</v>
      </c>
      <c r="J1400" s="13" t="s">
        <v>40</v>
      </c>
      <c r="K1400" s="13" t="s">
        <v>65</v>
      </c>
      <c r="L1400" s="14">
        <v>755.0</v>
      </c>
      <c r="M1400" s="18" t="s">
        <v>38</v>
      </c>
      <c r="N1400" s="20">
        <v>0.0</v>
      </c>
      <c r="O1400" s="18">
        <v>1.0</v>
      </c>
      <c r="P1400" s="20">
        <v>4.8</v>
      </c>
      <c r="Q1400" s="16">
        <v>44893.0</v>
      </c>
      <c r="R1400" s="16" t="s">
        <v>38</v>
      </c>
      <c r="S1400" s="13" t="s">
        <v>55</v>
      </c>
      <c r="T1400" s="13" t="s">
        <v>47</v>
      </c>
      <c r="U1400" s="13" t="str">
        <f t="shared" si="1"/>
        <v>Moderate</v>
      </c>
      <c r="V1400" s="13" t="str">
        <f t="shared" si="2"/>
        <v>Below Median</v>
      </c>
      <c r="W1400" s="13" t="str">
        <f t="shared" si="3"/>
        <v>0–12 Months</v>
      </c>
    </row>
    <row r="1401" hidden="1">
      <c r="A1401" s="13" t="s">
        <v>1252</v>
      </c>
      <c r="B1401" s="13" t="s">
        <v>336</v>
      </c>
      <c r="C1401" s="14">
        <v>54.0</v>
      </c>
      <c r="D1401" s="13" t="s">
        <v>60</v>
      </c>
      <c r="E1401" s="13" t="s">
        <v>97</v>
      </c>
      <c r="F1401" s="13" t="s">
        <v>79</v>
      </c>
      <c r="G1401" s="13" t="s">
        <v>39</v>
      </c>
      <c r="H1401" s="16">
        <v>45267.0</v>
      </c>
      <c r="I1401" s="14">
        <v>30.0</v>
      </c>
      <c r="J1401" s="13" t="s">
        <v>64</v>
      </c>
      <c r="K1401" s="13" t="s">
        <v>65</v>
      </c>
      <c r="L1401" s="14">
        <v>2325.0</v>
      </c>
      <c r="M1401" s="18" t="s">
        <v>43</v>
      </c>
      <c r="N1401" s="20">
        <v>2.0</v>
      </c>
      <c r="O1401" s="18">
        <v>34.2</v>
      </c>
      <c r="P1401" s="20">
        <v>3.1</v>
      </c>
      <c r="Q1401" s="16">
        <v>45911.0</v>
      </c>
      <c r="R1401" s="16" t="s">
        <v>38</v>
      </c>
      <c r="S1401" s="13" t="s">
        <v>55</v>
      </c>
      <c r="T1401" s="13" t="s">
        <v>104</v>
      </c>
      <c r="U1401" s="13" t="str">
        <f t="shared" si="1"/>
        <v>Moderate</v>
      </c>
      <c r="V1401" s="13" t="str">
        <f t="shared" si="2"/>
        <v>Median or Above</v>
      </c>
      <c r="W1401" s="13" t="str">
        <f t="shared" si="3"/>
        <v>25–48 Months</v>
      </c>
    </row>
    <row r="1402" hidden="1">
      <c r="A1402" s="13" t="s">
        <v>710</v>
      </c>
      <c r="B1402" s="13" t="s">
        <v>303</v>
      </c>
      <c r="C1402" s="14">
        <v>22.0</v>
      </c>
      <c r="D1402" s="13" t="s">
        <v>35</v>
      </c>
      <c r="E1402" s="13" t="s">
        <v>140</v>
      </c>
      <c r="F1402" s="13" t="s">
        <v>79</v>
      </c>
      <c r="G1402" s="13" t="s">
        <v>52</v>
      </c>
      <c r="H1402" s="16">
        <v>44923.0</v>
      </c>
      <c r="I1402" s="14">
        <v>41.0</v>
      </c>
      <c r="J1402" s="13" t="s">
        <v>53</v>
      </c>
      <c r="K1402" s="13" t="s">
        <v>81</v>
      </c>
      <c r="L1402" s="14">
        <v>2035.0</v>
      </c>
      <c r="M1402" s="18" t="s">
        <v>43</v>
      </c>
      <c r="N1402" s="20">
        <v>1.0</v>
      </c>
      <c r="O1402" s="18">
        <v>40.4</v>
      </c>
      <c r="P1402" s="20">
        <v>3.6</v>
      </c>
      <c r="Q1402" s="16">
        <v>45520.0</v>
      </c>
      <c r="R1402" s="16" t="s">
        <v>1943</v>
      </c>
      <c r="S1402" s="13" t="s">
        <v>45</v>
      </c>
      <c r="T1402" s="13" t="s">
        <v>47</v>
      </c>
      <c r="U1402" s="13" t="str">
        <f t="shared" si="1"/>
        <v>Moderate</v>
      </c>
      <c r="V1402" s="13" t="str">
        <f t="shared" si="2"/>
        <v>Median or Above</v>
      </c>
      <c r="W1402" s="13" t="str">
        <f t="shared" si="3"/>
        <v>25–48 Months</v>
      </c>
    </row>
    <row r="1403" hidden="1">
      <c r="A1403" s="13" t="s">
        <v>1088</v>
      </c>
      <c r="B1403" s="13" t="s">
        <v>303</v>
      </c>
      <c r="C1403" s="14">
        <v>24.0</v>
      </c>
      <c r="D1403" s="13" t="s">
        <v>35</v>
      </c>
      <c r="E1403" s="13" t="s">
        <v>161</v>
      </c>
      <c r="F1403" s="13" t="s">
        <v>62</v>
      </c>
      <c r="G1403" s="13" t="s">
        <v>63</v>
      </c>
      <c r="H1403" s="16">
        <v>44672.0</v>
      </c>
      <c r="I1403" s="14">
        <v>6.0</v>
      </c>
      <c r="J1403" s="13" t="s">
        <v>64</v>
      </c>
      <c r="K1403" s="13" t="s">
        <v>81</v>
      </c>
      <c r="L1403" s="14">
        <v>623.0</v>
      </c>
      <c r="M1403" s="18" t="s">
        <v>164</v>
      </c>
      <c r="N1403" s="20">
        <v>0.0</v>
      </c>
      <c r="O1403" s="18">
        <v>16.2</v>
      </c>
      <c r="P1403" s="20">
        <v>2.5</v>
      </c>
      <c r="Q1403" s="16">
        <v>44799.0</v>
      </c>
      <c r="R1403" s="16" t="s">
        <v>38</v>
      </c>
      <c r="S1403" s="13" t="s">
        <v>55</v>
      </c>
      <c r="T1403" s="13" t="s">
        <v>47</v>
      </c>
      <c r="U1403" s="13" t="str">
        <f t="shared" si="1"/>
        <v>Low</v>
      </c>
      <c r="V1403" s="13" t="str">
        <f t="shared" si="2"/>
        <v>Below Median</v>
      </c>
      <c r="W1403" s="13" t="str">
        <f t="shared" si="3"/>
        <v>0–12 Months</v>
      </c>
    </row>
    <row r="1404" hidden="1">
      <c r="A1404" s="13" t="s">
        <v>1398</v>
      </c>
      <c r="B1404" s="13" t="s">
        <v>345</v>
      </c>
      <c r="C1404" s="14">
        <v>66.0</v>
      </c>
      <c r="D1404" s="13" t="s">
        <v>69</v>
      </c>
      <c r="E1404" s="13" t="s">
        <v>119</v>
      </c>
      <c r="F1404" s="13" t="s">
        <v>62</v>
      </c>
      <c r="G1404" s="13" t="s">
        <v>63</v>
      </c>
      <c r="H1404" s="16">
        <v>44818.0</v>
      </c>
      <c r="I1404" s="14">
        <v>2.0</v>
      </c>
      <c r="J1404" s="13" t="s">
        <v>53</v>
      </c>
      <c r="K1404" s="13" t="s">
        <v>65</v>
      </c>
      <c r="L1404" s="14">
        <v>634.0</v>
      </c>
      <c r="M1404" s="18" t="s">
        <v>46</v>
      </c>
      <c r="N1404" s="20">
        <v>1.0</v>
      </c>
      <c r="O1404" s="18">
        <v>16.0</v>
      </c>
      <c r="P1404" s="20">
        <v>3.9</v>
      </c>
      <c r="Q1404" s="16">
        <v>44875.0</v>
      </c>
      <c r="R1404" s="16" t="s">
        <v>38</v>
      </c>
      <c r="S1404" s="13" t="s">
        <v>55</v>
      </c>
      <c r="T1404" s="13" t="s">
        <v>72</v>
      </c>
      <c r="U1404" s="13" t="str">
        <f t="shared" si="1"/>
        <v>Moderate</v>
      </c>
      <c r="V1404" s="13" t="str">
        <f t="shared" si="2"/>
        <v>Below Median</v>
      </c>
      <c r="W1404" s="13" t="str">
        <f t="shared" si="3"/>
        <v>0–12 Months</v>
      </c>
    </row>
    <row r="1405" hidden="1">
      <c r="A1405" s="13" t="s">
        <v>613</v>
      </c>
      <c r="B1405" s="13" t="s">
        <v>139</v>
      </c>
      <c r="C1405" s="14">
        <v>20.0</v>
      </c>
      <c r="D1405" s="13" t="s">
        <v>60</v>
      </c>
      <c r="E1405" s="13" t="s">
        <v>107</v>
      </c>
      <c r="F1405" s="13" t="s">
        <v>62</v>
      </c>
      <c r="G1405" s="13" t="s">
        <v>63</v>
      </c>
      <c r="H1405" s="16">
        <v>45187.0</v>
      </c>
      <c r="I1405" s="14">
        <v>42.0</v>
      </c>
      <c r="J1405" s="13" t="s">
        <v>40</v>
      </c>
      <c r="K1405" s="13" t="s">
        <v>81</v>
      </c>
      <c r="L1405" s="14">
        <v>572.0</v>
      </c>
      <c r="M1405" s="18" t="s">
        <v>43</v>
      </c>
      <c r="N1405" s="20">
        <v>0.0</v>
      </c>
      <c r="O1405" s="18">
        <v>16.0</v>
      </c>
      <c r="P1405" s="20">
        <v>4.4</v>
      </c>
      <c r="Q1405" s="16">
        <v>45645.0</v>
      </c>
      <c r="R1405" s="16" t="s">
        <v>38</v>
      </c>
      <c r="S1405" s="13" t="s">
        <v>55</v>
      </c>
      <c r="T1405" s="13" t="s">
        <v>104</v>
      </c>
      <c r="U1405" s="13" t="str">
        <f t="shared" si="1"/>
        <v>Moderate</v>
      </c>
      <c r="V1405" s="13" t="str">
        <f t="shared" si="2"/>
        <v>Below Median</v>
      </c>
      <c r="W1405" s="13" t="str">
        <f t="shared" si="3"/>
        <v>25–48 Months</v>
      </c>
    </row>
    <row r="1406" hidden="1">
      <c r="A1406" s="13" t="s">
        <v>1120</v>
      </c>
      <c r="B1406" s="13" t="s">
        <v>636</v>
      </c>
      <c r="C1406" s="14">
        <v>54.0</v>
      </c>
      <c r="D1406" s="13" t="s">
        <v>69</v>
      </c>
      <c r="E1406" s="13" t="s">
        <v>70</v>
      </c>
      <c r="F1406" s="13" t="s">
        <v>62</v>
      </c>
      <c r="G1406" s="13" t="s">
        <v>52</v>
      </c>
      <c r="H1406" s="16">
        <v>45843.0</v>
      </c>
      <c r="I1406" s="14">
        <v>14.0</v>
      </c>
      <c r="J1406" s="13" t="s">
        <v>53</v>
      </c>
      <c r="K1406" s="13" t="s">
        <v>41</v>
      </c>
      <c r="L1406" s="14">
        <v>657.0</v>
      </c>
      <c r="M1406" s="18" t="s">
        <v>99</v>
      </c>
      <c r="N1406" s="20" t="s">
        <v>38</v>
      </c>
      <c r="O1406" s="18">
        <v>26.4</v>
      </c>
      <c r="P1406" s="20">
        <v>4.4</v>
      </c>
      <c r="Q1406" s="16">
        <v>45929.0</v>
      </c>
      <c r="R1406" s="16" t="s">
        <v>1946</v>
      </c>
      <c r="S1406" s="13" t="s">
        <v>45</v>
      </c>
      <c r="T1406" s="13" t="s">
        <v>75</v>
      </c>
      <c r="U1406" s="13" t="str">
        <f t="shared" si="1"/>
        <v>Moderate</v>
      </c>
      <c r="V1406" s="13" t="str">
        <f t="shared" si="2"/>
        <v>Median or Above</v>
      </c>
      <c r="W1406" s="13" t="str">
        <f t="shared" si="3"/>
        <v>13–24 Months</v>
      </c>
    </row>
    <row r="1407" hidden="1">
      <c r="A1407" s="13" t="s">
        <v>1368</v>
      </c>
      <c r="B1407" s="13" t="s">
        <v>118</v>
      </c>
      <c r="C1407" s="14">
        <v>19.0</v>
      </c>
      <c r="D1407" s="13" t="s">
        <v>69</v>
      </c>
      <c r="E1407" s="13" t="s">
        <v>187</v>
      </c>
      <c r="F1407" s="13" t="s">
        <v>79</v>
      </c>
      <c r="G1407" s="13" t="s">
        <v>128</v>
      </c>
      <c r="H1407" s="16">
        <v>44769.0</v>
      </c>
      <c r="I1407" s="14">
        <v>48.0</v>
      </c>
      <c r="J1407" s="13" t="s">
        <v>64</v>
      </c>
      <c r="K1407" s="13" t="s">
        <v>65</v>
      </c>
      <c r="L1407" s="14">
        <v>3950.0</v>
      </c>
      <c r="M1407" s="18" t="s">
        <v>98</v>
      </c>
      <c r="N1407" s="20">
        <v>1.0</v>
      </c>
      <c r="O1407" s="18">
        <v>24.9</v>
      </c>
      <c r="P1407" s="20">
        <v>3.5</v>
      </c>
      <c r="Q1407" s="16">
        <v>45154.0</v>
      </c>
      <c r="R1407" s="16" t="s">
        <v>38</v>
      </c>
      <c r="S1407" s="13" t="s">
        <v>55</v>
      </c>
      <c r="T1407" s="13" t="s">
        <v>75</v>
      </c>
      <c r="U1407" s="13" t="str">
        <f t="shared" si="1"/>
        <v>Moderate</v>
      </c>
      <c r="V1407" s="13" t="str">
        <f t="shared" si="2"/>
        <v>Median or Above</v>
      </c>
      <c r="W1407" s="13" t="str">
        <f t="shared" si="3"/>
        <v>25–48 Months</v>
      </c>
    </row>
    <row r="1408" hidden="1">
      <c r="A1408" s="13" t="s">
        <v>1947</v>
      </c>
      <c r="B1408" s="13" t="s">
        <v>645</v>
      </c>
      <c r="C1408" s="14">
        <v>51.0</v>
      </c>
      <c r="D1408" s="13" t="s">
        <v>85</v>
      </c>
      <c r="E1408" s="13" t="s">
        <v>92</v>
      </c>
      <c r="F1408" s="13" t="s">
        <v>79</v>
      </c>
      <c r="G1408" s="13" t="s">
        <v>128</v>
      </c>
      <c r="H1408" s="16">
        <v>45381.0</v>
      </c>
      <c r="I1408" s="14">
        <v>10.0</v>
      </c>
      <c r="J1408" s="13" t="s">
        <v>53</v>
      </c>
      <c r="K1408" s="13" t="s">
        <v>81</v>
      </c>
      <c r="L1408" s="14">
        <v>3957.0</v>
      </c>
      <c r="M1408" s="18" t="s">
        <v>43</v>
      </c>
      <c r="N1408" s="20">
        <v>1.0</v>
      </c>
      <c r="O1408" s="18">
        <v>41.6</v>
      </c>
      <c r="P1408" s="20" t="s">
        <v>38</v>
      </c>
      <c r="Q1408" s="16">
        <v>45617.0</v>
      </c>
      <c r="R1408" s="16" t="s">
        <v>1948</v>
      </c>
      <c r="S1408" s="13" t="s">
        <v>45</v>
      </c>
      <c r="T1408" s="13" t="s">
        <v>72</v>
      </c>
      <c r="U1408" s="13" t="str">
        <f t="shared" si="1"/>
        <v/>
      </c>
      <c r="V1408" s="13" t="str">
        <f t="shared" si="2"/>
        <v>Median or Above</v>
      </c>
      <c r="W1408" s="13" t="str">
        <f t="shared" si="3"/>
        <v>0–12 Months</v>
      </c>
    </row>
    <row r="1409" hidden="1">
      <c r="A1409" s="13" t="s">
        <v>1236</v>
      </c>
      <c r="B1409" s="13" t="s">
        <v>176</v>
      </c>
      <c r="C1409" s="14">
        <v>51.0</v>
      </c>
      <c r="D1409" s="13" t="s">
        <v>85</v>
      </c>
      <c r="E1409" s="13" t="s">
        <v>292</v>
      </c>
      <c r="F1409" s="13" t="s">
        <v>37</v>
      </c>
      <c r="G1409" s="13" t="s">
        <v>80</v>
      </c>
      <c r="H1409" s="16">
        <v>44685.0</v>
      </c>
      <c r="I1409" s="14">
        <v>41.0</v>
      </c>
      <c r="J1409" s="13" t="s">
        <v>64</v>
      </c>
      <c r="K1409" s="13" t="s">
        <v>65</v>
      </c>
      <c r="L1409" s="14">
        <v>1036.0</v>
      </c>
      <c r="M1409" s="18" t="s">
        <v>164</v>
      </c>
      <c r="N1409" s="20">
        <v>1.0</v>
      </c>
      <c r="O1409" s="18">
        <v>28.9</v>
      </c>
      <c r="P1409" s="20">
        <v>5.0</v>
      </c>
      <c r="Q1409" s="16">
        <v>44917.0</v>
      </c>
      <c r="R1409" s="16" t="s">
        <v>38</v>
      </c>
      <c r="S1409" s="13" t="s">
        <v>55</v>
      </c>
      <c r="T1409" s="13" t="s">
        <v>72</v>
      </c>
      <c r="U1409" s="13" t="str">
        <f t="shared" si="1"/>
        <v>High</v>
      </c>
      <c r="V1409" s="13" t="str">
        <f t="shared" si="2"/>
        <v>Median or Above</v>
      </c>
      <c r="W1409" s="13" t="str">
        <f t="shared" si="3"/>
        <v>25–48 Months</v>
      </c>
    </row>
    <row r="1410" hidden="1">
      <c r="A1410" s="13" t="s">
        <v>1240</v>
      </c>
      <c r="B1410" s="13" t="s">
        <v>145</v>
      </c>
      <c r="C1410" s="14">
        <v>26.0</v>
      </c>
      <c r="D1410" s="13" t="s">
        <v>69</v>
      </c>
      <c r="E1410" s="13" t="s">
        <v>187</v>
      </c>
      <c r="F1410" s="13" t="s">
        <v>62</v>
      </c>
      <c r="G1410" s="13" t="s">
        <v>210</v>
      </c>
      <c r="H1410" s="16">
        <v>44991.0</v>
      </c>
      <c r="I1410" s="14">
        <v>20.0</v>
      </c>
      <c r="J1410" s="13" t="s">
        <v>40</v>
      </c>
      <c r="K1410" s="13" t="s">
        <v>41</v>
      </c>
      <c r="L1410" s="14">
        <v>870.0</v>
      </c>
      <c r="M1410" s="18" t="s">
        <v>43</v>
      </c>
      <c r="N1410" s="20">
        <v>2.0</v>
      </c>
      <c r="O1410" s="18">
        <v>16.5</v>
      </c>
      <c r="P1410" s="20">
        <v>3.6</v>
      </c>
      <c r="Q1410" s="16">
        <v>45388.0</v>
      </c>
      <c r="R1410" s="16" t="s">
        <v>38</v>
      </c>
      <c r="S1410" s="13" t="s">
        <v>55</v>
      </c>
      <c r="T1410" s="13" t="s">
        <v>72</v>
      </c>
      <c r="U1410" s="13" t="str">
        <f t="shared" si="1"/>
        <v>Moderate</v>
      </c>
      <c r="V1410" s="13" t="str">
        <f t="shared" si="2"/>
        <v>Below Median</v>
      </c>
      <c r="W1410" s="13" t="str">
        <f t="shared" si="3"/>
        <v>13–24 Months</v>
      </c>
    </row>
    <row r="1411" hidden="1">
      <c r="A1411" s="13" t="s">
        <v>1949</v>
      </c>
      <c r="B1411" s="13" t="s">
        <v>420</v>
      </c>
      <c r="C1411" s="14">
        <v>60.0</v>
      </c>
      <c r="D1411" s="13" t="s">
        <v>69</v>
      </c>
      <c r="E1411" s="13" t="s">
        <v>92</v>
      </c>
      <c r="F1411" s="13" t="s">
        <v>37</v>
      </c>
      <c r="G1411" s="13" t="s">
        <v>128</v>
      </c>
      <c r="H1411" s="16">
        <v>45291.0</v>
      </c>
      <c r="I1411" s="14">
        <v>11.0</v>
      </c>
      <c r="J1411" s="13" t="s">
        <v>40</v>
      </c>
      <c r="K1411" s="13" t="s">
        <v>41</v>
      </c>
      <c r="L1411" s="14">
        <v>1175.0</v>
      </c>
      <c r="M1411" s="18" t="s">
        <v>98</v>
      </c>
      <c r="N1411" s="20">
        <v>0.0</v>
      </c>
      <c r="O1411" s="18">
        <v>16.2</v>
      </c>
      <c r="P1411" s="20">
        <v>4.7</v>
      </c>
      <c r="Q1411" s="16">
        <v>45505.0</v>
      </c>
      <c r="R1411" s="16" t="s">
        <v>38</v>
      </c>
      <c r="S1411" s="13" t="s">
        <v>55</v>
      </c>
      <c r="T1411" s="13" t="s">
        <v>104</v>
      </c>
      <c r="U1411" s="13" t="str">
        <f t="shared" si="1"/>
        <v>Moderate</v>
      </c>
      <c r="V1411" s="13" t="str">
        <f t="shared" si="2"/>
        <v>Below Median</v>
      </c>
      <c r="W1411" s="13" t="str">
        <f t="shared" si="3"/>
        <v>0–12 Months</v>
      </c>
    </row>
    <row r="1412" hidden="1">
      <c r="A1412" s="13" t="s">
        <v>526</v>
      </c>
      <c r="B1412" s="13" t="s">
        <v>250</v>
      </c>
      <c r="C1412" s="14">
        <v>40.0</v>
      </c>
      <c r="D1412" s="13" t="s">
        <v>85</v>
      </c>
      <c r="E1412" s="13" t="s">
        <v>111</v>
      </c>
      <c r="F1412" s="13" t="s">
        <v>37</v>
      </c>
      <c r="G1412" s="13" t="s">
        <v>63</v>
      </c>
      <c r="H1412" s="16">
        <v>45649.0</v>
      </c>
      <c r="I1412" s="14">
        <v>10.0</v>
      </c>
      <c r="J1412" s="13" t="s">
        <v>64</v>
      </c>
      <c r="K1412" s="13" t="s">
        <v>81</v>
      </c>
      <c r="L1412" s="14">
        <v>1683.0</v>
      </c>
      <c r="M1412" s="18" t="s">
        <v>98</v>
      </c>
      <c r="N1412" s="20">
        <v>1.0</v>
      </c>
      <c r="O1412" s="18">
        <v>30.5</v>
      </c>
      <c r="P1412" s="20">
        <v>2.8</v>
      </c>
      <c r="Q1412" s="16">
        <v>45778.0</v>
      </c>
      <c r="R1412" s="16" t="s">
        <v>38</v>
      </c>
      <c r="S1412" s="13" t="s">
        <v>55</v>
      </c>
      <c r="T1412" s="13" t="s">
        <v>72</v>
      </c>
      <c r="U1412" s="13" t="str">
        <f t="shared" si="1"/>
        <v>Low</v>
      </c>
      <c r="V1412" s="13" t="str">
        <f t="shared" si="2"/>
        <v>Median or Above</v>
      </c>
      <c r="W1412" s="13" t="str">
        <f t="shared" si="3"/>
        <v>0–12 Months</v>
      </c>
    </row>
    <row r="1413" hidden="1">
      <c r="A1413" s="13" t="s">
        <v>870</v>
      </c>
      <c r="B1413" s="13" t="s">
        <v>295</v>
      </c>
      <c r="C1413" s="14">
        <v>25.0</v>
      </c>
      <c r="D1413" s="13" t="s">
        <v>85</v>
      </c>
      <c r="E1413" s="13" t="s">
        <v>70</v>
      </c>
      <c r="F1413" s="13" t="s">
        <v>37</v>
      </c>
      <c r="G1413" s="13" t="s">
        <v>210</v>
      </c>
      <c r="H1413" s="16">
        <v>45763.0</v>
      </c>
      <c r="I1413" s="14">
        <v>27.0</v>
      </c>
      <c r="J1413" s="13" t="s">
        <v>40</v>
      </c>
      <c r="K1413" s="13" t="s">
        <v>41</v>
      </c>
      <c r="L1413" s="14">
        <v>1413.0</v>
      </c>
      <c r="M1413" s="18" t="s">
        <v>43</v>
      </c>
      <c r="N1413" s="20">
        <v>1.0</v>
      </c>
      <c r="O1413" s="18">
        <v>36.2</v>
      </c>
      <c r="P1413" s="20">
        <v>6.0</v>
      </c>
      <c r="Q1413" s="16">
        <v>46565.0</v>
      </c>
      <c r="R1413" s="16" t="s">
        <v>38</v>
      </c>
      <c r="S1413" s="13" t="s">
        <v>55</v>
      </c>
      <c r="T1413" s="13" t="s">
        <v>47</v>
      </c>
      <c r="U1413" s="13" t="str">
        <f t="shared" si="1"/>
        <v>High</v>
      </c>
      <c r="V1413" s="13" t="str">
        <f t="shared" si="2"/>
        <v>Median or Above</v>
      </c>
      <c r="W1413" s="13" t="str">
        <f t="shared" si="3"/>
        <v>25–48 Months</v>
      </c>
    </row>
    <row r="1414" hidden="1">
      <c r="A1414" s="13" t="s">
        <v>1648</v>
      </c>
      <c r="B1414" s="13" t="s">
        <v>308</v>
      </c>
      <c r="C1414" s="14">
        <v>38.0</v>
      </c>
      <c r="D1414" s="13" t="s">
        <v>69</v>
      </c>
      <c r="E1414" s="13" t="s">
        <v>177</v>
      </c>
      <c r="F1414" s="13" t="s">
        <v>62</v>
      </c>
      <c r="G1414" s="13" t="s">
        <v>52</v>
      </c>
      <c r="H1414" s="16">
        <v>45133.0</v>
      </c>
      <c r="I1414" s="14">
        <v>6.0</v>
      </c>
      <c r="J1414" s="13" t="s">
        <v>64</v>
      </c>
      <c r="K1414" s="13" t="s">
        <v>81</v>
      </c>
      <c r="L1414" s="14" t="s">
        <v>38</v>
      </c>
      <c r="M1414" s="18" t="s">
        <v>43</v>
      </c>
      <c r="N1414" s="20">
        <v>1.0</v>
      </c>
      <c r="O1414" s="18">
        <v>19.2</v>
      </c>
      <c r="P1414" s="20">
        <v>2.8</v>
      </c>
      <c r="Q1414" s="16">
        <v>45150.0</v>
      </c>
      <c r="R1414" s="16" t="s">
        <v>1950</v>
      </c>
      <c r="S1414" s="13" t="s">
        <v>45</v>
      </c>
      <c r="T1414" s="13" t="s">
        <v>66</v>
      </c>
      <c r="U1414" s="13" t="str">
        <f t="shared" si="1"/>
        <v>Low</v>
      </c>
      <c r="V1414" s="13" t="str">
        <f t="shared" si="2"/>
        <v>Below Median</v>
      </c>
      <c r="W1414" s="13" t="str">
        <f t="shared" si="3"/>
        <v>0–12 Months</v>
      </c>
    </row>
    <row r="1415" hidden="1">
      <c r="A1415" s="13" t="s">
        <v>895</v>
      </c>
      <c r="B1415" s="13" t="s">
        <v>215</v>
      </c>
      <c r="C1415" s="14">
        <v>57.0</v>
      </c>
      <c r="D1415" s="13" t="s">
        <v>35</v>
      </c>
      <c r="E1415" s="13" t="s">
        <v>51</v>
      </c>
      <c r="F1415" s="13" t="s">
        <v>37</v>
      </c>
      <c r="G1415" s="13" t="s">
        <v>63</v>
      </c>
      <c r="H1415" s="16">
        <v>45876.0</v>
      </c>
      <c r="I1415" s="14">
        <v>33.0</v>
      </c>
      <c r="J1415" s="13" t="s">
        <v>53</v>
      </c>
      <c r="K1415" s="13" t="s">
        <v>81</v>
      </c>
      <c r="L1415" s="14">
        <v>1206.0</v>
      </c>
      <c r="M1415" s="18" t="s">
        <v>99</v>
      </c>
      <c r="N1415" s="20">
        <v>1.0</v>
      </c>
      <c r="O1415" s="18">
        <v>41.3</v>
      </c>
      <c r="P1415" s="20">
        <v>4.0</v>
      </c>
      <c r="Q1415" s="16">
        <v>45949.0</v>
      </c>
      <c r="R1415" s="16" t="s">
        <v>38</v>
      </c>
      <c r="S1415" s="13" t="s">
        <v>55</v>
      </c>
      <c r="T1415" s="13" t="s">
        <v>66</v>
      </c>
      <c r="U1415" s="13" t="str">
        <f t="shared" si="1"/>
        <v>Moderate</v>
      </c>
      <c r="V1415" s="13" t="str">
        <f t="shared" si="2"/>
        <v>Median or Above</v>
      </c>
      <c r="W1415" s="13" t="str">
        <f t="shared" si="3"/>
        <v>25–48 Months</v>
      </c>
    </row>
    <row r="1416" hidden="1">
      <c r="A1416" s="13" t="s">
        <v>1951</v>
      </c>
      <c r="B1416" s="13" t="s">
        <v>235</v>
      </c>
      <c r="C1416" s="14">
        <v>56.0</v>
      </c>
      <c r="D1416" s="13" t="s">
        <v>35</v>
      </c>
      <c r="E1416" s="13" t="s">
        <v>36</v>
      </c>
      <c r="F1416" s="13" t="s">
        <v>62</v>
      </c>
      <c r="G1416" s="13" t="s">
        <v>210</v>
      </c>
      <c r="H1416" s="16">
        <v>44628.0</v>
      </c>
      <c r="I1416" s="14">
        <v>1.0</v>
      </c>
      <c r="J1416" s="13" t="s">
        <v>53</v>
      </c>
      <c r="K1416" s="13" t="s">
        <v>81</v>
      </c>
      <c r="L1416" s="14">
        <v>742.0</v>
      </c>
      <c r="M1416" s="18" t="s">
        <v>98</v>
      </c>
      <c r="N1416" s="20">
        <v>3.0</v>
      </c>
      <c r="O1416" s="18">
        <v>12.2</v>
      </c>
      <c r="P1416" s="20">
        <v>3.8</v>
      </c>
      <c r="Q1416" s="16">
        <v>44644.0</v>
      </c>
      <c r="R1416" s="16" t="s">
        <v>38</v>
      </c>
      <c r="S1416" s="13" t="s">
        <v>55</v>
      </c>
      <c r="T1416" s="13" t="s">
        <v>38</v>
      </c>
      <c r="U1416" s="13" t="str">
        <f t="shared" si="1"/>
        <v>Moderate</v>
      </c>
      <c r="V1416" s="13" t="str">
        <f t="shared" si="2"/>
        <v>Below Median</v>
      </c>
      <c r="W1416" s="13" t="str">
        <f t="shared" si="3"/>
        <v>0–12 Months</v>
      </c>
    </row>
    <row r="1417" hidden="1">
      <c r="A1417" s="13" t="s">
        <v>1952</v>
      </c>
      <c r="B1417" s="13" t="s">
        <v>398</v>
      </c>
      <c r="C1417" s="14">
        <v>56.0</v>
      </c>
      <c r="D1417" s="13" t="s">
        <v>35</v>
      </c>
      <c r="E1417" s="13" t="s">
        <v>36</v>
      </c>
      <c r="F1417" s="13" t="s">
        <v>62</v>
      </c>
      <c r="G1417" s="13" t="s">
        <v>80</v>
      </c>
      <c r="H1417" s="16">
        <v>45356.0</v>
      </c>
      <c r="I1417" s="14">
        <v>10.0</v>
      </c>
      <c r="J1417" s="13" t="s">
        <v>64</v>
      </c>
      <c r="K1417" s="13" t="s">
        <v>65</v>
      </c>
      <c r="L1417" s="14">
        <v>3463.0</v>
      </c>
      <c r="M1417" s="18" t="s">
        <v>98</v>
      </c>
      <c r="N1417" s="20">
        <v>1.0</v>
      </c>
      <c r="O1417" s="18">
        <v>26.6</v>
      </c>
      <c r="P1417" s="20">
        <v>5.0</v>
      </c>
      <c r="Q1417" s="16">
        <v>45392.0</v>
      </c>
      <c r="R1417" s="16" t="s">
        <v>1953</v>
      </c>
      <c r="S1417" s="13" t="s">
        <v>45</v>
      </c>
      <c r="T1417" s="13" t="s">
        <v>75</v>
      </c>
      <c r="U1417" s="13" t="str">
        <f t="shared" si="1"/>
        <v>High</v>
      </c>
      <c r="V1417" s="13" t="str">
        <f t="shared" si="2"/>
        <v>Median or Above</v>
      </c>
      <c r="W1417" s="13" t="str">
        <f t="shared" si="3"/>
        <v>0–12 Months</v>
      </c>
    </row>
    <row r="1418" hidden="1">
      <c r="A1418" s="13" t="s">
        <v>1538</v>
      </c>
      <c r="B1418" s="13" t="s">
        <v>145</v>
      </c>
      <c r="C1418" s="14">
        <v>64.0</v>
      </c>
      <c r="D1418" s="13" t="s">
        <v>60</v>
      </c>
      <c r="E1418" s="13" t="s">
        <v>107</v>
      </c>
      <c r="F1418" s="13" t="s">
        <v>79</v>
      </c>
      <c r="G1418" s="13" t="s">
        <v>52</v>
      </c>
      <c r="H1418" s="16">
        <v>44808.0</v>
      </c>
      <c r="I1418" s="14">
        <v>5.0</v>
      </c>
      <c r="J1418" s="13" t="s">
        <v>40</v>
      </c>
      <c r="K1418" s="13" t="s">
        <v>41</v>
      </c>
      <c r="L1418" s="14">
        <v>2456.0</v>
      </c>
      <c r="M1418" s="18" t="s">
        <v>376</v>
      </c>
      <c r="N1418" s="20">
        <v>0.0</v>
      </c>
      <c r="O1418" s="18">
        <v>39.9</v>
      </c>
      <c r="P1418" s="20">
        <v>2.9</v>
      </c>
      <c r="Q1418" s="16">
        <v>44904.0</v>
      </c>
      <c r="R1418" s="16" t="s">
        <v>38</v>
      </c>
      <c r="S1418" s="13" t="s">
        <v>55</v>
      </c>
      <c r="T1418" s="13" t="s">
        <v>75</v>
      </c>
      <c r="U1418" s="13" t="str">
        <f t="shared" si="1"/>
        <v>Low</v>
      </c>
      <c r="V1418" s="13" t="str">
        <f t="shared" si="2"/>
        <v>Median or Above</v>
      </c>
      <c r="W1418" s="13" t="str">
        <f t="shared" si="3"/>
        <v>0–12 Months</v>
      </c>
    </row>
    <row r="1419" hidden="1">
      <c r="A1419" s="13" t="s">
        <v>517</v>
      </c>
      <c r="B1419" s="13" t="s">
        <v>59</v>
      </c>
      <c r="C1419" s="14">
        <v>20.0</v>
      </c>
      <c r="D1419" s="13" t="s">
        <v>85</v>
      </c>
      <c r="E1419" s="13" t="s">
        <v>292</v>
      </c>
      <c r="F1419" s="13" t="s">
        <v>37</v>
      </c>
      <c r="G1419" s="13" t="s">
        <v>128</v>
      </c>
      <c r="H1419" s="16">
        <v>45520.0</v>
      </c>
      <c r="I1419" s="14">
        <v>39.0</v>
      </c>
      <c r="J1419" s="13" t="s">
        <v>64</v>
      </c>
      <c r="K1419" s="13" t="s">
        <v>81</v>
      </c>
      <c r="L1419" s="14">
        <v>1231.0</v>
      </c>
      <c r="M1419" s="18" t="s">
        <v>164</v>
      </c>
      <c r="N1419" s="20">
        <v>0.0</v>
      </c>
      <c r="O1419" s="18">
        <v>11.9</v>
      </c>
      <c r="P1419" s="20">
        <v>2.5</v>
      </c>
      <c r="Q1419" s="16">
        <v>45759.0</v>
      </c>
      <c r="R1419" s="16" t="s">
        <v>1954</v>
      </c>
      <c r="S1419" s="13" t="s">
        <v>45</v>
      </c>
      <c r="T1419" s="13" t="s">
        <v>66</v>
      </c>
      <c r="U1419" s="13" t="str">
        <f t="shared" si="1"/>
        <v>Low</v>
      </c>
      <c r="V1419" s="13" t="str">
        <f t="shared" si="2"/>
        <v>Below Median</v>
      </c>
      <c r="W1419" s="13" t="str">
        <f t="shared" si="3"/>
        <v>25–48 Months</v>
      </c>
    </row>
    <row r="1420" hidden="1">
      <c r="A1420" s="13" t="s">
        <v>1878</v>
      </c>
      <c r="B1420" s="13" t="s">
        <v>235</v>
      </c>
      <c r="C1420" s="14">
        <v>53.0</v>
      </c>
      <c r="D1420" s="13" t="s">
        <v>85</v>
      </c>
      <c r="E1420" s="13" t="s">
        <v>111</v>
      </c>
      <c r="F1420" s="13" t="s">
        <v>62</v>
      </c>
      <c r="G1420" s="13" t="s">
        <v>39</v>
      </c>
      <c r="H1420" s="16">
        <v>45948.0</v>
      </c>
      <c r="I1420" s="14">
        <v>39.0</v>
      </c>
      <c r="J1420" s="13" t="s">
        <v>40</v>
      </c>
      <c r="K1420" s="13" t="s">
        <v>65</v>
      </c>
      <c r="L1420" s="14">
        <v>800.0</v>
      </c>
      <c r="M1420" s="18" t="s">
        <v>98</v>
      </c>
      <c r="N1420" s="20">
        <v>1.0</v>
      </c>
      <c r="O1420" s="18">
        <v>14.6</v>
      </c>
      <c r="P1420" s="20">
        <v>4.4</v>
      </c>
      <c r="Q1420" s="16" t="s">
        <v>38</v>
      </c>
      <c r="R1420" s="16" t="s">
        <v>1955</v>
      </c>
      <c r="S1420" s="13" t="s">
        <v>45</v>
      </c>
      <c r="T1420" s="13" t="s">
        <v>72</v>
      </c>
      <c r="U1420" s="13" t="str">
        <f t="shared" si="1"/>
        <v>Moderate</v>
      </c>
      <c r="V1420" s="13" t="str">
        <f t="shared" si="2"/>
        <v>Below Median</v>
      </c>
      <c r="W1420" s="13" t="str">
        <f t="shared" si="3"/>
        <v>25–48 Months</v>
      </c>
    </row>
    <row r="1421" hidden="1">
      <c r="A1421" s="13" t="s">
        <v>1956</v>
      </c>
      <c r="B1421" s="13" t="s">
        <v>281</v>
      </c>
      <c r="C1421" s="14">
        <v>48.0</v>
      </c>
      <c r="D1421" s="13" t="s">
        <v>35</v>
      </c>
      <c r="E1421" s="13" t="s">
        <v>140</v>
      </c>
      <c r="F1421" s="13" t="s">
        <v>79</v>
      </c>
      <c r="G1421" s="13" t="s">
        <v>80</v>
      </c>
      <c r="H1421" s="16">
        <v>44779.0</v>
      </c>
      <c r="I1421" s="14">
        <v>1.0</v>
      </c>
      <c r="J1421" s="13" t="s">
        <v>64</v>
      </c>
      <c r="K1421" s="13" t="s">
        <v>41</v>
      </c>
      <c r="L1421" s="14">
        <v>2029.0</v>
      </c>
      <c r="M1421" s="18" t="s">
        <v>99</v>
      </c>
      <c r="N1421" s="20">
        <v>0.0</v>
      </c>
      <c r="O1421" s="18">
        <v>44.3</v>
      </c>
      <c r="P1421" s="20">
        <v>4.1</v>
      </c>
      <c r="Q1421" s="16">
        <v>44824.0</v>
      </c>
      <c r="R1421" s="16" t="s">
        <v>38</v>
      </c>
      <c r="S1421" s="13" t="s">
        <v>55</v>
      </c>
      <c r="T1421" s="13" t="s">
        <v>104</v>
      </c>
      <c r="U1421" s="13" t="str">
        <f t="shared" si="1"/>
        <v>Moderate</v>
      </c>
      <c r="V1421" s="13" t="str">
        <f t="shared" si="2"/>
        <v>Median or Above</v>
      </c>
      <c r="W1421" s="13" t="str">
        <f t="shared" si="3"/>
        <v>0–12 Months</v>
      </c>
    </row>
    <row r="1422" hidden="1">
      <c r="A1422" s="13" t="s">
        <v>1220</v>
      </c>
      <c r="B1422" s="13" t="s">
        <v>308</v>
      </c>
      <c r="C1422" s="14">
        <v>43.0</v>
      </c>
      <c r="D1422" s="13" t="s">
        <v>60</v>
      </c>
      <c r="E1422" s="13" t="s">
        <v>107</v>
      </c>
      <c r="F1422" s="13" t="s">
        <v>62</v>
      </c>
      <c r="G1422" s="13" t="s">
        <v>128</v>
      </c>
      <c r="H1422" s="16">
        <v>44838.0</v>
      </c>
      <c r="I1422" s="14">
        <v>14.0</v>
      </c>
      <c r="J1422" s="13" t="s">
        <v>64</v>
      </c>
      <c r="K1422" s="13" t="s">
        <v>81</v>
      </c>
      <c r="L1422" s="14">
        <v>594.0</v>
      </c>
      <c r="M1422" s="18" t="s">
        <v>164</v>
      </c>
      <c r="N1422" s="20">
        <v>1.0</v>
      </c>
      <c r="O1422" s="18">
        <v>23.8</v>
      </c>
      <c r="P1422" s="20">
        <v>3.5</v>
      </c>
      <c r="Q1422" s="16">
        <v>45270.0</v>
      </c>
      <c r="R1422" s="16">
        <v>45017.0</v>
      </c>
      <c r="S1422" s="13" t="s">
        <v>45</v>
      </c>
      <c r="T1422" s="13" t="s">
        <v>75</v>
      </c>
      <c r="U1422" s="13" t="str">
        <f t="shared" si="1"/>
        <v>Moderate</v>
      </c>
      <c r="V1422" s="13" t="str">
        <f t="shared" si="2"/>
        <v>Below Median</v>
      </c>
      <c r="W1422" s="13" t="str">
        <f t="shared" si="3"/>
        <v>13–24 Months</v>
      </c>
    </row>
    <row r="1423" hidden="1">
      <c r="A1423" s="13" t="s">
        <v>745</v>
      </c>
      <c r="B1423" s="13" t="s">
        <v>59</v>
      </c>
      <c r="C1423" s="14">
        <v>58.0</v>
      </c>
      <c r="D1423" s="13" t="s">
        <v>69</v>
      </c>
      <c r="E1423" s="13" t="s">
        <v>133</v>
      </c>
      <c r="F1423" s="13" t="s">
        <v>79</v>
      </c>
      <c r="G1423" s="13" t="s">
        <v>52</v>
      </c>
      <c r="H1423" s="16">
        <v>45528.0</v>
      </c>
      <c r="I1423" s="14">
        <v>2.0</v>
      </c>
      <c r="J1423" s="13" t="s">
        <v>64</v>
      </c>
      <c r="K1423" s="13" t="s">
        <v>41</v>
      </c>
      <c r="L1423" s="14">
        <v>725.0</v>
      </c>
      <c r="M1423" s="18" t="s">
        <v>43</v>
      </c>
      <c r="N1423" s="20">
        <v>0.0</v>
      </c>
      <c r="O1423" s="18">
        <v>17.9</v>
      </c>
      <c r="P1423" s="20">
        <v>3.9</v>
      </c>
      <c r="Q1423" s="16">
        <v>45583.0</v>
      </c>
      <c r="R1423" s="16" t="s">
        <v>38</v>
      </c>
      <c r="S1423" s="13" t="s">
        <v>55</v>
      </c>
      <c r="T1423" s="13" t="s">
        <v>47</v>
      </c>
      <c r="U1423" s="13" t="str">
        <f t="shared" si="1"/>
        <v>Moderate</v>
      </c>
      <c r="V1423" s="13" t="str">
        <f t="shared" si="2"/>
        <v>Below Median</v>
      </c>
      <c r="W1423" s="13" t="str">
        <f t="shared" si="3"/>
        <v>0–12 Months</v>
      </c>
    </row>
    <row r="1424" hidden="1">
      <c r="A1424" s="13" t="s">
        <v>332</v>
      </c>
      <c r="B1424" s="13" t="s">
        <v>470</v>
      </c>
      <c r="C1424" s="14">
        <v>31.0</v>
      </c>
      <c r="D1424" s="13" t="s">
        <v>60</v>
      </c>
      <c r="E1424" s="13" t="s">
        <v>97</v>
      </c>
      <c r="F1424" s="13" t="s">
        <v>62</v>
      </c>
      <c r="G1424" s="13" t="s">
        <v>63</v>
      </c>
      <c r="H1424" s="16">
        <v>44798.0</v>
      </c>
      <c r="I1424" s="14">
        <v>27.0</v>
      </c>
      <c r="J1424" s="13" t="s">
        <v>53</v>
      </c>
      <c r="K1424" s="13" t="s">
        <v>41</v>
      </c>
      <c r="L1424" s="14">
        <v>573.0</v>
      </c>
      <c r="M1424" s="18" t="s">
        <v>98</v>
      </c>
      <c r="N1424" s="20">
        <v>1.0</v>
      </c>
      <c r="O1424" s="18">
        <v>18.6</v>
      </c>
      <c r="P1424" s="20">
        <v>3.8</v>
      </c>
      <c r="Q1424" s="16">
        <v>44812.0</v>
      </c>
      <c r="R1424" s="16" t="s">
        <v>1959</v>
      </c>
      <c r="S1424" s="13" t="s">
        <v>45</v>
      </c>
      <c r="T1424" s="13" t="s">
        <v>66</v>
      </c>
      <c r="U1424" s="13" t="str">
        <f t="shared" si="1"/>
        <v>Moderate</v>
      </c>
      <c r="V1424" s="13" t="str">
        <f t="shared" si="2"/>
        <v>Below Median</v>
      </c>
      <c r="W1424" s="13" t="str">
        <f t="shared" si="3"/>
        <v>25–48 Months</v>
      </c>
    </row>
    <row r="1425" hidden="1">
      <c r="A1425" s="13" t="s">
        <v>1006</v>
      </c>
      <c r="B1425" s="13" t="s">
        <v>605</v>
      </c>
      <c r="C1425" s="14">
        <v>37.0</v>
      </c>
      <c r="D1425" s="13" t="s">
        <v>60</v>
      </c>
      <c r="E1425" s="13" t="s">
        <v>97</v>
      </c>
      <c r="F1425" s="13" t="s">
        <v>62</v>
      </c>
      <c r="G1425" s="13" t="s">
        <v>39</v>
      </c>
      <c r="H1425" s="16">
        <v>46001.0</v>
      </c>
      <c r="I1425" s="14">
        <v>120.0</v>
      </c>
      <c r="J1425" s="13" t="s">
        <v>64</v>
      </c>
      <c r="K1425" s="13" t="s">
        <v>65</v>
      </c>
      <c r="L1425" s="14">
        <v>816.0</v>
      </c>
      <c r="M1425" s="18" t="s">
        <v>164</v>
      </c>
      <c r="N1425" s="20">
        <v>1.0</v>
      </c>
      <c r="O1425" s="18">
        <v>22.9</v>
      </c>
      <c r="P1425" s="20">
        <v>3.3</v>
      </c>
      <c r="Q1425" s="16">
        <v>46465.0</v>
      </c>
      <c r="R1425" s="16" t="s">
        <v>38</v>
      </c>
      <c r="S1425" s="13" t="s">
        <v>55</v>
      </c>
      <c r="T1425" s="13" t="s">
        <v>66</v>
      </c>
      <c r="U1425" s="13" t="str">
        <f t="shared" si="1"/>
        <v>Moderate</v>
      </c>
      <c r="V1425" s="13" t="str">
        <f t="shared" si="2"/>
        <v>Below Median</v>
      </c>
      <c r="W1425" s="13" t="str">
        <f t="shared" si="3"/>
        <v>49+ Months</v>
      </c>
    </row>
    <row r="1426" hidden="1">
      <c r="A1426" s="13" t="s">
        <v>1262</v>
      </c>
      <c r="B1426" s="13" t="s">
        <v>288</v>
      </c>
      <c r="C1426" s="14">
        <v>42.0</v>
      </c>
      <c r="D1426" s="13" t="s">
        <v>69</v>
      </c>
      <c r="E1426" s="13" t="s">
        <v>70</v>
      </c>
      <c r="F1426" s="13" t="s">
        <v>62</v>
      </c>
      <c r="G1426" s="13" t="s">
        <v>63</v>
      </c>
      <c r="H1426" s="16">
        <v>45432.0</v>
      </c>
      <c r="I1426" s="14">
        <v>39.0</v>
      </c>
      <c r="J1426" s="13" t="s">
        <v>40</v>
      </c>
      <c r="K1426" s="13" t="s">
        <v>65</v>
      </c>
      <c r="L1426" s="14">
        <v>537.0</v>
      </c>
      <c r="M1426" s="18" t="s">
        <v>43</v>
      </c>
      <c r="N1426" s="20">
        <v>3.0</v>
      </c>
      <c r="O1426" s="18">
        <v>22.9</v>
      </c>
      <c r="P1426" s="20">
        <v>2.7</v>
      </c>
      <c r="Q1426" s="16">
        <v>45910.0</v>
      </c>
      <c r="R1426" s="16" t="s">
        <v>1960</v>
      </c>
      <c r="S1426" s="13" t="s">
        <v>45</v>
      </c>
      <c r="T1426" s="13" t="s">
        <v>75</v>
      </c>
      <c r="U1426" s="13" t="str">
        <f t="shared" si="1"/>
        <v>Low</v>
      </c>
      <c r="V1426" s="13" t="str">
        <f t="shared" si="2"/>
        <v>Below Median</v>
      </c>
      <c r="W1426" s="13" t="str">
        <f t="shared" si="3"/>
        <v>25–48 Months</v>
      </c>
    </row>
    <row r="1427" hidden="1">
      <c r="A1427" s="13" t="s">
        <v>1961</v>
      </c>
      <c r="B1427" s="13" t="s">
        <v>247</v>
      </c>
      <c r="C1427" s="14" t="s">
        <v>38</v>
      </c>
      <c r="D1427" s="13" t="s">
        <v>60</v>
      </c>
      <c r="E1427" s="13" t="s">
        <v>133</v>
      </c>
      <c r="F1427" s="13" t="s">
        <v>37</v>
      </c>
      <c r="G1427" s="13" t="s">
        <v>120</v>
      </c>
      <c r="H1427" s="16">
        <v>45063.0</v>
      </c>
      <c r="I1427" s="14">
        <v>15.0</v>
      </c>
      <c r="J1427" s="13" t="s">
        <v>40</v>
      </c>
      <c r="K1427" s="13" t="s">
        <v>65</v>
      </c>
      <c r="L1427" s="14">
        <v>1336.0</v>
      </c>
      <c r="M1427" s="18" t="s">
        <v>98</v>
      </c>
      <c r="N1427" s="20">
        <v>1.0</v>
      </c>
      <c r="O1427" s="18">
        <v>41.0</v>
      </c>
      <c r="P1427" s="20">
        <v>3.9</v>
      </c>
      <c r="Q1427" s="16">
        <v>45231.0</v>
      </c>
      <c r="R1427" s="16" t="s">
        <v>38</v>
      </c>
      <c r="S1427" s="13" t="s">
        <v>55</v>
      </c>
      <c r="T1427" s="13" t="s">
        <v>104</v>
      </c>
      <c r="U1427" s="13" t="str">
        <f t="shared" si="1"/>
        <v>Moderate</v>
      </c>
      <c r="V1427" s="13" t="str">
        <f t="shared" si="2"/>
        <v>Median or Above</v>
      </c>
      <c r="W1427" s="13" t="str">
        <f t="shared" si="3"/>
        <v>13–24 Months</v>
      </c>
    </row>
    <row r="1428" hidden="1">
      <c r="A1428" s="13" t="s">
        <v>1015</v>
      </c>
      <c r="B1428" s="13" t="s">
        <v>229</v>
      </c>
      <c r="C1428" s="14">
        <v>34.0</v>
      </c>
      <c r="D1428" s="13" t="s">
        <v>60</v>
      </c>
      <c r="E1428" s="13" t="s">
        <v>133</v>
      </c>
      <c r="F1428" s="13" t="s">
        <v>62</v>
      </c>
      <c r="G1428" s="13" t="s">
        <v>128</v>
      </c>
      <c r="H1428" s="16">
        <v>44880.0</v>
      </c>
      <c r="I1428" s="14">
        <v>32.0</v>
      </c>
      <c r="J1428" s="13" t="s">
        <v>64</v>
      </c>
      <c r="K1428" s="13" t="s">
        <v>65</v>
      </c>
      <c r="L1428" s="14">
        <v>798.0</v>
      </c>
      <c r="M1428" s="18" t="s">
        <v>98</v>
      </c>
      <c r="N1428" s="20">
        <v>3.0</v>
      </c>
      <c r="O1428" s="18">
        <v>16.5</v>
      </c>
      <c r="P1428" s="20">
        <v>3.5</v>
      </c>
      <c r="Q1428" s="16">
        <v>45015.0</v>
      </c>
      <c r="R1428" s="16" t="s">
        <v>38</v>
      </c>
      <c r="S1428" s="13" t="s">
        <v>55</v>
      </c>
      <c r="T1428" s="13" t="s">
        <v>72</v>
      </c>
      <c r="U1428" s="13" t="str">
        <f t="shared" si="1"/>
        <v>Moderate</v>
      </c>
      <c r="V1428" s="13" t="str">
        <f t="shared" si="2"/>
        <v>Below Median</v>
      </c>
      <c r="W1428" s="13" t="str">
        <f t="shared" si="3"/>
        <v>25–48 Months</v>
      </c>
    </row>
    <row r="1429" hidden="1">
      <c r="A1429" s="13" t="s">
        <v>975</v>
      </c>
      <c r="B1429" s="13" t="s">
        <v>229</v>
      </c>
      <c r="C1429" s="14">
        <v>51.0</v>
      </c>
      <c r="D1429" s="13" t="s">
        <v>35</v>
      </c>
      <c r="E1429" s="13" t="s">
        <v>51</v>
      </c>
      <c r="F1429" s="13" t="s">
        <v>37</v>
      </c>
      <c r="G1429" s="13" t="s">
        <v>63</v>
      </c>
      <c r="H1429" s="16">
        <v>45481.0</v>
      </c>
      <c r="I1429" s="14">
        <v>32.0</v>
      </c>
      <c r="J1429" s="13" t="s">
        <v>40</v>
      </c>
      <c r="K1429" s="13" t="s">
        <v>65</v>
      </c>
      <c r="L1429" s="14">
        <v>1136.0</v>
      </c>
      <c r="M1429" s="18" t="s">
        <v>98</v>
      </c>
      <c r="N1429" s="20">
        <v>2.0</v>
      </c>
      <c r="O1429" s="18">
        <v>28.7</v>
      </c>
      <c r="P1429" s="20">
        <v>4.8</v>
      </c>
      <c r="Q1429" s="16">
        <v>46097.0</v>
      </c>
      <c r="R1429" s="16" t="s">
        <v>38</v>
      </c>
      <c r="S1429" s="13" t="s">
        <v>55</v>
      </c>
      <c r="T1429" s="13" t="s">
        <v>72</v>
      </c>
      <c r="U1429" s="13" t="str">
        <f t="shared" si="1"/>
        <v>Moderate</v>
      </c>
      <c r="V1429" s="13" t="str">
        <f t="shared" si="2"/>
        <v>Median or Above</v>
      </c>
      <c r="W1429" s="13" t="str">
        <f t="shared" si="3"/>
        <v>25–48 Months</v>
      </c>
    </row>
    <row r="1430" hidden="1">
      <c r="A1430" s="13" t="s">
        <v>534</v>
      </c>
      <c r="B1430" s="13" t="s">
        <v>322</v>
      </c>
      <c r="C1430" s="14">
        <v>37.0</v>
      </c>
      <c r="D1430" s="13" t="s">
        <v>69</v>
      </c>
      <c r="E1430" s="13" t="s">
        <v>119</v>
      </c>
      <c r="F1430" s="13" t="s">
        <v>79</v>
      </c>
      <c r="G1430" s="13" t="s">
        <v>52</v>
      </c>
      <c r="H1430" s="16">
        <v>44655.0</v>
      </c>
      <c r="I1430" s="14">
        <v>43.0</v>
      </c>
      <c r="J1430" s="13" t="s">
        <v>53</v>
      </c>
      <c r="K1430" s="13" t="s">
        <v>81</v>
      </c>
      <c r="L1430" s="14">
        <v>2464.0</v>
      </c>
      <c r="M1430" s="18" t="s">
        <v>99</v>
      </c>
      <c r="N1430" s="20">
        <v>2.0</v>
      </c>
      <c r="O1430" s="18">
        <v>26.7</v>
      </c>
      <c r="P1430" s="20">
        <v>2.5</v>
      </c>
      <c r="Q1430" s="16">
        <v>45450.0</v>
      </c>
      <c r="R1430" s="16">
        <v>44871.0</v>
      </c>
      <c r="S1430" s="13" t="s">
        <v>45</v>
      </c>
      <c r="T1430" s="13" t="s">
        <v>72</v>
      </c>
      <c r="U1430" s="13" t="str">
        <f t="shared" si="1"/>
        <v>Low</v>
      </c>
      <c r="V1430" s="13" t="str">
        <f t="shared" si="2"/>
        <v>Median or Above</v>
      </c>
      <c r="W1430" s="13" t="str">
        <f t="shared" si="3"/>
        <v>25–48 Months</v>
      </c>
    </row>
    <row r="1431" hidden="1">
      <c r="A1431" s="13" t="s">
        <v>378</v>
      </c>
      <c r="B1431" s="13" t="s">
        <v>424</v>
      </c>
      <c r="C1431" s="14">
        <v>51.0</v>
      </c>
      <c r="D1431" s="13" t="s">
        <v>60</v>
      </c>
      <c r="E1431" s="13" t="s">
        <v>133</v>
      </c>
      <c r="F1431" s="13" t="s">
        <v>37</v>
      </c>
      <c r="G1431" s="13" t="s">
        <v>120</v>
      </c>
      <c r="H1431" s="16">
        <v>44851.0</v>
      </c>
      <c r="I1431" s="14">
        <v>3.0</v>
      </c>
      <c r="J1431" s="13" t="s">
        <v>53</v>
      </c>
      <c r="K1431" s="13" t="s">
        <v>41</v>
      </c>
      <c r="L1431" s="14">
        <v>1103.0</v>
      </c>
      <c r="M1431" s="18" t="s">
        <v>173</v>
      </c>
      <c r="N1431" s="20">
        <v>1.0</v>
      </c>
      <c r="O1431" s="18">
        <v>31.5</v>
      </c>
      <c r="P1431" s="20">
        <v>3.9</v>
      </c>
      <c r="Q1431" s="16">
        <v>44919.0</v>
      </c>
      <c r="R1431" s="16" t="s">
        <v>38</v>
      </c>
      <c r="S1431" s="13" t="s">
        <v>55</v>
      </c>
      <c r="T1431" s="13" t="s">
        <v>72</v>
      </c>
      <c r="U1431" s="13" t="str">
        <f t="shared" si="1"/>
        <v>Moderate</v>
      </c>
      <c r="V1431" s="13" t="str">
        <f t="shared" si="2"/>
        <v>Median or Above</v>
      </c>
      <c r="W1431" s="13" t="str">
        <f t="shared" si="3"/>
        <v>0–12 Months</v>
      </c>
    </row>
    <row r="1432" hidden="1">
      <c r="A1432" s="13" t="s">
        <v>1964</v>
      </c>
      <c r="B1432" s="13" t="s">
        <v>224</v>
      </c>
      <c r="C1432" s="14">
        <v>33.0</v>
      </c>
      <c r="D1432" s="13" t="s">
        <v>60</v>
      </c>
      <c r="E1432" s="13" t="s">
        <v>133</v>
      </c>
      <c r="F1432" s="13" t="s">
        <v>37</v>
      </c>
      <c r="G1432" s="13" t="s">
        <v>52</v>
      </c>
      <c r="H1432" s="16">
        <v>45032.0</v>
      </c>
      <c r="I1432" s="14">
        <v>31.0</v>
      </c>
      <c r="J1432" s="13" t="s">
        <v>64</v>
      </c>
      <c r="K1432" s="13" t="s">
        <v>41</v>
      </c>
      <c r="L1432" s="14">
        <v>1220.0</v>
      </c>
      <c r="M1432" s="18" t="s">
        <v>46</v>
      </c>
      <c r="N1432" s="20">
        <v>2.0</v>
      </c>
      <c r="O1432" s="18">
        <v>18.7</v>
      </c>
      <c r="P1432" s="20">
        <v>5.0</v>
      </c>
      <c r="Q1432" s="16">
        <v>45540.0</v>
      </c>
      <c r="R1432" s="16" t="s">
        <v>38</v>
      </c>
      <c r="S1432" s="13" t="s">
        <v>55</v>
      </c>
      <c r="T1432" s="13" t="s">
        <v>47</v>
      </c>
      <c r="U1432" s="13" t="str">
        <f t="shared" si="1"/>
        <v>High</v>
      </c>
      <c r="V1432" s="13" t="str">
        <f t="shared" si="2"/>
        <v>Below Median</v>
      </c>
      <c r="W1432" s="13" t="str">
        <f t="shared" si="3"/>
        <v>25–48 Months</v>
      </c>
    </row>
    <row r="1433" hidden="1">
      <c r="A1433" s="13" t="s">
        <v>1965</v>
      </c>
      <c r="B1433" s="13" t="s">
        <v>605</v>
      </c>
      <c r="C1433" s="14">
        <v>40.0</v>
      </c>
      <c r="D1433" s="13" t="s">
        <v>60</v>
      </c>
      <c r="E1433" s="13" t="s">
        <v>61</v>
      </c>
      <c r="F1433" s="13" t="s">
        <v>37</v>
      </c>
      <c r="G1433" s="13" t="s">
        <v>80</v>
      </c>
      <c r="H1433" s="16">
        <v>45226.0</v>
      </c>
      <c r="I1433" s="14">
        <v>46.0</v>
      </c>
      <c r="J1433" s="13" t="s">
        <v>53</v>
      </c>
      <c r="K1433" s="13" t="s">
        <v>65</v>
      </c>
      <c r="L1433" s="14">
        <v>1391.0</v>
      </c>
      <c r="M1433" s="18" t="s">
        <v>46</v>
      </c>
      <c r="N1433" s="20">
        <v>1.0</v>
      </c>
      <c r="O1433" s="18">
        <v>34.5</v>
      </c>
      <c r="P1433" s="20">
        <v>2.8</v>
      </c>
      <c r="Q1433" s="16">
        <v>45567.0</v>
      </c>
      <c r="R1433" s="16" t="s">
        <v>38</v>
      </c>
      <c r="S1433" s="13" t="s">
        <v>55</v>
      </c>
      <c r="T1433" s="13" t="s">
        <v>66</v>
      </c>
      <c r="U1433" s="13" t="str">
        <f t="shared" si="1"/>
        <v>Low</v>
      </c>
      <c r="V1433" s="13" t="str">
        <f t="shared" si="2"/>
        <v>Median or Above</v>
      </c>
      <c r="W1433" s="13" t="str">
        <f t="shared" si="3"/>
        <v>25–48 Months</v>
      </c>
    </row>
    <row r="1434" hidden="1">
      <c r="A1434" s="13" t="s">
        <v>1966</v>
      </c>
      <c r="B1434" s="13" t="s">
        <v>734</v>
      </c>
      <c r="C1434" s="14">
        <v>62.0</v>
      </c>
      <c r="D1434" s="13" t="s">
        <v>69</v>
      </c>
      <c r="E1434" s="13" t="s">
        <v>119</v>
      </c>
      <c r="F1434" s="13" t="s">
        <v>62</v>
      </c>
      <c r="G1434" s="13" t="s">
        <v>80</v>
      </c>
      <c r="H1434" s="16">
        <v>45176.0</v>
      </c>
      <c r="I1434" s="14">
        <v>3.0</v>
      </c>
      <c r="J1434" s="13" t="s">
        <v>40</v>
      </c>
      <c r="K1434" s="13" t="s">
        <v>41</v>
      </c>
      <c r="L1434" s="14">
        <v>718.0</v>
      </c>
      <c r="M1434" s="18" t="s">
        <v>46</v>
      </c>
      <c r="N1434" s="20">
        <v>3.0</v>
      </c>
      <c r="O1434" s="18">
        <v>13.6</v>
      </c>
      <c r="P1434" s="20">
        <v>3.2</v>
      </c>
      <c r="Q1434" s="16">
        <v>45187.0</v>
      </c>
      <c r="R1434" s="16" t="s">
        <v>38</v>
      </c>
      <c r="S1434" s="13" t="s">
        <v>55</v>
      </c>
      <c r="T1434" s="13" t="s">
        <v>75</v>
      </c>
      <c r="U1434" s="13" t="str">
        <f t="shared" si="1"/>
        <v>Moderate</v>
      </c>
      <c r="V1434" s="13" t="str">
        <f t="shared" si="2"/>
        <v>Below Median</v>
      </c>
      <c r="W1434" s="13" t="str">
        <f t="shared" si="3"/>
        <v>0–12 Months</v>
      </c>
    </row>
    <row r="1435" hidden="1">
      <c r="A1435" s="13" t="s">
        <v>844</v>
      </c>
      <c r="B1435" s="13" t="s">
        <v>333</v>
      </c>
      <c r="C1435" s="14">
        <v>65.0</v>
      </c>
      <c r="D1435" s="13" t="s">
        <v>69</v>
      </c>
      <c r="E1435" s="13" t="s">
        <v>177</v>
      </c>
      <c r="F1435" s="13" t="s">
        <v>62</v>
      </c>
      <c r="G1435" s="13" t="s">
        <v>80</v>
      </c>
      <c r="H1435" s="16">
        <v>45383.0</v>
      </c>
      <c r="I1435" s="14">
        <v>31.0</v>
      </c>
      <c r="J1435" s="13" t="s">
        <v>64</v>
      </c>
      <c r="K1435" s="13" t="s">
        <v>65</v>
      </c>
      <c r="L1435" s="14">
        <v>569.0</v>
      </c>
      <c r="M1435" s="18" t="s">
        <v>164</v>
      </c>
      <c r="N1435" s="20">
        <v>0.0</v>
      </c>
      <c r="O1435" s="18">
        <v>16.4</v>
      </c>
      <c r="P1435" s="20">
        <v>2.1</v>
      </c>
      <c r="Q1435" s="16">
        <v>45521.0</v>
      </c>
      <c r="R1435" s="16" t="s">
        <v>38</v>
      </c>
      <c r="S1435" s="13" t="s">
        <v>55</v>
      </c>
      <c r="T1435" s="13" t="s">
        <v>66</v>
      </c>
      <c r="U1435" s="13" t="str">
        <f t="shared" si="1"/>
        <v>Low</v>
      </c>
      <c r="V1435" s="13" t="str">
        <f t="shared" si="2"/>
        <v>Below Median</v>
      </c>
      <c r="W1435" s="13" t="str">
        <f t="shared" si="3"/>
        <v>25–48 Months</v>
      </c>
    </row>
    <row r="1436" hidden="1">
      <c r="A1436" s="13" t="s">
        <v>1967</v>
      </c>
      <c r="B1436" s="13" t="s">
        <v>281</v>
      </c>
      <c r="C1436" s="14">
        <v>68.0</v>
      </c>
      <c r="D1436" s="13" t="s">
        <v>85</v>
      </c>
      <c r="E1436" s="13" t="s">
        <v>292</v>
      </c>
      <c r="F1436" s="13" t="s">
        <v>37</v>
      </c>
      <c r="G1436" s="13" t="s">
        <v>80</v>
      </c>
      <c r="H1436" s="16">
        <v>45633.0</v>
      </c>
      <c r="I1436" s="14">
        <v>26.0</v>
      </c>
      <c r="J1436" s="13" t="s">
        <v>40</v>
      </c>
      <c r="K1436" s="13" t="s">
        <v>65</v>
      </c>
      <c r="L1436" s="14">
        <v>1179.0</v>
      </c>
      <c r="M1436" s="18" t="s">
        <v>164</v>
      </c>
      <c r="N1436" s="20">
        <v>1.0</v>
      </c>
      <c r="O1436" s="18">
        <v>21.9</v>
      </c>
      <c r="P1436" s="20">
        <v>3.6</v>
      </c>
      <c r="Q1436" s="16">
        <v>46353.0</v>
      </c>
      <c r="R1436" s="16" t="s">
        <v>38</v>
      </c>
      <c r="S1436" s="13" t="s">
        <v>55</v>
      </c>
      <c r="T1436" s="13" t="s">
        <v>104</v>
      </c>
      <c r="U1436" s="13" t="str">
        <f t="shared" si="1"/>
        <v>Moderate</v>
      </c>
      <c r="V1436" s="13" t="str">
        <f t="shared" si="2"/>
        <v>Below Median</v>
      </c>
      <c r="W1436" s="13" t="str">
        <f t="shared" si="3"/>
        <v>25–48 Months</v>
      </c>
    </row>
    <row r="1437" hidden="1">
      <c r="A1437" s="13" t="s">
        <v>1806</v>
      </c>
      <c r="B1437" s="13" t="s">
        <v>222</v>
      </c>
      <c r="C1437" s="14">
        <v>68.0</v>
      </c>
      <c r="D1437" s="13" t="s">
        <v>35</v>
      </c>
      <c r="E1437" s="13" t="s">
        <v>51</v>
      </c>
      <c r="F1437" s="13" t="s">
        <v>37</v>
      </c>
      <c r="G1437" s="13" t="s">
        <v>80</v>
      </c>
      <c r="H1437" s="16">
        <v>45418.0</v>
      </c>
      <c r="I1437" s="14">
        <v>48.0</v>
      </c>
      <c r="J1437" s="13" t="s">
        <v>40</v>
      </c>
      <c r="K1437" s="13" t="s">
        <v>65</v>
      </c>
      <c r="L1437" s="14">
        <v>1609.0</v>
      </c>
      <c r="M1437" s="18" t="s">
        <v>164</v>
      </c>
      <c r="N1437" s="20">
        <v>0.0</v>
      </c>
      <c r="O1437" s="18">
        <v>29.3</v>
      </c>
      <c r="P1437" s="20">
        <v>3.9</v>
      </c>
      <c r="Q1437" s="16">
        <v>46348.0</v>
      </c>
      <c r="R1437" s="16" t="s">
        <v>38</v>
      </c>
      <c r="S1437" s="13" t="s">
        <v>55</v>
      </c>
      <c r="T1437" s="13" t="s">
        <v>47</v>
      </c>
      <c r="U1437" s="13" t="str">
        <f t="shared" si="1"/>
        <v>Moderate</v>
      </c>
      <c r="V1437" s="13" t="str">
        <f t="shared" si="2"/>
        <v>Median or Above</v>
      </c>
      <c r="W1437" s="13" t="str">
        <f t="shared" si="3"/>
        <v>25–48 Months</v>
      </c>
    </row>
    <row r="1438" hidden="1">
      <c r="A1438" s="13" t="s">
        <v>1154</v>
      </c>
      <c r="B1438" s="13" t="s">
        <v>224</v>
      </c>
      <c r="C1438" s="14">
        <v>29.0</v>
      </c>
      <c r="D1438" s="13" t="s">
        <v>60</v>
      </c>
      <c r="E1438" s="13" t="s">
        <v>133</v>
      </c>
      <c r="F1438" s="13" t="s">
        <v>62</v>
      </c>
      <c r="G1438" s="13" t="s">
        <v>52</v>
      </c>
      <c r="H1438" s="16">
        <v>45532.0</v>
      </c>
      <c r="I1438" s="14">
        <v>33.0</v>
      </c>
      <c r="J1438" s="13" t="s">
        <v>53</v>
      </c>
      <c r="K1438" s="13" t="s">
        <v>41</v>
      </c>
      <c r="L1438" s="14">
        <v>1510.0</v>
      </c>
      <c r="M1438" s="18" t="s">
        <v>98</v>
      </c>
      <c r="N1438" s="20">
        <v>2.0</v>
      </c>
      <c r="O1438" s="18">
        <v>18.2</v>
      </c>
      <c r="P1438" s="20">
        <v>3.5</v>
      </c>
      <c r="Q1438" s="16">
        <v>45889.0</v>
      </c>
      <c r="R1438" s="16" t="s">
        <v>38</v>
      </c>
      <c r="S1438" s="13" t="s">
        <v>55</v>
      </c>
      <c r="T1438" s="13" t="s">
        <v>66</v>
      </c>
      <c r="U1438" s="13" t="str">
        <f t="shared" si="1"/>
        <v>Moderate</v>
      </c>
      <c r="V1438" s="13" t="str">
        <f t="shared" si="2"/>
        <v>Below Median</v>
      </c>
      <c r="W1438" s="13" t="str">
        <f t="shared" si="3"/>
        <v>25–48 Months</v>
      </c>
    </row>
    <row r="1439" hidden="1">
      <c r="A1439" s="13" t="s">
        <v>1168</v>
      </c>
      <c r="B1439" s="13" t="s">
        <v>163</v>
      </c>
      <c r="C1439" s="14">
        <v>30.0</v>
      </c>
      <c r="D1439" s="13" t="s">
        <v>35</v>
      </c>
      <c r="E1439" s="13" t="s">
        <v>51</v>
      </c>
      <c r="F1439" s="13" t="s">
        <v>37</v>
      </c>
      <c r="G1439" s="13" t="s">
        <v>80</v>
      </c>
      <c r="H1439" s="16">
        <v>45093.0</v>
      </c>
      <c r="I1439" s="14">
        <v>10.0</v>
      </c>
      <c r="J1439" s="13" t="s">
        <v>40</v>
      </c>
      <c r="K1439" s="13" t="s">
        <v>81</v>
      </c>
      <c r="L1439" s="14">
        <v>1214.0</v>
      </c>
      <c r="M1439" s="18" t="s">
        <v>164</v>
      </c>
      <c r="N1439" s="20">
        <v>1.0</v>
      </c>
      <c r="O1439" s="18">
        <v>21.7</v>
      </c>
      <c r="P1439" s="20">
        <v>4.0</v>
      </c>
      <c r="Q1439" s="16">
        <v>45309.0</v>
      </c>
      <c r="R1439" s="16" t="s">
        <v>1668</v>
      </c>
      <c r="S1439" s="13" t="s">
        <v>45</v>
      </c>
      <c r="T1439" s="13" t="s">
        <v>47</v>
      </c>
      <c r="U1439" s="13" t="str">
        <f t="shared" si="1"/>
        <v>Moderate</v>
      </c>
      <c r="V1439" s="13" t="str">
        <f t="shared" si="2"/>
        <v>Below Median</v>
      </c>
      <c r="W1439" s="13" t="str">
        <f t="shared" si="3"/>
        <v>0–12 Months</v>
      </c>
    </row>
    <row r="1440" hidden="1">
      <c r="A1440" s="13" t="s">
        <v>344</v>
      </c>
      <c r="B1440" s="13" t="s">
        <v>235</v>
      </c>
      <c r="C1440" s="14">
        <v>46.0</v>
      </c>
      <c r="D1440" s="13" t="s">
        <v>69</v>
      </c>
      <c r="E1440" s="13" t="s">
        <v>119</v>
      </c>
      <c r="F1440" s="13" t="s">
        <v>62</v>
      </c>
      <c r="G1440" s="13" t="s">
        <v>128</v>
      </c>
      <c r="H1440" s="16">
        <v>44715.0</v>
      </c>
      <c r="I1440" s="14">
        <v>30.0</v>
      </c>
      <c r="J1440" s="13" t="s">
        <v>40</v>
      </c>
      <c r="K1440" s="13" t="s">
        <v>41</v>
      </c>
      <c r="L1440" s="14">
        <v>832.0</v>
      </c>
      <c r="M1440" s="18" t="s">
        <v>46</v>
      </c>
      <c r="N1440" s="20">
        <v>0.0</v>
      </c>
      <c r="O1440" s="18">
        <v>10.9</v>
      </c>
      <c r="P1440" s="20">
        <v>3.1</v>
      </c>
      <c r="Q1440" s="16">
        <v>45346.0</v>
      </c>
      <c r="R1440" s="16">
        <v>44631.0</v>
      </c>
      <c r="S1440" s="13" t="s">
        <v>45</v>
      </c>
      <c r="T1440" s="13" t="s">
        <v>72</v>
      </c>
      <c r="U1440" s="13" t="str">
        <f t="shared" si="1"/>
        <v>Moderate</v>
      </c>
      <c r="V1440" s="13" t="str">
        <f t="shared" si="2"/>
        <v>Below Median</v>
      </c>
      <c r="W1440" s="13" t="str">
        <f t="shared" si="3"/>
        <v>25–48 Months</v>
      </c>
    </row>
    <row r="1441" hidden="1">
      <c r="A1441" s="13" t="s">
        <v>1969</v>
      </c>
      <c r="B1441" s="13" t="s">
        <v>59</v>
      </c>
      <c r="C1441" s="14">
        <v>56.0</v>
      </c>
      <c r="D1441" s="13" t="s">
        <v>60</v>
      </c>
      <c r="E1441" s="13" t="s">
        <v>61</v>
      </c>
      <c r="F1441" s="13" t="s">
        <v>62</v>
      </c>
      <c r="G1441" s="13" t="s">
        <v>128</v>
      </c>
      <c r="H1441" s="16">
        <v>45693.0</v>
      </c>
      <c r="I1441" s="14">
        <v>26.0</v>
      </c>
      <c r="J1441" s="13" t="s">
        <v>40</v>
      </c>
      <c r="K1441" s="13" t="s">
        <v>41</v>
      </c>
      <c r="L1441" s="14">
        <v>618.0</v>
      </c>
      <c r="M1441" s="18" t="s">
        <v>164</v>
      </c>
      <c r="N1441" s="20">
        <v>1.0</v>
      </c>
      <c r="O1441" s="18">
        <v>9.2</v>
      </c>
      <c r="P1441" s="20">
        <v>4.4</v>
      </c>
      <c r="Q1441" s="16">
        <v>45882.0</v>
      </c>
      <c r="R1441" s="16" t="s">
        <v>38</v>
      </c>
      <c r="S1441" s="13" t="s">
        <v>55</v>
      </c>
      <c r="T1441" s="13" t="s">
        <v>66</v>
      </c>
      <c r="U1441" s="13" t="str">
        <f t="shared" si="1"/>
        <v>Moderate</v>
      </c>
      <c r="V1441" s="13" t="str">
        <f t="shared" si="2"/>
        <v>Below Median</v>
      </c>
      <c r="W1441" s="13" t="str">
        <f t="shared" si="3"/>
        <v>25–48 Months</v>
      </c>
    </row>
    <row r="1442" hidden="1">
      <c r="A1442" s="13" t="s">
        <v>1970</v>
      </c>
      <c r="B1442" s="13" t="s">
        <v>222</v>
      </c>
      <c r="C1442" s="14">
        <v>50.0</v>
      </c>
      <c r="D1442" s="13" t="s">
        <v>69</v>
      </c>
      <c r="E1442" s="13" t="s">
        <v>70</v>
      </c>
      <c r="F1442" s="13" t="s">
        <v>79</v>
      </c>
      <c r="G1442" s="13" t="s">
        <v>52</v>
      </c>
      <c r="H1442" s="16">
        <v>45408.0</v>
      </c>
      <c r="I1442" s="14">
        <v>37.0</v>
      </c>
      <c r="J1442" s="13" t="s">
        <v>40</v>
      </c>
      <c r="K1442" s="13" t="s">
        <v>41</v>
      </c>
      <c r="L1442" s="14">
        <v>3822.0</v>
      </c>
      <c r="M1442" s="18" t="s">
        <v>99</v>
      </c>
      <c r="N1442" s="20">
        <v>0.0</v>
      </c>
      <c r="O1442" s="18">
        <v>41.7</v>
      </c>
      <c r="P1442" s="20">
        <v>2.7</v>
      </c>
      <c r="Q1442" s="16">
        <v>45963.0</v>
      </c>
      <c r="R1442" s="16">
        <v>45844.0</v>
      </c>
      <c r="S1442" s="13" t="s">
        <v>45</v>
      </c>
      <c r="T1442" s="13" t="s">
        <v>75</v>
      </c>
      <c r="U1442" s="13" t="str">
        <f t="shared" si="1"/>
        <v>Low</v>
      </c>
      <c r="V1442" s="13" t="str">
        <f t="shared" si="2"/>
        <v>Median or Above</v>
      </c>
      <c r="W1442" s="13" t="str">
        <f t="shared" si="3"/>
        <v>25–48 Months</v>
      </c>
    </row>
    <row r="1443" hidden="1">
      <c r="A1443" s="13" t="s">
        <v>1116</v>
      </c>
      <c r="B1443" s="13" t="s">
        <v>295</v>
      </c>
      <c r="C1443" s="14">
        <v>62.0</v>
      </c>
      <c r="D1443" s="13" t="s">
        <v>35</v>
      </c>
      <c r="E1443" s="13" t="s">
        <v>36</v>
      </c>
      <c r="F1443" s="13" t="s">
        <v>37</v>
      </c>
      <c r="G1443" s="13" t="s">
        <v>128</v>
      </c>
      <c r="H1443" s="16">
        <v>44601.0</v>
      </c>
      <c r="I1443" s="14">
        <v>14.0</v>
      </c>
      <c r="J1443" s="13" t="s">
        <v>40</v>
      </c>
      <c r="K1443" s="13" t="s">
        <v>41</v>
      </c>
      <c r="L1443" s="14">
        <v>1408.0</v>
      </c>
      <c r="M1443" s="18" t="s">
        <v>98</v>
      </c>
      <c r="N1443" s="20">
        <v>0.0</v>
      </c>
      <c r="O1443" s="18">
        <v>27.4</v>
      </c>
      <c r="P1443" s="20">
        <v>5.0</v>
      </c>
      <c r="Q1443" s="16">
        <v>44710.0</v>
      </c>
      <c r="R1443" s="16" t="s">
        <v>980</v>
      </c>
      <c r="S1443" s="13" t="s">
        <v>45</v>
      </c>
      <c r="T1443" s="13" t="s">
        <v>72</v>
      </c>
      <c r="U1443" s="13" t="str">
        <f t="shared" si="1"/>
        <v>High</v>
      </c>
      <c r="V1443" s="13" t="str">
        <f t="shared" si="2"/>
        <v>Median or Above</v>
      </c>
      <c r="W1443" s="13" t="str">
        <f t="shared" si="3"/>
        <v>13–24 Months</v>
      </c>
    </row>
    <row r="1444" hidden="1">
      <c r="A1444" s="13" t="s">
        <v>1972</v>
      </c>
      <c r="B1444" s="13" t="s">
        <v>639</v>
      </c>
      <c r="C1444" s="14">
        <v>29.0</v>
      </c>
      <c r="D1444" s="13" t="s">
        <v>69</v>
      </c>
      <c r="E1444" s="13" t="s">
        <v>187</v>
      </c>
      <c r="F1444" s="13" t="s">
        <v>62</v>
      </c>
      <c r="G1444" s="13" t="s">
        <v>128</v>
      </c>
      <c r="H1444" s="16">
        <v>45501.0</v>
      </c>
      <c r="I1444" s="14">
        <v>12.0</v>
      </c>
      <c r="J1444" s="13" t="s">
        <v>64</v>
      </c>
      <c r="K1444" s="13" t="s">
        <v>65</v>
      </c>
      <c r="L1444" s="14">
        <v>642.0</v>
      </c>
      <c r="M1444" s="18" t="s">
        <v>164</v>
      </c>
      <c r="N1444" s="20">
        <v>2.0</v>
      </c>
      <c r="O1444" s="18">
        <v>12.4</v>
      </c>
      <c r="P1444" s="20">
        <v>4.3</v>
      </c>
      <c r="Q1444" s="16">
        <v>45625.0</v>
      </c>
      <c r="R1444" s="16" t="s">
        <v>38</v>
      </c>
      <c r="S1444" s="13" t="s">
        <v>55</v>
      </c>
      <c r="T1444" s="13" t="s">
        <v>75</v>
      </c>
      <c r="U1444" s="13" t="str">
        <f t="shared" si="1"/>
        <v>Moderate</v>
      </c>
      <c r="V1444" s="13" t="str">
        <f t="shared" si="2"/>
        <v>Below Median</v>
      </c>
      <c r="W1444" s="13" t="str">
        <f t="shared" si="3"/>
        <v>0–12 Months</v>
      </c>
    </row>
    <row r="1445" hidden="1">
      <c r="A1445" s="13" t="s">
        <v>1973</v>
      </c>
      <c r="B1445" s="13" t="s">
        <v>281</v>
      </c>
      <c r="C1445" s="14">
        <v>25.0</v>
      </c>
      <c r="D1445" s="13" t="s">
        <v>69</v>
      </c>
      <c r="E1445" s="13" t="s">
        <v>70</v>
      </c>
      <c r="F1445" s="13" t="s">
        <v>37</v>
      </c>
      <c r="G1445" s="13" t="s">
        <v>80</v>
      </c>
      <c r="H1445" s="16">
        <v>44628.0</v>
      </c>
      <c r="I1445" s="14">
        <v>48.0</v>
      </c>
      <c r="J1445" s="13" t="s">
        <v>64</v>
      </c>
      <c r="K1445" s="13" t="s">
        <v>81</v>
      </c>
      <c r="L1445" s="14">
        <v>1265.0</v>
      </c>
      <c r="M1445" s="18" t="s">
        <v>43</v>
      </c>
      <c r="N1445" s="20">
        <v>1.0</v>
      </c>
      <c r="O1445" s="18">
        <v>43.3</v>
      </c>
      <c r="P1445" s="20">
        <v>2.5</v>
      </c>
      <c r="Q1445" s="16">
        <v>44958.0</v>
      </c>
      <c r="R1445" s="16" t="s">
        <v>38</v>
      </c>
      <c r="S1445" s="13" t="s">
        <v>55</v>
      </c>
      <c r="T1445" s="13" t="s">
        <v>47</v>
      </c>
      <c r="U1445" s="13" t="str">
        <f t="shared" si="1"/>
        <v>Low</v>
      </c>
      <c r="V1445" s="13" t="str">
        <f t="shared" si="2"/>
        <v>Median or Above</v>
      </c>
      <c r="W1445" s="13" t="str">
        <f t="shared" si="3"/>
        <v>25–48 Months</v>
      </c>
    </row>
    <row r="1446" hidden="1">
      <c r="A1446" s="13" t="s">
        <v>1974</v>
      </c>
      <c r="B1446" s="13" t="s">
        <v>59</v>
      </c>
      <c r="C1446" s="14">
        <v>33.0</v>
      </c>
      <c r="D1446" s="13" t="s">
        <v>69</v>
      </c>
      <c r="E1446" s="13" t="s">
        <v>187</v>
      </c>
      <c r="F1446" s="13" t="s">
        <v>37</v>
      </c>
      <c r="G1446" s="13" t="s">
        <v>39</v>
      </c>
      <c r="H1446" s="16">
        <v>45572.0</v>
      </c>
      <c r="I1446" s="14">
        <v>12.0</v>
      </c>
      <c r="J1446" s="13" t="s">
        <v>53</v>
      </c>
      <c r="K1446" s="13" t="s">
        <v>81</v>
      </c>
      <c r="L1446" s="14">
        <v>1162.0</v>
      </c>
      <c r="M1446" s="18" t="s">
        <v>98</v>
      </c>
      <c r="N1446" s="20">
        <v>1.0</v>
      </c>
      <c r="O1446" s="18">
        <v>21.8</v>
      </c>
      <c r="P1446" s="20">
        <v>4.8</v>
      </c>
      <c r="Q1446" s="16">
        <v>45875.0</v>
      </c>
      <c r="R1446" s="16" t="s">
        <v>38</v>
      </c>
      <c r="S1446" s="13" t="s">
        <v>55</v>
      </c>
      <c r="T1446" s="13" t="s">
        <v>104</v>
      </c>
      <c r="U1446" s="13" t="str">
        <f t="shared" si="1"/>
        <v>Moderate</v>
      </c>
      <c r="V1446" s="13" t="str">
        <f t="shared" si="2"/>
        <v>Below Median</v>
      </c>
      <c r="W1446" s="13" t="str">
        <f t="shared" si="3"/>
        <v>0–12 Months</v>
      </c>
    </row>
    <row r="1447" hidden="1">
      <c r="A1447" s="13" t="s">
        <v>419</v>
      </c>
      <c r="B1447" s="13" t="s">
        <v>176</v>
      </c>
      <c r="C1447" s="14">
        <v>41.0</v>
      </c>
      <c r="D1447" s="13" t="s">
        <v>85</v>
      </c>
      <c r="E1447" s="13" t="s">
        <v>292</v>
      </c>
      <c r="F1447" s="13" t="s">
        <v>62</v>
      </c>
      <c r="G1447" s="13" t="s">
        <v>120</v>
      </c>
      <c r="H1447" s="16">
        <v>45421.0</v>
      </c>
      <c r="I1447" s="14">
        <v>29.0</v>
      </c>
      <c r="J1447" s="13" t="s">
        <v>40</v>
      </c>
      <c r="K1447" s="13" t="s">
        <v>81</v>
      </c>
      <c r="L1447" s="14">
        <v>668.0</v>
      </c>
      <c r="M1447" s="18" t="s">
        <v>43</v>
      </c>
      <c r="N1447" s="20">
        <v>1.0</v>
      </c>
      <c r="O1447" s="18">
        <v>23.5</v>
      </c>
      <c r="P1447" s="20">
        <v>3.1</v>
      </c>
      <c r="Q1447" s="16">
        <v>45423.0</v>
      </c>
      <c r="R1447" s="16" t="s">
        <v>38</v>
      </c>
      <c r="S1447" s="13" t="s">
        <v>55</v>
      </c>
      <c r="T1447" s="13" t="s">
        <v>75</v>
      </c>
      <c r="U1447" s="13" t="str">
        <f t="shared" si="1"/>
        <v>Moderate</v>
      </c>
      <c r="V1447" s="13" t="str">
        <f t="shared" si="2"/>
        <v>Below Median</v>
      </c>
      <c r="W1447" s="13" t="str">
        <f t="shared" si="3"/>
        <v>25–48 Months</v>
      </c>
    </row>
    <row r="1448" hidden="1">
      <c r="A1448" s="13" t="s">
        <v>109</v>
      </c>
      <c r="B1448" s="13" t="s">
        <v>633</v>
      </c>
      <c r="C1448" s="14">
        <v>20.0</v>
      </c>
      <c r="D1448" s="13" t="s">
        <v>60</v>
      </c>
      <c r="E1448" s="13" t="s">
        <v>61</v>
      </c>
      <c r="F1448" s="13" t="s">
        <v>37</v>
      </c>
      <c r="G1448" s="13" t="s">
        <v>63</v>
      </c>
      <c r="H1448" s="16">
        <v>45597.0</v>
      </c>
      <c r="I1448" s="14">
        <v>35.0</v>
      </c>
      <c r="J1448" s="13" t="s">
        <v>40</v>
      </c>
      <c r="K1448" s="13" t="s">
        <v>41</v>
      </c>
      <c r="L1448" s="14">
        <v>1427.0</v>
      </c>
      <c r="M1448" s="18" t="s">
        <v>98</v>
      </c>
      <c r="N1448" s="20">
        <v>0.0</v>
      </c>
      <c r="O1448" s="18">
        <v>43.2</v>
      </c>
      <c r="P1448" s="20">
        <v>3.5</v>
      </c>
      <c r="Q1448" s="16">
        <v>46621.0</v>
      </c>
      <c r="R1448" s="16" t="s">
        <v>38</v>
      </c>
      <c r="S1448" s="13" t="s">
        <v>55</v>
      </c>
      <c r="T1448" s="13" t="s">
        <v>66</v>
      </c>
      <c r="U1448" s="13" t="str">
        <f t="shared" si="1"/>
        <v>Moderate</v>
      </c>
      <c r="V1448" s="13" t="str">
        <f t="shared" si="2"/>
        <v>Median or Above</v>
      </c>
      <c r="W1448" s="13" t="str">
        <f t="shared" si="3"/>
        <v>25–48 Months</v>
      </c>
    </row>
    <row r="1449" hidden="1">
      <c r="A1449" s="13" t="s">
        <v>1244</v>
      </c>
      <c r="B1449" s="13" t="s">
        <v>420</v>
      </c>
      <c r="C1449" s="14">
        <v>53.0</v>
      </c>
      <c r="D1449" s="13" t="s">
        <v>35</v>
      </c>
      <c r="E1449" s="13" t="s">
        <v>51</v>
      </c>
      <c r="F1449" s="13" t="s">
        <v>37</v>
      </c>
      <c r="G1449" s="13" t="s">
        <v>39</v>
      </c>
      <c r="H1449" s="16">
        <v>44943.0</v>
      </c>
      <c r="I1449" s="14">
        <v>5.0</v>
      </c>
      <c r="J1449" s="13" t="s">
        <v>64</v>
      </c>
      <c r="K1449" s="13" t="s">
        <v>41</v>
      </c>
      <c r="L1449" s="14">
        <v>1305.0</v>
      </c>
      <c r="M1449" s="18" t="s">
        <v>43</v>
      </c>
      <c r="N1449" s="20">
        <v>3.0</v>
      </c>
      <c r="O1449" s="18">
        <v>34.2</v>
      </c>
      <c r="P1449" s="20">
        <v>4.3</v>
      </c>
      <c r="Q1449" s="16">
        <v>45013.0</v>
      </c>
      <c r="R1449" s="16" t="s">
        <v>1975</v>
      </c>
      <c r="S1449" s="13" t="s">
        <v>45</v>
      </c>
      <c r="T1449" s="13" t="s">
        <v>66</v>
      </c>
      <c r="U1449" s="13" t="str">
        <f t="shared" si="1"/>
        <v>Moderate</v>
      </c>
      <c r="V1449" s="13" t="str">
        <f t="shared" si="2"/>
        <v>Median or Above</v>
      </c>
      <c r="W1449" s="13" t="str">
        <f t="shared" si="3"/>
        <v>0–12 Months</v>
      </c>
    </row>
    <row r="1450" hidden="1">
      <c r="A1450" s="13" t="s">
        <v>1576</v>
      </c>
      <c r="B1450" s="13" t="s">
        <v>126</v>
      </c>
      <c r="C1450" s="14">
        <v>42.0</v>
      </c>
      <c r="D1450" s="13" t="s">
        <v>69</v>
      </c>
      <c r="E1450" s="13" t="s">
        <v>187</v>
      </c>
      <c r="F1450" s="13" t="s">
        <v>62</v>
      </c>
      <c r="G1450" s="13" t="s">
        <v>39</v>
      </c>
      <c r="H1450" s="16">
        <v>45068.0</v>
      </c>
      <c r="I1450" s="14">
        <v>14.0</v>
      </c>
      <c r="J1450" s="13" t="s">
        <v>64</v>
      </c>
      <c r="K1450" s="13" t="s">
        <v>65</v>
      </c>
      <c r="L1450" s="14">
        <v>584.0</v>
      </c>
      <c r="M1450" s="18" t="s">
        <v>164</v>
      </c>
      <c r="N1450" s="20">
        <v>0.0</v>
      </c>
      <c r="O1450" s="18">
        <v>10.6</v>
      </c>
      <c r="P1450" s="20">
        <v>4.9</v>
      </c>
      <c r="Q1450" s="16">
        <v>45112.0</v>
      </c>
      <c r="R1450" s="16" t="s">
        <v>38</v>
      </c>
      <c r="S1450" s="13" t="s">
        <v>55</v>
      </c>
      <c r="T1450" s="13" t="s">
        <v>72</v>
      </c>
      <c r="U1450" s="13" t="str">
        <f t="shared" si="1"/>
        <v>Moderate</v>
      </c>
      <c r="V1450" s="13" t="str">
        <f t="shared" si="2"/>
        <v>Below Median</v>
      </c>
      <c r="W1450" s="13" t="str">
        <f t="shared" si="3"/>
        <v>13–24 Months</v>
      </c>
    </row>
    <row r="1451" hidden="1">
      <c r="A1451" s="13" t="s">
        <v>1814</v>
      </c>
      <c r="B1451" s="13" t="s">
        <v>232</v>
      </c>
      <c r="C1451" s="14">
        <v>105.0</v>
      </c>
      <c r="D1451" s="13" t="s">
        <v>35</v>
      </c>
      <c r="E1451" s="13" t="s">
        <v>51</v>
      </c>
      <c r="F1451" s="13" t="s">
        <v>79</v>
      </c>
      <c r="G1451" s="13" t="s">
        <v>210</v>
      </c>
      <c r="H1451" s="16">
        <v>45234.0</v>
      </c>
      <c r="I1451" s="14">
        <v>46.0</v>
      </c>
      <c r="J1451" s="13" t="s">
        <v>40</v>
      </c>
      <c r="K1451" s="13" t="s">
        <v>81</v>
      </c>
      <c r="L1451" s="14">
        <v>3750.0</v>
      </c>
      <c r="M1451" s="18" t="s">
        <v>43</v>
      </c>
      <c r="N1451" s="20">
        <v>0.0</v>
      </c>
      <c r="O1451" s="18">
        <v>30.0</v>
      </c>
      <c r="P1451" s="20">
        <v>2.1</v>
      </c>
      <c r="Q1451" s="16">
        <v>46073.0</v>
      </c>
      <c r="R1451" s="16" t="s">
        <v>38</v>
      </c>
      <c r="S1451" s="13" t="s">
        <v>55</v>
      </c>
      <c r="T1451" s="13" t="s">
        <v>47</v>
      </c>
      <c r="U1451" s="13" t="str">
        <f t="shared" si="1"/>
        <v>Low</v>
      </c>
      <c r="V1451" s="13" t="str">
        <f t="shared" si="2"/>
        <v>Median or Above</v>
      </c>
      <c r="W1451" s="13" t="str">
        <f t="shared" si="3"/>
        <v>25–48 Months</v>
      </c>
    </row>
    <row r="1452" hidden="1">
      <c r="A1452" s="13" t="s">
        <v>1734</v>
      </c>
      <c r="B1452" s="13" t="s">
        <v>295</v>
      </c>
      <c r="C1452" s="14">
        <v>55.0</v>
      </c>
      <c r="D1452" s="13" t="s">
        <v>69</v>
      </c>
      <c r="E1452" s="13" t="s">
        <v>187</v>
      </c>
      <c r="F1452" s="13" t="s">
        <v>79</v>
      </c>
      <c r="G1452" s="13" t="s">
        <v>210</v>
      </c>
      <c r="H1452" s="16">
        <v>45066.0</v>
      </c>
      <c r="I1452" s="14">
        <v>26.0</v>
      </c>
      <c r="J1452" s="13" t="s">
        <v>64</v>
      </c>
      <c r="K1452" s="13" t="s">
        <v>81</v>
      </c>
      <c r="L1452" s="14">
        <v>2269.0</v>
      </c>
      <c r="M1452" s="18" t="s">
        <v>164</v>
      </c>
      <c r="N1452" s="20">
        <v>1.0</v>
      </c>
      <c r="O1452" s="18">
        <v>35.9</v>
      </c>
      <c r="P1452" s="20">
        <v>3.2</v>
      </c>
      <c r="Q1452" s="16">
        <v>45083.0</v>
      </c>
      <c r="R1452" s="16" t="s">
        <v>1976</v>
      </c>
      <c r="S1452" s="13" t="s">
        <v>45</v>
      </c>
      <c r="T1452" s="13" t="s">
        <v>66</v>
      </c>
      <c r="U1452" s="13" t="str">
        <f t="shared" si="1"/>
        <v>Moderate</v>
      </c>
      <c r="V1452" s="13" t="str">
        <f t="shared" si="2"/>
        <v>Median or Above</v>
      </c>
      <c r="W1452" s="13" t="str">
        <f t="shared" si="3"/>
        <v>25–48 Months</v>
      </c>
    </row>
    <row r="1453">
      <c r="A1453" s="13" t="s">
        <v>1665</v>
      </c>
      <c r="B1453" s="13" t="s">
        <v>34</v>
      </c>
      <c r="C1453" s="14">
        <v>39.0</v>
      </c>
      <c r="D1453" s="13" t="s">
        <v>69</v>
      </c>
      <c r="E1453" s="13" t="s">
        <v>70</v>
      </c>
      <c r="F1453" s="13" t="s">
        <v>62</v>
      </c>
      <c r="G1453" s="13" t="s">
        <v>128</v>
      </c>
      <c r="H1453" s="16">
        <v>45113.0</v>
      </c>
      <c r="I1453" s="14">
        <v>18.0</v>
      </c>
      <c r="J1453" s="13" t="s">
        <v>64</v>
      </c>
      <c r="K1453" s="13" t="s">
        <v>81</v>
      </c>
      <c r="L1453" s="14">
        <v>795.0</v>
      </c>
      <c r="M1453" s="18" t="s">
        <v>164</v>
      </c>
      <c r="N1453" s="20">
        <v>1.0</v>
      </c>
      <c r="O1453" s="18">
        <v>22.2</v>
      </c>
      <c r="P1453" s="20">
        <v>4.5</v>
      </c>
      <c r="Q1453" s="16">
        <v>45464.0</v>
      </c>
      <c r="R1453" s="16" t="s">
        <v>38</v>
      </c>
      <c r="S1453" s="13" t="s">
        <v>230</v>
      </c>
      <c r="T1453" s="13" t="s">
        <v>66</v>
      </c>
      <c r="U1453" s="13" t="str">
        <f t="shared" si="1"/>
        <v>Moderate</v>
      </c>
      <c r="V1453" s="13" t="str">
        <f t="shared" si="2"/>
        <v>Below Median</v>
      </c>
      <c r="W1453" s="13" t="str">
        <f t="shared" si="3"/>
        <v>13–24 Months</v>
      </c>
    </row>
    <row r="1454" hidden="1">
      <c r="A1454" s="13" t="s">
        <v>1977</v>
      </c>
      <c r="B1454" s="13" t="s">
        <v>78</v>
      </c>
      <c r="C1454" s="14">
        <v>23.0</v>
      </c>
      <c r="D1454" s="13" t="s">
        <v>35</v>
      </c>
      <c r="E1454" s="13" t="s">
        <v>36</v>
      </c>
      <c r="F1454" s="13" t="s">
        <v>62</v>
      </c>
      <c r="G1454" s="13" t="s">
        <v>120</v>
      </c>
      <c r="H1454" s="16">
        <v>45384.0</v>
      </c>
      <c r="I1454" s="14">
        <v>13.0</v>
      </c>
      <c r="J1454" s="13" t="s">
        <v>40</v>
      </c>
      <c r="K1454" s="13" t="s">
        <v>65</v>
      </c>
      <c r="L1454" s="14">
        <v>734.0</v>
      </c>
      <c r="M1454" s="18" t="s">
        <v>98</v>
      </c>
      <c r="N1454" s="20">
        <v>3.0</v>
      </c>
      <c r="O1454" s="18">
        <v>21.1</v>
      </c>
      <c r="P1454" s="20">
        <v>3.0</v>
      </c>
      <c r="Q1454" s="16">
        <v>45584.0</v>
      </c>
      <c r="R1454" s="16" t="s">
        <v>38</v>
      </c>
      <c r="S1454" s="13" t="s">
        <v>55</v>
      </c>
      <c r="T1454" s="13" t="s">
        <v>47</v>
      </c>
      <c r="U1454" s="13" t="str">
        <f t="shared" si="1"/>
        <v>Moderate</v>
      </c>
      <c r="V1454" s="13" t="str">
        <f t="shared" si="2"/>
        <v>Below Median</v>
      </c>
      <c r="W1454" s="13" t="str">
        <f t="shared" si="3"/>
        <v>13–24 Months</v>
      </c>
    </row>
    <row r="1455" hidden="1">
      <c r="A1455" s="13" t="s">
        <v>191</v>
      </c>
      <c r="B1455" s="13" t="s">
        <v>235</v>
      </c>
      <c r="C1455" s="14">
        <v>63.0</v>
      </c>
      <c r="D1455" s="13" t="s">
        <v>60</v>
      </c>
      <c r="E1455" s="13" t="s">
        <v>61</v>
      </c>
      <c r="F1455" s="13" t="s">
        <v>37</v>
      </c>
      <c r="G1455" s="13" t="s">
        <v>120</v>
      </c>
      <c r="H1455" s="16">
        <v>45262.0</v>
      </c>
      <c r="I1455" s="14">
        <v>40.0</v>
      </c>
      <c r="J1455" s="13" t="s">
        <v>40</v>
      </c>
      <c r="K1455" s="13" t="s">
        <v>41</v>
      </c>
      <c r="L1455" s="14">
        <v>1599.0</v>
      </c>
      <c r="M1455" s="18" t="s">
        <v>98</v>
      </c>
      <c r="N1455" s="20">
        <v>3.0</v>
      </c>
      <c r="O1455" s="18">
        <v>25.5</v>
      </c>
      <c r="P1455" s="20">
        <v>2.9</v>
      </c>
      <c r="Q1455" s="16">
        <v>45642.0</v>
      </c>
      <c r="R1455" s="16" t="s">
        <v>1978</v>
      </c>
      <c r="S1455" s="13" t="s">
        <v>45</v>
      </c>
      <c r="T1455" s="13" t="s">
        <v>75</v>
      </c>
      <c r="U1455" s="13" t="str">
        <f t="shared" si="1"/>
        <v>Low</v>
      </c>
      <c r="V1455" s="13" t="str">
        <f t="shared" si="2"/>
        <v>Median or Above</v>
      </c>
      <c r="W1455" s="13" t="str">
        <f t="shared" si="3"/>
        <v>25–48 Months</v>
      </c>
    </row>
    <row r="1456" hidden="1">
      <c r="A1456" s="13" t="s">
        <v>668</v>
      </c>
      <c r="B1456" s="13" t="s">
        <v>222</v>
      </c>
      <c r="C1456" s="14">
        <v>43.0</v>
      </c>
      <c r="D1456" s="13" t="s">
        <v>69</v>
      </c>
      <c r="E1456" s="13" t="s">
        <v>119</v>
      </c>
      <c r="F1456" s="13" t="s">
        <v>62</v>
      </c>
      <c r="G1456" s="13" t="s">
        <v>120</v>
      </c>
      <c r="H1456" s="16">
        <v>45123.0</v>
      </c>
      <c r="I1456" s="14">
        <v>31.0</v>
      </c>
      <c r="J1456" s="13" t="s">
        <v>40</v>
      </c>
      <c r="K1456" s="13" t="s">
        <v>41</v>
      </c>
      <c r="L1456" s="14">
        <v>840.0</v>
      </c>
      <c r="M1456" s="18" t="s">
        <v>43</v>
      </c>
      <c r="N1456" s="20">
        <v>0.0</v>
      </c>
      <c r="O1456" s="18">
        <v>27.3</v>
      </c>
      <c r="P1456" s="20">
        <v>3.6</v>
      </c>
      <c r="Q1456" s="16">
        <v>46072.0</v>
      </c>
      <c r="R1456" s="16" t="s">
        <v>38</v>
      </c>
      <c r="S1456" s="13" t="s">
        <v>55</v>
      </c>
      <c r="T1456" s="13" t="s">
        <v>104</v>
      </c>
      <c r="U1456" s="13" t="str">
        <f t="shared" si="1"/>
        <v>Moderate</v>
      </c>
      <c r="V1456" s="13" t="str">
        <f t="shared" si="2"/>
        <v>Median or Above</v>
      </c>
      <c r="W1456" s="13" t="str">
        <f t="shared" si="3"/>
        <v>25–48 Months</v>
      </c>
    </row>
    <row r="1457" hidden="1">
      <c r="A1457" s="13" t="s">
        <v>245</v>
      </c>
      <c r="B1457" s="13" t="s">
        <v>184</v>
      </c>
      <c r="C1457" s="14">
        <v>27.0</v>
      </c>
      <c r="D1457" s="13" t="s">
        <v>85</v>
      </c>
      <c r="E1457" s="13" t="s">
        <v>292</v>
      </c>
      <c r="F1457" s="13" t="s">
        <v>62</v>
      </c>
      <c r="G1457" s="13" t="s">
        <v>128</v>
      </c>
      <c r="H1457" s="16">
        <v>45030.0</v>
      </c>
      <c r="I1457" s="14">
        <v>2.0</v>
      </c>
      <c r="J1457" s="13" t="s">
        <v>53</v>
      </c>
      <c r="K1457" s="13" t="s">
        <v>41</v>
      </c>
      <c r="L1457" s="14">
        <v>802.0</v>
      </c>
      <c r="M1457" s="18" t="s">
        <v>43</v>
      </c>
      <c r="N1457" s="20">
        <v>1.0</v>
      </c>
      <c r="O1457" s="18">
        <v>20.1</v>
      </c>
      <c r="P1457" s="20">
        <v>4.7</v>
      </c>
      <c r="Q1457" s="16">
        <v>45108.0</v>
      </c>
      <c r="R1457" s="16" t="s">
        <v>38</v>
      </c>
      <c r="S1457" s="13" t="s">
        <v>55</v>
      </c>
      <c r="T1457" s="13" t="s">
        <v>47</v>
      </c>
      <c r="U1457" s="13" t="str">
        <f t="shared" si="1"/>
        <v>Moderate</v>
      </c>
      <c r="V1457" s="13" t="str">
        <f t="shared" si="2"/>
        <v>Below Median</v>
      </c>
      <c r="W1457" s="13" t="str">
        <f t="shared" si="3"/>
        <v>0–12 Months</v>
      </c>
    </row>
    <row r="1458" hidden="1">
      <c r="A1458" s="13" t="s">
        <v>517</v>
      </c>
      <c r="B1458" s="13" t="s">
        <v>325</v>
      </c>
      <c r="C1458" s="14">
        <v>38.0</v>
      </c>
      <c r="D1458" s="13" t="s">
        <v>35</v>
      </c>
      <c r="E1458" s="13" t="s">
        <v>36</v>
      </c>
      <c r="F1458" s="13" t="s">
        <v>62</v>
      </c>
      <c r="G1458" s="13" t="s">
        <v>39</v>
      </c>
      <c r="H1458" s="16">
        <v>45241.0</v>
      </c>
      <c r="I1458" s="14">
        <v>23.0</v>
      </c>
      <c r="J1458" s="13" t="s">
        <v>40</v>
      </c>
      <c r="K1458" s="13" t="s">
        <v>81</v>
      </c>
      <c r="L1458" s="14">
        <v>547.0</v>
      </c>
      <c r="M1458" s="18" t="s">
        <v>43</v>
      </c>
      <c r="N1458" s="20">
        <v>0.0</v>
      </c>
      <c r="O1458" s="18">
        <v>27.8</v>
      </c>
      <c r="P1458" s="20">
        <v>4.2</v>
      </c>
      <c r="Q1458" s="16">
        <v>45393.0</v>
      </c>
      <c r="R1458" s="16" t="s">
        <v>38</v>
      </c>
      <c r="S1458" s="13" t="s">
        <v>55</v>
      </c>
      <c r="T1458" s="13" t="s">
        <v>104</v>
      </c>
      <c r="U1458" s="13" t="str">
        <f t="shared" si="1"/>
        <v>Moderate</v>
      </c>
      <c r="V1458" s="13" t="str">
        <f t="shared" si="2"/>
        <v>Median or Above</v>
      </c>
      <c r="W1458" s="13" t="str">
        <f t="shared" si="3"/>
        <v>13–24 Months</v>
      </c>
    </row>
    <row r="1459" hidden="1">
      <c r="A1459" s="13" t="s">
        <v>1979</v>
      </c>
      <c r="B1459" s="13" t="s">
        <v>106</v>
      </c>
      <c r="C1459" s="14">
        <v>24.0</v>
      </c>
      <c r="D1459" s="13" t="s">
        <v>85</v>
      </c>
      <c r="E1459" s="13" t="s">
        <v>87</v>
      </c>
      <c r="F1459" s="13" t="s">
        <v>79</v>
      </c>
      <c r="G1459" s="13" t="s">
        <v>120</v>
      </c>
      <c r="H1459" s="16">
        <v>45868.0</v>
      </c>
      <c r="I1459" s="14">
        <v>9.0</v>
      </c>
      <c r="J1459" s="13" t="s">
        <v>64</v>
      </c>
      <c r="K1459" s="13" t="s">
        <v>81</v>
      </c>
      <c r="L1459" s="14">
        <v>2765.0</v>
      </c>
      <c r="M1459" s="18" t="s">
        <v>43</v>
      </c>
      <c r="N1459" s="20">
        <v>1.0</v>
      </c>
      <c r="O1459" s="18">
        <v>41.3</v>
      </c>
      <c r="P1459" s="20">
        <v>4.8</v>
      </c>
      <c r="Q1459" s="16">
        <v>46006.0</v>
      </c>
      <c r="R1459" s="16" t="s">
        <v>38</v>
      </c>
      <c r="S1459" s="13" t="s">
        <v>55</v>
      </c>
      <c r="T1459" s="13" t="s">
        <v>47</v>
      </c>
      <c r="U1459" s="13" t="str">
        <f t="shared" si="1"/>
        <v>Moderate</v>
      </c>
      <c r="V1459" s="13" t="str">
        <f t="shared" si="2"/>
        <v>Median or Above</v>
      </c>
      <c r="W1459" s="13" t="str">
        <f t="shared" si="3"/>
        <v>0–12 Months</v>
      </c>
    </row>
    <row r="1460" hidden="1">
      <c r="A1460" s="13" t="s">
        <v>506</v>
      </c>
      <c r="B1460" s="13" t="s">
        <v>110</v>
      </c>
      <c r="C1460" s="14">
        <v>21.0</v>
      </c>
      <c r="D1460" s="13" t="s">
        <v>60</v>
      </c>
      <c r="E1460" s="13" t="s">
        <v>107</v>
      </c>
      <c r="F1460" s="13" t="s">
        <v>37</v>
      </c>
      <c r="G1460" s="13" t="s">
        <v>80</v>
      </c>
      <c r="H1460" s="16">
        <v>44786.0</v>
      </c>
      <c r="I1460" s="14">
        <v>38.0</v>
      </c>
      <c r="J1460" s="13" t="s">
        <v>53</v>
      </c>
      <c r="K1460" s="13" t="s">
        <v>65</v>
      </c>
      <c r="L1460" s="14">
        <v>1308.0</v>
      </c>
      <c r="M1460" s="18" t="s">
        <v>98</v>
      </c>
      <c r="N1460" s="20">
        <v>1.0</v>
      </c>
      <c r="O1460" s="18">
        <v>29.3</v>
      </c>
      <c r="P1460" s="20">
        <v>5.0</v>
      </c>
      <c r="Q1460" s="16">
        <v>45907.0</v>
      </c>
      <c r="R1460" s="16" t="s">
        <v>38</v>
      </c>
      <c r="S1460" s="13" t="s">
        <v>55</v>
      </c>
      <c r="T1460" s="13" t="s">
        <v>75</v>
      </c>
      <c r="U1460" s="13" t="str">
        <f t="shared" si="1"/>
        <v>High</v>
      </c>
      <c r="V1460" s="13" t="str">
        <f t="shared" si="2"/>
        <v>Median or Above</v>
      </c>
      <c r="W1460" s="13" t="str">
        <f t="shared" si="3"/>
        <v>25–48 Months</v>
      </c>
    </row>
    <row r="1461" hidden="1">
      <c r="A1461" s="13" t="s">
        <v>1052</v>
      </c>
      <c r="B1461" s="13" t="s">
        <v>74</v>
      </c>
      <c r="C1461" s="14">
        <v>29.0</v>
      </c>
      <c r="D1461" s="13" t="s">
        <v>69</v>
      </c>
      <c r="E1461" s="13" t="s">
        <v>187</v>
      </c>
      <c r="F1461" s="13" t="s">
        <v>79</v>
      </c>
      <c r="G1461" s="13" t="s">
        <v>128</v>
      </c>
      <c r="H1461" s="16">
        <v>44910.0</v>
      </c>
      <c r="I1461" s="14">
        <v>38.0</v>
      </c>
      <c r="J1461" s="13" t="s">
        <v>53</v>
      </c>
      <c r="K1461" s="13" t="s">
        <v>65</v>
      </c>
      <c r="L1461" s="14">
        <v>2724.0</v>
      </c>
      <c r="M1461" s="18" t="s">
        <v>43</v>
      </c>
      <c r="N1461" s="20">
        <v>0.0</v>
      </c>
      <c r="O1461" s="18">
        <v>41.8</v>
      </c>
      <c r="P1461" s="20">
        <v>3.5</v>
      </c>
      <c r="Q1461" s="16">
        <v>45115.0</v>
      </c>
      <c r="R1461" s="16" t="s">
        <v>38</v>
      </c>
      <c r="S1461" s="13" t="s">
        <v>55</v>
      </c>
      <c r="T1461" s="13" t="s">
        <v>66</v>
      </c>
      <c r="U1461" s="13" t="str">
        <f t="shared" si="1"/>
        <v>Moderate</v>
      </c>
      <c r="V1461" s="13" t="str">
        <f t="shared" si="2"/>
        <v>Median or Above</v>
      </c>
      <c r="W1461" s="13" t="str">
        <f t="shared" si="3"/>
        <v>25–48 Months</v>
      </c>
    </row>
    <row r="1462" hidden="1">
      <c r="A1462" s="13" t="s">
        <v>1153</v>
      </c>
      <c r="B1462" s="13" t="s">
        <v>459</v>
      </c>
      <c r="C1462" s="14">
        <v>68.0</v>
      </c>
      <c r="D1462" s="13" t="s">
        <v>60</v>
      </c>
      <c r="E1462" s="13" t="s">
        <v>133</v>
      </c>
      <c r="F1462" s="13" t="s">
        <v>62</v>
      </c>
      <c r="G1462" s="13" t="s">
        <v>80</v>
      </c>
      <c r="H1462" s="16">
        <v>45245.0</v>
      </c>
      <c r="I1462" s="14">
        <v>41.0</v>
      </c>
      <c r="J1462" s="13" t="s">
        <v>53</v>
      </c>
      <c r="K1462" s="13" t="s">
        <v>81</v>
      </c>
      <c r="L1462" s="14">
        <v>682.0</v>
      </c>
      <c r="M1462" s="18" t="s">
        <v>46</v>
      </c>
      <c r="N1462" s="20">
        <v>1.0</v>
      </c>
      <c r="O1462" s="18">
        <v>16.6</v>
      </c>
      <c r="P1462" s="20">
        <v>4.3</v>
      </c>
      <c r="Q1462" s="16">
        <v>46341.0</v>
      </c>
      <c r="R1462" s="16" t="s">
        <v>38</v>
      </c>
      <c r="S1462" s="13" t="s">
        <v>55</v>
      </c>
      <c r="T1462" s="13" t="s">
        <v>75</v>
      </c>
      <c r="U1462" s="13" t="str">
        <f t="shared" si="1"/>
        <v>Moderate</v>
      </c>
      <c r="V1462" s="13" t="str">
        <f t="shared" si="2"/>
        <v>Below Median</v>
      </c>
      <c r="W1462" s="13" t="str">
        <f t="shared" si="3"/>
        <v>25–48 Months</v>
      </c>
    </row>
    <row r="1463" hidden="1">
      <c r="A1463" s="13" t="s">
        <v>544</v>
      </c>
      <c r="B1463" s="13" t="s">
        <v>605</v>
      </c>
      <c r="C1463" s="14">
        <v>42.0</v>
      </c>
      <c r="D1463" s="13" t="s">
        <v>85</v>
      </c>
      <c r="E1463" s="13" t="s">
        <v>111</v>
      </c>
      <c r="F1463" s="13" t="s">
        <v>62</v>
      </c>
      <c r="G1463" s="13" t="s">
        <v>39</v>
      </c>
      <c r="H1463" s="16">
        <v>44598.0</v>
      </c>
      <c r="I1463" s="14">
        <v>48.0</v>
      </c>
      <c r="J1463" s="13" t="s">
        <v>53</v>
      </c>
      <c r="K1463" s="13" t="s">
        <v>41</v>
      </c>
      <c r="L1463" s="14">
        <v>702.0</v>
      </c>
      <c r="M1463" s="18" t="s">
        <v>46</v>
      </c>
      <c r="N1463" s="20">
        <v>0.0</v>
      </c>
      <c r="O1463" s="18">
        <v>33.5</v>
      </c>
      <c r="P1463" s="20">
        <v>3.8</v>
      </c>
      <c r="Q1463" s="16">
        <v>45956.0</v>
      </c>
      <c r="R1463" s="16" t="s">
        <v>38</v>
      </c>
      <c r="S1463" s="13" t="s">
        <v>55</v>
      </c>
      <c r="T1463" s="13" t="s">
        <v>72</v>
      </c>
      <c r="U1463" s="13" t="str">
        <f t="shared" si="1"/>
        <v>Moderate</v>
      </c>
      <c r="V1463" s="13" t="str">
        <f t="shared" si="2"/>
        <v>Median or Above</v>
      </c>
      <c r="W1463" s="13" t="str">
        <f t="shared" si="3"/>
        <v>25–48 Months</v>
      </c>
    </row>
    <row r="1464" hidden="1">
      <c r="A1464" s="13" t="s">
        <v>1980</v>
      </c>
      <c r="B1464" s="13" t="s">
        <v>145</v>
      </c>
      <c r="C1464" s="14">
        <v>41.0</v>
      </c>
      <c r="D1464" s="13" t="s">
        <v>60</v>
      </c>
      <c r="E1464" s="13" t="s">
        <v>61</v>
      </c>
      <c r="F1464" s="13" t="s">
        <v>37</v>
      </c>
      <c r="G1464" s="13" t="s">
        <v>120</v>
      </c>
      <c r="H1464" s="16">
        <v>44907.0</v>
      </c>
      <c r="I1464" s="14">
        <v>36.0</v>
      </c>
      <c r="J1464" s="13" t="s">
        <v>64</v>
      </c>
      <c r="K1464" s="13" t="s">
        <v>81</v>
      </c>
      <c r="L1464" s="14">
        <v>1357.0</v>
      </c>
      <c r="M1464" s="18" t="s">
        <v>98</v>
      </c>
      <c r="N1464" s="20">
        <v>0.0</v>
      </c>
      <c r="O1464" s="18">
        <v>24.5</v>
      </c>
      <c r="P1464" s="20">
        <v>4.6</v>
      </c>
      <c r="Q1464" s="16">
        <v>45134.0</v>
      </c>
      <c r="R1464" s="16" t="s">
        <v>38</v>
      </c>
      <c r="S1464" s="13" t="s">
        <v>55</v>
      </c>
      <c r="T1464" s="13" t="s">
        <v>75</v>
      </c>
      <c r="U1464" s="13" t="str">
        <f t="shared" si="1"/>
        <v>Moderate</v>
      </c>
      <c r="V1464" s="13" t="str">
        <f t="shared" si="2"/>
        <v>Median or Above</v>
      </c>
      <c r="W1464" s="13" t="str">
        <f t="shared" si="3"/>
        <v>25–48 Months</v>
      </c>
    </row>
    <row r="1465" hidden="1">
      <c r="A1465" s="13" t="s">
        <v>1981</v>
      </c>
      <c r="B1465" s="13" t="s">
        <v>160</v>
      </c>
      <c r="C1465" s="14">
        <v>36.0</v>
      </c>
      <c r="D1465" s="13" t="s">
        <v>60</v>
      </c>
      <c r="E1465" s="13" t="s">
        <v>133</v>
      </c>
      <c r="F1465" s="13" t="s">
        <v>62</v>
      </c>
      <c r="G1465" s="13" t="s">
        <v>120</v>
      </c>
      <c r="H1465" s="16">
        <v>44948.0</v>
      </c>
      <c r="I1465" s="14">
        <v>38.0</v>
      </c>
      <c r="J1465" s="13" t="s">
        <v>40</v>
      </c>
      <c r="K1465" s="13" t="s">
        <v>65</v>
      </c>
      <c r="L1465" s="14">
        <v>591.0</v>
      </c>
      <c r="M1465" s="18" t="s">
        <v>43</v>
      </c>
      <c r="N1465" s="20">
        <v>2.0</v>
      </c>
      <c r="O1465" s="18">
        <v>14.7</v>
      </c>
      <c r="P1465" s="20">
        <v>3.4</v>
      </c>
      <c r="Q1465" s="16">
        <v>45143.0</v>
      </c>
      <c r="R1465" s="16">
        <v>45353.0</v>
      </c>
      <c r="S1465" s="13" t="s">
        <v>45</v>
      </c>
      <c r="T1465" s="13" t="s">
        <v>66</v>
      </c>
      <c r="U1465" s="13" t="str">
        <f t="shared" si="1"/>
        <v>Moderate</v>
      </c>
      <c r="V1465" s="13" t="str">
        <f t="shared" si="2"/>
        <v>Below Median</v>
      </c>
      <c r="W1465" s="13" t="str">
        <f t="shared" si="3"/>
        <v>25–48 Months</v>
      </c>
    </row>
    <row r="1466" hidden="1">
      <c r="A1466" s="13" t="s">
        <v>347</v>
      </c>
      <c r="B1466" s="13" t="s">
        <v>50</v>
      </c>
      <c r="C1466" s="14">
        <v>44.0</v>
      </c>
      <c r="D1466" s="13" t="s">
        <v>69</v>
      </c>
      <c r="E1466" s="13" t="s">
        <v>70</v>
      </c>
      <c r="F1466" s="13" t="s">
        <v>37</v>
      </c>
      <c r="G1466" s="13" t="s">
        <v>80</v>
      </c>
      <c r="H1466" s="16">
        <v>46000.0</v>
      </c>
      <c r="I1466" s="14">
        <v>42.0</v>
      </c>
      <c r="J1466" s="13" t="s">
        <v>40</v>
      </c>
      <c r="K1466" s="13" t="s">
        <v>65</v>
      </c>
      <c r="L1466" s="14">
        <v>1709.0</v>
      </c>
      <c r="M1466" s="18" t="s">
        <v>43</v>
      </c>
      <c r="N1466" s="20">
        <v>0.0</v>
      </c>
      <c r="O1466" s="18">
        <v>22.1</v>
      </c>
      <c r="P1466" s="20">
        <v>1.5</v>
      </c>
      <c r="Q1466" s="16">
        <v>46091.0</v>
      </c>
      <c r="R1466" s="16" t="s">
        <v>38</v>
      </c>
      <c r="S1466" s="13" t="s">
        <v>55</v>
      </c>
      <c r="T1466" s="13" t="s">
        <v>72</v>
      </c>
      <c r="U1466" s="13" t="str">
        <f t="shared" si="1"/>
        <v>Low</v>
      </c>
      <c r="V1466" s="13" t="str">
        <f t="shared" si="2"/>
        <v>Below Median</v>
      </c>
      <c r="W1466" s="13" t="str">
        <f t="shared" si="3"/>
        <v>25–48 Months</v>
      </c>
    </row>
    <row r="1467" hidden="1">
      <c r="A1467" s="13" t="s">
        <v>1983</v>
      </c>
      <c r="B1467" s="13" t="s">
        <v>651</v>
      </c>
      <c r="C1467" s="14">
        <v>55.0</v>
      </c>
      <c r="D1467" s="13" t="s">
        <v>60</v>
      </c>
      <c r="E1467" s="13" t="s">
        <v>133</v>
      </c>
      <c r="F1467" s="13" t="s">
        <v>62</v>
      </c>
      <c r="G1467" s="13" t="s">
        <v>63</v>
      </c>
      <c r="H1467" s="16">
        <v>45539.0</v>
      </c>
      <c r="I1467" s="14">
        <v>19.0</v>
      </c>
      <c r="J1467" s="13" t="s">
        <v>40</v>
      </c>
      <c r="K1467" s="13" t="s">
        <v>41</v>
      </c>
      <c r="L1467" s="14">
        <v>508.0</v>
      </c>
      <c r="M1467" s="18" t="s">
        <v>43</v>
      </c>
      <c r="N1467" s="20">
        <v>0.0</v>
      </c>
      <c r="O1467" s="18">
        <v>8.9</v>
      </c>
      <c r="P1467" s="20">
        <v>4.2</v>
      </c>
      <c r="Q1467" s="16">
        <v>45625.0</v>
      </c>
      <c r="R1467" s="16" t="s">
        <v>38</v>
      </c>
      <c r="S1467" s="13" t="s">
        <v>55</v>
      </c>
      <c r="T1467" s="13" t="s">
        <v>72</v>
      </c>
      <c r="U1467" s="13" t="str">
        <f t="shared" si="1"/>
        <v>Moderate</v>
      </c>
      <c r="V1467" s="13" t="str">
        <f t="shared" si="2"/>
        <v>Below Median</v>
      </c>
      <c r="W1467" s="13" t="str">
        <f t="shared" si="3"/>
        <v>13–24 Months</v>
      </c>
    </row>
    <row r="1468" hidden="1">
      <c r="A1468" s="13" t="s">
        <v>409</v>
      </c>
      <c r="B1468" s="13" t="s">
        <v>202</v>
      </c>
      <c r="C1468" s="14">
        <v>20.0</v>
      </c>
      <c r="D1468" s="13" t="s">
        <v>69</v>
      </c>
      <c r="E1468" s="13" t="s">
        <v>187</v>
      </c>
      <c r="F1468" s="13" t="s">
        <v>62</v>
      </c>
      <c r="G1468" s="13" t="s">
        <v>210</v>
      </c>
      <c r="H1468" s="16">
        <v>45511.0</v>
      </c>
      <c r="I1468" s="14">
        <v>6.0</v>
      </c>
      <c r="J1468" s="13" t="s">
        <v>64</v>
      </c>
      <c r="K1468" s="13" t="s">
        <v>41</v>
      </c>
      <c r="L1468" s="14">
        <v>802.0</v>
      </c>
      <c r="M1468" s="18" t="s">
        <v>43</v>
      </c>
      <c r="N1468" s="20">
        <v>0.0</v>
      </c>
      <c r="O1468" s="18">
        <v>37.7</v>
      </c>
      <c r="P1468" s="20">
        <v>3.6</v>
      </c>
      <c r="Q1468" s="16">
        <v>45522.0</v>
      </c>
      <c r="R1468" s="16" t="s">
        <v>38</v>
      </c>
      <c r="S1468" s="13" t="s">
        <v>55</v>
      </c>
      <c r="T1468" s="13" t="s">
        <v>75</v>
      </c>
      <c r="U1468" s="13" t="str">
        <f t="shared" si="1"/>
        <v>Moderate</v>
      </c>
      <c r="V1468" s="13" t="str">
        <f t="shared" si="2"/>
        <v>Median or Above</v>
      </c>
      <c r="W1468" s="13" t="str">
        <f t="shared" si="3"/>
        <v>0–12 Months</v>
      </c>
    </row>
    <row r="1469" hidden="1">
      <c r="A1469" s="13" t="s">
        <v>741</v>
      </c>
      <c r="B1469" s="13" t="s">
        <v>222</v>
      </c>
      <c r="C1469" s="14">
        <v>32.0</v>
      </c>
      <c r="D1469" s="13" t="s">
        <v>35</v>
      </c>
      <c r="E1469" s="13" t="s">
        <v>161</v>
      </c>
      <c r="F1469" s="13" t="s">
        <v>62</v>
      </c>
      <c r="G1469" s="13" t="s">
        <v>120</v>
      </c>
      <c r="H1469" s="16">
        <v>44789.0</v>
      </c>
      <c r="I1469" s="14">
        <v>44.0</v>
      </c>
      <c r="J1469" s="13" t="s">
        <v>64</v>
      </c>
      <c r="K1469" s="13" t="s">
        <v>81</v>
      </c>
      <c r="L1469" s="14">
        <v>527.0</v>
      </c>
      <c r="M1469" s="18" t="s">
        <v>99</v>
      </c>
      <c r="N1469" s="20">
        <v>0.0</v>
      </c>
      <c r="O1469" s="18">
        <v>22.4</v>
      </c>
      <c r="P1469" s="20">
        <v>3.3</v>
      </c>
      <c r="Q1469" s="16">
        <v>45691.0</v>
      </c>
      <c r="R1469" s="16">
        <v>45113.0</v>
      </c>
      <c r="S1469" s="13" t="s">
        <v>45</v>
      </c>
      <c r="T1469" s="13" t="s">
        <v>72</v>
      </c>
      <c r="U1469" s="13" t="str">
        <f t="shared" si="1"/>
        <v>Moderate</v>
      </c>
      <c r="V1469" s="13" t="str">
        <f t="shared" si="2"/>
        <v>Below Median</v>
      </c>
      <c r="W1469" s="13" t="str">
        <f t="shared" si="3"/>
        <v>25–48 Months</v>
      </c>
    </row>
    <row r="1470" hidden="1">
      <c r="A1470" s="13" t="s">
        <v>797</v>
      </c>
      <c r="B1470" s="13" t="s">
        <v>215</v>
      </c>
      <c r="C1470" s="14">
        <v>32.0</v>
      </c>
      <c r="D1470" s="13" t="s">
        <v>35</v>
      </c>
      <c r="E1470" s="13" t="s">
        <v>161</v>
      </c>
      <c r="F1470" s="13" t="s">
        <v>62</v>
      </c>
      <c r="G1470" s="13" t="s">
        <v>39</v>
      </c>
      <c r="H1470" s="16">
        <v>44971.0</v>
      </c>
      <c r="I1470" s="14">
        <v>18.0</v>
      </c>
      <c r="J1470" s="13" t="s">
        <v>40</v>
      </c>
      <c r="K1470" s="13" t="s">
        <v>65</v>
      </c>
      <c r="L1470" s="14">
        <v>726.0</v>
      </c>
      <c r="M1470" s="18" t="s">
        <v>43</v>
      </c>
      <c r="N1470" s="20">
        <v>0.0</v>
      </c>
      <c r="O1470" s="18">
        <v>15.1</v>
      </c>
      <c r="P1470" s="20">
        <v>5.0</v>
      </c>
      <c r="Q1470" s="16">
        <v>45131.0</v>
      </c>
      <c r="R1470" s="16" t="s">
        <v>38</v>
      </c>
      <c r="S1470" s="13" t="s">
        <v>55</v>
      </c>
      <c r="T1470" s="13" t="s">
        <v>104</v>
      </c>
      <c r="U1470" s="13" t="str">
        <f t="shared" si="1"/>
        <v>High</v>
      </c>
      <c r="V1470" s="13" t="str">
        <f t="shared" si="2"/>
        <v>Below Median</v>
      </c>
      <c r="W1470" s="13" t="str">
        <f t="shared" si="3"/>
        <v>13–24 Months</v>
      </c>
    </row>
    <row r="1471" hidden="1">
      <c r="A1471" s="13" t="s">
        <v>706</v>
      </c>
      <c r="B1471" s="13" t="s">
        <v>398</v>
      </c>
      <c r="C1471" s="14">
        <v>66.0</v>
      </c>
      <c r="D1471" s="13" t="s">
        <v>60</v>
      </c>
      <c r="E1471" s="13" t="s">
        <v>107</v>
      </c>
      <c r="F1471" s="13" t="s">
        <v>37</v>
      </c>
      <c r="G1471" s="13" t="s">
        <v>120</v>
      </c>
      <c r="H1471" s="16">
        <v>45175.0</v>
      </c>
      <c r="I1471" s="14">
        <v>9.0</v>
      </c>
      <c r="J1471" s="13" t="s">
        <v>40</v>
      </c>
      <c r="K1471" s="13" t="s">
        <v>65</v>
      </c>
      <c r="L1471" s="14">
        <v>1100.0</v>
      </c>
      <c r="M1471" s="18" t="s">
        <v>43</v>
      </c>
      <c r="N1471" s="20">
        <v>0.0</v>
      </c>
      <c r="O1471" s="18">
        <v>28.4</v>
      </c>
      <c r="P1471" s="20">
        <v>3.5</v>
      </c>
      <c r="Q1471" s="16">
        <v>45363.0</v>
      </c>
      <c r="R1471" s="16" t="s">
        <v>71</v>
      </c>
      <c r="S1471" s="13" t="s">
        <v>45</v>
      </c>
      <c r="T1471" s="13" t="s">
        <v>47</v>
      </c>
      <c r="U1471" s="13" t="str">
        <f t="shared" si="1"/>
        <v>Moderate</v>
      </c>
      <c r="V1471" s="13" t="str">
        <f t="shared" si="2"/>
        <v>Median or Above</v>
      </c>
      <c r="W1471" s="13" t="str">
        <f t="shared" si="3"/>
        <v>0–12 Months</v>
      </c>
    </row>
    <row r="1472" hidden="1">
      <c r="A1472" s="13" t="s">
        <v>1985</v>
      </c>
      <c r="B1472" s="13" t="s">
        <v>232</v>
      </c>
      <c r="C1472" s="14">
        <v>30.0</v>
      </c>
      <c r="D1472" s="13" t="s">
        <v>85</v>
      </c>
      <c r="E1472" s="13" t="s">
        <v>87</v>
      </c>
      <c r="F1472" s="13" t="s">
        <v>37</v>
      </c>
      <c r="G1472" s="13" t="s">
        <v>120</v>
      </c>
      <c r="H1472" s="16">
        <v>45422.0</v>
      </c>
      <c r="I1472" s="14">
        <v>3.0</v>
      </c>
      <c r="J1472" s="13" t="s">
        <v>64</v>
      </c>
      <c r="K1472" s="13" t="s">
        <v>41</v>
      </c>
      <c r="L1472" s="14">
        <v>1212.0</v>
      </c>
      <c r="M1472" s="18" t="s">
        <v>164</v>
      </c>
      <c r="N1472" s="20">
        <v>1.0</v>
      </c>
      <c r="O1472" s="18">
        <v>24.8</v>
      </c>
      <c r="P1472" s="20">
        <v>3.8</v>
      </c>
      <c r="Q1472" s="16">
        <v>45464.0</v>
      </c>
      <c r="R1472" s="16" t="s">
        <v>38</v>
      </c>
      <c r="S1472" s="13" t="s">
        <v>55</v>
      </c>
      <c r="T1472" s="13" t="s">
        <v>72</v>
      </c>
      <c r="U1472" s="13" t="str">
        <f t="shared" si="1"/>
        <v>Moderate</v>
      </c>
      <c r="V1472" s="13" t="str">
        <f t="shared" si="2"/>
        <v>Median or Above</v>
      </c>
      <c r="W1472" s="13" t="str">
        <f t="shared" si="3"/>
        <v>0–12 Months</v>
      </c>
    </row>
    <row r="1473" hidden="1">
      <c r="A1473" s="13" t="s">
        <v>1986</v>
      </c>
      <c r="B1473" s="13" t="s">
        <v>163</v>
      </c>
      <c r="C1473" s="14">
        <v>30.0</v>
      </c>
      <c r="D1473" s="13" t="s">
        <v>35</v>
      </c>
      <c r="E1473" s="13" t="s">
        <v>140</v>
      </c>
      <c r="F1473" s="13" t="s">
        <v>62</v>
      </c>
      <c r="G1473" s="13" t="s">
        <v>210</v>
      </c>
      <c r="H1473" s="16">
        <v>44766.0</v>
      </c>
      <c r="I1473" s="14">
        <v>33.0</v>
      </c>
      <c r="J1473" s="13" t="s">
        <v>53</v>
      </c>
      <c r="K1473" s="13" t="s">
        <v>81</v>
      </c>
      <c r="L1473" s="14">
        <v>509.0</v>
      </c>
      <c r="M1473" s="18" t="s">
        <v>164</v>
      </c>
      <c r="N1473" s="20">
        <v>1.0</v>
      </c>
      <c r="O1473" s="18">
        <v>15.7</v>
      </c>
      <c r="P1473" s="20">
        <v>4.6</v>
      </c>
      <c r="Q1473" s="16">
        <v>45642.0</v>
      </c>
      <c r="R1473" s="16" t="s">
        <v>38</v>
      </c>
      <c r="S1473" s="13" t="s">
        <v>55</v>
      </c>
      <c r="T1473" s="13" t="s">
        <v>47</v>
      </c>
      <c r="U1473" s="13" t="str">
        <f t="shared" si="1"/>
        <v>Moderate</v>
      </c>
      <c r="V1473" s="13" t="str">
        <f t="shared" si="2"/>
        <v>Below Median</v>
      </c>
      <c r="W1473" s="13" t="str">
        <f t="shared" si="3"/>
        <v>25–48 Months</v>
      </c>
    </row>
    <row r="1474" hidden="1">
      <c r="A1474" s="13" t="s">
        <v>1987</v>
      </c>
      <c r="B1474" s="13" t="s">
        <v>184</v>
      </c>
      <c r="C1474" s="14">
        <v>46.0</v>
      </c>
      <c r="D1474" s="13" t="s">
        <v>69</v>
      </c>
      <c r="E1474" s="13" t="s">
        <v>177</v>
      </c>
      <c r="F1474" s="13" t="s">
        <v>37</v>
      </c>
      <c r="G1474" s="13" t="s">
        <v>120</v>
      </c>
      <c r="H1474" s="16">
        <v>45192.0</v>
      </c>
      <c r="I1474" s="14">
        <v>18.0</v>
      </c>
      <c r="J1474" s="13" t="s">
        <v>53</v>
      </c>
      <c r="K1474" s="13" t="s">
        <v>41</v>
      </c>
      <c r="L1474" s="14">
        <v>1786.0</v>
      </c>
      <c r="M1474" s="18" t="s">
        <v>98</v>
      </c>
      <c r="N1474" s="20">
        <v>2.0</v>
      </c>
      <c r="O1474" s="18">
        <v>34.4</v>
      </c>
      <c r="P1474" s="20">
        <v>3.4</v>
      </c>
      <c r="Q1474" s="16">
        <v>45374.0</v>
      </c>
      <c r="R1474" s="16">
        <v>45357.0</v>
      </c>
      <c r="S1474" s="13" t="s">
        <v>45</v>
      </c>
      <c r="T1474" s="13" t="s">
        <v>66</v>
      </c>
      <c r="U1474" s="13" t="str">
        <f t="shared" si="1"/>
        <v>Moderate</v>
      </c>
      <c r="V1474" s="13" t="str">
        <f t="shared" si="2"/>
        <v>Median or Above</v>
      </c>
      <c r="W1474" s="13" t="str">
        <f t="shared" si="3"/>
        <v>13–24 Months</v>
      </c>
    </row>
    <row r="1475" hidden="1">
      <c r="A1475" s="13" t="s">
        <v>1989</v>
      </c>
      <c r="B1475" s="13" t="s">
        <v>50</v>
      </c>
      <c r="C1475" s="14" t="s">
        <v>38</v>
      </c>
      <c r="D1475" s="13" t="s">
        <v>60</v>
      </c>
      <c r="E1475" s="13" t="s">
        <v>133</v>
      </c>
      <c r="F1475" s="13" t="s">
        <v>37</v>
      </c>
      <c r="G1475" s="13" t="s">
        <v>63</v>
      </c>
      <c r="H1475" s="16">
        <v>44900.0</v>
      </c>
      <c r="I1475" s="14">
        <v>23.0</v>
      </c>
      <c r="J1475" s="13" t="s">
        <v>64</v>
      </c>
      <c r="K1475" s="13" t="s">
        <v>41</v>
      </c>
      <c r="L1475" s="14">
        <v>1547.0</v>
      </c>
      <c r="M1475" s="18" t="s">
        <v>43</v>
      </c>
      <c r="N1475" s="20">
        <v>2.0</v>
      </c>
      <c r="O1475" s="18">
        <v>32.5</v>
      </c>
      <c r="P1475" s="20">
        <v>6.0</v>
      </c>
      <c r="Q1475" s="16">
        <v>45140.0</v>
      </c>
      <c r="R1475" s="16" t="s">
        <v>1063</v>
      </c>
      <c r="S1475" s="13" t="s">
        <v>45</v>
      </c>
      <c r="T1475" s="13" t="s">
        <v>72</v>
      </c>
      <c r="U1475" s="13" t="str">
        <f t="shared" si="1"/>
        <v>High</v>
      </c>
      <c r="V1475" s="13" t="str">
        <f t="shared" si="2"/>
        <v>Median or Above</v>
      </c>
      <c r="W1475" s="13" t="str">
        <f t="shared" si="3"/>
        <v>13–24 Months</v>
      </c>
    </row>
    <row r="1476" hidden="1">
      <c r="A1476" s="13" t="s">
        <v>1519</v>
      </c>
      <c r="B1476" s="13" t="s">
        <v>636</v>
      </c>
      <c r="C1476" s="14">
        <v>59.0</v>
      </c>
      <c r="D1476" s="13" t="s">
        <v>85</v>
      </c>
      <c r="E1476" s="13" t="s">
        <v>111</v>
      </c>
      <c r="F1476" s="13" t="s">
        <v>62</v>
      </c>
      <c r="G1476" s="13" t="s">
        <v>120</v>
      </c>
      <c r="H1476" s="16">
        <v>46008.0</v>
      </c>
      <c r="I1476" s="14">
        <v>18.0</v>
      </c>
      <c r="J1476" s="13" t="s">
        <v>53</v>
      </c>
      <c r="K1476" s="13" t="s">
        <v>65</v>
      </c>
      <c r="L1476" s="14">
        <v>505.0</v>
      </c>
      <c r="M1476" s="18" t="s">
        <v>164</v>
      </c>
      <c r="N1476" s="20">
        <v>0.0</v>
      </c>
      <c r="O1476" s="18">
        <v>36.4</v>
      </c>
      <c r="P1476" s="20">
        <v>2.4</v>
      </c>
      <c r="Q1476" s="16">
        <v>46365.0</v>
      </c>
      <c r="R1476" s="16" t="s">
        <v>38</v>
      </c>
      <c r="S1476" s="13" t="s">
        <v>55</v>
      </c>
      <c r="T1476" s="13" t="s">
        <v>72</v>
      </c>
      <c r="U1476" s="13" t="str">
        <f t="shared" si="1"/>
        <v>Low</v>
      </c>
      <c r="V1476" s="13" t="str">
        <f t="shared" si="2"/>
        <v>Median or Above</v>
      </c>
      <c r="W1476" s="13" t="str">
        <f t="shared" si="3"/>
        <v>13–24 Months</v>
      </c>
    </row>
    <row r="1477" hidden="1">
      <c r="A1477" s="13" t="s">
        <v>785</v>
      </c>
      <c r="B1477" s="13" t="s">
        <v>235</v>
      </c>
      <c r="C1477" s="14">
        <v>35.0</v>
      </c>
      <c r="D1477" s="13" t="s">
        <v>35</v>
      </c>
      <c r="E1477" s="13" t="s">
        <v>140</v>
      </c>
      <c r="F1477" s="13" t="s">
        <v>37</v>
      </c>
      <c r="G1477" s="13" t="s">
        <v>39</v>
      </c>
      <c r="H1477" s="16">
        <v>45219.0</v>
      </c>
      <c r="I1477" s="14">
        <v>38.0</v>
      </c>
      <c r="J1477" s="13" t="s">
        <v>64</v>
      </c>
      <c r="K1477" s="13" t="s">
        <v>65</v>
      </c>
      <c r="L1477" s="14">
        <v>1594.0</v>
      </c>
      <c r="M1477" s="18" t="s">
        <v>99</v>
      </c>
      <c r="N1477" s="20">
        <v>2.0</v>
      </c>
      <c r="O1477" s="18">
        <v>37.2</v>
      </c>
      <c r="P1477" s="20">
        <v>4.8</v>
      </c>
      <c r="Q1477" s="16">
        <v>45680.0</v>
      </c>
      <c r="R1477" s="16" t="s">
        <v>38</v>
      </c>
      <c r="S1477" s="13" t="s">
        <v>55</v>
      </c>
      <c r="T1477" s="13" t="s">
        <v>104</v>
      </c>
      <c r="U1477" s="13" t="str">
        <f t="shared" si="1"/>
        <v>Moderate</v>
      </c>
      <c r="V1477" s="13" t="str">
        <f t="shared" si="2"/>
        <v>Median or Above</v>
      </c>
      <c r="W1477" s="13" t="str">
        <f t="shared" si="3"/>
        <v>25–48 Months</v>
      </c>
    </row>
    <row r="1478" hidden="1">
      <c r="A1478" s="13" t="s">
        <v>1990</v>
      </c>
      <c r="B1478" s="13" t="s">
        <v>364</v>
      </c>
      <c r="C1478" s="14">
        <v>44.0</v>
      </c>
      <c r="D1478" s="13" t="s">
        <v>85</v>
      </c>
      <c r="E1478" s="13" t="s">
        <v>87</v>
      </c>
      <c r="F1478" s="13" t="s">
        <v>37</v>
      </c>
      <c r="G1478" s="13" t="s">
        <v>210</v>
      </c>
      <c r="H1478" s="16">
        <v>45016.0</v>
      </c>
      <c r="I1478" s="14">
        <v>30.0</v>
      </c>
      <c r="J1478" s="13" t="s">
        <v>64</v>
      </c>
      <c r="K1478" s="13" t="s">
        <v>65</v>
      </c>
      <c r="L1478" s="14">
        <v>1267.0</v>
      </c>
      <c r="M1478" s="18" t="s">
        <v>98</v>
      </c>
      <c r="N1478" s="20">
        <v>0.0</v>
      </c>
      <c r="O1478" s="18">
        <v>38.2</v>
      </c>
      <c r="P1478" s="20">
        <v>5.0</v>
      </c>
      <c r="Q1478" s="16">
        <v>45243.0</v>
      </c>
      <c r="R1478" s="16" t="s">
        <v>38</v>
      </c>
      <c r="S1478" s="13" t="s">
        <v>55</v>
      </c>
      <c r="T1478" s="13" t="s">
        <v>104</v>
      </c>
      <c r="U1478" s="13" t="str">
        <f t="shared" si="1"/>
        <v>High</v>
      </c>
      <c r="V1478" s="13" t="str">
        <f t="shared" si="2"/>
        <v>Median or Above</v>
      </c>
      <c r="W1478" s="13" t="str">
        <f t="shared" si="3"/>
        <v>25–48 Months</v>
      </c>
    </row>
    <row r="1479" hidden="1">
      <c r="A1479" s="13" t="s">
        <v>1991</v>
      </c>
      <c r="B1479" s="13" t="s">
        <v>247</v>
      </c>
      <c r="C1479" s="14">
        <v>42.0</v>
      </c>
      <c r="D1479" s="13" t="s">
        <v>85</v>
      </c>
      <c r="E1479" s="13" t="s">
        <v>92</v>
      </c>
      <c r="F1479" s="13" t="s">
        <v>79</v>
      </c>
      <c r="G1479" s="13" t="s">
        <v>210</v>
      </c>
      <c r="H1479" s="16">
        <v>45410.0</v>
      </c>
      <c r="I1479" s="14">
        <v>30.0</v>
      </c>
      <c r="J1479" s="13" t="s">
        <v>64</v>
      </c>
      <c r="K1479" s="13" t="s">
        <v>65</v>
      </c>
      <c r="L1479" s="14">
        <v>2477.0</v>
      </c>
      <c r="M1479" s="18" t="s">
        <v>43</v>
      </c>
      <c r="N1479" s="20">
        <v>2.0</v>
      </c>
      <c r="O1479" s="18">
        <v>45.0</v>
      </c>
      <c r="P1479" s="20">
        <v>4.0</v>
      </c>
      <c r="Q1479" s="16">
        <v>45833.0</v>
      </c>
      <c r="R1479" s="16" t="s">
        <v>38</v>
      </c>
      <c r="S1479" s="13" t="s">
        <v>55</v>
      </c>
      <c r="T1479" s="13" t="s">
        <v>104</v>
      </c>
      <c r="U1479" s="13" t="str">
        <f t="shared" si="1"/>
        <v>Moderate</v>
      </c>
      <c r="V1479" s="13" t="str">
        <f t="shared" si="2"/>
        <v>Median or Above</v>
      </c>
      <c r="W1479" s="13" t="str">
        <f t="shared" si="3"/>
        <v>25–48 Months</v>
      </c>
    </row>
    <row r="1480" hidden="1">
      <c r="A1480" s="13" t="s">
        <v>1992</v>
      </c>
      <c r="B1480" s="13" t="s">
        <v>176</v>
      </c>
      <c r="C1480" s="14">
        <v>40.0</v>
      </c>
      <c r="D1480" s="13" t="s">
        <v>60</v>
      </c>
      <c r="E1480" s="13" t="s">
        <v>61</v>
      </c>
      <c r="F1480" s="13" t="s">
        <v>79</v>
      </c>
      <c r="G1480" s="13" t="s">
        <v>39</v>
      </c>
      <c r="H1480" s="16">
        <v>45489.0</v>
      </c>
      <c r="I1480" s="14">
        <v>31.0</v>
      </c>
      <c r="J1480" s="13" t="s">
        <v>40</v>
      </c>
      <c r="K1480" s="13" t="s">
        <v>81</v>
      </c>
      <c r="L1480" s="14">
        <v>3725.0</v>
      </c>
      <c r="M1480" s="18" t="s">
        <v>164</v>
      </c>
      <c r="N1480" s="20">
        <v>2.0</v>
      </c>
      <c r="O1480" s="18">
        <v>42.1</v>
      </c>
      <c r="P1480" s="20">
        <v>3.9</v>
      </c>
      <c r="Q1480" s="16">
        <v>45611.0</v>
      </c>
      <c r="R1480" s="16" t="s">
        <v>1993</v>
      </c>
      <c r="S1480" s="13" t="s">
        <v>45</v>
      </c>
      <c r="T1480" s="13" t="s">
        <v>75</v>
      </c>
      <c r="U1480" s="13" t="str">
        <f t="shared" si="1"/>
        <v>Moderate</v>
      </c>
      <c r="V1480" s="13" t="str">
        <f t="shared" si="2"/>
        <v>Median or Above</v>
      </c>
      <c r="W1480" s="13" t="str">
        <f t="shared" si="3"/>
        <v>25–48 Months</v>
      </c>
    </row>
    <row r="1481" hidden="1">
      <c r="A1481" s="13" t="s">
        <v>1994</v>
      </c>
      <c r="B1481" s="13" t="s">
        <v>316</v>
      </c>
      <c r="C1481" s="14">
        <v>36.0</v>
      </c>
      <c r="D1481" s="13" t="s">
        <v>85</v>
      </c>
      <c r="E1481" s="13" t="s">
        <v>292</v>
      </c>
      <c r="F1481" s="13" t="s">
        <v>62</v>
      </c>
      <c r="G1481" s="13" t="s">
        <v>39</v>
      </c>
      <c r="H1481" s="16">
        <v>45306.0</v>
      </c>
      <c r="I1481" s="14">
        <v>27.0</v>
      </c>
      <c r="J1481" s="13" t="s">
        <v>53</v>
      </c>
      <c r="K1481" s="13" t="s">
        <v>81</v>
      </c>
      <c r="L1481" s="14">
        <v>718.0</v>
      </c>
      <c r="M1481" s="18" t="s">
        <v>43</v>
      </c>
      <c r="N1481" s="20">
        <v>0.0</v>
      </c>
      <c r="O1481" s="18">
        <v>8.9</v>
      </c>
      <c r="P1481" s="20">
        <v>3.9</v>
      </c>
      <c r="Q1481" s="16">
        <v>45353.0</v>
      </c>
      <c r="R1481" s="16">
        <v>45392.0</v>
      </c>
      <c r="S1481" s="13" t="s">
        <v>45</v>
      </c>
      <c r="T1481" s="13" t="s">
        <v>66</v>
      </c>
      <c r="U1481" s="13" t="str">
        <f t="shared" si="1"/>
        <v>Moderate</v>
      </c>
      <c r="V1481" s="13" t="str">
        <f t="shared" si="2"/>
        <v>Below Median</v>
      </c>
      <c r="W1481" s="13" t="str">
        <f t="shared" si="3"/>
        <v>25–48 Months</v>
      </c>
    </row>
    <row r="1482" hidden="1">
      <c r="A1482" s="13" t="s">
        <v>1072</v>
      </c>
      <c r="B1482" s="13" t="s">
        <v>145</v>
      </c>
      <c r="C1482" s="14">
        <v>30.0</v>
      </c>
      <c r="D1482" s="13" t="s">
        <v>69</v>
      </c>
      <c r="E1482" s="13" t="s">
        <v>70</v>
      </c>
      <c r="F1482" s="13" t="s">
        <v>62</v>
      </c>
      <c r="G1482" s="13" t="s">
        <v>52</v>
      </c>
      <c r="H1482" s="16">
        <v>45463.0</v>
      </c>
      <c r="I1482" s="14">
        <v>43.0</v>
      </c>
      <c r="J1482" s="13" t="s">
        <v>64</v>
      </c>
      <c r="K1482" s="13" t="s">
        <v>41</v>
      </c>
      <c r="L1482" s="14">
        <v>706.0</v>
      </c>
      <c r="M1482" s="18" t="s">
        <v>99</v>
      </c>
      <c r="N1482" s="20">
        <v>3.0</v>
      </c>
      <c r="O1482" s="18">
        <v>24.8</v>
      </c>
      <c r="P1482" s="20">
        <v>4.3</v>
      </c>
      <c r="Q1482" s="16">
        <v>45719.0</v>
      </c>
      <c r="R1482" s="16" t="s">
        <v>38</v>
      </c>
      <c r="S1482" s="13" t="s">
        <v>55</v>
      </c>
      <c r="T1482" s="13" t="s">
        <v>75</v>
      </c>
      <c r="U1482" s="13" t="str">
        <f t="shared" si="1"/>
        <v>Moderate</v>
      </c>
      <c r="V1482" s="13" t="str">
        <f t="shared" si="2"/>
        <v>Median or Above</v>
      </c>
      <c r="W1482" s="13" t="str">
        <f t="shared" si="3"/>
        <v>25–48 Months</v>
      </c>
    </row>
    <row r="1483" hidden="1">
      <c r="A1483" s="13" t="s">
        <v>1303</v>
      </c>
      <c r="B1483" s="13" t="s">
        <v>636</v>
      </c>
      <c r="C1483" s="14">
        <v>62.0</v>
      </c>
      <c r="D1483" s="13" t="s">
        <v>85</v>
      </c>
      <c r="E1483" s="13" t="s">
        <v>92</v>
      </c>
      <c r="F1483" s="13" t="s">
        <v>37</v>
      </c>
      <c r="G1483" s="13" t="s">
        <v>80</v>
      </c>
      <c r="H1483" s="16">
        <v>44595.0</v>
      </c>
      <c r="I1483" s="14">
        <v>33.0</v>
      </c>
      <c r="J1483" s="13" t="s">
        <v>64</v>
      </c>
      <c r="K1483" s="13" t="s">
        <v>41</v>
      </c>
      <c r="L1483" s="14">
        <v>1518.0</v>
      </c>
      <c r="M1483" s="18" t="s">
        <v>46</v>
      </c>
      <c r="N1483" s="20">
        <v>1.0</v>
      </c>
      <c r="O1483" s="18">
        <v>39.3</v>
      </c>
      <c r="P1483" s="20">
        <v>2.9</v>
      </c>
      <c r="Q1483" s="16">
        <v>44941.0</v>
      </c>
      <c r="R1483" s="16" t="s">
        <v>38</v>
      </c>
      <c r="S1483" s="13" t="s">
        <v>55</v>
      </c>
      <c r="T1483" s="13" t="s">
        <v>75</v>
      </c>
      <c r="U1483" s="13" t="str">
        <f t="shared" si="1"/>
        <v>Low</v>
      </c>
      <c r="V1483" s="13" t="str">
        <f t="shared" si="2"/>
        <v>Median or Above</v>
      </c>
      <c r="W1483" s="13" t="str">
        <f t="shared" si="3"/>
        <v>25–48 Months</v>
      </c>
    </row>
    <row r="1484" hidden="1">
      <c r="A1484" s="13" t="s">
        <v>1996</v>
      </c>
      <c r="B1484" s="13" t="s">
        <v>308</v>
      </c>
      <c r="C1484" s="14">
        <v>66.0</v>
      </c>
      <c r="D1484" s="13" t="s">
        <v>69</v>
      </c>
      <c r="E1484" s="13" t="s">
        <v>119</v>
      </c>
      <c r="F1484" s="13" t="s">
        <v>62</v>
      </c>
      <c r="G1484" s="13" t="s">
        <v>63</v>
      </c>
      <c r="H1484" s="16">
        <v>44908.0</v>
      </c>
      <c r="I1484" s="14">
        <v>45.0</v>
      </c>
      <c r="J1484" s="13" t="s">
        <v>53</v>
      </c>
      <c r="K1484" s="13" t="s">
        <v>81</v>
      </c>
      <c r="L1484" s="14">
        <v>815.0</v>
      </c>
      <c r="M1484" s="18" t="s">
        <v>173</v>
      </c>
      <c r="N1484" s="20">
        <v>2.0</v>
      </c>
      <c r="O1484" s="18">
        <v>21.0</v>
      </c>
      <c r="P1484" s="20">
        <v>2.9</v>
      </c>
      <c r="Q1484" s="16">
        <v>45904.0</v>
      </c>
      <c r="R1484" s="16" t="s">
        <v>38</v>
      </c>
      <c r="S1484" s="13" t="s">
        <v>55</v>
      </c>
      <c r="T1484" s="13" t="s">
        <v>72</v>
      </c>
      <c r="U1484" s="13" t="str">
        <f t="shared" si="1"/>
        <v>Low</v>
      </c>
      <c r="V1484" s="13" t="str">
        <f t="shared" si="2"/>
        <v>Below Median</v>
      </c>
      <c r="W1484" s="13" t="str">
        <f t="shared" si="3"/>
        <v>25–48 Months</v>
      </c>
    </row>
    <row r="1485" hidden="1">
      <c r="A1485" s="13" t="s">
        <v>828</v>
      </c>
      <c r="B1485" s="13" t="s">
        <v>59</v>
      </c>
      <c r="C1485" s="14" t="s">
        <v>38</v>
      </c>
      <c r="D1485" s="13" t="s">
        <v>60</v>
      </c>
      <c r="E1485" s="13" t="s">
        <v>97</v>
      </c>
      <c r="F1485" s="13" t="s">
        <v>62</v>
      </c>
      <c r="G1485" s="13" t="s">
        <v>63</v>
      </c>
      <c r="H1485" s="16">
        <v>45984.0</v>
      </c>
      <c r="I1485" s="14">
        <v>30.0</v>
      </c>
      <c r="J1485" s="13" t="s">
        <v>64</v>
      </c>
      <c r="K1485" s="13" t="s">
        <v>65</v>
      </c>
      <c r="L1485" s="14">
        <v>830.0</v>
      </c>
      <c r="M1485" s="18" t="s">
        <v>46</v>
      </c>
      <c r="N1485" s="20">
        <v>0.0</v>
      </c>
      <c r="O1485" s="18">
        <v>20.2</v>
      </c>
      <c r="P1485" s="20">
        <v>4.0</v>
      </c>
      <c r="Q1485" s="16">
        <v>46777.0</v>
      </c>
      <c r="R1485" s="16" t="s">
        <v>38</v>
      </c>
      <c r="S1485" s="13" t="s">
        <v>55</v>
      </c>
      <c r="T1485" s="13" t="s">
        <v>104</v>
      </c>
      <c r="U1485" s="13" t="str">
        <f t="shared" si="1"/>
        <v>Moderate</v>
      </c>
      <c r="V1485" s="13" t="str">
        <f t="shared" si="2"/>
        <v>Below Median</v>
      </c>
      <c r="W1485" s="13" t="str">
        <f t="shared" si="3"/>
        <v>25–48 Months</v>
      </c>
    </row>
    <row r="1486" hidden="1">
      <c r="A1486" s="13" t="s">
        <v>1559</v>
      </c>
      <c r="B1486" s="13" t="s">
        <v>459</v>
      </c>
      <c r="C1486" s="14">
        <v>68.0</v>
      </c>
      <c r="D1486" s="13" t="s">
        <v>85</v>
      </c>
      <c r="E1486" s="13" t="s">
        <v>111</v>
      </c>
      <c r="F1486" s="13" t="s">
        <v>62</v>
      </c>
      <c r="G1486" s="13" t="s">
        <v>63</v>
      </c>
      <c r="H1486" s="16">
        <v>44704.0</v>
      </c>
      <c r="I1486" s="14">
        <v>26.0</v>
      </c>
      <c r="J1486" s="13" t="s">
        <v>64</v>
      </c>
      <c r="K1486" s="13" t="s">
        <v>81</v>
      </c>
      <c r="L1486" s="14">
        <v>794.0</v>
      </c>
      <c r="M1486" s="18" t="s">
        <v>43</v>
      </c>
      <c r="N1486" s="20">
        <v>1.0</v>
      </c>
      <c r="O1486" s="18">
        <v>16.9</v>
      </c>
      <c r="P1486" s="20">
        <v>3.4</v>
      </c>
      <c r="Q1486" s="16">
        <v>44729.0</v>
      </c>
      <c r="R1486" s="16" t="s">
        <v>1828</v>
      </c>
      <c r="S1486" s="13" t="s">
        <v>45</v>
      </c>
      <c r="T1486" s="13" t="s">
        <v>104</v>
      </c>
      <c r="U1486" s="13" t="str">
        <f t="shared" si="1"/>
        <v>Moderate</v>
      </c>
      <c r="V1486" s="13" t="str">
        <f t="shared" si="2"/>
        <v>Below Median</v>
      </c>
      <c r="W1486" s="13" t="str">
        <f t="shared" si="3"/>
        <v>25–48 Months</v>
      </c>
    </row>
    <row r="1487" hidden="1">
      <c r="A1487" s="13" t="s">
        <v>735</v>
      </c>
      <c r="B1487" s="13" t="s">
        <v>235</v>
      </c>
      <c r="C1487" s="14">
        <v>48.0</v>
      </c>
      <c r="D1487" s="13" t="s">
        <v>69</v>
      </c>
      <c r="E1487" s="13" t="s">
        <v>119</v>
      </c>
      <c r="F1487" s="13" t="s">
        <v>62</v>
      </c>
      <c r="G1487" s="13" t="s">
        <v>39</v>
      </c>
      <c r="H1487" s="16">
        <v>45419.0</v>
      </c>
      <c r="I1487" s="14">
        <v>45.0</v>
      </c>
      <c r="J1487" s="13" t="s">
        <v>64</v>
      </c>
      <c r="K1487" s="13" t="s">
        <v>41</v>
      </c>
      <c r="L1487" s="14">
        <v>892.0</v>
      </c>
      <c r="M1487" s="18" t="s">
        <v>43</v>
      </c>
      <c r="N1487" s="20">
        <v>0.0</v>
      </c>
      <c r="O1487" s="18">
        <v>17.5</v>
      </c>
      <c r="P1487" s="20">
        <v>3.6</v>
      </c>
      <c r="Q1487" s="16">
        <v>45906.0</v>
      </c>
      <c r="R1487" s="16" t="s">
        <v>38</v>
      </c>
      <c r="S1487" s="13" t="s">
        <v>45</v>
      </c>
      <c r="T1487" s="13" t="s">
        <v>66</v>
      </c>
      <c r="U1487" s="13" t="str">
        <f t="shared" si="1"/>
        <v>Moderate</v>
      </c>
      <c r="V1487" s="13" t="str">
        <f t="shared" si="2"/>
        <v>Below Median</v>
      </c>
      <c r="W1487" s="13" t="str">
        <f t="shared" si="3"/>
        <v>25–48 Months</v>
      </c>
    </row>
    <row r="1488" hidden="1">
      <c r="A1488" s="13" t="s">
        <v>1997</v>
      </c>
      <c r="B1488" s="13" t="s">
        <v>215</v>
      </c>
      <c r="C1488" s="14">
        <v>62.0</v>
      </c>
      <c r="D1488" s="13" t="s">
        <v>60</v>
      </c>
      <c r="E1488" s="13" t="s">
        <v>107</v>
      </c>
      <c r="F1488" s="13" t="s">
        <v>62</v>
      </c>
      <c r="G1488" s="13" t="s">
        <v>80</v>
      </c>
      <c r="H1488" s="16">
        <v>45159.0</v>
      </c>
      <c r="I1488" s="14">
        <v>11.0</v>
      </c>
      <c r="J1488" s="13" t="s">
        <v>40</v>
      </c>
      <c r="K1488" s="13" t="s">
        <v>65</v>
      </c>
      <c r="L1488" s="14">
        <v>866.0</v>
      </c>
      <c r="M1488" s="18" t="s">
        <v>99</v>
      </c>
      <c r="N1488" s="20">
        <v>1.0</v>
      </c>
      <c r="O1488" s="18">
        <v>9.4</v>
      </c>
      <c r="P1488" s="20">
        <v>2.3</v>
      </c>
      <c r="Q1488" s="16">
        <v>45443.0</v>
      </c>
      <c r="R1488" s="16" t="s">
        <v>38</v>
      </c>
      <c r="S1488" s="13" t="s">
        <v>55</v>
      </c>
      <c r="T1488" s="13" t="s">
        <v>72</v>
      </c>
      <c r="U1488" s="13" t="str">
        <f t="shared" si="1"/>
        <v>Low</v>
      </c>
      <c r="V1488" s="13" t="str">
        <f t="shared" si="2"/>
        <v>Below Median</v>
      </c>
      <c r="W1488" s="13" t="str">
        <f t="shared" si="3"/>
        <v>0–12 Months</v>
      </c>
    </row>
    <row r="1489" hidden="1">
      <c r="A1489" s="13" t="s">
        <v>1215</v>
      </c>
      <c r="B1489" s="13" t="s">
        <v>448</v>
      </c>
      <c r="C1489" s="14">
        <v>53.0</v>
      </c>
      <c r="D1489" s="13" t="s">
        <v>35</v>
      </c>
      <c r="E1489" s="13" t="s">
        <v>36</v>
      </c>
      <c r="F1489" s="13" t="s">
        <v>62</v>
      </c>
      <c r="G1489" s="13" t="s">
        <v>128</v>
      </c>
      <c r="H1489" s="16">
        <v>45720.0</v>
      </c>
      <c r="I1489" s="14">
        <v>40.0</v>
      </c>
      <c r="J1489" s="13" t="s">
        <v>53</v>
      </c>
      <c r="K1489" s="13" t="s">
        <v>41</v>
      </c>
      <c r="L1489" s="14">
        <v>729.0</v>
      </c>
      <c r="M1489" s="18" t="s">
        <v>43</v>
      </c>
      <c r="N1489" s="20">
        <v>3.0</v>
      </c>
      <c r="O1489" s="18">
        <v>17.2</v>
      </c>
      <c r="P1489" s="20">
        <v>3.5</v>
      </c>
      <c r="Q1489" s="16">
        <v>46097.0</v>
      </c>
      <c r="R1489" s="16">
        <v>45969.0</v>
      </c>
      <c r="S1489" s="13" t="s">
        <v>45</v>
      </c>
      <c r="T1489" s="13" t="s">
        <v>104</v>
      </c>
      <c r="U1489" s="13" t="str">
        <f t="shared" si="1"/>
        <v>Moderate</v>
      </c>
      <c r="V1489" s="13" t="str">
        <f t="shared" si="2"/>
        <v>Below Median</v>
      </c>
      <c r="W1489" s="13" t="str">
        <f t="shared" si="3"/>
        <v>25–48 Months</v>
      </c>
    </row>
    <row r="1490" hidden="1">
      <c r="A1490" s="13" t="s">
        <v>1661</v>
      </c>
      <c r="B1490" s="13" t="s">
        <v>288</v>
      </c>
      <c r="C1490" s="14">
        <v>48.0</v>
      </c>
      <c r="D1490" s="13" t="s">
        <v>60</v>
      </c>
      <c r="E1490" s="13" t="s">
        <v>97</v>
      </c>
      <c r="F1490" s="13" t="s">
        <v>79</v>
      </c>
      <c r="G1490" s="13" t="s">
        <v>210</v>
      </c>
      <c r="H1490" s="16">
        <v>45037.0</v>
      </c>
      <c r="I1490" s="14">
        <v>36.0</v>
      </c>
      <c r="J1490" s="13" t="s">
        <v>64</v>
      </c>
      <c r="K1490" s="13" t="s">
        <v>81</v>
      </c>
      <c r="L1490" s="14">
        <v>2568.0</v>
      </c>
      <c r="M1490" s="18" t="s">
        <v>43</v>
      </c>
      <c r="N1490" s="20">
        <v>2.0</v>
      </c>
      <c r="O1490" s="18">
        <v>40.7</v>
      </c>
      <c r="P1490" s="20">
        <v>4.1</v>
      </c>
      <c r="Q1490" s="16">
        <v>45549.0</v>
      </c>
      <c r="R1490" s="16">
        <v>45178.0</v>
      </c>
      <c r="S1490" s="13" t="s">
        <v>45</v>
      </c>
      <c r="T1490" s="13" t="s">
        <v>104</v>
      </c>
      <c r="U1490" s="13" t="str">
        <f t="shared" si="1"/>
        <v>Moderate</v>
      </c>
      <c r="V1490" s="13" t="str">
        <f t="shared" si="2"/>
        <v>Median or Above</v>
      </c>
      <c r="W1490" s="13" t="str">
        <f t="shared" si="3"/>
        <v>25–48 Months</v>
      </c>
    </row>
    <row r="1491" hidden="1">
      <c r="A1491" s="13" t="s">
        <v>945</v>
      </c>
      <c r="B1491" s="13" t="s">
        <v>239</v>
      </c>
      <c r="C1491" s="14">
        <v>25.0</v>
      </c>
      <c r="D1491" s="13" t="s">
        <v>85</v>
      </c>
      <c r="E1491" s="13" t="s">
        <v>292</v>
      </c>
      <c r="F1491" s="13" t="s">
        <v>62</v>
      </c>
      <c r="G1491" s="13" t="s">
        <v>120</v>
      </c>
      <c r="H1491" s="16">
        <v>45874.0</v>
      </c>
      <c r="I1491" s="14">
        <v>18.0</v>
      </c>
      <c r="J1491" s="13" t="s">
        <v>53</v>
      </c>
      <c r="K1491" s="13" t="s">
        <v>81</v>
      </c>
      <c r="L1491" s="14">
        <v>846.0</v>
      </c>
      <c r="M1491" s="18" t="s">
        <v>98</v>
      </c>
      <c r="N1491" s="20">
        <v>1.0</v>
      </c>
      <c r="O1491" s="18">
        <v>28.0</v>
      </c>
      <c r="P1491" s="20">
        <v>4.9</v>
      </c>
      <c r="Q1491" s="16">
        <v>46424.0</v>
      </c>
      <c r="R1491" s="16" t="s">
        <v>38</v>
      </c>
      <c r="S1491" s="13" t="s">
        <v>55</v>
      </c>
      <c r="T1491" s="13" t="s">
        <v>72</v>
      </c>
      <c r="U1491" s="13" t="str">
        <f t="shared" si="1"/>
        <v>Moderate</v>
      </c>
      <c r="V1491" s="13" t="str">
        <f t="shared" si="2"/>
        <v>Median or Above</v>
      </c>
      <c r="W1491" s="13" t="str">
        <f t="shared" si="3"/>
        <v>13–24 Months</v>
      </c>
    </row>
    <row r="1492" hidden="1">
      <c r="A1492" s="13" t="s">
        <v>519</v>
      </c>
      <c r="B1492" s="13" t="s">
        <v>152</v>
      </c>
      <c r="C1492" s="14">
        <v>47.0</v>
      </c>
      <c r="D1492" s="13" t="s">
        <v>69</v>
      </c>
      <c r="E1492" s="13" t="s">
        <v>70</v>
      </c>
      <c r="F1492" s="13" t="s">
        <v>62</v>
      </c>
      <c r="G1492" s="13" t="s">
        <v>39</v>
      </c>
      <c r="H1492" s="16">
        <v>45481.0</v>
      </c>
      <c r="I1492" s="14">
        <v>3.0</v>
      </c>
      <c r="J1492" s="13" t="s">
        <v>40</v>
      </c>
      <c r="K1492" s="13" t="s">
        <v>41</v>
      </c>
      <c r="L1492" s="14">
        <v>526.0</v>
      </c>
      <c r="M1492" s="18" t="s">
        <v>43</v>
      </c>
      <c r="N1492" s="20">
        <v>1.0</v>
      </c>
      <c r="O1492" s="18">
        <v>31.0</v>
      </c>
      <c r="P1492" s="20">
        <v>3.9</v>
      </c>
      <c r="Q1492" s="16">
        <v>45543.0</v>
      </c>
      <c r="R1492" s="16" t="s">
        <v>38</v>
      </c>
      <c r="S1492" s="13" t="s">
        <v>55</v>
      </c>
      <c r="T1492" s="13" t="s">
        <v>104</v>
      </c>
      <c r="U1492" s="13" t="str">
        <f t="shared" si="1"/>
        <v>Moderate</v>
      </c>
      <c r="V1492" s="13" t="str">
        <f t="shared" si="2"/>
        <v>Median or Above</v>
      </c>
      <c r="W1492" s="13" t="str">
        <f t="shared" si="3"/>
        <v>0–12 Months</v>
      </c>
    </row>
    <row r="1493" hidden="1">
      <c r="A1493" s="13" t="s">
        <v>1208</v>
      </c>
      <c r="B1493" s="13" t="s">
        <v>184</v>
      </c>
      <c r="C1493" s="14">
        <v>67.0</v>
      </c>
      <c r="D1493" s="13" t="s">
        <v>35</v>
      </c>
      <c r="E1493" s="13" t="s">
        <v>36</v>
      </c>
      <c r="F1493" s="13" t="s">
        <v>37</v>
      </c>
      <c r="G1493" s="13" t="s">
        <v>120</v>
      </c>
      <c r="H1493" s="16">
        <v>44869.0</v>
      </c>
      <c r="I1493" s="14">
        <v>34.0</v>
      </c>
      <c r="J1493" s="13" t="s">
        <v>40</v>
      </c>
      <c r="K1493" s="13" t="s">
        <v>81</v>
      </c>
      <c r="L1493" s="14">
        <v>1562.0</v>
      </c>
      <c r="M1493" s="18" t="s">
        <v>164</v>
      </c>
      <c r="N1493" s="20">
        <v>0.0</v>
      </c>
      <c r="O1493" s="18">
        <v>25.3</v>
      </c>
      <c r="P1493" s="20">
        <v>4.7</v>
      </c>
      <c r="Q1493" s="16">
        <v>45485.0</v>
      </c>
      <c r="R1493" s="16" t="s">
        <v>38</v>
      </c>
      <c r="S1493" s="13" t="s">
        <v>55</v>
      </c>
      <c r="T1493" s="13" t="s">
        <v>104</v>
      </c>
      <c r="U1493" s="13" t="str">
        <f t="shared" si="1"/>
        <v>Moderate</v>
      </c>
      <c r="V1493" s="13" t="str">
        <f t="shared" si="2"/>
        <v>Median or Above</v>
      </c>
      <c r="W1493" s="13" t="str">
        <f t="shared" si="3"/>
        <v>25–48 Months</v>
      </c>
    </row>
    <row r="1494" hidden="1">
      <c r="A1494" s="13" t="s">
        <v>2000</v>
      </c>
      <c r="B1494" s="13" t="s">
        <v>179</v>
      </c>
      <c r="C1494" s="14">
        <v>46.0</v>
      </c>
      <c r="D1494" s="13" t="s">
        <v>69</v>
      </c>
      <c r="E1494" s="13" t="s">
        <v>177</v>
      </c>
      <c r="F1494" s="13" t="s">
        <v>79</v>
      </c>
      <c r="G1494" s="13" t="s">
        <v>39</v>
      </c>
      <c r="H1494" s="16">
        <v>45875.0</v>
      </c>
      <c r="I1494" s="14">
        <v>42.0</v>
      </c>
      <c r="J1494" s="13" t="s">
        <v>64</v>
      </c>
      <c r="K1494" s="13" t="s">
        <v>81</v>
      </c>
      <c r="L1494" s="14">
        <v>2153.0</v>
      </c>
      <c r="M1494" s="18" t="s">
        <v>98</v>
      </c>
      <c r="N1494" s="20">
        <v>5.0</v>
      </c>
      <c r="O1494" s="18">
        <v>43.2</v>
      </c>
      <c r="P1494" s="20">
        <v>5.0</v>
      </c>
      <c r="Q1494" s="16">
        <v>46743.0</v>
      </c>
      <c r="R1494" s="16" t="s">
        <v>38</v>
      </c>
      <c r="S1494" s="13" t="s">
        <v>55</v>
      </c>
      <c r="T1494" s="13" t="s">
        <v>104</v>
      </c>
      <c r="U1494" s="13" t="str">
        <f t="shared" si="1"/>
        <v>High</v>
      </c>
      <c r="V1494" s="13" t="str">
        <f t="shared" si="2"/>
        <v>Median or Above</v>
      </c>
      <c r="W1494" s="13" t="str">
        <f t="shared" si="3"/>
        <v>25–48 Months</v>
      </c>
    </row>
    <row r="1495" hidden="1">
      <c r="A1495" s="13" t="s">
        <v>1555</v>
      </c>
      <c r="B1495" s="13" t="s">
        <v>470</v>
      </c>
      <c r="C1495" s="14">
        <v>58.0</v>
      </c>
      <c r="D1495" s="13" t="s">
        <v>85</v>
      </c>
      <c r="E1495" s="13" t="s">
        <v>292</v>
      </c>
      <c r="F1495" s="13" t="s">
        <v>62</v>
      </c>
      <c r="G1495" s="13" t="s">
        <v>120</v>
      </c>
      <c r="H1495" s="16">
        <v>45393.0</v>
      </c>
      <c r="I1495" s="14">
        <v>26.0</v>
      </c>
      <c r="J1495" s="13" t="s">
        <v>40</v>
      </c>
      <c r="K1495" s="13" t="s">
        <v>65</v>
      </c>
      <c r="L1495" s="14">
        <v>784.0</v>
      </c>
      <c r="M1495" s="18" t="s">
        <v>164</v>
      </c>
      <c r="N1495" s="20">
        <v>1.0</v>
      </c>
      <c r="O1495" s="18">
        <v>15.1</v>
      </c>
      <c r="P1495" s="20">
        <v>5.0</v>
      </c>
      <c r="Q1495" s="16">
        <v>45539.0</v>
      </c>
      <c r="R1495" s="16" t="s">
        <v>38</v>
      </c>
      <c r="S1495" s="13" t="s">
        <v>55</v>
      </c>
      <c r="T1495" s="13" t="s">
        <v>104</v>
      </c>
      <c r="U1495" s="13" t="str">
        <f t="shared" si="1"/>
        <v>High</v>
      </c>
      <c r="V1495" s="13" t="str">
        <f t="shared" si="2"/>
        <v>Below Median</v>
      </c>
      <c r="W1495" s="13" t="str">
        <f t="shared" si="3"/>
        <v>25–48 Months</v>
      </c>
    </row>
    <row r="1496" hidden="1">
      <c r="A1496" s="13" t="s">
        <v>672</v>
      </c>
      <c r="B1496" s="13" t="s">
        <v>184</v>
      </c>
      <c r="C1496" s="14">
        <v>52.0</v>
      </c>
      <c r="D1496" s="13" t="s">
        <v>69</v>
      </c>
      <c r="E1496" s="13" t="s">
        <v>119</v>
      </c>
      <c r="F1496" s="13" t="s">
        <v>62</v>
      </c>
      <c r="G1496" s="13" t="s">
        <v>210</v>
      </c>
      <c r="H1496" s="16">
        <v>45136.0</v>
      </c>
      <c r="I1496" s="14">
        <v>18.0</v>
      </c>
      <c r="J1496" s="13" t="s">
        <v>64</v>
      </c>
      <c r="K1496" s="13" t="s">
        <v>65</v>
      </c>
      <c r="L1496" s="14">
        <v>803.0</v>
      </c>
      <c r="M1496" s="18" t="s">
        <v>43</v>
      </c>
      <c r="N1496" s="20">
        <v>2.0</v>
      </c>
      <c r="O1496" s="18">
        <v>27.5</v>
      </c>
      <c r="P1496" s="20">
        <v>3.4</v>
      </c>
      <c r="Q1496" s="16">
        <v>45334.0</v>
      </c>
      <c r="R1496" s="16" t="s">
        <v>38</v>
      </c>
      <c r="S1496" s="13" t="s">
        <v>55</v>
      </c>
      <c r="T1496" s="13" t="s">
        <v>104</v>
      </c>
      <c r="U1496" s="13" t="str">
        <f t="shared" si="1"/>
        <v>Moderate</v>
      </c>
      <c r="V1496" s="13" t="str">
        <f t="shared" si="2"/>
        <v>Median or Above</v>
      </c>
      <c r="W1496" s="13" t="str">
        <f t="shared" si="3"/>
        <v>13–24 Months</v>
      </c>
    </row>
    <row r="1497" hidden="1">
      <c r="A1497" s="13" t="s">
        <v>1388</v>
      </c>
      <c r="B1497" s="13" t="s">
        <v>333</v>
      </c>
      <c r="C1497" s="14">
        <v>57.0</v>
      </c>
      <c r="D1497" s="13" t="s">
        <v>69</v>
      </c>
      <c r="E1497" s="13" t="s">
        <v>70</v>
      </c>
      <c r="F1497" s="13" t="s">
        <v>37</v>
      </c>
      <c r="G1497" s="13" t="s">
        <v>210</v>
      </c>
      <c r="H1497" s="16">
        <v>45917.0</v>
      </c>
      <c r="I1497" s="14">
        <v>43.0</v>
      </c>
      <c r="J1497" s="13" t="s">
        <v>40</v>
      </c>
      <c r="K1497" s="13" t="s">
        <v>81</v>
      </c>
      <c r="L1497" s="14">
        <v>1672.0</v>
      </c>
      <c r="M1497" s="18" t="s">
        <v>43</v>
      </c>
      <c r="N1497" s="20">
        <v>0.0</v>
      </c>
      <c r="O1497" s="18">
        <v>35.5</v>
      </c>
      <c r="P1497" s="20">
        <v>3.3</v>
      </c>
      <c r="Q1497" s="16">
        <v>46692.0</v>
      </c>
      <c r="R1497" s="16" t="s">
        <v>38</v>
      </c>
      <c r="S1497" s="13" t="s">
        <v>55</v>
      </c>
      <c r="T1497" s="13" t="s">
        <v>104</v>
      </c>
      <c r="U1497" s="13" t="str">
        <f t="shared" si="1"/>
        <v>Moderate</v>
      </c>
      <c r="V1497" s="13" t="str">
        <f t="shared" si="2"/>
        <v>Median or Above</v>
      </c>
      <c r="W1497" s="13" t="str">
        <f t="shared" si="3"/>
        <v>25–48 Months</v>
      </c>
    </row>
    <row r="1498" hidden="1">
      <c r="A1498" s="13" t="s">
        <v>2001</v>
      </c>
      <c r="B1498" s="13" t="s">
        <v>34</v>
      </c>
      <c r="C1498" s="14">
        <v>60.0</v>
      </c>
      <c r="D1498" s="13" t="s">
        <v>69</v>
      </c>
      <c r="E1498" s="13" t="s">
        <v>119</v>
      </c>
      <c r="F1498" s="13" t="s">
        <v>62</v>
      </c>
      <c r="G1498" s="13" t="s">
        <v>63</v>
      </c>
      <c r="H1498" s="16">
        <v>44936.0</v>
      </c>
      <c r="I1498" s="14">
        <v>36.0</v>
      </c>
      <c r="J1498" s="13" t="s">
        <v>53</v>
      </c>
      <c r="K1498" s="13" t="s">
        <v>41</v>
      </c>
      <c r="L1498" s="14">
        <v>790.0</v>
      </c>
      <c r="M1498" s="18" t="s">
        <v>46</v>
      </c>
      <c r="N1498" s="20">
        <v>5.0</v>
      </c>
      <c r="O1498" s="18">
        <v>17.4</v>
      </c>
      <c r="P1498" s="20">
        <v>2.4</v>
      </c>
      <c r="Q1498" s="16">
        <v>45066.0</v>
      </c>
      <c r="R1498" s="16">
        <v>45389.0</v>
      </c>
      <c r="S1498" s="13" t="s">
        <v>45</v>
      </c>
      <c r="T1498" s="13" t="s">
        <v>47</v>
      </c>
      <c r="U1498" s="13" t="str">
        <f t="shared" si="1"/>
        <v>Low</v>
      </c>
      <c r="V1498" s="13" t="str">
        <f t="shared" si="2"/>
        <v>Below Median</v>
      </c>
      <c r="W1498" s="13" t="str">
        <f t="shared" si="3"/>
        <v>25–48 Months</v>
      </c>
    </row>
    <row r="1499" hidden="1">
      <c r="A1499" s="13" t="s">
        <v>2003</v>
      </c>
      <c r="B1499" s="13" t="s">
        <v>398</v>
      </c>
      <c r="C1499" s="14">
        <v>63.0</v>
      </c>
      <c r="D1499" s="13" t="s">
        <v>60</v>
      </c>
      <c r="E1499" s="13" t="s">
        <v>97</v>
      </c>
      <c r="F1499" s="13" t="s">
        <v>62</v>
      </c>
      <c r="G1499" s="13" t="s">
        <v>39</v>
      </c>
      <c r="H1499" s="16">
        <v>45974.0</v>
      </c>
      <c r="I1499" s="14">
        <v>20.0</v>
      </c>
      <c r="J1499" s="13" t="s">
        <v>64</v>
      </c>
      <c r="K1499" s="13" t="s">
        <v>65</v>
      </c>
      <c r="L1499" s="14">
        <v>680.0</v>
      </c>
      <c r="M1499" s="18" t="s">
        <v>98</v>
      </c>
      <c r="N1499" s="20">
        <v>3.0</v>
      </c>
      <c r="O1499" s="18">
        <v>20.5</v>
      </c>
      <c r="P1499" s="20">
        <v>3.8</v>
      </c>
      <c r="Q1499" s="16">
        <v>46419.0</v>
      </c>
      <c r="R1499" s="16" t="s">
        <v>38</v>
      </c>
      <c r="S1499" s="13" t="s">
        <v>55</v>
      </c>
      <c r="T1499" s="13" t="s">
        <v>72</v>
      </c>
      <c r="U1499" s="13" t="str">
        <f t="shared" si="1"/>
        <v>Moderate</v>
      </c>
      <c r="V1499" s="13" t="str">
        <f t="shared" si="2"/>
        <v>Below Median</v>
      </c>
      <c r="W1499" s="13" t="str">
        <f t="shared" si="3"/>
        <v>13–24 Months</v>
      </c>
    </row>
    <row r="1500" hidden="1">
      <c r="A1500" s="13" t="s">
        <v>2004</v>
      </c>
      <c r="B1500" s="13" t="s">
        <v>229</v>
      </c>
      <c r="C1500" s="14">
        <v>50.0</v>
      </c>
      <c r="D1500" s="13" t="s">
        <v>60</v>
      </c>
      <c r="E1500" s="13" t="s">
        <v>61</v>
      </c>
      <c r="F1500" s="13" t="s">
        <v>79</v>
      </c>
      <c r="G1500" s="13" t="s">
        <v>128</v>
      </c>
      <c r="H1500" s="16">
        <v>45381.0</v>
      </c>
      <c r="I1500" s="14">
        <v>45.0</v>
      </c>
      <c r="J1500" s="13" t="s">
        <v>40</v>
      </c>
      <c r="K1500" s="13" t="s">
        <v>81</v>
      </c>
      <c r="L1500" s="14">
        <v>2299.0</v>
      </c>
      <c r="M1500" s="18" t="s">
        <v>43</v>
      </c>
      <c r="N1500" s="20">
        <v>0.0</v>
      </c>
      <c r="O1500" s="18">
        <v>40.1</v>
      </c>
      <c r="P1500" s="20">
        <v>3.1</v>
      </c>
      <c r="Q1500" s="16">
        <v>45634.0</v>
      </c>
      <c r="R1500" s="16" t="s">
        <v>38</v>
      </c>
      <c r="S1500" s="13" t="s">
        <v>55</v>
      </c>
      <c r="T1500" s="13" t="s">
        <v>72</v>
      </c>
      <c r="U1500" s="13" t="str">
        <f t="shared" si="1"/>
        <v>Moderate</v>
      </c>
      <c r="V1500" s="13" t="str">
        <f t="shared" si="2"/>
        <v>Median or Above</v>
      </c>
      <c r="W1500" s="13" t="str">
        <f t="shared" si="3"/>
        <v>25–48 Months</v>
      </c>
    </row>
    <row r="1501" hidden="1">
      <c r="A1501" s="13" t="s">
        <v>917</v>
      </c>
      <c r="B1501" s="13" t="s">
        <v>34</v>
      </c>
      <c r="C1501" s="14">
        <v>37.0</v>
      </c>
      <c r="D1501" s="13" t="s">
        <v>85</v>
      </c>
      <c r="E1501" s="13" t="s">
        <v>87</v>
      </c>
      <c r="F1501" s="13" t="s">
        <v>62</v>
      </c>
      <c r="G1501" s="13" t="s">
        <v>39</v>
      </c>
      <c r="H1501" s="16">
        <v>44822.0</v>
      </c>
      <c r="I1501" s="14">
        <v>15.0</v>
      </c>
      <c r="J1501" s="13" t="s">
        <v>64</v>
      </c>
      <c r="K1501" s="13" t="s">
        <v>41</v>
      </c>
      <c r="L1501" s="14">
        <v>694.0</v>
      </c>
      <c r="M1501" s="18" t="s">
        <v>46</v>
      </c>
      <c r="N1501" s="20">
        <v>0.0</v>
      </c>
      <c r="O1501" s="18">
        <v>22.1</v>
      </c>
      <c r="P1501" s="20">
        <v>2.6</v>
      </c>
      <c r="Q1501" s="16">
        <v>45069.0</v>
      </c>
      <c r="R1501" s="16" t="s">
        <v>38</v>
      </c>
      <c r="S1501" s="13" t="s">
        <v>55</v>
      </c>
      <c r="T1501" s="13" t="s">
        <v>47</v>
      </c>
      <c r="U1501" s="13" t="str">
        <f t="shared" si="1"/>
        <v>Low</v>
      </c>
      <c r="V1501" s="13" t="str">
        <f t="shared" si="2"/>
        <v>Below Median</v>
      </c>
      <c r="W1501" s="13" t="str">
        <f t="shared" si="3"/>
        <v>13–24 Months</v>
      </c>
    </row>
    <row r="1502" hidden="1">
      <c r="A1502" s="13" t="s">
        <v>934</v>
      </c>
      <c r="B1502" s="13" t="s">
        <v>476</v>
      </c>
      <c r="C1502" s="14">
        <v>30.0</v>
      </c>
      <c r="D1502" s="13" t="s">
        <v>60</v>
      </c>
      <c r="E1502" s="13" t="s">
        <v>133</v>
      </c>
      <c r="F1502" s="13" t="s">
        <v>79</v>
      </c>
      <c r="G1502" s="13" t="s">
        <v>128</v>
      </c>
      <c r="H1502" s="16">
        <v>45927.0</v>
      </c>
      <c r="I1502" s="14">
        <v>12.0</v>
      </c>
      <c r="J1502" s="13" t="s">
        <v>40</v>
      </c>
      <c r="K1502" s="13" t="s">
        <v>65</v>
      </c>
      <c r="L1502" s="14">
        <v>2379.0</v>
      </c>
      <c r="M1502" s="18" t="s">
        <v>43</v>
      </c>
      <c r="N1502" s="20">
        <v>1.0</v>
      </c>
      <c r="O1502" s="18">
        <v>34.1</v>
      </c>
      <c r="P1502" s="20">
        <v>4.5</v>
      </c>
      <c r="Q1502" s="16">
        <v>46246.0</v>
      </c>
      <c r="R1502" s="16" t="s">
        <v>38</v>
      </c>
      <c r="S1502" s="13" t="s">
        <v>55</v>
      </c>
      <c r="T1502" s="13" t="s">
        <v>66</v>
      </c>
      <c r="U1502" s="13" t="str">
        <f t="shared" si="1"/>
        <v>Moderate</v>
      </c>
      <c r="V1502" s="13" t="str">
        <f t="shared" si="2"/>
        <v>Median or Above</v>
      </c>
      <c r="W1502" s="13" t="str">
        <f t="shared" si="3"/>
        <v>0–12 Months</v>
      </c>
    </row>
    <row r="1503" hidden="1">
      <c r="A1503" s="13" t="s">
        <v>466</v>
      </c>
      <c r="B1503" s="13" t="s">
        <v>633</v>
      </c>
      <c r="C1503" s="14">
        <v>58.0</v>
      </c>
      <c r="D1503" s="13" t="s">
        <v>85</v>
      </c>
      <c r="E1503" s="13" t="s">
        <v>70</v>
      </c>
      <c r="F1503" s="13" t="s">
        <v>62</v>
      </c>
      <c r="G1503" s="13" t="s">
        <v>120</v>
      </c>
      <c r="H1503" s="16">
        <v>44710.0</v>
      </c>
      <c r="I1503" s="14">
        <v>30.0</v>
      </c>
      <c r="J1503" s="13" t="s">
        <v>64</v>
      </c>
      <c r="K1503" s="13" t="s">
        <v>81</v>
      </c>
      <c r="L1503" s="14">
        <v>790.0</v>
      </c>
      <c r="M1503" s="18" t="s">
        <v>164</v>
      </c>
      <c r="N1503" s="20">
        <v>1.0</v>
      </c>
      <c r="O1503" s="18">
        <v>21.0</v>
      </c>
      <c r="P1503" s="20">
        <v>3.9</v>
      </c>
      <c r="Q1503" s="16">
        <v>44901.0</v>
      </c>
      <c r="R1503" s="16">
        <v>45108.0</v>
      </c>
      <c r="S1503" s="13" t="s">
        <v>45</v>
      </c>
      <c r="T1503" s="13" t="s">
        <v>47</v>
      </c>
      <c r="U1503" s="13" t="str">
        <f t="shared" si="1"/>
        <v>Moderate</v>
      </c>
      <c r="V1503" s="13" t="str">
        <f t="shared" si="2"/>
        <v>Below Median</v>
      </c>
      <c r="W1503" s="13" t="str">
        <f t="shared" si="3"/>
        <v>25–48 Months</v>
      </c>
    </row>
    <row r="1504" hidden="1">
      <c r="A1504" s="13" t="s">
        <v>1058</v>
      </c>
      <c r="B1504" s="13" t="s">
        <v>605</v>
      </c>
      <c r="C1504" s="14">
        <v>42.0</v>
      </c>
      <c r="D1504" s="13" t="s">
        <v>35</v>
      </c>
      <c r="E1504" s="13" t="s">
        <v>187</v>
      </c>
      <c r="F1504" s="13" t="s">
        <v>62</v>
      </c>
      <c r="G1504" s="13" t="s">
        <v>80</v>
      </c>
      <c r="H1504" s="16">
        <v>45539.0</v>
      </c>
      <c r="I1504" s="14">
        <v>26.0</v>
      </c>
      <c r="J1504" s="13" t="s">
        <v>53</v>
      </c>
      <c r="K1504" s="13" t="s">
        <v>65</v>
      </c>
      <c r="L1504" s="14">
        <v>736.0</v>
      </c>
      <c r="M1504" s="18" t="s">
        <v>46</v>
      </c>
      <c r="N1504" s="20">
        <v>1.0</v>
      </c>
      <c r="O1504" s="18">
        <v>25.8</v>
      </c>
      <c r="P1504" s="20">
        <v>4.8</v>
      </c>
      <c r="Q1504" s="16">
        <v>46010.0</v>
      </c>
      <c r="R1504" s="16" t="s">
        <v>38</v>
      </c>
      <c r="S1504" s="13" t="s">
        <v>55</v>
      </c>
      <c r="T1504" s="13" t="s">
        <v>72</v>
      </c>
      <c r="U1504" s="13" t="str">
        <f t="shared" si="1"/>
        <v>Moderate</v>
      </c>
      <c r="V1504" s="13" t="str">
        <f t="shared" si="2"/>
        <v>Median or Above</v>
      </c>
      <c r="W1504" s="13" t="str">
        <f t="shared" si="3"/>
        <v>25–48 Months</v>
      </c>
    </row>
    <row r="1505" hidden="1">
      <c r="A1505" s="13" t="s">
        <v>265</v>
      </c>
      <c r="B1505" s="13" t="s">
        <v>395</v>
      </c>
      <c r="C1505" s="14">
        <v>67.0</v>
      </c>
      <c r="D1505" s="13" t="s">
        <v>69</v>
      </c>
      <c r="E1505" s="13" t="s">
        <v>177</v>
      </c>
      <c r="F1505" s="13" t="s">
        <v>37</v>
      </c>
      <c r="G1505" s="13" t="s">
        <v>63</v>
      </c>
      <c r="H1505" s="16">
        <v>45633.0</v>
      </c>
      <c r="I1505" s="14">
        <v>17.0</v>
      </c>
      <c r="J1505" s="13" t="s">
        <v>64</v>
      </c>
      <c r="K1505" s="13" t="s">
        <v>41</v>
      </c>
      <c r="L1505" s="14">
        <v>1096.0</v>
      </c>
      <c r="M1505" s="18" t="s">
        <v>43</v>
      </c>
      <c r="N1505" s="20">
        <v>1.0</v>
      </c>
      <c r="O1505" s="18">
        <v>43.0</v>
      </c>
      <c r="P1505" s="20">
        <v>3.0</v>
      </c>
      <c r="Q1505" s="16">
        <v>45847.0</v>
      </c>
      <c r="R1505" s="16">
        <v>45941.0</v>
      </c>
      <c r="S1505" s="13" t="s">
        <v>45</v>
      </c>
      <c r="T1505" s="13" t="s">
        <v>47</v>
      </c>
      <c r="U1505" s="13" t="str">
        <f t="shared" si="1"/>
        <v>Moderate</v>
      </c>
      <c r="V1505" s="13" t="str">
        <f t="shared" si="2"/>
        <v>Median or Above</v>
      </c>
      <c r="W1505" s="13" t="str">
        <f t="shared" si="3"/>
        <v>13–24 Months</v>
      </c>
    </row>
    <row r="1506" hidden="1">
      <c r="A1506" s="13" t="s">
        <v>327</v>
      </c>
      <c r="B1506" s="13" t="s">
        <v>288</v>
      </c>
      <c r="C1506" s="14">
        <v>38.0</v>
      </c>
      <c r="D1506" s="13" t="s">
        <v>85</v>
      </c>
      <c r="E1506" s="13" t="s">
        <v>292</v>
      </c>
      <c r="F1506" s="13" t="s">
        <v>62</v>
      </c>
      <c r="G1506" s="13" t="s">
        <v>63</v>
      </c>
      <c r="H1506" s="16">
        <v>45155.0</v>
      </c>
      <c r="I1506" s="14">
        <v>20.0</v>
      </c>
      <c r="J1506" s="13" t="s">
        <v>64</v>
      </c>
      <c r="K1506" s="13" t="s">
        <v>81</v>
      </c>
      <c r="L1506" s="14">
        <v>836.0</v>
      </c>
      <c r="M1506" s="18" t="s">
        <v>164</v>
      </c>
      <c r="N1506" s="20">
        <v>1.0</v>
      </c>
      <c r="O1506" s="18">
        <v>16.7</v>
      </c>
      <c r="P1506" s="20">
        <v>4.4</v>
      </c>
      <c r="Q1506" s="16">
        <v>45573.0</v>
      </c>
      <c r="R1506" s="16" t="s">
        <v>38</v>
      </c>
      <c r="S1506" s="13" t="s">
        <v>55</v>
      </c>
      <c r="T1506" s="13" t="s">
        <v>47</v>
      </c>
      <c r="U1506" s="13" t="str">
        <f t="shared" si="1"/>
        <v>Moderate</v>
      </c>
      <c r="V1506" s="13" t="str">
        <f t="shared" si="2"/>
        <v>Below Median</v>
      </c>
      <c r="W1506" s="13" t="str">
        <f t="shared" si="3"/>
        <v>13–24 Months</v>
      </c>
    </row>
    <row r="1507" hidden="1">
      <c r="A1507" s="13" t="s">
        <v>2007</v>
      </c>
      <c r="B1507" s="13" t="s">
        <v>645</v>
      </c>
      <c r="C1507" s="14">
        <v>27.0</v>
      </c>
      <c r="D1507" s="13" t="s">
        <v>60</v>
      </c>
      <c r="E1507" s="13" t="s">
        <v>61</v>
      </c>
      <c r="F1507" s="13" t="s">
        <v>62</v>
      </c>
      <c r="G1507" s="13" t="s">
        <v>63</v>
      </c>
      <c r="H1507" s="16">
        <v>44596.0</v>
      </c>
      <c r="I1507" s="14">
        <v>14.0</v>
      </c>
      <c r="J1507" s="13" t="s">
        <v>40</v>
      </c>
      <c r="K1507" s="13" t="s">
        <v>81</v>
      </c>
      <c r="L1507" s="14">
        <v>793.0</v>
      </c>
      <c r="M1507" s="18" t="s">
        <v>98</v>
      </c>
      <c r="N1507" s="20">
        <v>1.0</v>
      </c>
      <c r="O1507" s="18">
        <v>10.9</v>
      </c>
      <c r="P1507" s="20">
        <v>3.9</v>
      </c>
      <c r="Q1507" s="16">
        <v>44683.0</v>
      </c>
      <c r="R1507" s="16" t="s">
        <v>38</v>
      </c>
      <c r="S1507" s="13" t="s">
        <v>55</v>
      </c>
      <c r="T1507" s="13" t="s">
        <v>66</v>
      </c>
      <c r="U1507" s="13" t="str">
        <f t="shared" si="1"/>
        <v>Moderate</v>
      </c>
      <c r="V1507" s="13" t="str">
        <f t="shared" si="2"/>
        <v>Below Median</v>
      </c>
      <c r="W1507" s="13" t="str">
        <f t="shared" si="3"/>
        <v>13–24 Months</v>
      </c>
    </row>
    <row r="1508" hidden="1">
      <c r="A1508" s="13" t="s">
        <v>2008</v>
      </c>
      <c r="B1508" s="13" t="s">
        <v>68</v>
      </c>
      <c r="C1508" s="14">
        <v>22.0</v>
      </c>
      <c r="D1508" s="13" t="s">
        <v>85</v>
      </c>
      <c r="E1508" s="13" t="s">
        <v>92</v>
      </c>
      <c r="F1508" s="13" t="s">
        <v>37</v>
      </c>
      <c r="G1508" s="13" t="s">
        <v>120</v>
      </c>
      <c r="H1508" s="16">
        <v>45170.0</v>
      </c>
      <c r="I1508" s="14">
        <v>11.0</v>
      </c>
      <c r="J1508" s="13" t="s">
        <v>64</v>
      </c>
      <c r="K1508" s="13" t="s">
        <v>41</v>
      </c>
      <c r="L1508" s="14">
        <v>1713.0</v>
      </c>
      <c r="M1508" s="18" t="s">
        <v>98</v>
      </c>
      <c r="N1508" s="20">
        <v>1.0</v>
      </c>
      <c r="O1508" s="18">
        <v>27.2</v>
      </c>
      <c r="P1508" s="20">
        <v>4.6</v>
      </c>
      <c r="Q1508" s="16">
        <v>45331.0</v>
      </c>
      <c r="R1508" s="16">
        <v>45087.0</v>
      </c>
      <c r="S1508" s="13" t="s">
        <v>45</v>
      </c>
      <c r="T1508" s="13" t="s">
        <v>47</v>
      </c>
      <c r="U1508" s="13" t="str">
        <f t="shared" si="1"/>
        <v>Moderate</v>
      </c>
      <c r="V1508" s="13" t="str">
        <f t="shared" si="2"/>
        <v>Median or Above</v>
      </c>
      <c r="W1508" s="13" t="str">
        <f t="shared" si="3"/>
        <v>0–12 Months</v>
      </c>
    </row>
    <row r="1509" hidden="1">
      <c r="A1509" s="13" t="s">
        <v>537</v>
      </c>
      <c r="B1509" s="13" t="s">
        <v>476</v>
      </c>
      <c r="C1509" s="14">
        <v>27.0</v>
      </c>
      <c r="D1509" s="13" t="s">
        <v>69</v>
      </c>
      <c r="E1509" s="13" t="s">
        <v>70</v>
      </c>
      <c r="F1509" s="13" t="s">
        <v>37</v>
      </c>
      <c r="G1509" s="13" t="s">
        <v>120</v>
      </c>
      <c r="H1509" s="16">
        <v>45435.0</v>
      </c>
      <c r="I1509" s="14">
        <v>28.0</v>
      </c>
      <c r="J1509" s="13" t="s">
        <v>64</v>
      </c>
      <c r="K1509" s="13" t="s">
        <v>81</v>
      </c>
      <c r="L1509" s="14">
        <v>1636.0</v>
      </c>
      <c r="M1509" s="18" t="s">
        <v>43</v>
      </c>
      <c r="N1509" s="20">
        <v>0.0</v>
      </c>
      <c r="O1509" s="18">
        <v>17.7</v>
      </c>
      <c r="P1509" s="20">
        <v>3.4</v>
      </c>
      <c r="Q1509" s="16">
        <v>45712.0</v>
      </c>
      <c r="R1509" s="16" t="s">
        <v>38</v>
      </c>
      <c r="S1509" s="13" t="s">
        <v>55</v>
      </c>
      <c r="T1509" s="13" t="s">
        <v>104</v>
      </c>
      <c r="U1509" s="13" t="str">
        <f t="shared" si="1"/>
        <v>Moderate</v>
      </c>
      <c r="V1509" s="13" t="str">
        <f t="shared" si="2"/>
        <v>Below Median</v>
      </c>
      <c r="W1509" s="13" t="str">
        <f t="shared" si="3"/>
        <v>25–48 Months</v>
      </c>
    </row>
    <row r="1510" hidden="1">
      <c r="A1510" s="13" t="s">
        <v>2010</v>
      </c>
      <c r="B1510" s="13" t="s">
        <v>734</v>
      </c>
      <c r="C1510" s="14">
        <v>45.0</v>
      </c>
      <c r="D1510" s="13" t="s">
        <v>60</v>
      </c>
      <c r="E1510" s="13" t="s">
        <v>133</v>
      </c>
      <c r="F1510" s="13" t="s">
        <v>37</v>
      </c>
      <c r="G1510" s="13" t="s">
        <v>63</v>
      </c>
      <c r="H1510" s="16">
        <v>44736.0</v>
      </c>
      <c r="I1510" s="14">
        <v>31.0</v>
      </c>
      <c r="J1510" s="13" t="s">
        <v>40</v>
      </c>
      <c r="K1510" s="13" t="s">
        <v>81</v>
      </c>
      <c r="L1510" s="14">
        <v>1642.0</v>
      </c>
      <c r="M1510" s="18" t="s">
        <v>173</v>
      </c>
      <c r="N1510" s="20">
        <v>1.0</v>
      </c>
      <c r="O1510" s="18">
        <v>29.4</v>
      </c>
      <c r="P1510" s="20">
        <v>4.7</v>
      </c>
      <c r="Q1510" s="16">
        <v>44748.0</v>
      </c>
      <c r="R1510" s="16" t="s">
        <v>38</v>
      </c>
      <c r="S1510" s="13" t="s">
        <v>55</v>
      </c>
      <c r="T1510" s="13" t="s">
        <v>75</v>
      </c>
      <c r="U1510" s="13" t="str">
        <f t="shared" si="1"/>
        <v>Moderate</v>
      </c>
      <c r="V1510" s="13" t="str">
        <f t="shared" si="2"/>
        <v>Median or Above</v>
      </c>
      <c r="W1510" s="13" t="str">
        <f t="shared" si="3"/>
        <v>25–48 Months</v>
      </c>
    </row>
    <row r="1511" hidden="1">
      <c r="A1511" s="13" t="s">
        <v>667</v>
      </c>
      <c r="B1511" s="13" t="s">
        <v>250</v>
      </c>
      <c r="C1511" s="14">
        <v>38.0</v>
      </c>
      <c r="D1511" s="13" t="s">
        <v>60</v>
      </c>
      <c r="E1511" s="13" t="s">
        <v>133</v>
      </c>
      <c r="F1511" s="13" t="s">
        <v>62</v>
      </c>
      <c r="G1511" s="13" t="s">
        <v>128</v>
      </c>
      <c r="H1511" s="16">
        <v>45896.0</v>
      </c>
      <c r="I1511" s="14">
        <v>47.0</v>
      </c>
      <c r="J1511" s="13" t="s">
        <v>53</v>
      </c>
      <c r="K1511" s="13" t="s">
        <v>65</v>
      </c>
      <c r="L1511" s="14">
        <v>893.0</v>
      </c>
      <c r="M1511" s="18" t="s">
        <v>43</v>
      </c>
      <c r="N1511" s="20">
        <v>3.0</v>
      </c>
      <c r="O1511" s="18">
        <v>10.4</v>
      </c>
      <c r="P1511" s="20">
        <v>2.9</v>
      </c>
      <c r="Q1511" s="16">
        <v>45919.0</v>
      </c>
      <c r="R1511" s="16" t="s">
        <v>38</v>
      </c>
      <c r="S1511" s="13" t="s">
        <v>55</v>
      </c>
      <c r="T1511" s="13" t="s">
        <v>104</v>
      </c>
      <c r="U1511" s="13" t="str">
        <f t="shared" si="1"/>
        <v>Low</v>
      </c>
      <c r="V1511" s="13" t="str">
        <f t="shared" si="2"/>
        <v>Below Median</v>
      </c>
      <c r="W1511" s="13" t="str">
        <f t="shared" si="3"/>
        <v>25–48 Months</v>
      </c>
    </row>
    <row r="1512" hidden="1">
      <c r="A1512" s="13" t="s">
        <v>544</v>
      </c>
      <c r="B1512" s="13" t="s">
        <v>303</v>
      </c>
      <c r="C1512" s="14">
        <v>22.0</v>
      </c>
      <c r="D1512" s="13" t="s">
        <v>69</v>
      </c>
      <c r="E1512" s="13" t="s">
        <v>177</v>
      </c>
      <c r="F1512" s="13" t="s">
        <v>62</v>
      </c>
      <c r="G1512" s="13" t="s">
        <v>63</v>
      </c>
      <c r="H1512" s="16">
        <v>45906.0</v>
      </c>
      <c r="I1512" s="14">
        <v>13.0</v>
      </c>
      <c r="J1512" s="13" t="s">
        <v>53</v>
      </c>
      <c r="K1512" s="13" t="s">
        <v>65</v>
      </c>
      <c r="L1512" s="14">
        <v>815.0</v>
      </c>
      <c r="M1512" s="18" t="s">
        <v>98</v>
      </c>
      <c r="N1512" s="20">
        <v>1.0</v>
      </c>
      <c r="O1512" s="18">
        <v>17.1</v>
      </c>
      <c r="P1512" s="20">
        <v>3.9</v>
      </c>
      <c r="Q1512" s="16">
        <v>46123.0</v>
      </c>
      <c r="R1512" s="16" t="s">
        <v>38</v>
      </c>
      <c r="S1512" s="13" t="s">
        <v>55</v>
      </c>
      <c r="T1512" s="13" t="s">
        <v>75</v>
      </c>
      <c r="U1512" s="13" t="str">
        <f t="shared" si="1"/>
        <v>Moderate</v>
      </c>
      <c r="V1512" s="13" t="str">
        <f t="shared" si="2"/>
        <v>Below Median</v>
      </c>
      <c r="W1512" s="13" t="str">
        <f t="shared" si="3"/>
        <v>13–24 Months</v>
      </c>
    </row>
    <row r="1513" hidden="1">
      <c r="A1513" s="13" t="s">
        <v>1919</v>
      </c>
      <c r="B1513" s="13" t="s">
        <v>96</v>
      </c>
      <c r="C1513" s="14">
        <v>28.0</v>
      </c>
      <c r="D1513" s="13" t="s">
        <v>69</v>
      </c>
      <c r="E1513" s="13" t="s">
        <v>70</v>
      </c>
      <c r="F1513" s="13" t="s">
        <v>37</v>
      </c>
      <c r="G1513" s="13" t="s">
        <v>210</v>
      </c>
      <c r="H1513" s="16">
        <v>44689.0</v>
      </c>
      <c r="I1513" s="14">
        <v>15.0</v>
      </c>
      <c r="J1513" s="13" t="s">
        <v>64</v>
      </c>
      <c r="K1513" s="13" t="s">
        <v>65</v>
      </c>
      <c r="L1513" s="14">
        <v>1588.0</v>
      </c>
      <c r="M1513" s="18" t="s">
        <v>164</v>
      </c>
      <c r="N1513" s="20">
        <v>0.0</v>
      </c>
      <c r="O1513" s="18">
        <v>24.6</v>
      </c>
      <c r="P1513" s="20">
        <v>3.0</v>
      </c>
      <c r="Q1513" s="16">
        <v>45038.0</v>
      </c>
      <c r="R1513" s="16" t="s">
        <v>38</v>
      </c>
      <c r="S1513" s="13" t="s">
        <v>55</v>
      </c>
      <c r="T1513" s="13" t="s">
        <v>66</v>
      </c>
      <c r="U1513" s="13" t="str">
        <f t="shared" si="1"/>
        <v>Moderate</v>
      </c>
      <c r="V1513" s="13" t="str">
        <f t="shared" si="2"/>
        <v>Median or Above</v>
      </c>
      <c r="W1513" s="13" t="str">
        <f t="shared" si="3"/>
        <v>13–24 Months</v>
      </c>
    </row>
    <row r="1514" hidden="1">
      <c r="A1514" s="13" t="s">
        <v>975</v>
      </c>
      <c r="B1514" s="13" t="s">
        <v>420</v>
      </c>
      <c r="C1514" s="14">
        <v>36.0</v>
      </c>
      <c r="D1514" s="13" t="s">
        <v>35</v>
      </c>
      <c r="E1514" s="13" t="s">
        <v>51</v>
      </c>
      <c r="F1514" s="13" t="s">
        <v>62</v>
      </c>
      <c r="G1514" s="13" t="s">
        <v>39</v>
      </c>
      <c r="H1514" s="16">
        <v>44992.0</v>
      </c>
      <c r="I1514" s="14">
        <v>30.0</v>
      </c>
      <c r="J1514" s="13" t="s">
        <v>53</v>
      </c>
      <c r="K1514" s="13" t="s">
        <v>65</v>
      </c>
      <c r="L1514" s="14">
        <v>1748.0</v>
      </c>
      <c r="M1514" s="18" t="s">
        <v>43</v>
      </c>
      <c r="N1514" s="20">
        <v>2.0</v>
      </c>
      <c r="O1514" s="18">
        <v>22.1</v>
      </c>
      <c r="P1514" s="20">
        <v>1.9</v>
      </c>
      <c r="Q1514" s="16">
        <v>45831.0</v>
      </c>
      <c r="R1514" s="16" t="s">
        <v>38</v>
      </c>
      <c r="S1514" s="13" t="s">
        <v>55</v>
      </c>
      <c r="T1514" s="13" t="s">
        <v>66</v>
      </c>
      <c r="U1514" s="13" t="str">
        <f t="shared" si="1"/>
        <v>Low</v>
      </c>
      <c r="V1514" s="13" t="str">
        <f t="shared" si="2"/>
        <v>Below Median</v>
      </c>
      <c r="W1514" s="13" t="str">
        <f t="shared" si="3"/>
        <v>25–48 Months</v>
      </c>
    </row>
    <row r="1515" hidden="1">
      <c r="A1515" s="13" t="s">
        <v>2011</v>
      </c>
      <c r="B1515" s="13" t="s">
        <v>303</v>
      </c>
      <c r="C1515" s="14">
        <v>63.0</v>
      </c>
      <c r="D1515" s="13" t="s">
        <v>35</v>
      </c>
      <c r="E1515" s="13" t="s">
        <v>161</v>
      </c>
      <c r="F1515" s="13" t="s">
        <v>37</v>
      </c>
      <c r="G1515" s="13" t="s">
        <v>63</v>
      </c>
      <c r="H1515" s="16">
        <v>45471.0</v>
      </c>
      <c r="I1515" s="14">
        <v>48.0</v>
      </c>
      <c r="J1515" s="13" t="s">
        <v>53</v>
      </c>
      <c r="K1515" s="13" t="s">
        <v>65</v>
      </c>
      <c r="L1515" s="14">
        <v>1130.0</v>
      </c>
      <c r="M1515" s="18" t="s">
        <v>46</v>
      </c>
      <c r="N1515" s="20">
        <v>1.0</v>
      </c>
      <c r="O1515" s="18">
        <v>27.8</v>
      </c>
      <c r="P1515" s="20">
        <v>3.5</v>
      </c>
      <c r="Q1515" s="16">
        <v>45942.0</v>
      </c>
      <c r="R1515" s="16">
        <v>46117.0</v>
      </c>
      <c r="S1515" s="13" t="s">
        <v>45</v>
      </c>
      <c r="T1515" s="13" t="s">
        <v>72</v>
      </c>
      <c r="U1515" s="13" t="str">
        <f t="shared" si="1"/>
        <v>Moderate</v>
      </c>
      <c r="V1515" s="13" t="str">
        <f t="shared" si="2"/>
        <v>Median or Above</v>
      </c>
      <c r="W1515" s="13" t="str">
        <f t="shared" si="3"/>
        <v>25–48 Months</v>
      </c>
    </row>
    <row r="1516" hidden="1">
      <c r="A1516" s="13" t="s">
        <v>1131</v>
      </c>
      <c r="B1516" s="13" t="s">
        <v>405</v>
      </c>
      <c r="C1516" s="14">
        <v>24.0</v>
      </c>
      <c r="D1516" s="13" t="s">
        <v>35</v>
      </c>
      <c r="E1516" s="13" t="s">
        <v>140</v>
      </c>
      <c r="F1516" s="13" t="s">
        <v>37</v>
      </c>
      <c r="G1516" s="13" t="s">
        <v>52</v>
      </c>
      <c r="H1516" s="16">
        <v>45703.0</v>
      </c>
      <c r="I1516" s="14">
        <v>23.0</v>
      </c>
      <c r="J1516" s="13" t="s">
        <v>53</v>
      </c>
      <c r="K1516" s="13" t="s">
        <v>65</v>
      </c>
      <c r="L1516" s="14">
        <v>1243.0</v>
      </c>
      <c r="M1516" s="18" t="s">
        <v>98</v>
      </c>
      <c r="N1516" s="20">
        <v>0.0</v>
      </c>
      <c r="O1516" s="18">
        <v>17.2</v>
      </c>
      <c r="P1516" s="20">
        <v>3.4</v>
      </c>
      <c r="Q1516" s="16">
        <v>46386.0</v>
      </c>
      <c r="R1516" s="16" t="s">
        <v>38</v>
      </c>
      <c r="S1516" s="13" t="s">
        <v>55</v>
      </c>
      <c r="T1516" s="13" t="s">
        <v>75</v>
      </c>
      <c r="U1516" s="13" t="str">
        <f t="shared" si="1"/>
        <v>Moderate</v>
      </c>
      <c r="V1516" s="13" t="str">
        <f t="shared" si="2"/>
        <v>Below Median</v>
      </c>
      <c r="W1516" s="13" t="str">
        <f t="shared" si="3"/>
        <v>13–24 Months</v>
      </c>
    </row>
    <row r="1517" hidden="1">
      <c r="A1517" s="13" t="s">
        <v>2013</v>
      </c>
      <c r="B1517" s="13" t="s">
        <v>342</v>
      </c>
      <c r="C1517" s="14">
        <v>47.0</v>
      </c>
      <c r="D1517" s="13" t="s">
        <v>60</v>
      </c>
      <c r="E1517" s="13" t="s">
        <v>61</v>
      </c>
      <c r="F1517" s="13" t="s">
        <v>37</v>
      </c>
      <c r="G1517" s="13" t="s">
        <v>63</v>
      </c>
      <c r="H1517" s="16">
        <v>45705.0</v>
      </c>
      <c r="I1517" s="14">
        <v>23.0</v>
      </c>
      <c r="J1517" s="13" t="s">
        <v>53</v>
      </c>
      <c r="K1517" s="13" t="s">
        <v>65</v>
      </c>
      <c r="L1517" s="14">
        <v>1353.0</v>
      </c>
      <c r="M1517" s="18" t="s">
        <v>46</v>
      </c>
      <c r="N1517" s="20">
        <v>0.0</v>
      </c>
      <c r="O1517" s="18">
        <v>31.5</v>
      </c>
      <c r="P1517" s="20">
        <v>3.0</v>
      </c>
      <c r="Q1517" s="16">
        <v>45795.0</v>
      </c>
      <c r="R1517" s="16" t="s">
        <v>38</v>
      </c>
      <c r="S1517" s="13" t="s">
        <v>55</v>
      </c>
      <c r="T1517" s="13" t="s">
        <v>66</v>
      </c>
      <c r="U1517" s="13" t="str">
        <f t="shared" si="1"/>
        <v>Moderate</v>
      </c>
      <c r="V1517" s="13" t="str">
        <f t="shared" si="2"/>
        <v>Median or Above</v>
      </c>
      <c r="W1517" s="13" t="str">
        <f t="shared" si="3"/>
        <v>13–24 Months</v>
      </c>
    </row>
    <row r="1518" hidden="1">
      <c r="A1518" s="13" t="s">
        <v>1707</v>
      </c>
      <c r="B1518" s="13" t="s">
        <v>470</v>
      </c>
      <c r="C1518" s="14">
        <v>19.0</v>
      </c>
      <c r="D1518" s="13" t="s">
        <v>60</v>
      </c>
      <c r="E1518" s="13" t="s">
        <v>97</v>
      </c>
      <c r="F1518" s="13" t="s">
        <v>37</v>
      </c>
      <c r="G1518" s="13" t="s">
        <v>63</v>
      </c>
      <c r="H1518" s="16">
        <v>45377.0</v>
      </c>
      <c r="I1518" s="14">
        <v>4.0</v>
      </c>
      <c r="J1518" s="13" t="s">
        <v>64</v>
      </c>
      <c r="K1518" s="13" t="s">
        <v>65</v>
      </c>
      <c r="L1518" s="14">
        <v>1001.0</v>
      </c>
      <c r="M1518" s="18" t="s">
        <v>173</v>
      </c>
      <c r="N1518" s="20">
        <v>2.0</v>
      </c>
      <c r="O1518" s="18">
        <v>2.9</v>
      </c>
      <c r="P1518" s="20">
        <v>4.4</v>
      </c>
      <c r="Q1518" s="16">
        <v>45459.0</v>
      </c>
      <c r="R1518" s="16" t="s">
        <v>38</v>
      </c>
      <c r="S1518" s="13" t="s">
        <v>55</v>
      </c>
      <c r="T1518" s="13" t="s">
        <v>72</v>
      </c>
      <c r="U1518" s="13" t="str">
        <f t="shared" si="1"/>
        <v>Moderate</v>
      </c>
      <c r="V1518" s="13" t="str">
        <f t="shared" si="2"/>
        <v>Below Median</v>
      </c>
      <c r="W1518" s="13" t="str">
        <f t="shared" si="3"/>
        <v>0–12 Months</v>
      </c>
    </row>
    <row r="1519" hidden="1">
      <c r="A1519" s="13" t="s">
        <v>539</v>
      </c>
      <c r="B1519" s="13" t="s">
        <v>179</v>
      </c>
      <c r="C1519" s="14">
        <v>62.0</v>
      </c>
      <c r="D1519" s="13" t="s">
        <v>35</v>
      </c>
      <c r="E1519" s="13" t="s">
        <v>161</v>
      </c>
      <c r="F1519" s="13" t="s">
        <v>79</v>
      </c>
      <c r="G1519" s="13" t="s">
        <v>128</v>
      </c>
      <c r="H1519" s="16">
        <v>45071.0</v>
      </c>
      <c r="I1519" s="14">
        <v>39.0</v>
      </c>
      <c r="J1519" s="13" t="s">
        <v>40</v>
      </c>
      <c r="K1519" s="13" t="s">
        <v>81</v>
      </c>
      <c r="L1519" s="14">
        <v>2305.0</v>
      </c>
      <c r="M1519" s="18" t="s">
        <v>98</v>
      </c>
      <c r="N1519" s="20">
        <v>1.0</v>
      </c>
      <c r="O1519" s="18">
        <v>36.8</v>
      </c>
      <c r="P1519" s="20">
        <v>4.0</v>
      </c>
      <c r="Q1519" s="16">
        <v>45445.0</v>
      </c>
      <c r="R1519" s="16">
        <v>45119.0</v>
      </c>
      <c r="S1519" s="13" t="s">
        <v>45</v>
      </c>
      <c r="T1519" s="13" t="s">
        <v>75</v>
      </c>
      <c r="U1519" s="13" t="str">
        <f t="shared" si="1"/>
        <v>Moderate</v>
      </c>
      <c r="V1519" s="13" t="str">
        <f t="shared" si="2"/>
        <v>Median or Above</v>
      </c>
      <c r="W1519" s="13" t="str">
        <f t="shared" si="3"/>
        <v>25–48 Months</v>
      </c>
    </row>
    <row r="1520" hidden="1">
      <c r="A1520" s="13" t="s">
        <v>778</v>
      </c>
      <c r="B1520" s="13" t="s">
        <v>364</v>
      </c>
      <c r="C1520" s="14">
        <v>28.0</v>
      </c>
      <c r="D1520" s="13" t="s">
        <v>69</v>
      </c>
      <c r="E1520" s="13" t="s">
        <v>70</v>
      </c>
      <c r="F1520" s="13" t="s">
        <v>62</v>
      </c>
      <c r="G1520" s="13" t="s">
        <v>210</v>
      </c>
      <c r="H1520" s="16">
        <v>45676.0</v>
      </c>
      <c r="I1520" s="14">
        <v>36.0</v>
      </c>
      <c r="J1520" s="13" t="s">
        <v>53</v>
      </c>
      <c r="K1520" s="13" t="s">
        <v>65</v>
      </c>
      <c r="L1520" s="14">
        <v>641.0</v>
      </c>
      <c r="M1520" s="18" t="s">
        <v>43</v>
      </c>
      <c r="N1520" s="20">
        <v>1.0</v>
      </c>
      <c r="O1520" s="18">
        <v>16.4</v>
      </c>
      <c r="P1520" s="20">
        <v>3.9</v>
      </c>
      <c r="Q1520" s="16">
        <v>45729.0</v>
      </c>
      <c r="R1520" s="16" t="s">
        <v>38</v>
      </c>
      <c r="S1520" s="13" t="s">
        <v>55</v>
      </c>
      <c r="T1520" s="13" t="s">
        <v>47</v>
      </c>
      <c r="U1520" s="13" t="str">
        <f t="shared" si="1"/>
        <v>Moderate</v>
      </c>
      <c r="V1520" s="13" t="str">
        <f t="shared" si="2"/>
        <v>Below Median</v>
      </c>
      <c r="W1520" s="13" t="str">
        <f t="shared" si="3"/>
        <v>25–48 Months</v>
      </c>
    </row>
    <row r="1521" hidden="1">
      <c r="A1521" s="13" t="s">
        <v>2015</v>
      </c>
      <c r="B1521" s="13" t="s">
        <v>636</v>
      </c>
      <c r="C1521" s="14">
        <v>65.0</v>
      </c>
      <c r="D1521" s="13" t="s">
        <v>60</v>
      </c>
      <c r="E1521" s="13" t="s">
        <v>61</v>
      </c>
      <c r="F1521" s="13" t="s">
        <v>79</v>
      </c>
      <c r="G1521" s="13" t="s">
        <v>120</v>
      </c>
      <c r="H1521" s="16">
        <v>45140.0</v>
      </c>
      <c r="I1521" s="14">
        <v>45.0</v>
      </c>
      <c r="J1521" s="13" t="s">
        <v>53</v>
      </c>
      <c r="K1521" s="13" t="s">
        <v>41</v>
      </c>
      <c r="L1521" s="14">
        <v>3774.0</v>
      </c>
      <c r="M1521" s="18" t="s">
        <v>43</v>
      </c>
      <c r="N1521" s="20">
        <v>1.0</v>
      </c>
      <c r="O1521" s="18">
        <v>40.3</v>
      </c>
      <c r="P1521" s="20">
        <v>3.5</v>
      </c>
      <c r="Q1521" s="16">
        <v>45567.0</v>
      </c>
      <c r="R1521" s="16" t="s">
        <v>38</v>
      </c>
      <c r="S1521" s="13" t="s">
        <v>55</v>
      </c>
      <c r="T1521" s="13" t="s">
        <v>47</v>
      </c>
      <c r="U1521" s="13" t="str">
        <f t="shared" si="1"/>
        <v>Moderate</v>
      </c>
      <c r="V1521" s="13" t="str">
        <f t="shared" si="2"/>
        <v>Median or Above</v>
      </c>
      <c r="W1521" s="13" t="str">
        <f t="shared" si="3"/>
        <v>25–48 Months</v>
      </c>
    </row>
    <row r="1522" hidden="1">
      <c r="A1522" s="13" t="s">
        <v>2016</v>
      </c>
      <c r="B1522" s="13" t="s">
        <v>364</v>
      </c>
      <c r="C1522" s="14">
        <v>51.0</v>
      </c>
      <c r="D1522" s="13" t="s">
        <v>69</v>
      </c>
      <c r="E1522" s="13" t="s">
        <v>119</v>
      </c>
      <c r="F1522" s="13" t="s">
        <v>62</v>
      </c>
      <c r="G1522" s="13" t="s">
        <v>128</v>
      </c>
      <c r="H1522" s="16">
        <v>44604.0</v>
      </c>
      <c r="I1522" s="14">
        <v>33.0</v>
      </c>
      <c r="J1522" s="13" t="s">
        <v>64</v>
      </c>
      <c r="K1522" s="13" t="s">
        <v>81</v>
      </c>
      <c r="L1522" s="14">
        <v>526.0</v>
      </c>
      <c r="M1522" s="18" t="s">
        <v>43</v>
      </c>
      <c r="N1522" s="20">
        <v>1.0</v>
      </c>
      <c r="O1522" s="18">
        <v>21.7</v>
      </c>
      <c r="P1522" s="20">
        <v>3.6</v>
      </c>
      <c r="Q1522" s="16">
        <v>45474.0</v>
      </c>
      <c r="R1522" s="16" t="s">
        <v>2017</v>
      </c>
      <c r="S1522" s="13" t="s">
        <v>45</v>
      </c>
      <c r="T1522" s="13" t="s">
        <v>66</v>
      </c>
      <c r="U1522" s="13" t="str">
        <f t="shared" si="1"/>
        <v>Moderate</v>
      </c>
      <c r="V1522" s="13" t="str">
        <f t="shared" si="2"/>
        <v>Below Median</v>
      </c>
      <c r="W1522" s="13" t="str">
        <f t="shared" si="3"/>
        <v>25–48 Months</v>
      </c>
    </row>
    <row r="1523" hidden="1">
      <c r="A1523" s="13" t="s">
        <v>520</v>
      </c>
      <c r="B1523" s="13" t="s">
        <v>215</v>
      </c>
      <c r="C1523" s="14">
        <v>24.0</v>
      </c>
      <c r="D1523" s="13" t="s">
        <v>35</v>
      </c>
      <c r="E1523" s="13" t="s">
        <v>51</v>
      </c>
      <c r="F1523" s="13" t="s">
        <v>62</v>
      </c>
      <c r="G1523" s="13" t="s">
        <v>52</v>
      </c>
      <c r="H1523" s="16">
        <v>44802.0</v>
      </c>
      <c r="I1523" s="14">
        <v>39.0</v>
      </c>
      <c r="J1523" s="13" t="s">
        <v>40</v>
      </c>
      <c r="K1523" s="13" t="s">
        <v>81</v>
      </c>
      <c r="L1523" s="14">
        <v>546.0</v>
      </c>
      <c r="M1523" s="18" t="s">
        <v>46</v>
      </c>
      <c r="N1523" s="20">
        <v>0.0</v>
      </c>
      <c r="O1523" s="18">
        <v>28.3</v>
      </c>
      <c r="P1523" s="20">
        <v>4.1</v>
      </c>
      <c r="Q1523" s="16">
        <v>45389.0</v>
      </c>
      <c r="R1523" s="16" t="s">
        <v>38</v>
      </c>
      <c r="S1523" s="13" t="s">
        <v>55</v>
      </c>
      <c r="T1523" s="13" t="s">
        <v>47</v>
      </c>
      <c r="U1523" s="13" t="str">
        <f t="shared" si="1"/>
        <v>Moderate</v>
      </c>
      <c r="V1523" s="13" t="str">
        <f t="shared" si="2"/>
        <v>Median or Above</v>
      </c>
      <c r="W1523" s="13" t="str">
        <f t="shared" si="3"/>
        <v>25–48 Months</v>
      </c>
    </row>
    <row r="1524" hidden="1">
      <c r="A1524" s="13" t="s">
        <v>1500</v>
      </c>
      <c r="B1524" s="13" t="s">
        <v>459</v>
      </c>
      <c r="C1524" s="14">
        <v>61.0</v>
      </c>
      <c r="D1524" s="13" t="s">
        <v>85</v>
      </c>
      <c r="E1524" s="13" t="s">
        <v>292</v>
      </c>
      <c r="F1524" s="13" t="s">
        <v>62</v>
      </c>
      <c r="G1524" s="13" t="s">
        <v>80</v>
      </c>
      <c r="H1524" s="16">
        <v>45126.0</v>
      </c>
      <c r="I1524" s="14">
        <v>36.0</v>
      </c>
      <c r="J1524" s="13" t="s">
        <v>64</v>
      </c>
      <c r="K1524" s="13" t="s">
        <v>41</v>
      </c>
      <c r="L1524" s="14">
        <v>523.0</v>
      </c>
      <c r="M1524" s="18" t="s">
        <v>99</v>
      </c>
      <c r="N1524" s="20">
        <v>0.0</v>
      </c>
      <c r="O1524" s="18">
        <v>19.1</v>
      </c>
      <c r="P1524" s="20">
        <v>3.9</v>
      </c>
      <c r="Q1524" s="16">
        <v>45953.0</v>
      </c>
      <c r="R1524" s="16" t="s">
        <v>38</v>
      </c>
      <c r="S1524" s="13" t="s">
        <v>55</v>
      </c>
      <c r="T1524" s="13" t="s">
        <v>66</v>
      </c>
      <c r="U1524" s="13" t="str">
        <f t="shared" si="1"/>
        <v>Moderate</v>
      </c>
      <c r="V1524" s="13" t="str">
        <f t="shared" si="2"/>
        <v>Below Median</v>
      </c>
      <c r="W1524" s="13" t="str">
        <f t="shared" si="3"/>
        <v>25–48 Months</v>
      </c>
    </row>
    <row r="1525" hidden="1">
      <c r="A1525" s="13" t="s">
        <v>2018</v>
      </c>
      <c r="B1525" s="13" t="s">
        <v>364</v>
      </c>
      <c r="C1525" s="14">
        <v>49.0</v>
      </c>
      <c r="D1525" s="13" t="s">
        <v>85</v>
      </c>
      <c r="E1525" s="13" t="s">
        <v>292</v>
      </c>
      <c r="F1525" s="13" t="s">
        <v>62</v>
      </c>
      <c r="G1525" s="13" t="s">
        <v>120</v>
      </c>
      <c r="H1525" s="16">
        <v>45962.0</v>
      </c>
      <c r="I1525" s="14">
        <v>44.0</v>
      </c>
      <c r="J1525" s="13" t="s">
        <v>53</v>
      </c>
      <c r="K1525" s="13" t="s">
        <v>41</v>
      </c>
      <c r="L1525" s="14">
        <v>574.0</v>
      </c>
      <c r="M1525" s="18" t="s">
        <v>99</v>
      </c>
      <c r="N1525" s="20">
        <v>1.0</v>
      </c>
      <c r="O1525" s="18">
        <v>13.5</v>
      </c>
      <c r="P1525" s="20">
        <v>5.0</v>
      </c>
      <c r="Q1525" s="16">
        <v>46434.0</v>
      </c>
      <c r="R1525" s="16" t="s">
        <v>2019</v>
      </c>
      <c r="S1525" s="13" t="s">
        <v>45</v>
      </c>
      <c r="T1525" s="13" t="s">
        <v>72</v>
      </c>
      <c r="U1525" s="13" t="str">
        <f t="shared" si="1"/>
        <v>High</v>
      </c>
      <c r="V1525" s="13" t="str">
        <f t="shared" si="2"/>
        <v>Below Median</v>
      </c>
      <c r="W1525" s="13" t="str">
        <f t="shared" si="3"/>
        <v>25–48 Months</v>
      </c>
    </row>
    <row r="1526" hidden="1">
      <c r="A1526" s="13" t="s">
        <v>1268</v>
      </c>
      <c r="B1526" s="13" t="s">
        <v>639</v>
      </c>
      <c r="C1526" s="14">
        <v>67.0</v>
      </c>
      <c r="D1526" s="13" t="s">
        <v>60</v>
      </c>
      <c r="E1526" s="13" t="s">
        <v>107</v>
      </c>
      <c r="F1526" s="13" t="s">
        <v>37</v>
      </c>
      <c r="G1526" s="13" t="s">
        <v>52</v>
      </c>
      <c r="H1526" s="16">
        <v>44678.0</v>
      </c>
      <c r="I1526" s="14">
        <v>35.0</v>
      </c>
      <c r="J1526" s="13" t="s">
        <v>40</v>
      </c>
      <c r="K1526" s="13" t="s">
        <v>65</v>
      </c>
      <c r="L1526" s="14">
        <v>1790.0</v>
      </c>
      <c r="M1526" s="18" t="s">
        <v>43</v>
      </c>
      <c r="N1526" s="20">
        <v>0.0</v>
      </c>
      <c r="O1526" s="18">
        <v>27.2</v>
      </c>
      <c r="P1526" s="20">
        <v>4.4</v>
      </c>
      <c r="Q1526" s="16">
        <v>45090.0</v>
      </c>
      <c r="R1526" s="16" t="s">
        <v>38</v>
      </c>
      <c r="S1526" s="13" t="s">
        <v>55</v>
      </c>
      <c r="T1526" s="13" t="s">
        <v>75</v>
      </c>
      <c r="U1526" s="13" t="str">
        <f t="shared" si="1"/>
        <v>Moderate</v>
      </c>
      <c r="V1526" s="13" t="str">
        <f t="shared" si="2"/>
        <v>Median or Above</v>
      </c>
      <c r="W1526" s="13" t="str">
        <f t="shared" si="3"/>
        <v>25–48 Months</v>
      </c>
    </row>
    <row r="1527" hidden="1">
      <c r="A1527" s="13" t="s">
        <v>1514</v>
      </c>
      <c r="B1527" s="13" t="s">
        <v>160</v>
      </c>
      <c r="C1527" s="14">
        <v>39.0</v>
      </c>
      <c r="D1527" s="13" t="s">
        <v>35</v>
      </c>
      <c r="E1527" s="13" t="s">
        <v>161</v>
      </c>
      <c r="F1527" s="13" t="s">
        <v>37</v>
      </c>
      <c r="G1527" s="13" t="s">
        <v>80</v>
      </c>
      <c r="H1527" s="16">
        <v>45119.0</v>
      </c>
      <c r="I1527" s="14">
        <v>27.0</v>
      </c>
      <c r="J1527" s="13" t="s">
        <v>64</v>
      </c>
      <c r="K1527" s="13" t="s">
        <v>81</v>
      </c>
      <c r="L1527" s="14">
        <v>1395.0</v>
      </c>
      <c r="M1527" s="18" t="s">
        <v>43</v>
      </c>
      <c r="N1527" s="20">
        <v>1.0</v>
      </c>
      <c r="O1527" s="18">
        <v>40.2</v>
      </c>
      <c r="P1527" s="20">
        <v>3.3</v>
      </c>
      <c r="Q1527" s="16">
        <v>45264.0</v>
      </c>
      <c r="R1527" s="16">
        <v>45301.0</v>
      </c>
      <c r="S1527" s="13" t="s">
        <v>45</v>
      </c>
      <c r="T1527" s="13" t="s">
        <v>75</v>
      </c>
      <c r="U1527" s="13" t="str">
        <f t="shared" si="1"/>
        <v>Moderate</v>
      </c>
      <c r="V1527" s="13" t="str">
        <f t="shared" si="2"/>
        <v>Median or Above</v>
      </c>
      <c r="W1527" s="13" t="str">
        <f t="shared" si="3"/>
        <v>25–48 Months</v>
      </c>
    </row>
    <row r="1528" hidden="1">
      <c r="A1528" s="13" t="s">
        <v>1940</v>
      </c>
      <c r="B1528" s="13" t="s">
        <v>645</v>
      </c>
      <c r="C1528" s="14">
        <v>19.0</v>
      </c>
      <c r="D1528" s="13" t="s">
        <v>60</v>
      </c>
      <c r="E1528" s="13" t="s">
        <v>97</v>
      </c>
      <c r="F1528" s="13" t="s">
        <v>79</v>
      </c>
      <c r="G1528" s="13" t="s">
        <v>39</v>
      </c>
      <c r="H1528" s="16">
        <v>45349.0</v>
      </c>
      <c r="I1528" s="14">
        <v>5.0</v>
      </c>
      <c r="J1528" s="13" t="s">
        <v>40</v>
      </c>
      <c r="K1528" s="13" t="s">
        <v>65</v>
      </c>
      <c r="L1528" s="14">
        <v>2264.0</v>
      </c>
      <c r="M1528" s="18" t="s">
        <v>98</v>
      </c>
      <c r="N1528" s="20">
        <v>2.0</v>
      </c>
      <c r="O1528" s="18">
        <v>37.0</v>
      </c>
      <c r="P1528" s="20">
        <v>3.7</v>
      </c>
      <c r="Q1528" s="16">
        <v>45454.0</v>
      </c>
      <c r="R1528" s="16" t="s">
        <v>2022</v>
      </c>
      <c r="S1528" s="13" t="s">
        <v>45</v>
      </c>
      <c r="T1528" s="13" t="s">
        <v>66</v>
      </c>
      <c r="U1528" s="13" t="str">
        <f t="shared" si="1"/>
        <v>Moderate</v>
      </c>
      <c r="V1528" s="13" t="str">
        <f t="shared" si="2"/>
        <v>Median or Above</v>
      </c>
      <c r="W1528" s="13" t="str">
        <f t="shared" si="3"/>
        <v>0–12 Months</v>
      </c>
    </row>
    <row r="1529" hidden="1">
      <c r="A1529" s="13" t="s">
        <v>2023</v>
      </c>
      <c r="B1529" s="13" t="s">
        <v>295</v>
      </c>
      <c r="C1529" s="14">
        <v>21.0</v>
      </c>
      <c r="D1529" s="13" t="s">
        <v>35</v>
      </c>
      <c r="E1529" s="13" t="s">
        <v>161</v>
      </c>
      <c r="F1529" s="13" t="s">
        <v>79</v>
      </c>
      <c r="G1529" s="13" t="s">
        <v>63</v>
      </c>
      <c r="H1529" s="16">
        <v>45367.0</v>
      </c>
      <c r="I1529" s="14">
        <v>16.0</v>
      </c>
      <c r="J1529" s="13" t="s">
        <v>40</v>
      </c>
      <c r="K1529" s="13" t="s">
        <v>81</v>
      </c>
      <c r="L1529" s="14">
        <v>2887.0</v>
      </c>
      <c r="M1529" s="18" t="s">
        <v>43</v>
      </c>
      <c r="N1529" s="20">
        <v>2.0</v>
      </c>
      <c r="O1529" s="18">
        <v>44.1</v>
      </c>
      <c r="P1529" s="20">
        <v>4.7</v>
      </c>
      <c r="Q1529" s="16">
        <v>45801.0</v>
      </c>
      <c r="R1529" s="16" t="s">
        <v>38</v>
      </c>
      <c r="S1529" s="13" t="s">
        <v>55</v>
      </c>
      <c r="T1529" s="13" t="s">
        <v>66</v>
      </c>
      <c r="U1529" s="13" t="str">
        <f t="shared" si="1"/>
        <v>Moderate</v>
      </c>
      <c r="V1529" s="13" t="str">
        <f t="shared" si="2"/>
        <v>Median or Above</v>
      </c>
      <c r="W1529" s="13" t="str">
        <f t="shared" si="3"/>
        <v>13–24 Months</v>
      </c>
    </row>
    <row r="1530" hidden="1">
      <c r="A1530" s="13" t="s">
        <v>2188</v>
      </c>
      <c r="B1530" s="13" t="s">
        <v>340</v>
      </c>
      <c r="C1530" s="14">
        <v>29.0</v>
      </c>
      <c r="D1530" s="13" t="s">
        <v>35</v>
      </c>
      <c r="E1530" s="13" t="s">
        <v>140</v>
      </c>
      <c r="F1530" s="13" t="s">
        <v>62</v>
      </c>
      <c r="G1530" s="13" t="s">
        <v>63</v>
      </c>
      <c r="H1530" s="16">
        <v>45839.0</v>
      </c>
      <c r="I1530" s="14">
        <v>35.0</v>
      </c>
      <c r="J1530" s="13" t="s">
        <v>40</v>
      </c>
      <c r="K1530" s="13" t="s">
        <v>81</v>
      </c>
      <c r="L1530" s="14">
        <v>504.0</v>
      </c>
      <c r="M1530" s="18" t="s">
        <v>98</v>
      </c>
      <c r="N1530" s="20">
        <v>1.0</v>
      </c>
      <c r="O1530" s="18">
        <v>20.4</v>
      </c>
      <c r="P1530" s="20">
        <v>4.7</v>
      </c>
      <c r="Q1530" s="16">
        <v>45938.0</v>
      </c>
      <c r="R1530" s="16" t="s">
        <v>38</v>
      </c>
      <c r="S1530" s="13" t="s">
        <v>55</v>
      </c>
      <c r="T1530" s="13" t="s">
        <v>47</v>
      </c>
      <c r="U1530" s="13" t="str">
        <f t="shared" si="1"/>
        <v>Moderate</v>
      </c>
      <c r="V1530" s="13" t="str">
        <f t="shared" si="2"/>
        <v>Below Median</v>
      </c>
      <c r="W1530" s="13" t="str">
        <f t="shared" si="3"/>
        <v>25–48 Months</v>
      </c>
    </row>
    <row r="1531" hidden="1">
      <c r="A1531" s="13" t="s">
        <v>1293</v>
      </c>
      <c r="B1531" s="13" t="s">
        <v>229</v>
      </c>
      <c r="C1531" s="14">
        <v>63.0</v>
      </c>
      <c r="D1531" s="13" t="s">
        <v>35</v>
      </c>
      <c r="E1531" s="13" t="s">
        <v>51</v>
      </c>
      <c r="F1531" s="13" t="s">
        <v>62</v>
      </c>
      <c r="G1531" s="13" t="s">
        <v>63</v>
      </c>
      <c r="H1531" s="16">
        <v>45807.0</v>
      </c>
      <c r="I1531" s="14">
        <v>17.0</v>
      </c>
      <c r="J1531" s="13" t="s">
        <v>64</v>
      </c>
      <c r="K1531" s="13" t="s">
        <v>65</v>
      </c>
      <c r="L1531" s="14">
        <v>851.0</v>
      </c>
      <c r="M1531" s="18" t="s">
        <v>46</v>
      </c>
      <c r="N1531" s="20">
        <v>0.0</v>
      </c>
      <c r="O1531" s="18">
        <v>16.3</v>
      </c>
      <c r="P1531" s="20">
        <v>2.8</v>
      </c>
      <c r="Q1531" s="16">
        <v>46288.0</v>
      </c>
      <c r="R1531" s="16" t="s">
        <v>38</v>
      </c>
      <c r="S1531" s="13" t="s">
        <v>55</v>
      </c>
      <c r="T1531" s="13" t="s">
        <v>47</v>
      </c>
      <c r="U1531" s="13" t="str">
        <f t="shared" si="1"/>
        <v>Low</v>
      </c>
      <c r="V1531" s="13" t="str">
        <f t="shared" si="2"/>
        <v>Below Median</v>
      </c>
      <c r="W1531" s="13" t="str">
        <f t="shared" si="3"/>
        <v>13–24 Months</v>
      </c>
    </row>
    <row r="1532" hidden="1">
      <c r="A1532" s="13" t="s">
        <v>105</v>
      </c>
      <c r="B1532" s="13" t="s">
        <v>241</v>
      </c>
      <c r="C1532" s="14">
        <v>61.0</v>
      </c>
      <c r="D1532" s="13" t="s">
        <v>69</v>
      </c>
      <c r="E1532" s="13" t="s">
        <v>119</v>
      </c>
      <c r="F1532" s="13" t="s">
        <v>62</v>
      </c>
      <c r="G1532" s="13" t="s">
        <v>80</v>
      </c>
      <c r="H1532" s="16">
        <v>45654.0</v>
      </c>
      <c r="I1532" s="14">
        <v>28.0</v>
      </c>
      <c r="J1532" s="13" t="s">
        <v>53</v>
      </c>
      <c r="K1532" s="13" t="s">
        <v>65</v>
      </c>
      <c r="L1532" s="14">
        <v>736.0</v>
      </c>
      <c r="M1532" s="18" t="s">
        <v>99</v>
      </c>
      <c r="N1532" s="20">
        <v>0.0</v>
      </c>
      <c r="O1532" s="18">
        <v>4.4</v>
      </c>
      <c r="P1532" s="20">
        <v>3.0</v>
      </c>
      <c r="Q1532" s="16">
        <v>46498.0</v>
      </c>
      <c r="R1532" s="16" t="s">
        <v>38</v>
      </c>
      <c r="S1532" s="13" t="s">
        <v>55</v>
      </c>
      <c r="T1532" s="13" t="s">
        <v>72</v>
      </c>
      <c r="U1532" s="13" t="str">
        <f t="shared" si="1"/>
        <v>Moderate</v>
      </c>
      <c r="V1532" s="13" t="str">
        <f t="shared" si="2"/>
        <v>Below Median</v>
      </c>
      <c r="W1532" s="13" t="str">
        <f t="shared" si="3"/>
        <v>25–48 Months</v>
      </c>
    </row>
    <row r="1533" hidden="1">
      <c r="A1533" s="13" t="s">
        <v>2025</v>
      </c>
      <c r="B1533" s="13" t="s">
        <v>325</v>
      </c>
      <c r="C1533" s="14">
        <v>54.0</v>
      </c>
      <c r="D1533" s="13" t="s">
        <v>69</v>
      </c>
      <c r="E1533" s="13" t="s">
        <v>70</v>
      </c>
      <c r="F1533" s="13" t="s">
        <v>62</v>
      </c>
      <c r="G1533" s="13" t="s">
        <v>52</v>
      </c>
      <c r="H1533" s="16">
        <v>45702.0</v>
      </c>
      <c r="I1533" s="14">
        <v>39.0</v>
      </c>
      <c r="J1533" s="13" t="s">
        <v>40</v>
      </c>
      <c r="K1533" s="13" t="s">
        <v>81</v>
      </c>
      <c r="L1533" s="14">
        <v>645.0</v>
      </c>
      <c r="M1533" s="18" t="s">
        <v>43</v>
      </c>
      <c r="N1533" s="20">
        <v>1.0</v>
      </c>
      <c r="O1533" s="18">
        <v>18.4</v>
      </c>
      <c r="P1533" s="20">
        <v>4.3</v>
      </c>
      <c r="Q1533" s="16">
        <v>46764.0</v>
      </c>
      <c r="R1533" s="16" t="s">
        <v>38</v>
      </c>
      <c r="S1533" s="13" t="s">
        <v>55</v>
      </c>
      <c r="T1533" s="13" t="s">
        <v>66</v>
      </c>
      <c r="U1533" s="13" t="str">
        <f t="shared" si="1"/>
        <v>Moderate</v>
      </c>
      <c r="V1533" s="13" t="str">
        <f t="shared" si="2"/>
        <v>Below Median</v>
      </c>
      <c r="W1533" s="13" t="str">
        <f t="shared" si="3"/>
        <v>25–48 Months</v>
      </c>
    </row>
    <row r="1534" hidden="1">
      <c r="A1534" s="13" t="s">
        <v>231</v>
      </c>
      <c r="B1534" s="13" t="s">
        <v>106</v>
      </c>
      <c r="C1534" s="14">
        <v>57.0</v>
      </c>
      <c r="D1534" s="13" t="s">
        <v>85</v>
      </c>
      <c r="E1534" s="13" t="s">
        <v>92</v>
      </c>
      <c r="F1534" s="13" t="s">
        <v>37</v>
      </c>
      <c r="G1534" s="13" t="s">
        <v>80</v>
      </c>
      <c r="H1534" s="16">
        <v>44994.0</v>
      </c>
      <c r="I1534" s="14">
        <v>19.0</v>
      </c>
      <c r="J1534" s="13" t="s">
        <v>64</v>
      </c>
      <c r="K1534" s="13" t="s">
        <v>65</v>
      </c>
      <c r="L1534" s="14">
        <v>1779.0</v>
      </c>
      <c r="M1534" s="18" t="s">
        <v>99</v>
      </c>
      <c r="N1534" s="20">
        <v>3.0</v>
      </c>
      <c r="O1534" s="18">
        <v>16.9</v>
      </c>
      <c r="P1534" s="20">
        <v>3.6</v>
      </c>
      <c r="Q1534" s="16">
        <v>45411.0</v>
      </c>
      <c r="R1534" s="16" t="s">
        <v>2026</v>
      </c>
      <c r="S1534" s="13" t="s">
        <v>45</v>
      </c>
      <c r="T1534" s="13" t="s">
        <v>47</v>
      </c>
      <c r="U1534" s="13" t="str">
        <f t="shared" si="1"/>
        <v>Moderate</v>
      </c>
      <c r="V1534" s="13" t="str">
        <f t="shared" si="2"/>
        <v>Below Median</v>
      </c>
      <c r="W1534" s="13" t="str">
        <f t="shared" si="3"/>
        <v>13–24 Months</v>
      </c>
    </row>
    <row r="1535" hidden="1">
      <c r="A1535" s="13" t="s">
        <v>713</v>
      </c>
      <c r="B1535" s="13" t="s">
        <v>322</v>
      </c>
      <c r="C1535" s="14">
        <v>53.0</v>
      </c>
      <c r="D1535" s="13" t="s">
        <v>85</v>
      </c>
      <c r="E1535" s="13" t="s">
        <v>87</v>
      </c>
      <c r="F1535" s="13" t="s">
        <v>62</v>
      </c>
      <c r="G1535" s="13" t="s">
        <v>52</v>
      </c>
      <c r="H1535" s="16">
        <v>45396.0</v>
      </c>
      <c r="I1535" s="14">
        <v>25.0</v>
      </c>
      <c r="J1535" s="13" t="s">
        <v>53</v>
      </c>
      <c r="K1535" s="13" t="s">
        <v>41</v>
      </c>
      <c r="L1535" s="14">
        <v>708.0</v>
      </c>
      <c r="M1535" s="18" t="s">
        <v>98</v>
      </c>
      <c r="N1535" s="20">
        <v>2.0</v>
      </c>
      <c r="O1535" s="18">
        <v>21.2</v>
      </c>
      <c r="P1535" s="20">
        <v>2.1</v>
      </c>
      <c r="Q1535" s="16">
        <v>45836.0</v>
      </c>
      <c r="R1535" s="16" t="s">
        <v>38</v>
      </c>
      <c r="S1535" s="13" t="s">
        <v>55</v>
      </c>
      <c r="T1535" s="13" t="s">
        <v>75</v>
      </c>
      <c r="U1535" s="13" t="str">
        <f t="shared" si="1"/>
        <v>Low</v>
      </c>
      <c r="V1535" s="13" t="str">
        <f t="shared" si="2"/>
        <v>Below Median</v>
      </c>
      <c r="W1535" s="13" t="str">
        <f t="shared" si="3"/>
        <v>25–48 Months</v>
      </c>
    </row>
    <row r="1536" hidden="1">
      <c r="A1536" s="13" t="s">
        <v>797</v>
      </c>
      <c r="B1536" s="13" t="s">
        <v>281</v>
      </c>
      <c r="C1536" s="14">
        <v>20.0</v>
      </c>
      <c r="D1536" s="13" t="s">
        <v>60</v>
      </c>
      <c r="E1536" s="13" t="s">
        <v>133</v>
      </c>
      <c r="F1536" s="13" t="s">
        <v>79</v>
      </c>
      <c r="G1536" s="13" t="s">
        <v>39</v>
      </c>
      <c r="H1536" s="16">
        <v>45425.0</v>
      </c>
      <c r="I1536" s="14">
        <v>26.0</v>
      </c>
      <c r="J1536" s="13" t="s">
        <v>40</v>
      </c>
      <c r="K1536" s="13" t="s">
        <v>65</v>
      </c>
      <c r="L1536" s="14">
        <v>3636.0</v>
      </c>
      <c r="M1536" s="18" t="s">
        <v>43</v>
      </c>
      <c r="N1536" s="20">
        <v>0.0</v>
      </c>
      <c r="O1536" s="18">
        <v>35.7</v>
      </c>
      <c r="P1536" s="20">
        <v>3.7</v>
      </c>
      <c r="Q1536" s="16">
        <v>45499.0</v>
      </c>
      <c r="R1536" s="16" t="s">
        <v>38</v>
      </c>
      <c r="S1536" s="13" t="s">
        <v>55</v>
      </c>
      <c r="T1536" s="13" t="s">
        <v>47</v>
      </c>
      <c r="U1536" s="13" t="str">
        <f t="shared" si="1"/>
        <v>Moderate</v>
      </c>
      <c r="V1536" s="13" t="str">
        <f t="shared" si="2"/>
        <v>Median or Above</v>
      </c>
      <c r="W1536" s="13" t="str">
        <f t="shared" si="3"/>
        <v>25–48 Months</v>
      </c>
    </row>
    <row r="1537" hidden="1">
      <c r="A1537" s="13" t="s">
        <v>687</v>
      </c>
      <c r="B1537" s="13" t="s">
        <v>229</v>
      </c>
      <c r="C1537" s="14">
        <v>55.0</v>
      </c>
      <c r="D1537" s="13" t="s">
        <v>35</v>
      </c>
      <c r="E1537" s="13" t="s">
        <v>36</v>
      </c>
      <c r="F1537" s="13" t="s">
        <v>62</v>
      </c>
      <c r="G1537" s="13" t="s">
        <v>52</v>
      </c>
      <c r="H1537" s="16">
        <v>45862.0</v>
      </c>
      <c r="I1537" s="14">
        <v>6.0</v>
      </c>
      <c r="J1537" s="13" t="s">
        <v>40</v>
      </c>
      <c r="K1537" s="13" t="s">
        <v>65</v>
      </c>
      <c r="L1537" s="14">
        <v>547.0</v>
      </c>
      <c r="M1537" s="18" t="s">
        <v>46</v>
      </c>
      <c r="N1537" s="20">
        <v>1.0</v>
      </c>
      <c r="O1537" s="18">
        <v>19.4</v>
      </c>
      <c r="P1537" s="20">
        <v>3.7</v>
      </c>
      <c r="Q1537" s="16">
        <v>45885.0</v>
      </c>
      <c r="R1537" s="16" t="s">
        <v>38</v>
      </c>
      <c r="S1537" s="13" t="s">
        <v>55</v>
      </c>
      <c r="T1537" s="13" t="s">
        <v>47</v>
      </c>
      <c r="U1537" s="13" t="str">
        <f t="shared" si="1"/>
        <v>Moderate</v>
      </c>
      <c r="V1537" s="13" t="str">
        <f t="shared" si="2"/>
        <v>Below Median</v>
      </c>
      <c r="W1537" s="13" t="str">
        <f t="shared" si="3"/>
        <v>0–12 Months</v>
      </c>
    </row>
    <row r="1538" hidden="1">
      <c r="A1538" s="13" t="s">
        <v>162</v>
      </c>
      <c r="B1538" s="13" t="s">
        <v>184</v>
      </c>
      <c r="C1538" s="14">
        <v>32.0</v>
      </c>
      <c r="D1538" s="13" t="s">
        <v>60</v>
      </c>
      <c r="E1538" s="13" t="s">
        <v>107</v>
      </c>
      <c r="F1538" s="13" t="s">
        <v>62</v>
      </c>
      <c r="G1538" s="13" t="s">
        <v>39</v>
      </c>
      <c r="H1538" s="16">
        <v>45771.0</v>
      </c>
      <c r="I1538" s="14">
        <v>21.0</v>
      </c>
      <c r="J1538" s="13" t="s">
        <v>40</v>
      </c>
      <c r="K1538" s="13" t="s">
        <v>81</v>
      </c>
      <c r="L1538" s="14">
        <v>789.0</v>
      </c>
      <c r="M1538" s="18" t="s">
        <v>164</v>
      </c>
      <c r="N1538" s="20">
        <v>0.0</v>
      </c>
      <c r="O1538" s="18">
        <v>16.5</v>
      </c>
      <c r="P1538" s="20">
        <v>3.6</v>
      </c>
      <c r="Q1538" s="16">
        <v>46165.0</v>
      </c>
      <c r="R1538" s="16" t="s">
        <v>38</v>
      </c>
      <c r="S1538" s="13" t="s">
        <v>55</v>
      </c>
      <c r="T1538" s="13" t="s">
        <v>72</v>
      </c>
      <c r="U1538" s="13" t="str">
        <f t="shared" si="1"/>
        <v>Moderate</v>
      </c>
      <c r="V1538" s="13" t="str">
        <f t="shared" si="2"/>
        <v>Below Median</v>
      </c>
      <c r="W1538" s="13" t="str">
        <f t="shared" si="3"/>
        <v>13–24 Months</v>
      </c>
    </row>
    <row r="1539" hidden="1">
      <c r="A1539" s="13" t="s">
        <v>862</v>
      </c>
      <c r="B1539" s="13" t="s">
        <v>393</v>
      </c>
      <c r="C1539" s="14">
        <v>66.0</v>
      </c>
      <c r="D1539" s="13" t="s">
        <v>85</v>
      </c>
      <c r="E1539" s="13" t="s">
        <v>292</v>
      </c>
      <c r="F1539" s="13" t="s">
        <v>62</v>
      </c>
      <c r="G1539" s="13" t="s">
        <v>120</v>
      </c>
      <c r="H1539" s="16">
        <v>44814.0</v>
      </c>
      <c r="I1539" s="14">
        <v>37.0</v>
      </c>
      <c r="J1539" s="13" t="s">
        <v>53</v>
      </c>
      <c r="K1539" s="13" t="s">
        <v>81</v>
      </c>
      <c r="L1539" s="14">
        <v>539.0</v>
      </c>
      <c r="M1539" s="18" t="s">
        <v>98</v>
      </c>
      <c r="N1539" s="20">
        <v>0.0</v>
      </c>
      <c r="O1539" s="18">
        <v>9.7</v>
      </c>
      <c r="P1539" s="20">
        <v>4.3</v>
      </c>
      <c r="Q1539" s="16">
        <v>45898.0</v>
      </c>
      <c r="R1539" s="16">
        <v>45698.0</v>
      </c>
      <c r="S1539" s="13" t="s">
        <v>45</v>
      </c>
      <c r="T1539" s="13" t="s">
        <v>75</v>
      </c>
      <c r="U1539" s="13" t="str">
        <f t="shared" si="1"/>
        <v>Moderate</v>
      </c>
      <c r="V1539" s="13" t="str">
        <f t="shared" si="2"/>
        <v>Below Median</v>
      </c>
      <c r="W1539" s="13" t="str">
        <f t="shared" si="3"/>
        <v>25–48 Months</v>
      </c>
    </row>
    <row r="1540" hidden="1">
      <c r="A1540" s="13" t="s">
        <v>171</v>
      </c>
      <c r="B1540" s="13" t="s">
        <v>169</v>
      </c>
      <c r="C1540" s="14">
        <v>44.0</v>
      </c>
      <c r="D1540" s="13" t="s">
        <v>69</v>
      </c>
      <c r="E1540" s="13" t="s">
        <v>119</v>
      </c>
      <c r="F1540" s="13" t="s">
        <v>62</v>
      </c>
      <c r="G1540" s="13" t="s">
        <v>63</v>
      </c>
      <c r="H1540" s="16">
        <v>45696.0</v>
      </c>
      <c r="I1540" s="14">
        <v>16.0</v>
      </c>
      <c r="J1540" s="13" t="s">
        <v>64</v>
      </c>
      <c r="K1540" s="13" t="s">
        <v>41</v>
      </c>
      <c r="L1540" s="14">
        <v>664.0</v>
      </c>
      <c r="M1540" s="18" t="s">
        <v>164</v>
      </c>
      <c r="N1540" s="20">
        <v>1.0</v>
      </c>
      <c r="O1540" s="18">
        <v>10.8</v>
      </c>
      <c r="P1540" s="20">
        <v>4.2</v>
      </c>
      <c r="Q1540" s="16">
        <v>45959.0</v>
      </c>
      <c r="R1540" s="16" t="s">
        <v>38</v>
      </c>
      <c r="S1540" s="13" t="s">
        <v>55</v>
      </c>
      <c r="T1540" s="13" t="s">
        <v>72</v>
      </c>
      <c r="U1540" s="13" t="str">
        <f t="shared" si="1"/>
        <v>Moderate</v>
      </c>
      <c r="V1540" s="13" t="str">
        <f t="shared" si="2"/>
        <v>Below Median</v>
      </c>
      <c r="W1540" s="13" t="str">
        <f t="shared" si="3"/>
        <v>13–24 Months</v>
      </c>
    </row>
    <row r="1541" hidden="1">
      <c r="A1541" s="13" t="s">
        <v>1568</v>
      </c>
      <c r="B1541" s="13" t="s">
        <v>651</v>
      </c>
      <c r="C1541" s="14">
        <v>55.0</v>
      </c>
      <c r="D1541" s="13" t="s">
        <v>85</v>
      </c>
      <c r="E1541" s="13" t="s">
        <v>292</v>
      </c>
      <c r="F1541" s="13" t="s">
        <v>37</v>
      </c>
      <c r="G1541" s="13" t="s">
        <v>39</v>
      </c>
      <c r="H1541" s="16">
        <v>45983.0</v>
      </c>
      <c r="I1541" s="14">
        <v>31.0</v>
      </c>
      <c r="J1541" s="13" t="s">
        <v>40</v>
      </c>
      <c r="K1541" s="13" t="s">
        <v>65</v>
      </c>
      <c r="L1541" s="14">
        <v>1089.0</v>
      </c>
      <c r="M1541" s="18" t="s">
        <v>98</v>
      </c>
      <c r="N1541" s="20">
        <v>0.0</v>
      </c>
      <c r="O1541" s="18">
        <v>44.4</v>
      </c>
      <c r="P1541" s="20">
        <v>5.0</v>
      </c>
      <c r="Q1541" s="16">
        <v>46264.0</v>
      </c>
      <c r="R1541" s="16" t="s">
        <v>2028</v>
      </c>
      <c r="S1541" s="13" t="s">
        <v>45</v>
      </c>
      <c r="T1541" s="13" t="s">
        <v>104</v>
      </c>
      <c r="U1541" s="13" t="str">
        <f t="shared" si="1"/>
        <v>High</v>
      </c>
      <c r="V1541" s="13" t="str">
        <f t="shared" si="2"/>
        <v>Median or Above</v>
      </c>
      <c r="W1541" s="13" t="str">
        <f t="shared" si="3"/>
        <v>25–48 Months</v>
      </c>
    </row>
    <row r="1542" hidden="1">
      <c r="A1542" s="13" t="s">
        <v>2029</v>
      </c>
      <c r="B1542" s="13" t="s">
        <v>160</v>
      </c>
      <c r="C1542" s="14">
        <v>55.0</v>
      </c>
      <c r="D1542" s="13" t="s">
        <v>85</v>
      </c>
      <c r="E1542" s="13" t="s">
        <v>133</v>
      </c>
      <c r="F1542" s="13" t="s">
        <v>37</v>
      </c>
      <c r="G1542" s="13" t="s">
        <v>39</v>
      </c>
      <c r="H1542" s="16">
        <v>44950.0</v>
      </c>
      <c r="I1542" s="14">
        <v>10.0</v>
      </c>
      <c r="J1542" s="13" t="s">
        <v>53</v>
      </c>
      <c r="K1542" s="13" t="s">
        <v>65</v>
      </c>
      <c r="L1542" s="14">
        <v>1714.0</v>
      </c>
      <c r="M1542" s="18" t="s">
        <v>43</v>
      </c>
      <c r="N1542" s="20">
        <v>1.0</v>
      </c>
      <c r="O1542" s="18">
        <v>39.4</v>
      </c>
      <c r="P1542" s="20">
        <v>3.2</v>
      </c>
      <c r="Q1542" s="16">
        <v>45068.0</v>
      </c>
      <c r="R1542" s="16" t="s">
        <v>38</v>
      </c>
      <c r="S1542" s="13" t="s">
        <v>55</v>
      </c>
      <c r="T1542" s="13" t="s">
        <v>72</v>
      </c>
      <c r="U1542" s="13" t="str">
        <f t="shared" si="1"/>
        <v>Moderate</v>
      </c>
      <c r="V1542" s="13" t="str">
        <f t="shared" si="2"/>
        <v>Median or Above</v>
      </c>
      <c r="W1542" s="13" t="str">
        <f t="shared" si="3"/>
        <v>0–12 Months</v>
      </c>
    </row>
    <row r="1543" hidden="1">
      <c r="A1543" s="13" t="s">
        <v>138</v>
      </c>
      <c r="B1543" s="13" t="s">
        <v>322</v>
      </c>
      <c r="C1543" s="14">
        <v>29.0</v>
      </c>
      <c r="D1543" s="13" t="s">
        <v>69</v>
      </c>
      <c r="E1543" s="13" t="s">
        <v>187</v>
      </c>
      <c r="F1543" s="13" t="s">
        <v>62</v>
      </c>
      <c r="G1543" s="13" t="s">
        <v>128</v>
      </c>
      <c r="H1543" s="16">
        <v>44897.0</v>
      </c>
      <c r="I1543" s="14">
        <v>26.0</v>
      </c>
      <c r="J1543" s="13" t="s">
        <v>53</v>
      </c>
      <c r="K1543" s="13" t="s">
        <v>65</v>
      </c>
      <c r="L1543" s="14">
        <v>734.0</v>
      </c>
      <c r="M1543" s="18" t="s">
        <v>46</v>
      </c>
      <c r="N1543" s="20">
        <v>1.0</v>
      </c>
      <c r="O1543" s="18">
        <v>34.3</v>
      </c>
      <c r="P1543" s="20">
        <v>5.0</v>
      </c>
      <c r="Q1543" s="16">
        <v>45514.0</v>
      </c>
      <c r="R1543" s="16" t="s">
        <v>2030</v>
      </c>
      <c r="S1543" s="13" t="s">
        <v>45</v>
      </c>
      <c r="T1543" s="13" t="s">
        <v>47</v>
      </c>
      <c r="U1543" s="13" t="str">
        <f t="shared" si="1"/>
        <v>High</v>
      </c>
      <c r="V1543" s="13" t="str">
        <f t="shared" si="2"/>
        <v>Median or Above</v>
      </c>
      <c r="W1543" s="13" t="str">
        <f t="shared" si="3"/>
        <v>25–48 Months</v>
      </c>
    </row>
    <row r="1544" hidden="1">
      <c r="A1544" s="13" t="s">
        <v>2031</v>
      </c>
      <c r="B1544" s="13" t="s">
        <v>651</v>
      </c>
      <c r="C1544" s="14">
        <v>35.0</v>
      </c>
      <c r="D1544" s="13" t="s">
        <v>69</v>
      </c>
      <c r="E1544" s="13" t="s">
        <v>187</v>
      </c>
      <c r="F1544" s="13" t="s">
        <v>37</v>
      </c>
      <c r="G1544" s="13" t="s">
        <v>128</v>
      </c>
      <c r="H1544" s="16">
        <v>45254.0</v>
      </c>
      <c r="I1544" s="14">
        <v>42.0</v>
      </c>
      <c r="J1544" s="13" t="s">
        <v>64</v>
      </c>
      <c r="K1544" s="13" t="s">
        <v>41</v>
      </c>
      <c r="L1544" s="14">
        <v>1243.0</v>
      </c>
      <c r="M1544" s="18" t="s">
        <v>99</v>
      </c>
      <c r="N1544" s="20">
        <v>0.0</v>
      </c>
      <c r="O1544" s="18">
        <v>30.7</v>
      </c>
      <c r="P1544" s="20">
        <v>4.4</v>
      </c>
      <c r="Q1544" s="16">
        <v>45637.0</v>
      </c>
      <c r="R1544" s="16" t="s">
        <v>38</v>
      </c>
      <c r="S1544" s="13" t="s">
        <v>55</v>
      </c>
      <c r="T1544" s="13" t="s">
        <v>104</v>
      </c>
      <c r="U1544" s="13" t="str">
        <f t="shared" si="1"/>
        <v>Moderate</v>
      </c>
      <c r="V1544" s="13" t="str">
        <f t="shared" si="2"/>
        <v>Median or Above</v>
      </c>
      <c r="W1544" s="13" t="str">
        <f t="shared" si="3"/>
        <v>25–48 Months</v>
      </c>
    </row>
    <row r="1545" hidden="1">
      <c r="A1545" s="13" t="s">
        <v>1997</v>
      </c>
      <c r="B1545" s="13" t="s">
        <v>605</v>
      </c>
      <c r="C1545" s="14">
        <v>57.0</v>
      </c>
      <c r="D1545" s="13" t="s">
        <v>69</v>
      </c>
      <c r="E1545" s="13" t="s">
        <v>187</v>
      </c>
      <c r="F1545" s="13" t="s">
        <v>37</v>
      </c>
      <c r="G1545" s="13" t="s">
        <v>39</v>
      </c>
      <c r="H1545" s="16">
        <v>45619.0</v>
      </c>
      <c r="I1545" s="14">
        <v>18.0</v>
      </c>
      <c r="J1545" s="13" t="s">
        <v>40</v>
      </c>
      <c r="K1545" s="13" t="s">
        <v>81</v>
      </c>
      <c r="L1545" s="14">
        <v>1303.0</v>
      </c>
      <c r="M1545" s="18" t="s">
        <v>99</v>
      </c>
      <c r="N1545" s="20">
        <v>1.0</v>
      </c>
      <c r="O1545" s="18">
        <v>25.5</v>
      </c>
      <c r="P1545" s="20">
        <v>3.6</v>
      </c>
      <c r="Q1545" s="16">
        <v>45701.0</v>
      </c>
      <c r="R1545" s="16" t="s">
        <v>38</v>
      </c>
      <c r="S1545" s="13" t="s">
        <v>55</v>
      </c>
      <c r="T1545" s="13" t="s">
        <v>75</v>
      </c>
      <c r="U1545" s="13" t="str">
        <f t="shared" si="1"/>
        <v>Moderate</v>
      </c>
      <c r="V1545" s="13" t="str">
        <f t="shared" si="2"/>
        <v>Median or Above</v>
      </c>
      <c r="W1545" s="13" t="str">
        <f t="shared" si="3"/>
        <v>13–24 Months</v>
      </c>
    </row>
    <row r="1546" hidden="1">
      <c r="A1546" s="13" t="s">
        <v>2032</v>
      </c>
      <c r="B1546" s="13" t="s">
        <v>633</v>
      </c>
      <c r="C1546" s="14">
        <v>55.0</v>
      </c>
      <c r="D1546" s="13" t="s">
        <v>60</v>
      </c>
      <c r="E1546" s="13" t="s">
        <v>61</v>
      </c>
      <c r="F1546" s="13" t="s">
        <v>62</v>
      </c>
      <c r="G1546" s="13" t="s">
        <v>210</v>
      </c>
      <c r="H1546" s="16">
        <v>45975.0</v>
      </c>
      <c r="I1546" s="14">
        <v>22.0</v>
      </c>
      <c r="J1546" s="13" t="s">
        <v>64</v>
      </c>
      <c r="K1546" s="13" t="s">
        <v>81</v>
      </c>
      <c r="L1546" s="14">
        <v>698.0</v>
      </c>
      <c r="M1546" s="18" t="s">
        <v>98</v>
      </c>
      <c r="N1546" s="20">
        <v>0.0</v>
      </c>
      <c r="O1546" s="18">
        <v>24.1</v>
      </c>
      <c r="P1546" s="20">
        <v>4.1</v>
      </c>
      <c r="Q1546" s="16">
        <v>46438.0</v>
      </c>
      <c r="R1546" s="16" t="s">
        <v>38</v>
      </c>
      <c r="S1546" s="13" t="s">
        <v>55</v>
      </c>
      <c r="T1546" s="13" t="s">
        <v>66</v>
      </c>
      <c r="U1546" s="13" t="str">
        <f t="shared" si="1"/>
        <v>Moderate</v>
      </c>
      <c r="V1546" s="13" t="str">
        <f t="shared" si="2"/>
        <v>Median or Above</v>
      </c>
      <c r="W1546" s="13" t="str">
        <f t="shared" si="3"/>
        <v>13–24 Months</v>
      </c>
    </row>
    <row r="1547" hidden="1">
      <c r="A1547" s="13" t="s">
        <v>2033</v>
      </c>
      <c r="B1547" s="13" t="s">
        <v>106</v>
      </c>
      <c r="C1547" s="14">
        <v>50.0</v>
      </c>
      <c r="D1547" s="13" t="s">
        <v>69</v>
      </c>
      <c r="E1547" s="13" t="s">
        <v>187</v>
      </c>
      <c r="F1547" s="13" t="s">
        <v>62</v>
      </c>
      <c r="G1547" s="13" t="s">
        <v>63</v>
      </c>
      <c r="H1547" s="16">
        <v>45367.0</v>
      </c>
      <c r="I1547" s="14">
        <v>19.0</v>
      </c>
      <c r="J1547" s="13" t="s">
        <v>53</v>
      </c>
      <c r="K1547" s="13" t="s">
        <v>65</v>
      </c>
      <c r="L1547" s="14">
        <v>608.0</v>
      </c>
      <c r="M1547" s="18" t="s">
        <v>98</v>
      </c>
      <c r="N1547" s="20">
        <v>2.0</v>
      </c>
      <c r="O1547" s="18">
        <v>19.0</v>
      </c>
      <c r="P1547" s="20">
        <v>3.0</v>
      </c>
      <c r="Q1547" s="16">
        <v>45565.0</v>
      </c>
      <c r="R1547" s="16">
        <v>45664.0</v>
      </c>
      <c r="S1547" s="13" t="s">
        <v>45</v>
      </c>
      <c r="T1547" s="13" t="s">
        <v>75</v>
      </c>
      <c r="U1547" s="13" t="str">
        <f t="shared" si="1"/>
        <v>Moderate</v>
      </c>
      <c r="V1547" s="13" t="str">
        <f t="shared" si="2"/>
        <v>Below Median</v>
      </c>
      <c r="W1547" s="13" t="str">
        <f t="shared" si="3"/>
        <v>13–24 Months</v>
      </c>
    </row>
    <row r="1548" hidden="1">
      <c r="A1548" s="13" t="s">
        <v>2035</v>
      </c>
      <c r="B1548" s="13" t="s">
        <v>345</v>
      </c>
      <c r="C1548" s="14">
        <v>19.0</v>
      </c>
      <c r="D1548" s="13" t="s">
        <v>69</v>
      </c>
      <c r="E1548" s="13" t="s">
        <v>70</v>
      </c>
      <c r="F1548" s="13" t="s">
        <v>62</v>
      </c>
      <c r="G1548" s="13" t="s">
        <v>52</v>
      </c>
      <c r="H1548" s="16">
        <v>45598.0</v>
      </c>
      <c r="I1548" s="14">
        <v>45.0</v>
      </c>
      <c r="J1548" s="13" t="s">
        <v>40</v>
      </c>
      <c r="K1548" s="13" t="s">
        <v>81</v>
      </c>
      <c r="L1548" s="14">
        <v>702.0</v>
      </c>
      <c r="M1548" s="18" t="s">
        <v>173</v>
      </c>
      <c r="N1548" s="20">
        <v>2.0</v>
      </c>
      <c r="O1548" s="18">
        <v>26.5</v>
      </c>
      <c r="P1548" s="20">
        <v>3.4</v>
      </c>
      <c r="Q1548" s="16">
        <v>46219.0</v>
      </c>
      <c r="R1548" s="16">
        <v>46607.0</v>
      </c>
      <c r="S1548" s="13" t="s">
        <v>45</v>
      </c>
      <c r="T1548" s="13" t="s">
        <v>72</v>
      </c>
      <c r="U1548" s="13" t="str">
        <f t="shared" si="1"/>
        <v>Moderate</v>
      </c>
      <c r="V1548" s="13" t="str">
        <f t="shared" si="2"/>
        <v>Median or Above</v>
      </c>
      <c r="W1548" s="13" t="str">
        <f t="shared" si="3"/>
        <v>25–48 Months</v>
      </c>
    </row>
    <row r="1549" hidden="1">
      <c r="A1549" s="13" t="s">
        <v>1983</v>
      </c>
      <c r="B1549" s="13" t="s">
        <v>303</v>
      </c>
      <c r="C1549" s="14">
        <v>59.0</v>
      </c>
      <c r="D1549" s="13" t="s">
        <v>69</v>
      </c>
      <c r="E1549" s="13" t="s">
        <v>119</v>
      </c>
      <c r="F1549" s="13" t="s">
        <v>37</v>
      </c>
      <c r="G1549" s="13" t="s">
        <v>210</v>
      </c>
      <c r="H1549" s="16">
        <v>45820.0</v>
      </c>
      <c r="I1549" s="14">
        <v>21.0</v>
      </c>
      <c r="J1549" s="13" t="s">
        <v>53</v>
      </c>
      <c r="K1549" s="13" t="s">
        <v>81</v>
      </c>
      <c r="L1549" s="14">
        <v>1310.0</v>
      </c>
      <c r="M1549" s="18" t="s">
        <v>164</v>
      </c>
      <c r="N1549" s="20">
        <v>3.0</v>
      </c>
      <c r="O1549" s="18">
        <v>30.6</v>
      </c>
      <c r="P1549" s="20">
        <v>1.3</v>
      </c>
      <c r="Q1549" s="16">
        <v>46124.0</v>
      </c>
      <c r="R1549" s="16" t="s">
        <v>38</v>
      </c>
      <c r="S1549" s="13" t="s">
        <v>55</v>
      </c>
      <c r="T1549" s="13" t="s">
        <v>72</v>
      </c>
      <c r="U1549" s="13" t="str">
        <f t="shared" si="1"/>
        <v>Low</v>
      </c>
      <c r="V1549" s="13" t="str">
        <f t="shared" si="2"/>
        <v>Median or Above</v>
      </c>
      <c r="W1549" s="13" t="str">
        <f t="shared" si="3"/>
        <v>13–24 Months</v>
      </c>
    </row>
    <row r="1550" hidden="1">
      <c r="A1550" s="13" t="s">
        <v>2037</v>
      </c>
      <c r="B1550" s="13" t="s">
        <v>145</v>
      </c>
      <c r="C1550" s="14">
        <v>46.0</v>
      </c>
      <c r="D1550" s="13" t="s">
        <v>35</v>
      </c>
      <c r="E1550" s="13" t="s">
        <v>51</v>
      </c>
      <c r="F1550" s="13" t="s">
        <v>79</v>
      </c>
      <c r="G1550" s="13" t="s">
        <v>210</v>
      </c>
      <c r="H1550" s="16">
        <v>44599.0</v>
      </c>
      <c r="I1550" s="14">
        <v>44.0</v>
      </c>
      <c r="J1550" s="13" t="s">
        <v>53</v>
      </c>
      <c r="K1550" s="13" t="s">
        <v>65</v>
      </c>
      <c r="L1550" s="14">
        <v>3599.0</v>
      </c>
      <c r="M1550" s="18" t="s">
        <v>98</v>
      </c>
      <c r="N1550" s="20">
        <v>1.0</v>
      </c>
      <c r="O1550" s="18">
        <v>46.8</v>
      </c>
      <c r="P1550" s="20">
        <v>3.9</v>
      </c>
      <c r="Q1550" s="16">
        <v>45360.0</v>
      </c>
      <c r="R1550" s="16" t="s">
        <v>38</v>
      </c>
      <c r="S1550" s="13" t="s">
        <v>55</v>
      </c>
      <c r="T1550" s="13" t="s">
        <v>47</v>
      </c>
      <c r="U1550" s="13" t="str">
        <f t="shared" si="1"/>
        <v>Moderate</v>
      </c>
      <c r="V1550" s="13" t="str">
        <f t="shared" si="2"/>
        <v>Median or Above</v>
      </c>
      <c r="W1550" s="13" t="str">
        <f t="shared" si="3"/>
        <v>25–48 Months</v>
      </c>
    </row>
    <row r="1551" hidden="1">
      <c r="A1551" s="13" t="s">
        <v>1595</v>
      </c>
      <c r="B1551" s="13" t="s">
        <v>222</v>
      </c>
      <c r="C1551" s="14">
        <v>45.0</v>
      </c>
      <c r="D1551" s="13" t="s">
        <v>35</v>
      </c>
      <c r="E1551" s="13" t="s">
        <v>140</v>
      </c>
      <c r="F1551" s="13" t="s">
        <v>37</v>
      </c>
      <c r="G1551" s="13" t="s">
        <v>63</v>
      </c>
      <c r="H1551" s="16">
        <v>44643.0</v>
      </c>
      <c r="I1551" s="14">
        <v>16.0</v>
      </c>
      <c r="J1551" s="13" t="s">
        <v>64</v>
      </c>
      <c r="K1551" s="13" t="s">
        <v>41</v>
      </c>
      <c r="L1551" s="14">
        <v>1519.0</v>
      </c>
      <c r="M1551" s="18" t="s">
        <v>43</v>
      </c>
      <c r="N1551" s="20">
        <v>0.0</v>
      </c>
      <c r="O1551" s="18">
        <v>32.6</v>
      </c>
      <c r="P1551" s="20">
        <v>3.4</v>
      </c>
      <c r="Q1551" s="16">
        <v>44835.0</v>
      </c>
      <c r="R1551" s="16" t="s">
        <v>38</v>
      </c>
      <c r="S1551" s="13" t="s">
        <v>55</v>
      </c>
      <c r="T1551" s="13" t="s">
        <v>72</v>
      </c>
      <c r="U1551" s="13" t="str">
        <f t="shared" si="1"/>
        <v>Moderate</v>
      </c>
      <c r="V1551" s="13" t="str">
        <f t="shared" si="2"/>
        <v>Median or Above</v>
      </c>
      <c r="W1551" s="13" t="str">
        <f t="shared" si="3"/>
        <v>13–24 Months</v>
      </c>
    </row>
    <row r="1552" hidden="1">
      <c r="A1552" s="13" t="s">
        <v>347</v>
      </c>
      <c r="B1552" s="13" t="s">
        <v>232</v>
      </c>
      <c r="C1552" s="14">
        <v>57.0</v>
      </c>
      <c r="D1552" s="13" t="s">
        <v>85</v>
      </c>
      <c r="E1552" s="13" t="s">
        <v>92</v>
      </c>
      <c r="F1552" s="13" t="s">
        <v>62</v>
      </c>
      <c r="G1552" s="13" t="s">
        <v>120</v>
      </c>
      <c r="H1552" s="16">
        <v>45884.0</v>
      </c>
      <c r="I1552" s="14">
        <v>38.0</v>
      </c>
      <c r="J1552" s="13" t="s">
        <v>40</v>
      </c>
      <c r="K1552" s="13" t="s">
        <v>41</v>
      </c>
      <c r="L1552" s="14">
        <v>766.0</v>
      </c>
      <c r="M1552" s="18" t="s">
        <v>43</v>
      </c>
      <c r="N1552" s="20">
        <v>0.0</v>
      </c>
      <c r="O1552" s="18">
        <v>10.4</v>
      </c>
      <c r="P1552" s="20">
        <v>3.7</v>
      </c>
      <c r="Q1552" s="16">
        <v>46886.0</v>
      </c>
      <c r="R1552" s="16" t="s">
        <v>38</v>
      </c>
      <c r="S1552" s="13" t="s">
        <v>55</v>
      </c>
      <c r="T1552" s="13" t="s">
        <v>66</v>
      </c>
      <c r="U1552" s="13" t="str">
        <f t="shared" si="1"/>
        <v>Moderate</v>
      </c>
      <c r="V1552" s="13" t="str">
        <f t="shared" si="2"/>
        <v>Below Median</v>
      </c>
      <c r="W1552" s="13" t="str">
        <f t="shared" si="3"/>
        <v>25–48 Months</v>
      </c>
    </row>
    <row r="1553" hidden="1">
      <c r="A1553" s="13" t="s">
        <v>2038</v>
      </c>
      <c r="B1553" s="13" t="s">
        <v>50</v>
      </c>
      <c r="C1553" s="14">
        <v>68.0</v>
      </c>
      <c r="D1553" s="13" t="s">
        <v>85</v>
      </c>
      <c r="E1553" s="13" t="s">
        <v>292</v>
      </c>
      <c r="F1553" s="13" t="s">
        <v>37</v>
      </c>
      <c r="G1553" s="13" t="s">
        <v>80</v>
      </c>
      <c r="H1553" s="16">
        <v>45207.0</v>
      </c>
      <c r="I1553" s="14">
        <v>21.0</v>
      </c>
      <c r="J1553" s="13" t="s">
        <v>53</v>
      </c>
      <c r="K1553" s="13" t="s">
        <v>65</v>
      </c>
      <c r="L1553" s="14">
        <v>1610.0</v>
      </c>
      <c r="M1553" s="18" t="s">
        <v>98</v>
      </c>
      <c r="N1553" s="20">
        <v>3.0</v>
      </c>
      <c r="O1553" s="18">
        <v>35.5</v>
      </c>
      <c r="P1553" s="20">
        <v>3.1</v>
      </c>
      <c r="Q1553" s="16">
        <v>45429.0</v>
      </c>
      <c r="R1553" s="16" t="s">
        <v>38</v>
      </c>
      <c r="S1553" s="13" t="s">
        <v>55</v>
      </c>
      <c r="T1553" s="13" t="s">
        <v>47</v>
      </c>
      <c r="U1553" s="13" t="str">
        <f t="shared" si="1"/>
        <v>Moderate</v>
      </c>
      <c r="V1553" s="13" t="str">
        <f t="shared" si="2"/>
        <v>Median or Above</v>
      </c>
      <c r="W1553" s="13" t="str">
        <f t="shared" si="3"/>
        <v>13–24 Months</v>
      </c>
    </row>
    <row r="1554" hidden="1">
      <c r="A1554" s="13" t="s">
        <v>361</v>
      </c>
      <c r="B1554" s="13" t="s">
        <v>247</v>
      </c>
      <c r="C1554" s="14">
        <v>61.0</v>
      </c>
      <c r="D1554" s="13" t="s">
        <v>69</v>
      </c>
      <c r="E1554" s="13" t="s">
        <v>187</v>
      </c>
      <c r="F1554" s="13" t="s">
        <v>79</v>
      </c>
      <c r="G1554" s="13" t="s">
        <v>210</v>
      </c>
      <c r="H1554" s="16">
        <v>45342.0</v>
      </c>
      <c r="I1554" s="14">
        <v>7.0</v>
      </c>
      <c r="J1554" s="13" t="s">
        <v>40</v>
      </c>
      <c r="K1554" s="13" t="s">
        <v>65</v>
      </c>
      <c r="L1554" s="14">
        <v>3121.0</v>
      </c>
      <c r="M1554" s="18" t="s">
        <v>164</v>
      </c>
      <c r="N1554" s="20">
        <v>0.0</v>
      </c>
      <c r="O1554" s="18">
        <v>41.6</v>
      </c>
      <c r="P1554" s="20">
        <v>3.4</v>
      </c>
      <c r="Q1554" s="16">
        <v>45501.0</v>
      </c>
      <c r="R1554" s="16" t="s">
        <v>38</v>
      </c>
      <c r="S1554" s="13" t="s">
        <v>55</v>
      </c>
      <c r="T1554" s="13" t="s">
        <v>66</v>
      </c>
      <c r="U1554" s="13" t="str">
        <f t="shared" si="1"/>
        <v>Moderate</v>
      </c>
      <c r="V1554" s="13" t="str">
        <f t="shared" si="2"/>
        <v>Median or Above</v>
      </c>
      <c r="W1554" s="13" t="str">
        <f t="shared" si="3"/>
        <v>0–12 Months</v>
      </c>
    </row>
    <row r="1555" hidden="1">
      <c r="A1555" s="13" t="s">
        <v>2041</v>
      </c>
      <c r="B1555" s="13" t="s">
        <v>160</v>
      </c>
      <c r="C1555" s="14">
        <v>56.0</v>
      </c>
      <c r="D1555" s="13" t="s">
        <v>60</v>
      </c>
      <c r="E1555" s="13" t="s">
        <v>97</v>
      </c>
      <c r="F1555" s="13" t="s">
        <v>62</v>
      </c>
      <c r="G1555" s="13" t="s">
        <v>63</v>
      </c>
      <c r="H1555" s="16">
        <v>45759.0</v>
      </c>
      <c r="I1555" s="14">
        <v>5.0</v>
      </c>
      <c r="J1555" s="13" t="s">
        <v>64</v>
      </c>
      <c r="K1555" s="13" t="s">
        <v>81</v>
      </c>
      <c r="L1555" s="14">
        <v>729.0</v>
      </c>
      <c r="M1555" s="18" t="s">
        <v>164</v>
      </c>
      <c r="N1555" s="20">
        <v>2.0</v>
      </c>
      <c r="O1555" s="18">
        <v>23.4</v>
      </c>
      <c r="P1555" s="20">
        <v>4.7</v>
      </c>
      <c r="Q1555" s="16">
        <v>46046.0</v>
      </c>
      <c r="R1555" s="16" t="s">
        <v>38</v>
      </c>
      <c r="S1555" s="13" t="s">
        <v>55</v>
      </c>
      <c r="T1555" s="13" t="s">
        <v>72</v>
      </c>
      <c r="U1555" s="13" t="str">
        <f t="shared" si="1"/>
        <v>Moderate</v>
      </c>
      <c r="V1555" s="13" t="str">
        <f t="shared" si="2"/>
        <v>Below Median</v>
      </c>
      <c r="W1555" s="13" t="str">
        <f t="shared" si="3"/>
        <v>0–12 Months</v>
      </c>
    </row>
    <row r="1556" hidden="1">
      <c r="A1556" s="13" t="s">
        <v>1815</v>
      </c>
      <c r="B1556" s="13" t="s">
        <v>336</v>
      </c>
      <c r="C1556" s="14">
        <v>27.0</v>
      </c>
      <c r="D1556" s="13" t="s">
        <v>60</v>
      </c>
      <c r="E1556" s="13" t="s">
        <v>97</v>
      </c>
      <c r="F1556" s="13" t="s">
        <v>37</v>
      </c>
      <c r="G1556" s="13" t="s">
        <v>52</v>
      </c>
      <c r="H1556" s="16">
        <v>44892.0</v>
      </c>
      <c r="I1556" s="14">
        <v>22.0</v>
      </c>
      <c r="J1556" s="13" t="s">
        <v>40</v>
      </c>
      <c r="K1556" s="13" t="s">
        <v>65</v>
      </c>
      <c r="L1556" s="14">
        <v>1763.0</v>
      </c>
      <c r="M1556" s="18" t="s">
        <v>173</v>
      </c>
      <c r="N1556" s="20">
        <v>1.0</v>
      </c>
      <c r="O1556" s="18">
        <v>25.4</v>
      </c>
      <c r="P1556" s="20">
        <v>3.3</v>
      </c>
      <c r="Q1556" s="16">
        <v>45405.0</v>
      </c>
      <c r="R1556" s="16" t="s">
        <v>38</v>
      </c>
      <c r="S1556" s="13" t="s">
        <v>55</v>
      </c>
      <c r="T1556" s="13" t="s">
        <v>66</v>
      </c>
      <c r="U1556" s="13" t="str">
        <f t="shared" si="1"/>
        <v>Moderate</v>
      </c>
      <c r="V1556" s="13" t="str">
        <f t="shared" si="2"/>
        <v>Median or Above</v>
      </c>
      <c r="W1556" s="13" t="str">
        <f t="shared" si="3"/>
        <v>13–24 Months</v>
      </c>
    </row>
    <row r="1557" hidden="1">
      <c r="A1557" s="13" t="s">
        <v>2042</v>
      </c>
      <c r="B1557" s="13" t="s">
        <v>380</v>
      </c>
      <c r="C1557" s="14">
        <v>55.0</v>
      </c>
      <c r="D1557" s="13" t="s">
        <v>85</v>
      </c>
      <c r="E1557" s="13" t="s">
        <v>292</v>
      </c>
      <c r="F1557" s="13" t="s">
        <v>62</v>
      </c>
      <c r="G1557" s="13" t="s">
        <v>80</v>
      </c>
      <c r="H1557" s="16">
        <v>45156.0</v>
      </c>
      <c r="I1557" s="14">
        <v>5.0</v>
      </c>
      <c r="J1557" s="13" t="s">
        <v>64</v>
      </c>
      <c r="K1557" s="13" t="s">
        <v>65</v>
      </c>
      <c r="L1557" s="14">
        <v>524.0</v>
      </c>
      <c r="M1557" s="18" t="s">
        <v>98</v>
      </c>
      <c r="N1557" s="20">
        <v>1.0</v>
      </c>
      <c r="O1557" s="18">
        <v>24.5</v>
      </c>
      <c r="P1557" s="20">
        <v>3.5</v>
      </c>
      <c r="Q1557" s="16">
        <v>45185.0</v>
      </c>
      <c r="R1557" s="16" t="s">
        <v>38</v>
      </c>
      <c r="S1557" s="13" t="s">
        <v>55</v>
      </c>
      <c r="T1557" s="13" t="s">
        <v>75</v>
      </c>
      <c r="U1557" s="13" t="str">
        <f t="shared" si="1"/>
        <v>Moderate</v>
      </c>
      <c r="V1557" s="13" t="str">
        <f t="shared" si="2"/>
        <v>Median or Above</v>
      </c>
      <c r="W1557" s="13" t="str">
        <f t="shared" si="3"/>
        <v>0–12 Months</v>
      </c>
    </row>
    <row r="1558" hidden="1">
      <c r="A1558" s="13" t="s">
        <v>2043</v>
      </c>
      <c r="B1558" s="13" t="s">
        <v>34</v>
      </c>
      <c r="C1558" s="14">
        <v>31.0</v>
      </c>
      <c r="D1558" s="13" t="s">
        <v>85</v>
      </c>
      <c r="E1558" s="13" t="s">
        <v>92</v>
      </c>
      <c r="F1558" s="13" t="s">
        <v>62</v>
      </c>
      <c r="G1558" s="13" t="s">
        <v>128</v>
      </c>
      <c r="H1558" s="16">
        <v>45953.0</v>
      </c>
      <c r="I1558" s="14">
        <v>21.0</v>
      </c>
      <c r="J1558" s="13" t="s">
        <v>64</v>
      </c>
      <c r="K1558" s="13" t="s">
        <v>81</v>
      </c>
      <c r="L1558" s="14">
        <v>850.0</v>
      </c>
      <c r="M1558" s="18" t="s">
        <v>46</v>
      </c>
      <c r="N1558" s="20">
        <v>1.0</v>
      </c>
      <c r="O1558" s="18">
        <v>12.7</v>
      </c>
      <c r="P1558" s="20">
        <v>4.7</v>
      </c>
      <c r="Q1558" s="16">
        <v>46238.0</v>
      </c>
      <c r="R1558" s="16" t="s">
        <v>38</v>
      </c>
      <c r="S1558" s="13" t="s">
        <v>55</v>
      </c>
      <c r="T1558" s="13" t="s">
        <v>47</v>
      </c>
      <c r="U1558" s="13" t="str">
        <f t="shared" si="1"/>
        <v>Moderate</v>
      </c>
      <c r="V1558" s="13" t="str">
        <f t="shared" si="2"/>
        <v>Below Median</v>
      </c>
      <c r="W1558" s="13" t="str">
        <f t="shared" si="3"/>
        <v>13–24 Months</v>
      </c>
    </row>
    <row r="1559" hidden="1">
      <c r="A1559" s="13" t="s">
        <v>2044</v>
      </c>
      <c r="B1559" s="13" t="s">
        <v>59</v>
      </c>
      <c r="C1559" s="14">
        <v>44.0</v>
      </c>
      <c r="D1559" s="13" t="s">
        <v>85</v>
      </c>
      <c r="E1559" s="13" t="s">
        <v>111</v>
      </c>
      <c r="F1559" s="13" t="s">
        <v>62</v>
      </c>
      <c r="G1559" s="13" t="s">
        <v>128</v>
      </c>
      <c r="H1559" s="16">
        <v>44806.0</v>
      </c>
      <c r="I1559" s="14">
        <v>4.0</v>
      </c>
      <c r="J1559" s="13" t="s">
        <v>40</v>
      </c>
      <c r="K1559" s="13" t="s">
        <v>41</v>
      </c>
      <c r="L1559" s="14">
        <v>529.0</v>
      </c>
      <c r="M1559" s="18" t="s">
        <v>46</v>
      </c>
      <c r="N1559" s="20">
        <v>0.0</v>
      </c>
      <c r="O1559" s="18">
        <v>4.3</v>
      </c>
      <c r="P1559" s="20">
        <v>4.1</v>
      </c>
      <c r="Q1559" s="16">
        <v>44852.0</v>
      </c>
      <c r="R1559" s="16" t="s">
        <v>2045</v>
      </c>
      <c r="S1559" s="13" t="s">
        <v>45</v>
      </c>
      <c r="T1559" s="13" t="s">
        <v>104</v>
      </c>
      <c r="U1559" s="13" t="str">
        <f t="shared" si="1"/>
        <v>Moderate</v>
      </c>
      <c r="V1559" s="13" t="str">
        <f t="shared" si="2"/>
        <v>Below Median</v>
      </c>
      <c r="W1559" s="13" t="str">
        <f t="shared" si="3"/>
        <v>0–12 Months</v>
      </c>
    </row>
    <row r="1560" hidden="1">
      <c r="A1560" s="13" t="s">
        <v>367</v>
      </c>
      <c r="B1560" s="13" t="s">
        <v>411</v>
      </c>
      <c r="C1560" s="14">
        <v>39.0</v>
      </c>
      <c r="D1560" s="13" t="s">
        <v>60</v>
      </c>
      <c r="E1560" s="13" t="s">
        <v>107</v>
      </c>
      <c r="F1560" s="13" t="s">
        <v>79</v>
      </c>
      <c r="G1560" s="13" t="s">
        <v>52</v>
      </c>
      <c r="H1560" s="16">
        <v>45482.0</v>
      </c>
      <c r="I1560" s="14">
        <v>44.0</v>
      </c>
      <c r="J1560" s="13" t="s">
        <v>53</v>
      </c>
      <c r="K1560" s="13" t="s">
        <v>81</v>
      </c>
      <c r="L1560" s="14">
        <v>3021.0</v>
      </c>
      <c r="M1560" s="18" t="s">
        <v>43</v>
      </c>
      <c r="N1560" s="20">
        <v>3.0</v>
      </c>
      <c r="O1560" s="18">
        <v>37.3</v>
      </c>
      <c r="P1560" s="20">
        <v>5.0</v>
      </c>
      <c r="Q1560" s="16">
        <v>46562.0</v>
      </c>
      <c r="R1560" s="16" t="s">
        <v>38</v>
      </c>
      <c r="S1560" s="13" t="s">
        <v>55</v>
      </c>
      <c r="T1560" s="13" t="s">
        <v>72</v>
      </c>
      <c r="U1560" s="13" t="str">
        <f t="shared" si="1"/>
        <v>High</v>
      </c>
      <c r="V1560" s="13" t="str">
        <f t="shared" si="2"/>
        <v>Median or Above</v>
      </c>
      <c r="W1560" s="13" t="str">
        <f t="shared" si="3"/>
        <v>25–48 Months</v>
      </c>
    </row>
    <row r="1561" hidden="1">
      <c r="A1561" s="13" t="s">
        <v>1400</v>
      </c>
      <c r="B1561" s="13" t="s">
        <v>206</v>
      </c>
      <c r="C1561" s="14">
        <v>37.0</v>
      </c>
      <c r="D1561" s="13" t="s">
        <v>69</v>
      </c>
      <c r="E1561" s="13" t="s">
        <v>177</v>
      </c>
      <c r="F1561" s="13" t="s">
        <v>37</v>
      </c>
      <c r="G1561" s="13" t="s">
        <v>210</v>
      </c>
      <c r="H1561" s="16">
        <v>44573.0</v>
      </c>
      <c r="I1561" s="14">
        <v>1.0</v>
      </c>
      <c r="J1561" s="13" t="s">
        <v>64</v>
      </c>
      <c r="K1561" s="13" t="s">
        <v>41</v>
      </c>
      <c r="L1561" s="14">
        <v>1456.0</v>
      </c>
      <c r="M1561" s="18" t="s">
        <v>43</v>
      </c>
      <c r="N1561" s="20">
        <v>2.0</v>
      </c>
      <c r="O1561" s="18">
        <v>39.7</v>
      </c>
      <c r="P1561" s="20">
        <v>2.3</v>
      </c>
      <c r="Q1561" s="16">
        <v>44616.0</v>
      </c>
      <c r="R1561" s="16" t="s">
        <v>38</v>
      </c>
      <c r="S1561" s="13" t="s">
        <v>55</v>
      </c>
      <c r="T1561" s="13" t="s">
        <v>72</v>
      </c>
      <c r="U1561" s="13" t="str">
        <f t="shared" si="1"/>
        <v>Low</v>
      </c>
      <c r="V1561" s="13" t="str">
        <f t="shared" si="2"/>
        <v>Median or Above</v>
      </c>
      <c r="W1561" s="13" t="str">
        <f t="shared" si="3"/>
        <v>0–12 Months</v>
      </c>
    </row>
    <row r="1562" hidden="1">
      <c r="A1562" s="13" t="s">
        <v>1333</v>
      </c>
      <c r="B1562" s="13" t="s">
        <v>645</v>
      </c>
      <c r="C1562" s="14">
        <v>37.0</v>
      </c>
      <c r="D1562" s="13" t="s">
        <v>85</v>
      </c>
      <c r="E1562" s="13" t="s">
        <v>87</v>
      </c>
      <c r="F1562" s="13" t="s">
        <v>62</v>
      </c>
      <c r="G1562" s="13" t="s">
        <v>210</v>
      </c>
      <c r="H1562" s="16">
        <v>44780.0</v>
      </c>
      <c r="I1562" s="14">
        <v>10.0</v>
      </c>
      <c r="J1562" s="13" t="s">
        <v>40</v>
      </c>
      <c r="K1562" s="13" t="s">
        <v>41</v>
      </c>
      <c r="L1562" s="14">
        <v>630.0</v>
      </c>
      <c r="M1562" s="18" t="s">
        <v>46</v>
      </c>
      <c r="N1562" s="20">
        <v>0.0</v>
      </c>
      <c r="O1562" s="18">
        <v>10.5</v>
      </c>
      <c r="P1562" s="20">
        <v>4.5</v>
      </c>
      <c r="Q1562" s="16">
        <v>44825.0</v>
      </c>
      <c r="R1562" s="16" t="s">
        <v>38</v>
      </c>
      <c r="S1562" s="13" t="s">
        <v>55</v>
      </c>
      <c r="T1562" s="13" t="s">
        <v>47</v>
      </c>
      <c r="U1562" s="13" t="str">
        <f t="shared" si="1"/>
        <v>Moderate</v>
      </c>
      <c r="V1562" s="13" t="str">
        <f t="shared" si="2"/>
        <v>Below Median</v>
      </c>
      <c r="W1562" s="13" t="str">
        <f t="shared" si="3"/>
        <v>0–12 Months</v>
      </c>
    </row>
    <row r="1563" hidden="1">
      <c r="A1563" s="13" t="s">
        <v>2046</v>
      </c>
      <c r="B1563" s="13" t="s">
        <v>333</v>
      </c>
      <c r="C1563" s="14">
        <v>31.0</v>
      </c>
      <c r="D1563" s="13" t="s">
        <v>85</v>
      </c>
      <c r="E1563" s="13" t="s">
        <v>87</v>
      </c>
      <c r="F1563" s="13" t="s">
        <v>62</v>
      </c>
      <c r="G1563" s="13" t="s">
        <v>128</v>
      </c>
      <c r="H1563" s="16">
        <v>45039.0</v>
      </c>
      <c r="I1563" s="14">
        <v>21.0</v>
      </c>
      <c r="J1563" s="13" t="s">
        <v>40</v>
      </c>
      <c r="K1563" s="13" t="s">
        <v>81</v>
      </c>
      <c r="L1563" s="14">
        <v>520.0</v>
      </c>
      <c r="M1563" s="18" t="s">
        <v>164</v>
      </c>
      <c r="N1563" s="20">
        <v>0.0</v>
      </c>
      <c r="O1563" s="18">
        <v>16.2</v>
      </c>
      <c r="P1563" s="20">
        <v>3.7</v>
      </c>
      <c r="Q1563" s="16">
        <v>45512.0</v>
      </c>
      <c r="R1563" s="16">
        <v>45266.0</v>
      </c>
      <c r="S1563" s="13" t="s">
        <v>45</v>
      </c>
      <c r="T1563" s="13" t="s">
        <v>72</v>
      </c>
      <c r="U1563" s="13" t="str">
        <f t="shared" si="1"/>
        <v>Moderate</v>
      </c>
      <c r="V1563" s="13" t="str">
        <f t="shared" si="2"/>
        <v>Below Median</v>
      </c>
      <c r="W1563" s="13" t="str">
        <f t="shared" si="3"/>
        <v>13–24 Months</v>
      </c>
    </row>
    <row r="1564" hidden="1">
      <c r="A1564" s="13" t="s">
        <v>77</v>
      </c>
      <c r="B1564" s="13" t="s">
        <v>395</v>
      </c>
      <c r="C1564" s="14">
        <v>20.0</v>
      </c>
      <c r="D1564" s="13" t="s">
        <v>69</v>
      </c>
      <c r="E1564" s="13" t="s">
        <v>187</v>
      </c>
      <c r="F1564" s="13" t="s">
        <v>37</v>
      </c>
      <c r="G1564" s="13" t="s">
        <v>120</v>
      </c>
      <c r="H1564" s="16">
        <v>44686.0</v>
      </c>
      <c r="I1564" s="14">
        <v>12.0</v>
      </c>
      <c r="J1564" s="13" t="s">
        <v>64</v>
      </c>
      <c r="K1564" s="13" t="s">
        <v>65</v>
      </c>
      <c r="L1564" s="14">
        <v>1339.0</v>
      </c>
      <c r="M1564" s="18" t="s">
        <v>164</v>
      </c>
      <c r="N1564" s="20">
        <v>4.0</v>
      </c>
      <c r="O1564" s="18">
        <v>30.0</v>
      </c>
      <c r="P1564" s="20">
        <v>4.5</v>
      </c>
      <c r="Q1564" s="16">
        <v>44720.0</v>
      </c>
      <c r="R1564" s="16" t="s">
        <v>38</v>
      </c>
      <c r="S1564" s="13" t="s">
        <v>55</v>
      </c>
      <c r="T1564" s="13" t="s">
        <v>104</v>
      </c>
      <c r="U1564" s="13" t="str">
        <f t="shared" si="1"/>
        <v>Moderate</v>
      </c>
      <c r="V1564" s="13" t="str">
        <f t="shared" si="2"/>
        <v>Median or Above</v>
      </c>
      <c r="W1564" s="13" t="str">
        <f t="shared" si="3"/>
        <v>0–12 Months</v>
      </c>
    </row>
    <row r="1565" hidden="1">
      <c r="A1565" s="13" t="s">
        <v>2048</v>
      </c>
      <c r="B1565" s="13" t="s">
        <v>322</v>
      </c>
      <c r="C1565" s="14">
        <v>40.0</v>
      </c>
      <c r="D1565" s="13" t="s">
        <v>60</v>
      </c>
      <c r="E1565" s="13" t="s">
        <v>61</v>
      </c>
      <c r="F1565" s="13" t="s">
        <v>37</v>
      </c>
      <c r="G1565" s="13" t="s">
        <v>39</v>
      </c>
      <c r="H1565" s="16">
        <v>45868.0</v>
      </c>
      <c r="I1565" s="14">
        <v>5.0</v>
      </c>
      <c r="J1565" s="13" t="s">
        <v>40</v>
      </c>
      <c r="K1565" s="13" t="s">
        <v>81</v>
      </c>
      <c r="L1565" s="14">
        <v>1609.0</v>
      </c>
      <c r="M1565" s="18" t="s">
        <v>43</v>
      </c>
      <c r="N1565" s="20">
        <v>0.0</v>
      </c>
      <c r="O1565" s="18">
        <v>35.7</v>
      </c>
      <c r="P1565" s="20">
        <v>2.0</v>
      </c>
      <c r="Q1565" s="16">
        <v>46025.0</v>
      </c>
      <c r="R1565" s="16" t="s">
        <v>2049</v>
      </c>
      <c r="S1565" s="13" t="s">
        <v>45</v>
      </c>
      <c r="T1565" s="13" t="s">
        <v>72</v>
      </c>
      <c r="U1565" s="13" t="str">
        <f t="shared" si="1"/>
        <v>Low</v>
      </c>
      <c r="V1565" s="13" t="str">
        <f t="shared" si="2"/>
        <v>Median or Above</v>
      </c>
      <c r="W1565" s="13" t="str">
        <f t="shared" si="3"/>
        <v>0–12 Months</v>
      </c>
    </row>
    <row r="1566" hidden="1">
      <c r="A1566" s="13" t="s">
        <v>2050</v>
      </c>
      <c r="B1566" s="13" t="s">
        <v>118</v>
      </c>
      <c r="C1566" s="14">
        <v>38.0</v>
      </c>
      <c r="D1566" s="13" t="s">
        <v>69</v>
      </c>
      <c r="E1566" s="13" t="s">
        <v>177</v>
      </c>
      <c r="F1566" s="13" t="s">
        <v>62</v>
      </c>
      <c r="G1566" s="13" t="s">
        <v>210</v>
      </c>
      <c r="H1566" s="16">
        <v>45640.0</v>
      </c>
      <c r="I1566" s="14">
        <v>1.0</v>
      </c>
      <c r="J1566" s="13" t="s">
        <v>64</v>
      </c>
      <c r="K1566" s="13" t="s">
        <v>41</v>
      </c>
      <c r="L1566" s="14">
        <v>520.0</v>
      </c>
      <c r="M1566" s="18" t="s">
        <v>98</v>
      </c>
      <c r="N1566" s="20">
        <v>0.0</v>
      </c>
      <c r="O1566" s="18">
        <v>14.7</v>
      </c>
      <c r="P1566" s="20">
        <v>3.2</v>
      </c>
      <c r="Q1566" s="16">
        <v>45672.0</v>
      </c>
      <c r="R1566" s="16" t="s">
        <v>38</v>
      </c>
      <c r="S1566" s="13" t="s">
        <v>55</v>
      </c>
      <c r="T1566" s="13" t="s">
        <v>66</v>
      </c>
      <c r="U1566" s="13" t="str">
        <f t="shared" si="1"/>
        <v>Moderate</v>
      </c>
      <c r="V1566" s="13" t="str">
        <f t="shared" si="2"/>
        <v>Below Median</v>
      </c>
      <c r="W1566" s="13" t="str">
        <f t="shared" si="3"/>
        <v>0–12 Months</v>
      </c>
    </row>
    <row r="1567" hidden="1">
      <c r="A1567" s="13" t="s">
        <v>286</v>
      </c>
      <c r="B1567" s="13" t="s">
        <v>50</v>
      </c>
      <c r="C1567" s="14">
        <v>19.0</v>
      </c>
      <c r="D1567" s="13" t="s">
        <v>85</v>
      </c>
      <c r="E1567" s="13" t="s">
        <v>111</v>
      </c>
      <c r="F1567" s="13" t="s">
        <v>37</v>
      </c>
      <c r="G1567" s="13" t="s">
        <v>52</v>
      </c>
      <c r="H1567" s="16">
        <v>44600.0</v>
      </c>
      <c r="I1567" s="14">
        <v>22.0</v>
      </c>
      <c r="J1567" s="13" t="s">
        <v>40</v>
      </c>
      <c r="K1567" s="13" t="s">
        <v>81</v>
      </c>
      <c r="L1567" s="14">
        <v>1778.0</v>
      </c>
      <c r="M1567" s="18" t="s">
        <v>98</v>
      </c>
      <c r="N1567" s="20">
        <v>0.0</v>
      </c>
      <c r="O1567" s="18">
        <v>35.5</v>
      </c>
      <c r="P1567" s="20">
        <v>2.3</v>
      </c>
      <c r="Q1567" s="16">
        <v>44656.0</v>
      </c>
      <c r="R1567" s="16" t="s">
        <v>38</v>
      </c>
      <c r="S1567" s="13" t="s">
        <v>55</v>
      </c>
      <c r="T1567" s="13" t="s">
        <v>66</v>
      </c>
      <c r="U1567" s="13" t="str">
        <f t="shared" si="1"/>
        <v>Low</v>
      </c>
      <c r="V1567" s="13" t="str">
        <f t="shared" si="2"/>
        <v>Median or Above</v>
      </c>
      <c r="W1567" s="13" t="str">
        <f t="shared" si="3"/>
        <v>13–24 Months</v>
      </c>
    </row>
    <row r="1568" hidden="1">
      <c r="A1568" s="13" t="s">
        <v>321</v>
      </c>
      <c r="B1568" s="13" t="s">
        <v>224</v>
      </c>
      <c r="C1568" s="14">
        <v>58.0</v>
      </c>
      <c r="D1568" s="13" t="s">
        <v>60</v>
      </c>
      <c r="E1568" s="13" t="s">
        <v>97</v>
      </c>
      <c r="F1568" s="13" t="s">
        <v>37</v>
      </c>
      <c r="G1568" s="13" t="s">
        <v>80</v>
      </c>
      <c r="H1568" s="16">
        <v>44652.0</v>
      </c>
      <c r="I1568" s="14">
        <v>15.0</v>
      </c>
      <c r="J1568" s="13" t="s">
        <v>40</v>
      </c>
      <c r="K1568" s="13" t="s">
        <v>65</v>
      </c>
      <c r="L1568" s="14">
        <v>1542.0</v>
      </c>
      <c r="M1568" s="18" t="s">
        <v>43</v>
      </c>
      <c r="N1568" s="20">
        <v>0.0</v>
      </c>
      <c r="O1568" s="18">
        <v>28.1</v>
      </c>
      <c r="P1568" s="20">
        <v>2.3</v>
      </c>
      <c r="Q1568" s="16">
        <v>45052.0</v>
      </c>
      <c r="R1568" s="16">
        <v>44872.0</v>
      </c>
      <c r="S1568" s="13" t="s">
        <v>45</v>
      </c>
      <c r="T1568" s="13" t="s">
        <v>47</v>
      </c>
      <c r="U1568" s="13" t="str">
        <f t="shared" si="1"/>
        <v>Low</v>
      </c>
      <c r="V1568" s="13" t="str">
        <f t="shared" si="2"/>
        <v>Median or Above</v>
      </c>
      <c r="W1568" s="13" t="str">
        <f t="shared" si="3"/>
        <v>13–24 Months</v>
      </c>
    </row>
    <row r="1569" hidden="1">
      <c r="A1569" s="13" t="s">
        <v>2052</v>
      </c>
      <c r="B1569" s="13" t="s">
        <v>281</v>
      </c>
      <c r="C1569" s="14">
        <v>26.0</v>
      </c>
      <c r="D1569" s="13" t="s">
        <v>69</v>
      </c>
      <c r="E1569" s="13" t="s">
        <v>70</v>
      </c>
      <c r="F1569" s="13" t="s">
        <v>62</v>
      </c>
      <c r="G1569" s="13" t="s">
        <v>80</v>
      </c>
      <c r="H1569" s="16">
        <v>45463.0</v>
      </c>
      <c r="I1569" s="14">
        <v>43.0</v>
      </c>
      <c r="J1569" s="13" t="s">
        <v>64</v>
      </c>
      <c r="K1569" s="13" t="s">
        <v>65</v>
      </c>
      <c r="L1569" s="14">
        <v>645.0</v>
      </c>
      <c r="M1569" s="18" t="s">
        <v>43</v>
      </c>
      <c r="N1569" s="20">
        <v>2.0</v>
      </c>
      <c r="O1569" s="18">
        <v>10.8</v>
      </c>
      <c r="P1569" s="20">
        <v>4.8</v>
      </c>
      <c r="Q1569" s="16">
        <v>46415.0</v>
      </c>
      <c r="R1569" s="16" t="s">
        <v>38</v>
      </c>
      <c r="S1569" s="13" t="s">
        <v>55</v>
      </c>
      <c r="T1569" s="13" t="s">
        <v>104</v>
      </c>
      <c r="U1569" s="13" t="str">
        <f t="shared" si="1"/>
        <v>Moderate</v>
      </c>
      <c r="V1569" s="13" t="str">
        <f t="shared" si="2"/>
        <v>Below Median</v>
      </c>
      <c r="W1569" s="13" t="str">
        <f t="shared" si="3"/>
        <v>25–48 Months</v>
      </c>
    </row>
    <row r="1570" hidden="1">
      <c r="A1570" s="13" t="s">
        <v>2053</v>
      </c>
      <c r="B1570" s="13" t="s">
        <v>448</v>
      </c>
      <c r="C1570" s="14">
        <v>60.0</v>
      </c>
      <c r="D1570" s="13" t="s">
        <v>85</v>
      </c>
      <c r="E1570" s="13" t="s">
        <v>92</v>
      </c>
      <c r="F1570" s="13" t="s">
        <v>79</v>
      </c>
      <c r="G1570" s="13" t="s">
        <v>52</v>
      </c>
      <c r="H1570" s="16">
        <v>45632.0</v>
      </c>
      <c r="I1570" s="14">
        <v>47.0</v>
      </c>
      <c r="J1570" s="13" t="s">
        <v>64</v>
      </c>
      <c r="K1570" s="13" t="s">
        <v>65</v>
      </c>
      <c r="L1570" s="14">
        <v>3068.0</v>
      </c>
      <c r="M1570" s="18" t="s">
        <v>43</v>
      </c>
      <c r="N1570" s="20">
        <v>0.0</v>
      </c>
      <c r="O1570" s="18">
        <v>34.5</v>
      </c>
      <c r="P1570" s="20">
        <v>1.9</v>
      </c>
      <c r="Q1570" s="16">
        <v>45906.0</v>
      </c>
      <c r="R1570" s="16" t="s">
        <v>38</v>
      </c>
      <c r="S1570" s="13" t="s">
        <v>55</v>
      </c>
      <c r="T1570" s="13" t="s">
        <v>66</v>
      </c>
      <c r="U1570" s="13" t="str">
        <f t="shared" si="1"/>
        <v>Low</v>
      </c>
      <c r="V1570" s="13" t="str">
        <f t="shared" si="2"/>
        <v>Median or Above</v>
      </c>
      <c r="W1570" s="13" t="str">
        <f t="shared" si="3"/>
        <v>25–48 Months</v>
      </c>
    </row>
    <row r="1571" hidden="1">
      <c r="A1571" s="13" t="s">
        <v>917</v>
      </c>
      <c r="B1571" s="13" t="s">
        <v>476</v>
      </c>
      <c r="C1571" s="14">
        <v>64.0</v>
      </c>
      <c r="D1571" s="13" t="s">
        <v>35</v>
      </c>
      <c r="E1571" s="13" t="s">
        <v>140</v>
      </c>
      <c r="F1571" s="13" t="s">
        <v>62</v>
      </c>
      <c r="G1571" s="13" t="s">
        <v>52</v>
      </c>
      <c r="H1571" s="16">
        <v>45012.0</v>
      </c>
      <c r="I1571" s="14">
        <v>11.0</v>
      </c>
      <c r="J1571" s="13" t="s">
        <v>64</v>
      </c>
      <c r="K1571" s="13" t="s">
        <v>65</v>
      </c>
      <c r="L1571" s="14">
        <v>718.0</v>
      </c>
      <c r="M1571" s="18" t="s">
        <v>98</v>
      </c>
      <c r="N1571" s="20">
        <v>3.0</v>
      </c>
      <c r="O1571" s="18">
        <v>10.2</v>
      </c>
      <c r="P1571" s="20">
        <v>3.7</v>
      </c>
      <c r="Q1571" s="16">
        <v>45351.0</v>
      </c>
      <c r="R1571" s="16" t="s">
        <v>2054</v>
      </c>
      <c r="S1571" s="13" t="s">
        <v>45</v>
      </c>
      <c r="T1571" s="13" t="s">
        <v>47</v>
      </c>
      <c r="U1571" s="13" t="str">
        <f t="shared" si="1"/>
        <v>Moderate</v>
      </c>
      <c r="V1571" s="13" t="str">
        <f t="shared" si="2"/>
        <v>Below Median</v>
      </c>
      <c r="W1571" s="13" t="str">
        <f t="shared" si="3"/>
        <v>0–12 Months</v>
      </c>
    </row>
    <row r="1572" hidden="1">
      <c r="A1572" s="13" t="s">
        <v>2055</v>
      </c>
      <c r="B1572" s="13" t="s">
        <v>206</v>
      </c>
      <c r="C1572" s="14">
        <v>56.0</v>
      </c>
      <c r="D1572" s="13" t="s">
        <v>85</v>
      </c>
      <c r="E1572" s="13" t="s">
        <v>87</v>
      </c>
      <c r="F1572" s="13" t="s">
        <v>62</v>
      </c>
      <c r="G1572" s="13" t="s">
        <v>80</v>
      </c>
      <c r="H1572" s="16">
        <v>44991.0</v>
      </c>
      <c r="I1572" s="14">
        <v>7.0</v>
      </c>
      <c r="J1572" s="13" t="s">
        <v>40</v>
      </c>
      <c r="K1572" s="13" t="s">
        <v>81</v>
      </c>
      <c r="L1572" s="14">
        <v>726.0</v>
      </c>
      <c r="M1572" s="18" t="s">
        <v>46</v>
      </c>
      <c r="N1572" s="20">
        <v>1.0</v>
      </c>
      <c r="O1572" s="18">
        <v>26.5</v>
      </c>
      <c r="P1572" s="20">
        <v>4.0</v>
      </c>
      <c r="Q1572" s="16">
        <v>45001.0</v>
      </c>
      <c r="R1572" s="16">
        <v>45267.0</v>
      </c>
      <c r="S1572" s="13" t="s">
        <v>45</v>
      </c>
      <c r="T1572" s="13" t="s">
        <v>104</v>
      </c>
      <c r="U1572" s="13" t="str">
        <f t="shared" si="1"/>
        <v>Moderate</v>
      </c>
      <c r="V1572" s="13" t="str">
        <f t="shared" si="2"/>
        <v>Median or Above</v>
      </c>
      <c r="W1572" s="13" t="str">
        <f t="shared" si="3"/>
        <v>0–12 Months</v>
      </c>
    </row>
    <row r="1573" hidden="1">
      <c r="A1573" s="13" t="s">
        <v>1595</v>
      </c>
      <c r="B1573" s="13" t="s">
        <v>308</v>
      </c>
      <c r="C1573" s="14">
        <v>45.0</v>
      </c>
      <c r="D1573" s="13" t="s">
        <v>35</v>
      </c>
      <c r="E1573" s="13" t="s">
        <v>36</v>
      </c>
      <c r="F1573" s="13" t="s">
        <v>37</v>
      </c>
      <c r="G1573" s="13" t="s">
        <v>80</v>
      </c>
      <c r="H1573" s="16">
        <v>44868.0</v>
      </c>
      <c r="I1573" s="14">
        <v>19.0</v>
      </c>
      <c r="J1573" s="13" t="s">
        <v>40</v>
      </c>
      <c r="K1573" s="13" t="s">
        <v>41</v>
      </c>
      <c r="L1573" s="14">
        <v>1369.0</v>
      </c>
      <c r="M1573" s="18" t="s">
        <v>46</v>
      </c>
      <c r="N1573" s="20">
        <v>1.0</v>
      </c>
      <c r="O1573" s="18">
        <v>24.5</v>
      </c>
      <c r="P1573" s="20">
        <v>2.5</v>
      </c>
      <c r="Q1573" s="16">
        <v>45226.0</v>
      </c>
      <c r="R1573" s="16" t="s">
        <v>1461</v>
      </c>
      <c r="S1573" s="13" t="s">
        <v>45</v>
      </c>
      <c r="T1573" s="13" t="s">
        <v>47</v>
      </c>
      <c r="U1573" s="13" t="str">
        <f t="shared" si="1"/>
        <v>Low</v>
      </c>
      <c r="V1573" s="13" t="str">
        <f t="shared" si="2"/>
        <v>Median or Above</v>
      </c>
      <c r="W1573" s="13" t="str">
        <f t="shared" si="3"/>
        <v>13–24 Months</v>
      </c>
    </row>
    <row r="1574" hidden="1">
      <c r="A1574" s="13" t="s">
        <v>1022</v>
      </c>
      <c r="B1574" s="13" t="s">
        <v>316</v>
      </c>
      <c r="C1574" s="14">
        <v>62.0</v>
      </c>
      <c r="D1574" s="13" t="s">
        <v>69</v>
      </c>
      <c r="E1574" s="13" t="s">
        <v>187</v>
      </c>
      <c r="F1574" s="13" t="s">
        <v>37</v>
      </c>
      <c r="G1574" s="13" t="s">
        <v>63</v>
      </c>
      <c r="H1574" s="16">
        <v>45484.0</v>
      </c>
      <c r="I1574" s="14">
        <v>40.0</v>
      </c>
      <c r="J1574" s="13" t="s">
        <v>64</v>
      </c>
      <c r="K1574" s="13" t="s">
        <v>41</v>
      </c>
      <c r="L1574" s="14">
        <v>1026.0</v>
      </c>
      <c r="M1574" s="18" t="s">
        <v>99</v>
      </c>
      <c r="N1574" s="20">
        <v>0.0</v>
      </c>
      <c r="O1574" s="18">
        <v>22.2</v>
      </c>
      <c r="P1574" s="20">
        <v>3.4</v>
      </c>
      <c r="Q1574" s="16">
        <v>45844.0</v>
      </c>
      <c r="R1574" s="16" t="s">
        <v>38</v>
      </c>
      <c r="S1574" s="13" t="s">
        <v>55</v>
      </c>
      <c r="T1574" s="13" t="s">
        <v>104</v>
      </c>
      <c r="U1574" s="13" t="str">
        <f t="shared" si="1"/>
        <v>Moderate</v>
      </c>
      <c r="V1574" s="13" t="str">
        <f t="shared" si="2"/>
        <v>Below Median</v>
      </c>
      <c r="W1574" s="13" t="str">
        <f t="shared" si="3"/>
        <v>25–48 Months</v>
      </c>
    </row>
    <row r="1575" hidden="1">
      <c r="A1575" s="13" t="s">
        <v>506</v>
      </c>
      <c r="B1575" s="13" t="s">
        <v>169</v>
      </c>
      <c r="C1575" s="14">
        <v>47.0</v>
      </c>
      <c r="D1575" s="13" t="s">
        <v>85</v>
      </c>
      <c r="E1575" s="13" t="s">
        <v>92</v>
      </c>
      <c r="F1575" s="13" t="s">
        <v>37</v>
      </c>
      <c r="G1575" s="13" t="s">
        <v>128</v>
      </c>
      <c r="H1575" s="16">
        <v>45672.0</v>
      </c>
      <c r="I1575" s="14">
        <v>41.0</v>
      </c>
      <c r="J1575" s="13" t="s">
        <v>64</v>
      </c>
      <c r="K1575" s="13" t="s">
        <v>65</v>
      </c>
      <c r="L1575" s="14">
        <v>1686.0</v>
      </c>
      <c r="M1575" s="18" t="s">
        <v>46</v>
      </c>
      <c r="N1575" s="20">
        <v>1.0</v>
      </c>
      <c r="O1575" s="18">
        <v>23.5</v>
      </c>
      <c r="P1575" s="20">
        <v>4.0</v>
      </c>
      <c r="Q1575" s="16">
        <v>46812.0</v>
      </c>
      <c r="R1575" s="16" t="s">
        <v>38</v>
      </c>
      <c r="S1575" s="13" t="s">
        <v>55</v>
      </c>
      <c r="T1575" s="13" t="s">
        <v>72</v>
      </c>
      <c r="U1575" s="13" t="str">
        <f t="shared" si="1"/>
        <v>Moderate</v>
      </c>
      <c r="V1575" s="13" t="str">
        <f t="shared" si="2"/>
        <v>Below Median</v>
      </c>
      <c r="W1575" s="13" t="str">
        <f t="shared" si="3"/>
        <v>25–48 Months</v>
      </c>
    </row>
    <row r="1576" hidden="1">
      <c r="A1576" s="13" t="s">
        <v>1776</v>
      </c>
      <c r="B1576" s="13" t="s">
        <v>163</v>
      </c>
      <c r="C1576" s="14">
        <v>48.0</v>
      </c>
      <c r="D1576" s="13" t="s">
        <v>85</v>
      </c>
      <c r="E1576" s="13" t="s">
        <v>87</v>
      </c>
      <c r="F1576" s="13" t="s">
        <v>37</v>
      </c>
      <c r="G1576" s="13" t="s">
        <v>210</v>
      </c>
      <c r="H1576" s="16">
        <v>44976.0</v>
      </c>
      <c r="I1576" s="14">
        <v>38.0</v>
      </c>
      <c r="J1576" s="13" t="s">
        <v>64</v>
      </c>
      <c r="K1576" s="13" t="s">
        <v>41</v>
      </c>
      <c r="L1576" s="14">
        <v>1552.0</v>
      </c>
      <c r="M1576" s="18" t="s">
        <v>164</v>
      </c>
      <c r="N1576" s="20">
        <v>1.0</v>
      </c>
      <c r="O1576" s="18">
        <v>26.0</v>
      </c>
      <c r="P1576" s="20">
        <v>2.0</v>
      </c>
      <c r="Q1576" s="16">
        <v>45067.0</v>
      </c>
      <c r="R1576" s="16" t="s">
        <v>38</v>
      </c>
      <c r="S1576" s="13" t="s">
        <v>55</v>
      </c>
      <c r="T1576" s="13" t="s">
        <v>72</v>
      </c>
      <c r="U1576" s="13" t="str">
        <f t="shared" si="1"/>
        <v>Low</v>
      </c>
      <c r="V1576" s="13" t="str">
        <f t="shared" si="2"/>
        <v>Median or Above</v>
      </c>
      <c r="W1576" s="13" t="str">
        <f t="shared" si="3"/>
        <v>25–48 Months</v>
      </c>
    </row>
    <row r="1577" hidden="1">
      <c r="A1577" s="13" t="s">
        <v>1972</v>
      </c>
      <c r="B1577" s="13" t="s">
        <v>50</v>
      </c>
      <c r="C1577" s="14">
        <v>54.0</v>
      </c>
      <c r="D1577" s="13" t="s">
        <v>35</v>
      </c>
      <c r="E1577" s="13" t="s">
        <v>161</v>
      </c>
      <c r="F1577" s="13" t="s">
        <v>37</v>
      </c>
      <c r="G1577" s="13" t="s">
        <v>63</v>
      </c>
      <c r="H1577" s="16">
        <v>45704.0</v>
      </c>
      <c r="I1577" s="14">
        <v>38.0</v>
      </c>
      <c r="J1577" s="13" t="s">
        <v>40</v>
      </c>
      <c r="K1577" s="13" t="s">
        <v>81</v>
      </c>
      <c r="L1577" s="14">
        <v>1622.0</v>
      </c>
      <c r="M1577" s="18" t="s">
        <v>164</v>
      </c>
      <c r="N1577" s="20">
        <v>0.0</v>
      </c>
      <c r="O1577" s="18">
        <v>22.8</v>
      </c>
      <c r="P1577" s="20">
        <v>2.0</v>
      </c>
      <c r="Q1577" s="16">
        <v>46513.0</v>
      </c>
      <c r="R1577" s="16" t="s">
        <v>38</v>
      </c>
      <c r="S1577" s="13" t="s">
        <v>55</v>
      </c>
      <c r="T1577" s="13" t="s">
        <v>72</v>
      </c>
      <c r="U1577" s="13" t="str">
        <f t="shared" si="1"/>
        <v>Low</v>
      </c>
      <c r="V1577" s="13" t="str">
        <f t="shared" si="2"/>
        <v>Below Median</v>
      </c>
      <c r="W1577" s="13" t="str">
        <f t="shared" si="3"/>
        <v>25–48 Months</v>
      </c>
    </row>
    <row r="1578" hidden="1">
      <c r="A1578" s="13" t="s">
        <v>764</v>
      </c>
      <c r="B1578" s="13" t="s">
        <v>34</v>
      </c>
      <c r="C1578" s="14">
        <v>62.0</v>
      </c>
      <c r="D1578" s="13" t="s">
        <v>60</v>
      </c>
      <c r="E1578" s="13" t="s">
        <v>87</v>
      </c>
      <c r="F1578" s="13" t="s">
        <v>62</v>
      </c>
      <c r="G1578" s="13" t="s">
        <v>63</v>
      </c>
      <c r="H1578" s="16">
        <v>44880.0</v>
      </c>
      <c r="I1578" s="14">
        <v>2.0</v>
      </c>
      <c r="J1578" s="13" t="s">
        <v>40</v>
      </c>
      <c r="K1578" s="13" t="s">
        <v>41</v>
      </c>
      <c r="L1578" s="14">
        <v>703.0</v>
      </c>
      <c r="M1578" s="18" t="s">
        <v>164</v>
      </c>
      <c r="N1578" s="20">
        <v>2.0</v>
      </c>
      <c r="O1578" s="18">
        <v>18.7</v>
      </c>
      <c r="P1578" s="20">
        <v>2.8</v>
      </c>
      <c r="Q1578" s="16">
        <v>44920.0</v>
      </c>
      <c r="R1578" s="16" t="s">
        <v>38</v>
      </c>
      <c r="S1578" s="13" t="s">
        <v>55</v>
      </c>
      <c r="T1578" s="13" t="s">
        <v>104</v>
      </c>
      <c r="U1578" s="13" t="str">
        <f t="shared" si="1"/>
        <v>Low</v>
      </c>
      <c r="V1578" s="13" t="str">
        <f t="shared" si="2"/>
        <v>Below Median</v>
      </c>
      <c r="W1578" s="13" t="str">
        <f t="shared" si="3"/>
        <v>0–12 Months</v>
      </c>
    </row>
    <row r="1579" hidden="1">
      <c r="A1579" s="13" t="s">
        <v>2057</v>
      </c>
      <c r="B1579" s="13" t="s">
        <v>476</v>
      </c>
      <c r="C1579" s="14">
        <v>60.0</v>
      </c>
      <c r="D1579" s="13" t="s">
        <v>35</v>
      </c>
      <c r="E1579" s="13" t="s">
        <v>161</v>
      </c>
      <c r="F1579" s="13" t="s">
        <v>37</v>
      </c>
      <c r="G1579" s="13" t="s">
        <v>80</v>
      </c>
      <c r="H1579" s="16">
        <v>45681.0</v>
      </c>
      <c r="I1579" s="14">
        <v>7.0</v>
      </c>
      <c r="J1579" s="13" t="s">
        <v>40</v>
      </c>
      <c r="K1579" s="13" t="s">
        <v>81</v>
      </c>
      <c r="L1579" s="14">
        <v>1661.0</v>
      </c>
      <c r="M1579" s="18" t="s">
        <v>98</v>
      </c>
      <c r="N1579" s="20">
        <v>1.0</v>
      </c>
      <c r="O1579" s="18">
        <v>28.2</v>
      </c>
      <c r="P1579" s="20">
        <v>4.5</v>
      </c>
      <c r="Q1579" s="16">
        <v>45829.0</v>
      </c>
      <c r="R1579" s="16" t="s">
        <v>38</v>
      </c>
      <c r="S1579" s="13" t="s">
        <v>55</v>
      </c>
      <c r="T1579" s="13" t="s">
        <v>47</v>
      </c>
      <c r="U1579" s="13" t="str">
        <f t="shared" si="1"/>
        <v>Moderate</v>
      </c>
      <c r="V1579" s="13" t="str">
        <f t="shared" si="2"/>
        <v>Median or Above</v>
      </c>
      <c r="W1579" s="13" t="str">
        <f t="shared" si="3"/>
        <v>0–12 Months</v>
      </c>
    </row>
    <row r="1580" hidden="1">
      <c r="A1580" s="13" t="s">
        <v>2058</v>
      </c>
      <c r="B1580" s="13" t="s">
        <v>190</v>
      </c>
      <c r="C1580" s="14">
        <v>56.0</v>
      </c>
      <c r="D1580" s="13" t="s">
        <v>85</v>
      </c>
      <c r="E1580" s="13" t="s">
        <v>292</v>
      </c>
      <c r="F1580" s="13" t="s">
        <v>79</v>
      </c>
      <c r="G1580" s="13" t="s">
        <v>120</v>
      </c>
      <c r="H1580" s="16">
        <v>45782.0</v>
      </c>
      <c r="I1580" s="14">
        <v>3.0</v>
      </c>
      <c r="J1580" s="13" t="s">
        <v>64</v>
      </c>
      <c r="K1580" s="13" t="s">
        <v>41</v>
      </c>
      <c r="L1580" s="14">
        <v>3199.0</v>
      </c>
      <c r="M1580" s="18" t="s">
        <v>98</v>
      </c>
      <c r="N1580" s="20">
        <v>0.0</v>
      </c>
      <c r="O1580" s="18">
        <v>53.6</v>
      </c>
      <c r="P1580" s="20">
        <v>2.8</v>
      </c>
      <c r="Q1580" s="16">
        <v>45808.0</v>
      </c>
      <c r="R1580" s="16">
        <v>45695.0</v>
      </c>
      <c r="S1580" s="13" t="s">
        <v>45</v>
      </c>
      <c r="T1580" s="13" t="s">
        <v>75</v>
      </c>
      <c r="U1580" s="13" t="str">
        <f t="shared" si="1"/>
        <v>Low</v>
      </c>
      <c r="V1580" s="13" t="str">
        <f t="shared" si="2"/>
        <v>Median or Above</v>
      </c>
      <c r="W1580" s="13" t="str">
        <f t="shared" si="3"/>
        <v>0–12 Months</v>
      </c>
    </row>
    <row r="1581" hidden="1">
      <c r="A1581" s="13" t="s">
        <v>2060</v>
      </c>
      <c r="B1581" s="13" t="s">
        <v>470</v>
      </c>
      <c r="C1581" s="14">
        <v>64.0</v>
      </c>
      <c r="D1581" s="13" t="s">
        <v>69</v>
      </c>
      <c r="E1581" s="13" t="s">
        <v>187</v>
      </c>
      <c r="F1581" s="13" t="s">
        <v>62</v>
      </c>
      <c r="G1581" s="13" t="s">
        <v>52</v>
      </c>
      <c r="H1581" s="16">
        <v>45609.0</v>
      </c>
      <c r="I1581" s="14">
        <v>43.0</v>
      </c>
      <c r="J1581" s="13" t="s">
        <v>53</v>
      </c>
      <c r="K1581" s="13" t="s">
        <v>41</v>
      </c>
      <c r="L1581" s="14">
        <v>722.0</v>
      </c>
      <c r="M1581" s="18" t="s">
        <v>43</v>
      </c>
      <c r="N1581" s="20">
        <v>0.0</v>
      </c>
      <c r="O1581" s="18">
        <v>15.7</v>
      </c>
      <c r="P1581" s="20">
        <v>3.3</v>
      </c>
      <c r="Q1581" s="16">
        <v>46863.0</v>
      </c>
      <c r="R1581" s="16">
        <v>46394.0</v>
      </c>
      <c r="S1581" s="13" t="s">
        <v>45</v>
      </c>
      <c r="T1581" s="13" t="s">
        <v>75</v>
      </c>
      <c r="U1581" s="13" t="str">
        <f t="shared" si="1"/>
        <v>Moderate</v>
      </c>
      <c r="V1581" s="13" t="str">
        <f t="shared" si="2"/>
        <v>Below Median</v>
      </c>
      <c r="W1581" s="13" t="str">
        <f t="shared" si="3"/>
        <v>25–48 Months</v>
      </c>
    </row>
    <row r="1582" hidden="1">
      <c r="A1582" s="13" t="s">
        <v>1537</v>
      </c>
      <c r="B1582" s="13" t="s">
        <v>345</v>
      </c>
      <c r="C1582" s="14">
        <v>47.0</v>
      </c>
      <c r="D1582" s="13" t="s">
        <v>60</v>
      </c>
      <c r="E1582" s="13" t="s">
        <v>133</v>
      </c>
      <c r="F1582" s="13" t="s">
        <v>37</v>
      </c>
      <c r="G1582" s="13" t="s">
        <v>120</v>
      </c>
      <c r="H1582" s="16">
        <v>45624.0</v>
      </c>
      <c r="I1582" s="14">
        <v>47.0</v>
      </c>
      <c r="J1582" s="13" t="s">
        <v>40</v>
      </c>
      <c r="K1582" s="13" t="s">
        <v>81</v>
      </c>
      <c r="L1582" s="14">
        <v>1345.0</v>
      </c>
      <c r="M1582" s="18" t="s">
        <v>43</v>
      </c>
      <c r="N1582" s="20">
        <v>2.0</v>
      </c>
      <c r="O1582" s="18">
        <v>37.1</v>
      </c>
      <c r="P1582" s="20">
        <v>3.8</v>
      </c>
      <c r="Q1582" s="16">
        <v>47048.0</v>
      </c>
      <c r="R1582" s="16" t="s">
        <v>2062</v>
      </c>
      <c r="S1582" s="13" t="s">
        <v>45</v>
      </c>
      <c r="T1582" s="13" t="s">
        <v>104</v>
      </c>
      <c r="U1582" s="13" t="str">
        <f t="shared" si="1"/>
        <v>Moderate</v>
      </c>
      <c r="V1582" s="13" t="str">
        <f t="shared" si="2"/>
        <v>Median or Above</v>
      </c>
      <c r="W1582" s="13" t="str">
        <f t="shared" si="3"/>
        <v>25–48 Months</v>
      </c>
    </row>
    <row r="1583" hidden="1">
      <c r="A1583" s="13" t="s">
        <v>196</v>
      </c>
      <c r="B1583" s="13" t="s">
        <v>68</v>
      </c>
      <c r="C1583" s="14">
        <v>60.0</v>
      </c>
      <c r="D1583" s="13" t="s">
        <v>69</v>
      </c>
      <c r="E1583" s="13" t="s">
        <v>187</v>
      </c>
      <c r="F1583" s="13" t="s">
        <v>62</v>
      </c>
      <c r="G1583" s="13" t="s">
        <v>210</v>
      </c>
      <c r="H1583" s="16">
        <v>45258.0</v>
      </c>
      <c r="I1583" s="14">
        <v>41.0</v>
      </c>
      <c r="J1583" s="13" t="s">
        <v>40</v>
      </c>
      <c r="K1583" s="13" t="s">
        <v>81</v>
      </c>
      <c r="L1583" s="14">
        <v>892.0</v>
      </c>
      <c r="M1583" s="18" t="s">
        <v>43</v>
      </c>
      <c r="N1583" s="20">
        <v>1.0</v>
      </c>
      <c r="O1583" s="18">
        <v>4.7</v>
      </c>
      <c r="P1583" s="20">
        <v>5.0</v>
      </c>
      <c r="Q1583" s="16">
        <v>45335.0</v>
      </c>
      <c r="R1583" s="16" t="s">
        <v>38</v>
      </c>
      <c r="S1583" s="13" t="s">
        <v>55</v>
      </c>
      <c r="T1583" s="13" t="s">
        <v>75</v>
      </c>
      <c r="U1583" s="13" t="str">
        <f t="shared" si="1"/>
        <v>High</v>
      </c>
      <c r="V1583" s="13" t="str">
        <f t="shared" si="2"/>
        <v>Below Median</v>
      </c>
      <c r="W1583" s="13" t="str">
        <f t="shared" si="3"/>
        <v>25–48 Months</v>
      </c>
    </row>
    <row r="1584" hidden="1">
      <c r="A1584" s="13" t="s">
        <v>402</v>
      </c>
      <c r="B1584" s="13" t="s">
        <v>736</v>
      </c>
      <c r="C1584" s="14">
        <v>23.0</v>
      </c>
      <c r="D1584" s="13" t="s">
        <v>35</v>
      </c>
      <c r="E1584" s="13" t="s">
        <v>177</v>
      </c>
      <c r="F1584" s="13" t="s">
        <v>37</v>
      </c>
      <c r="G1584" s="13" t="s">
        <v>210</v>
      </c>
      <c r="H1584" s="16">
        <v>45101.0</v>
      </c>
      <c r="I1584" s="14">
        <v>3.0</v>
      </c>
      <c r="J1584" s="13" t="s">
        <v>53</v>
      </c>
      <c r="K1584" s="13" t="s">
        <v>41</v>
      </c>
      <c r="L1584" s="14">
        <v>1549.0</v>
      </c>
      <c r="M1584" s="18" t="s">
        <v>98</v>
      </c>
      <c r="N1584" s="20">
        <v>0.0</v>
      </c>
      <c r="O1584" s="18">
        <v>36.6</v>
      </c>
      <c r="P1584" s="20">
        <v>3.6</v>
      </c>
      <c r="Q1584" s="16">
        <v>45124.0</v>
      </c>
      <c r="R1584" s="16" t="s">
        <v>38</v>
      </c>
      <c r="S1584" s="13" t="s">
        <v>55</v>
      </c>
      <c r="T1584" s="13" t="s">
        <v>104</v>
      </c>
      <c r="U1584" s="13" t="str">
        <f t="shared" si="1"/>
        <v>Moderate</v>
      </c>
      <c r="V1584" s="13" t="str">
        <f t="shared" si="2"/>
        <v>Median or Above</v>
      </c>
      <c r="W1584" s="13" t="str">
        <f t="shared" si="3"/>
        <v>0–12 Months</v>
      </c>
    </row>
    <row r="1585" hidden="1">
      <c r="A1585" s="13" t="s">
        <v>761</v>
      </c>
      <c r="B1585" s="13" t="s">
        <v>135</v>
      </c>
      <c r="C1585" s="14">
        <v>66.0</v>
      </c>
      <c r="D1585" s="13" t="s">
        <v>35</v>
      </c>
      <c r="E1585" s="13" t="s">
        <v>51</v>
      </c>
      <c r="F1585" s="13" t="s">
        <v>79</v>
      </c>
      <c r="G1585" s="13" t="s">
        <v>52</v>
      </c>
      <c r="H1585" s="16">
        <v>45222.0</v>
      </c>
      <c r="I1585" s="14">
        <v>4.0</v>
      </c>
      <c r="J1585" s="13" t="s">
        <v>40</v>
      </c>
      <c r="K1585" s="13" t="s">
        <v>81</v>
      </c>
      <c r="L1585" s="14">
        <v>2232.0</v>
      </c>
      <c r="M1585" s="18" t="s">
        <v>43</v>
      </c>
      <c r="N1585" s="20">
        <v>1.0</v>
      </c>
      <c r="O1585" s="18">
        <v>28.5</v>
      </c>
      <c r="P1585" s="20">
        <v>3.4</v>
      </c>
      <c r="Q1585" s="16">
        <v>45315.0</v>
      </c>
      <c r="R1585" s="16" t="s">
        <v>38</v>
      </c>
      <c r="S1585" s="13" t="s">
        <v>55</v>
      </c>
      <c r="T1585" s="13" t="s">
        <v>75</v>
      </c>
      <c r="U1585" s="13" t="str">
        <f t="shared" si="1"/>
        <v>Moderate</v>
      </c>
      <c r="V1585" s="13" t="str">
        <f t="shared" si="2"/>
        <v>Median or Above</v>
      </c>
      <c r="W1585" s="13" t="str">
        <f t="shared" si="3"/>
        <v>0–12 Months</v>
      </c>
    </row>
    <row r="1586" hidden="1">
      <c r="A1586" s="13" t="s">
        <v>1409</v>
      </c>
      <c r="B1586" s="13" t="s">
        <v>176</v>
      </c>
      <c r="C1586" s="14">
        <v>35.0</v>
      </c>
      <c r="D1586" s="13" t="s">
        <v>85</v>
      </c>
      <c r="E1586" s="13" t="s">
        <v>292</v>
      </c>
      <c r="F1586" s="13" t="s">
        <v>79</v>
      </c>
      <c r="G1586" s="13" t="s">
        <v>39</v>
      </c>
      <c r="H1586" s="16">
        <v>45037.0</v>
      </c>
      <c r="I1586" s="14">
        <v>41.0</v>
      </c>
      <c r="J1586" s="13" t="s">
        <v>53</v>
      </c>
      <c r="K1586" s="13" t="s">
        <v>65</v>
      </c>
      <c r="L1586" s="14">
        <v>2545.0</v>
      </c>
      <c r="M1586" s="18" t="s">
        <v>98</v>
      </c>
      <c r="N1586" s="20">
        <v>1.0</v>
      </c>
      <c r="O1586" s="18">
        <v>34.4</v>
      </c>
      <c r="P1586" s="20">
        <v>6.0</v>
      </c>
      <c r="Q1586" s="16">
        <v>45778.0</v>
      </c>
      <c r="R1586" s="16">
        <v>45940.0</v>
      </c>
      <c r="S1586" s="13" t="s">
        <v>45</v>
      </c>
      <c r="T1586" s="13" t="s">
        <v>66</v>
      </c>
      <c r="U1586" s="13" t="str">
        <f t="shared" si="1"/>
        <v>High</v>
      </c>
      <c r="V1586" s="13" t="str">
        <f t="shared" si="2"/>
        <v>Median or Above</v>
      </c>
      <c r="W1586" s="13" t="str">
        <f t="shared" si="3"/>
        <v>25–48 Months</v>
      </c>
    </row>
    <row r="1587" hidden="1">
      <c r="A1587" s="13" t="s">
        <v>379</v>
      </c>
      <c r="B1587" s="13" t="s">
        <v>163</v>
      </c>
      <c r="C1587" s="14">
        <v>67.0</v>
      </c>
      <c r="D1587" s="13" t="s">
        <v>35</v>
      </c>
      <c r="E1587" s="13" t="s">
        <v>51</v>
      </c>
      <c r="F1587" s="13" t="s">
        <v>37</v>
      </c>
      <c r="G1587" s="13" t="s">
        <v>120</v>
      </c>
      <c r="H1587" s="16">
        <v>45437.0</v>
      </c>
      <c r="I1587" s="14">
        <v>20.0</v>
      </c>
      <c r="J1587" s="13" t="s">
        <v>53</v>
      </c>
      <c r="K1587" s="13" t="s">
        <v>81</v>
      </c>
      <c r="L1587" s="14">
        <v>1441.0</v>
      </c>
      <c r="M1587" s="18" t="s">
        <v>173</v>
      </c>
      <c r="N1587" s="20">
        <v>0.0</v>
      </c>
      <c r="O1587" s="18">
        <v>21.6</v>
      </c>
      <c r="P1587" s="20">
        <v>4.7</v>
      </c>
      <c r="Q1587" s="16">
        <v>45584.0</v>
      </c>
      <c r="R1587" s="16" t="s">
        <v>386</v>
      </c>
      <c r="S1587" s="13" t="s">
        <v>45</v>
      </c>
      <c r="T1587" s="13" t="s">
        <v>47</v>
      </c>
      <c r="U1587" s="13" t="str">
        <f t="shared" si="1"/>
        <v>Moderate</v>
      </c>
      <c r="V1587" s="13" t="str">
        <f t="shared" si="2"/>
        <v>Below Median</v>
      </c>
      <c r="W1587" s="13" t="str">
        <f t="shared" si="3"/>
        <v>13–24 Months</v>
      </c>
    </row>
    <row r="1588" hidden="1">
      <c r="A1588" s="13" t="s">
        <v>2064</v>
      </c>
      <c r="B1588" s="13" t="s">
        <v>59</v>
      </c>
      <c r="C1588" s="14">
        <v>54.0</v>
      </c>
      <c r="D1588" s="13" t="s">
        <v>60</v>
      </c>
      <c r="E1588" s="13" t="s">
        <v>38</v>
      </c>
      <c r="F1588" s="13" t="s">
        <v>62</v>
      </c>
      <c r="G1588" s="13" t="s">
        <v>52</v>
      </c>
      <c r="H1588" s="16">
        <v>44890.0</v>
      </c>
      <c r="I1588" s="14">
        <v>39.0</v>
      </c>
      <c r="J1588" s="13" t="s">
        <v>64</v>
      </c>
      <c r="K1588" s="13" t="s">
        <v>41</v>
      </c>
      <c r="L1588" s="14">
        <v>841.0</v>
      </c>
      <c r="M1588" s="18" t="s">
        <v>99</v>
      </c>
      <c r="N1588" s="20">
        <v>2.0</v>
      </c>
      <c r="O1588" s="18">
        <v>17.5</v>
      </c>
      <c r="P1588" s="20">
        <v>3.2</v>
      </c>
      <c r="Q1588" s="16">
        <v>45799.0</v>
      </c>
      <c r="R1588" s="16" t="s">
        <v>1560</v>
      </c>
      <c r="S1588" s="13" t="s">
        <v>45</v>
      </c>
      <c r="T1588" s="13" t="s">
        <v>104</v>
      </c>
      <c r="U1588" s="13" t="str">
        <f t="shared" si="1"/>
        <v>Moderate</v>
      </c>
      <c r="V1588" s="13" t="str">
        <f t="shared" si="2"/>
        <v>Below Median</v>
      </c>
      <c r="W1588" s="13" t="str">
        <f t="shared" si="3"/>
        <v>25–48 Months</v>
      </c>
    </row>
    <row r="1589" hidden="1">
      <c r="A1589" s="13" t="s">
        <v>2065</v>
      </c>
      <c r="B1589" s="13" t="s">
        <v>59</v>
      </c>
      <c r="C1589" s="14">
        <v>66.0</v>
      </c>
      <c r="D1589" s="13" t="s">
        <v>35</v>
      </c>
      <c r="E1589" s="13" t="s">
        <v>161</v>
      </c>
      <c r="F1589" s="13" t="s">
        <v>37</v>
      </c>
      <c r="G1589" s="13" t="s">
        <v>52</v>
      </c>
      <c r="H1589" s="16">
        <v>45917.0</v>
      </c>
      <c r="I1589" s="14">
        <v>20.0</v>
      </c>
      <c r="J1589" s="13" t="s">
        <v>53</v>
      </c>
      <c r="K1589" s="13" t="s">
        <v>41</v>
      </c>
      <c r="L1589" s="14">
        <v>1231.0</v>
      </c>
      <c r="M1589" s="18" t="s">
        <v>43</v>
      </c>
      <c r="N1589" s="20">
        <v>2.0</v>
      </c>
      <c r="O1589" s="18">
        <v>35.4</v>
      </c>
      <c r="P1589" s="20">
        <v>3.9</v>
      </c>
      <c r="Q1589" s="16">
        <v>46234.0</v>
      </c>
      <c r="R1589" s="16" t="s">
        <v>38</v>
      </c>
      <c r="S1589" s="13" t="s">
        <v>55</v>
      </c>
      <c r="T1589" s="13" t="s">
        <v>66</v>
      </c>
      <c r="U1589" s="13" t="str">
        <f t="shared" si="1"/>
        <v>Moderate</v>
      </c>
      <c r="V1589" s="13" t="str">
        <f t="shared" si="2"/>
        <v>Median or Above</v>
      </c>
      <c r="W1589" s="13" t="str">
        <f t="shared" si="3"/>
        <v>13–24 Months</v>
      </c>
    </row>
    <row r="1590" hidden="1">
      <c r="A1590" s="13" t="s">
        <v>1806</v>
      </c>
      <c r="B1590" s="13" t="s">
        <v>241</v>
      </c>
      <c r="C1590" s="14">
        <v>43.0</v>
      </c>
      <c r="D1590" s="13" t="s">
        <v>60</v>
      </c>
      <c r="E1590" s="13" t="s">
        <v>97</v>
      </c>
      <c r="F1590" s="13" t="s">
        <v>37</v>
      </c>
      <c r="G1590" s="13" t="s">
        <v>128</v>
      </c>
      <c r="H1590" s="16">
        <v>45358.0</v>
      </c>
      <c r="I1590" s="14">
        <v>2.0</v>
      </c>
      <c r="J1590" s="13" t="s">
        <v>40</v>
      </c>
      <c r="K1590" s="13" t="s">
        <v>81</v>
      </c>
      <c r="L1590" s="14">
        <v>1306.0</v>
      </c>
      <c r="M1590" s="18" t="s">
        <v>46</v>
      </c>
      <c r="N1590" s="20">
        <v>1.0</v>
      </c>
      <c r="O1590" s="18">
        <v>31.0</v>
      </c>
      <c r="P1590" s="20">
        <v>5.0</v>
      </c>
      <c r="Q1590" s="16">
        <v>45417.0</v>
      </c>
      <c r="R1590" s="16" t="s">
        <v>2067</v>
      </c>
      <c r="S1590" s="13" t="s">
        <v>45</v>
      </c>
      <c r="T1590" s="13" t="s">
        <v>104</v>
      </c>
      <c r="U1590" s="13" t="str">
        <f t="shared" si="1"/>
        <v>High</v>
      </c>
      <c r="V1590" s="13" t="str">
        <f t="shared" si="2"/>
        <v>Median or Above</v>
      </c>
      <c r="W1590" s="13" t="str">
        <f t="shared" si="3"/>
        <v>0–12 Months</v>
      </c>
    </row>
    <row r="1591" hidden="1">
      <c r="A1591" s="13" t="s">
        <v>2068</v>
      </c>
      <c r="B1591" s="13" t="s">
        <v>295</v>
      </c>
      <c r="C1591" s="14">
        <v>19.0</v>
      </c>
      <c r="D1591" s="13" t="s">
        <v>60</v>
      </c>
      <c r="E1591" s="13" t="s">
        <v>107</v>
      </c>
      <c r="F1591" s="13" t="s">
        <v>37</v>
      </c>
      <c r="G1591" s="13" t="s">
        <v>52</v>
      </c>
      <c r="H1591" s="16">
        <v>45559.0</v>
      </c>
      <c r="I1591" s="14">
        <v>18.0</v>
      </c>
      <c r="J1591" s="13" t="s">
        <v>40</v>
      </c>
      <c r="K1591" s="13" t="s">
        <v>41</v>
      </c>
      <c r="L1591" s="14">
        <v>1116.0</v>
      </c>
      <c r="M1591" s="18" t="s">
        <v>98</v>
      </c>
      <c r="N1591" s="20">
        <v>3.0</v>
      </c>
      <c r="O1591" s="18">
        <v>33.3</v>
      </c>
      <c r="P1591" s="20">
        <v>4.4</v>
      </c>
      <c r="Q1591" s="16">
        <v>45634.0</v>
      </c>
      <c r="R1591" s="16" t="s">
        <v>2069</v>
      </c>
      <c r="S1591" s="13" t="s">
        <v>45</v>
      </c>
      <c r="T1591" s="13" t="s">
        <v>104</v>
      </c>
      <c r="U1591" s="13" t="str">
        <f t="shared" si="1"/>
        <v>Moderate</v>
      </c>
      <c r="V1591" s="13" t="str">
        <f t="shared" si="2"/>
        <v>Median or Above</v>
      </c>
      <c r="W1591" s="13" t="str">
        <f t="shared" si="3"/>
        <v>13–24 Months</v>
      </c>
    </row>
    <row r="1592">
      <c r="A1592" s="13" t="s">
        <v>2053</v>
      </c>
      <c r="B1592" s="13" t="s">
        <v>734</v>
      </c>
      <c r="C1592" s="14">
        <v>63.0</v>
      </c>
      <c r="D1592" s="13" t="s">
        <v>35</v>
      </c>
      <c r="E1592" s="13" t="s">
        <v>140</v>
      </c>
      <c r="F1592" s="13" t="s">
        <v>37</v>
      </c>
      <c r="G1592" s="13" t="s">
        <v>63</v>
      </c>
      <c r="H1592" s="16">
        <v>45884.0</v>
      </c>
      <c r="I1592" s="14">
        <v>19.0</v>
      </c>
      <c r="J1592" s="13" t="s">
        <v>40</v>
      </c>
      <c r="K1592" s="13" t="s">
        <v>81</v>
      </c>
      <c r="L1592" s="14">
        <v>1232.0</v>
      </c>
      <c r="M1592" s="18" t="s">
        <v>43</v>
      </c>
      <c r="N1592" s="20">
        <v>4.0</v>
      </c>
      <c r="O1592" s="18">
        <v>39.4</v>
      </c>
      <c r="P1592" s="20">
        <v>5.0</v>
      </c>
      <c r="Q1592" s="16">
        <v>46201.0</v>
      </c>
      <c r="R1592" s="16" t="s">
        <v>2070</v>
      </c>
      <c r="S1592" s="13" t="s">
        <v>230</v>
      </c>
      <c r="T1592" s="13" t="s">
        <v>66</v>
      </c>
      <c r="U1592" s="13" t="str">
        <f t="shared" si="1"/>
        <v>High</v>
      </c>
      <c r="V1592" s="13" t="str">
        <f t="shared" si="2"/>
        <v>Median or Above</v>
      </c>
      <c r="W1592" s="13" t="str">
        <f t="shared" si="3"/>
        <v>13–24 Months</v>
      </c>
    </row>
    <row r="1593" hidden="1">
      <c r="A1593" s="13" t="s">
        <v>1451</v>
      </c>
      <c r="B1593" s="13" t="s">
        <v>222</v>
      </c>
      <c r="C1593" s="14">
        <v>61.0</v>
      </c>
      <c r="D1593" s="13" t="s">
        <v>69</v>
      </c>
      <c r="E1593" s="13" t="s">
        <v>119</v>
      </c>
      <c r="F1593" s="13" t="s">
        <v>37</v>
      </c>
      <c r="G1593" s="13" t="s">
        <v>210</v>
      </c>
      <c r="H1593" s="16">
        <v>44614.0</v>
      </c>
      <c r="I1593" s="14">
        <v>48.0</v>
      </c>
      <c r="J1593" s="13" t="s">
        <v>64</v>
      </c>
      <c r="K1593" s="13" t="s">
        <v>41</v>
      </c>
      <c r="L1593" s="14">
        <v>1735.0</v>
      </c>
      <c r="M1593" s="18" t="s">
        <v>98</v>
      </c>
      <c r="N1593" s="20">
        <v>0.0</v>
      </c>
      <c r="O1593" s="18">
        <v>35.8</v>
      </c>
      <c r="P1593" s="20">
        <v>4.0</v>
      </c>
      <c r="Q1593" s="16">
        <v>44880.0</v>
      </c>
      <c r="R1593" s="16" t="s">
        <v>1338</v>
      </c>
      <c r="S1593" s="13" t="s">
        <v>45</v>
      </c>
      <c r="T1593" s="13" t="s">
        <v>47</v>
      </c>
      <c r="U1593" s="13" t="str">
        <f t="shared" si="1"/>
        <v>Moderate</v>
      </c>
      <c r="V1593" s="13" t="str">
        <f t="shared" si="2"/>
        <v>Median or Above</v>
      </c>
      <c r="W1593" s="13" t="str">
        <f t="shared" si="3"/>
        <v>25–48 Months</v>
      </c>
    </row>
    <row r="1594" hidden="1">
      <c r="A1594" s="13" t="s">
        <v>2071</v>
      </c>
      <c r="B1594" s="13" t="s">
        <v>206</v>
      </c>
      <c r="C1594" s="14">
        <v>26.0</v>
      </c>
      <c r="D1594" s="13" t="s">
        <v>35</v>
      </c>
      <c r="E1594" s="13" t="s">
        <v>51</v>
      </c>
      <c r="F1594" s="13" t="s">
        <v>62</v>
      </c>
      <c r="G1594" s="13" t="s">
        <v>128</v>
      </c>
      <c r="H1594" s="16">
        <v>45861.0</v>
      </c>
      <c r="I1594" s="14">
        <v>23.0</v>
      </c>
      <c r="J1594" s="13" t="s">
        <v>64</v>
      </c>
      <c r="K1594" s="13" t="s">
        <v>41</v>
      </c>
      <c r="L1594" s="14">
        <v>882.0</v>
      </c>
      <c r="M1594" s="18" t="s">
        <v>43</v>
      </c>
      <c r="N1594" s="20">
        <v>1.0</v>
      </c>
      <c r="O1594" s="18">
        <v>15.7</v>
      </c>
      <c r="P1594" s="20">
        <v>3.3</v>
      </c>
      <c r="Q1594" s="16">
        <v>46532.0</v>
      </c>
      <c r="R1594" s="16" t="s">
        <v>2072</v>
      </c>
      <c r="S1594" s="13" t="s">
        <v>45</v>
      </c>
      <c r="T1594" s="13" t="s">
        <v>75</v>
      </c>
      <c r="U1594" s="13" t="str">
        <f t="shared" si="1"/>
        <v>Moderate</v>
      </c>
      <c r="V1594" s="13" t="str">
        <f t="shared" si="2"/>
        <v>Below Median</v>
      </c>
      <c r="W1594" s="13" t="str">
        <f t="shared" si="3"/>
        <v>13–24 Months</v>
      </c>
    </row>
    <row r="1595" hidden="1">
      <c r="A1595" s="13" t="s">
        <v>512</v>
      </c>
      <c r="B1595" s="13" t="s">
        <v>801</v>
      </c>
      <c r="C1595" s="14">
        <v>36.0</v>
      </c>
      <c r="D1595" s="13" t="s">
        <v>85</v>
      </c>
      <c r="E1595" s="13" t="s">
        <v>87</v>
      </c>
      <c r="F1595" s="13" t="s">
        <v>62</v>
      </c>
      <c r="G1595" s="13" t="s">
        <v>52</v>
      </c>
      <c r="H1595" s="16">
        <v>45335.0</v>
      </c>
      <c r="I1595" s="14">
        <v>27.0</v>
      </c>
      <c r="J1595" s="13" t="s">
        <v>40</v>
      </c>
      <c r="K1595" s="13" t="s">
        <v>41</v>
      </c>
      <c r="L1595" s="14">
        <v>538.0</v>
      </c>
      <c r="M1595" s="18" t="s">
        <v>98</v>
      </c>
      <c r="N1595" s="20">
        <v>0.0</v>
      </c>
      <c r="O1595" s="18">
        <v>18.0</v>
      </c>
      <c r="P1595" s="20">
        <v>2.7</v>
      </c>
      <c r="Q1595" s="16">
        <v>45665.0</v>
      </c>
      <c r="R1595" s="16" t="s">
        <v>38</v>
      </c>
      <c r="S1595" s="13" t="s">
        <v>55</v>
      </c>
      <c r="T1595" s="13" t="s">
        <v>47</v>
      </c>
      <c r="U1595" s="13" t="str">
        <f t="shared" si="1"/>
        <v>Low</v>
      </c>
      <c r="V1595" s="13" t="str">
        <f t="shared" si="2"/>
        <v>Below Median</v>
      </c>
      <c r="W1595" s="13" t="str">
        <f t="shared" si="3"/>
        <v>25–48 Months</v>
      </c>
    </row>
    <row r="1596" hidden="1">
      <c r="A1596" s="13" t="s">
        <v>2074</v>
      </c>
      <c r="B1596" s="13" t="s">
        <v>395</v>
      </c>
      <c r="C1596" s="14">
        <v>45.0</v>
      </c>
      <c r="D1596" s="13" t="s">
        <v>69</v>
      </c>
      <c r="E1596" s="13" t="s">
        <v>187</v>
      </c>
      <c r="F1596" s="13" t="s">
        <v>62</v>
      </c>
      <c r="G1596" s="13" t="s">
        <v>80</v>
      </c>
      <c r="H1596" s="16">
        <v>45676.0</v>
      </c>
      <c r="I1596" s="14">
        <v>3.0</v>
      </c>
      <c r="J1596" s="13" t="s">
        <v>53</v>
      </c>
      <c r="K1596" s="13" t="s">
        <v>65</v>
      </c>
      <c r="L1596" s="14">
        <v>605.0</v>
      </c>
      <c r="M1596" s="18" t="s">
        <v>46</v>
      </c>
      <c r="N1596" s="20">
        <v>0.0</v>
      </c>
      <c r="O1596" s="18">
        <v>20.5</v>
      </c>
      <c r="P1596" s="20">
        <v>4.3</v>
      </c>
      <c r="Q1596" s="16">
        <v>45740.0</v>
      </c>
      <c r="R1596" s="16" t="s">
        <v>38</v>
      </c>
      <c r="S1596" s="13" t="s">
        <v>55</v>
      </c>
      <c r="T1596" s="13" t="s">
        <v>66</v>
      </c>
      <c r="U1596" s="13" t="str">
        <f t="shared" si="1"/>
        <v>Moderate</v>
      </c>
      <c r="V1596" s="13" t="str">
        <f t="shared" si="2"/>
        <v>Below Median</v>
      </c>
      <c r="W1596" s="13" t="str">
        <f t="shared" si="3"/>
        <v>0–12 Months</v>
      </c>
    </row>
    <row r="1597" hidden="1">
      <c r="A1597" s="13" t="s">
        <v>521</v>
      </c>
      <c r="B1597" s="13" t="s">
        <v>736</v>
      </c>
      <c r="C1597" s="14">
        <v>37.0</v>
      </c>
      <c r="D1597" s="13" t="s">
        <v>35</v>
      </c>
      <c r="E1597" s="13" t="s">
        <v>36</v>
      </c>
      <c r="F1597" s="13" t="s">
        <v>37</v>
      </c>
      <c r="G1597" s="13" t="s">
        <v>120</v>
      </c>
      <c r="H1597" s="16">
        <v>45820.0</v>
      </c>
      <c r="I1597" s="14">
        <v>5.0</v>
      </c>
      <c r="J1597" s="13" t="s">
        <v>40</v>
      </c>
      <c r="K1597" s="13" t="s">
        <v>81</v>
      </c>
      <c r="L1597" s="14">
        <v>1310.0</v>
      </c>
      <c r="M1597" s="18" t="s">
        <v>164</v>
      </c>
      <c r="N1597" s="20">
        <v>0.0</v>
      </c>
      <c r="O1597" s="18">
        <v>41.5</v>
      </c>
      <c r="P1597" s="20">
        <v>3.1</v>
      </c>
      <c r="Q1597" s="16">
        <v>45933.0</v>
      </c>
      <c r="R1597" s="16" t="s">
        <v>38</v>
      </c>
      <c r="S1597" s="13" t="s">
        <v>55</v>
      </c>
      <c r="T1597" s="13" t="s">
        <v>47</v>
      </c>
      <c r="U1597" s="13" t="str">
        <f t="shared" si="1"/>
        <v>Moderate</v>
      </c>
      <c r="V1597" s="13" t="str">
        <f t="shared" si="2"/>
        <v>Median or Above</v>
      </c>
      <c r="W1597" s="13" t="str">
        <f t="shared" si="3"/>
        <v>0–12 Months</v>
      </c>
    </row>
    <row r="1598" hidden="1">
      <c r="A1598" s="13" t="s">
        <v>2075</v>
      </c>
      <c r="B1598" s="13" t="s">
        <v>651</v>
      </c>
      <c r="C1598" s="14">
        <v>54.0</v>
      </c>
      <c r="D1598" s="13" t="s">
        <v>69</v>
      </c>
      <c r="E1598" s="13" t="s">
        <v>177</v>
      </c>
      <c r="F1598" s="13" t="s">
        <v>62</v>
      </c>
      <c r="G1598" s="13" t="s">
        <v>210</v>
      </c>
      <c r="H1598" s="16">
        <v>45371.0</v>
      </c>
      <c r="I1598" s="14">
        <v>24.0</v>
      </c>
      <c r="J1598" s="13" t="s">
        <v>53</v>
      </c>
      <c r="K1598" s="13" t="s">
        <v>41</v>
      </c>
      <c r="L1598" s="14">
        <v>656.0</v>
      </c>
      <c r="M1598" s="18" t="s">
        <v>376</v>
      </c>
      <c r="N1598" s="20">
        <v>2.0</v>
      </c>
      <c r="O1598" s="18">
        <v>19.4</v>
      </c>
      <c r="P1598" s="20">
        <v>4.3</v>
      </c>
      <c r="Q1598" s="16">
        <v>45766.0</v>
      </c>
      <c r="R1598" s="16" t="s">
        <v>38</v>
      </c>
      <c r="S1598" s="13" t="s">
        <v>55</v>
      </c>
      <c r="T1598" s="13" t="s">
        <v>75</v>
      </c>
      <c r="U1598" s="13" t="str">
        <f t="shared" si="1"/>
        <v>Moderate</v>
      </c>
      <c r="V1598" s="13" t="str">
        <f t="shared" si="2"/>
        <v>Below Median</v>
      </c>
      <c r="W1598" s="13" t="str">
        <f t="shared" si="3"/>
        <v>13–24 Months</v>
      </c>
    </row>
    <row r="1599" hidden="1">
      <c r="A1599" s="13" t="s">
        <v>1455</v>
      </c>
      <c r="B1599" s="13" t="s">
        <v>281</v>
      </c>
      <c r="C1599" s="14">
        <v>56.0</v>
      </c>
      <c r="D1599" s="13" t="s">
        <v>69</v>
      </c>
      <c r="E1599" s="13" t="s">
        <v>119</v>
      </c>
      <c r="F1599" s="13" t="s">
        <v>62</v>
      </c>
      <c r="G1599" s="13" t="s">
        <v>80</v>
      </c>
      <c r="H1599" s="16">
        <v>45759.0</v>
      </c>
      <c r="I1599" s="14">
        <v>23.0</v>
      </c>
      <c r="J1599" s="13" t="s">
        <v>40</v>
      </c>
      <c r="K1599" s="13" t="s">
        <v>81</v>
      </c>
      <c r="L1599" s="14">
        <v>828.0</v>
      </c>
      <c r="M1599" s="18" t="s">
        <v>46</v>
      </c>
      <c r="N1599" s="20">
        <v>0.0</v>
      </c>
      <c r="O1599" s="18">
        <v>23.7</v>
      </c>
      <c r="P1599" s="20">
        <v>3.3</v>
      </c>
      <c r="Q1599" s="16">
        <v>46396.0</v>
      </c>
      <c r="R1599" s="16" t="s">
        <v>1007</v>
      </c>
      <c r="S1599" s="13" t="s">
        <v>45</v>
      </c>
      <c r="T1599" s="13" t="s">
        <v>47</v>
      </c>
      <c r="U1599" s="13" t="str">
        <f t="shared" si="1"/>
        <v>Moderate</v>
      </c>
      <c r="V1599" s="13" t="str">
        <f t="shared" si="2"/>
        <v>Below Median</v>
      </c>
      <c r="W1599" s="13" t="str">
        <f t="shared" si="3"/>
        <v>13–24 Months</v>
      </c>
    </row>
    <row r="1600" hidden="1">
      <c r="A1600" s="13" t="s">
        <v>741</v>
      </c>
      <c r="B1600" s="13" t="s">
        <v>74</v>
      </c>
      <c r="C1600" s="14">
        <v>30.0</v>
      </c>
      <c r="D1600" s="13" t="s">
        <v>85</v>
      </c>
      <c r="E1600" s="13" t="s">
        <v>87</v>
      </c>
      <c r="F1600" s="13" t="s">
        <v>79</v>
      </c>
      <c r="G1600" s="13" t="s">
        <v>210</v>
      </c>
      <c r="H1600" s="16">
        <v>44811.0</v>
      </c>
      <c r="I1600" s="14">
        <v>20.0</v>
      </c>
      <c r="J1600" s="13" t="s">
        <v>64</v>
      </c>
      <c r="K1600" s="13" t="s">
        <v>65</v>
      </c>
      <c r="L1600" s="14">
        <v>3898.0</v>
      </c>
      <c r="M1600" s="18" t="s">
        <v>43</v>
      </c>
      <c r="N1600" s="20">
        <v>0.0</v>
      </c>
      <c r="O1600" s="18">
        <v>25.3</v>
      </c>
      <c r="P1600" s="20">
        <v>3.5</v>
      </c>
      <c r="Q1600" s="16">
        <v>45321.0</v>
      </c>
      <c r="R1600" s="16" t="s">
        <v>38</v>
      </c>
      <c r="S1600" s="13" t="s">
        <v>55</v>
      </c>
      <c r="T1600" s="13" t="s">
        <v>72</v>
      </c>
      <c r="U1600" s="13" t="str">
        <f t="shared" si="1"/>
        <v>Moderate</v>
      </c>
      <c r="V1600" s="13" t="str">
        <f t="shared" si="2"/>
        <v>Median or Above</v>
      </c>
      <c r="W1600" s="13" t="str">
        <f t="shared" si="3"/>
        <v>13–24 Months</v>
      </c>
    </row>
    <row r="1601" hidden="1">
      <c r="A1601" s="13" t="s">
        <v>2076</v>
      </c>
      <c r="B1601" s="13" t="s">
        <v>239</v>
      </c>
      <c r="C1601" s="14">
        <v>38.0</v>
      </c>
      <c r="D1601" s="13" t="s">
        <v>69</v>
      </c>
      <c r="E1601" s="13" t="s">
        <v>177</v>
      </c>
      <c r="F1601" s="13" t="s">
        <v>37</v>
      </c>
      <c r="G1601" s="13" t="s">
        <v>52</v>
      </c>
      <c r="H1601" s="16">
        <v>45085.0</v>
      </c>
      <c r="I1601" s="14">
        <v>36.0</v>
      </c>
      <c r="J1601" s="13" t="s">
        <v>53</v>
      </c>
      <c r="K1601" s="13" t="s">
        <v>41</v>
      </c>
      <c r="L1601" s="14">
        <v>1183.0</v>
      </c>
      <c r="M1601" s="18" t="s">
        <v>43</v>
      </c>
      <c r="N1601" s="20">
        <v>1.0</v>
      </c>
      <c r="O1601" s="18">
        <v>18.4</v>
      </c>
      <c r="P1601" s="20">
        <v>3.3</v>
      </c>
      <c r="Q1601" s="16">
        <v>45563.0</v>
      </c>
      <c r="R1601" s="16" t="s">
        <v>38</v>
      </c>
      <c r="S1601" s="13" t="s">
        <v>55</v>
      </c>
      <c r="T1601" s="13" t="s">
        <v>47</v>
      </c>
      <c r="U1601" s="13" t="str">
        <f t="shared" si="1"/>
        <v>Moderate</v>
      </c>
      <c r="V1601" s="13" t="str">
        <f t="shared" si="2"/>
        <v>Below Median</v>
      </c>
      <c r="W1601" s="13" t="str">
        <f t="shared" si="3"/>
        <v>25–48 Months</v>
      </c>
    </row>
    <row r="1602" hidden="1">
      <c r="A1602" s="13" t="s">
        <v>1262</v>
      </c>
      <c r="B1602" s="13" t="s">
        <v>405</v>
      </c>
      <c r="C1602" s="14">
        <v>24.0</v>
      </c>
      <c r="D1602" s="13" t="s">
        <v>60</v>
      </c>
      <c r="E1602" s="13" t="s">
        <v>107</v>
      </c>
      <c r="F1602" s="13" t="s">
        <v>62</v>
      </c>
      <c r="G1602" s="13" t="s">
        <v>52</v>
      </c>
      <c r="H1602" s="16">
        <v>45986.0</v>
      </c>
      <c r="I1602" s="14">
        <v>6.0</v>
      </c>
      <c r="J1602" s="13" t="s">
        <v>40</v>
      </c>
      <c r="K1602" s="13" t="s">
        <v>65</v>
      </c>
      <c r="L1602" s="14">
        <v>745.0</v>
      </c>
      <c r="M1602" s="18" t="s">
        <v>99</v>
      </c>
      <c r="N1602" s="20">
        <v>3.0</v>
      </c>
      <c r="O1602" s="18">
        <v>15.1</v>
      </c>
      <c r="P1602" s="20">
        <v>3.2</v>
      </c>
      <c r="Q1602" s="16">
        <v>46046.0</v>
      </c>
      <c r="R1602" s="16" t="s">
        <v>38</v>
      </c>
      <c r="S1602" s="13" t="s">
        <v>55</v>
      </c>
      <c r="T1602" s="13" t="s">
        <v>66</v>
      </c>
      <c r="U1602" s="13" t="str">
        <f t="shared" si="1"/>
        <v>Moderate</v>
      </c>
      <c r="V1602" s="13" t="str">
        <f t="shared" si="2"/>
        <v>Below Median</v>
      </c>
      <c r="W1602" s="13" t="str">
        <f t="shared" si="3"/>
        <v>0–12 Months</v>
      </c>
    </row>
    <row r="1603" hidden="1">
      <c r="A1603" s="13" t="s">
        <v>2000</v>
      </c>
      <c r="B1603" s="13" t="s">
        <v>110</v>
      </c>
      <c r="C1603" s="14">
        <v>60.0</v>
      </c>
      <c r="D1603" s="13" t="s">
        <v>85</v>
      </c>
      <c r="E1603" s="13" t="s">
        <v>92</v>
      </c>
      <c r="F1603" s="13" t="s">
        <v>62</v>
      </c>
      <c r="G1603" s="13" t="s">
        <v>39</v>
      </c>
      <c r="H1603" s="16">
        <v>45971.0</v>
      </c>
      <c r="I1603" s="14">
        <v>1.0</v>
      </c>
      <c r="J1603" s="13" t="s">
        <v>53</v>
      </c>
      <c r="K1603" s="13" t="s">
        <v>65</v>
      </c>
      <c r="L1603" s="14">
        <v>797.0</v>
      </c>
      <c r="M1603" s="18" t="s">
        <v>1342</v>
      </c>
      <c r="N1603" s="20">
        <v>0.0</v>
      </c>
      <c r="O1603" s="18">
        <v>18.9</v>
      </c>
      <c r="P1603" s="20">
        <v>3.5</v>
      </c>
      <c r="Q1603" s="16">
        <v>45996.0</v>
      </c>
      <c r="R1603" s="16" t="s">
        <v>38</v>
      </c>
      <c r="S1603" s="13" t="s">
        <v>55</v>
      </c>
      <c r="T1603" s="13" t="s">
        <v>104</v>
      </c>
      <c r="U1603" s="13" t="str">
        <f t="shared" si="1"/>
        <v>Moderate</v>
      </c>
      <c r="V1603" s="13" t="str">
        <f t="shared" si="2"/>
        <v>Below Median</v>
      </c>
      <c r="W1603" s="13" t="str">
        <f t="shared" si="3"/>
        <v>0–12 Months</v>
      </c>
    </row>
    <row r="1604" hidden="1">
      <c r="A1604" s="13" t="s">
        <v>1813</v>
      </c>
      <c r="B1604" s="13" t="s">
        <v>163</v>
      </c>
      <c r="C1604" s="14">
        <v>24.0</v>
      </c>
      <c r="D1604" s="13" t="s">
        <v>69</v>
      </c>
      <c r="E1604" s="13" t="s">
        <v>70</v>
      </c>
      <c r="F1604" s="13" t="s">
        <v>37</v>
      </c>
      <c r="G1604" s="13" t="s">
        <v>128</v>
      </c>
      <c r="H1604" s="16">
        <v>45327.0</v>
      </c>
      <c r="I1604" s="14">
        <v>33.0</v>
      </c>
      <c r="J1604" s="13" t="s">
        <v>53</v>
      </c>
      <c r="K1604" s="13" t="s">
        <v>41</v>
      </c>
      <c r="L1604" s="14">
        <v>1739.0</v>
      </c>
      <c r="M1604" s="18" t="s">
        <v>98</v>
      </c>
      <c r="N1604" s="20">
        <v>0.0</v>
      </c>
      <c r="O1604" s="18">
        <v>12.2</v>
      </c>
      <c r="P1604" s="20">
        <v>5.0</v>
      </c>
      <c r="Q1604" s="16">
        <v>45885.0</v>
      </c>
      <c r="R1604" s="16" t="s">
        <v>38</v>
      </c>
      <c r="S1604" s="13" t="s">
        <v>55</v>
      </c>
      <c r="T1604" s="13" t="s">
        <v>66</v>
      </c>
      <c r="U1604" s="13" t="str">
        <f t="shared" si="1"/>
        <v>High</v>
      </c>
      <c r="V1604" s="13" t="str">
        <f t="shared" si="2"/>
        <v>Below Median</v>
      </c>
      <c r="W1604" s="13" t="str">
        <f t="shared" si="3"/>
        <v>25–48 Months</v>
      </c>
    </row>
    <row r="1605" hidden="1">
      <c r="A1605" s="13" t="s">
        <v>2077</v>
      </c>
      <c r="B1605" s="13" t="s">
        <v>345</v>
      </c>
      <c r="C1605" s="14">
        <v>54.0</v>
      </c>
      <c r="D1605" s="13" t="s">
        <v>60</v>
      </c>
      <c r="E1605" s="13" t="s">
        <v>61</v>
      </c>
      <c r="F1605" s="13" t="s">
        <v>79</v>
      </c>
      <c r="G1605" s="13" t="s">
        <v>210</v>
      </c>
      <c r="H1605" s="16">
        <v>45030.0</v>
      </c>
      <c r="I1605" s="14">
        <v>28.0</v>
      </c>
      <c r="J1605" s="13" t="s">
        <v>40</v>
      </c>
      <c r="K1605" s="13" t="s">
        <v>81</v>
      </c>
      <c r="L1605" s="14">
        <v>3291.0</v>
      </c>
      <c r="M1605" s="18" t="s">
        <v>98</v>
      </c>
      <c r="N1605" s="20">
        <v>1.0</v>
      </c>
      <c r="O1605" s="18">
        <v>35.0</v>
      </c>
      <c r="P1605" s="20">
        <v>3.9</v>
      </c>
      <c r="Q1605" s="16">
        <v>45146.0</v>
      </c>
      <c r="R1605" s="16" t="s">
        <v>38</v>
      </c>
      <c r="S1605" s="13" t="s">
        <v>55</v>
      </c>
      <c r="T1605" s="13" t="s">
        <v>75</v>
      </c>
      <c r="U1605" s="13" t="str">
        <f t="shared" si="1"/>
        <v>Moderate</v>
      </c>
      <c r="V1605" s="13" t="str">
        <f t="shared" si="2"/>
        <v>Median or Above</v>
      </c>
      <c r="W1605" s="13" t="str">
        <f t="shared" si="3"/>
        <v>25–48 Months</v>
      </c>
    </row>
    <row r="1606" hidden="1">
      <c r="A1606" s="13" t="s">
        <v>991</v>
      </c>
      <c r="B1606" s="13" t="s">
        <v>308</v>
      </c>
      <c r="C1606" s="14">
        <v>28.0</v>
      </c>
      <c r="D1606" s="13" t="s">
        <v>35</v>
      </c>
      <c r="E1606" s="13" t="s">
        <v>140</v>
      </c>
      <c r="F1606" s="13" t="s">
        <v>37</v>
      </c>
      <c r="G1606" s="13" t="s">
        <v>210</v>
      </c>
      <c r="H1606" s="16">
        <v>45428.0</v>
      </c>
      <c r="I1606" s="14">
        <v>20.0</v>
      </c>
      <c r="J1606" s="13" t="s">
        <v>53</v>
      </c>
      <c r="K1606" s="13" t="s">
        <v>81</v>
      </c>
      <c r="L1606" s="14">
        <v>1464.0</v>
      </c>
      <c r="M1606" s="18" t="s">
        <v>43</v>
      </c>
      <c r="N1606" s="20">
        <v>0.0</v>
      </c>
      <c r="O1606" s="18">
        <v>26.7</v>
      </c>
      <c r="P1606" s="20">
        <v>4.7</v>
      </c>
      <c r="Q1606" s="16">
        <v>45492.0</v>
      </c>
      <c r="R1606" s="16" t="s">
        <v>38</v>
      </c>
      <c r="S1606" s="13" t="s">
        <v>55</v>
      </c>
      <c r="T1606" s="13" t="s">
        <v>47</v>
      </c>
      <c r="U1606" s="13" t="str">
        <f t="shared" si="1"/>
        <v>Moderate</v>
      </c>
      <c r="V1606" s="13" t="str">
        <f t="shared" si="2"/>
        <v>Median or Above</v>
      </c>
      <c r="W1606" s="13" t="str">
        <f t="shared" si="3"/>
        <v>13–24 Months</v>
      </c>
    </row>
    <row r="1607" hidden="1">
      <c r="A1607" s="13" t="s">
        <v>2078</v>
      </c>
      <c r="B1607" s="13" t="s">
        <v>424</v>
      </c>
      <c r="C1607" s="14">
        <v>30.0</v>
      </c>
      <c r="D1607" s="13" t="s">
        <v>35</v>
      </c>
      <c r="E1607" s="13" t="s">
        <v>161</v>
      </c>
      <c r="F1607" s="13" t="s">
        <v>79</v>
      </c>
      <c r="G1607" s="13" t="s">
        <v>39</v>
      </c>
      <c r="H1607" s="16">
        <v>46009.0</v>
      </c>
      <c r="I1607" s="14">
        <v>48.0</v>
      </c>
      <c r="J1607" s="13" t="s">
        <v>64</v>
      </c>
      <c r="K1607" s="13" t="s">
        <v>65</v>
      </c>
      <c r="L1607" s="14">
        <v>2107.0</v>
      </c>
      <c r="M1607" s="18" t="s">
        <v>46</v>
      </c>
      <c r="N1607" s="20">
        <v>1.0</v>
      </c>
      <c r="O1607" s="18">
        <v>38.1</v>
      </c>
      <c r="P1607" s="20">
        <v>3.6</v>
      </c>
      <c r="Q1607" s="16">
        <v>46397.0</v>
      </c>
      <c r="R1607" s="16" t="s">
        <v>38</v>
      </c>
      <c r="S1607" s="13" t="s">
        <v>55</v>
      </c>
      <c r="T1607" s="13" t="s">
        <v>72</v>
      </c>
      <c r="U1607" s="13" t="str">
        <f t="shared" si="1"/>
        <v>Moderate</v>
      </c>
      <c r="V1607" s="13" t="str">
        <f t="shared" si="2"/>
        <v>Median or Above</v>
      </c>
      <c r="W1607" s="13" t="str">
        <f t="shared" si="3"/>
        <v>25–48 Months</v>
      </c>
    </row>
    <row r="1608" hidden="1">
      <c r="A1608" s="13" t="s">
        <v>936</v>
      </c>
      <c r="B1608" s="13" t="s">
        <v>202</v>
      </c>
      <c r="C1608" s="14">
        <v>45.0</v>
      </c>
      <c r="D1608" s="13" t="s">
        <v>60</v>
      </c>
      <c r="E1608" s="13" t="s">
        <v>61</v>
      </c>
      <c r="F1608" s="13" t="s">
        <v>37</v>
      </c>
      <c r="G1608" s="13" t="s">
        <v>128</v>
      </c>
      <c r="H1608" s="16">
        <v>44844.0</v>
      </c>
      <c r="I1608" s="14">
        <v>11.0</v>
      </c>
      <c r="J1608" s="13" t="s">
        <v>53</v>
      </c>
      <c r="K1608" s="13" t="s">
        <v>41</v>
      </c>
      <c r="L1608" s="14">
        <v>1097.0</v>
      </c>
      <c r="M1608" s="18" t="s">
        <v>43</v>
      </c>
      <c r="N1608" s="20">
        <v>0.0</v>
      </c>
      <c r="O1608" s="18">
        <v>21.6</v>
      </c>
      <c r="P1608" s="20">
        <v>3.2</v>
      </c>
      <c r="Q1608" s="16">
        <v>44932.0</v>
      </c>
      <c r="R1608" s="16" t="s">
        <v>38</v>
      </c>
      <c r="S1608" s="13" t="s">
        <v>55</v>
      </c>
      <c r="T1608" s="13" t="s">
        <v>104</v>
      </c>
      <c r="U1608" s="13" t="str">
        <f t="shared" si="1"/>
        <v>Moderate</v>
      </c>
      <c r="V1608" s="13" t="str">
        <f t="shared" si="2"/>
        <v>Below Median</v>
      </c>
      <c r="W1608" s="13" t="str">
        <f t="shared" si="3"/>
        <v>0–12 Months</v>
      </c>
    </row>
    <row r="1609" hidden="1">
      <c r="A1609" s="13" t="s">
        <v>1625</v>
      </c>
      <c r="B1609" s="13" t="s">
        <v>459</v>
      </c>
      <c r="C1609" s="14">
        <v>27.0</v>
      </c>
      <c r="D1609" s="13" t="s">
        <v>35</v>
      </c>
      <c r="E1609" s="13" t="s">
        <v>161</v>
      </c>
      <c r="F1609" s="13" t="s">
        <v>62</v>
      </c>
      <c r="G1609" s="13" t="s">
        <v>80</v>
      </c>
      <c r="H1609" s="16">
        <v>45721.0</v>
      </c>
      <c r="I1609" s="14">
        <v>10.0</v>
      </c>
      <c r="J1609" s="13" t="s">
        <v>40</v>
      </c>
      <c r="K1609" s="13" t="s">
        <v>41</v>
      </c>
      <c r="L1609" s="14">
        <v>704.0</v>
      </c>
      <c r="M1609" s="18" t="s">
        <v>164</v>
      </c>
      <c r="N1609" s="20">
        <v>0.0</v>
      </c>
      <c r="O1609" s="18">
        <v>14.9</v>
      </c>
      <c r="P1609" s="20">
        <v>4.4</v>
      </c>
      <c r="Q1609" s="16">
        <v>45858.0</v>
      </c>
      <c r="R1609" s="16" t="s">
        <v>38</v>
      </c>
      <c r="S1609" s="13" t="s">
        <v>55</v>
      </c>
      <c r="T1609" s="13" t="s">
        <v>72</v>
      </c>
      <c r="U1609" s="13" t="str">
        <f t="shared" si="1"/>
        <v>Moderate</v>
      </c>
      <c r="V1609" s="13" t="str">
        <f t="shared" si="2"/>
        <v>Below Median</v>
      </c>
      <c r="W1609" s="13" t="str">
        <f t="shared" si="3"/>
        <v>0–12 Months</v>
      </c>
    </row>
    <row r="1610" hidden="1">
      <c r="A1610" s="13" t="s">
        <v>2079</v>
      </c>
      <c r="B1610" s="13" t="s">
        <v>651</v>
      </c>
      <c r="C1610" s="14">
        <v>61.0</v>
      </c>
      <c r="D1610" s="13" t="s">
        <v>35</v>
      </c>
      <c r="E1610" s="13" t="s">
        <v>161</v>
      </c>
      <c r="F1610" s="13" t="s">
        <v>62</v>
      </c>
      <c r="G1610" s="13" t="s">
        <v>80</v>
      </c>
      <c r="H1610" s="16">
        <v>44829.0</v>
      </c>
      <c r="I1610" s="14">
        <v>12.0</v>
      </c>
      <c r="J1610" s="13" t="s">
        <v>64</v>
      </c>
      <c r="K1610" s="13" t="s">
        <v>81</v>
      </c>
      <c r="L1610" s="14">
        <v>523.0</v>
      </c>
      <c r="M1610" s="18" t="s">
        <v>376</v>
      </c>
      <c r="N1610" s="20">
        <v>2.0</v>
      </c>
      <c r="O1610" s="18">
        <v>19.3</v>
      </c>
      <c r="P1610" s="20">
        <v>5.0</v>
      </c>
      <c r="Q1610" s="16">
        <v>44910.0</v>
      </c>
      <c r="R1610" s="16" t="s">
        <v>38</v>
      </c>
      <c r="S1610" s="13" t="s">
        <v>55</v>
      </c>
      <c r="T1610" s="13" t="s">
        <v>104</v>
      </c>
      <c r="U1610" s="13" t="str">
        <f t="shared" si="1"/>
        <v>High</v>
      </c>
      <c r="V1610" s="13" t="str">
        <f t="shared" si="2"/>
        <v>Below Median</v>
      </c>
      <c r="W1610" s="13" t="str">
        <f t="shared" si="3"/>
        <v>0–12 Months</v>
      </c>
    </row>
    <row r="1611" hidden="1">
      <c r="A1611" s="13" t="s">
        <v>2080</v>
      </c>
      <c r="B1611" s="13" t="s">
        <v>68</v>
      </c>
      <c r="C1611" s="14">
        <v>52.0</v>
      </c>
      <c r="D1611" s="13" t="s">
        <v>35</v>
      </c>
      <c r="E1611" s="13" t="s">
        <v>51</v>
      </c>
      <c r="F1611" s="13" t="s">
        <v>62</v>
      </c>
      <c r="G1611" s="13" t="s">
        <v>210</v>
      </c>
      <c r="H1611" s="16">
        <v>44990.0</v>
      </c>
      <c r="I1611" s="14">
        <v>15.0</v>
      </c>
      <c r="J1611" s="13" t="s">
        <v>53</v>
      </c>
      <c r="K1611" s="13" t="s">
        <v>41</v>
      </c>
      <c r="L1611" s="14">
        <v>597.0</v>
      </c>
      <c r="M1611" s="18" t="s">
        <v>43</v>
      </c>
      <c r="N1611" s="20">
        <v>1.0</v>
      </c>
      <c r="O1611" s="18">
        <v>12.8</v>
      </c>
      <c r="P1611" s="20">
        <v>3.9</v>
      </c>
      <c r="Q1611" s="16">
        <v>45089.0</v>
      </c>
      <c r="R1611" s="16" t="s">
        <v>38</v>
      </c>
      <c r="S1611" s="13" t="s">
        <v>55</v>
      </c>
      <c r="T1611" s="13" t="s">
        <v>47</v>
      </c>
      <c r="U1611" s="13" t="str">
        <f t="shared" si="1"/>
        <v>Moderate</v>
      </c>
      <c r="V1611" s="13" t="str">
        <f t="shared" si="2"/>
        <v>Below Median</v>
      </c>
      <c r="W1611" s="13" t="str">
        <f t="shared" si="3"/>
        <v>13–24 Months</v>
      </c>
    </row>
    <row r="1612" hidden="1">
      <c r="A1612" s="13" t="s">
        <v>1238</v>
      </c>
      <c r="B1612" s="13" t="s">
        <v>476</v>
      </c>
      <c r="C1612" s="14">
        <v>38.0</v>
      </c>
      <c r="D1612" s="13" t="s">
        <v>69</v>
      </c>
      <c r="E1612" s="13" t="s">
        <v>177</v>
      </c>
      <c r="F1612" s="13" t="s">
        <v>62</v>
      </c>
      <c r="G1612" s="13" t="s">
        <v>128</v>
      </c>
      <c r="H1612" s="16">
        <v>45405.0</v>
      </c>
      <c r="I1612" s="14">
        <v>44.0</v>
      </c>
      <c r="J1612" s="13" t="s">
        <v>53</v>
      </c>
      <c r="K1612" s="13" t="s">
        <v>81</v>
      </c>
      <c r="L1612" s="14">
        <v>563.0</v>
      </c>
      <c r="M1612" s="18" t="s">
        <v>164</v>
      </c>
      <c r="N1612" s="20">
        <v>1.0</v>
      </c>
      <c r="O1612" s="18">
        <v>12.5</v>
      </c>
      <c r="P1612" s="20">
        <v>3.6</v>
      </c>
      <c r="Q1612" s="16">
        <v>45795.0</v>
      </c>
      <c r="R1612" s="16" t="s">
        <v>38</v>
      </c>
      <c r="S1612" s="13" t="s">
        <v>55</v>
      </c>
      <c r="T1612" s="13" t="s">
        <v>75</v>
      </c>
      <c r="U1612" s="13" t="str">
        <f t="shared" si="1"/>
        <v>Moderate</v>
      </c>
      <c r="V1612" s="13" t="str">
        <f t="shared" si="2"/>
        <v>Below Median</v>
      </c>
      <c r="W1612" s="13" t="str">
        <f t="shared" si="3"/>
        <v>25–48 Months</v>
      </c>
    </row>
    <row r="1613" hidden="1">
      <c r="A1613" s="13" t="s">
        <v>982</v>
      </c>
      <c r="B1613" s="13" t="s">
        <v>448</v>
      </c>
      <c r="C1613" s="14">
        <v>34.0</v>
      </c>
      <c r="D1613" s="13" t="s">
        <v>35</v>
      </c>
      <c r="E1613" s="13" t="s">
        <v>51</v>
      </c>
      <c r="F1613" s="13" t="s">
        <v>62</v>
      </c>
      <c r="G1613" s="13" t="s">
        <v>80</v>
      </c>
      <c r="H1613" s="16">
        <v>45442.0</v>
      </c>
      <c r="I1613" s="14">
        <v>28.0</v>
      </c>
      <c r="J1613" s="13" t="s">
        <v>53</v>
      </c>
      <c r="K1613" s="13" t="s">
        <v>65</v>
      </c>
      <c r="L1613" s="14">
        <v>588.0</v>
      </c>
      <c r="M1613" s="18" t="s">
        <v>43</v>
      </c>
      <c r="N1613" s="20">
        <v>2.0</v>
      </c>
      <c r="O1613" s="18">
        <v>20.2</v>
      </c>
      <c r="P1613" s="20">
        <v>5.0</v>
      </c>
      <c r="Q1613" s="16">
        <v>46199.0</v>
      </c>
      <c r="R1613" s="16" t="s">
        <v>38</v>
      </c>
      <c r="S1613" s="13" t="s">
        <v>55</v>
      </c>
      <c r="T1613" s="13" t="s">
        <v>75</v>
      </c>
      <c r="U1613" s="13" t="str">
        <f t="shared" si="1"/>
        <v>High</v>
      </c>
      <c r="V1613" s="13" t="str">
        <f t="shared" si="2"/>
        <v>Below Median</v>
      </c>
      <c r="W1613" s="13" t="str">
        <f t="shared" si="3"/>
        <v>25–48 Months</v>
      </c>
    </row>
    <row r="1614" hidden="1">
      <c r="A1614" s="13" t="s">
        <v>894</v>
      </c>
      <c r="B1614" s="13" t="s">
        <v>633</v>
      </c>
      <c r="C1614" s="14">
        <v>68.0</v>
      </c>
      <c r="D1614" s="13" t="s">
        <v>69</v>
      </c>
      <c r="E1614" s="13" t="s">
        <v>177</v>
      </c>
      <c r="F1614" s="13" t="s">
        <v>37</v>
      </c>
      <c r="G1614" s="13" t="s">
        <v>80</v>
      </c>
      <c r="H1614" s="16">
        <v>45866.0</v>
      </c>
      <c r="I1614" s="14">
        <v>41.0</v>
      </c>
      <c r="J1614" s="13" t="s">
        <v>40</v>
      </c>
      <c r="K1614" s="13" t="s">
        <v>65</v>
      </c>
      <c r="L1614" s="14">
        <v>1482.0</v>
      </c>
      <c r="M1614" s="18" t="s">
        <v>164</v>
      </c>
      <c r="N1614" s="20">
        <v>2.0</v>
      </c>
      <c r="O1614" s="18">
        <v>16.1</v>
      </c>
      <c r="P1614" s="20">
        <v>4.9</v>
      </c>
      <c r="Q1614" s="16" t="s">
        <v>38</v>
      </c>
      <c r="R1614" s="16" t="s">
        <v>38</v>
      </c>
      <c r="S1614" s="13" t="s">
        <v>55</v>
      </c>
      <c r="T1614" s="13" t="s">
        <v>47</v>
      </c>
      <c r="U1614" s="13" t="str">
        <f t="shared" si="1"/>
        <v>Moderate</v>
      </c>
      <c r="V1614" s="13" t="str">
        <f t="shared" si="2"/>
        <v>Below Median</v>
      </c>
      <c r="W1614" s="13" t="str">
        <f t="shared" si="3"/>
        <v>25–48 Months</v>
      </c>
    </row>
    <row r="1615" hidden="1">
      <c r="A1615" s="13" t="s">
        <v>988</v>
      </c>
      <c r="B1615" s="13" t="s">
        <v>179</v>
      </c>
      <c r="C1615" s="14">
        <v>58.0</v>
      </c>
      <c r="D1615" s="13" t="s">
        <v>85</v>
      </c>
      <c r="E1615" s="13" t="s">
        <v>92</v>
      </c>
      <c r="F1615" s="13" t="s">
        <v>37</v>
      </c>
      <c r="G1615" s="13" t="s">
        <v>80</v>
      </c>
      <c r="H1615" s="16">
        <v>44697.0</v>
      </c>
      <c r="I1615" s="14">
        <v>18.0</v>
      </c>
      <c r="J1615" s="13" t="s">
        <v>53</v>
      </c>
      <c r="K1615" s="13" t="s">
        <v>41</v>
      </c>
      <c r="L1615" s="14">
        <v>1160.0</v>
      </c>
      <c r="M1615" s="18" t="s">
        <v>164</v>
      </c>
      <c r="N1615" s="20">
        <v>2.0</v>
      </c>
      <c r="O1615" s="18">
        <v>24.0</v>
      </c>
      <c r="P1615" s="20">
        <v>3.0</v>
      </c>
      <c r="Q1615" s="16">
        <v>44959.0</v>
      </c>
      <c r="R1615" s="16" t="s">
        <v>38</v>
      </c>
      <c r="S1615" s="13" t="s">
        <v>55</v>
      </c>
      <c r="T1615" s="13" t="s">
        <v>72</v>
      </c>
      <c r="U1615" s="13" t="str">
        <f t="shared" si="1"/>
        <v>Moderate</v>
      </c>
      <c r="V1615" s="13" t="str">
        <f t="shared" si="2"/>
        <v>Median or Above</v>
      </c>
      <c r="W1615" s="13" t="str">
        <f t="shared" si="3"/>
        <v>13–24 Months</v>
      </c>
    </row>
    <row r="1616" hidden="1">
      <c r="A1616" s="13" t="s">
        <v>1316</v>
      </c>
      <c r="B1616" s="13" t="s">
        <v>169</v>
      </c>
      <c r="C1616" s="14">
        <v>68.0</v>
      </c>
      <c r="D1616" s="13" t="s">
        <v>85</v>
      </c>
      <c r="E1616" s="13" t="s">
        <v>133</v>
      </c>
      <c r="F1616" s="13" t="s">
        <v>37</v>
      </c>
      <c r="G1616" s="13" t="s">
        <v>210</v>
      </c>
      <c r="H1616" s="16">
        <v>45010.0</v>
      </c>
      <c r="I1616" s="14">
        <v>16.0</v>
      </c>
      <c r="J1616" s="13" t="s">
        <v>53</v>
      </c>
      <c r="K1616" s="13" t="s">
        <v>65</v>
      </c>
      <c r="L1616" s="14">
        <v>1713.0</v>
      </c>
      <c r="M1616" s="18" t="s">
        <v>173</v>
      </c>
      <c r="N1616" s="20">
        <v>0.0</v>
      </c>
      <c r="O1616" s="18">
        <v>29.4</v>
      </c>
      <c r="P1616" s="20">
        <v>2.8</v>
      </c>
      <c r="Q1616" s="16">
        <v>45101.0</v>
      </c>
      <c r="R1616" s="16" t="s">
        <v>38</v>
      </c>
      <c r="S1616" s="13" t="s">
        <v>55</v>
      </c>
      <c r="T1616" s="13" t="s">
        <v>75</v>
      </c>
      <c r="U1616" s="13" t="str">
        <f t="shared" si="1"/>
        <v>Low</v>
      </c>
      <c r="V1616" s="13" t="str">
        <f t="shared" si="2"/>
        <v>Median or Above</v>
      </c>
      <c r="W1616" s="13" t="str">
        <f t="shared" si="3"/>
        <v>13–24 Months</v>
      </c>
    </row>
    <row r="1617" hidden="1">
      <c r="A1617" s="13" t="s">
        <v>1961</v>
      </c>
      <c r="B1617" s="13" t="s">
        <v>448</v>
      </c>
      <c r="C1617" s="14">
        <v>66.0</v>
      </c>
      <c r="D1617" s="13" t="s">
        <v>60</v>
      </c>
      <c r="E1617" s="13" t="s">
        <v>97</v>
      </c>
      <c r="F1617" s="13" t="s">
        <v>62</v>
      </c>
      <c r="G1617" s="13" t="s">
        <v>80</v>
      </c>
      <c r="H1617" s="16">
        <v>45750.0</v>
      </c>
      <c r="I1617" s="14">
        <v>45.0</v>
      </c>
      <c r="J1617" s="13" t="s">
        <v>40</v>
      </c>
      <c r="K1617" s="13" t="s">
        <v>41</v>
      </c>
      <c r="L1617" s="14">
        <v>707.0</v>
      </c>
      <c r="M1617" s="18" t="s">
        <v>98</v>
      </c>
      <c r="N1617" s="20">
        <v>2.0</v>
      </c>
      <c r="O1617" s="18">
        <v>14.8</v>
      </c>
      <c r="P1617" s="20">
        <v>1.9</v>
      </c>
      <c r="Q1617" s="16">
        <v>47058.0</v>
      </c>
      <c r="R1617" s="16" t="s">
        <v>38</v>
      </c>
      <c r="S1617" s="13" t="s">
        <v>45</v>
      </c>
      <c r="T1617" s="13" t="s">
        <v>72</v>
      </c>
      <c r="U1617" s="13" t="str">
        <f t="shared" si="1"/>
        <v>Low</v>
      </c>
      <c r="V1617" s="13" t="str">
        <f t="shared" si="2"/>
        <v>Below Median</v>
      </c>
      <c r="W1617" s="13" t="str">
        <f t="shared" si="3"/>
        <v>25–48 Months</v>
      </c>
    </row>
    <row r="1618" hidden="1">
      <c r="A1618" s="13" t="s">
        <v>1617</v>
      </c>
      <c r="B1618" s="13" t="s">
        <v>801</v>
      </c>
      <c r="C1618" s="14">
        <v>66.0</v>
      </c>
      <c r="D1618" s="13" t="s">
        <v>85</v>
      </c>
      <c r="E1618" s="13" t="s">
        <v>87</v>
      </c>
      <c r="F1618" s="13" t="s">
        <v>79</v>
      </c>
      <c r="G1618" s="13" t="s">
        <v>39</v>
      </c>
      <c r="H1618" s="16">
        <v>45171.0</v>
      </c>
      <c r="I1618" s="14">
        <v>7.0</v>
      </c>
      <c r="J1618" s="13" t="s">
        <v>64</v>
      </c>
      <c r="K1618" s="13" t="s">
        <v>81</v>
      </c>
      <c r="L1618" s="14">
        <v>3311.0</v>
      </c>
      <c r="M1618" s="18" t="s">
        <v>46</v>
      </c>
      <c r="N1618" s="20">
        <v>2.0</v>
      </c>
      <c r="O1618" s="18">
        <v>39.7</v>
      </c>
      <c r="P1618" s="20">
        <v>2.5</v>
      </c>
      <c r="Q1618" s="16">
        <v>45298.0</v>
      </c>
      <c r="R1618" s="16" t="s">
        <v>38</v>
      </c>
      <c r="S1618" s="13" t="s">
        <v>55</v>
      </c>
      <c r="T1618" s="13" t="s">
        <v>47</v>
      </c>
      <c r="U1618" s="13" t="str">
        <f t="shared" si="1"/>
        <v>Low</v>
      </c>
      <c r="V1618" s="13" t="str">
        <f t="shared" si="2"/>
        <v>Median or Above</v>
      </c>
      <c r="W1618" s="13" t="str">
        <f t="shared" si="3"/>
        <v>0–12 Months</v>
      </c>
    </row>
    <row r="1619" hidden="1">
      <c r="A1619" s="13" t="s">
        <v>2082</v>
      </c>
      <c r="B1619" s="13" t="s">
        <v>135</v>
      </c>
      <c r="C1619" s="14">
        <v>44.0</v>
      </c>
      <c r="D1619" s="13" t="s">
        <v>60</v>
      </c>
      <c r="E1619" s="13" t="s">
        <v>97</v>
      </c>
      <c r="F1619" s="13" t="s">
        <v>79</v>
      </c>
      <c r="G1619" s="13" t="s">
        <v>210</v>
      </c>
      <c r="H1619" s="16">
        <v>45403.0</v>
      </c>
      <c r="I1619" s="14">
        <v>36.0</v>
      </c>
      <c r="J1619" s="13" t="s">
        <v>64</v>
      </c>
      <c r="K1619" s="13" t="s">
        <v>81</v>
      </c>
      <c r="L1619" s="14">
        <v>2503.0</v>
      </c>
      <c r="M1619" s="18" t="s">
        <v>164</v>
      </c>
      <c r="N1619" s="20">
        <v>0.0</v>
      </c>
      <c r="O1619" s="18">
        <v>36.4</v>
      </c>
      <c r="P1619" s="20">
        <v>3.3</v>
      </c>
      <c r="Q1619" s="16">
        <v>45466.0</v>
      </c>
      <c r="R1619" s="16" t="s">
        <v>38</v>
      </c>
      <c r="S1619" s="13" t="s">
        <v>55</v>
      </c>
      <c r="T1619" s="13" t="s">
        <v>47</v>
      </c>
      <c r="U1619" s="13" t="str">
        <f t="shared" si="1"/>
        <v>Moderate</v>
      </c>
      <c r="V1619" s="13" t="str">
        <f t="shared" si="2"/>
        <v>Median or Above</v>
      </c>
      <c r="W1619" s="13" t="str">
        <f t="shared" si="3"/>
        <v>25–48 Months</v>
      </c>
    </row>
    <row r="1620" hidden="1">
      <c r="A1620" s="13" t="s">
        <v>2083</v>
      </c>
      <c r="B1620" s="13" t="s">
        <v>247</v>
      </c>
      <c r="C1620" s="14">
        <v>25.0</v>
      </c>
      <c r="D1620" s="13" t="s">
        <v>85</v>
      </c>
      <c r="E1620" s="13" t="s">
        <v>111</v>
      </c>
      <c r="F1620" s="13" t="s">
        <v>37</v>
      </c>
      <c r="G1620" s="13" t="s">
        <v>128</v>
      </c>
      <c r="H1620" s="16">
        <v>45680.0</v>
      </c>
      <c r="I1620" s="14">
        <v>43.0</v>
      </c>
      <c r="J1620" s="13" t="s">
        <v>53</v>
      </c>
      <c r="K1620" s="13" t="s">
        <v>81</v>
      </c>
      <c r="L1620" s="14">
        <v>1361.0</v>
      </c>
      <c r="M1620" s="18" t="s">
        <v>43</v>
      </c>
      <c r="N1620" s="20">
        <v>0.0</v>
      </c>
      <c r="O1620" s="18">
        <v>23.5</v>
      </c>
      <c r="P1620" s="20">
        <v>3.3</v>
      </c>
      <c r="Q1620" s="16">
        <v>46149.0</v>
      </c>
      <c r="R1620" s="16" t="s">
        <v>38</v>
      </c>
      <c r="S1620" s="13" t="s">
        <v>55</v>
      </c>
      <c r="T1620" s="13" t="s">
        <v>47</v>
      </c>
      <c r="U1620" s="13" t="str">
        <f t="shared" si="1"/>
        <v>Moderate</v>
      </c>
      <c r="V1620" s="13" t="str">
        <f t="shared" si="2"/>
        <v>Below Median</v>
      </c>
      <c r="W1620" s="13" t="str">
        <f t="shared" si="3"/>
        <v>25–48 Months</v>
      </c>
    </row>
    <row r="1621" hidden="1">
      <c r="A1621" s="13" t="s">
        <v>862</v>
      </c>
      <c r="B1621" s="13" t="s">
        <v>96</v>
      </c>
      <c r="C1621" s="14">
        <v>25.0</v>
      </c>
      <c r="D1621" s="13" t="s">
        <v>85</v>
      </c>
      <c r="E1621" s="13" t="s">
        <v>292</v>
      </c>
      <c r="F1621" s="13" t="s">
        <v>62</v>
      </c>
      <c r="G1621" s="13" t="s">
        <v>63</v>
      </c>
      <c r="H1621" s="16">
        <v>45580.0</v>
      </c>
      <c r="I1621" s="14">
        <v>14.0</v>
      </c>
      <c r="J1621" s="13" t="s">
        <v>53</v>
      </c>
      <c r="K1621" s="13" t="s">
        <v>81</v>
      </c>
      <c r="L1621" s="14" t="s">
        <v>38</v>
      </c>
      <c r="M1621" s="18" t="s">
        <v>43</v>
      </c>
      <c r="N1621" s="20">
        <v>2.0</v>
      </c>
      <c r="O1621" s="18">
        <v>21.0</v>
      </c>
      <c r="P1621" s="20">
        <v>4.2</v>
      </c>
      <c r="Q1621" s="16">
        <v>45943.0</v>
      </c>
      <c r="R1621" s="16" t="s">
        <v>38</v>
      </c>
      <c r="S1621" s="13" t="s">
        <v>55</v>
      </c>
      <c r="T1621" s="13" t="s">
        <v>66</v>
      </c>
      <c r="U1621" s="13" t="str">
        <f t="shared" si="1"/>
        <v>Moderate</v>
      </c>
      <c r="V1621" s="13" t="str">
        <f t="shared" si="2"/>
        <v>Below Median</v>
      </c>
      <c r="W1621" s="13" t="str">
        <f t="shared" si="3"/>
        <v>13–24 Months</v>
      </c>
    </row>
    <row r="1622" hidden="1">
      <c r="A1622" s="13" t="s">
        <v>1164</v>
      </c>
      <c r="B1622" s="13" t="s">
        <v>139</v>
      </c>
      <c r="C1622" s="14">
        <v>31.0</v>
      </c>
      <c r="D1622" s="13" t="s">
        <v>85</v>
      </c>
      <c r="E1622" s="13" t="s">
        <v>292</v>
      </c>
      <c r="F1622" s="13" t="s">
        <v>37</v>
      </c>
      <c r="G1622" s="13" t="s">
        <v>39</v>
      </c>
      <c r="H1622" s="16">
        <v>45353.0</v>
      </c>
      <c r="I1622" s="14">
        <v>47.0</v>
      </c>
      <c r="J1622" s="13" t="s">
        <v>64</v>
      </c>
      <c r="K1622" s="13" t="s">
        <v>65</v>
      </c>
      <c r="L1622" s="14">
        <v>1119.0</v>
      </c>
      <c r="M1622" s="18" t="s">
        <v>98</v>
      </c>
      <c r="N1622" s="20">
        <v>0.0</v>
      </c>
      <c r="O1622" s="18">
        <v>31.6</v>
      </c>
      <c r="P1622" s="20">
        <v>4.2</v>
      </c>
      <c r="Q1622" s="16">
        <v>45613.0</v>
      </c>
      <c r="R1622" s="16" t="s">
        <v>38</v>
      </c>
      <c r="S1622" s="13" t="s">
        <v>55</v>
      </c>
      <c r="T1622" s="13" t="s">
        <v>75</v>
      </c>
      <c r="U1622" s="13" t="str">
        <f t="shared" si="1"/>
        <v>Moderate</v>
      </c>
      <c r="V1622" s="13" t="str">
        <f t="shared" si="2"/>
        <v>Median or Above</v>
      </c>
      <c r="W1622" s="13" t="str">
        <f t="shared" si="3"/>
        <v>25–48 Months</v>
      </c>
    </row>
    <row r="1623" hidden="1">
      <c r="A1623" s="13" t="s">
        <v>1132</v>
      </c>
      <c r="B1623" s="13" t="s">
        <v>184</v>
      </c>
      <c r="C1623" s="14">
        <v>67.0</v>
      </c>
      <c r="D1623" s="13" t="s">
        <v>69</v>
      </c>
      <c r="E1623" s="13" t="s">
        <v>177</v>
      </c>
      <c r="F1623" s="13" t="s">
        <v>37</v>
      </c>
      <c r="G1623" s="13" t="s">
        <v>128</v>
      </c>
      <c r="H1623" s="16">
        <v>44857.0</v>
      </c>
      <c r="I1623" s="14">
        <v>48.0</v>
      </c>
      <c r="J1623" s="13" t="s">
        <v>53</v>
      </c>
      <c r="K1623" s="13" t="s">
        <v>41</v>
      </c>
      <c r="L1623" s="14">
        <v>1167.0</v>
      </c>
      <c r="M1623" s="18" t="s">
        <v>164</v>
      </c>
      <c r="N1623" s="20">
        <v>2.0</v>
      </c>
      <c r="O1623" s="18">
        <v>30.6</v>
      </c>
      <c r="P1623" s="20">
        <v>3.2</v>
      </c>
      <c r="Q1623" s="16">
        <v>46305.0</v>
      </c>
      <c r="R1623" s="16" t="s">
        <v>38</v>
      </c>
      <c r="S1623" s="13" t="s">
        <v>55</v>
      </c>
      <c r="T1623" s="13" t="s">
        <v>47</v>
      </c>
      <c r="U1623" s="13" t="str">
        <f t="shared" si="1"/>
        <v>Moderate</v>
      </c>
      <c r="V1623" s="13" t="str">
        <f t="shared" si="2"/>
        <v>Median or Above</v>
      </c>
      <c r="W1623" s="13" t="str">
        <f t="shared" si="3"/>
        <v>25–48 Months</v>
      </c>
    </row>
    <row r="1624" hidden="1">
      <c r="A1624" s="13" t="s">
        <v>1366</v>
      </c>
      <c r="B1624" s="13" t="s">
        <v>247</v>
      </c>
      <c r="C1624" s="14">
        <v>61.0</v>
      </c>
      <c r="D1624" s="13" t="s">
        <v>35</v>
      </c>
      <c r="E1624" s="13" t="s">
        <v>140</v>
      </c>
      <c r="F1624" s="13" t="s">
        <v>37</v>
      </c>
      <c r="G1624" s="13" t="s">
        <v>80</v>
      </c>
      <c r="H1624" s="16">
        <v>45767.0</v>
      </c>
      <c r="I1624" s="14">
        <v>41.0</v>
      </c>
      <c r="J1624" s="13" t="s">
        <v>40</v>
      </c>
      <c r="K1624" s="13" t="s">
        <v>41</v>
      </c>
      <c r="L1624" s="14">
        <v>504.0</v>
      </c>
      <c r="M1624" s="18" t="s">
        <v>164</v>
      </c>
      <c r="N1624" s="20">
        <v>1.0</v>
      </c>
      <c r="O1624" s="18">
        <v>12.3</v>
      </c>
      <c r="P1624" s="20">
        <v>4.8</v>
      </c>
      <c r="Q1624" s="16">
        <v>46949.0</v>
      </c>
      <c r="R1624" s="16">
        <v>46245.0</v>
      </c>
      <c r="S1624" s="13" t="s">
        <v>45</v>
      </c>
      <c r="T1624" s="13" t="s">
        <v>75</v>
      </c>
      <c r="U1624" s="13" t="str">
        <f t="shared" si="1"/>
        <v>Moderate</v>
      </c>
      <c r="V1624" s="13" t="str">
        <f t="shared" si="2"/>
        <v>Below Median</v>
      </c>
      <c r="W1624" s="13" t="str">
        <f t="shared" si="3"/>
        <v>25–48 Months</v>
      </c>
    </row>
    <row r="1625" hidden="1">
      <c r="A1625" s="13" t="s">
        <v>1812</v>
      </c>
      <c r="B1625" s="13" t="s">
        <v>395</v>
      </c>
      <c r="C1625" s="14">
        <v>32.0</v>
      </c>
      <c r="D1625" s="13" t="s">
        <v>85</v>
      </c>
      <c r="E1625" s="13" t="s">
        <v>92</v>
      </c>
      <c r="F1625" s="13" t="s">
        <v>37</v>
      </c>
      <c r="G1625" s="13" t="s">
        <v>63</v>
      </c>
      <c r="H1625" s="16">
        <v>45832.0</v>
      </c>
      <c r="I1625" s="14">
        <v>27.0</v>
      </c>
      <c r="J1625" s="13" t="s">
        <v>53</v>
      </c>
      <c r="K1625" s="13" t="s">
        <v>41</v>
      </c>
      <c r="L1625" s="14">
        <v>1025.0</v>
      </c>
      <c r="M1625" s="18" t="s">
        <v>98</v>
      </c>
      <c r="N1625" s="20">
        <v>0.0</v>
      </c>
      <c r="O1625" s="18">
        <v>46.2</v>
      </c>
      <c r="P1625" s="20">
        <v>3.0</v>
      </c>
      <c r="Q1625" s="16">
        <v>46540.0</v>
      </c>
      <c r="R1625" s="16" t="s">
        <v>38</v>
      </c>
      <c r="S1625" s="13" t="s">
        <v>55</v>
      </c>
      <c r="T1625" s="13" t="s">
        <v>66</v>
      </c>
      <c r="U1625" s="13" t="str">
        <f t="shared" si="1"/>
        <v>Moderate</v>
      </c>
      <c r="V1625" s="13" t="str">
        <f t="shared" si="2"/>
        <v>Median or Above</v>
      </c>
      <c r="W1625" s="13" t="str">
        <f t="shared" si="3"/>
        <v>25–48 Months</v>
      </c>
    </row>
    <row r="1626" hidden="1">
      <c r="A1626" s="13" t="s">
        <v>1878</v>
      </c>
      <c r="B1626" s="13" t="s">
        <v>232</v>
      </c>
      <c r="C1626" s="14">
        <v>65.0</v>
      </c>
      <c r="D1626" s="13" t="s">
        <v>35</v>
      </c>
      <c r="E1626" s="13" t="s">
        <v>36</v>
      </c>
      <c r="F1626" s="13" t="s">
        <v>79</v>
      </c>
      <c r="G1626" s="13" t="s">
        <v>63</v>
      </c>
      <c r="H1626" s="16">
        <v>44909.0</v>
      </c>
      <c r="I1626" s="14">
        <v>23.0</v>
      </c>
      <c r="J1626" s="13" t="s">
        <v>64</v>
      </c>
      <c r="K1626" s="13" t="s">
        <v>41</v>
      </c>
      <c r="L1626" s="14">
        <v>2231.0</v>
      </c>
      <c r="M1626" s="18" t="s">
        <v>43</v>
      </c>
      <c r="N1626" s="20">
        <v>3.0</v>
      </c>
      <c r="O1626" s="18">
        <v>35.5</v>
      </c>
      <c r="P1626" s="20">
        <v>3.0</v>
      </c>
      <c r="Q1626" s="16">
        <v>45329.0</v>
      </c>
      <c r="R1626" s="16" t="s">
        <v>2085</v>
      </c>
      <c r="S1626" s="13" t="s">
        <v>45</v>
      </c>
      <c r="T1626" s="13" t="s">
        <v>104</v>
      </c>
      <c r="U1626" s="13" t="str">
        <f t="shared" si="1"/>
        <v>Moderate</v>
      </c>
      <c r="V1626" s="13" t="str">
        <f t="shared" si="2"/>
        <v>Median or Above</v>
      </c>
      <c r="W1626" s="13" t="str">
        <f t="shared" si="3"/>
        <v>13–24 Months</v>
      </c>
    </row>
    <row r="1627" hidden="1">
      <c r="A1627" s="13" t="s">
        <v>771</v>
      </c>
      <c r="B1627" s="13" t="s">
        <v>398</v>
      </c>
      <c r="C1627" s="14">
        <v>37.0</v>
      </c>
      <c r="D1627" s="13" t="s">
        <v>69</v>
      </c>
      <c r="E1627" s="13" t="s">
        <v>187</v>
      </c>
      <c r="F1627" s="13" t="s">
        <v>62</v>
      </c>
      <c r="G1627" s="13" t="s">
        <v>210</v>
      </c>
      <c r="H1627" s="16">
        <v>45003.0</v>
      </c>
      <c r="I1627" s="14">
        <v>31.0</v>
      </c>
      <c r="J1627" s="13" t="s">
        <v>40</v>
      </c>
      <c r="K1627" s="13" t="s">
        <v>81</v>
      </c>
      <c r="L1627" s="14">
        <v>713.0</v>
      </c>
      <c r="M1627" s="18" t="s">
        <v>98</v>
      </c>
      <c r="N1627" s="20">
        <v>0.0</v>
      </c>
      <c r="O1627" s="18">
        <v>17.2</v>
      </c>
      <c r="P1627" s="20">
        <v>2.5</v>
      </c>
      <c r="Q1627" s="16">
        <v>45832.0</v>
      </c>
      <c r="R1627" s="16" t="s">
        <v>1517</v>
      </c>
      <c r="S1627" s="13" t="s">
        <v>45</v>
      </c>
      <c r="T1627" s="13" t="s">
        <v>66</v>
      </c>
      <c r="U1627" s="13" t="str">
        <f t="shared" si="1"/>
        <v>Low</v>
      </c>
      <c r="V1627" s="13" t="str">
        <f t="shared" si="2"/>
        <v>Below Median</v>
      </c>
      <c r="W1627" s="13" t="str">
        <f t="shared" si="3"/>
        <v>25–48 Months</v>
      </c>
    </row>
    <row r="1628" hidden="1">
      <c r="A1628" s="13" t="s">
        <v>1834</v>
      </c>
      <c r="B1628" s="13" t="s">
        <v>247</v>
      </c>
      <c r="C1628" s="14">
        <v>25.0</v>
      </c>
      <c r="D1628" s="13" t="s">
        <v>60</v>
      </c>
      <c r="E1628" s="13" t="s">
        <v>61</v>
      </c>
      <c r="F1628" s="13" t="s">
        <v>37</v>
      </c>
      <c r="G1628" s="13" t="s">
        <v>63</v>
      </c>
      <c r="H1628" s="16">
        <v>45451.0</v>
      </c>
      <c r="I1628" s="14">
        <v>32.0</v>
      </c>
      <c r="J1628" s="13" t="s">
        <v>53</v>
      </c>
      <c r="K1628" s="13" t="s">
        <v>41</v>
      </c>
      <c r="L1628" s="14">
        <v>1074.0</v>
      </c>
      <c r="M1628" s="18" t="s">
        <v>43</v>
      </c>
      <c r="N1628" s="20">
        <v>2.0</v>
      </c>
      <c r="O1628" s="18">
        <v>25.0</v>
      </c>
      <c r="P1628" s="20">
        <v>3.2</v>
      </c>
      <c r="Q1628" s="16">
        <v>46391.0</v>
      </c>
      <c r="R1628" s="16" t="s">
        <v>38</v>
      </c>
      <c r="S1628" s="13" t="s">
        <v>55</v>
      </c>
      <c r="T1628" s="13" t="s">
        <v>72</v>
      </c>
      <c r="U1628" s="13" t="str">
        <f t="shared" si="1"/>
        <v>Moderate</v>
      </c>
      <c r="V1628" s="13" t="str">
        <f t="shared" si="2"/>
        <v>Median or Above</v>
      </c>
      <c r="W1628" s="13" t="str">
        <f t="shared" si="3"/>
        <v>25–48 Months</v>
      </c>
    </row>
    <row r="1629" hidden="1">
      <c r="A1629" s="13" t="s">
        <v>441</v>
      </c>
      <c r="B1629" s="13" t="s">
        <v>135</v>
      </c>
      <c r="C1629" s="14">
        <v>44.0</v>
      </c>
      <c r="D1629" s="13" t="s">
        <v>35</v>
      </c>
      <c r="E1629" s="13" t="s">
        <v>36</v>
      </c>
      <c r="F1629" s="13" t="s">
        <v>62</v>
      </c>
      <c r="G1629" s="13" t="s">
        <v>210</v>
      </c>
      <c r="H1629" s="16">
        <v>45905.0</v>
      </c>
      <c r="I1629" s="14">
        <v>11.0</v>
      </c>
      <c r="J1629" s="13" t="s">
        <v>64</v>
      </c>
      <c r="K1629" s="13" t="s">
        <v>41</v>
      </c>
      <c r="L1629" s="14">
        <v>518.0</v>
      </c>
      <c r="M1629" s="18" t="s">
        <v>43</v>
      </c>
      <c r="N1629" s="20">
        <v>0.0</v>
      </c>
      <c r="O1629" s="18">
        <v>9.3</v>
      </c>
      <c r="P1629" s="20">
        <v>3.4</v>
      </c>
      <c r="Q1629" s="16">
        <v>46202.0</v>
      </c>
      <c r="R1629" s="16">
        <v>46178.0</v>
      </c>
      <c r="S1629" s="13" t="s">
        <v>45</v>
      </c>
      <c r="T1629" s="13" t="s">
        <v>104</v>
      </c>
      <c r="U1629" s="13" t="str">
        <f t="shared" si="1"/>
        <v>Moderate</v>
      </c>
      <c r="V1629" s="13" t="str">
        <f t="shared" si="2"/>
        <v>Below Median</v>
      </c>
      <c r="W1629" s="13" t="str">
        <f t="shared" si="3"/>
        <v>0–12 Months</v>
      </c>
    </row>
    <row r="1630" hidden="1">
      <c r="A1630" s="13" t="s">
        <v>245</v>
      </c>
      <c r="B1630" s="13" t="s">
        <v>96</v>
      </c>
      <c r="C1630" s="14">
        <v>32.0</v>
      </c>
      <c r="D1630" s="13" t="s">
        <v>35</v>
      </c>
      <c r="E1630" s="13" t="s">
        <v>51</v>
      </c>
      <c r="F1630" s="13" t="s">
        <v>62</v>
      </c>
      <c r="G1630" s="13" t="s">
        <v>63</v>
      </c>
      <c r="H1630" s="16">
        <v>44972.0</v>
      </c>
      <c r="I1630" s="14">
        <v>17.0</v>
      </c>
      <c r="J1630" s="13" t="s">
        <v>53</v>
      </c>
      <c r="K1630" s="13" t="s">
        <v>41</v>
      </c>
      <c r="L1630" s="14">
        <v>879.0</v>
      </c>
      <c r="M1630" s="18" t="s">
        <v>164</v>
      </c>
      <c r="N1630" s="20">
        <v>0.0</v>
      </c>
      <c r="O1630" s="18">
        <v>27.2</v>
      </c>
      <c r="P1630" s="20">
        <v>2.3</v>
      </c>
      <c r="Q1630" s="16">
        <v>45249.0</v>
      </c>
      <c r="R1630" s="16" t="s">
        <v>38</v>
      </c>
      <c r="S1630" s="13" t="s">
        <v>55</v>
      </c>
      <c r="T1630" s="13" t="s">
        <v>104</v>
      </c>
      <c r="U1630" s="13" t="str">
        <f t="shared" si="1"/>
        <v>Low</v>
      </c>
      <c r="V1630" s="13" t="str">
        <f t="shared" si="2"/>
        <v>Median or Above</v>
      </c>
      <c r="W1630" s="13" t="str">
        <f t="shared" si="3"/>
        <v>13–24 Months</v>
      </c>
    </row>
    <row r="1631" hidden="1">
      <c r="A1631" s="13" t="s">
        <v>1894</v>
      </c>
      <c r="B1631" s="13" t="s">
        <v>308</v>
      </c>
      <c r="C1631" s="14">
        <v>24.0</v>
      </c>
      <c r="D1631" s="13" t="s">
        <v>35</v>
      </c>
      <c r="E1631" s="13" t="s">
        <v>140</v>
      </c>
      <c r="F1631" s="13" t="s">
        <v>37</v>
      </c>
      <c r="G1631" s="13" t="s">
        <v>52</v>
      </c>
      <c r="H1631" s="16">
        <v>44758.0</v>
      </c>
      <c r="I1631" s="14">
        <v>32.0</v>
      </c>
      <c r="J1631" s="13" t="s">
        <v>53</v>
      </c>
      <c r="K1631" s="13" t="s">
        <v>65</v>
      </c>
      <c r="L1631" s="14">
        <v>1101.0</v>
      </c>
      <c r="M1631" s="18" t="s">
        <v>43</v>
      </c>
      <c r="N1631" s="20">
        <v>0.0</v>
      </c>
      <c r="O1631" s="18">
        <v>26.7</v>
      </c>
      <c r="P1631" s="20">
        <v>3.8</v>
      </c>
      <c r="Q1631" s="16">
        <v>45710.0</v>
      </c>
      <c r="R1631" s="16" t="s">
        <v>1495</v>
      </c>
      <c r="S1631" s="13" t="s">
        <v>45</v>
      </c>
      <c r="T1631" s="13" t="s">
        <v>104</v>
      </c>
      <c r="U1631" s="13" t="str">
        <f t="shared" si="1"/>
        <v>Moderate</v>
      </c>
      <c r="V1631" s="13" t="str">
        <f t="shared" si="2"/>
        <v>Median or Above</v>
      </c>
      <c r="W1631" s="13" t="str">
        <f t="shared" si="3"/>
        <v>25–48 Months</v>
      </c>
    </row>
    <row r="1632" hidden="1">
      <c r="A1632" s="13" t="s">
        <v>73</v>
      </c>
      <c r="B1632" s="13" t="s">
        <v>364</v>
      </c>
      <c r="C1632" s="14">
        <v>29.0</v>
      </c>
      <c r="D1632" s="13" t="s">
        <v>35</v>
      </c>
      <c r="E1632" s="13" t="s">
        <v>140</v>
      </c>
      <c r="F1632" s="13" t="s">
        <v>62</v>
      </c>
      <c r="G1632" s="13" t="s">
        <v>39</v>
      </c>
      <c r="H1632" s="16">
        <v>46006.0</v>
      </c>
      <c r="I1632" s="14">
        <v>7.0</v>
      </c>
      <c r="J1632" s="13" t="s">
        <v>64</v>
      </c>
      <c r="K1632" s="13" t="s">
        <v>81</v>
      </c>
      <c r="L1632" s="14">
        <v>657.0</v>
      </c>
      <c r="M1632" s="18" t="s">
        <v>98</v>
      </c>
      <c r="N1632" s="20">
        <v>2.0</v>
      </c>
      <c r="O1632" s="18">
        <v>19.0</v>
      </c>
      <c r="P1632" s="20">
        <v>4.6</v>
      </c>
      <c r="Q1632" s="16">
        <v>46093.0</v>
      </c>
      <c r="R1632" s="16" t="s">
        <v>38</v>
      </c>
      <c r="S1632" s="13" t="s">
        <v>55</v>
      </c>
      <c r="T1632" s="13" t="s">
        <v>104</v>
      </c>
      <c r="U1632" s="13" t="str">
        <f t="shared" si="1"/>
        <v>Moderate</v>
      </c>
      <c r="V1632" s="13" t="str">
        <f t="shared" si="2"/>
        <v>Below Median</v>
      </c>
      <c r="W1632" s="13" t="str">
        <f t="shared" si="3"/>
        <v>0–12 Months</v>
      </c>
    </row>
    <row r="1633" hidden="1">
      <c r="A1633" s="13" t="s">
        <v>1666</v>
      </c>
      <c r="B1633" s="13" t="s">
        <v>172</v>
      </c>
      <c r="C1633" s="14">
        <v>46.0</v>
      </c>
      <c r="D1633" s="13" t="s">
        <v>35</v>
      </c>
      <c r="E1633" s="13" t="s">
        <v>36</v>
      </c>
      <c r="F1633" s="13" t="s">
        <v>62</v>
      </c>
      <c r="G1633" s="13" t="s">
        <v>80</v>
      </c>
      <c r="H1633" s="16">
        <v>45502.0</v>
      </c>
      <c r="I1633" s="14">
        <v>41.0</v>
      </c>
      <c r="J1633" s="13" t="s">
        <v>53</v>
      </c>
      <c r="K1633" s="13" t="s">
        <v>81</v>
      </c>
      <c r="L1633" s="14">
        <v>568.0</v>
      </c>
      <c r="M1633" s="18" t="s">
        <v>43</v>
      </c>
      <c r="N1633" s="20">
        <v>1.0</v>
      </c>
      <c r="O1633" s="18">
        <v>1.0</v>
      </c>
      <c r="P1633" s="20">
        <v>4.1</v>
      </c>
      <c r="Q1633" s="16">
        <v>45665.0</v>
      </c>
      <c r="R1633" s="16" t="s">
        <v>38</v>
      </c>
      <c r="S1633" s="13" t="s">
        <v>55</v>
      </c>
      <c r="T1633" s="13" t="s">
        <v>72</v>
      </c>
      <c r="U1633" s="13" t="str">
        <f t="shared" si="1"/>
        <v>Moderate</v>
      </c>
      <c r="V1633" s="13" t="str">
        <f t="shared" si="2"/>
        <v>Below Median</v>
      </c>
      <c r="W1633" s="13" t="str">
        <f t="shared" si="3"/>
        <v>25–48 Months</v>
      </c>
    </row>
    <row r="1634" hidden="1">
      <c r="A1634" s="13" t="s">
        <v>1537</v>
      </c>
      <c r="B1634" s="13" t="s">
        <v>398</v>
      </c>
      <c r="C1634" s="14">
        <v>61.0</v>
      </c>
      <c r="D1634" s="13" t="s">
        <v>85</v>
      </c>
      <c r="E1634" s="13" t="s">
        <v>92</v>
      </c>
      <c r="F1634" s="13" t="s">
        <v>79</v>
      </c>
      <c r="G1634" s="13" t="s">
        <v>39</v>
      </c>
      <c r="H1634" s="16">
        <v>45801.0</v>
      </c>
      <c r="I1634" s="14">
        <v>5.0</v>
      </c>
      <c r="J1634" s="13" t="s">
        <v>53</v>
      </c>
      <c r="K1634" s="13" t="s">
        <v>41</v>
      </c>
      <c r="L1634" s="14">
        <v>3879.0</v>
      </c>
      <c r="M1634" s="18" t="s">
        <v>98</v>
      </c>
      <c r="N1634" s="20">
        <v>1.0</v>
      </c>
      <c r="O1634" s="18">
        <v>48.9</v>
      </c>
      <c r="P1634" s="20">
        <v>3.5</v>
      </c>
      <c r="Q1634" s="16">
        <v>45938.0</v>
      </c>
      <c r="R1634" s="16" t="s">
        <v>38</v>
      </c>
      <c r="S1634" s="13" t="s">
        <v>55</v>
      </c>
      <c r="T1634" s="13" t="s">
        <v>66</v>
      </c>
      <c r="U1634" s="13" t="str">
        <f t="shared" si="1"/>
        <v>Moderate</v>
      </c>
      <c r="V1634" s="13" t="str">
        <f t="shared" si="2"/>
        <v>Median or Above</v>
      </c>
      <c r="W1634" s="13" t="str">
        <f t="shared" si="3"/>
        <v>0–12 Months</v>
      </c>
    </row>
    <row r="1635" hidden="1">
      <c r="A1635" s="13" t="s">
        <v>2086</v>
      </c>
      <c r="B1635" s="13" t="s">
        <v>636</v>
      </c>
      <c r="C1635" s="14">
        <v>22.0</v>
      </c>
      <c r="D1635" s="13" t="s">
        <v>69</v>
      </c>
      <c r="E1635" s="13" t="s">
        <v>187</v>
      </c>
      <c r="F1635" s="13" t="s">
        <v>37</v>
      </c>
      <c r="G1635" s="13" t="s">
        <v>63</v>
      </c>
      <c r="H1635" s="16">
        <v>45275.0</v>
      </c>
      <c r="I1635" s="14">
        <v>19.0</v>
      </c>
      <c r="J1635" s="13" t="s">
        <v>53</v>
      </c>
      <c r="K1635" s="13" t="s">
        <v>81</v>
      </c>
      <c r="L1635" s="14">
        <v>1726.0</v>
      </c>
      <c r="M1635" s="18" t="s">
        <v>98</v>
      </c>
      <c r="N1635" s="20">
        <v>0.0</v>
      </c>
      <c r="O1635" s="18">
        <v>24.9</v>
      </c>
      <c r="P1635" s="20">
        <v>4.0</v>
      </c>
      <c r="Q1635" s="16">
        <v>45369.0</v>
      </c>
      <c r="R1635" s="16" t="s">
        <v>1877</v>
      </c>
      <c r="S1635" s="13" t="s">
        <v>45</v>
      </c>
      <c r="T1635" s="13" t="s">
        <v>75</v>
      </c>
      <c r="U1635" s="13" t="str">
        <f t="shared" si="1"/>
        <v>Moderate</v>
      </c>
      <c r="V1635" s="13" t="str">
        <f t="shared" si="2"/>
        <v>Median or Above</v>
      </c>
      <c r="W1635" s="13" t="str">
        <f t="shared" si="3"/>
        <v>13–24 Months</v>
      </c>
    </row>
    <row r="1636" hidden="1">
      <c r="A1636" s="13" t="s">
        <v>2087</v>
      </c>
      <c r="B1636" s="13" t="s">
        <v>241</v>
      </c>
      <c r="C1636" s="14">
        <v>23.0</v>
      </c>
      <c r="D1636" s="13" t="s">
        <v>69</v>
      </c>
      <c r="E1636" s="13" t="s">
        <v>119</v>
      </c>
      <c r="F1636" s="13" t="s">
        <v>62</v>
      </c>
      <c r="G1636" s="13" t="s">
        <v>80</v>
      </c>
      <c r="H1636" s="16">
        <v>45080.0</v>
      </c>
      <c r="I1636" s="14">
        <v>23.0</v>
      </c>
      <c r="J1636" s="13" t="s">
        <v>40</v>
      </c>
      <c r="K1636" s="13" t="s">
        <v>41</v>
      </c>
      <c r="L1636" s="14">
        <v>664.0</v>
      </c>
      <c r="M1636" s="18" t="s">
        <v>98</v>
      </c>
      <c r="N1636" s="20">
        <v>1.0</v>
      </c>
      <c r="O1636" s="18">
        <v>19.5</v>
      </c>
      <c r="P1636" s="20">
        <v>4.5</v>
      </c>
      <c r="Q1636" s="16">
        <v>45761.0</v>
      </c>
      <c r="R1636" s="16" t="s">
        <v>38</v>
      </c>
      <c r="S1636" s="13" t="s">
        <v>55</v>
      </c>
      <c r="T1636" s="13" t="s">
        <v>72</v>
      </c>
      <c r="U1636" s="13" t="str">
        <f t="shared" si="1"/>
        <v>Moderate</v>
      </c>
      <c r="V1636" s="13" t="str">
        <f t="shared" si="2"/>
        <v>Below Median</v>
      </c>
      <c r="W1636" s="13" t="str">
        <f t="shared" si="3"/>
        <v>13–24 Months</v>
      </c>
    </row>
    <row r="1637" hidden="1">
      <c r="A1637" s="13" t="s">
        <v>1403</v>
      </c>
      <c r="B1637" s="13" t="s">
        <v>393</v>
      </c>
      <c r="C1637" s="14">
        <v>57.0</v>
      </c>
      <c r="D1637" s="13" t="s">
        <v>85</v>
      </c>
      <c r="E1637" s="13" t="s">
        <v>292</v>
      </c>
      <c r="F1637" s="13" t="s">
        <v>79</v>
      </c>
      <c r="G1637" s="13" t="s">
        <v>120</v>
      </c>
      <c r="H1637" s="16">
        <v>45757.0</v>
      </c>
      <c r="I1637" s="14">
        <v>35.0</v>
      </c>
      <c r="J1637" s="13" t="s">
        <v>53</v>
      </c>
      <c r="K1637" s="13" t="s">
        <v>65</v>
      </c>
      <c r="L1637" s="14">
        <v>3065.0</v>
      </c>
      <c r="M1637" s="18" t="s">
        <v>43</v>
      </c>
      <c r="N1637" s="20" t="s">
        <v>38</v>
      </c>
      <c r="O1637" s="18">
        <v>31.1</v>
      </c>
      <c r="P1637" s="20">
        <v>5.0</v>
      </c>
      <c r="Q1637" s="16">
        <v>46502.0</v>
      </c>
      <c r="R1637" s="16" t="s">
        <v>38</v>
      </c>
      <c r="S1637" s="13" t="s">
        <v>55</v>
      </c>
      <c r="T1637" s="13" t="s">
        <v>66</v>
      </c>
      <c r="U1637" s="13" t="str">
        <f t="shared" si="1"/>
        <v>High</v>
      </c>
      <c r="V1637" s="13" t="str">
        <f t="shared" si="2"/>
        <v>Median or Above</v>
      </c>
      <c r="W1637" s="13" t="str">
        <f t="shared" si="3"/>
        <v>25–48 Months</v>
      </c>
    </row>
    <row r="1638" hidden="1">
      <c r="A1638" s="13" t="s">
        <v>1366</v>
      </c>
      <c r="B1638" s="13" t="s">
        <v>801</v>
      </c>
      <c r="C1638" s="14">
        <v>42.0</v>
      </c>
      <c r="D1638" s="13" t="s">
        <v>69</v>
      </c>
      <c r="E1638" s="13" t="s">
        <v>70</v>
      </c>
      <c r="F1638" s="13" t="s">
        <v>62</v>
      </c>
      <c r="G1638" s="13" t="s">
        <v>63</v>
      </c>
      <c r="H1638" s="16">
        <v>45772.0</v>
      </c>
      <c r="I1638" s="14">
        <v>41.0</v>
      </c>
      <c r="J1638" s="13" t="s">
        <v>53</v>
      </c>
      <c r="K1638" s="13" t="s">
        <v>81</v>
      </c>
      <c r="L1638" s="14">
        <v>673.0</v>
      </c>
      <c r="M1638" s="18" t="s">
        <v>43</v>
      </c>
      <c r="N1638" s="20">
        <v>0.0</v>
      </c>
      <c r="O1638" s="18">
        <v>17.5</v>
      </c>
      <c r="P1638" s="20">
        <v>2.4</v>
      </c>
      <c r="Q1638" s="16">
        <v>46494.0</v>
      </c>
      <c r="R1638" s="16" t="s">
        <v>38</v>
      </c>
      <c r="S1638" s="13" t="s">
        <v>55</v>
      </c>
      <c r="T1638" s="13" t="s">
        <v>72</v>
      </c>
      <c r="U1638" s="13" t="str">
        <f t="shared" si="1"/>
        <v>Low</v>
      </c>
      <c r="V1638" s="13" t="str">
        <f t="shared" si="2"/>
        <v>Below Median</v>
      </c>
      <c r="W1638" s="13" t="str">
        <f t="shared" si="3"/>
        <v>25–48 Months</v>
      </c>
    </row>
    <row r="1639" hidden="1">
      <c r="A1639" s="13" t="s">
        <v>1240</v>
      </c>
      <c r="B1639" s="13" t="s">
        <v>411</v>
      </c>
      <c r="C1639" s="14">
        <v>20.0</v>
      </c>
      <c r="D1639" s="13" t="s">
        <v>69</v>
      </c>
      <c r="E1639" s="13" t="s">
        <v>119</v>
      </c>
      <c r="F1639" s="13" t="s">
        <v>37</v>
      </c>
      <c r="G1639" s="13" t="s">
        <v>39</v>
      </c>
      <c r="H1639" s="16">
        <v>45495.0</v>
      </c>
      <c r="I1639" s="14">
        <v>10.0</v>
      </c>
      <c r="J1639" s="13" t="s">
        <v>53</v>
      </c>
      <c r="K1639" s="13" t="s">
        <v>65</v>
      </c>
      <c r="L1639" s="14">
        <v>1777.0</v>
      </c>
      <c r="M1639" s="18" t="s">
        <v>43</v>
      </c>
      <c r="N1639" s="20">
        <v>0.0</v>
      </c>
      <c r="O1639" s="18">
        <v>14.4</v>
      </c>
      <c r="P1639" s="20">
        <v>4.0</v>
      </c>
      <c r="Q1639" s="16">
        <v>45690.0</v>
      </c>
      <c r="R1639" s="16" t="s">
        <v>38</v>
      </c>
      <c r="S1639" s="13" t="s">
        <v>55</v>
      </c>
      <c r="T1639" s="13" t="s">
        <v>104</v>
      </c>
      <c r="U1639" s="13" t="str">
        <f t="shared" si="1"/>
        <v>Moderate</v>
      </c>
      <c r="V1639" s="13" t="str">
        <f t="shared" si="2"/>
        <v>Below Median</v>
      </c>
      <c r="W1639" s="13" t="str">
        <f t="shared" si="3"/>
        <v>0–12 Months</v>
      </c>
    </row>
    <row r="1640" hidden="1">
      <c r="A1640" s="13" t="s">
        <v>2088</v>
      </c>
      <c r="B1640" s="13" t="s">
        <v>476</v>
      </c>
      <c r="C1640" s="14">
        <v>30.0</v>
      </c>
      <c r="D1640" s="13" t="s">
        <v>35</v>
      </c>
      <c r="E1640" s="13" t="s">
        <v>36</v>
      </c>
      <c r="F1640" s="13" t="s">
        <v>62</v>
      </c>
      <c r="G1640" s="13" t="s">
        <v>128</v>
      </c>
      <c r="H1640" s="16">
        <v>45901.0</v>
      </c>
      <c r="I1640" s="14">
        <v>18.0</v>
      </c>
      <c r="J1640" s="13" t="s">
        <v>53</v>
      </c>
      <c r="K1640" s="13" t="s">
        <v>41</v>
      </c>
      <c r="L1640" s="14">
        <v>612.0</v>
      </c>
      <c r="M1640" s="18" t="s">
        <v>99</v>
      </c>
      <c r="N1640" s="20">
        <v>0.0</v>
      </c>
      <c r="O1640" s="18">
        <v>22.0</v>
      </c>
      <c r="P1640" s="20">
        <v>3.7</v>
      </c>
      <c r="Q1640" s="16">
        <v>46298.0</v>
      </c>
      <c r="R1640" s="16" t="s">
        <v>38</v>
      </c>
      <c r="S1640" s="13" t="s">
        <v>55</v>
      </c>
      <c r="T1640" s="13" t="s">
        <v>66</v>
      </c>
      <c r="U1640" s="13" t="str">
        <f t="shared" si="1"/>
        <v>Moderate</v>
      </c>
      <c r="V1640" s="13" t="str">
        <f t="shared" si="2"/>
        <v>Below Median</v>
      </c>
      <c r="W1640" s="13" t="str">
        <f t="shared" si="3"/>
        <v>13–24 Months</v>
      </c>
    </row>
    <row r="1641" hidden="1">
      <c r="A1641" s="13" t="s">
        <v>1337</v>
      </c>
      <c r="B1641" s="13" t="s">
        <v>639</v>
      </c>
      <c r="C1641" s="14">
        <v>27.0</v>
      </c>
      <c r="D1641" s="13" t="s">
        <v>35</v>
      </c>
      <c r="E1641" s="13" t="s">
        <v>36</v>
      </c>
      <c r="F1641" s="13" t="s">
        <v>62</v>
      </c>
      <c r="G1641" s="13" t="s">
        <v>52</v>
      </c>
      <c r="H1641" s="16">
        <v>45405.0</v>
      </c>
      <c r="I1641" s="14">
        <v>27.0</v>
      </c>
      <c r="J1641" s="13" t="s">
        <v>64</v>
      </c>
      <c r="K1641" s="13" t="s">
        <v>41</v>
      </c>
      <c r="L1641" s="14">
        <v>529.0</v>
      </c>
      <c r="M1641" s="18" t="s">
        <v>99</v>
      </c>
      <c r="N1641" s="20">
        <v>1.0</v>
      </c>
      <c r="O1641" s="18">
        <v>27.0</v>
      </c>
      <c r="P1641" s="20">
        <v>4.3</v>
      </c>
      <c r="Q1641" s="16">
        <v>46192.0</v>
      </c>
      <c r="R1641" s="16" t="s">
        <v>38</v>
      </c>
      <c r="S1641" s="13" t="s">
        <v>55</v>
      </c>
      <c r="T1641" s="13" t="s">
        <v>104</v>
      </c>
      <c r="U1641" s="13" t="str">
        <f t="shared" si="1"/>
        <v>Moderate</v>
      </c>
      <c r="V1641" s="13" t="str">
        <f t="shared" si="2"/>
        <v>Median or Above</v>
      </c>
      <c r="W1641" s="13" t="str">
        <f t="shared" si="3"/>
        <v>25–48 Months</v>
      </c>
    </row>
    <row r="1642" hidden="1">
      <c r="A1642" s="13" t="s">
        <v>2089</v>
      </c>
      <c r="B1642" s="13" t="s">
        <v>106</v>
      </c>
      <c r="C1642" s="14">
        <v>30.0</v>
      </c>
      <c r="D1642" s="13" t="s">
        <v>85</v>
      </c>
      <c r="E1642" s="13" t="s">
        <v>111</v>
      </c>
      <c r="F1642" s="13" t="s">
        <v>62</v>
      </c>
      <c r="G1642" s="13" t="s">
        <v>52</v>
      </c>
      <c r="H1642" s="16">
        <v>44789.0</v>
      </c>
      <c r="I1642" s="14">
        <v>8.0</v>
      </c>
      <c r="J1642" s="13" t="s">
        <v>40</v>
      </c>
      <c r="K1642" s="13" t="s">
        <v>81</v>
      </c>
      <c r="L1642" s="14">
        <v>836.0</v>
      </c>
      <c r="M1642" s="18" t="s">
        <v>46</v>
      </c>
      <c r="N1642" s="20">
        <v>1.0</v>
      </c>
      <c r="O1642" s="18">
        <v>29.6</v>
      </c>
      <c r="P1642" s="20">
        <v>3.3</v>
      </c>
      <c r="Q1642" s="16">
        <v>44857.0</v>
      </c>
      <c r="R1642" s="16" t="s">
        <v>38</v>
      </c>
      <c r="S1642" s="13" t="s">
        <v>55</v>
      </c>
      <c r="T1642" s="13" t="s">
        <v>47</v>
      </c>
      <c r="U1642" s="13" t="str">
        <f t="shared" si="1"/>
        <v>Moderate</v>
      </c>
      <c r="V1642" s="13" t="str">
        <f t="shared" si="2"/>
        <v>Median or Above</v>
      </c>
      <c r="W1642" s="13" t="str">
        <f t="shared" si="3"/>
        <v>0–12 Months</v>
      </c>
    </row>
    <row r="1643" hidden="1">
      <c r="A1643" s="13" t="s">
        <v>359</v>
      </c>
      <c r="B1643" s="13" t="s">
        <v>132</v>
      </c>
      <c r="C1643" s="14">
        <v>36.0</v>
      </c>
      <c r="D1643" s="13" t="s">
        <v>35</v>
      </c>
      <c r="E1643" s="13" t="s">
        <v>161</v>
      </c>
      <c r="F1643" s="13" t="s">
        <v>37</v>
      </c>
      <c r="G1643" s="13" t="s">
        <v>128</v>
      </c>
      <c r="H1643" s="16">
        <v>44880.0</v>
      </c>
      <c r="I1643" s="14">
        <v>34.0</v>
      </c>
      <c r="J1643" s="13" t="s">
        <v>40</v>
      </c>
      <c r="K1643" s="13" t="s">
        <v>41</v>
      </c>
      <c r="L1643" s="14" t="s">
        <v>38</v>
      </c>
      <c r="M1643" s="18" t="s">
        <v>98</v>
      </c>
      <c r="N1643" s="20">
        <v>1.0</v>
      </c>
      <c r="O1643" s="18">
        <v>27.1</v>
      </c>
      <c r="P1643" s="20">
        <v>3.4</v>
      </c>
      <c r="Q1643" s="16">
        <v>45498.0</v>
      </c>
      <c r="R1643" s="16" t="s">
        <v>38</v>
      </c>
      <c r="S1643" s="13" t="s">
        <v>55</v>
      </c>
      <c r="T1643" s="13" t="s">
        <v>66</v>
      </c>
      <c r="U1643" s="13" t="str">
        <f t="shared" si="1"/>
        <v>Moderate</v>
      </c>
      <c r="V1643" s="13" t="str">
        <f t="shared" si="2"/>
        <v>Median or Above</v>
      </c>
      <c r="W1643" s="13" t="str">
        <f t="shared" si="3"/>
        <v>25–48 Months</v>
      </c>
    </row>
    <row r="1644" hidden="1">
      <c r="A1644" s="13" t="s">
        <v>77</v>
      </c>
      <c r="B1644" s="13" t="s">
        <v>312</v>
      </c>
      <c r="C1644" s="14">
        <v>39.0</v>
      </c>
      <c r="D1644" s="13" t="s">
        <v>85</v>
      </c>
      <c r="E1644" s="13" t="s">
        <v>292</v>
      </c>
      <c r="F1644" s="13" t="s">
        <v>62</v>
      </c>
      <c r="G1644" s="13" t="s">
        <v>128</v>
      </c>
      <c r="H1644" s="16">
        <v>44770.0</v>
      </c>
      <c r="I1644" s="14">
        <v>46.0</v>
      </c>
      <c r="J1644" s="13" t="s">
        <v>53</v>
      </c>
      <c r="K1644" s="13" t="s">
        <v>41</v>
      </c>
      <c r="L1644" s="14">
        <v>625.0</v>
      </c>
      <c r="M1644" s="18" t="s">
        <v>98</v>
      </c>
      <c r="N1644" s="20">
        <v>2.0</v>
      </c>
      <c r="O1644" s="18">
        <v>19.5</v>
      </c>
      <c r="P1644" s="20">
        <v>4.0</v>
      </c>
      <c r="Q1644" s="16">
        <v>44840.0</v>
      </c>
      <c r="R1644" s="16" t="s">
        <v>38</v>
      </c>
      <c r="S1644" s="13" t="s">
        <v>55</v>
      </c>
      <c r="T1644" s="13" t="s">
        <v>47</v>
      </c>
      <c r="U1644" s="13" t="str">
        <f t="shared" si="1"/>
        <v>Moderate</v>
      </c>
      <c r="V1644" s="13" t="str">
        <f t="shared" si="2"/>
        <v>Below Median</v>
      </c>
      <c r="W1644" s="13" t="str">
        <f t="shared" si="3"/>
        <v>25–48 Months</v>
      </c>
    </row>
    <row r="1645" hidden="1">
      <c r="A1645" s="13" t="s">
        <v>2090</v>
      </c>
      <c r="B1645" s="13" t="s">
        <v>179</v>
      </c>
      <c r="C1645" s="14">
        <v>57.0</v>
      </c>
      <c r="D1645" s="13" t="s">
        <v>69</v>
      </c>
      <c r="E1645" s="13" t="s">
        <v>70</v>
      </c>
      <c r="F1645" s="13" t="s">
        <v>37</v>
      </c>
      <c r="G1645" s="13" t="s">
        <v>120</v>
      </c>
      <c r="H1645" s="16">
        <v>45154.0</v>
      </c>
      <c r="I1645" s="14">
        <v>8.0</v>
      </c>
      <c r="J1645" s="13" t="s">
        <v>53</v>
      </c>
      <c r="K1645" s="13" t="s">
        <v>81</v>
      </c>
      <c r="L1645" s="14">
        <v>1367.0</v>
      </c>
      <c r="M1645" s="18" t="s">
        <v>43</v>
      </c>
      <c r="N1645" s="20">
        <v>0.0</v>
      </c>
      <c r="O1645" s="18">
        <v>25.9</v>
      </c>
      <c r="P1645" s="20">
        <v>1.5</v>
      </c>
      <c r="Q1645" s="16">
        <v>45289.0</v>
      </c>
      <c r="R1645" s="16" t="s">
        <v>38</v>
      </c>
      <c r="S1645" s="13" t="s">
        <v>55</v>
      </c>
      <c r="T1645" s="13" t="s">
        <v>47</v>
      </c>
      <c r="U1645" s="13" t="str">
        <f t="shared" si="1"/>
        <v>Low</v>
      </c>
      <c r="V1645" s="13" t="str">
        <f t="shared" si="2"/>
        <v>Median or Above</v>
      </c>
      <c r="W1645" s="13" t="str">
        <f t="shared" si="3"/>
        <v>0–12 Months</v>
      </c>
    </row>
    <row r="1646" hidden="1">
      <c r="A1646" s="13" t="s">
        <v>1708</v>
      </c>
      <c r="B1646" s="13" t="s">
        <v>342</v>
      </c>
      <c r="C1646" s="14">
        <v>67.0</v>
      </c>
      <c r="D1646" s="13" t="s">
        <v>69</v>
      </c>
      <c r="E1646" s="13" t="s">
        <v>70</v>
      </c>
      <c r="F1646" s="13" t="s">
        <v>79</v>
      </c>
      <c r="G1646" s="13" t="s">
        <v>63</v>
      </c>
      <c r="H1646" s="16">
        <v>45176.0</v>
      </c>
      <c r="I1646" s="14">
        <v>7.0</v>
      </c>
      <c r="J1646" s="13" t="s">
        <v>40</v>
      </c>
      <c r="K1646" s="13" t="s">
        <v>81</v>
      </c>
      <c r="L1646" s="14">
        <v>2495.0</v>
      </c>
      <c r="M1646" s="18" t="s">
        <v>98</v>
      </c>
      <c r="N1646" s="20">
        <v>0.0</v>
      </c>
      <c r="O1646" s="18">
        <v>44.1</v>
      </c>
      <c r="P1646" s="20">
        <v>4.4</v>
      </c>
      <c r="Q1646" s="16">
        <v>45263.0</v>
      </c>
      <c r="R1646" s="16" t="s">
        <v>38</v>
      </c>
      <c r="S1646" s="13" t="s">
        <v>55</v>
      </c>
      <c r="T1646" s="13" t="s">
        <v>104</v>
      </c>
      <c r="U1646" s="13" t="str">
        <f t="shared" si="1"/>
        <v>Moderate</v>
      </c>
      <c r="V1646" s="13" t="str">
        <f t="shared" si="2"/>
        <v>Median or Above</v>
      </c>
      <c r="W1646" s="13" t="str">
        <f t="shared" si="3"/>
        <v>0–12 Months</v>
      </c>
    </row>
    <row r="1647" hidden="1">
      <c r="A1647" s="13" t="s">
        <v>2018</v>
      </c>
      <c r="B1647" s="13" t="s">
        <v>349</v>
      </c>
      <c r="C1647" s="14">
        <v>20.0</v>
      </c>
      <c r="D1647" s="13" t="s">
        <v>60</v>
      </c>
      <c r="E1647" s="13" t="s">
        <v>107</v>
      </c>
      <c r="F1647" s="13" t="s">
        <v>37</v>
      </c>
      <c r="G1647" s="13" t="s">
        <v>120</v>
      </c>
      <c r="H1647" s="16">
        <v>45492.0</v>
      </c>
      <c r="I1647" s="14">
        <v>19.0</v>
      </c>
      <c r="J1647" s="13" t="s">
        <v>53</v>
      </c>
      <c r="K1647" s="13" t="s">
        <v>41</v>
      </c>
      <c r="L1647" s="14">
        <v>1130.0</v>
      </c>
      <c r="M1647" s="18" t="s">
        <v>43</v>
      </c>
      <c r="N1647" s="20">
        <v>2.0</v>
      </c>
      <c r="O1647" s="18">
        <v>12.9</v>
      </c>
      <c r="P1647" s="20">
        <v>2.3</v>
      </c>
      <c r="Q1647" s="16">
        <v>45539.0</v>
      </c>
      <c r="R1647" s="16" t="s">
        <v>2091</v>
      </c>
      <c r="S1647" s="13" t="s">
        <v>45</v>
      </c>
      <c r="T1647" s="13" t="s">
        <v>72</v>
      </c>
      <c r="U1647" s="13" t="str">
        <f t="shared" si="1"/>
        <v>Low</v>
      </c>
      <c r="V1647" s="13" t="str">
        <f t="shared" si="2"/>
        <v>Below Median</v>
      </c>
      <c r="W1647" s="13" t="str">
        <f t="shared" si="3"/>
        <v>13–24 Months</v>
      </c>
    </row>
    <row r="1648">
      <c r="A1648" s="13" t="s">
        <v>1815</v>
      </c>
      <c r="B1648" s="13" t="s">
        <v>250</v>
      </c>
      <c r="C1648" s="14">
        <v>65.0</v>
      </c>
      <c r="D1648" s="13" t="s">
        <v>35</v>
      </c>
      <c r="E1648" s="13" t="s">
        <v>51</v>
      </c>
      <c r="F1648" s="13" t="s">
        <v>37</v>
      </c>
      <c r="G1648" s="13" t="s">
        <v>80</v>
      </c>
      <c r="H1648" s="16">
        <v>44798.0</v>
      </c>
      <c r="I1648" s="14">
        <v>43.0</v>
      </c>
      <c r="J1648" s="13" t="s">
        <v>53</v>
      </c>
      <c r="K1648" s="13" t="s">
        <v>81</v>
      </c>
      <c r="L1648" s="14">
        <v>1675.0</v>
      </c>
      <c r="M1648" s="18" t="s">
        <v>164</v>
      </c>
      <c r="N1648" s="20">
        <v>1.0</v>
      </c>
      <c r="O1648" s="18">
        <v>26.2</v>
      </c>
      <c r="P1648" s="20">
        <v>3.0</v>
      </c>
      <c r="Q1648" s="16">
        <v>45718.0</v>
      </c>
      <c r="R1648" s="16" t="s">
        <v>38</v>
      </c>
      <c r="S1648" s="13" t="s">
        <v>230</v>
      </c>
      <c r="T1648" s="13" t="s">
        <v>66</v>
      </c>
      <c r="U1648" s="13" t="str">
        <f t="shared" si="1"/>
        <v>Moderate</v>
      </c>
      <c r="V1648" s="13" t="str">
        <f t="shared" si="2"/>
        <v>Median or Above</v>
      </c>
      <c r="W1648" s="13" t="str">
        <f t="shared" si="3"/>
        <v>25–48 Months</v>
      </c>
    </row>
    <row r="1649" hidden="1">
      <c r="A1649" s="13" t="s">
        <v>2092</v>
      </c>
      <c r="B1649" s="13" t="s">
        <v>176</v>
      </c>
      <c r="C1649" s="14">
        <v>30.0</v>
      </c>
      <c r="D1649" s="13" t="s">
        <v>60</v>
      </c>
      <c r="E1649" s="13" t="s">
        <v>107</v>
      </c>
      <c r="F1649" s="13" t="s">
        <v>37</v>
      </c>
      <c r="G1649" s="13" t="s">
        <v>210</v>
      </c>
      <c r="H1649" s="16">
        <v>45571.0</v>
      </c>
      <c r="I1649" s="14">
        <v>24.0</v>
      </c>
      <c r="J1649" s="13" t="s">
        <v>64</v>
      </c>
      <c r="K1649" s="13" t="s">
        <v>81</v>
      </c>
      <c r="L1649" s="14">
        <v>1713.0</v>
      </c>
      <c r="M1649" s="18" t="s">
        <v>98</v>
      </c>
      <c r="N1649" s="20">
        <v>2.0</v>
      </c>
      <c r="O1649" s="18">
        <v>32.7</v>
      </c>
      <c r="P1649" s="20">
        <v>3.7</v>
      </c>
      <c r="Q1649" s="16">
        <v>45602.0</v>
      </c>
      <c r="R1649" s="16" t="s">
        <v>38</v>
      </c>
      <c r="S1649" s="13" t="s">
        <v>55</v>
      </c>
      <c r="T1649" s="13" t="s">
        <v>104</v>
      </c>
      <c r="U1649" s="13" t="str">
        <f t="shared" si="1"/>
        <v>Moderate</v>
      </c>
      <c r="V1649" s="13" t="str">
        <f t="shared" si="2"/>
        <v>Median or Above</v>
      </c>
      <c r="W1649" s="13" t="str">
        <f t="shared" si="3"/>
        <v>13–24 Months</v>
      </c>
    </row>
    <row r="1650" hidden="1">
      <c r="A1650" s="13" t="s">
        <v>315</v>
      </c>
      <c r="B1650" s="13" t="s">
        <v>303</v>
      </c>
      <c r="C1650" s="14">
        <v>43.0</v>
      </c>
      <c r="D1650" s="13" t="s">
        <v>85</v>
      </c>
      <c r="E1650" s="13" t="s">
        <v>292</v>
      </c>
      <c r="F1650" s="13" t="s">
        <v>37</v>
      </c>
      <c r="G1650" s="13" t="s">
        <v>210</v>
      </c>
      <c r="H1650" s="16">
        <v>44875.0</v>
      </c>
      <c r="I1650" s="14">
        <v>34.0</v>
      </c>
      <c r="J1650" s="13" t="s">
        <v>53</v>
      </c>
      <c r="K1650" s="13" t="s">
        <v>65</v>
      </c>
      <c r="L1650" s="14">
        <v>1438.0</v>
      </c>
      <c r="M1650" s="18" t="s">
        <v>98</v>
      </c>
      <c r="N1650" s="20">
        <v>0.0</v>
      </c>
      <c r="O1650" s="18">
        <v>37.1</v>
      </c>
      <c r="P1650" s="20">
        <v>2.7</v>
      </c>
      <c r="Q1650" s="16">
        <v>45657.0</v>
      </c>
      <c r="R1650" s="16" t="s">
        <v>38</v>
      </c>
      <c r="S1650" s="13" t="s">
        <v>55</v>
      </c>
      <c r="T1650" s="13" t="s">
        <v>75</v>
      </c>
      <c r="U1650" s="13" t="str">
        <f t="shared" si="1"/>
        <v>Low</v>
      </c>
      <c r="V1650" s="13" t="str">
        <f t="shared" si="2"/>
        <v>Median or Above</v>
      </c>
      <c r="W1650" s="13" t="str">
        <f t="shared" si="3"/>
        <v>25–48 Months</v>
      </c>
    </row>
    <row r="1651" hidden="1">
      <c r="A1651" s="13" t="s">
        <v>2094</v>
      </c>
      <c r="B1651" s="13" t="s">
        <v>349</v>
      </c>
      <c r="C1651" s="14">
        <v>45.0</v>
      </c>
      <c r="D1651" s="13" t="s">
        <v>69</v>
      </c>
      <c r="E1651" s="13" t="s">
        <v>119</v>
      </c>
      <c r="F1651" s="13" t="s">
        <v>37</v>
      </c>
      <c r="G1651" s="13" t="s">
        <v>210</v>
      </c>
      <c r="H1651" s="16">
        <v>45471.0</v>
      </c>
      <c r="I1651" s="14">
        <v>3.0</v>
      </c>
      <c r="J1651" s="13" t="s">
        <v>64</v>
      </c>
      <c r="K1651" s="13" t="s">
        <v>81</v>
      </c>
      <c r="L1651" s="14">
        <v>1146.0</v>
      </c>
      <c r="M1651" s="18" t="s">
        <v>98</v>
      </c>
      <c r="N1651" s="20">
        <v>0.0</v>
      </c>
      <c r="O1651" s="18">
        <v>31.6</v>
      </c>
      <c r="P1651" s="20">
        <v>3.6</v>
      </c>
      <c r="Q1651" s="16">
        <v>45534.0</v>
      </c>
      <c r="R1651" s="16" t="s">
        <v>38</v>
      </c>
      <c r="S1651" s="13" t="s">
        <v>55</v>
      </c>
      <c r="T1651" s="13" t="s">
        <v>104</v>
      </c>
      <c r="U1651" s="13" t="str">
        <f t="shared" si="1"/>
        <v>Moderate</v>
      </c>
      <c r="V1651" s="13" t="str">
        <f t="shared" si="2"/>
        <v>Median or Above</v>
      </c>
      <c r="W1651" s="13" t="str">
        <f t="shared" si="3"/>
        <v>0–12 Months</v>
      </c>
    </row>
    <row r="1652" hidden="1">
      <c r="A1652" s="13" t="s">
        <v>2095</v>
      </c>
      <c r="B1652" s="13" t="s">
        <v>605</v>
      </c>
      <c r="C1652" s="14">
        <v>59.0</v>
      </c>
      <c r="D1652" s="13" t="s">
        <v>35</v>
      </c>
      <c r="E1652" s="13" t="s">
        <v>51</v>
      </c>
      <c r="F1652" s="13" t="s">
        <v>62</v>
      </c>
      <c r="G1652" s="13" t="s">
        <v>52</v>
      </c>
      <c r="H1652" s="16">
        <v>44603.0</v>
      </c>
      <c r="I1652" s="14">
        <v>33.0</v>
      </c>
      <c r="J1652" s="13" t="s">
        <v>64</v>
      </c>
      <c r="K1652" s="13" t="s">
        <v>65</v>
      </c>
      <c r="L1652" s="14">
        <v>744.0</v>
      </c>
      <c r="M1652" s="18" t="s">
        <v>46</v>
      </c>
      <c r="N1652" s="20">
        <v>1.0</v>
      </c>
      <c r="O1652" s="18">
        <v>23.1</v>
      </c>
      <c r="P1652" s="20">
        <v>6.0</v>
      </c>
      <c r="Q1652" s="16">
        <v>45243.0</v>
      </c>
      <c r="R1652" s="16" t="s">
        <v>38</v>
      </c>
      <c r="S1652" s="13" t="s">
        <v>55</v>
      </c>
      <c r="T1652" s="13" t="s">
        <v>72</v>
      </c>
      <c r="U1652" s="13" t="str">
        <f t="shared" si="1"/>
        <v>High</v>
      </c>
      <c r="V1652" s="13" t="str">
        <f t="shared" si="2"/>
        <v>Below Median</v>
      </c>
      <c r="W1652" s="13" t="str">
        <f t="shared" si="3"/>
        <v>25–48 Months</v>
      </c>
    </row>
    <row r="1653" hidden="1">
      <c r="A1653" s="13" t="s">
        <v>2096</v>
      </c>
      <c r="B1653" s="13" t="s">
        <v>322</v>
      </c>
      <c r="C1653" s="14">
        <v>30.0</v>
      </c>
      <c r="D1653" s="13" t="s">
        <v>60</v>
      </c>
      <c r="E1653" s="13" t="s">
        <v>133</v>
      </c>
      <c r="F1653" s="13" t="s">
        <v>37</v>
      </c>
      <c r="G1653" s="13" t="s">
        <v>120</v>
      </c>
      <c r="H1653" s="16">
        <v>44931.0</v>
      </c>
      <c r="I1653" s="14">
        <v>21.0</v>
      </c>
      <c r="J1653" s="13" t="s">
        <v>40</v>
      </c>
      <c r="K1653" s="13" t="s">
        <v>65</v>
      </c>
      <c r="L1653" s="14">
        <v>1543.0</v>
      </c>
      <c r="M1653" s="18" t="s">
        <v>164</v>
      </c>
      <c r="N1653" s="20">
        <v>0.0</v>
      </c>
      <c r="O1653" s="18">
        <v>28.8</v>
      </c>
      <c r="P1653" s="20">
        <v>3.7</v>
      </c>
      <c r="Q1653" s="16">
        <v>45129.0</v>
      </c>
      <c r="R1653" s="16">
        <v>45148.0</v>
      </c>
      <c r="S1653" s="13" t="s">
        <v>45</v>
      </c>
      <c r="T1653" s="13" t="s">
        <v>66</v>
      </c>
      <c r="U1653" s="13" t="str">
        <f t="shared" si="1"/>
        <v>Moderate</v>
      </c>
      <c r="V1653" s="13" t="str">
        <f t="shared" si="2"/>
        <v>Median or Above</v>
      </c>
      <c r="W1653" s="13" t="str">
        <f t="shared" si="3"/>
        <v>13–24 Months</v>
      </c>
    </row>
    <row r="1654" hidden="1">
      <c r="A1654" s="13" t="s">
        <v>1796</v>
      </c>
      <c r="B1654" s="13" t="s">
        <v>340</v>
      </c>
      <c r="C1654" s="14">
        <v>39.0</v>
      </c>
      <c r="D1654" s="13" t="s">
        <v>35</v>
      </c>
      <c r="E1654" s="13" t="s">
        <v>38</v>
      </c>
      <c r="F1654" s="13" t="s">
        <v>62</v>
      </c>
      <c r="G1654" s="13" t="s">
        <v>63</v>
      </c>
      <c r="H1654" s="16">
        <v>44820.0</v>
      </c>
      <c r="I1654" s="14">
        <v>20.0</v>
      </c>
      <c r="J1654" s="13" t="s">
        <v>64</v>
      </c>
      <c r="K1654" s="13" t="s">
        <v>65</v>
      </c>
      <c r="L1654" s="14">
        <v>668.0</v>
      </c>
      <c r="M1654" s="18" t="s">
        <v>98</v>
      </c>
      <c r="N1654" s="20">
        <v>0.0</v>
      </c>
      <c r="O1654" s="18">
        <v>29.7</v>
      </c>
      <c r="P1654" s="20">
        <v>3.7</v>
      </c>
      <c r="Q1654" s="16">
        <v>45237.0</v>
      </c>
      <c r="R1654" s="16" t="s">
        <v>38</v>
      </c>
      <c r="S1654" s="13" t="s">
        <v>55</v>
      </c>
      <c r="T1654" s="13" t="s">
        <v>72</v>
      </c>
      <c r="U1654" s="13" t="str">
        <f t="shared" si="1"/>
        <v>Moderate</v>
      </c>
      <c r="V1654" s="13" t="str">
        <f t="shared" si="2"/>
        <v>Median or Above</v>
      </c>
      <c r="W1654" s="13" t="str">
        <f t="shared" si="3"/>
        <v>13–24 Months</v>
      </c>
    </row>
    <row r="1655" hidden="1">
      <c r="A1655" s="13" t="s">
        <v>1049</v>
      </c>
      <c r="B1655" s="13" t="s">
        <v>364</v>
      </c>
      <c r="C1655" s="14">
        <v>34.0</v>
      </c>
      <c r="D1655" s="13" t="s">
        <v>60</v>
      </c>
      <c r="E1655" s="13" t="s">
        <v>61</v>
      </c>
      <c r="F1655" s="13" t="s">
        <v>62</v>
      </c>
      <c r="G1655" s="13" t="s">
        <v>128</v>
      </c>
      <c r="H1655" s="16">
        <v>45583.0</v>
      </c>
      <c r="I1655" s="14">
        <v>37.0</v>
      </c>
      <c r="J1655" s="13" t="s">
        <v>40</v>
      </c>
      <c r="K1655" s="13" t="s">
        <v>41</v>
      </c>
      <c r="L1655" s="14">
        <v>506.0</v>
      </c>
      <c r="M1655" s="18" t="s">
        <v>43</v>
      </c>
      <c r="N1655" s="20">
        <v>1.0</v>
      </c>
      <c r="O1655" s="18">
        <v>28.2</v>
      </c>
      <c r="P1655" s="20">
        <v>2.6</v>
      </c>
      <c r="Q1655" s="16">
        <v>45929.0</v>
      </c>
      <c r="R1655" s="16">
        <v>46368.0</v>
      </c>
      <c r="S1655" s="13" t="s">
        <v>45</v>
      </c>
      <c r="T1655" s="13" t="s">
        <v>47</v>
      </c>
      <c r="U1655" s="13" t="str">
        <f t="shared" si="1"/>
        <v>Low</v>
      </c>
      <c r="V1655" s="13" t="str">
        <f t="shared" si="2"/>
        <v>Median or Above</v>
      </c>
      <c r="W1655" s="13" t="str">
        <f t="shared" si="3"/>
        <v>25–48 Months</v>
      </c>
    </row>
    <row r="1656" hidden="1">
      <c r="A1656" s="13" t="s">
        <v>2099</v>
      </c>
      <c r="B1656" s="13" t="s">
        <v>331</v>
      </c>
      <c r="C1656" s="14">
        <v>20.0</v>
      </c>
      <c r="D1656" s="13" t="s">
        <v>60</v>
      </c>
      <c r="E1656" s="13" t="s">
        <v>107</v>
      </c>
      <c r="F1656" s="13" t="s">
        <v>62</v>
      </c>
      <c r="G1656" s="13" t="s">
        <v>80</v>
      </c>
      <c r="H1656" s="16">
        <v>44731.0</v>
      </c>
      <c r="I1656" s="14">
        <v>21.0</v>
      </c>
      <c r="J1656" s="13" t="s">
        <v>40</v>
      </c>
      <c r="K1656" s="13" t="s">
        <v>81</v>
      </c>
      <c r="L1656" s="14">
        <v>570.0</v>
      </c>
      <c r="M1656" s="18" t="s">
        <v>43</v>
      </c>
      <c r="N1656" s="20">
        <v>1.0</v>
      </c>
      <c r="O1656" s="18">
        <v>22.5</v>
      </c>
      <c r="P1656" s="20">
        <v>2.7</v>
      </c>
      <c r="Q1656" s="16">
        <v>44972.0</v>
      </c>
      <c r="R1656" s="16" t="s">
        <v>38</v>
      </c>
      <c r="S1656" s="13" t="s">
        <v>55</v>
      </c>
      <c r="T1656" s="13" t="s">
        <v>75</v>
      </c>
      <c r="U1656" s="13" t="str">
        <f t="shared" si="1"/>
        <v>Low</v>
      </c>
      <c r="V1656" s="13" t="str">
        <f t="shared" si="2"/>
        <v>Below Median</v>
      </c>
      <c r="W1656" s="13" t="str">
        <f t="shared" si="3"/>
        <v>13–24 Months</v>
      </c>
    </row>
    <row r="1657" hidden="1">
      <c r="A1657" s="13" t="s">
        <v>1707</v>
      </c>
      <c r="B1657" s="13" t="s">
        <v>398</v>
      </c>
      <c r="C1657" s="14">
        <v>45.0</v>
      </c>
      <c r="D1657" s="13" t="s">
        <v>69</v>
      </c>
      <c r="E1657" s="13" t="s">
        <v>70</v>
      </c>
      <c r="F1657" s="13" t="s">
        <v>62</v>
      </c>
      <c r="G1657" s="13" t="s">
        <v>63</v>
      </c>
      <c r="H1657" s="16">
        <v>45556.0</v>
      </c>
      <c r="I1657" s="14">
        <v>19.0</v>
      </c>
      <c r="J1657" s="13" t="s">
        <v>53</v>
      </c>
      <c r="K1657" s="13" t="s">
        <v>81</v>
      </c>
      <c r="L1657" s="14">
        <v>806.0</v>
      </c>
      <c r="M1657" s="18" t="s">
        <v>98</v>
      </c>
      <c r="N1657" s="20">
        <v>1.0</v>
      </c>
      <c r="O1657" s="18">
        <v>22.6</v>
      </c>
      <c r="P1657" s="20">
        <v>4.3</v>
      </c>
      <c r="Q1657" s="16">
        <v>45700.0</v>
      </c>
      <c r="R1657" s="16" t="s">
        <v>2101</v>
      </c>
      <c r="S1657" s="13" t="s">
        <v>45</v>
      </c>
      <c r="T1657" s="13" t="s">
        <v>47</v>
      </c>
      <c r="U1657" s="13" t="str">
        <f t="shared" si="1"/>
        <v>Moderate</v>
      </c>
      <c r="V1657" s="13" t="str">
        <f t="shared" si="2"/>
        <v>Below Median</v>
      </c>
      <c r="W1657" s="13" t="str">
        <f t="shared" si="3"/>
        <v>13–24 Months</v>
      </c>
    </row>
    <row r="1658" hidden="1">
      <c r="A1658" s="13" t="s">
        <v>983</v>
      </c>
      <c r="B1658" s="13" t="s">
        <v>74</v>
      </c>
      <c r="C1658" s="14">
        <v>32.0</v>
      </c>
      <c r="D1658" s="13" t="s">
        <v>60</v>
      </c>
      <c r="E1658" s="13" t="s">
        <v>97</v>
      </c>
      <c r="F1658" s="13" t="s">
        <v>37</v>
      </c>
      <c r="G1658" s="13" t="s">
        <v>120</v>
      </c>
      <c r="H1658" s="16">
        <v>45345.0</v>
      </c>
      <c r="I1658" s="14">
        <v>39.0</v>
      </c>
      <c r="J1658" s="13" t="s">
        <v>40</v>
      </c>
      <c r="K1658" s="13" t="s">
        <v>41</v>
      </c>
      <c r="L1658" s="14">
        <v>1404.0</v>
      </c>
      <c r="M1658" s="18" t="s">
        <v>98</v>
      </c>
      <c r="N1658" s="20">
        <v>1.0</v>
      </c>
      <c r="O1658" s="18">
        <v>24.1</v>
      </c>
      <c r="P1658" s="20">
        <v>3.8</v>
      </c>
      <c r="Q1658" s="16">
        <v>45613.0</v>
      </c>
      <c r="R1658" s="16" t="s">
        <v>38</v>
      </c>
      <c r="S1658" s="13" t="s">
        <v>55</v>
      </c>
      <c r="T1658" s="13" t="s">
        <v>66</v>
      </c>
      <c r="U1658" s="13" t="str">
        <f t="shared" si="1"/>
        <v>Moderate</v>
      </c>
      <c r="V1658" s="13" t="str">
        <f t="shared" si="2"/>
        <v>Median or Above</v>
      </c>
      <c r="W1658" s="13" t="str">
        <f t="shared" si="3"/>
        <v>25–48 Months</v>
      </c>
    </row>
    <row r="1659" hidden="1">
      <c r="A1659" s="13" t="s">
        <v>1418</v>
      </c>
      <c r="B1659" s="13" t="s">
        <v>651</v>
      </c>
      <c r="C1659" s="14">
        <v>55.0</v>
      </c>
      <c r="D1659" s="13" t="s">
        <v>35</v>
      </c>
      <c r="E1659" s="13" t="s">
        <v>161</v>
      </c>
      <c r="F1659" s="13" t="s">
        <v>37</v>
      </c>
      <c r="G1659" s="13" t="s">
        <v>128</v>
      </c>
      <c r="H1659" s="16">
        <v>45295.0</v>
      </c>
      <c r="I1659" s="14">
        <v>1.0</v>
      </c>
      <c r="J1659" s="13" t="s">
        <v>40</v>
      </c>
      <c r="K1659" s="13" t="s">
        <v>81</v>
      </c>
      <c r="L1659" s="14">
        <v>1427.0</v>
      </c>
      <c r="M1659" s="18" t="s">
        <v>46</v>
      </c>
      <c r="N1659" s="20">
        <v>1.0</v>
      </c>
      <c r="O1659" s="18">
        <v>34.2</v>
      </c>
      <c r="P1659" s="20">
        <v>3.3</v>
      </c>
      <c r="Q1659" s="16">
        <v>45342.0</v>
      </c>
      <c r="R1659" s="16" t="s">
        <v>38</v>
      </c>
      <c r="S1659" s="13" t="s">
        <v>55</v>
      </c>
      <c r="T1659" s="13" t="s">
        <v>47</v>
      </c>
      <c r="U1659" s="13" t="str">
        <f t="shared" si="1"/>
        <v>Moderate</v>
      </c>
      <c r="V1659" s="13" t="str">
        <f t="shared" si="2"/>
        <v>Median or Above</v>
      </c>
      <c r="W1659" s="13" t="str">
        <f t="shared" si="3"/>
        <v>0–12 Months</v>
      </c>
    </row>
    <row r="1660">
      <c r="A1660" s="13" t="s">
        <v>752</v>
      </c>
      <c r="B1660" s="13" t="s">
        <v>448</v>
      </c>
      <c r="C1660" s="14">
        <v>46.0</v>
      </c>
      <c r="D1660" s="13" t="s">
        <v>60</v>
      </c>
      <c r="E1660" s="13" t="s">
        <v>97</v>
      </c>
      <c r="F1660" s="13" t="s">
        <v>37</v>
      </c>
      <c r="G1660" s="13" t="s">
        <v>120</v>
      </c>
      <c r="H1660" s="16">
        <v>44735.0</v>
      </c>
      <c r="I1660" s="14">
        <v>39.0</v>
      </c>
      <c r="J1660" s="13" t="s">
        <v>40</v>
      </c>
      <c r="K1660" s="13" t="s">
        <v>41</v>
      </c>
      <c r="L1660" s="14">
        <v>1660.0</v>
      </c>
      <c r="M1660" s="18" t="s">
        <v>98</v>
      </c>
      <c r="N1660" s="20">
        <v>2.0</v>
      </c>
      <c r="O1660" s="18">
        <v>31.8</v>
      </c>
      <c r="P1660" s="20">
        <v>3.5</v>
      </c>
      <c r="Q1660" s="16">
        <v>45121.0</v>
      </c>
      <c r="R1660" s="16" t="s">
        <v>38</v>
      </c>
      <c r="S1660" s="13" t="s">
        <v>529</v>
      </c>
      <c r="T1660" s="13" t="s">
        <v>47</v>
      </c>
      <c r="U1660" s="13" t="str">
        <f t="shared" si="1"/>
        <v>Moderate</v>
      </c>
      <c r="V1660" s="13" t="str">
        <f t="shared" si="2"/>
        <v>Median or Above</v>
      </c>
      <c r="W1660" s="13" t="str">
        <f t="shared" si="3"/>
        <v>25–48 Months</v>
      </c>
    </row>
    <row r="1661" hidden="1">
      <c r="A1661" s="13" t="s">
        <v>1087</v>
      </c>
      <c r="B1661" s="13" t="s">
        <v>232</v>
      </c>
      <c r="C1661" s="14">
        <v>19.0</v>
      </c>
      <c r="D1661" s="13" t="s">
        <v>60</v>
      </c>
      <c r="E1661" s="13" t="s">
        <v>133</v>
      </c>
      <c r="F1661" s="13" t="s">
        <v>37</v>
      </c>
      <c r="G1661" s="13" t="s">
        <v>52</v>
      </c>
      <c r="H1661" s="16">
        <v>45137.0</v>
      </c>
      <c r="I1661" s="14">
        <v>45.0</v>
      </c>
      <c r="J1661" s="13" t="s">
        <v>64</v>
      </c>
      <c r="K1661" s="13" t="s">
        <v>65</v>
      </c>
      <c r="L1661" s="14">
        <v>1756.0</v>
      </c>
      <c r="M1661" s="18" t="s">
        <v>43</v>
      </c>
      <c r="N1661" s="20">
        <v>0.0</v>
      </c>
      <c r="O1661" s="18">
        <v>33.6</v>
      </c>
      <c r="P1661" s="20">
        <v>2.1</v>
      </c>
      <c r="Q1661" s="16">
        <v>45871.0</v>
      </c>
      <c r="R1661" s="16" t="s">
        <v>38</v>
      </c>
      <c r="S1661" s="13" t="s">
        <v>55</v>
      </c>
      <c r="T1661" s="13" t="s">
        <v>66</v>
      </c>
      <c r="U1661" s="13" t="str">
        <f t="shared" si="1"/>
        <v>Low</v>
      </c>
      <c r="V1661" s="13" t="str">
        <f t="shared" si="2"/>
        <v>Median or Above</v>
      </c>
      <c r="W1661" s="13" t="str">
        <f t="shared" si="3"/>
        <v>25–48 Months</v>
      </c>
    </row>
    <row r="1662" hidden="1">
      <c r="A1662" s="13" t="s">
        <v>2031</v>
      </c>
      <c r="B1662" s="13" t="s">
        <v>118</v>
      </c>
      <c r="C1662" s="14">
        <v>48.0</v>
      </c>
      <c r="D1662" s="13" t="s">
        <v>69</v>
      </c>
      <c r="E1662" s="13" t="s">
        <v>187</v>
      </c>
      <c r="F1662" s="13" t="s">
        <v>79</v>
      </c>
      <c r="G1662" s="13" t="s">
        <v>128</v>
      </c>
      <c r="H1662" s="16">
        <v>45266.0</v>
      </c>
      <c r="I1662" s="14">
        <v>47.0</v>
      </c>
      <c r="J1662" s="13" t="s">
        <v>64</v>
      </c>
      <c r="K1662" s="13" t="s">
        <v>41</v>
      </c>
      <c r="L1662" s="14">
        <v>610.0</v>
      </c>
      <c r="M1662" s="18" t="s">
        <v>99</v>
      </c>
      <c r="N1662" s="20">
        <v>2.0</v>
      </c>
      <c r="O1662" s="18">
        <v>15.6</v>
      </c>
      <c r="P1662" s="20">
        <v>5.0</v>
      </c>
      <c r="Q1662" s="16">
        <v>45755.0</v>
      </c>
      <c r="R1662" s="16" t="s">
        <v>548</v>
      </c>
      <c r="S1662" s="13" t="s">
        <v>45</v>
      </c>
      <c r="T1662" s="13" t="s">
        <v>72</v>
      </c>
      <c r="U1662" s="13" t="str">
        <f t="shared" si="1"/>
        <v>High</v>
      </c>
      <c r="V1662" s="13" t="str">
        <f t="shared" si="2"/>
        <v>Below Median</v>
      </c>
      <c r="W1662" s="13" t="str">
        <f t="shared" si="3"/>
        <v>25–48 Months</v>
      </c>
    </row>
    <row r="1663" hidden="1">
      <c r="A1663" s="13" t="s">
        <v>2032</v>
      </c>
      <c r="B1663" s="13" t="s">
        <v>312</v>
      </c>
      <c r="C1663" s="14">
        <v>62.0</v>
      </c>
      <c r="D1663" s="13" t="s">
        <v>35</v>
      </c>
      <c r="E1663" s="13" t="s">
        <v>92</v>
      </c>
      <c r="F1663" s="13" t="s">
        <v>62</v>
      </c>
      <c r="G1663" s="13" t="s">
        <v>210</v>
      </c>
      <c r="H1663" s="16">
        <v>45063.0</v>
      </c>
      <c r="I1663" s="14">
        <v>29.0</v>
      </c>
      <c r="J1663" s="13" t="s">
        <v>64</v>
      </c>
      <c r="K1663" s="13" t="s">
        <v>81</v>
      </c>
      <c r="L1663" s="14">
        <v>877.0</v>
      </c>
      <c r="M1663" s="18" t="s">
        <v>98</v>
      </c>
      <c r="N1663" s="20">
        <v>2.0</v>
      </c>
      <c r="O1663" s="18">
        <v>9.1</v>
      </c>
      <c r="P1663" s="20">
        <v>4.0</v>
      </c>
      <c r="Q1663" s="16">
        <v>45375.0</v>
      </c>
      <c r="R1663" s="16" t="s">
        <v>38</v>
      </c>
      <c r="S1663" s="13" t="s">
        <v>55</v>
      </c>
      <c r="T1663" s="13" t="s">
        <v>104</v>
      </c>
      <c r="U1663" s="13" t="str">
        <f t="shared" si="1"/>
        <v>Moderate</v>
      </c>
      <c r="V1663" s="13" t="str">
        <f t="shared" si="2"/>
        <v>Below Median</v>
      </c>
      <c r="W1663" s="13" t="str">
        <f t="shared" si="3"/>
        <v>25–48 Months</v>
      </c>
    </row>
    <row r="1664" hidden="1">
      <c r="A1664" s="13" t="s">
        <v>2102</v>
      </c>
      <c r="B1664" s="13" t="s">
        <v>135</v>
      </c>
      <c r="C1664" s="14">
        <v>27.0</v>
      </c>
      <c r="D1664" s="13" t="s">
        <v>85</v>
      </c>
      <c r="E1664" s="13" t="s">
        <v>87</v>
      </c>
      <c r="F1664" s="13" t="s">
        <v>62</v>
      </c>
      <c r="G1664" s="13" t="s">
        <v>120</v>
      </c>
      <c r="H1664" s="16">
        <v>45438.0</v>
      </c>
      <c r="I1664" s="14">
        <v>22.0</v>
      </c>
      <c r="J1664" s="13" t="s">
        <v>40</v>
      </c>
      <c r="K1664" s="13" t="s">
        <v>81</v>
      </c>
      <c r="L1664" s="14">
        <v>589.0</v>
      </c>
      <c r="M1664" s="18" t="s">
        <v>43</v>
      </c>
      <c r="N1664" s="20">
        <v>0.0</v>
      </c>
      <c r="O1664" s="18">
        <v>15.9</v>
      </c>
      <c r="P1664" s="20">
        <v>4.0</v>
      </c>
      <c r="Q1664" s="16">
        <v>46111.0</v>
      </c>
      <c r="R1664" s="16" t="s">
        <v>38</v>
      </c>
      <c r="S1664" s="13" t="s">
        <v>55</v>
      </c>
      <c r="T1664" s="13" t="s">
        <v>47</v>
      </c>
      <c r="U1664" s="13" t="str">
        <f t="shared" si="1"/>
        <v>Moderate</v>
      </c>
      <c r="V1664" s="13" t="str">
        <f t="shared" si="2"/>
        <v>Below Median</v>
      </c>
      <c r="W1664" s="13" t="str">
        <f t="shared" si="3"/>
        <v>13–24 Months</v>
      </c>
    </row>
    <row r="1665" hidden="1">
      <c r="A1665" s="13" t="s">
        <v>1730</v>
      </c>
      <c r="B1665" s="13" t="s">
        <v>160</v>
      </c>
      <c r="C1665" s="14">
        <v>23.0</v>
      </c>
      <c r="D1665" s="13" t="s">
        <v>35</v>
      </c>
      <c r="E1665" s="13" t="s">
        <v>161</v>
      </c>
      <c r="F1665" s="13" t="s">
        <v>37</v>
      </c>
      <c r="G1665" s="13" t="s">
        <v>63</v>
      </c>
      <c r="H1665" s="16">
        <v>45395.0</v>
      </c>
      <c r="I1665" s="14">
        <v>43.0</v>
      </c>
      <c r="J1665" s="13" t="s">
        <v>64</v>
      </c>
      <c r="K1665" s="13" t="s">
        <v>41</v>
      </c>
      <c r="L1665" s="14">
        <v>1638.0</v>
      </c>
      <c r="M1665" s="18" t="s">
        <v>164</v>
      </c>
      <c r="N1665" s="20">
        <v>1.0</v>
      </c>
      <c r="O1665" s="18">
        <v>39.4</v>
      </c>
      <c r="P1665" s="20">
        <v>4.0</v>
      </c>
      <c r="Q1665" s="16">
        <v>45724.0</v>
      </c>
      <c r="R1665" s="16" t="s">
        <v>38</v>
      </c>
      <c r="S1665" s="13" t="s">
        <v>55</v>
      </c>
      <c r="T1665" s="13" t="s">
        <v>75</v>
      </c>
      <c r="U1665" s="13" t="str">
        <f t="shared" si="1"/>
        <v>Moderate</v>
      </c>
      <c r="V1665" s="13" t="str">
        <f t="shared" si="2"/>
        <v>Median or Above</v>
      </c>
      <c r="W1665" s="13" t="str">
        <f t="shared" si="3"/>
        <v>25–48 Months</v>
      </c>
    </row>
    <row r="1666" hidden="1">
      <c r="A1666" s="13" t="s">
        <v>437</v>
      </c>
      <c r="B1666" s="13" t="s">
        <v>316</v>
      </c>
      <c r="C1666" s="14">
        <v>26.0</v>
      </c>
      <c r="D1666" s="13" t="s">
        <v>85</v>
      </c>
      <c r="E1666" s="13" t="s">
        <v>292</v>
      </c>
      <c r="F1666" s="13" t="s">
        <v>62</v>
      </c>
      <c r="G1666" s="13" t="s">
        <v>128</v>
      </c>
      <c r="H1666" s="16">
        <v>45540.0</v>
      </c>
      <c r="I1666" s="14">
        <v>41.0</v>
      </c>
      <c r="J1666" s="13" t="s">
        <v>64</v>
      </c>
      <c r="K1666" s="13" t="s">
        <v>65</v>
      </c>
      <c r="L1666" s="14">
        <v>670.0</v>
      </c>
      <c r="M1666" s="18" t="s">
        <v>43</v>
      </c>
      <c r="N1666" s="20">
        <v>1.0</v>
      </c>
      <c r="O1666" s="18">
        <v>16.8</v>
      </c>
      <c r="P1666" s="20">
        <v>4.8</v>
      </c>
      <c r="Q1666" s="16">
        <v>45859.0</v>
      </c>
      <c r="R1666" s="16" t="s">
        <v>38</v>
      </c>
      <c r="S1666" s="13" t="s">
        <v>55</v>
      </c>
      <c r="T1666" s="13" t="s">
        <v>66</v>
      </c>
      <c r="U1666" s="13" t="str">
        <f t="shared" si="1"/>
        <v>Moderate</v>
      </c>
      <c r="V1666" s="13" t="str">
        <f t="shared" si="2"/>
        <v>Below Median</v>
      </c>
      <c r="W1666" s="13" t="str">
        <f t="shared" si="3"/>
        <v>25–48 Months</v>
      </c>
    </row>
    <row r="1667" hidden="1">
      <c r="A1667" s="13" t="s">
        <v>1603</v>
      </c>
      <c r="B1667" s="13" t="s">
        <v>235</v>
      </c>
      <c r="C1667" s="14">
        <v>24.0</v>
      </c>
      <c r="D1667" s="13" t="s">
        <v>35</v>
      </c>
      <c r="E1667" s="13" t="s">
        <v>51</v>
      </c>
      <c r="F1667" s="13" t="s">
        <v>62</v>
      </c>
      <c r="G1667" s="13" t="s">
        <v>52</v>
      </c>
      <c r="H1667" s="16">
        <v>45620.0</v>
      </c>
      <c r="I1667" s="14">
        <v>47.0</v>
      </c>
      <c r="J1667" s="13" t="s">
        <v>53</v>
      </c>
      <c r="K1667" s="13" t="s">
        <v>41</v>
      </c>
      <c r="L1667" s="14">
        <v>761.0</v>
      </c>
      <c r="M1667" s="18" t="s">
        <v>43</v>
      </c>
      <c r="N1667" s="20">
        <v>0.0</v>
      </c>
      <c r="O1667" s="18">
        <v>19.3</v>
      </c>
      <c r="P1667" s="20">
        <v>4.6</v>
      </c>
      <c r="Q1667" s="16">
        <v>46081.0</v>
      </c>
      <c r="R1667" s="16" t="s">
        <v>38</v>
      </c>
      <c r="S1667" s="13" t="s">
        <v>55</v>
      </c>
      <c r="T1667" s="13" t="s">
        <v>66</v>
      </c>
      <c r="U1667" s="13" t="str">
        <f t="shared" si="1"/>
        <v>Moderate</v>
      </c>
      <c r="V1667" s="13" t="str">
        <f t="shared" si="2"/>
        <v>Below Median</v>
      </c>
      <c r="W1667" s="13" t="str">
        <f t="shared" si="3"/>
        <v>25–48 Months</v>
      </c>
    </row>
    <row r="1668" hidden="1">
      <c r="A1668" s="13" t="s">
        <v>539</v>
      </c>
      <c r="B1668" s="13" t="s">
        <v>605</v>
      </c>
      <c r="C1668" s="14">
        <v>34.0</v>
      </c>
      <c r="D1668" s="13" t="s">
        <v>69</v>
      </c>
      <c r="E1668" s="13" t="s">
        <v>70</v>
      </c>
      <c r="F1668" s="13" t="s">
        <v>62</v>
      </c>
      <c r="G1668" s="13" t="s">
        <v>52</v>
      </c>
      <c r="H1668" s="16">
        <v>45063.0</v>
      </c>
      <c r="I1668" s="14">
        <v>30.0</v>
      </c>
      <c r="J1668" s="13" t="s">
        <v>64</v>
      </c>
      <c r="K1668" s="13" t="s">
        <v>81</v>
      </c>
      <c r="L1668" s="14">
        <v>894.0</v>
      </c>
      <c r="M1668" s="18" t="s">
        <v>164</v>
      </c>
      <c r="N1668" s="20">
        <v>0.0</v>
      </c>
      <c r="O1668" s="18">
        <v>13.5</v>
      </c>
      <c r="P1668" s="20">
        <v>3.1</v>
      </c>
      <c r="Q1668" s="16">
        <v>45843.0</v>
      </c>
      <c r="R1668" s="16" t="s">
        <v>2103</v>
      </c>
      <c r="S1668" s="13" t="s">
        <v>45</v>
      </c>
      <c r="T1668" s="13" t="s">
        <v>104</v>
      </c>
      <c r="U1668" s="13" t="str">
        <f t="shared" si="1"/>
        <v>Moderate</v>
      </c>
      <c r="V1668" s="13" t="str">
        <f t="shared" si="2"/>
        <v>Below Median</v>
      </c>
      <c r="W1668" s="13" t="str">
        <f t="shared" si="3"/>
        <v>25–48 Months</v>
      </c>
    </row>
    <row r="1669" hidden="1">
      <c r="A1669" s="13" t="s">
        <v>2104</v>
      </c>
      <c r="B1669" s="13" t="s">
        <v>383</v>
      </c>
      <c r="C1669" s="14">
        <v>67.0</v>
      </c>
      <c r="D1669" s="13" t="s">
        <v>69</v>
      </c>
      <c r="E1669" s="13" t="s">
        <v>177</v>
      </c>
      <c r="F1669" s="13" t="s">
        <v>62</v>
      </c>
      <c r="G1669" s="13" t="s">
        <v>80</v>
      </c>
      <c r="H1669" s="16">
        <v>45911.0</v>
      </c>
      <c r="I1669" s="14">
        <v>41.0</v>
      </c>
      <c r="J1669" s="13" t="s">
        <v>64</v>
      </c>
      <c r="K1669" s="13" t="s">
        <v>81</v>
      </c>
      <c r="L1669" s="14">
        <v>693.0</v>
      </c>
      <c r="M1669" s="18" t="s">
        <v>173</v>
      </c>
      <c r="N1669" s="20">
        <v>1.0</v>
      </c>
      <c r="O1669" s="18">
        <v>18.0</v>
      </c>
      <c r="P1669" s="20">
        <v>3.5</v>
      </c>
      <c r="Q1669" s="16">
        <v>46348.0</v>
      </c>
      <c r="R1669" s="16" t="s">
        <v>38</v>
      </c>
      <c r="S1669" s="13" t="s">
        <v>55</v>
      </c>
      <c r="T1669" s="13" t="s">
        <v>72</v>
      </c>
      <c r="U1669" s="13" t="str">
        <f t="shared" si="1"/>
        <v>Moderate</v>
      </c>
      <c r="V1669" s="13" t="str">
        <f t="shared" si="2"/>
        <v>Below Median</v>
      </c>
      <c r="W1669" s="13" t="str">
        <f t="shared" si="3"/>
        <v>25–48 Months</v>
      </c>
    </row>
    <row r="1670" hidden="1">
      <c r="A1670" s="13" t="s">
        <v>1256</v>
      </c>
      <c r="B1670" s="13" t="s">
        <v>96</v>
      </c>
      <c r="C1670" s="14">
        <v>25.0</v>
      </c>
      <c r="D1670" s="13" t="s">
        <v>85</v>
      </c>
      <c r="E1670" s="13" t="s">
        <v>111</v>
      </c>
      <c r="F1670" s="13" t="s">
        <v>37</v>
      </c>
      <c r="G1670" s="13" t="s">
        <v>120</v>
      </c>
      <c r="H1670" s="16">
        <v>45407.0</v>
      </c>
      <c r="I1670" s="14">
        <v>22.0</v>
      </c>
      <c r="J1670" s="13" t="s">
        <v>40</v>
      </c>
      <c r="K1670" s="13" t="s">
        <v>65</v>
      </c>
      <c r="L1670" s="14">
        <v>1214.0</v>
      </c>
      <c r="M1670" s="18" t="s">
        <v>43</v>
      </c>
      <c r="N1670" s="20">
        <v>0.0</v>
      </c>
      <c r="O1670" s="18">
        <v>24.6</v>
      </c>
      <c r="P1670" s="20">
        <v>3.2</v>
      </c>
      <c r="Q1670" s="16">
        <v>45953.0</v>
      </c>
      <c r="R1670" s="16" t="s">
        <v>38</v>
      </c>
      <c r="S1670" s="13" t="s">
        <v>55</v>
      </c>
      <c r="T1670" s="13" t="s">
        <v>104</v>
      </c>
      <c r="U1670" s="13" t="str">
        <f t="shared" si="1"/>
        <v>Moderate</v>
      </c>
      <c r="V1670" s="13" t="str">
        <f t="shared" si="2"/>
        <v>Median or Above</v>
      </c>
      <c r="W1670" s="13" t="str">
        <f t="shared" si="3"/>
        <v>13–24 Months</v>
      </c>
    </row>
    <row r="1671">
      <c r="A1671" s="13" t="s">
        <v>1024</v>
      </c>
      <c r="B1671" s="13" t="s">
        <v>190</v>
      </c>
      <c r="C1671" s="14">
        <v>36.0</v>
      </c>
      <c r="D1671" s="13" t="s">
        <v>60</v>
      </c>
      <c r="E1671" s="13" t="s">
        <v>97</v>
      </c>
      <c r="F1671" s="13" t="s">
        <v>37</v>
      </c>
      <c r="G1671" s="13" t="s">
        <v>120</v>
      </c>
      <c r="H1671" s="16">
        <v>45161.0</v>
      </c>
      <c r="I1671" s="14">
        <v>12.0</v>
      </c>
      <c r="J1671" s="13" t="s">
        <v>53</v>
      </c>
      <c r="K1671" s="13" t="s">
        <v>65</v>
      </c>
      <c r="L1671" s="14">
        <v>1376.0</v>
      </c>
      <c r="M1671" s="18" t="s">
        <v>98</v>
      </c>
      <c r="N1671" s="20">
        <v>0.0</v>
      </c>
      <c r="O1671" s="18">
        <v>22.2</v>
      </c>
      <c r="P1671" s="20">
        <v>4.6</v>
      </c>
      <c r="Q1671" s="16">
        <v>45244.0</v>
      </c>
      <c r="R1671" s="16" t="s">
        <v>38</v>
      </c>
      <c r="S1671" s="13" t="s">
        <v>230</v>
      </c>
      <c r="T1671" s="13" t="s">
        <v>47</v>
      </c>
      <c r="U1671" s="13" t="str">
        <f t="shared" si="1"/>
        <v>Moderate</v>
      </c>
      <c r="V1671" s="13" t="str">
        <f t="shared" si="2"/>
        <v>Below Median</v>
      </c>
      <c r="W1671" s="13" t="str">
        <f t="shared" si="3"/>
        <v>0–12 Months</v>
      </c>
    </row>
    <row r="1672" hidden="1">
      <c r="A1672" s="13" t="s">
        <v>1719</v>
      </c>
      <c r="B1672" s="13" t="s">
        <v>176</v>
      </c>
      <c r="C1672" s="14">
        <v>56.0</v>
      </c>
      <c r="D1672" s="13" t="s">
        <v>85</v>
      </c>
      <c r="E1672" s="13" t="s">
        <v>92</v>
      </c>
      <c r="F1672" s="13" t="s">
        <v>37</v>
      </c>
      <c r="G1672" s="13" t="s">
        <v>210</v>
      </c>
      <c r="H1672" s="16">
        <v>45352.0</v>
      </c>
      <c r="I1672" s="14">
        <v>40.0</v>
      </c>
      <c r="J1672" s="13" t="s">
        <v>53</v>
      </c>
      <c r="K1672" s="13" t="s">
        <v>41</v>
      </c>
      <c r="L1672" s="14">
        <v>1265.0</v>
      </c>
      <c r="M1672" s="18" t="s">
        <v>164</v>
      </c>
      <c r="N1672" s="20">
        <v>1.0</v>
      </c>
      <c r="O1672" s="18">
        <v>45.3</v>
      </c>
      <c r="P1672" s="20">
        <v>4.6</v>
      </c>
      <c r="Q1672" s="16">
        <v>46265.0</v>
      </c>
      <c r="R1672" s="16" t="s">
        <v>38</v>
      </c>
      <c r="S1672" s="13" t="s">
        <v>55</v>
      </c>
      <c r="T1672" s="13" t="s">
        <v>47</v>
      </c>
      <c r="U1672" s="13" t="str">
        <f t="shared" si="1"/>
        <v>Moderate</v>
      </c>
      <c r="V1672" s="13" t="str">
        <f t="shared" si="2"/>
        <v>Median or Above</v>
      </c>
      <c r="W1672" s="13" t="str">
        <f t="shared" si="3"/>
        <v>25–48 Months</v>
      </c>
    </row>
    <row r="1673" hidden="1">
      <c r="A1673" s="13" t="s">
        <v>985</v>
      </c>
      <c r="B1673" s="13" t="s">
        <v>605</v>
      </c>
      <c r="C1673" s="14">
        <v>55.0</v>
      </c>
      <c r="D1673" s="13" t="s">
        <v>60</v>
      </c>
      <c r="E1673" s="13" t="s">
        <v>107</v>
      </c>
      <c r="F1673" s="13" t="s">
        <v>37</v>
      </c>
      <c r="G1673" s="13" t="s">
        <v>63</v>
      </c>
      <c r="H1673" s="16">
        <v>45190.0</v>
      </c>
      <c r="I1673" s="14">
        <v>27.0</v>
      </c>
      <c r="J1673" s="13" t="s">
        <v>53</v>
      </c>
      <c r="K1673" s="13" t="s">
        <v>65</v>
      </c>
      <c r="L1673" s="14">
        <v>1004.0</v>
      </c>
      <c r="M1673" s="18" t="s">
        <v>98</v>
      </c>
      <c r="N1673" s="20">
        <v>2.0</v>
      </c>
      <c r="O1673" s="18">
        <v>23.6</v>
      </c>
      <c r="P1673" s="20">
        <v>2.6</v>
      </c>
      <c r="Q1673" s="16">
        <v>45623.0</v>
      </c>
      <c r="R1673" s="16" t="s">
        <v>38</v>
      </c>
      <c r="S1673" s="13" t="s">
        <v>55</v>
      </c>
      <c r="T1673" s="13" t="s">
        <v>75</v>
      </c>
      <c r="U1673" s="13" t="str">
        <f t="shared" si="1"/>
        <v>Low</v>
      </c>
      <c r="V1673" s="13" t="str">
        <f t="shared" si="2"/>
        <v>Below Median</v>
      </c>
      <c r="W1673" s="13" t="str">
        <f t="shared" si="3"/>
        <v>25–48 Months</v>
      </c>
    </row>
    <row r="1674" hidden="1">
      <c r="A1674" s="13" t="s">
        <v>1224</v>
      </c>
      <c r="B1674" s="13" t="s">
        <v>190</v>
      </c>
      <c r="C1674" s="14">
        <v>57.0</v>
      </c>
      <c r="D1674" s="13" t="s">
        <v>60</v>
      </c>
      <c r="E1674" s="13" t="s">
        <v>61</v>
      </c>
      <c r="F1674" s="13" t="s">
        <v>62</v>
      </c>
      <c r="G1674" s="13" t="s">
        <v>52</v>
      </c>
      <c r="H1674" s="16">
        <v>44673.0</v>
      </c>
      <c r="I1674" s="14">
        <v>27.0</v>
      </c>
      <c r="J1674" s="13" t="s">
        <v>40</v>
      </c>
      <c r="K1674" s="13" t="s">
        <v>81</v>
      </c>
      <c r="L1674" s="14">
        <v>883.0</v>
      </c>
      <c r="M1674" s="18" t="s">
        <v>98</v>
      </c>
      <c r="N1674" s="20">
        <v>0.0</v>
      </c>
      <c r="O1674" s="18">
        <v>18.6</v>
      </c>
      <c r="P1674" s="20">
        <v>3.6</v>
      </c>
      <c r="Q1674" s="16">
        <v>45110.0</v>
      </c>
      <c r="R1674" s="16" t="s">
        <v>2105</v>
      </c>
      <c r="S1674" s="13" t="s">
        <v>45</v>
      </c>
      <c r="T1674" s="13" t="s">
        <v>72</v>
      </c>
      <c r="U1674" s="13" t="str">
        <f t="shared" si="1"/>
        <v>Moderate</v>
      </c>
      <c r="V1674" s="13" t="str">
        <f t="shared" si="2"/>
        <v>Below Median</v>
      </c>
      <c r="W1674" s="13" t="str">
        <f t="shared" si="3"/>
        <v>25–48 Months</v>
      </c>
    </row>
    <row r="1675" hidden="1">
      <c r="A1675" s="13" t="s">
        <v>1812</v>
      </c>
      <c r="B1675" s="13" t="s">
        <v>139</v>
      </c>
      <c r="C1675" s="14">
        <v>61.0</v>
      </c>
      <c r="D1675" s="13" t="s">
        <v>35</v>
      </c>
      <c r="E1675" s="13" t="s">
        <v>140</v>
      </c>
      <c r="F1675" s="13" t="s">
        <v>37</v>
      </c>
      <c r="G1675" s="13" t="s">
        <v>39</v>
      </c>
      <c r="H1675" s="16">
        <v>45089.0</v>
      </c>
      <c r="I1675" s="14">
        <v>44.0</v>
      </c>
      <c r="J1675" s="13" t="s">
        <v>53</v>
      </c>
      <c r="K1675" s="13" t="s">
        <v>41</v>
      </c>
      <c r="L1675" s="14">
        <v>1073.0</v>
      </c>
      <c r="M1675" s="18" t="s">
        <v>43</v>
      </c>
      <c r="N1675" s="20">
        <v>0.0</v>
      </c>
      <c r="O1675" s="18">
        <v>33.5</v>
      </c>
      <c r="P1675" s="20">
        <v>3.1</v>
      </c>
      <c r="Q1675" s="16">
        <v>46277.0</v>
      </c>
      <c r="R1675" s="16" t="s">
        <v>1495</v>
      </c>
      <c r="S1675" s="13" t="s">
        <v>45</v>
      </c>
      <c r="T1675" s="13" t="s">
        <v>47</v>
      </c>
      <c r="U1675" s="13" t="str">
        <f t="shared" si="1"/>
        <v>Moderate</v>
      </c>
      <c r="V1675" s="13" t="str">
        <f t="shared" si="2"/>
        <v>Median or Above</v>
      </c>
      <c r="W1675" s="13" t="str">
        <f t="shared" si="3"/>
        <v>25–48 Months</v>
      </c>
    </row>
    <row r="1676" hidden="1">
      <c r="A1676" s="13" t="s">
        <v>2106</v>
      </c>
      <c r="B1676" s="13" t="s">
        <v>229</v>
      </c>
      <c r="C1676" s="14">
        <v>65.0</v>
      </c>
      <c r="D1676" s="13" t="s">
        <v>69</v>
      </c>
      <c r="E1676" s="13" t="s">
        <v>177</v>
      </c>
      <c r="F1676" s="13" t="s">
        <v>79</v>
      </c>
      <c r="G1676" s="13" t="s">
        <v>120</v>
      </c>
      <c r="H1676" s="16">
        <v>45688.0</v>
      </c>
      <c r="I1676" s="14">
        <v>45.0</v>
      </c>
      <c r="J1676" s="13" t="s">
        <v>64</v>
      </c>
      <c r="K1676" s="13" t="s">
        <v>65</v>
      </c>
      <c r="L1676" s="14">
        <v>3493.0</v>
      </c>
      <c r="M1676" s="18" t="s">
        <v>164</v>
      </c>
      <c r="N1676" s="20">
        <v>0.0</v>
      </c>
      <c r="O1676" s="18">
        <v>42.4</v>
      </c>
      <c r="P1676" s="20">
        <v>5.0</v>
      </c>
      <c r="Q1676" s="16">
        <v>45710.0</v>
      </c>
      <c r="R1676" s="16">
        <v>46305.0</v>
      </c>
      <c r="S1676" s="13" t="s">
        <v>45</v>
      </c>
      <c r="T1676" s="13" t="s">
        <v>47</v>
      </c>
      <c r="U1676" s="13" t="str">
        <f t="shared" si="1"/>
        <v>High</v>
      </c>
      <c r="V1676" s="13" t="str">
        <f t="shared" si="2"/>
        <v>Median or Above</v>
      </c>
      <c r="W1676" s="13" t="str">
        <f t="shared" si="3"/>
        <v>25–48 Months</v>
      </c>
    </row>
    <row r="1677" hidden="1">
      <c r="A1677" s="13" t="s">
        <v>1370</v>
      </c>
      <c r="B1677" s="13" t="s">
        <v>736</v>
      </c>
      <c r="C1677" s="14">
        <v>47.0</v>
      </c>
      <c r="D1677" s="13" t="s">
        <v>35</v>
      </c>
      <c r="E1677" s="13" t="s">
        <v>161</v>
      </c>
      <c r="F1677" s="13" t="s">
        <v>37</v>
      </c>
      <c r="G1677" s="13" t="s">
        <v>63</v>
      </c>
      <c r="H1677" s="16">
        <v>45501.0</v>
      </c>
      <c r="I1677" s="14">
        <v>2.0</v>
      </c>
      <c r="J1677" s="13" t="s">
        <v>64</v>
      </c>
      <c r="K1677" s="13" t="s">
        <v>81</v>
      </c>
      <c r="L1677" s="14">
        <v>1624.0</v>
      </c>
      <c r="M1677" s="18" t="s">
        <v>164</v>
      </c>
      <c r="N1677" s="20">
        <v>1.0</v>
      </c>
      <c r="O1677" s="18">
        <v>18.4</v>
      </c>
      <c r="P1677" s="20">
        <v>5.0</v>
      </c>
      <c r="Q1677" s="16">
        <v>45528.0</v>
      </c>
      <c r="R1677" s="16" t="s">
        <v>38</v>
      </c>
      <c r="S1677" s="13" t="s">
        <v>55</v>
      </c>
      <c r="T1677" s="13" t="s">
        <v>47</v>
      </c>
      <c r="U1677" s="13" t="str">
        <f t="shared" si="1"/>
        <v>High</v>
      </c>
      <c r="V1677" s="13" t="str">
        <f t="shared" si="2"/>
        <v>Below Median</v>
      </c>
      <c r="W1677" s="13" t="str">
        <f t="shared" si="3"/>
        <v>0–12 Months</v>
      </c>
    </row>
    <row r="1678" hidden="1">
      <c r="A1678" s="13" t="s">
        <v>2108</v>
      </c>
      <c r="B1678" s="13" t="s">
        <v>91</v>
      </c>
      <c r="C1678" s="14">
        <v>64.0</v>
      </c>
      <c r="D1678" s="13" t="s">
        <v>69</v>
      </c>
      <c r="E1678" s="13" t="s">
        <v>187</v>
      </c>
      <c r="F1678" s="13" t="s">
        <v>62</v>
      </c>
      <c r="G1678" s="13" t="s">
        <v>52</v>
      </c>
      <c r="H1678" s="16">
        <v>44881.0</v>
      </c>
      <c r="I1678" s="14">
        <v>45.0</v>
      </c>
      <c r="J1678" s="13" t="s">
        <v>53</v>
      </c>
      <c r="K1678" s="13" t="s">
        <v>65</v>
      </c>
      <c r="L1678" s="14">
        <v>789.0</v>
      </c>
      <c r="M1678" s="18" t="s">
        <v>164</v>
      </c>
      <c r="N1678" s="20">
        <v>1.0</v>
      </c>
      <c r="O1678" s="18">
        <v>29.7</v>
      </c>
      <c r="P1678" s="20">
        <v>3.8</v>
      </c>
      <c r="Q1678" s="16">
        <v>45443.0</v>
      </c>
      <c r="R1678" s="16" t="s">
        <v>38</v>
      </c>
      <c r="S1678" s="13" t="s">
        <v>55</v>
      </c>
      <c r="T1678" s="13" t="s">
        <v>75</v>
      </c>
      <c r="U1678" s="13" t="str">
        <f t="shared" si="1"/>
        <v>Moderate</v>
      </c>
      <c r="V1678" s="13" t="str">
        <f t="shared" si="2"/>
        <v>Median or Above</v>
      </c>
      <c r="W1678" s="13" t="str">
        <f t="shared" si="3"/>
        <v>25–48 Months</v>
      </c>
    </row>
    <row r="1679" hidden="1">
      <c r="A1679" s="13" t="s">
        <v>196</v>
      </c>
      <c r="B1679" s="13" t="s">
        <v>325</v>
      </c>
      <c r="C1679" s="14">
        <v>27.0</v>
      </c>
      <c r="D1679" s="13" t="s">
        <v>85</v>
      </c>
      <c r="E1679" s="13" t="s">
        <v>292</v>
      </c>
      <c r="F1679" s="13" t="s">
        <v>62</v>
      </c>
      <c r="G1679" s="13" t="s">
        <v>120</v>
      </c>
      <c r="H1679" s="16">
        <v>45852.0</v>
      </c>
      <c r="I1679" s="14">
        <v>15.0</v>
      </c>
      <c r="J1679" s="13" t="s">
        <v>40</v>
      </c>
      <c r="K1679" s="13" t="s">
        <v>41</v>
      </c>
      <c r="L1679" s="14">
        <v>765.0</v>
      </c>
      <c r="M1679" s="18" t="s">
        <v>98</v>
      </c>
      <c r="N1679" s="20">
        <v>1.0</v>
      </c>
      <c r="O1679" s="18">
        <v>21.4</v>
      </c>
      <c r="P1679" s="20">
        <v>4.6</v>
      </c>
      <c r="Q1679" s="16">
        <v>45864.0</v>
      </c>
      <c r="R1679" s="16" t="s">
        <v>38</v>
      </c>
      <c r="S1679" s="13" t="s">
        <v>55</v>
      </c>
      <c r="T1679" s="13" t="s">
        <v>104</v>
      </c>
      <c r="U1679" s="13" t="str">
        <f t="shared" si="1"/>
        <v>Moderate</v>
      </c>
      <c r="V1679" s="13" t="str">
        <f t="shared" si="2"/>
        <v>Below Median</v>
      </c>
      <c r="W1679" s="13" t="str">
        <f t="shared" si="3"/>
        <v>13–24 Months</v>
      </c>
    </row>
    <row r="1680" hidden="1">
      <c r="A1680" s="13" t="s">
        <v>2110</v>
      </c>
      <c r="B1680" s="13" t="s">
        <v>34</v>
      </c>
      <c r="C1680" s="14">
        <v>20.0</v>
      </c>
      <c r="D1680" s="13" t="s">
        <v>60</v>
      </c>
      <c r="E1680" s="13" t="s">
        <v>107</v>
      </c>
      <c r="F1680" s="13" t="s">
        <v>62</v>
      </c>
      <c r="G1680" s="13" t="s">
        <v>39</v>
      </c>
      <c r="H1680" s="16">
        <v>44991.0</v>
      </c>
      <c r="I1680" s="14">
        <v>35.0</v>
      </c>
      <c r="J1680" s="13" t="s">
        <v>64</v>
      </c>
      <c r="K1680" s="13" t="s">
        <v>41</v>
      </c>
      <c r="L1680" s="14">
        <v>884.0</v>
      </c>
      <c r="M1680" s="18" t="s">
        <v>98</v>
      </c>
      <c r="N1680" s="20">
        <v>0.0</v>
      </c>
      <c r="O1680" s="18">
        <v>13.9</v>
      </c>
      <c r="P1680" s="20">
        <v>3.2</v>
      </c>
      <c r="Q1680" s="16">
        <v>46014.0</v>
      </c>
      <c r="R1680" s="16" t="s">
        <v>38</v>
      </c>
      <c r="S1680" s="13" t="s">
        <v>55</v>
      </c>
      <c r="T1680" s="13" t="s">
        <v>66</v>
      </c>
      <c r="U1680" s="13" t="str">
        <f t="shared" si="1"/>
        <v>Moderate</v>
      </c>
      <c r="V1680" s="13" t="str">
        <f t="shared" si="2"/>
        <v>Below Median</v>
      </c>
      <c r="W1680" s="13" t="str">
        <f t="shared" si="3"/>
        <v>25–48 Months</v>
      </c>
    </row>
    <row r="1681" hidden="1">
      <c r="A1681" s="13" t="s">
        <v>428</v>
      </c>
      <c r="B1681" s="13" t="s">
        <v>232</v>
      </c>
      <c r="C1681" s="14">
        <v>46.0</v>
      </c>
      <c r="D1681" s="13" t="s">
        <v>85</v>
      </c>
      <c r="E1681" s="13" t="s">
        <v>87</v>
      </c>
      <c r="F1681" s="13" t="s">
        <v>37</v>
      </c>
      <c r="G1681" s="13" t="s">
        <v>52</v>
      </c>
      <c r="H1681" s="16">
        <v>44737.0</v>
      </c>
      <c r="I1681" s="14">
        <v>45.0</v>
      </c>
      <c r="J1681" s="13" t="s">
        <v>64</v>
      </c>
      <c r="K1681" s="13" t="s">
        <v>81</v>
      </c>
      <c r="L1681" s="14">
        <v>1342.0</v>
      </c>
      <c r="M1681" s="18" t="s">
        <v>43</v>
      </c>
      <c r="N1681" s="20">
        <v>0.0</v>
      </c>
      <c r="O1681" s="18">
        <v>30.0</v>
      </c>
      <c r="P1681" s="20" t="s">
        <v>38</v>
      </c>
      <c r="Q1681" s="16">
        <v>45265.0</v>
      </c>
      <c r="R1681" s="16" t="s">
        <v>38</v>
      </c>
      <c r="S1681" s="13" t="s">
        <v>55</v>
      </c>
      <c r="T1681" s="13" t="s">
        <v>104</v>
      </c>
      <c r="U1681" s="13" t="str">
        <f t="shared" si="1"/>
        <v/>
      </c>
      <c r="V1681" s="13" t="str">
        <f t="shared" si="2"/>
        <v>Median or Above</v>
      </c>
      <c r="W1681" s="13" t="str">
        <f t="shared" si="3"/>
        <v>25–48 Months</v>
      </c>
    </row>
    <row r="1682" hidden="1">
      <c r="A1682" s="13" t="s">
        <v>423</v>
      </c>
      <c r="B1682" s="13" t="s">
        <v>349</v>
      </c>
      <c r="C1682" s="14">
        <v>42.0</v>
      </c>
      <c r="D1682" s="13" t="s">
        <v>60</v>
      </c>
      <c r="E1682" s="13" t="s">
        <v>133</v>
      </c>
      <c r="F1682" s="13" t="s">
        <v>62</v>
      </c>
      <c r="G1682" s="13" t="s">
        <v>52</v>
      </c>
      <c r="H1682" s="16">
        <v>44668.0</v>
      </c>
      <c r="I1682" s="14">
        <v>8.0</v>
      </c>
      <c r="J1682" s="13" t="s">
        <v>40</v>
      </c>
      <c r="K1682" s="13" t="s">
        <v>81</v>
      </c>
      <c r="L1682" s="14">
        <v>573.0</v>
      </c>
      <c r="M1682" s="18" t="s">
        <v>43</v>
      </c>
      <c r="N1682" s="20">
        <v>0.0</v>
      </c>
      <c r="O1682" s="18">
        <v>16.9</v>
      </c>
      <c r="P1682" s="20">
        <v>3.0</v>
      </c>
      <c r="Q1682" s="16">
        <v>44772.0</v>
      </c>
      <c r="R1682" s="16" t="s">
        <v>2111</v>
      </c>
      <c r="S1682" s="13" t="s">
        <v>45</v>
      </c>
      <c r="T1682" s="13" t="s">
        <v>104</v>
      </c>
      <c r="U1682" s="13" t="str">
        <f t="shared" si="1"/>
        <v>Moderate</v>
      </c>
      <c r="V1682" s="13" t="str">
        <f t="shared" si="2"/>
        <v>Below Median</v>
      </c>
      <c r="W1682" s="13" t="str">
        <f t="shared" si="3"/>
        <v>0–12 Months</v>
      </c>
    </row>
    <row r="1683" hidden="1">
      <c r="A1683" s="13" t="s">
        <v>2112</v>
      </c>
      <c r="B1683" s="13" t="s">
        <v>179</v>
      </c>
      <c r="C1683" s="14">
        <v>32.0</v>
      </c>
      <c r="D1683" s="13" t="s">
        <v>35</v>
      </c>
      <c r="E1683" s="13" t="s">
        <v>161</v>
      </c>
      <c r="F1683" s="13" t="s">
        <v>62</v>
      </c>
      <c r="G1683" s="13" t="s">
        <v>63</v>
      </c>
      <c r="H1683" s="16">
        <v>45535.0</v>
      </c>
      <c r="I1683" s="14">
        <v>23.0</v>
      </c>
      <c r="J1683" s="13" t="s">
        <v>64</v>
      </c>
      <c r="K1683" s="13" t="s">
        <v>81</v>
      </c>
      <c r="L1683" s="14">
        <v>770.0</v>
      </c>
      <c r="M1683" s="18" t="s">
        <v>164</v>
      </c>
      <c r="N1683" s="20">
        <v>0.0</v>
      </c>
      <c r="O1683" s="18">
        <v>30.9</v>
      </c>
      <c r="P1683" s="20">
        <v>4.6</v>
      </c>
      <c r="Q1683" s="16">
        <v>46202.0</v>
      </c>
      <c r="R1683" s="16" t="s">
        <v>2113</v>
      </c>
      <c r="S1683" s="13" t="s">
        <v>45</v>
      </c>
      <c r="T1683" s="13" t="s">
        <v>66</v>
      </c>
      <c r="U1683" s="13" t="str">
        <f t="shared" si="1"/>
        <v>Moderate</v>
      </c>
      <c r="V1683" s="13" t="str">
        <f t="shared" si="2"/>
        <v>Median or Above</v>
      </c>
      <c r="W1683" s="13" t="str">
        <f t="shared" si="3"/>
        <v>13–24 Months</v>
      </c>
    </row>
    <row r="1684" hidden="1">
      <c r="A1684" s="13" t="s">
        <v>2189</v>
      </c>
      <c r="B1684" s="13" t="s">
        <v>411</v>
      </c>
      <c r="C1684" s="14">
        <v>23.0</v>
      </c>
      <c r="D1684" s="13" t="s">
        <v>35</v>
      </c>
      <c r="E1684" s="13" t="s">
        <v>161</v>
      </c>
      <c r="F1684" s="13" t="s">
        <v>62</v>
      </c>
      <c r="G1684" s="13" t="s">
        <v>63</v>
      </c>
      <c r="H1684" s="16">
        <v>44687.0</v>
      </c>
      <c r="I1684" s="14">
        <v>19.0</v>
      </c>
      <c r="J1684" s="13" t="s">
        <v>64</v>
      </c>
      <c r="K1684" s="13" t="s">
        <v>41</v>
      </c>
      <c r="L1684" s="14">
        <v>622.0</v>
      </c>
      <c r="M1684" s="18" t="s">
        <v>99</v>
      </c>
      <c r="N1684" s="20">
        <v>1.0</v>
      </c>
      <c r="O1684" s="18">
        <v>26.8</v>
      </c>
      <c r="P1684" s="20">
        <v>5.0</v>
      </c>
      <c r="Q1684" s="16">
        <v>45112.0</v>
      </c>
      <c r="R1684" s="16" t="s">
        <v>38</v>
      </c>
      <c r="S1684" s="13" t="s">
        <v>55</v>
      </c>
      <c r="T1684" s="13" t="s">
        <v>72</v>
      </c>
      <c r="U1684" s="13" t="str">
        <f t="shared" si="1"/>
        <v>High</v>
      </c>
      <c r="V1684" s="13" t="str">
        <f t="shared" si="2"/>
        <v>Median or Above</v>
      </c>
      <c r="W1684" s="13" t="str">
        <f t="shared" si="3"/>
        <v>13–24 Months</v>
      </c>
    </row>
    <row r="1685" hidden="1">
      <c r="A1685" s="13" t="s">
        <v>2115</v>
      </c>
      <c r="B1685" s="13" t="s">
        <v>132</v>
      </c>
      <c r="C1685" s="14">
        <v>25.0</v>
      </c>
      <c r="D1685" s="13" t="s">
        <v>35</v>
      </c>
      <c r="E1685" s="13" t="s">
        <v>161</v>
      </c>
      <c r="F1685" s="13" t="s">
        <v>79</v>
      </c>
      <c r="G1685" s="13" t="s">
        <v>39</v>
      </c>
      <c r="H1685" s="16">
        <v>45539.0</v>
      </c>
      <c r="I1685" s="14">
        <v>20.0</v>
      </c>
      <c r="J1685" s="13" t="s">
        <v>53</v>
      </c>
      <c r="K1685" s="13" t="s">
        <v>81</v>
      </c>
      <c r="L1685" s="14">
        <v>1516.0</v>
      </c>
      <c r="M1685" s="18" t="s">
        <v>164</v>
      </c>
      <c r="N1685" s="20">
        <v>1.0</v>
      </c>
      <c r="O1685" s="18">
        <v>33.2</v>
      </c>
      <c r="P1685" s="20">
        <v>4.0</v>
      </c>
      <c r="Q1685" s="16">
        <v>45750.0</v>
      </c>
      <c r="R1685" s="16" t="s">
        <v>38</v>
      </c>
      <c r="S1685" s="13" t="s">
        <v>45</v>
      </c>
      <c r="T1685" s="13" t="s">
        <v>72</v>
      </c>
      <c r="U1685" s="13" t="str">
        <f t="shared" si="1"/>
        <v>Moderate</v>
      </c>
      <c r="V1685" s="13" t="str">
        <f t="shared" si="2"/>
        <v>Median or Above</v>
      </c>
      <c r="W1685" s="13" t="str">
        <f t="shared" si="3"/>
        <v>13–24 Months</v>
      </c>
    </row>
    <row r="1686" hidden="1">
      <c r="A1686" s="13" t="s">
        <v>2116</v>
      </c>
      <c r="B1686" s="13" t="s">
        <v>235</v>
      </c>
      <c r="C1686" s="14">
        <v>44.0</v>
      </c>
      <c r="D1686" s="13" t="s">
        <v>60</v>
      </c>
      <c r="E1686" s="13" t="s">
        <v>133</v>
      </c>
      <c r="F1686" s="13" t="s">
        <v>62</v>
      </c>
      <c r="G1686" s="13" t="s">
        <v>128</v>
      </c>
      <c r="H1686" s="16">
        <v>45485.0</v>
      </c>
      <c r="I1686" s="14">
        <v>36.0</v>
      </c>
      <c r="J1686" s="13" t="s">
        <v>64</v>
      </c>
      <c r="K1686" s="13" t="s">
        <v>81</v>
      </c>
      <c r="L1686" s="14">
        <v>545.0</v>
      </c>
      <c r="M1686" s="18" t="s">
        <v>46</v>
      </c>
      <c r="N1686" s="20">
        <v>1.0</v>
      </c>
      <c r="O1686" s="18">
        <v>4.2</v>
      </c>
      <c r="P1686" s="20">
        <v>4.6</v>
      </c>
      <c r="Q1686" s="16">
        <v>45811.0</v>
      </c>
      <c r="R1686" s="16" t="s">
        <v>38</v>
      </c>
      <c r="S1686" s="13" t="s">
        <v>55</v>
      </c>
      <c r="T1686" s="13" t="s">
        <v>66</v>
      </c>
      <c r="U1686" s="13" t="str">
        <f t="shared" si="1"/>
        <v>Moderate</v>
      </c>
      <c r="V1686" s="13" t="str">
        <f t="shared" si="2"/>
        <v>Below Median</v>
      </c>
      <c r="W1686" s="13" t="str">
        <f t="shared" si="3"/>
        <v>25–48 Months</v>
      </c>
    </row>
    <row r="1687" hidden="1">
      <c r="A1687" s="13" t="s">
        <v>1552</v>
      </c>
      <c r="B1687" s="13" t="s">
        <v>135</v>
      </c>
      <c r="C1687" s="14">
        <v>24.0</v>
      </c>
      <c r="D1687" s="13" t="s">
        <v>69</v>
      </c>
      <c r="E1687" s="13" t="s">
        <v>119</v>
      </c>
      <c r="F1687" s="13" t="s">
        <v>37</v>
      </c>
      <c r="G1687" s="13" t="s">
        <v>120</v>
      </c>
      <c r="H1687" s="16">
        <v>44753.0</v>
      </c>
      <c r="I1687" s="14">
        <v>7.0</v>
      </c>
      <c r="J1687" s="13" t="s">
        <v>64</v>
      </c>
      <c r="K1687" s="13" t="s">
        <v>81</v>
      </c>
      <c r="L1687" s="14">
        <v>1433.0</v>
      </c>
      <c r="M1687" s="18" t="s">
        <v>43</v>
      </c>
      <c r="N1687" s="20">
        <v>0.0</v>
      </c>
      <c r="O1687" s="18">
        <v>29.3</v>
      </c>
      <c r="P1687" s="20">
        <v>3.9</v>
      </c>
      <c r="Q1687" s="16">
        <v>44895.0</v>
      </c>
      <c r="R1687" s="16" t="s">
        <v>38</v>
      </c>
      <c r="S1687" s="13" t="s">
        <v>55</v>
      </c>
      <c r="T1687" s="13" t="s">
        <v>75</v>
      </c>
      <c r="U1687" s="13" t="str">
        <f t="shared" si="1"/>
        <v>Moderate</v>
      </c>
      <c r="V1687" s="13" t="str">
        <f t="shared" si="2"/>
        <v>Median or Above</v>
      </c>
      <c r="W1687" s="13" t="str">
        <f t="shared" si="3"/>
        <v>0–12 Months</v>
      </c>
    </row>
    <row r="1688" hidden="1">
      <c r="A1688" s="13" t="s">
        <v>2117</v>
      </c>
      <c r="B1688" s="13" t="s">
        <v>295</v>
      </c>
      <c r="C1688" s="14">
        <v>20.0</v>
      </c>
      <c r="D1688" s="13" t="s">
        <v>85</v>
      </c>
      <c r="E1688" s="13" t="s">
        <v>92</v>
      </c>
      <c r="F1688" s="13" t="s">
        <v>37</v>
      </c>
      <c r="G1688" s="13" t="s">
        <v>52</v>
      </c>
      <c r="H1688" s="16">
        <v>45629.0</v>
      </c>
      <c r="I1688" s="14">
        <v>13.0</v>
      </c>
      <c r="J1688" s="13" t="s">
        <v>53</v>
      </c>
      <c r="K1688" s="13" t="s">
        <v>81</v>
      </c>
      <c r="L1688" s="14">
        <v>1422.0</v>
      </c>
      <c r="M1688" s="18" t="s">
        <v>43</v>
      </c>
      <c r="N1688" s="20">
        <v>0.0</v>
      </c>
      <c r="O1688" s="18">
        <v>33.0</v>
      </c>
      <c r="P1688" s="20">
        <v>4.0</v>
      </c>
      <c r="Q1688" s="16">
        <v>45882.0</v>
      </c>
      <c r="R1688" s="16" t="s">
        <v>38</v>
      </c>
      <c r="S1688" s="13" t="s">
        <v>55</v>
      </c>
      <c r="T1688" s="13" t="s">
        <v>47</v>
      </c>
      <c r="U1688" s="13" t="str">
        <f t="shared" si="1"/>
        <v>Moderate</v>
      </c>
      <c r="V1688" s="13" t="str">
        <f t="shared" si="2"/>
        <v>Median or Above</v>
      </c>
      <c r="W1688" s="13" t="str">
        <f t="shared" si="3"/>
        <v>13–24 Months</v>
      </c>
    </row>
    <row r="1689" hidden="1">
      <c r="A1689" s="13" t="s">
        <v>1121</v>
      </c>
      <c r="B1689" s="13" t="s">
        <v>167</v>
      </c>
      <c r="C1689" s="14">
        <v>34.0</v>
      </c>
      <c r="D1689" s="13" t="s">
        <v>69</v>
      </c>
      <c r="E1689" s="13" t="s">
        <v>177</v>
      </c>
      <c r="F1689" s="13" t="s">
        <v>62</v>
      </c>
      <c r="G1689" s="13" t="s">
        <v>80</v>
      </c>
      <c r="H1689" s="16">
        <v>44699.0</v>
      </c>
      <c r="I1689" s="14">
        <v>38.0</v>
      </c>
      <c r="J1689" s="13" t="s">
        <v>53</v>
      </c>
      <c r="K1689" s="13" t="s">
        <v>41</v>
      </c>
      <c r="L1689" s="14">
        <v>666.0</v>
      </c>
      <c r="M1689" s="18" t="s">
        <v>43</v>
      </c>
      <c r="N1689" s="20">
        <v>1.0</v>
      </c>
      <c r="O1689" s="18">
        <v>32.0</v>
      </c>
      <c r="P1689" s="20">
        <v>1.8</v>
      </c>
      <c r="Q1689" s="16">
        <v>45016.0</v>
      </c>
      <c r="R1689" s="16" t="s">
        <v>38</v>
      </c>
      <c r="S1689" s="13" t="s">
        <v>55</v>
      </c>
      <c r="T1689" s="13" t="s">
        <v>47</v>
      </c>
      <c r="U1689" s="13" t="str">
        <f t="shared" si="1"/>
        <v>Low</v>
      </c>
      <c r="V1689" s="13" t="str">
        <f t="shared" si="2"/>
        <v>Median or Above</v>
      </c>
      <c r="W1689" s="13" t="str">
        <f t="shared" si="3"/>
        <v>25–48 Months</v>
      </c>
    </row>
    <row r="1690" hidden="1">
      <c r="A1690" s="13" t="s">
        <v>441</v>
      </c>
      <c r="B1690" s="13" t="s">
        <v>179</v>
      </c>
      <c r="C1690" s="14">
        <v>23.0</v>
      </c>
      <c r="D1690" s="13" t="s">
        <v>69</v>
      </c>
      <c r="E1690" s="13" t="s">
        <v>177</v>
      </c>
      <c r="F1690" s="13" t="s">
        <v>62</v>
      </c>
      <c r="G1690" s="13" t="s">
        <v>120</v>
      </c>
      <c r="H1690" s="16">
        <v>45912.0</v>
      </c>
      <c r="I1690" s="14">
        <v>10.0</v>
      </c>
      <c r="J1690" s="13" t="s">
        <v>64</v>
      </c>
      <c r="K1690" s="13" t="s">
        <v>65</v>
      </c>
      <c r="L1690" s="14">
        <v>896.0</v>
      </c>
      <c r="M1690" s="18" t="s">
        <v>99</v>
      </c>
      <c r="N1690" s="20">
        <v>0.0</v>
      </c>
      <c r="O1690" s="18">
        <v>16.4</v>
      </c>
      <c r="P1690" s="20">
        <v>4.9</v>
      </c>
      <c r="Q1690" s="16">
        <v>46093.0</v>
      </c>
      <c r="R1690" s="16" t="s">
        <v>38</v>
      </c>
      <c r="S1690" s="13" t="s">
        <v>55</v>
      </c>
      <c r="T1690" s="13" t="s">
        <v>66</v>
      </c>
      <c r="U1690" s="13" t="str">
        <f t="shared" si="1"/>
        <v>Moderate</v>
      </c>
      <c r="V1690" s="13" t="str">
        <f t="shared" si="2"/>
        <v>Below Median</v>
      </c>
      <c r="W1690" s="13" t="str">
        <f t="shared" si="3"/>
        <v>0–12 Months</v>
      </c>
    </row>
    <row r="1691" hidden="1">
      <c r="A1691" s="13" t="s">
        <v>77</v>
      </c>
      <c r="B1691" s="13" t="s">
        <v>167</v>
      </c>
      <c r="C1691" s="14">
        <v>32.0</v>
      </c>
      <c r="D1691" s="13" t="s">
        <v>85</v>
      </c>
      <c r="E1691" s="13" t="s">
        <v>87</v>
      </c>
      <c r="F1691" s="13" t="s">
        <v>37</v>
      </c>
      <c r="G1691" s="13" t="s">
        <v>80</v>
      </c>
      <c r="H1691" s="16">
        <v>44988.0</v>
      </c>
      <c r="I1691" s="14">
        <v>1.0</v>
      </c>
      <c r="J1691" s="13" t="s">
        <v>40</v>
      </c>
      <c r="K1691" s="13" t="s">
        <v>65</v>
      </c>
      <c r="L1691" s="14">
        <v>1206.0</v>
      </c>
      <c r="M1691" s="18" t="s">
        <v>43</v>
      </c>
      <c r="N1691" s="20">
        <v>0.0</v>
      </c>
      <c r="O1691" s="18">
        <v>20.9</v>
      </c>
      <c r="P1691" s="20">
        <v>2.8</v>
      </c>
      <c r="Q1691" s="16">
        <v>45007.0</v>
      </c>
      <c r="R1691" s="16" t="s">
        <v>2118</v>
      </c>
      <c r="S1691" s="13" t="s">
        <v>45</v>
      </c>
      <c r="T1691" s="13" t="s">
        <v>47</v>
      </c>
      <c r="U1691" s="13" t="str">
        <f t="shared" si="1"/>
        <v>Low</v>
      </c>
      <c r="V1691" s="13" t="str">
        <f t="shared" si="2"/>
        <v>Below Median</v>
      </c>
      <c r="W1691" s="13" t="str">
        <f t="shared" si="3"/>
        <v>0–12 Months</v>
      </c>
    </row>
    <row r="1692">
      <c r="A1692" s="13" t="s">
        <v>318</v>
      </c>
      <c r="B1692" s="13" t="s">
        <v>126</v>
      </c>
      <c r="C1692" s="14">
        <v>39.0</v>
      </c>
      <c r="D1692" s="13" t="s">
        <v>85</v>
      </c>
      <c r="E1692" s="13" t="s">
        <v>87</v>
      </c>
      <c r="F1692" s="13" t="s">
        <v>37</v>
      </c>
      <c r="G1692" s="13" t="s">
        <v>39</v>
      </c>
      <c r="H1692" s="16">
        <v>45887.0</v>
      </c>
      <c r="I1692" s="14">
        <v>15.0</v>
      </c>
      <c r="J1692" s="13" t="s">
        <v>40</v>
      </c>
      <c r="K1692" s="13" t="s">
        <v>81</v>
      </c>
      <c r="L1692" s="14">
        <v>1652.0</v>
      </c>
      <c r="M1692" s="18" t="s">
        <v>164</v>
      </c>
      <c r="N1692" s="20">
        <v>0.0</v>
      </c>
      <c r="O1692" s="18">
        <v>31.1</v>
      </c>
      <c r="P1692" s="20">
        <v>2.8</v>
      </c>
      <c r="Q1692" s="16">
        <v>46312.0</v>
      </c>
      <c r="R1692" s="16" t="s">
        <v>38</v>
      </c>
      <c r="S1692" s="13" t="s">
        <v>230</v>
      </c>
      <c r="T1692" s="13" t="s">
        <v>72</v>
      </c>
      <c r="U1692" s="13" t="str">
        <f t="shared" si="1"/>
        <v>Low</v>
      </c>
      <c r="V1692" s="13" t="str">
        <f t="shared" si="2"/>
        <v>Median or Above</v>
      </c>
      <c r="W1692" s="13" t="str">
        <f t="shared" si="3"/>
        <v>13–24 Months</v>
      </c>
    </row>
    <row r="1693" hidden="1">
      <c r="A1693" s="13" t="s">
        <v>1936</v>
      </c>
      <c r="B1693" s="13" t="s">
        <v>96</v>
      </c>
      <c r="C1693" s="14">
        <v>59.0</v>
      </c>
      <c r="D1693" s="13" t="s">
        <v>85</v>
      </c>
      <c r="E1693" s="13" t="s">
        <v>292</v>
      </c>
      <c r="F1693" s="13" t="s">
        <v>79</v>
      </c>
      <c r="G1693" s="13" t="s">
        <v>63</v>
      </c>
      <c r="H1693" s="16">
        <v>45676.0</v>
      </c>
      <c r="I1693" s="14">
        <v>30.0</v>
      </c>
      <c r="J1693" s="13" t="s">
        <v>53</v>
      </c>
      <c r="K1693" s="13" t="s">
        <v>41</v>
      </c>
      <c r="L1693" s="14">
        <v>3875.0</v>
      </c>
      <c r="M1693" s="18" t="s">
        <v>99</v>
      </c>
      <c r="N1693" s="20">
        <v>0.0</v>
      </c>
      <c r="O1693" s="18">
        <v>32.5</v>
      </c>
      <c r="P1693" s="20">
        <v>2.6</v>
      </c>
      <c r="Q1693" s="16">
        <v>46263.0</v>
      </c>
      <c r="R1693" s="16" t="s">
        <v>2120</v>
      </c>
      <c r="S1693" s="13" t="s">
        <v>45</v>
      </c>
      <c r="T1693" s="13" t="s">
        <v>66</v>
      </c>
      <c r="U1693" s="13" t="str">
        <f t="shared" si="1"/>
        <v>Low</v>
      </c>
      <c r="V1693" s="13" t="str">
        <f t="shared" si="2"/>
        <v>Median or Above</v>
      </c>
      <c r="W1693" s="13" t="str">
        <f t="shared" si="3"/>
        <v>25–48 Months</v>
      </c>
    </row>
    <row r="1694" hidden="1">
      <c r="A1694" s="13" t="s">
        <v>2121</v>
      </c>
      <c r="B1694" s="13" t="s">
        <v>405</v>
      </c>
      <c r="C1694" s="14">
        <v>27.0</v>
      </c>
      <c r="D1694" s="13" t="s">
        <v>69</v>
      </c>
      <c r="E1694" s="13" t="s">
        <v>119</v>
      </c>
      <c r="F1694" s="13" t="s">
        <v>37</v>
      </c>
      <c r="G1694" s="13" t="s">
        <v>120</v>
      </c>
      <c r="H1694" s="16">
        <v>45495.0</v>
      </c>
      <c r="I1694" s="14">
        <v>48.0</v>
      </c>
      <c r="J1694" s="13" t="s">
        <v>64</v>
      </c>
      <c r="K1694" s="13" t="s">
        <v>81</v>
      </c>
      <c r="L1694" s="14">
        <v>1122.0</v>
      </c>
      <c r="M1694" s="18" t="s">
        <v>43</v>
      </c>
      <c r="N1694" s="20">
        <v>1.0</v>
      </c>
      <c r="O1694" s="18">
        <v>42.2</v>
      </c>
      <c r="P1694" s="20">
        <v>4.0</v>
      </c>
      <c r="Q1694" s="16">
        <v>46531.0</v>
      </c>
      <c r="R1694" s="16">
        <v>46360.0</v>
      </c>
      <c r="S1694" s="13" t="s">
        <v>45</v>
      </c>
      <c r="T1694" s="13" t="s">
        <v>38</v>
      </c>
      <c r="U1694" s="13" t="str">
        <f t="shared" si="1"/>
        <v>Moderate</v>
      </c>
      <c r="V1694" s="13" t="str">
        <f t="shared" si="2"/>
        <v>Median or Above</v>
      </c>
      <c r="W1694" s="13" t="str">
        <f t="shared" si="3"/>
        <v>25–48 Months</v>
      </c>
    </row>
    <row r="1695" hidden="1">
      <c r="A1695" s="13" t="s">
        <v>2123</v>
      </c>
      <c r="B1695" s="13" t="s">
        <v>322</v>
      </c>
      <c r="C1695" s="14">
        <v>28.0</v>
      </c>
      <c r="D1695" s="13" t="s">
        <v>85</v>
      </c>
      <c r="E1695" s="13" t="s">
        <v>111</v>
      </c>
      <c r="F1695" s="13" t="s">
        <v>62</v>
      </c>
      <c r="G1695" s="13" t="s">
        <v>80</v>
      </c>
      <c r="H1695" s="16">
        <v>44687.0</v>
      </c>
      <c r="I1695" s="14">
        <v>1.0</v>
      </c>
      <c r="J1695" s="13" t="s">
        <v>40</v>
      </c>
      <c r="K1695" s="13" t="s">
        <v>65</v>
      </c>
      <c r="L1695" s="14">
        <v>541.0</v>
      </c>
      <c r="M1695" s="18" t="s">
        <v>164</v>
      </c>
      <c r="N1695" s="20">
        <v>0.0</v>
      </c>
      <c r="O1695" s="18">
        <v>31.4</v>
      </c>
      <c r="P1695" s="20">
        <v>2.9</v>
      </c>
      <c r="Q1695" s="16">
        <v>44700.0</v>
      </c>
      <c r="R1695" s="16" t="s">
        <v>38</v>
      </c>
      <c r="S1695" s="13" t="s">
        <v>55</v>
      </c>
      <c r="T1695" s="13" t="s">
        <v>72</v>
      </c>
      <c r="U1695" s="13" t="str">
        <f t="shared" si="1"/>
        <v>Low</v>
      </c>
      <c r="V1695" s="13" t="str">
        <f t="shared" si="2"/>
        <v>Median or Above</v>
      </c>
      <c r="W1695" s="13" t="str">
        <f t="shared" si="3"/>
        <v>0–12 Months</v>
      </c>
    </row>
    <row r="1696" hidden="1">
      <c r="A1696" s="13" t="s">
        <v>440</v>
      </c>
      <c r="B1696" s="13" t="s">
        <v>135</v>
      </c>
      <c r="C1696" s="14">
        <v>62.0</v>
      </c>
      <c r="D1696" s="13" t="s">
        <v>69</v>
      </c>
      <c r="E1696" s="13" t="s">
        <v>70</v>
      </c>
      <c r="F1696" s="13" t="s">
        <v>37</v>
      </c>
      <c r="G1696" s="13" t="s">
        <v>52</v>
      </c>
      <c r="H1696" s="16">
        <v>45552.0</v>
      </c>
      <c r="I1696" s="14">
        <v>45.0</v>
      </c>
      <c r="J1696" s="13" t="s">
        <v>64</v>
      </c>
      <c r="K1696" s="13" t="s">
        <v>81</v>
      </c>
      <c r="L1696" s="14">
        <v>739.0</v>
      </c>
      <c r="M1696" s="18" t="s">
        <v>43</v>
      </c>
      <c r="N1696" s="20">
        <v>0.0</v>
      </c>
      <c r="O1696" s="18">
        <v>23.2</v>
      </c>
      <c r="P1696" s="20">
        <v>9.0</v>
      </c>
      <c r="Q1696" s="16">
        <v>46829.0</v>
      </c>
      <c r="R1696" s="16" t="s">
        <v>38</v>
      </c>
      <c r="S1696" s="13" t="s">
        <v>55</v>
      </c>
      <c r="T1696" s="13" t="s">
        <v>75</v>
      </c>
      <c r="U1696" s="13" t="str">
        <f t="shared" si="1"/>
        <v>Very High</v>
      </c>
      <c r="V1696" s="13" t="str">
        <f t="shared" si="2"/>
        <v>Below Median</v>
      </c>
      <c r="W1696" s="13" t="str">
        <f t="shared" si="3"/>
        <v>25–48 Months</v>
      </c>
    </row>
    <row r="1697" hidden="1">
      <c r="A1697" s="13" t="s">
        <v>2124</v>
      </c>
      <c r="B1697" s="13" t="s">
        <v>34</v>
      </c>
      <c r="C1697" s="14">
        <v>52.0</v>
      </c>
      <c r="D1697" s="13" t="s">
        <v>85</v>
      </c>
      <c r="E1697" s="13" t="s">
        <v>92</v>
      </c>
      <c r="F1697" s="13" t="s">
        <v>37</v>
      </c>
      <c r="G1697" s="13" t="s">
        <v>120</v>
      </c>
      <c r="H1697" s="16">
        <v>45278.0</v>
      </c>
      <c r="I1697" s="14">
        <v>26.0</v>
      </c>
      <c r="J1697" s="13" t="s">
        <v>40</v>
      </c>
      <c r="K1697" s="13" t="s">
        <v>41</v>
      </c>
      <c r="L1697" s="14">
        <v>1415.0</v>
      </c>
      <c r="M1697" s="18" t="s">
        <v>43</v>
      </c>
      <c r="N1697" s="20">
        <v>2.0</v>
      </c>
      <c r="O1697" s="18">
        <v>13.6</v>
      </c>
      <c r="P1697" s="20">
        <v>3.4</v>
      </c>
      <c r="Q1697" s="16">
        <v>45329.0</v>
      </c>
      <c r="R1697" s="16" t="s">
        <v>38</v>
      </c>
      <c r="S1697" s="13" t="s">
        <v>55</v>
      </c>
      <c r="T1697" s="13" t="s">
        <v>72</v>
      </c>
      <c r="U1697" s="13" t="str">
        <f t="shared" si="1"/>
        <v>Moderate</v>
      </c>
      <c r="V1697" s="13" t="str">
        <f t="shared" si="2"/>
        <v>Below Median</v>
      </c>
      <c r="W1697" s="13" t="str">
        <f t="shared" si="3"/>
        <v>25–48 Months</v>
      </c>
    </row>
    <row r="1698" hidden="1">
      <c r="A1698" s="13" t="s">
        <v>2004</v>
      </c>
      <c r="B1698" s="13" t="s">
        <v>312</v>
      </c>
      <c r="C1698" s="14">
        <v>68.0</v>
      </c>
      <c r="D1698" s="13" t="s">
        <v>60</v>
      </c>
      <c r="E1698" s="13" t="s">
        <v>38</v>
      </c>
      <c r="F1698" s="13" t="s">
        <v>62</v>
      </c>
      <c r="G1698" s="13" t="s">
        <v>52</v>
      </c>
      <c r="H1698" s="16">
        <v>45312.0</v>
      </c>
      <c r="I1698" s="14">
        <v>10.0</v>
      </c>
      <c r="J1698" s="13" t="s">
        <v>53</v>
      </c>
      <c r="K1698" s="13" t="s">
        <v>81</v>
      </c>
      <c r="L1698" s="14">
        <v>643.0</v>
      </c>
      <c r="M1698" s="18" t="s">
        <v>43</v>
      </c>
      <c r="N1698" s="20">
        <v>2.0</v>
      </c>
      <c r="O1698" s="18">
        <v>31.1</v>
      </c>
      <c r="P1698" s="20">
        <v>4.6</v>
      </c>
      <c r="Q1698" s="16">
        <v>45516.0</v>
      </c>
      <c r="R1698" s="16" t="s">
        <v>38</v>
      </c>
      <c r="S1698" s="13" t="s">
        <v>55</v>
      </c>
      <c r="T1698" s="13" t="s">
        <v>47</v>
      </c>
      <c r="U1698" s="13" t="str">
        <f t="shared" si="1"/>
        <v>Moderate</v>
      </c>
      <c r="V1698" s="13" t="str">
        <f t="shared" si="2"/>
        <v>Median or Above</v>
      </c>
      <c r="W1698" s="13" t="str">
        <f t="shared" si="3"/>
        <v>0–12 Months</v>
      </c>
    </row>
    <row r="1699" hidden="1">
      <c r="A1699" s="13" t="s">
        <v>862</v>
      </c>
      <c r="B1699" s="13" t="s">
        <v>295</v>
      </c>
      <c r="C1699" s="14">
        <v>63.0</v>
      </c>
      <c r="D1699" s="13" t="s">
        <v>69</v>
      </c>
      <c r="E1699" s="13" t="s">
        <v>187</v>
      </c>
      <c r="F1699" s="13" t="s">
        <v>37</v>
      </c>
      <c r="G1699" s="13" t="s">
        <v>80</v>
      </c>
      <c r="H1699" s="16">
        <v>44717.0</v>
      </c>
      <c r="I1699" s="14">
        <v>17.0</v>
      </c>
      <c r="J1699" s="13" t="s">
        <v>53</v>
      </c>
      <c r="K1699" s="13" t="s">
        <v>65</v>
      </c>
      <c r="L1699" s="14">
        <v>1719.0</v>
      </c>
      <c r="M1699" s="18" t="s">
        <v>46</v>
      </c>
      <c r="N1699" s="20">
        <v>0.0</v>
      </c>
      <c r="O1699" s="18">
        <v>29.4</v>
      </c>
      <c r="P1699" s="20">
        <v>2.9</v>
      </c>
      <c r="Q1699" s="16">
        <v>45196.0</v>
      </c>
      <c r="R1699" s="16" t="s">
        <v>38</v>
      </c>
      <c r="S1699" s="13" t="s">
        <v>55</v>
      </c>
      <c r="T1699" s="13" t="s">
        <v>47</v>
      </c>
      <c r="U1699" s="13" t="str">
        <f t="shared" si="1"/>
        <v>Low</v>
      </c>
      <c r="V1699" s="13" t="str">
        <f t="shared" si="2"/>
        <v>Median or Above</v>
      </c>
      <c r="W1699" s="13" t="str">
        <f t="shared" si="3"/>
        <v>13–24 Months</v>
      </c>
    </row>
    <row r="1700" hidden="1">
      <c r="A1700" s="13" t="s">
        <v>2125</v>
      </c>
      <c r="B1700" s="13" t="s">
        <v>651</v>
      </c>
      <c r="C1700" s="14">
        <v>44.0</v>
      </c>
      <c r="D1700" s="13" t="s">
        <v>35</v>
      </c>
      <c r="E1700" s="13" t="s">
        <v>36</v>
      </c>
      <c r="F1700" s="13" t="s">
        <v>62</v>
      </c>
      <c r="G1700" s="13" t="s">
        <v>128</v>
      </c>
      <c r="H1700" s="16">
        <v>45873.0</v>
      </c>
      <c r="I1700" s="14">
        <v>38.0</v>
      </c>
      <c r="J1700" s="13" t="s">
        <v>64</v>
      </c>
      <c r="K1700" s="13" t="s">
        <v>41</v>
      </c>
      <c r="L1700" s="14">
        <v>667.0</v>
      </c>
      <c r="M1700" s="18" t="s">
        <v>164</v>
      </c>
      <c r="N1700" s="20">
        <v>1.0</v>
      </c>
      <c r="O1700" s="18">
        <v>11.4</v>
      </c>
      <c r="P1700" s="20">
        <v>4.6</v>
      </c>
      <c r="Q1700" s="16">
        <v>46079.0</v>
      </c>
      <c r="R1700" s="16" t="s">
        <v>38</v>
      </c>
      <c r="S1700" s="13" t="s">
        <v>55</v>
      </c>
      <c r="T1700" s="13" t="s">
        <v>75</v>
      </c>
      <c r="U1700" s="13" t="str">
        <f t="shared" si="1"/>
        <v>Moderate</v>
      </c>
      <c r="V1700" s="13" t="str">
        <f t="shared" si="2"/>
        <v>Below Median</v>
      </c>
      <c r="W1700" s="13" t="str">
        <f t="shared" si="3"/>
        <v>25–48 Months</v>
      </c>
    </row>
    <row r="1701" hidden="1">
      <c r="A1701" s="13" t="s">
        <v>2126</v>
      </c>
      <c r="B1701" s="13" t="s">
        <v>229</v>
      </c>
      <c r="C1701" s="14">
        <v>54.0</v>
      </c>
      <c r="D1701" s="13" t="s">
        <v>35</v>
      </c>
      <c r="E1701" s="13" t="s">
        <v>36</v>
      </c>
      <c r="F1701" s="13" t="s">
        <v>62</v>
      </c>
      <c r="G1701" s="13" t="s">
        <v>210</v>
      </c>
      <c r="H1701" s="16">
        <v>45709.0</v>
      </c>
      <c r="I1701" s="14">
        <v>37.0</v>
      </c>
      <c r="J1701" s="13" t="s">
        <v>40</v>
      </c>
      <c r="K1701" s="13" t="s">
        <v>41</v>
      </c>
      <c r="L1701" s="14">
        <v>841.0</v>
      </c>
      <c r="M1701" s="18" t="s">
        <v>43</v>
      </c>
      <c r="N1701" s="20">
        <v>1.0</v>
      </c>
      <c r="O1701" s="18">
        <v>18.9</v>
      </c>
      <c r="P1701" s="20">
        <v>2.4</v>
      </c>
      <c r="Q1701" s="16">
        <v>46678.0</v>
      </c>
      <c r="R1701" s="16" t="s">
        <v>38</v>
      </c>
      <c r="S1701" s="13" t="s">
        <v>55</v>
      </c>
      <c r="T1701" s="13" t="s">
        <v>72</v>
      </c>
      <c r="U1701" s="13" t="str">
        <f t="shared" si="1"/>
        <v>Low</v>
      </c>
      <c r="V1701" s="13" t="str">
        <f t="shared" si="2"/>
        <v>Below Median</v>
      </c>
      <c r="W1701" s="13" t="str">
        <f t="shared" si="3"/>
        <v>25–48 Months</v>
      </c>
    </row>
    <row r="1702" hidden="1">
      <c r="A1702" s="13" t="s">
        <v>2127</v>
      </c>
      <c r="B1702" s="13" t="s">
        <v>736</v>
      </c>
      <c r="C1702" s="14">
        <v>43.0</v>
      </c>
      <c r="D1702" s="13" t="s">
        <v>69</v>
      </c>
      <c r="E1702" s="13" t="s">
        <v>177</v>
      </c>
      <c r="F1702" s="13" t="s">
        <v>37</v>
      </c>
      <c r="G1702" s="13" t="s">
        <v>63</v>
      </c>
      <c r="H1702" s="16">
        <v>45791.0</v>
      </c>
      <c r="I1702" s="14">
        <v>12.0</v>
      </c>
      <c r="J1702" s="13" t="s">
        <v>40</v>
      </c>
      <c r="K1702" s="13" t="s">
        <v>81</v>
      </c>
      <c r="L1702" s="14">
        <v>1411.0</v>
      </c>
      <c r="M1702" s="18" t="s">
        <v>99</v>
      </c>
      <c r="N1702" s="20">
        <v>2.0</v>
      </c>
      <c r="O1702" s="18">
        <v>40.4</v>
      </c>
      <c r="P1702" s="20">
        <v>4.2</v>
      </c>
      <c r="Q1702" s="16">
        <v>46092.0</v>
      </c>
      <c r="R1702" s="16" t="s">
        <v>38</v>
      </c>
      <c r="S1702" s="13" t="s">
        <v>55</v>
      </c>
      <c r="T1702" s="13" t="s">
        <v>66</v>
      </c>
      <c r="U1702" s="13" t="str">
        <f t="shared" si="1"/>
        <v>Moderate</v>
      </c>
      <c r="V1702" s="13" t="str">
        <f t="shared" si="2"/>
        <v>Median or Above</v>
      </c>
      <c r="W1702" s="13" t="str">
        <f t="shared" si="3"/>
        <v>0–12 Months</v>
      </c>
    </row>
    <row r="1703" hidden="1">
      <c r="A1703" s="13" t="s">
        <v>1571</v>
      </c>
      <c r="B1703" s="13" t="s">
        <v>393</v>
      </c>
      <c r="C1703" s="14">
        <v>42.0</v>
      </c>
      <c r="D1703" s="13" t="s">
        <v>85</v>
      </c>
      <c r="E1703" s="13" t="s">
        <v>92</v>
      </c>
      <c r="F1703" s="13" t="s">
        <v>37</v>
      </c>
      <c r="G1703" s="13" t="s">
        <v>39</v>
      </c>
      <c r="H1703" s="16">
        <v>44881.0</v>
      </c>
      <c r="I1703" s="14">
        <v>2.0</v>
      </c>
      <c r="J1703" s="13" t="s">
        <v>40</v>
      </c>
      <c r="K1703" s="13" t="s">
        <v>81</v>
      </c>
      <c r="L1703" s="14">
        <v>1505.0</v>
      </c>
      <c r="M1703" s="18" t="s">
        <v>43</v>
      </c>
      <c r="N1703" s="20">
        <v>1.0</v>
      </c>
      <c r="O1703" s="18">
        <v>14.4</v>
      </c>
      <c r="P1703" s="20">
        <v>3.6</v>
      </c>
      <c r="Q1703" s="16">
        <v>44908.0</v>
      </c>
      <c r="R1703" s="16">
        <v>45079.0</v>
      </c>
      <c r="S1703" s="13" t="s">
        <v>45</v>
      </c>
      <c r="T1703" s="13" t="s">
        <v>47</v>
      </c>
      <c r="U1703" s="13" t="str">
        <f t="shared" si="1"/>
        <v>Moderate</v>
      </c>
      <c r="V1703" s="13" t="str">
        <f t="shared" si="2"/>
        <v>Below Median</v>
      </c>
      <c r="W1703" s="13" t="str">
        <f t="shared" si="3"/>
        <v>0–12 Months</v>
      </c>
    </row>
    <row r="1704" hidden="1">
      <c r="A1704" s="13" t="s">
        <v>2130</v>
      </c>
      <c r="B1704" s="13" t="s">
        <v>126</v>
      </c>
      <c r="C1704" s="14">
        <v>20.0</v>
      </c>
      <c r="D1704" s="13" t="s">
        <v>85</v>
      </c>
      <c r="E1704" s="13" t="s">
        <v>92</v>
      </c>
      <c r="F1704" s="13" t="s">
        <v>62</v>
      </c>
      <c r="G1704" s="13" t="s">
        <v>80</v>
      </c>
      <c r="H1704" s="16">
        <v>44902.0</v>
      </c>
      <c r="I1704" s="14">
        <v>47.0</v>
      </c>
      <c r="J1704" s="13" t="s">
        <v>64</v>
      </c>
      <c r="K1704" s="13" t="s">
        <v>65</v>
      </c>
      <c r="L1704" s="14">
        <v>564.0</v>
      </c>
      <c r="M1704" s="18" t="s">
        <v>98</v>
      </c>
      <c r="N1704" s="20">
        <v>0.0</v>
      </c>
      <c r="O1704" s="18">
        <v>16.4</v>
      </c>
      <c r="P1704" s="20">
        <v>5.0</v>
      </c>
      <c r="Q1704" s="16">
        <v>44992.0</v>
      </c>
      <c r="R1704" s="16" t="s">
        <v>38</v>
      </c>
      <c r="S1704" s="13" t="s">
        <v>55</v>
      </c>
      <c r="T1704" s="13" t="s">
        <v>104</v>
      </c>
      <c r="U1704" s="13" t="str">
        <f t="shared" si="1"/>
        <v>High</v>
      </c>
      <c r="V1704" s="13" t="str">
        <f t="shared" si="2"/>
        <v>Below Median</v>
      </c>
      <c r="W1704" s="13" t="str">
        <f t="shared" si="3"/>
        <v>25–48 Months</v>
      </c>
    </row>
    <row r="1705" hidden="1">
      <c r="A1705" s="13" t="s">
        <v>1684</v>
      </c>
      <c r="B1705" s="13" t="s">
        <v>383</v>
      </c>
      <c r="C1705" s="14">
        <v>26.0</v>
      </c>
      <c r="D1705" s="13" t="s">
        <v>60</v>
      </c>
      <c r="E1705" s="13" t="s">
        <v>133</v>
      </c>
      <c r="F1705" s="13" t="s">
        <v>37</v>
      </c>
      <c r="G1705" s="13" t="s">
        <v>210</v>
      </c>
      <c r="H1705" s="16">
        <v>44738.0</v>
      </c>
      <c r="I1705" s="14">
        <v>38.0</v>
      </c>
      <c r="J1705" s="13" t="s">
        <v>53</v>
      </c>
      <c r="K1705" s="13" t="s">
        <v>81</v>
      </c>
      <c r="L1705" s="14">
        <v>1345.0</v>
      </c>
      <c r="M1705" s="18" t="s">
        <v>46</v>
      </c>
      <c r="N1705" s="20">
        <v>0.0</v>
      </c>
      <c r="O1705" s="18">
        <v>32.9</v>
      </c>
      <c r="P1705" s="20">
        <v>5.0</v>
      </c>
      <c r="Q1705" s="16">
        <v>45174.0</v>
      </c>
      <c r="R1705" s="16" t="s">
        <v>38</v>
      </c>
      <c r="S1705" s="13" t="s">
        <v>55</v>
      </c>
      <c r="T1705" s="13" t="s">
        <v>47</v>
      </c>
      <c r="U1705" s="13" t="str">
        <f t="shared" si="1"/>
        <v>High</v>
      </c>
      <c r="V1705" s="13" t="str">
        <f t="shared" si="2"/>
        <v>Median or Above</v>
      </c>
      <c r="W1705" s="13" t="str">
        <f t="shared" si="3"/>
        <v>25–48 Months</v>
      </c>
    </row>
    <row r="1706" hidden="1">
      <c r="A1706" s="13" t="s">
        <v>1191</v>
      </c>
      <c r="B1706" s="13" t="s">
        <v>303</v>
      </c>
      <c r="C1706" s="14">
        <v>22.0</v>
      </c>
      <c r="D1706" s="13" t="s">
        <v>35</v>
      </c>
      <c r="E1706" s="13" t="s">
        <v>51</v>
      </c>
      <c r="F1706" s="13" t="s">
        <v>79</v>
      </c>
      <c r="G1706" s="13" t="s">
        <v>63</v>
      </c>
      <c r="H1706" s="16">
        <v>45423.0</v>
      </c>
      <c r="I1706" s="14">
        <v>42.0</v>
      </c>
      <c r="J1706" s="13" t="s">
        <v>64</v>
      </c>
      <c r="K1706" s="13" t="s">
        <v>41</v>
      </c>
      <c r="L1706" s="14">
        <v>3458.0</v>
      </c>
      <c r="M1706" s="18" t="s">
        <v>98</v>
      </c>
      <c r="N1706" s="20">
        <v>1.0</v>
      </c>
      <c r="O1706" s="18">
        <v>39.0</v>
      </c>
      <c r="P1706" s="20">
        <v>3.5</v>
      </c>
      <c r="Q1706" s="16">
        <v>45844.0</v>
      </c>
      <c r="R1706" s="16">
        <v>45450.0</v>
      </c>
      <c r="S1706" s="13" t="s">
        <v>45</v>
      </c>
      <c r="T1706" s="13" t="s">
        <v>66</v>
      </c>
      <c r="U1706" s="13" t="str">
        <f t="shared" si="1"/>
        <v>Moderate</v>
      </c>
      <c r="V1706" s="13" t="str">
        <f t="shared" si="2"/>
        <v>Median or Above</v>
      </c>
      <c r="W1706" s="13" t="str">
        <f t="shared" si="3"/>
        <v>25–48 Months</v>
      </c>
    </row>
    <row r="1707" hidden="1">
      <c r="A1707" s="13" t="s">
        <v>1983</v>
      </c>
      <c r="B1707" s="13" t="s">
        <v>160</v>
      </c>
      <c r="C1707" s="14">
        <v>40.0</v>
      </c>
      <c r="D1707" s="13" t="s">
        <v>69</v>
      </c>
      <c r="E1707" s="13" t="s">
        <v>70</v>
      </c>
      <c r="F1707" s="13" t="s">
        <v>37</v>
      </c>
      <c r="G1707" s="13" t="s">
        <v>80</v>
      </c>
      <c r="H1707" s="16">
        <v>44795.0</v>
      </c>
      <c r="I1707" s="14">
        <v>47.0</v>
      </c>
      <c r="J1707" s="13" t="s">
        <v>64</v>
      </c>
      <c r="K1707" s="13" t="s">
        <v>65</v>
      </c>
      <c r="L1707" s="14">
        <v>1543.0</v>
      </c>
      <c r="M1707" s="18" t="s">
        <v>164</v>
      </c>
      <c r="N1707" s="20">
        <v>0.0</v>
      </c>
      <c r="O1707" s="18">
        <v>31.6</v>
      </c>
      <c r="P1707" s="20">
        <v>3.9</v>
      </c>
      <c r="Q1707" s="16">
        <v>44896.0</v>
      </c>
      <c r="R1707" s="16" t="s">
        <v>38</v>
      </c>
      <c r="S1707" s="13" t="s">
        <v>55</v>
      </c>
      <c r="T1707" s="13" t="s">
        <v>104</v>
      </c>
      <c r="U1707" s="13" t="str">
        <f t="shared" si="1"/>
        <v>Moderate</v>
      </c>
      <c r="V1707" s="13" t="str">
        <f t="shared" si="2"/>
        <v>Median or Above</v>
      </c>
      <c r="W1707" s="13" t="str">
        <f t="shared" si="3"/>
        <v>25–48 Months</v>
      </c>
    </row>
    <row r="1708" hidden="1">
      <c r="A1708" s="13" t="s">
        <v>431</v>
      </c>
      <c r="B1708" s="13" t="s">
        <v>349</v>
      </c>
      <c r="C1708" s="14">
        <v>68.0</v>
      </c>
      <c r="D1708" s="13" t="s">
        <v>69</v>
      </c>
      <c r="E1708" s="13" t="s">
        <v>70</v>
      </c>
      <c r="F1708" s="13" t="s">
        <v>37</v>
      </c>
      <c r="G1708" s="13" t="s">
        <v>39</v>
      </c>
      <c r="H1708" s="16">
        <v>44663.0</v>
      </c>
      <c r="I1708" s="14">
        <v>17.0</v>
      </c>
      <c r="J1708" s="13" t="s">
        <v>53</v>
      </c>
      <c r="K1708" s="13" t="s">
        <v>65</v>
      </c>
      <c r="L1708" s="14">
        <v>1453.0</v>
      </c>
      <c r="M1708" s="18" t="s">
        <v>98</v>
      </c>
      <c r="N1708" s="20">
        <v>1.0</v>
      </c>
      <c r="O1708" s="18">
        <v>36.8</v>
      </c>
      <c r="P1708" s="20">
        <v>2.4</v>
      </c>
      <c r="Q1708" s="16">
        <v>45107.0</v>
      </c>
      <c r="R1708" s="16" t="s">
        <v>38</v>
      </c>
      <c r="S1708" s="13" t="s">
        <v>55</v>
      </c>
      <c r="T1708" s="13" t="s">
        <v>47</v>
      </c>
      <c r="U1708" s="13" t="str">
        <f t="shared" si="1"/>
        <v>Low</v>
      </c>
      <c r="V1708" s="13" t="str">
        <f t="shared" si="2"/>
        <v>Median or Above</v>
      </c>
      <c r="W1708" s="13" t="str">
        <f t="shared" si="3"/>
        <v>13–24 Months</v>
      </c>
    </row>
    <row r="1709" hidden="1">
      <c r="A1709" s="13" t="s">
        <v>1224</v>
      </c>
      <c r="B1709" s="13" t="s">
        <v>169</v>
      </c>
      <c r="C1709" s="14">
        <v>63.0</v>
      </c>
      <c r="D1709" s="13" t="s">
        <v>35</v>
      </c>
      <c r="E1709" s="13" t="s">
        <v>36</v>
      </c>
      <c r="F1709" s="13" t="s">
        <v>62</v>
      </c>
      <c r="G1709" s="13" t="s">
        <v>39</v>
      </c>
      <c r="H1709" s="16">
        <v>45943.0</v>
      </c>
      <c r="I1709" s="14">
        <v>41.0</v>
      </c>
      <c r="J1709" s="13" t="s">
        <v>53</v>
      </c>
      <c r="K1709" s="13" t="s">
        <v>65</v>
      </c>
      <c r="L1709" s="14">
        <v>533.0</v>
      </c>
      <c r="M1709" s="18" t="s">
        <v>99</v>
      </c>
      <c r="N1709" s="20">
        <v>1.0</v>
      </c>
      <c r="O1709" s="18">
        <v>24.0</v>
      </c>
      <c r="P1709" s="20">
        <v>3.8</v>
      </c>
      <c r="Q1709" s="16">
        <v>47124.0</v>
      </c>
      <c r="R1709" s="16" t="s">
        <v>38</v>
      </c>
      <c r="S1709" s="13" t="s">
        <v>55</v>
      </c>
      <c r="T1709" s="13" t="s">
        <v>104</v>
      </c>
      <c r="U1709" s="13" t="str">
        <f t="shared" si="1"/>
        <v>Moderate</v>
      </c>
      <c r="V1709" s="13" t="str">
        <f t="shared" si="2"/>
        <v>Median or Above</v>
      </c>
      <c r="W1709" s="13" t="str">
        <f t="shared" si="3"/>
        <v>25–48 Months</v>
      </c>
    </row>
    <row r="1710" hidden="1">
      <c r="A1710" s="13" t="s">
        <v>1355</v>
      </c>
      <c r="B1710" s="13" t="s">
        <v>424</v>
      </c>
      <c r="C1710" s="14">
        <v>58.0</v>
      </c>
      <c r="D1710" s="13" t="s">
        <v>69</v>
      </c>
      <c r="E1710" s="13" t="s">
        <v>70</v>
      </c>
      <c r="F1710" s="13" t="s">
        <v>79</v>
      </c>
      <c r="G1710" s="13" t="s">
        <v>128</v>
      </c>
      <c r="H1710" s="16">
        <v>44742.0</v>
      </c>
      <c r="I1710" s="14">
        <v>3.0</v>
      </c>
      <c r="J1710" s="13" t="s">
        <v>53</v>
      </c>
      <c r="K1710" s="13" t="s">
        <v>65</v>
      </c>
      <c r="L1710" s="14">
        <v>3938.0</v>
      </c>
      <c r="M1710" s="18" t="s">
        <v>98</v>
      </c>
      <c r="N1710" s="20">
        <v>0.0</v>
      </c>
      <c r="O1710" s="18">
        <v>39.7</v>
      </c>
      <c r="P1710" s="20">
        <v>3.4</v>
      </c>
      <c r="Q1710" s="16">
        <v>44779.0</v>
      </c>
      <c r="R1710" s="16" t="s">
        <v>2132</v>
      </c>
      <c r="S1710" s="13" t="s">
        <v>45</v>
      </c>
      <c r="T1710" s="13" t="s">
        <v>47</v>
      </c>
      <c r="U1710" s="13" t="str">
        <f t="shared" si="1"/>
        <v>Moderate</v>
      </c>
      <c r="V1710" s="13" t="str">
        <f t="shared" si="2"/>
        <v>Median or Above</v>
      </c>
      <c r="W1710" s="13" t="str">
        <f t="shared" si="3"/>
        <v>0–12 Months</v>
      </c>
    </row>
    <row r="1711" hidden="1">
      <c r="A1711" s="13" t="s">
        <v>670</v>
      </c>
      <c r="B1711" s="13" t="s">
        <v>734</v>
      </c>
      <c r="C1711" s="14">
        <v>65.0</v>
      </c>
      <c r="D1711" s="13" t="s">
        <v>85</v>
      </c>
      <c r="E1711" s="13" t="s">
        <v>92</v>
      </c>
      <c r="F1711" s="13" t="s">
        <v>79</v>
      </c>
      <c r="G1711" s="13" t="s">
        <v>63</v>
      </c>
      <c r="H1711" s="16">
        <v>45704.0</v>
      </c>
      <c r="I1711" s="14">
        <v>38.0</v>
      </c>
      <c r="J1711" s="13" t="s">
        <v>53</v>
      </c>
      <c r="K1711" s="13" t="s">
        <v>81</v>
      </c>
      <c r="L1711" s="14">
        <v>2285.0</v>
      </c>
      <c r="M1711" s="18" t="s">
        <v>46</v>
      </c>
      <c r="N1711" s="20">
        <v>2.0</v>
      </c>
      <c r="O1711" s="18">
        <v>36.4</v>
      </c>
      <c r="P1711" s="20">
        <v>3.5</v>
      </c>
      <c r="Q1711" s="16">
        <v>46578.0</v>
      </c>
      <c r="R1711" s="16">
        <v>46210.0</v>
      </c>
      <c r="S1711" s="13" t="s">
        <v>45</v>
      </c>
      <c r="T1711" s="13" t="s">
        <v>104</v>
      </c>
      <c r="U1711" s="13" t="str">
        <f t="shared" si="1"/>
        <v>Moderate</v>
      </c>
      <c r="V1711" s="13" t="str">
        <f t="shared" si="2"/>
        <v>Median or Above</v>
      </c>
      <c r="W1711" s="13" t="str">
        <f t="shared" si="3"/>
        <v>25–48 Months</v>
      </c>
    </row>
    <row r="1712" hidden="1">
      <c r="A1712" s="13" t="s">
        <v>1064</v>
      </c>
      <c r="B1712" s="13" t="s">
        <v>395</v>
      </c>
      <c r="C1712" s="14">
        <v>45.0</v>
      </c>
      <c r="D1712" s="13" t="s">
        <v>35</v>
      </c>
      <c r="E1712" s="13" t="s">
        <v>140</v>
      </c>
      <c r="F1712" s="13" t="s">
        <v>37</v>
      </c>
      <c r="G1712" s="13" t="s">
        <v>120</v>
      </c>
      <c r="H1712" s="16">
        <v>45542.0</v>
      </c>
      <c r="I1712" s="14">
        <v>45.0</v>
      </c>
      <c r="J1712" s="13" t="s">
        <v>40</v>
      </c>
      <c r="K1712" s="13" t="s">
        <v>65</v>
      </c>
      <c r="L1712" s="14">
        <v>1506.0</v>
      </c>
      <c r="M1712" s="18" t="s">
        <v>98</v>
      </c>
      <c r="N1712" s="20">
        <v>1.0</v>
      </c>
      <c r="O1712" s="18">
        <v>25.7</v>
      </c>
      <c r="P1712" s="20">
        <v>4.0</v>
      </c>
      <c r="Q1712" s="16">
        <v>46367.0</v>
      </c>
      <c r="R1712" s="16" t="s">
        <v>1759</v>
      </c>
      <c r="S1712" s="13" t="s">
        <v>45</v>
      </c>
      <c r="T1712" s="13" t="s">
        <v>66</v>
      </c>
      <c r="U1712" s="13" t="str">
        <f t="shared" si="1"/>
        <v>Moderate</v>
      </c>
      <c r="V1712" s="13" t="str">
        <f t="shared" si="2"/>
        <v>Median or Above</v>
      </c>
      <c r="W1712" s="13" t="str">
        <f t="shared" si="3"/>
        <v>25–48 Months</v>
      </c>
    </row>
    <row r="1713" hidden="1">
      <c r="A1713" s="13" t="s">
        <v>323</v>
      </c>
      <c r="B1713" s="13" t="s">
        <v>50</v>
      </c>
      <c r="C1713" s="14">
        <v>46.0</v>
      </c>
      <c r="D1713" s="13" t="s">
        <v>60</v>
      </c>
      <c r="E1713" s="13" t="s">
        <v>61</v>
      </c>
      <c r="F1713" s="13" t="s">
        <v>62</v>
      </c>
      <c r="G1713" s="13" t="s">
        <v>52</v>
      </c>
      <c r="H1713" s="16">
        <v>45374.0</v>
      </c>
      <c r="I1713" s="14">
        <v>41.0</v>
      </c>
      <c r="J1713" s="13" t="s">
        <v>53</v>
      </c>
      <c r="K1713" s="13" t="s">
        <v>65</v>
      </c>
      <c r="L1713" s="14">
        <v>704.0</v>
      </c>
      <c r="M1713" s="18" t="s">
        <v>164</v>
      </c>
      <c r="N1713" s="20">
        <v>0.0</v>
      </c>
      <c r="O1713" s="18">
        <v>29.0</v>
      </c>
      <c r="P1713" s="20">
        <v>4.2</v>
      </c>
      <c r="Q1713" s="16">
        <v>45709.0</v>
      </c>
      <c r="R1713" s="16" t="s">
        <v>38</v>
      </c>
      <c r="S1713" s="13" t="s">
        <v>55</v>
      </c>
      <c r="T1713" s="13" t="s">
        <v>66</v>
      </c>
      <c r="U1713" s="13" t="str">
        <f t="shared" si="1"/>
        <v>Moderate</v>
      </c>
      <c r="V1713" s="13" t="str">
        <f t="shared" si="2"/>
        <v>Median or Above</v>
      </c>
      <c r="W1713" s="13" t="str">
        <f t="shared" si="3"/>
        <v>25–48 Months</v>
      </c>
    </row>
    <row r="1714" hidden="1">
      <c r="A1714" s="13" t="s">
        <v>1834</v>
      </c>
      <c r="B1714" s="13" t="s">
        <v>239</v>
      </c>
      <c r="C1714" s="14">
        <v>48.0</v>
      </c>
      <c r="D1714" s="13" t="s">
        <v>35</v>
      </c>
      <c r="E1714" s="13" t="s">
        <v>51</v>
      </c>
      <c r="F1714" s="13" t="s">
        <v>62</v>
      </c>
      <c r="G1714" s="13" t="s">
        <v>120</v>
      </c>
      <c r="H1714" s="16">
        <v>44737.0</v>
      </c>
      <c r="I1714" s="14">
        <v>26.0</v>
      </c>
      <c r="J1714" s="13" t="s">
        <v>53</v>
      </c>
      <c r="K1714" s="13" t="s">
        <v>81</v>
      </c>
      <c r="L1714" s="14">
        <v>665.0</v>
      </c>
      <c r="M1714" s="18" t="s">
        <v>98</v>
      </c>
      <c r="N1714" s="20">
        <v>1.0</v>
      </c>
      <c r="O1714" s="18">
        <v>24.2</v>
      </c>
      <c r="P1714" s="20">
        <v>5.0</v>
      </c>
      <c r="Q1714" s="16">
        <v>45310.0</v>
      </c>
      <c r="R1714" s="16">
        <v>45601.0</v>
      </c>
      <c r="S1714" s="13" t="s">
        <v>45</v>
      </c>
      <c r="T1714" s="13" t="s">
        <v>66</v>
      </c>
      <c r="U1714" s="13" t="str">
        <f t="shared" si="1"/>
        <v>High</v>
      </c>
      <c r="V1714" s="13" t="str">
        <f t="shared" si="2"/>
        <v>Median or Above</v>
      </c>
      <c r="W1714" s="13" t="str">
        <f t="shared" si="3"/>
        <v>25–48 Months</v>
      </c>
    </row>
    <row r="1715" hidden="1">
      <c r="A1715" s="13" t="s">
        <v>407</v>
      </c>
      <c r="B1715" s="13" t="s">
        <v>734</v>
      </c>
      <c r="C1715" s="14">
        <v>37.0</v>
      </c>
      <c r="D1715" s="13" t="s">
        <v>60</v>
      </c>
      <c r="E1715" s="13" t="s">
        <v>61</v>
      </c>
      <c r="F1715" s="13" t="s">
        <v>62</v>
      </c>
      <c r="G1715" s="13" t="s">
        <v>210</v>
      </c>
      <c r="H1715" s="16">
        <v>45836.0</v>
      </c>
      <c r="I1715" s="14">
        <v>31.0</v>
      </c>
      <c r="J1715" s="13" t="s">
        <v>40</v>
      </c>
      <c r="K1715" s="13" t="s">
        <v>81</v>
      </c>
      <c r="L1715" s="14">
        <v>576.0</v>
      </c>
      <c r="M1715" s="18" t="s">
        <v>43</v>
      </c>
      <c r="N1715" s="20">
        <v>0.0</v>
      </c>
      <c r="O1715" s="18">
        <v>17.1</v>
      </c>
      <c r="P1715" s="20">
        <v>5.0</v>
      </c>
      <c r="Q1715" s="16">
        <v>46463.0</v>
      </c>
      <c r="R1715" s="16" t="s">
        <v>38</v>
      </c>
      <c r="S1715" s="13" t="s">
        <v>55</v>
      </c>
      <c r="T1715" s="13" t="s">
        <v>47</v>
      </c>
      <c r="U1715" s="13" t="str">
        <f t="shared" si="1"/>
        <v>High</v>
      </c>
      <c r="V1715" s="13" t="str">
        <f t="shared" si="2"/>
        <v>Below Median</v>
      </c>
      <c r="W1715" s="13" t="str">
        <f t="shared" si="3"/>
        <v>25–48 Months</v>
      </c>
    </row>
    <row r="1716" hidden="1">
      <c r="A1716" s="13" t="s">
        <v>2134</v>
      </c>
      <c r="B1716" s="13" t="s">
        <v>395</v>
      </c>
      <c r="C1716" s="14">
        <v>55.0</v>
      </c>
      <c r="D1716" s="13" t="s">
        <v>60</v>
      </c>
      <c r="E1716" s="13" t="s">
        <v>61</v>
      </c>
      <c r="F1716" s="13" t="s">
        <v>62</v>
      </c>
      <c r="G1716" s="13" t="s">
        <v>63</v>
      </c>
      <c r="H1716" s="16">
        <v>45157.0</v>
      </c>
      <c r="I1716" s="14">
        <v>8.0</v>
      </c>
      <c r="J1716" s="13" t="s">
        <v>40</v>
      </c>
      <c r="K1716" s="13" t="s">
        <v>41</v>
      </c>
      <c r="L1716" s="14">
        <v>554.0</v>
      </c>
      <c r="M1716" s="18" t="s">
        <v>46</v>
      </c>
      <c r="N1716" s="20">
        <v>2.0</v>
      </c>
      <c r="O1716" s="18">
        <v>29.2</v>
      </c>
      <c r="P1716" s="20">
        <v>3.9</v>
      </c>
      <c r="Q1716" s="16">
        <v>45251.0</v>
      </c>
      <c r="R1716" s="16" t="s">
        <v>2135</v>
      </c>
      <c r="S1716" s="13" t="s">
        <v>45</v>
      </c>
      <c r="T1716" s="13" t="s">
        <v>66</v>
      </c>
      <c r="U1716" s="13" t="str">
        <f t="shared" si="1"/>
        <v>Moderate</v>
      </c>
      <c r="V1716" s="13" t="str">
        <f t="shared" si="2"/>
        <v>Median or Above</v>
      </c>
      <c r="W1716" s="13" t="str">
        <f t="shared" si="3"/>
        <v>0–12 Months</v>
      </c>
    </row>
    <row r="1717" hidden="1">
      <c r="A1717" s="13" t="s">
        <v>1298</v>
      </c>
      <c r="B1717" s="13" t="s">
        <v>132</v>
      </c>
      <c r="C1717" s="14">
        <v>60.0</v>
      </c>
      <c r="D1717" s="13" t="s">
        <v>85</v>
      </c>
      <c r="E1717" s="13" t="s">
        <v>92</v>
      </c>
      <c r="F1717" s="13" t="s">
        <v>37</v>
      </c>
      <c r="G1717" s="13" t="s">
        <v>80</v>
      </c>
      <c r="H1717" s="16">
        <v>45653.0</v>
      </c>
      <c r="I1717" s="14">
        <v>29.0</v>
      </c>
      <c r="J1717" s="13" t="s">
        <v>53</v>
      </c>
      <c r="K1717" s="13" t="s">
        <v>41</v>
      </c>
      <c r="L1717" s="14">
        <v>1314.0</v>
      </c>
      <c r="M1717" s="18" t="s">
        <v>173</v>
      </c>
      <c r="N1717" s="20">
        <v>1.0</v>
      </c>
      <c r="O1717" s="18">
        <v>21.1</v>
      </c>
      <c r="P1717" s="20">
        <v>3.2</v>
      </c>
      <c r="Q1717" s="16">
        <v>46101.0</v>
      </c>
      <c r="R1717" s="16" t="s">
        <v>38</v>
      </c>
      <c r="S1717" s="13" t="s">
        <v>55</v>
      </c>
      <c r="T1717" s="13" t="s">
        <v>104</v>
      </c>
      <c r="U1717" s="13" t="str">
        <f t="shared" si="1"/>
        <v>Moderate</v>
      </c>
      <c r="V1717" s="13" t="str">
        <f t="shared" si="2"/>
        <v>Below Median</v>
      </c>
      <c r="W1717" s="13" t="str">
        <f t="shared" si="3"/>
        <v>25–48 Months</v>
      </c>
    </row>
    <row r="1718" hidden="1">
      <c r="A1718" s="13" t="s">
        <v>433</v>
      </c>
      <c r="B1718" s="13" t="s">
        <v>229</v>
      </c>
      <c r="C1718" s="14">
        <v>22.0</v>
      </c>
      <c r="D1718" s="13" t="s">
        <v>69</v>
      </c>
      <c r="E1718" s="13" t="s">
        <v>177</v>
      </c>
      <c r="F1718" s="13" t="s">
        <v>62</v>
      </c>
      <c r="G1718" s="13" t="s">
        <v>52</v>
      </c>
      <c r="H1718" s="16">
        <v>45869.0</v>
      </c>
      <c r="I1718" s="14">
        <v>12.0</v>
      </c>
      <c r="J1718" s="13" t="s">
        <v>64</v>
      </c>
      <c r="K1718" s="13" t="s">
        <v>41</v>
      </c>
      <c r="L1718" s="14">
        <v>727.0</v>
      </c>
      <c r="M1718" s="18" t="s">
        <v>98</v>
      </c>
      <c r="N1718" s="20">
        <v>2.0</v>
      </c>
      <c r="O1718" s="18">
        <v>12.6</v>
      </c>
      <c r="P1718" s="20">
        <v>3.8</v>
      </c>
      <c r="Q1718" s="16">
        <v>46130.0</v>
      </c>
      <c r="R1718" s="16" t="s">
        <v>38</v>
      </c>
      <c r="S1718" s="13" t="s">
        <v>55</v>
      </c>
      <c r="T1718" s="13" t="s">
        <v>104</v>
      </c>
      <c r="U1718" s="13" t="str">
        <f t="shared" si="1"/>
        <v>Moderate</v>
      </c>
      <c r="V1718" s="13" t="str">
        <f t="shared" si="2"/>
        <v>Below Median</v>
      </c>
      <c r="W1718" s="13" t="str">
        <f t="shared" si="3"/>
        <v>0–12 Months</v>
      </c>
    </row>
    <row r="1719" hidden="1">
      <c r="A1719" s="13" t="s">
        <v>2108</v>
      </c>
      <c r="B1719" s="13" t="s">
        <v>345</v>
      </c>
      <c r="C1719" s="14">
        <v>36.0</v>
      </c>
      <c r="D1719" s="13" t="s">
        <v>69</v>
      </c>
      <c r="E1719" s="13" t="s">
        <v>187</v>
      </c>
      <c r="F1719" s="13" t="s">
        <v>62</v>
      </c>
      <c r="G1719" s="13" t="s">
        <v>63</v>
      </c>
      <c r="H1719" s="16">
        <v>44869.0</v>
      </c>
      <c r="I1719" s="14">
        <v>22.0</v>
      </c>
      <c r="J1719" s="13" t="s">
        <v>40</v>
      </c>
      <c r="K1719" s="13" t="s">
        <v>81</v>
      </c>
      <c r="L1719" s="14">
        <v>531.0</v>
      </c>
      <c r="M1719" s="18" t="s">
        <v>43</v>
      </c>
      <c r="N1719" s="20">
        <v>0.0</v>
      </c>
      <c r="O1719" s="18">
        <v>16.3</v>
      </c>
      <c r="P1719" s="20">
        <v>1.9</v>
      </c>
      <c r="Q1719" s="16">
        <v>45279.0</v>
      </c>
      <c r="R1719" s="16" t="s">
        <v>38</v>
      </c>
      <c r="S1719" s="13" t="s">
        <v>55</v>
      </c>
      <c r="T1719" s="13" t="s">
        <v>104</v>
      </c>
      <c r="U1719" s="13" t="str">
        <f t="shared" si="1"/>
        <v>Low</v>
      </c>
      <c r="V1719" s="13" t="str">
        <f t="shared" si="2"/>
        <v>Below Median</v>
      </c>
      <c r="W1719" s="13" t="str">
        <f t="shared" si="3"/>
        <v>13–24 Months</v>
      </c>
    </row>
    <row r="1720" hidden="1">
      <c r="A1720" s="13" t="s">
        <v>2138</v>
      </c>
      <c r="B1720" s="13" t="s">
        <v>202</v>
      </c>
      <c r="C1720" s="14">
        <v>29.0</v>
      </c>
      <c r="D1720" s="13" t="s">
        <v>60</v>
      </c>
      <c r="E1720" s="13" t="s">
        <v>97</v>
      </c>
      <c r="F1720" s="13" t="s">
        <v>79</v>
      </c>
      <c r="G1720" s="13" t="s">
        <v>39</v>
      </c>
      <c r="H1720" s="16">
        <v>45027.0</v>
      </c>
      <c r="I1720" s="14">
        <v>13.0</v>
      </c>
      <c r="J1720" s="13" t="s">
        <v>40</v>
      </c>
      <c r="K1720" s="13" t="s">
        <v>41</v>
      </c>
      <c r="L1720" s="14">
        <v>3297.0</v>
      </c>
      <c r="M1720" s="18" t="s">
        <v>164</v>
      </c>
      <c r="N1720" s="20">
        <v>1.0</v>
      </c>
      <c r="O1720" s="18">
        <v>39.0</v>
      </c>
      <c r="P1720" s="20">
        <v>3.5</v>
      </c>
      <c r="Q1720" s="16">
        <v>45324.0</v>
      </c>
      <c r="R1720" s="16" t="s">
        <v>38</v>
      </c>
      <c r="S1720" s="13" t="s">
        <v>55</v>
      </c>
      <c r="T1720" s="13" t="s">
        <v>75</v>
      </c>
      <c r="U1720" s="13" t="str">
        <f t="shared" si="1"/>
        <v>Moderate</v>
      </c>
      <c r="V1720" s="13" t="str">
        <f t="shared" si="2"/>
        <v>Median or Above</v>
      </c>
      <c r="W1720" s="13" t="str">
        <f t="shared" si="3"/>
        <v>13–24 Months</v>
      </c>
    </row>
    <row r="1721" hidden="1">
      <c r="A1721" s="13" t="s">
        <v>1293</v>
      </c>
      <c r="B1721" s="13" t="s">
        <v>351</v>
      </c>
      <c r="C1721" s="14">
        <v>42.0</v>
      </c>
      <c r="D1721" s="13" t="s">
        <v>69</v>
      </c>
      <c r="E1721" s="13" t="s">
        <v>70</v>
      </c>
      <c r="F1721" s="13" t="s">
        <v>79</v>
      </c>
      <c r="G1721" s="13" t="s">
        <v>128</v>
      </c>
      <c r="H1721" s="16">
        <v>45097.0</v>
      </c>
      <c r="I1721" s="14">
        <v>12.0</v>
      </c>
      <c r="J1721" s="13" t="s">
        <v>40</v>
      </c>
      <c r="K1721" s="13" t="s">
        <v>65</v>
      </c>
      <c r="L1721" s="14">
        <v>2866.0</v>
      </c>
      <c r="M1721" s="18" t="s">
        <v>43</v>
      </c>
      <c r="N1721" s="20">
        <v>1.0</v>
      </c>
      <c r="O1721" s="18">
        <v>43.2</v>
      </c>
      <c r="P1721" s="20">
        <v>3.8</v>
      </c>
      <c r="Q1721" s="16">
        <v>45178.0</v>
      </c>
      <c r="R1721" s="16" t="s">
        <v>2139</v>
      </c>
      <c r="S1721" s="13" t="s">
        <v>45</v>
      </c>
      <c r="T1721" s="13" t="s">
        <v>72</v>
      </c>
      <c r="U1721" s="13" t="str">
        <f t="shared" si="1"/>
        <v>Moderate</v>
      </c>
      <c r="V1721" s="13" t="str">
        <f t="shared" si="2"/>
        <v>Median or Above</v>
      </c>
      <c r="W1721" s="13" t="str">
        <f t="shared" si="3"/>
        <v>0–12 Months</v>
      </c>
    </row>
    <row r="1722" hidden="1">
      <c r="A1722" s="13" t="s">
        <v>1830</v>
      </c>
      <c r="B1722" s="13" t="s">
        <v>118</v>
      </c>
      <c r="C1722" s="14">
        <v>35.0</v>
      </c>
      <c r="D1722" s="13" t="s">
        <v>35</v>
      </c>
      <c r="E1722" s="13" t="s">
        <v>133</v>
      </c>
      <c r="F1722" s="13" t="s">
        <v>79</v>
      </c>
      <c r="G1722" s="13" t="s">
        <v>52</v>
      </c>
      <c r="H1722" s="16">
        <v>44750.0</v>
      </c>
      <c r="I1722" s="14">
        <v>42.0</v>
      </c>
      <c r="J1722" s="13" t="s">
        <v>40</v>
      </c>
      <c r="K1722" s="13" t="s">
        <v>81</v>
      </c>
      <c r="L1722" s="14">
        <v>3936.0</v>
      </c>
      <c r="M1722" s="18" t="s">
        <v>43</v>
      </c>
      <c r="N1722" s="20">
        <v>2.0</v>
      </c>
      <c r="O1722" s="18">
        <v>29.6</v>
      </c>
      <c r="P1722" s="20">
        <v>3.3</v>
      </c>
      <c r="Q1722" s="16">
        <v>45983.0</v>
      </c>
      <c r="R1722" s="16" t="s">
        <v>2140</v>
      </c>
      <c r="S1722" s="13" t="s">
        <v>45</v>
      </c>
      <c r="T1722" s="13" t="s">
        <v>75</v>
      </c>
      <c r="U1722" s="13" t="str">
        <f t="shared" si="1"/>
        <v>Moderate</v>
      </c>
      <c r="V1722" s="13" t="str">
        <f t="shared" si="2"/>
        <v>Median or Above</v>
      </c>
      <c r="W1722" s="13" t="str">
        <f t="shared" si="3"/>
        <v>25–48 Months</v>
      </c>
    </row>
    <row r="1723" hidden="1">
      <c r="A1723" s="13" t="s">
        <v>1251</v>
      </c>
      <c r="B1723" s="13" t="s">
        <v>393</v>
      </c>
      <c r="C1723" s="14">
        <v>54.0</v>
      </c>
      <c r="D1723" s="13" t="s">
        <v>85</v>
      </c>
      <c r="E1723" s="13" t="s">
        <v>111</v>
      </c>
      <c r="F1723" s="13" t="s">
        <v>62</v>
      </c>
      <c r="G1723" s="13" t="s">
        <v>210</v>
      </c>
      <c r="H1723" s="16">
        <v>45080.0</v>
      </c>
      <c r="I1723" s="14">
        <v>24.0</v>
      </c>
      <c r="J1723" s="13" t="s">
        <v>64</v>
      </c>
      <c r="K1723" s="13" t="s">
        <v>81</v>
      </c>
      <c r="L1723" s="14">
        <v>668.0</v>
      </c>
      <c r="M1723" s="18" t="s">
        <v>164</v>
      </c>
      <c r="N1723" s="20">
        <v>1.0</v>
      </c>
      <c r="O1723" s="18">
        <v>13.1</v>
      </c>
      <c r="P1723" s="20">
        <v>3.0</v>
      </c>
      <c r="Q1723" s="16">
        <v>45377.0</v>
      </c>
      <c r="R1723" s="16" t="s">
        <v>38</v>
      </c>
      <c r="S1723" s="13" t="s">
        <v>55</v>
      </c>
      <c r="T1723" s="13" t="s">
        <v>75</v>
      </c>
      <c r="U1723" s="13" t="str">
        <f t="shared" si="1"/>
        <v>Moderate</v>
      </c>
      <c r="V1723" s="13" t="str">
        <f t="shared" si="2"/>
        <v>Below Median</v>
      </c>
      <c r="W1723" s="13" t="str">
        <f t="shared" si="3"/>
        <v>13–24 Months</v>
      </c>
    </row>
    <row r="1724" hidden="1">
      <c r="A1724" s="13" t="s">
        <v>1189</v>
      </c>
      <c r="B1724" s="13" t="s">
        <v>50</v>
      </c>
      <c r="C1724" s="14">
        <v>50.0</v>
      </c>
      <c r="D1724" s="13" t="s">
        <v>69</v>
      </c>
      <c r="E1724" s="13" t="s">
        <v>177</v>
      </c>
      <c r="F1724" s="13" t="s">
        <v>37</v>
      </c>
      <c r="G1724" s="13" t="s">
        <v>128</v>
      </c>
      <c r="H1724" s="16">
        <v>45169.0</v>
      </c>
      <c r="I1724" s="14">
        <v>36.0</v>
      </c>
      <c r="J1724" s="13" t="s">
        <v>40</v>
      </c>
      <c r="K1724" s="13" t="s">
        <v>65</v>
      </c>
      <c r="L1724" s="14">
        <v>1676.0</v>
      </c>
      <c r="M1724" s="18" t="s">
        <v>98</v>
      </c>
      <c r="N1724" s="20">
        <v>2.0</v>
      </c>
      <c r="O1724" s="18">
        <v>28.3</v>
      </c>
      <c r="P1724" s="20">
        <v>2.9</v>
      </c>
      <c r="Q1724" s="16">
        <v>45902.0</v>
      </c>
      <c r="R1724" s="16" t="s">
        <v>2141</v>
      </c>
      <c r="S1724" s="13" t="s">
        <v>45</v>
      </c>
      <c r="T1724" s="13" t="s">
        <v>75</v>
      </c>
      <c r="U1724" s="13" t="str">
        <f t="shared" si="1"/>
        <v>Low</v>
      </c>
      <c r="V1724" s="13" t="str">
        <f t="shared" si="2"/>
        <v>Median or Above</v>
      </c>
      <c r="W1724" s="13" t="str">
        <f t="shared" si="3"/>
        <v>25–48 Months</v>
      </c>
    </row>
    <row r="1725" hidden="1">
      <c r="A1725" s="13" t="s">
        <v>2142</v>
      </c>
      <c r="B1725" s="13" t="s">
        <v>232</v>
      </c>
      <c r="C1725" s="14">
        <v>34.0</v>
      </c>
      <c r="D1725" s="13" t="s">
        <v>60</v>
      </c>
      <c r="E1725" s="13" t="s">
        <v>97</v>
      </c>
      <c r="F1725" s="13" t="s">
        <v>62</v>
      </c>
      <c r="G1725" s="13" t="s">
        <v>128</v>
      </c>
      <c r="H1725" s="16">
        <v>45919.0</v>
      </c>
      <c r="I1725" s="14">
        <v>30.0</v>
      </c>
      <c r="J1725" s="13" t="s">
        <v>40</v>
      </c>
      <c r="K1725" s="13" t="s">
        <v>81</v>
      </c>
      <c r="L1725" s="14">
        <v>767.0</v>
      </c>
      <c r="M1725" s="18" t="s">
        <v>43</v>
      </c>
      <c r="N1725" s="20">
        <v>0.0</v>
      </c>
      <c r="O1725" s="18">
        <v>22.8</v>
      </c>
      <c r="P1725" s="20">
        <v>3.2</v>
      </c>
      <c r="Q1725" s="16">
        <v>46449.0</v>
      </c>
      <c r="R1725" s="16" t="s">
        <v>38</v>
      </c>
      <c r="S1725" s="13" t="s">
        <v>55</v>
      </c>
      <c r="T1725" s="13" t="s">
        <v>75</v>
      </c>
      <c r="U1725" s="13" t="str">
        <f t="shared" si="1"/>
        <v>Moderate</v>
      </c>
      <c r="V1725" s="13" t="str">
        <f t="shared" si="2"/>
        <v>Below Median</v>
      </c>
      <c r="W1725" s="13" t="str">
        <f t="shared" si="3"/>
        <v>25–48 Months</v>
      </c>
    </row>
    <row r="1726" hidden="1">
      <c r="A1726" s="13" t="s">
        <v>2143</v>
      </c>
      <c r="B1726" s="13" t="s">
        <v>184</v>
      </c>
      <c r="C1726" s="14">
        <v>22.0</v>
      </c>
      <c r="D1726" s="13" t="s">
        <v>69</v>
      </c>
      <c r="E1726" s="13" t="s">
        <v>177</v>
      </c>
      <c r="F1726" s="13" t="s">
        <v>62</v>
      </c>
      <c r="G1726" s="13" t="s">
        <v>128</v>
      </c>
      <c r="H1726" s="16">
        <v>45443.0</v>
      </c>
      <c r="I1726" s="14">
        <v>39.0</v>
      </c>
      <c r="J1726" s="13" t="s">
        <v>53</v>
      </c>
      <c r="K1726" s="13" t="s">
        <v>81</v>
      </c>
      <c r="L1726" s="14">
        <v>773.0</v>
      </c>
      <c r="M1726" s="18" t="s">
        <v>164</v>
      </c>
      <c r="N1726" s="20">
        <v>0.0</v>
      </c>
      <c r="O1726" s="18">
        <v>18.2</v>
      </c>
      <c r="P1726" s="20">
        <v>4.2</v>
      </c>
      <c r="Q1726" s="16">
        <v>45501.0</v>
      </c>
      <c r="R1726" s="16" t="s">
        <v>38</v>
      </c>
      <c r="S1726" s="13" t="s">
        <v>55</v>
      </c>
      <c r="T1726" s="13" t="s">
        <v>104</v>
      </c>
      <c r="U1726" s="13" t="str">
        <f t="shared" si="1"/>
        <v>Moderate</v>
      </c>
      <c r="V1726" s="13" t="str">
        <f t="shared" si="2"/>
        <v>Below Median</v>
      </c>
      <c r="W1726" s="13" t="str">
        <f t="shared" si="3"/>
        <v>25–48 Months</v>
      </c>
    </row>
    <row r="1727" hidden="1">
      <c r="A1727" s="13" t="s">
        <v>90</v>
      </c>
      <c r="B1727" s="13" t="s">
        <v>239</v>
      </c>
      <c r="C1727" s="14">
        <v>63.0</v>
      </c>
      <c r="D1727" s="13" t="s">
        <v>69</v>
      </c>
      <c r="E1727" s="13" t="s">
        <v>177</v>
      </c>
      <c r="F1727" s="13" t="s">
        <v>62</v>
      </c>
      <c r="G1727" s="13" t="s">
        <v>39</v>
      </c>
      <c r="H1727" s="16">
        <v>44578.0</v>
      </c>
      <c r="I1727" s="14">
        <v>120.0</v>
      </c>
      <c r="J1727" s="13" t="s">
        <v>53</v>
      </c>
      <c r="K1727" s="13" t="s">
        <v>65</v>
      </c>
      <c r="L1727" s="14">
        <v>642.0</v>
      </c>
      <c r="M1727" s="18" t="s">
        <v>164</v>
      </c>
      <c r="N1727" s="20">
        <v>2.0</v>
      </c>
      <c r="O1727" s="18">
        <v>32.2</v>
      </c>
      <c r="P1727" s="20">
        <v>4.5</v>
      </c>
      <c r="Q1727" s="16">
        <v>44638.0</v>
      </c>
      <c r="R1727" s="16" t="s">
        <v>38</v>
      </c>
      <c r="S1727" s="13" t="s">
        <v>55</v>
      </c>
      <c r="T1727" s="13" t="s">
        <v>47</v>
      </c>
      <c r="U1727" s="13" t="str">
        <f t="shared" si="1"/>
        <v>Moderate</v>
      </c>
      <c r="V1727" s="13" t="str">
        <f t="shared" si="2"/>
        <v>Median or Above</v>
      </c>
      <c r="W1727" s="13" t="str">
        <f t="shared" si="3"/>
        <v>49+ Months</v>
      </c>
    </row>
    <row r="1728" hidden="1">
      <c r="A1728" s="13" t="s">
        <v>2144</v>
      </c>
      <c r="B1728" s="13" t="s">
        <v>424</v>
      </c>
      <c r="C1728" s="14">
        <v>23.0</v>
      </c>
      <c r="D1728" s="13" t="s">
        <v>85</v>
      </c>
      <c r="E1728" s="13" t="s">
        <v>111</v>
      </c>
      <c r="F1728" s="13" t="s">
        <v>37</v>
      </c>
      <c r="G1728" s="13" t="s">
        <v>80</v>
      </c>
      <c r="H1728" s="16">
        <v>45206.0</v>
      </c>
      <c r="I1728" s="14">
        <v>18.0</v>
      </c>
      <c r="J1728" s="13" t="s">
        <v>53</v>
      </c>
      <c r="K1728" s="13" t="s">
        <v>41</v>
      </c>
      <c r="L1728" s="14">
        <v>1681.0</v>
      </c>
      <c r="M1728" s="18" t="s">
        <v>38</v>
      </c>
      <c r="N1728" s="20">
        <v>1.0</v>
      </c>
      <c r="O1728" s="18">
        <v>32.4</v>
      </c>
      <c r="P1728" s="20">
        <v>5.0</v>
      </c>
      <c r="Q1728" s="16">
        <v>45220.0</v>
      </c>
      <c r="R1728" s="16" t="s">
        <v>38</v>
      </c>
      <c r="S1728" s="13" t="s">
        <v>55</v>
      </c>
      <c r="T1728" s="13" t="s">
        <v>72</v>
      </c>
      <c r="U1728" s="13" t="str">
        <f t="shared" si="1"/>
        <v>High</v>
      </c>
      <c r="V1728" s="13" t="str">
        <f t="shared" si="2"/>
        <v>Median or Above</v>
      </c>
      <c r="W1728" s="13" t="str">
        <f t="shared" si="3"/>
        <v>13–24 Months</v>
      </c>
    </row>
    <row r="1729" hidden="1">
      <c r="A1729" s="13" t="s">
        <v>2145</v>
      </c>
      <c r="B1729" s="13" t="s">
        <v>288</v>
      </c>
      <c r="C1729" s="14">
        <v>38.0</v>
      </c>
      <c r="D1729" s="13" t="s">
        <v>60</v>
      </c>
      <c r="E1729" s="13" t="s">
        <v>61</v>
      </c>
      <c r="F1729" s="13" t="s">
        <v>37</v>
      </c>
      <c r="G1729" s="13" t="s">
        <v>52</v>
      </c>
      <c r="H1729" s="16">
        <v>44833.0</v>
      </c>
      <c r="I1729" s="14">
        <v>45.0</v>
      </c>
      <c r="J1729" s="13" t="s">
        <v>40</v>
      </c>
      <c r="K1729" s="13" t="s">
        <v>65</v>
      </c>
      <c r="L1729" s="14">
        <v>501.0</v>
      </c>
      <c r="M1729" s="18" t="s">
        <v>99</v>
      </c>
      <c r="N1729" s="20">
        <v>1.0</v>
      </c>
      <c r="O1729" s="18">
        <v>7.8</v>
      </c>
      <c r="P1729" s="20">
        <v>2.7</v>
      </c>
      <c r="Q1729" s="16">
        <v>44890.0</v>
      </c>
      <c r="R1729" s="16" t="s">
        <v>38</v>
      </c>
      <c r="S1729" s="13" t="s">
        <v>55</v>
      </c>
      <c r="T1729" s="13" t="s">
        <v>47</v>
      </c>
      <c r="U1729" s="13" t="str">
        <f t="shared" si="1"/>
        <v>Low</v>
      </c>
      <c r="V1729" s="13" t="str">
        <f t="shared" si="2"/>
        <v>Below Median</v>
      </c>
      <c r="W1729" s="13" t="str">
        <f t="shared" si="3"/>
        <v>25–48 Months</v>
      </c>
    </row>
    <row r="1730" hidden="1">
      <c r="A1730" s="13" t="s">
        <v>1144</v>
      </c>
      <c r="B1730" s="13" t="s">
        <v>448</v>
      </c>
      <c r="C1730" s="14">
        <v>31.0</v>
      </c>
      <c r="D1730" s="13" t="s">
        <v>69</v>
      </c>
      <c r="E1730" s="13" t="s">
        <v>119</v>
      </c>
      <c r="F1730" s="13" t="s">
        <v>37</v>
      </c>
      <c r="G1730" s="13" t="s">
        <v>128</v>
      </c>
      <c r="H1730" s="16">
        <v>45962.0</v>
      </c>
      <c r="I1730" s="14">
        <v>44.0</v>
      </c>
      <c r="J1730" s="13" t="s">
        <v>40</v>
      </c>
      <c r="K1730" s="13" t="s">
        <v>81</v>
      </c>
      <c r="L1730" s="14">
        <v>1228.0</v>
      </c>
      <c r="M1730" s="18" t="s">
        <v>43</v>
      </c>
      <c r="N1730" s="20">
        <v>1.0</v>
      </c>
      <c r="O1730" s="18">
        <v>27.9</v>
      </c>
      <c r="P1730" s="20">
        <v>2.8</v>
      </c>
      <c r="Q1730" s="16">
        <v>46978.0</v>
      </c>
      <c r="R1730" s="16" t="s">
        <v>38</v>
      </c>
      <c r="S1730" s="13" t="s">
        <v>55</v>
      </c>
      <c r="T1730" s="13" t="s">
        <v>104</v>
      </c>
      <c r="U1730" s="13" t="str">
        <f t="shared" si="1"/>
        <v>Low</v>
      </c>
      <c r="V1730" s="13" t="str">
        <f t="shared" si="2"/>
        <v>Median or Above</v>
      </c>
      <c r="W1730" s="13" t="str">
        <f t="shared" si="3"/>
        <v>25–48 Months</v>
      </c>
    </row>
    <row r="1731" hidden="1">
      <c r="A1731" s="13" t="s">
        <v>1783</v>
      </c>
      <c r="B1731" s="13" t="s">
        <v>78</v>
      </c>
      <c r="C1731" s="14">
        <v>54.0</v>
      </c>
      <c r="D1731" s="13" t="s">
        <v>69</v>
      </c>
      <c r="E1731" s="13" t="s">
        <v>187</v>
      </c>
      <c r="F1731" s="13" t="s">
        <v>37</v>
      </c>
      <c r="G1731" s="13" t="s">
        <v>80</v>
      </c>
      <c r="H1731" s="16">
        <v>44621.0</v>
      </c>
      <c r="I1731" s="14">
        <v>18.0</v>
      </c>
      <c r="J1731" s="13" t="s">
        <v>53</v>
      </c>
      <c r="K1731" s="13" t="s">
        <v>81</v>
      </c>
      <c r="L1731" s="14">
        <v>1409.0</v>
      </c>
      <c r="M1731" s="18" t="s">
        <v>1192</v>
      </c>
      <c r="N1731" s="20">
        <v>2.0</v>
      </c>
      <c r="O1731" s="18">
        <v>30.2</v>
      </c>
      <c r="P1731" s="20">
        <v>4.6</v>
      </c>
      <c r="Q1731" s="16">
        <v>44820.0</v>
      </c>
      <c r="R1731" s="16" t="s">
        <v>1925</v>
      </c>
      <c r="S1731" s="13" t="s">
        <v>45</v>
      </c>
      <c r="T1731" s="13" t="s">
        <v>75</v>
      </c>
      <c r="U1731" s="13" t="str">
        <f t="shared" si="1"/>
        <v>Moderate</v>
      </c>
      <c r="V1731" s="13" t="str">
        <f t="shared" si="2"/>
        <v>Median or Above</v>
      </c>
      <c r="W1731" s="13" t="str">
        <f t="shared" si="3"/>
        <v>13–24 Months</v>
      </c>
    </row>
    <row r="1732" hidden="1">
      <c r="A1732" s="13" t="s">
        <v>2146</v>
      </c>
      <c r="B1732" s="13" t="s">
        <v>281</v>
      </c>
      <c r="C1732" s="14">
        <v>37.0</v>
      </c>
      <c r="D1732" s="13" t="s">
        <v>60</v>
      </c>
      <c r="E1732" s="13" t="s">
        <v>61</v>
      </c>
      <c r="F1732" s="13" t="s">
        <v>37</v>
      </c>
      <c r="G1732" s="13" t="s">
        <v>80</v>
      </c>
      <c r="H1732" s="16">
        <v>45306.0</v>
      </c>
      <c r="I1732" s="14">
        <v>32.0</v>
      </c>
      <c r="J1732" s="13" t="s">
        <v>53</v>
      </c>
      <c r="K1732" s="13" t="s">
        <v>41</v>
      </c>
      <c r="L1732" s="14">
        <v>1566.0</v>
      </c>
      <c r="M1732" s="18" t="s">
        <v>43</v>
      </c>
      <c r="N1732" s="20">
        <v>2.0</v>
      </c>
      <c r="O1732" s="18">
        <v>23.4</v>
      </c>
      <c r="P1732" s="20">
        <v>3.8</v>
      </c>
      <c r="Q1732" s="16">
        <v>46009.0</v>
      </c>
      <c r="R1732" s="16" t="s">
        <v>38</v>
      </c>
      <c r="S1732" s="13" t="s">
        <v>55</v>
      </c>
      <c r="T1732" s="13" t="s">
        <v>72</v>
      </c>
      <c r="U1732" s="13" t="str">
        <f t="shared" si="1"/>
        <v>Moderate</v>
      </c>
      <c r="V1732" s="13" t="str">
        <f t="shared" si="2"/>
        <v>Below Median</v>
      </c>
      <c r="W1732" s="13" t="str">
        <f t="shared" si="3"/>
        <v>25–48 Months</v>
      </c>
    </row>
    <row r="1733" hidden="1">
      <c r="A1733" s="13" t="s">
        <v>2147</v>
      </c>
      <c r="B1733" s="13" t="s">
        <v>184</v>
      </c>
      <c r="C1733" s="14">
        <v>41.0</v>
      </c>
      <c r="D1733" s="13" t="s">
        <v>85</v>
      </c>
      <c r="E1733" s="13" t="s">
        <v>292</v>
      </c>
      <c r="F1733" s="13" t="s">
        <v>37</v>
      </c>
      <c r="G1733" s="13" t="s">
        <v>128</v>
      </c>
      <c r="H1733" s="16">
        <v>45843.0</v>
      </c>
      <c r="I1733" s="14">
        <v>6.0</v>
      </c>
      <c r="J1733" s="13" t="s">
        <v>53</v>
      </c>
      <c r="K1733" s="13" t="s">
        <v>81</v>
      </c>
      <c r="L1733" s="14">
        <v>1095.0</v>
      </c>
      <c r="M1733" s="18" t="s">
        <v>164</v>
      </c>
      <c r="N1733" s="20">
        <v>2.0</v>
      </c>
      <c r="O1733" s="18">
        <v>21.3</v>
      </c>
      <c r="P1733" s="20">
        <v>1.9</v>
      </c>
      <c r="Q1733" s="16">
        <v>45975.0</v>
      </c>
      <c r="R1733" s="16" t="s">
        <v>38</v>
      </c>
      <c r="S1733" s="13" t="s">
        <v>55</v>
      </c>
      <c r="T1733" s="13" t="s">
        <v>47</v>
      </c>
      <c r="U1733" s="13" t="str">
        <f t="shared" si="1"/>
        <v>Low</v>
      </c>
      <c r="V1733" s="13" t="str">
        <f t="shared" si="2"/>
        <v>Below Median</v>
      </c>
      <c r="W1733" s="13" t="str">
        <f t="shared" si="3"/>
        <v>0–12 Months</v>
      </c>
    </row>
    <row r="1734" hidden="1">
      <c r="A1734" s="13" t="s">
        <v>2148</v>
      </c>
      <c r="B1734" s="13" t="s">
        <v>316</v>
      </c>
      <c r="C1734" s="14">
        <v>35.0</v>
      </c>
      <c r="D1734" s="13" t="s">
        <v>85</v>
      </c>
      <c r="E1734" s="13" t="s">
        <v>292</v>
      </c>
      <c r="F1734" s="13" t="s">
        <v>79</v>
      </c>
      <c r="G1734" s="13" t="s">
        <v>120</v>
      </c>
      <c r="H1734" s="16">
        <v>44839.0</v>
      </c>
      <c r="I1734" s="14">
        <v>31.0</v>
      </c>
      <c r="J1734" s="13" t="s">
        <v>53</v>
      </c>
      <c r="K1734" s="13" t="s">
        <v>41</v>
      </c>
      <c r="L1734" s="14">
        <v>2932.0</v>
      </c>
      <c r="M1734" s="18" t="s">
        <v>98</v>
      </c>
      <c r="N1734" s="20">
        <v>0.0</v>
      </c>
      <c r="O1734" s="18">
        <v>48.2</v>
      </c>
      <c r="P1734" s="20">
        <v>4.5</v>
      </c>
      <c r="Q1734" s="16">
        <v>45053.0</v>
      </c>
      <c r="R1734" s="16" t="s">
        <v>38</v>
      </c>
      <c r="S1734" s="13" t="s">
        <v>55</v>
      </c>
      <c r="T1734" s="13" t="s">
        <v>47</v>
      </c>
      <c r="U1734" s="13" t="str">
        <f t="shared" si="1"/>
        <v>Moderate</v>
      </c>
      <c r="V1734" s="13" t="str">
        <f t="shared" si="2"/>
        <v>Median or Above</v>
      </c>
      <c r="W1734" s="13" t="str">
        <f t="shared" si="3"/>
        <v>25–48 Months</v>
      </c>
    </row>
    <row r="1735" hidden="1">
      <c r="A1735" s="13" t="s">
        <v>2149</v>
      </c>
      <c r="B1735" s="13" t="s">
        <v>331</v>
      </c>
      <c r="C1735" s="14">
        <v>52.0</v>
      </c>
      <c r="D1735" s="13" t="s">
        <v>60</v>
      </c>
      <c r="E1735" s="13" t="s">
        <v>133</v>
      </c>
      <c r="F1735" s="13" t="s">
        <v>62</v>
      </c>
      <c r="G1735" s="13" t="s">
        <v>120</v>
      </c>
      <c r="H1735" s="16">
        <v>44785.0</v>
      </c>
      <c r="I1735" s="14">
        <v>28.0</v>
      </c>
      <c r="J1735" s="13" t="s">
        <v>40</v>
      </c>
      <c r="K1735" s="13" t="s">
        <v>81</v>
      </c>
      <c r="L1735" s="14">
        <v>550.0</v>
      </c>
      <c r="M1735" s="18" t="s">
        <v>98</v>
      </c>
      <c r="N1735" s="20">
        <v>1.0</v>
      </c>
      <c r="O1735" s="18">
        <v>10.0</v>
      </c>
      <c r="P1735" s="20">
        <v>2.8</v>
      </c>
      <c r="Q1735" s="16">
        <v>45347.0</v>
      </c>
      <c r="R1735" s="16" t="s">
        <v>38</v>
      </c>
      <c r="S1735" s="13" t="s">
        <v>55</v>
      </c>
      <c r="T1735" s="13" t="s">
        <v>75</v>
      </c>
      <c r="U1735" s="13" t="str">
        <f t="shared" si="1"/>
        <v>Low</v>
      </c>
      <c r="V1735" s="13" t="str">
        <f t="shared" si="2"/>
        <v>Below Median</v>
      </c>
      <c r="W1735" s="13" t="str">
        <f t="shared" si="3"/>
        <v>25–48 Months</v>
      </c>
    </row>
    <row r="1736" hidden="1">
      <c r="A1736" s="13" t="s">
        <v>1707</v>
      </c>
      <c r="B1736" s="13" t="s">
        <v>636</v>
      </c>
      <c r="C1736" s="14">
        <v>23.0</v>
      </c>
      <c r="D1736" s="13" t="s">
        <v>69</v>
      </c>
      <c r="E1736" s="13" t="s">
        <v>70</v>
      </c>
      <c r="F1736" s="13" t="s">
        <v>37</v>
      </c>
      <c r="G1736" s="13" t="s">
        <v>63</v>
      </c>
      <c r="H1736" s="16">
        <v>45430.0</v>
      </c>
      <c r="I1736" s="14">
        <v>37.0</v>
      </c>
      <c r="J1736" s="13" t="s">
        <v>53</v>
      </c>
      <c r="K1736" s="13" t="s">
        <v>81</v>
      </c>
      <c r="L1736" s="14">
        <v>1440.0</v>
      </c>
      <c r="M1736" s="18" t="s">
        <v>43</v>
      </c>
      <c r="N1736" s="20">
        <v>2.0</v>
      </c>
      <c r="O1736" s="18">
        <v>30.3</v>
      </c>
      <c r="P1736" s="20">
        <v>2.0</v>
      </c>
      <c r="Q1736" s="16">
        <v>45481.0</v>
      </c>
      <c r="R1736" s="16" t="s">
        <v>38</v>
      </c>
      <c r="S1736" s="13" t="s">
        <v>55</v>
      </c>
      <c r="T1736" s="13" t="s">
        <v>75</v>
      </c>
      <c r="U1736" s="13" t="str">
        <f t="shared" si="1"/>
        <v>Low</v>
      </c>
      <c r="V1736" s="13" t="str">
        <f t="shared" si="2"/>
        <v>Median or Above</v>
      </c>
      <c r="W1736" s="13" t="str">
        <f t="shared" si="3"/>
        <v>25–48 Months</v>
      </c>
    </row>
    <row r="1737" hidden="1">
      <c r="A1737" s="13" t="s">
        <v>1814</v>
      </c>
      <c r="B1737" s="13" t="s">
        <v>163</v>
      </c>
      <c r="C1737" s="14">
        <v>62.0</v>
      </c>
      <c r="D1737" s="13" t="s">
        <v>60</v>
      </c>
      <c r="E1737" s="13" t="s">
        <v>107</v>
      </c>
      <c r="F1737" s="13" t="s">
        <v>62</v>
      </c>
      <c r="G1737" s="13" t="s">
        <v>210</v>
      </c>
      <c r="H1737" s="16">
        <v>45822.0</v>
      </c>
      <c r="I1737" s="14">
        <v>38.0</v>
      </c>
      <c r="J1737" s="13" t="s">
        <v>40</v>
      </c>
      <c r="K1737" s="13" t="s">
        <v>41</v>
      </c>
      <c r="L1737" s="14">
        <v>563.0</v>
      </c>
      <c r="M1737" s="18" t="s">
        <v>173</v>
      </c>
      <c r="N1737" s="20">
        <v>0.0</v>
      </c>
      <c r="O1737" s="18">
        <v>12.9</v>
      </c>
      <c r="P1737" s="20">
        <v>2.2</v>
      </c>
      <c r="Q1737" s="16">
        <v>46689.0</v>
      </c>
      <c r="R1737" s="16" t="s">
        <v>38</v>
      </c>
      <c r="S1737" s="13" t="s">
        <v>55</v>
      </c>
      <c r="T1737" s="13" t="s">
        <v>47</v>
      </c>
      <c r="U1737" s="13" t="str">
        <f t="shared" si="1"/>
        <v>Low</v>
      </c>
      <c r="V1737" s="13" t="str">
        <f t="shared" si="2"/>
        <v>Below Median</v>
      </c>
      <c r="W1737" s="13" t="str">
        <f t="shared" si="3"/>
        <v>25–48 Months</v>
      </c>
    </row>
    <row r="1738">
      <c r="A1738" s="13" t="s">
        <v>2150</v>
      </c>
      <c r="B1738" s="13" t="s">
        <v>172</v>
      </c>
      <c r="C1738" s="14">
        <v>44.0</v>
      </c>
      <c r="D1738" s="13" t="s">
        <v>69</v>
      </c>
      <c r="E1738" s="13" t="s">
        <v>70</v>
      </c>
      <c r="F1738" s="13" t="s">
        <v>62</v>
      </c>
      <c r="G1738" s="13" t="s">
        <v>210</v>
      </c>
      <c r="H1738" s="16">
        <v>44747.0</v>
      </c>
      <c r="I1738" s="14">
        <v>43.0</v>
      </c>
      <c r="J1738" s="13" t="s">
        <v>53</v>
      </c>
      <c r="K1738" s="13" t="s">
        <v>65</v>
      </c>
      <c r="L1738" s="14">
        <v>576.0</v>
      </c>
      <c r="M1738" s="18" t="s">
        <v>46</v>
      </c>
      <c r="N1738" s="20">
        <v>0.0</v>
      </c>
      <c r="O1738" s="18">
        <v>14.2</v>
      </c>
      <c r="P1738" s="20">
        <v>4.2</v>
      </c>
      <c r="Q1738" s="16">
        <v>45513.0</v>
      </c>
      <c r="R1738" s="16" t="s">
        <v>38</v>
      </c>
      <c r="S1738" s="13" t="s">
        <v>230</v>
      </c>
      <c r="T1738" s="13" t="s">
        <v>104</v>
      </c>
      <c r="U1738" s="13" t="str">
        <f t="shared" si="1"/>
        <v>Moderate</v>
      </c>
      <c r="V1738" s="13" t="str">
        <f t="shared" si="2"/>
        <v>Below Median</v>
      </c>
      <c r="W1738" s="13" t="str">
        <f t="shared" si="3"/>
        <v>25–48 Months</v>
      </c>
    </row>
    <row r="1739" hidden="1">
      <c r="A1739" s="13" t="s">
        <v>2151</v>
      </c>
      <c r="B1739" s="13" t="s">
        <v>734</v>
      </c>
      <c r="C1739" s="14">
        <v>48.0</v>
      </c>
      <c r="D1739" s="13" t="s">
        <v>69</v>
      </c>
      <c r="E1739" s="13" t="s">
        <v>187</v>
      </c>
      <c r="F1739" s="13" t="s">
        <v>37</v>
      </c>
      <c r="G1739" s="13" t="s">
        <v>39</v>
      </c>
      <c r="H1739" s="16">
        <v>44781.0</v>
      </c>
      <c r="I1739" s="14">
        <v>120.0</v>
      </c>
      <c r="J1739" s="13" t="s">
        <v>40</v>
      </c>
      <c r="K1739" s="13" t="s">
        <v>81</v>
      </c>
      <c r="L1739" s="14">
        <v>1369.0</v>
      </c>
      <c r="M1739" s="18" t="s">
        <v>43</v>
      </c>
      <c r="N1739" s="20">
        <v>2.0</v>
      </c>
      <c r="O1739" s="18">
        <v>41.0</v>
      </c>
      <c r="P1739" s="20">
        <v>3.2</v>
      </c>
      <c r="Q1739" s="16">
        <v>44980.0</v>
      </c>
      <c r="R1739" s="16" t="s">
        <v>38</v>
      </c>
      <c r="S1739" s="13" t="s">
        <v>55</v>
      </c>
      <c r="T1739" s="13" t="s">
        <v>66</v>
      </c>
      <c r="U1739" s="13" t="str">
        <f t="shared" si="1"/>
        <v>Moderate</v>
      </c>
      <c r="V1739" s="13" t="str">
        <f t="shared" si="2"/>
        <v>Median or Above</v>
      </c>
      <c r="W1739" s="13" t="str">
        <f t="shared" si="3"/>
        <v>49+ Months</v>
      </c>
    </row>
    <row r="1740" hidden="1">
      <c r="A1740" s="13" t="s">
        <v>2076</v>
      </c>
      <c r="B1740" s="13" t="s">
        <v>250</v>
      </c>
      <c r="C1740" s="14">
        <v>46.0</v>
      </c>
      <c r="D1740" s="13" t="s">
        <v>35</v>
      </c>
      <c r="E1740" s="13" t="s">
        <v>161</v>
      </c>
      <c r="F1740" s="13" t="s">
        <v>62</v>
      </c>
      <c r="G1740" s="13" t="s">
        <v>63</v>
      </c>
      <c r="H1740" s="16">
        <v>45146.0</v>
      </c>
      <c r="I1740" s="14">
        <v>41.0</v>
      </c>
      <c r="J1740" s="13" t="s">
        <v>64</v>
      </c>
      <c r="K1740" s="13" t="s">
        <v>65</v>
      </c>
      <c r="L1740" s="14">
        <v>542.0</v>
      </c>
      <c r="M1740" s="18" t="s">
        <v>98</v>
      </c>
      <c r="N1740" s="20">
        <v>0.0</v>
      </c>
      <c r="O1740" s="18">
        <v>22.2</v>
      </c>
      <c r="P1740" s="20">
        <v>3.0</v>
      </c>
      <c r="Q1740" s="16">
        <v>45571.0</v>
      </c>
      <c r="R1740" s="16" t="s">
        <v>38</v>
      </c>
      <c r="S1740" s="13" t="s">
        <v>55</v>
      </c>
      <c r="T1740" s="13" t="s">
        <v>47</v>
      </c>
      <c r="U1740" s="13" t="str">
        <f t="shared" si="1"/>
        <v>Moderate</v>
      </c>
      <c r="V1740" s="13" t="str">
        <f t="shared" si="2"/>
        <v>Below Median</v>
      </c>
      <c r="W1740" s="13" t="str">
        <f t="shared" si="3"/>
        <v>25–48 Months</v>
      </c>
    </row>
    <row r="1741" hidden="1">
      <c r="A1741" s="13" t="s">
        <v>1065</v>
      </c>
      <c r="B1741" s="13" t="s">
        <v>206</v>
      </c>
      <c r="C1741" s="14">
        <v>62.0</v>
      </c>
      <c r="D1741" s="13" t="s">
        <v>35</v>
      </c>
      <c r="E1741" s="13" t="s">
        <v>51</v>
      </c>
      <c r="F1741" s="13" t="s">
        <v>37</v>
      </c>
      <c r="G1741" s="13" t="s">
        <v>80</v>
      </c>
      <c r="H1741" s="16">
        <v>45552.0</v>
      </c>
      <c r="I1741" s="14">
        <v>31.0</v>
      </c>
      <c r="J1741" s="13" t="s">
        <v>64</v>
      </c>
      <c r="K1741" s="13" t="s">
        <v>41</v>
      </c>
      <c r="L1741" s="14">
        <v>1108.0</v>
      </c>
      <c r="M1741" s="18" t="s">
        <v>43</v>
      </c>
      <c r="N1741" s="20">
        <v>1.0</v>
      </c>
      <c r="O1741" s="18">
        <v>26.2</v>
      </c>
      <c r="P1741" s="20">
        <v>4.3</v>
      </c>
      <c r="Q1741" s="16">
        <v>45578.0</v>
      </c>
      <c r="R1741" s="16" t="s">
        <v>38</v>
      </c>
      <c r="S1741" s="13" t="s">
        <v>55</v>
      </c>
      <c r="T1741" s="13" t="s">
        <v>75</v>
      </c>
      <c r="U1741" s="13" t="str">
        <f t="shared" si="1"/>
        <v>Moderate</v>
      </c>
      <c r="V1741" s="13" t="str">
        <f t="shared" si="2"/>
        <v>Median or Above</v>
      </c>
      <c r="W1741" s="13" t="str">
        <f t="shared" si="3"/>
        <v>25–48 Months</v>
      </c>
    </row>
    <row r="1742" hidden="1">
      <c r="A1742" s="13" t="s">
        <v>670</v>
      </c>
      <c r="B1742" s="13" t="s">
        <v>206</v>
      </c>
      <c r="C1742" s="14">
        <v>62.0</v>
      </c>
      <c r="D1742" s="13" t="s">
        <v>69</v>
      </c>
      <c r="E1742" s="13" t="s">
        <v>119</v>
      </c>
      <c r="F1742" s="13" t="s">
        <v>79</v>
      </c>
      <c r="G1742" s="13" t="s">
        <v>210</v>
      </c>
      <c r="H1742" s="16">
        <v>44693.0</v>
      </c>
      <c r="I1742" s="14">
        <v>29.0</v>
      </c>
      <c r="J1742" s="13" t="s">
        <v>64</v>
      </c>
      <c r="K1742" s="13" t="s">
        <v>41</v>
      </c>
      <c r="L1742" s="14">
        <v>2227.0</v>
      </c>
      <c r="M1742" s="18" t="s">
        <v>46</v>
      </c>
      <c r="N1742" s="20">
        <v>0.0</v>
      </c>
      <c r="O1742" s="18">
        <v>38.3</v>
      </c>
      <c r="P1742" s="20">
        <v>4.5</v>
      </c>
      <c r="Q1742" s="16">
        <v>45565.0</v>
      </c>
      <c r="R1742" s="16" t="s">
        <v>38</v>
      </c>
      <c r="S1742" s="13" t="s">
        <v>55</v>
      </c>
      <c r="T1742" s="13" t="s">
        <v>104</v>
      </c>
      <c r="U1742" s="13" t="str">
        <f t="shared" si="1"/>
        <v>Moderate</v>
      </c>
      <c r="V1742" s="13" t="str">
        <f t="shared" si="2"/>
        <v>Median or Above</v>
      </c>
      <c r="W1742" s="13" t="str">
        <f t="shared" si="3"/>
        <v>25–48 Months</v>
      </c>
    </row>
    <row r="1743" hidden="1">
      <c r="A1743" s="13" t="s">
        <v>1554</v>
      </c>
      <c r="B1743" s="13" t="s">
        <v>229</v>
      </c>
      <c r="C1743" s="14">
        <v>32.0</v>
      </c>
      <c r="D1743" s="13" t="s">
        <v>85</v>
      </c>
      <c r="E1743" s="13" t="s">
        <v>111</v>
      </c>
      <c r="F1743" s="13" t="s">
        <v>37</v>
      </c>
      <c r="G1743" s="13" t="s">
        <v>39</v>
      </c>
      <c r="H1743" s="16">
        <v>44882.0</v>
      </c>
      <c r="I1743" s="14">
        <v>7.0</v>
      </c>
      <c r="J1743" s="13" t="s">
        <v>64</v>
      </c>
      <c r="K1743" s="13" t="s">
        <v>65</v>
      </c>
      <c r="L1743" s="14">
        <v>1405.0</v>
      </c>
      <c r="M1743" s="18" t="s">
        <v>164</v>
      </c>
      <c r="N1743" s="20">
        <v>1.0</v>
      </c>
      <c r="O1743" s="18">
        <v>32.7</v>
      </c>
      <c r="P1743" s="20">
        <v>3.6</v>
      </c>
      <c r="Q1743" s="16">
        <v>44911.0</v>
      </c>
      <c r="R1743" s="16" t="s">
        <v>38</v>
      </c>
      <c r="S1743" s="13" t="s">
        <v>55</v>
      </c>
      <c r="T1743" s="13" t="s">
        <v>75</v>
      </c>
      <c r="U1743" s="13" t="str">
        <f t="shared" si="1"/>
        <v>Moderate</v>
      </c>
      <c r="V1743" s="13" t="str">
        <f t="shared" si="2"/>
        <v>Median or Above</v>
      </c>
      <c r="W1743" s="13" t="str">
        <f t="shared" si="3"/>
        <v>0–12 Months</v>
      </c>
    </row>
    <row r="1744" hidden="1">
      <c r="A1744" s="13" t="s">
        <v>2152</v>
      </c>
      <c r="B1744" s="13" t="s">
        <v>184</v>
      </c>
      <c r="C1744" s="14">
        <v>57.0</v>
      </c>
      <c r="D1744" s="13" t="s">
        <v>85</v>
      </c>
      <c r="E1744" s="13" t="s">
        <v>292</v>
      </c>
      <c r="F1744" s="13" t="s">
        <v>37</v>
      </c>
      <c r="G1744" s="13" t="s">
        <v>210</v>
      </c>
      <c r="H1744" s="16">
        <v>44842.0</v>
      </c>
      <c r="I1744" s="14">
        <v>37.0</v>
      </c>
      <c r="J1744" s="13" t="s">
        <v>64</v>
      </c>
      <c r="K1744" s="13" t="s">
        <v>81</v>
      </c>
      <c r="L1744" s="14">
        <v>1498.0</v>
      </c>
      <c r="M1744" s="18" t="s">
        <v>46</v>
      </c>
      <c r="N1744" s="20">
        <v>3.0</v>
      </c>
      <c r="O1744" s="18">
        <v>26.8</v>
      </c>
      <c r="P1744" s="20">
        <v>4.2</v>
      </c>
      <c r="Q1744" s="16">
        <v>45757.0</v>
      </c>
      <c r="R1744" s="16" t="s">
        <v>38</v>
      </c>
      <c r="S1744" s="13" t="s">
        <v>55</v>
      </c>
      <c r="T1744" s="13" t="s">
        <v>104</v>
      </c>
      <c r="U1744" s="13" t="str">
        <f t="shared" si="1"/>
        <v>Moderate</v>
      </c>
      <c r="V1744" s="13" t="str">
        <f t="shared" si="2"/>
        <v>Median or Above</v>
      </c>
      <c r="W1744" s="13" t="str">
        <f t="shared" si="3"/>
        <v>25–48 Months</v>
      </c>
    </row>
    <row r="1745" hidden="1">
      <c r="A1745" s="13" t="s">
        <v>2153</v>
      </c>
      <c r="B1745" s="13" t="s">
        <v>395</v>
      </c>
      <c r="C1745" s="14">
        <v>54.0</v>
      </c>
      <c r="D1745" s="13" t="s">
        <v>69</v>
      </c>
      <c r="E1745" s="13" t="s">
        <v>70</v>
      </c>
      <c r="F1745" s="13" t="s">
        <v>62</v>
      </c>
      <c r="G1745" s="13" t="s">
        <v>210</v>
      </c>
      <c r="H1745" s="16">
        <v>44666.0</v>
      </c>
      <c r="I1745" s="14">
        <v>1.0</v>
      </c>
      <c r="J1745" s="13" t="s">
        <v>53</v>
      </c>
      <c r="K1745" s="13" t="s">
        <v>81</v>
      </c>
      <c r="L1745" s="14">
        <v>589.0</v>
      </c>
      <c r="M1745" s="18" t="s">
        <v>43</v>
      </c>
      <c r="N1745" s="20">
        <v>3.0</v>
      </c>
      <c r="O1745" s="18">
        <v>20.1</v>
      </c>
      <c r="P1745" s="20">
        <v>2.5</v>
      </c>
      <c r="Q1745" s="16">
        <v>44700.0</v>
      </c>
      <c r="R1745" s="16">
        <v>44748.0</v>
      </c>
      <c r="S1745" s="13" t="s">
        <v>45</v>
      </c>
      <c r="T1745" s="13" t="s">
        <v>66</v>
      </c>
      <c r="U1745" s="13" t="str">
        <f t="shared" si="1"/>
        <v>Low</v>
      </c>
      <c r="V1745" s="13" t="str">
        <f t="shared" si="2"/>
        <v>Below Median</v>
      </c>
      <c r="W1745" s="13" t="str">
        <f t="shared" si="3"/>
        <v>0–12 Months</v>
      </c>
    </row>
    <row r="1746" hidden="1">
      <c r="A1746" s="13" t="s">
        <v>2155</v>
      </c>
      <c r="B1746" s="13" t="s">
        <v>470</v>
      </c>
      <c r="C1746" s="14">
        <v>60.0</v>
      </c>
      <c r="D1746" s="13" t="s">
        <v>69</v>
      </c>
      <c r="E1746" s="13" t="s">
        <v>177</v>
      </c>
      <c r="F1746" s="13" t="s">
        <v>37</v>
      </c>
      <c r="G1746" s="13" t="s">
        <v>63</v>
      </c>
      <c r="H1746" s="16">
        <v>44910.0</v>
      </c>
      <c r="I1746" s="14">
        <v>39.0</v>
      </c>
      <c r="J1746" s="13" t="s">
        <v>40</v>
      </c>
      <c r="K1746" s="13" t="s">
        <v>65</v>
      </c>
      <c r="L1746" s="14">
        <v>1462.0</v>
      </c>
      <c r="M1746" s="18" t="s">
        <v>173</v>
      </c>
      <c r="N1746" s="20">
        <v>0.0</v>
      </c>
      <c r="O1746" s="18">
        <v>30.8</v>
      </c>
      <c r="P1746" s="20">
        <v>3.6</v>
      </c>
      <c r="Q1746" s="16">
        <v>45732.0</v>
      </c>
      <c r="R1746" s="16" t="s">
        <v>38</v>
      </c>
      <c r="S1746" s="13" t="s">
        <v>55</v>
      </c>
      <c r="T1746" s="13" t="s">
        <v>104</v>
      </c>
      <c r="U1746" s="13" t="str">
        <f t="shared" si="1"/>
        <v>Moderate</v>
      </c>
      <c r="V1746" s="13" t="str">
        <f t="shared" si="2"/>
        <v>Median or Above</v>
      </c>
      <c r="W1746" s="13" t="str">
        <f t="shared" si="3"/>
        <v>25–48 Months</v>
      </c>
    </row>
    <row r="1747" hidden="1">
      <c r="A1747" s="13" t="s">
        <v>670</v>
      </c>
      <c r="B1747" s="13" t="s">
        <v>333</v>
      </c>
      <c r="C1747" s="14">
        <v>53.0</v>
      </c>
      <c r="D1747" s="13" t="s">
        <v>69</v>
      </c>
      <c r="E1747" s="13" t="s">
        <v>177</v>
      </c>
      <c r="F1747" s="13" t="s">
        <v>62</v>
      </c>
      <c r="G1747" s="13" t="s">
        <v>63</v>
      </c>
      <c r="H1747" s="16">
        <v>45502.0</v>
      </c>
      <c r="I1747" s="14">
        <v>44.0</v>
      </c>
      <c r="J1747" s="13" t="s">
        <v>64</v>
      </c>
      <c r="K1747" s="13" t="s">
        <v>41</v>
      </c>
      <c r="L1747" s="14">
        <v>819.0</v>
      </c>
      <c r="M1747" s="18" t="s">
        <v>98</v>
      </c>
      <c r="N1747" s="20">
        <v>0.0</v>
      </c>
      <c r="O1747" s="18">
        <v>13.6</v>
      </c>
      <c r="P1747" s="20">
        <v>3.2</v>
      </c>
      <c r="Q1747" s="16">
        <v>45811.0</v>
      </c>
      <c r="R1747" s="16" t="s">
        <v>38</v>
      </c>
      <c r="S1747" s="13" t="s">
        <v>55</v>
      </c>
      <c r="T1747" s="13" t="s">
        <v>104</v>
      </c>
      <c r="U1747" s="13" t="str">
        <f t="shared" si="1"/>
        <v>Moderate</v>
      </c>
      <c r="V1747" s="13" t="str">
        <f t="shared" si="2"/>
        <v>Below Median</v>
      </c>
      <c r="W1747" s="13" t="str">
        <f t="shared" si="3"/>
        <v>25–48 Months</v>
      </c>
    </row>
    <row r="1748" hidden="1">
      <c r="A1748" s="13" t="s">
        <v>2080</v>
      </c>
      <c r="B1748" s="13" t="s">
        <v>736</v>
      </c>
      <c r="C1748" s="14">
        <v>29.0</v>
      </c>
      <c r="D1748" s="13" t="s">
        <v>69</v>
      </c>
      <c r="E1748" s="13" t="s">
        <v>187</v>
      </c>
      <c r="F1748" s="13" t="s">
        <v>62</v>
      </c>
      <c r="G1748" s="13" t="s">
        <v>63</v>
      </c>
      <c r="H1748" s="16">
        <v>44661.0</v>
      </c>
      <c r="I1748" s="14">
        <v>21.0</v>
      </c>
      <c r="J1748" s="13" t="s">
        <v>40</v>
      </c>
      <c r="K1748" s="13" t="s">
        <v>41</v>
      </c>
      <c r="L1748" s="14">
        <v>624.0</v>
      </c>
      <c r="M1748" s="18" t="s">
        <v>46</v>
      </c>
      <c r="N1748" s="20">
        <v>1.0</v>
      </c>
      <c r="O1748" s="18">
        <v>11.0</v>
      </c>
      <c r="P1748" s="20">
        <v>3.5</v>
      </c>
      <c r="Q1748" s="16">
        <v>44732.0</v>
      </c>
      <c r="R1748" s="16" t="s">
        <v>38</v>
      </c>
      <c r="S1748" s="13" t="s">
        <v>55</v>
      </c>
      <c r="T1748" s="13" t="s">
        <v>104</v>
      </c>
      <c r="U1748" s="13" t="str">
        <f t="shared" si="1"/>
        <v>Moderate</v>
      </c>
      <c r="V1748" s="13" t="str">
        <f t="shared" si="2"/>
        <v>Below Median</v>
      </c>
      <c r="W1748" s="13" t="str">
        <f t="shared" si="3"/>
        <v>13–24 Months</v>
      </c>
    </row>
    <row r="1749" hidden="1">
      <c r="A1749" s="13" t="s">
        <v>860</v>
      </c>
      <c r="B1749" s="13" t="s">
        <v>59</v>
      </c>
      <c r="C1749" s="14">
        <v>33.0</v>
      </c>
      <c r="D1749" s="13" t="s">
        <v>69</v>
      </c>
      <c r="E1749" s="13" t="s">
        <v>177</v>
      </c>
      <c r="F1749" s="13" t="s">
        <v>37</v>
      </c>
      <c r="G1749" s="13" t="s">
        <v>39</v>
      </c>
      <c r="H1749" s="16">
        <v>44626.0</v>
      </c>
      <c r="I1749" s="14">
        <v>36.0</v>
      </c>
      <c r="J1749" s="13" t="s">
        <v>53</v>
      </c>
      <c r="K1749" s="13" t="s">
        <v>41</v>
      </c>
      <c r="L1749" s="14">
        <v>1747.0</v>
      </c>
      <c r="M1749" s="18" t="s">
        <v>173</v>
      </c>
      <c r="N1749" s="20">
        <v>1.0</v>
      </c>
      <c r="O1749" s="18">
        <v>44.4</v>
      </c>
      <c r="P1749" s="20">
        <v>2.9</v>
      </c>
      <c r="Q1749" s="16">
        <v>45428.0</v>
      </c>
      <c r="R1749" s="16">
        <v>45964.0</v>
      </c>
      <c r="S1749" s="13" t="s">
        <v>45</v>
      </c>
      <c r="T1749" s="13" t="s">
        <v>47</v>
      </c>
      <c r="U1749" s="13" t="str">
        <f t="shared" si="1"/>
        <v>Low</v>
      </c>
      <c r="V1749" s="13" t="str">
        <f t="shared" si="2"/>
        <v>Median or Above</v>
      </c>
      <c r="W1749" s="13" t="str">
        <f t="shared" si="3"/>
        <v>25–48 Months</v>
      </c>
    </row>
    <row r="1750" hidden="1">
      <c r="A1750" s="13" t="s">
        <v>2157</v>
      </c>
      <c r="B1750" s="13" t="s">
        <v>734</v>
      </c>
      <c r="C1750" s="14">
        <v>49.0</v>
      </c>
      <c r="D1750" s="13" t="s">
        <v>35</v>
      </c>
      <c r="E1750" s="13" t="s">
        <v>140</v>
      </c>
      <c r="F1750" s="13" t="s">
        <v>79</v>
      </c>
      <c r="G1750" s="13" t="s">
        <v>52</v>
      </c>
      <c r="H1750" s="16">
        <v>45341.0</v>
      </c>
      <c r="I1750" s="14">
        <v>39.0</v>
      </c>
      <c r="J1750" s="13" t="s">
        <v>40</v>
      </c>
      <c r="K1750" s="13" t="s">
        <v>41</v>
      </c>
      <c r="L1750" s="14">
        <v>3212.0</v>
      </c>
      <c r="M1750" s="18" t="s">
        <v>99</v>
      </c>
      <c r="N1750" s="20">
        <v>0.0</v>
      </c>
      <c r="O1750" s="18">
        <v>40.8</v>
      </c>
      <c r="P1750" s="20">
        <v>3.7</v>
      </c>
      <c r="Q1750" s="16">
        <v>45978.0</v>
      </c>
      <c r="R1750" s="16" t="s">
        <v>38</v>
      </c>
      <c r="S1750" s="13" t="s">
        <v>55</v>
      </c>
      <c r="T1750" s="13" t="s">
        <v>104</v>
      </c>
      <c r="U1750" s="13" t="str">
        <f t="shared" si="1"/>
        <v>Moderate</v>
      </c>
      <c r="V1750" s="13" t="str">
        <f t="shared" si="2"/>
        <v>Median or Above</v>
      </c>
      <c r="W1750" s="13" t="str">
        <f t="shared" si="3"/>
        <v>25–48 Months</v>
      </c>
    </row>
    <row r="1751" hidden="1">
      <c r="A1751" s="13" t="s">
        <v>2190</v>
      </c>
      <c r="B1751" s="13" t="s">
        <v>184</v>
      </c>
      <c r="C1751" s="14">
        <v>20.0</v>
      </c>
      <c r="D1751" s="13" t="s">
        <v>60</v>
      </c>
      <c r="E1751" s="13" t="s">
        <v>97</v>
      </c>
      <c r="F1751" s="13" t="s">
        <v>62</v>
      </c>
      <c r="G1751" s="13" t="s">
        <v>52</v>
      </c>
      <c r="H1751" s="16">
        <v>44766.0</v>
      </c>
      <c r="I1751" s="14">
        <v>4.0</v>
      </c>
      <c r="J1751" s="13" t="s">
        <v>64</v>
      </c>
      <c r="K1751" s="13" t="s">
        <v>65</v>
      </c>
      <c r="L1751" s="14">
        <v>503.0</v>
      </c>
      <c r="M1751" s="18" t="s">
        <v>46</v>
      </c>
      <c r="N1751" s="20">
        <v>1.0</v>
      </c>
      <c r="O1751" s="18">
        <v>5.3</v>
      </c>
      <c r="P1751" s="20">
        <v>4.3</v>
      </c>
      <c r="Q1751" s="16">
        <v>44887.0</v>
      </c>
      <c r="R1751" s="16" t="s">
        <v>2159</v>
      </c>
      <c r="S1751" s="13" t="s">
        <v>45</v>
      </c>
      <c r="T1751" s="13" t="s">
        <v>66</v>
      </c>
      <c r="U1751" s="13" t="str">
        <f t="shared" si="1"/>
        <v>Moderate</v>
      </c>
      <c r="V1751" s="13" t="str">
        <f t="shared" si="2"/>
        <v>Below Median</v>
      </c>
      <c r="W1751" s="13" t="str">
        <f t="shared" si="3"/>
        <v>0–12 Months</v>
      </c>
    </row>
    <row r="1752" hidden="1">
      <c r="A1752" s="13" t="s">
        <v>1672</v>
      </c>
      <c r="B1752" s="13" t="s">
        <v>232</v>
      </c>
      <c r="C1752" s="14">
        <v>60.0</v>
      </c>
      <c r="D1752" s="13" t="s">
        <v>60</v>
      </c>
      <c r="E1752" s="13" t="s">
        <v>61</v>
      </c>
      <c r="F1752" s="13" t="s">
        <v>62</v>
      </c>
      <c r="G1752" s="13" t="s">
        <v>120</v>
      </c>
      <c r="H1752" s="16">
        <v>44575.0</v>
      </c>
      <c r="I1752" s="14">
        <v>34.0</v>
      </c>
      <c r="J1752" s="13" t="s">
        <v>53</v>
      </c>
      <c r="K1752" s="13" t="s">
        <v>65</v>
      </c>
      <c r="L1752" s="14">
        <v>890.0</v>
      </c>
      <c r="M1752" s="18" t="s">
        <v>43</v>
      </c>
      <c r="N1752" s="20">
        <v>1.0</v>
      </c>
      <c r="O1752" s="18">
        <v>12.8</v>
      </c>
      <c r="P1752" s="20">
        <v>4.5</v>
      </c>
      <c r="Q1752" s="16">
        <v>44749.0</v>
      </c>
      <c r="R1752" s="16" t="s">
        <v>38</v>
      </c>
      <c r="S1752" s="13" t="s">
        <v>55</v>
      </c>
      <c r="T1752" s="13" t="s">
        <v>72</v>
      </c>
      <c r="U1752" s="13" t="str">
        <f t="shared" si="1"/>
        <v>Moderate</v>
      </c>
      <c r="V1752" s="13" t="str">
        <f t="shared" si="2"/>
        <v>Below Median</v>
      </c>
      <c r="W1752" s="13" t="str">
        <f t="shared" si="3"/>
        <v>25–48 Months</v>
      </c>
    </row>
    <row r="1753" hidden="1">
      <c r="A1753" s="13" t="s">
        <v>2160</v>
      </c>
      <c r="B1753" s="13" t="s">
        <v>118</v>
      </c>
      <c r="C1753" s="14">
        <v>24.0</v>
      </c>
      <c r="D1753" s="13" t="s">
        <v>85</v>
      </c>
      <c r="E1753" s="13" t="s">
        <v>87</v>
      </c>
      <c r="F1753" s="13" t="s">
        <v>62</v>
      </c>
      <c r="G1753" s="13" t="s">
        <v>120</v>
      </c>
      <c r="H1753" s="16">
        <v>45266.0</v>
      </c>
      <c r="I1753" s="14">
        <v>0.0</v>
      </c>
      <c r="J1753" s="13" t="s">
        <v>40</v>
      </c>
      <c r="K1753" s="13" t="s">
        <v>65</v>
      </c>
      <c r="L1753" s="14">
        <v>557.0</v>
      </c>
      <c r="M1753" s="18" t="s">
        <v>164</v>
      </c>
      <c r="N1753" s="20">
        <v>2.0</v>
      </c>
      <c r="O1753" s="18">
        <v>24.7</v>
      </c>
      <c r="P1753" s="20">
        <v>3.8</v>
      </c>
      <c r="Q1753" s="16">
        <v>45740.0</v>
      </c>
      <c r="R1753" s="16" t="s">
        <v>38</v>
      </c>
      <c r="S1753" s="13" t="s">
        <v>55</v>
      </c>
      <c r="T1753" s="13" t="s">
        <v>75</v>
      </c>
      <c r="U1753" s="13" t="str">
        <f t="shared" si="1"/>
        <v>Moderate</v>
      </c>
      <c r="V1753" s="13" t="str">
        <f t="shared" si="2"/>
        <v>Median or Above</v>
      </c>
      <c r="W1753" s="13" t="str">
        <f t="shared" si="3"/>
        <v>0–12 Months</v>
      </c>
    </row>
    <row r="1754" hidden="1">
      <c r="A1754" s="13" t="s">
        <v>822</v>
      </c>
      <c r="B1754" s="13" t="s">
        <v>393</v>
      </c>
      <c r="C1754" s="14">
        <v>68.0</v>
      </c>
      <c r="D1754" s="13" t="s">
        <v>35</v>
      </c>
      <c r="E1754" s="13" t="s">
        <v>140</v>
      </c>
      <c r="F1754" s="13" t="s">
        <v>79</v>
      </c>
      <c r="G1754" s="13" t="s">
        <v>128</v>
      </c>
      <c r="H1754" s="16">
        <v>45433.0</v>
      </c>
      <c r="I1754" s="14">
        <v>16.0</v>
      </c>
      <c r="J1754" s="13" t="s">
        <v>53</v>
      </c>
      <c r="K1754" s="13" t="s">
        <v>81</v>
      </c>
      <c r="L1754" s="14">
        <v>1108.0</v>
      </c>
      <c r="M1754" s="18" t="s">
        <v>164</v>
      </c>
      <c r="N1754" s="20">
        <v>1.0</v>
      </c>
      <c r="O1754" s="18">
        <v>32.1</v>
      </c>
      <c r="P1754" s="20">
        <v>4.7</v>
      </c>
      <c r="Q1754" s="16">
        <v>45822.0</v>
      </c>
      <c r="R1754" s="16" t="s">
        <v>38</v>
      </c>
      <c r="S1754" s="13" t="s">
        <v>55</v>
      </c>
      <c r="T1754" s="13" t="s">
        <v>47</v>
      </c>
      <c r="U1754" s="13" t="str">
        <f t="shared" si="1"/>
        <v>Moderate</v>
      </c>
      <c r="V1754" s="13" t="str">
        <f t="shared" si="2"/>
        <v>Median or Above</v>
      </c>
      <c r="W1754" s="13" t="str">
        <f t="shared" si="3"/>
        <v>13–24 Months</v>
      </c>
    </row>
    <row r="1755" hidden="1">
      <c r="A1755" s="13" t="s">
        <v>719</v>
      </c>
      <c r="B1755" s="13" t="s">
        <v>126</v>
      </c>
      <c r="C1755" s="14">
        <v>65.0</v>
      </c>
      <c r="D1755" s="13" t="s">
        <v>60</v>
      </c>
      <c r="E1755" s="13" t="s">
        <v>107</v>
      </c>
      <c r="F1755" s="13" t="s">
        <v>37</v>
      </c>
      <c r="G1755" s="13" t="s">
        <v>120</v>
      </c>
      <c r="H1755" s="16">
        <v>44763.0</v>
      </c>
      <c r="I1755" s="14">
        <v>13.0</v>
      </c>
      <c r="J1755" s="13" t="s">
        <v>40</v>
      </c>
      <c r="K1755" s="13" t="s">
        <v>41</v>
      </c>
      <c r="L1755" s="14">
        <v>1488.0</v>
      </c>
      <c r="M1755" s="18" t="s">
        <v>43</v>
      </c>
      <c r="N1755" s="20">
        <v>0.0</v>
      </c>
      <c r="O1755" s="18">
        <v>29.6</v>
      </c>
      <c r="P1755" s="20">
        <v>3.6</v>
      </c>
      <c r="Q1755" s="16">
        <v>44919.0</v>
      </c>
      <c r="R1755" s="16" t="s">
        <v>38</v>
      </c>
      <c r="S1755" s="13" t="s">
        <v>55</v>
      </c>
      <c r="T1755" s="13" t="s">
        <v>72</v>
      </c>
      <c r="U1755" s="13" t="str">
        <f t="shared" si="1"/>
        <v>Moderate</v>
      </c>
      <c r="V1755" s="13" t="str">
        <f t="shared" si="2"/>
        <v>Median or Above</v>
      </c>
      <c r="W1755" s="13" t="str">
        <f t="shared" si="3"/>
        <v>13–24 Months</v>
      </c>
    </row>
    <row r="1756" hidden="1">
      <c r="A1756" s="13" t="s">
        <v>1712</v>
      </c>
      <c r="B1756" s="13" t="s">
        <v>331</v>
      </c>
      <c r="C1756" s="14">
        <v>62.0</v>
      </c>
      <c r="D1756" s="13" t="s">
        <v>85</v>
      </c>
      <c r="E1756" s="13" t="s">
        <v>292</v>
      </c>
      <c r="F1756" s="13" t="s">
        <v>62</v>
      </c>
      <c r="G1756" s="13" t="s">
        <v>128</v>
      </c>
      <c r="H1756" s="16">
        <v>45362.0</v>
      </c>
      <c r="I1756" s="14">
        <v>25.0</v>
      </c>
      <c r="J1756" s="13" t="s">
        <v>40</v>
      </c>
      <c r="K1756" s="13" t="s">
        <v>41</v>
      </c>
      <c r="L1756" s="14">
        <v>716.0</v>
      </c>
      <c r="M1756" s="18" t="s">
        <v>98</v>
      </c>
      <c r="N1756" s="20">
        <v>0.0</v>
      </c>
      <c r="O1756" s="18">
        <v>14.4</v>
      </c>
      <c r="P1756" s="20">
        <v>1.9</v>
      </c>
      <c r="Q1756" s="16">
        <v>45595.0</v>
      </c>
      <c r="R1756" s="16" t="s">
        <v>38</v>
      </c>
      <c r="S1756" s="13" t="s">
        <v>55</v>
      </c>
      <c r="T1756" s="13" t="s">
        <v>75</v>
      </c>
      <c r="U1756" s="13" t="str">
        <f t="shared" si="1"/>
        <v>Low</v>
      </c>
      <c r="V1756" s="13" t="str">
        <f t="shared" si="2"/>
        <v>Below Median</v>
      </c>
      <c r="W1756" s="13" t="str">
        <f t="shared" si="3"/>
        <v>25–48 Months</v>
      </c>
    </row>
    <row r="1757" hidden="1">
      <c r="A1757" s="13" t="s">
        <v>2161</v>
      </c>
      <c r="B1757" s="13" t="s">
        <v>393</v>
      </c>
      <c r="C1757" s="14">
        <v>32.0</v>
      </c>
      <c r="D1757" s="13" t="s">
        <v>35</v>
      </c>
      <c r="E1757" s="13" t="s">
        <v>161</v>
      </c>
      <c r="F1757" s="13" t="s">
        <v>62</v>
      </c>
      <c r="G1757" s="13" t="s">
        <v>52</v>
      </c>
      <c r="H1757" s="16">
        <v>44771.0</v>
      </c>
      <c r="I1757" s="14">
        <v>24.0</v>
      </c>
      <c r="J1757" s="13" t="s">
        <v>53</v>
      </c>
      <c r="K1757" s="13" t="s">
        <v>65</v>
      </c>
      <c r="L1757" s="14">
        <v>760.0</v>
      </c>
      <c r="M1757" s="18" t="s">
        <v>99</v>
      </c>
      <c r="N1757" s="20">
        <v>0.0</v>
      </c>
      <c r="O1757" s="18">
        <v>23.9</v>
      </c>
      <c r="P1757" s="20">
        <v>4.6</v>
      </c>
      <c r="Q1757" s="16">
        <v>45396.0</v>
      </c>
      <c r="R1757" s="16" t="s">
        <v>38</v>
      </c>
      <c r="S1757" s="13" t="s">
        <v>55</v>
      </c>
      <c r="T1757" s="13" t="s">
        <v>75</v>
      </c>
      <c r="U1757" s="13" t="str">
        <f t="shared" si="1"/>
        <v>Moderate</v>
      </c>
      <c r="V1757" s="13" t="str">
        <f t="shared" si="2"/>
        <v>Below Median</v>
      </c>
      <c r="W1757" s="13" t="str">
        <f t="shared" si="3"/>
        <v>13–24 Months</v>
      </c>
    </row>
    <row r="1758" hidden="1">
      <c r="A1758" s="13" t="s">
        <v>2162</v>
      </c>
      <c r="B1758" s="13" t="s">
        <v>395</v>
      </c>
      <c r="C1758" s="14">
        <v>19.0</v>
      </c>
      <c r="D1758" s="13" t="s">
        <v>60</v>
      </c>
      <c r="E1758" s="13" t="s">
        <v>133</v>
      </c>
      <c r="F1758" s="13" t="s">
        <v>62</v>
      </c>
      <c r="G1758" s="13" t="s">
        <v>80</v>
      </c>
      <c r="H1758" s="16">
        <v>45719.0</v>
      </c>
      <c r="I1758" s="14">
        <v>25.0</v>
      </c>
      <c r="J1758" s="13" t="s">
        <v>40</v>
      </c>
      <c r="K1758" s="13" t="s">
        <v>65</v>
      </c>
      <c r="L1758" s="14">
        <v>746.0</v>
      </c>
      <c r="M1758" s="18" t="s">
        <v>43</v>
      </c>
      <c r="N1758" s="20">
        <v>0.0</v>
      </c>
      <c r="O1758" s="18">
        <v>10.9</v>
      </c>
      <c r="P1758" s="20">
        <v>3.8</v>
      </c>
      <c r="Q1758" s="16">
        <v>46115.0</v>
      </c>
      <c r="R1758" s="16" t="s">
        <v>38</v>
      </c>
      <c r="S1758" s="13" t="s">
        <v>55</v>
      </c>
      <c r="T1758" s="13" t="s">
        <v>66</v>
      </c>
      <c r="U1758" s="13" t="str">
        <f t="shared" si="1"/>
        <v>Moderate</v>
      </c>
      <c r="V1758" s="13" t="str">
        <f t="shared" si="2"/>
        <v>Below Median</v>
      </c>
      <c r="W1758" s="13" t="str">
        <f t="shared" si="3"/>
        <v>25–48 Months</v>
      </c>
    </row>
    <row r="1759" hidden="1">
      <c r="A1759" s="13" t="s">
        <v>727</v>
      </c>
      <c r="B1759" s="13" t="s">
        <v>340</v>
      </c>
      <c r="C1759" s="14">
        <v>61.0</v>
      </c>
      <c r="D1759" s="13" t="s">
        <v>85</v>
      </c>
      <c r="E1759" s="13" t="s">
        <v>111</v>
      </c>
      <c r="F1759" s="13" t="s">
        <v>62</v>
      </c>
      <c r="G1759" s="13" t="s">
        <v>39</v>
      </c>
      <c r="H1759" s="16">
        <v>45975.0</v>
      </c>
      <c r="I1759" s="14">
        <v>6.0</v>
      </c>
      <c r="J1759" s="13" t="s">
        <v>64</v>
      </c>
      <c r="K1759" s="13" t="s">
        <v>41</v>
      </c>
      <c r="L1759" s="14">
        <v>794.0</v>
      </c>
      <c r="M1759" s="18" t="s">
        <v>98</v>
      </c>
      <c r="N1759" s="20">
        <v>0.0</v>
      </c>
      <c r="O1759" s="18">
        <v>22.6</v>
      </c>
      <c r="P1759" s="20">
        <v>3.7</v>
      </c>
      <c r="Q1759" s="16">
        <v>46022.0</v>
      </c>
      <c r="R1759" s="16">
        <v>46362.0</v>
      </c>
      <c r="S1759" s="13" t="s">
        <v>45</v>
      </c>
      <c r="T1759" s="13" t="s">
        <v>75</v>
      </c>
      <c r="U1759" s="13" t="str">
        <f t="shared" si="1"/>
        <v>Moderate</v>
      </c>
      <c r="V1759" s="13" t="str">
        <f t="shared" si="2"/>
        <v>Below Median</v>
      </c>
      <c r="W1759" s="13" t="str">
        <f t="shared" si="3"/>
        <v>0–12 Months</v>
      </c>
    </row>
    <row r="1760" hidden="1">
      <c r="A1760" s="13" t="s">
        <v>2163</v>
      </c>
      <c r="B1760" s="13" t="s">
        <v>340</v>
      </c>
      <c r="C1760" s="14">
        <v>24.0</v>
      </c>
      <c r="D1760" s="13" t="s">
        <v>85</v>
      </c>
      <c r="E1760" s="13" t="s">
        <v>92</v>
      </c>
      <c r="F1760" s="13" t="s">
        <v>37</v>
      </c>
      <c r="G1760" s="13" t="s">
        <v>210</v>
      </c>
      <c r="H1760" s="16">
        <v>44693.0</v>
      </c>
      <c r="I1760" s="14">
        <v>3.0</v>
      </c>
      <c r="J1760" s="13" t="s">
        <v>64</v>
      </c>
      <c r="K1760" s="13" t="s">
        <v>65</v>
      </c>
      <c r="L1760" s="14">
        <v>1385.0</v>
      </c>
      <c r="M1760" s="18" t="s">
        <v>46</v>
      </c>
      <c r="N1760" s="20">
        <v>0.0</v>
      </c>
      <c r="O1760" s="18">
        <v>28.7</v>
      </c>
      <c r="P1760" s="20">
        <v>3.0</v>
      </c>
      <c r="Q1760" s="16">
        <v>44790.0</v>
      </c>
      <c r="R1760" s="16" t="s">
        <v>2164</v>
      </c>
      <c r="S1760" s="13" t="s">
        <v>45</v>
      </c>
      <c r="T1760" s="13" t="s">
        <v>47</v>
      </c>
      <c r="U1760" s="13" t="str">
        <f t="shared" si="1"/>
        <v>Moderate</v>
      </c>
      <c r="V1760" s="13" t="str">
        <f t="shared" si="2"/>
        <v>Median or Above</v>
      </c>
      <c r="W1760" s="13" t="str">
        <f t="shared" si="3"/>
        <v>0–12 Months</v>
      </c>
    </row>
    <row r="1761" hidden="1">
      <c r="A1761" s="13" t="s">
        <v>2074</v>
      </c>
      <c r="B1761" s="13" t="s">
        <v>345</v>
      </c>
      <c r="C1761" s="14">
        <v>40.0</v>
      </c>
      <c r="D1761" s="13" t="s">
        <v>69</v>
      </c>
      <c r="E1761" s="13" t="s">
        <v>177</v>
      </c>
      <c r="F1761" s="13" t="s">
        <v>37</v>
      </c>
      <c r="G1761" s="13" t="s">
        <v>80</v>
      </c>
      <c r="H1761" s="16">
        <v>44956.0</v>
      </c>
      <c r="I1761" s="14">
        <v>2.0</v>
      </c>
      <c r="J1761" s="13" t="s">
        <v>40</v>
      </c>
      <c r="K1761" s="13" t="s">
        <v>65</v>
      </c>
      <c r="L1761" s="14">
        <v>1456.0</v>
      </c>
      <c r="M1761" s="18" t="s">
        <v>43</v>
      </c>
      <c r="N1761" s="20">
        <v>0.0</v>
      </c>
      <c r="O1761" s="18">
        <v>30.0</v>
      </c>
      <c r="P1761" s="20">
        <v>2.6</v>
      </c>
      <c r="Q1761" s="16">
        <v>45017.0</v>
      </c>
      <c r="R1761" s="16" t="s">
        <v>38</v>
      </c>
      <c r="S1761" s="13" t="s">
        <v>55</v>
      </c>
      <c r="T1761" s="13" t="s">
        <v>66</v>
      </c>
      <c r="U1761" s="13" t="str">
        <f t="shared" si="1"/>
        <v>Low</v>
      </c>
      <c r="V1761" s="13" t="str">
        <f t="shared" si="2"/>
        <v>Median or Above</v>
      </c>
      <c r="W1761" s="13" t="str">
        <f t="shared" si="3"/>
        <v>0–12 Months</v>
      </c>
    </row>
    <row r="1762" hidden="1">
      <c r="A1762" s="13" t="s">
        <v>2165</v>
      </c>
      <c r="B1762" s="13" t="s">
        <v>639</v>
      </c>
      <c r="C1762" s="14">
        <v>26.0</v>
      </c>
      <c r="D1762" s="13" t="s">
        <v>60</v>
      </c>
      <c r="E1762" s="13" t="s">
        <v>133</v>
      </c>
      <c r="F1762" s="13" t="s">
        <v>79</v>
      </c>
      <c r="G1762" s="13" t="s">
        <v>80</v>
      </c>
      <c r="H1762" s="16">
        <v>45820.0</v>
      </c>
      <c r="I1762" s="14">
        <v>29.0</v>
      </c>
      <c r="J1762" s="13" t="s">
        <v>40</v>
      </c>
      <c r="K1762" s="13" t="s">
        <v>65</v>
      </c>
      <c r="L1762" s="14">
        <v>2329.0</v>
      </c>
      <c r="M1762" s="18" t="s">
        <v>164</v>
      </c>
      <c r="N1762" s="20">
        <v>1.0</v>
      </c>
      <c r="O1762" s="18">
        <v>27.0</v>
      </c>
      <c r="P1762" s="20">
        <v>5.0</v>
      </c>
      <c r="Q1762" s="16">
        <v>45968.0</v>
      </c>
      <c r="R1762" s="16" t="s">
        <v>38</v>
      </c>
      <c r="S1762" s="13" t="s">
        <v>55</v>
      </c>
      <c r="T1762" s="13" t="s">
        <v>66</v>
      </c>
      <c r="U1762" s="13" t="str">
        <f t="shared" si="1"/>
        <v>High</v>
      </c>
      <c r="V1762" s="13" t="str">
        <f t="shared" si="2"/>
        <v>Median or Above</v>
      </c>
      <c r="W1762" s="13" t="str">
        <f t="shared" si="3"/>
        <v>25–48 Months</v>
      </c>
    </row>
    <row r="1763" hidden="1">
      <c r="A1763" s="13" t="s">
        <v>1501</v>
      </c>
      <c r="B1763" s="13" t="s">
        <v>135</v>
      </c>
      <c r="C1763" s="14">
        <v>50.0</v>
      </c>
      <c r="D1763" s="13" t="s">
        <v>60</v>
      </c>
      <c r="E1763" s="13" t="s">
        <v>133</v>
      </c>
      <c r="F1763" s="13" t="s">
        <v>62</v>
      </c>
      <c r="G1763" s="13" t="s">
        <v>52</v>
      </c>
      <c r="H1763" s="16">
        <v>44756.0</v>
      </c>
      <c r="I1763" s="14">
        <v>36.0</v>
      </c>
      <c r="J1763" s="13" t="s">
        <v>40</v>
      </c>
      <c r="K1763" s="13" t="s">
        <v>81</v>
      </c>
      <c r="L1763" s="14">
        <v>838.0</v>
      </c>
      <c r="M1763" s="18" t="s">
        <v>46</v>
      </c>
      <c r="N1763" s="20">
        <v>3.0</v>
      </c>
      <c r="O1763" s="18">
        <v>11.8</v>
      </c>
      <c r="P1763" s="20">
        <v>3.5</v>
      </c>
      <c r="Q1763" s="16">
        <v>44785.0</v>
      </c>
      <c r="R1763" s="16" t="s">
        <v>38</v>
      </c>
      <c r="S1763" s="13" t="s">
        <v>55</v>
      </c>
      <c r="T1763" s="13" t="s">
        <v>72</v>
      </c>
      <c r="U1763" s="13" t="str">
        <f t="shared" si="1"/>
        <v>Moderate</v>
      </c>
      <c r="V1763" s="13" t="str">
        <f t="shared" si="2"/>
        <v>Below Median</v>
      </c>
      <c r="W1763" s="13" t="str">
        <f t="shared" si="3"/>
        <v>25–48 Months</v>
      </c>
    </row>
    <row r="1764" hidden="1">
      <c r="A1764" s="13" t="s">
        <v>2166</v>
      </c>
      <c r="B1764" s="13" t="s">
        <v>135</v>
      </c>
      <c r="C1764" s="14">
        <v>45.0</v>
      </c>
      <c r="D1764" s="13" t="s">
        <v>69</v>
      </c>
      <c r="E1764" s="13" t="s">
        <v>70</v>
      </c>
      <c r="F1764" s="13" t="s">
        <v>79</v>
      </c>
      <c r="G1764" s="13" t="s">
        <v>39</v>
      </c>
      <c r="H1764" s="16">
        <v>44902.0</v>
      </c>
      <c r="I1764" s="14">
        <v>11.0</v>
      </c>
      <c r="J1764" s="13" t="s">
        <v>64</v>
      </c>
      <c r="K1764" s="13" t="s">
        <v>65</v>
      </c>
      <c r="L1764" s="14">
        <v>2917.0</v>
      </c>
      <c r="M1764" s="18" t="s">
        <v>46</v>
      </c>
      <c r="N1764" s="20">
        <v>0.0</v>
      </c>
      <c r="O1764" s="18">
        <v>31.7</v>
      </c>
      <c r="P1764" s="20">
        <v>4.5</v>
      </c>
      <c r="Q1764" s="16">
        <v>44855.0</v>
      </c>
      <c r="R1764" s="16" t="s">
        <v>38</v>
      </c>
      <c r="S1764" s="13" t="s">
        <v>55</v>
      </c>
      <c r="T1764" s="13" t="s">
        <v>66</v>
      </c>
      <c r="U1764" s="13" t="str">
        <f t="shared" si="1"/>
        <v>Moderate</v>
      </c>
      <c r="V1764" s="13" t="str">
        <f t="shared" si="2"/>
        <v>Median or Above</v>
      </c>
      <c r="W1764" s="13" t="str">
        <f t="shared" si="3"/>
        <v>0–12 Months</v>
      </c>
    </row>
    <row r="1765" hidden="1">
      <c r="A1765" s="13" t="s">
        <v>1303</v>
      </c>
      <c r="B1765" s="13" t="s">
        <v>239</v>
      </c>
      <c r="C1765" s="14">
        <v>44.0</v>
      </c>
      <c r="D1765" s="13" t="s">
        <v>69</v>
      </c>
      <c r="E1765" s="13" t="s">
        <v>119</v>
      </c>
      <c r="F1765" s="13" t="s">
        <v>79</v>
      </c>
      <c r="G1765" s="13" t="s">
        <v>80</v>
      </c>
      <c r="H1765" s="16">
        <v>44707.0</v>
      </c>
      <c r="I1765" s="14">
        <v>6.0</v>
      </c>
      <c r="J1765" s="13" t="s">
        <v>64</v>
      </c>
      <c r="K1765" s="13" t="s">
        <v>41</v>
      </c>
      <c r="L1765" s="14">
        <v>3745.0</v>
      </c>
      <c r="M1765" s="18" t="s">
        <v>46</v>
      </c>
      <c r="N1765" s="20">
        <v>0.0</v>
      </c>
      <c r="O1765" s="18">
        <v>28.1</v>
      </c>
      <c r="P1765" s="20">
        <v>3.1</v>
      </c>
      <c r="Q1765" s="16">
        <v>44893.0</v>
      </c>
      <c r="R1765" s="16" t="s">
        <v>38</v>
      </c>
      <c r="S1765" s="13" t="s">
        <v>55</v>
      </c>
      <c r="T1765" s="13" t="s">
        <v>104</v>
      </c>
      <c r="U1765" s="13" t="str">
        <f t="shared" si="1"/>
        <v>Moderate</v>
      </c>
      <c r="V1765" s="13" t="str">
        <f t="shared" si="2"/>
        <v>Median or Above</v>
      </c>
      <c r="W1765" s="13" t="str">
        <f t="shared" si="3"/>
        <v>0–12 Months</v>
      </c>
    </row>
    <row r="1766" hidden="1">
      <c r="A1766" s="13" t="s">
        <v>2167</v>
      </c>
      <c r="B1766" s="13" t="s">
        <v>801</v>
      </c>
      <c r="C1766" s="14">
        <v>63.0</v>
      </c>
      <c r="D1766" s="13" t="s">
        <v>69</v>
      </c>
      <c r="E1766" s="13" t="s">
        <v>70</v>
      </c>
      <c r="F1766" s="13" t="s">
        <v>37</v>
      </c>
      <c r="G1766" s="13" t="s">
        <v>120</v>
      </c>
      <c r="H1766" s="16">
        <v>45573.0</v>
      </c>
      <c r="I1766" s="14">
        <v>23.0</v>
      </c>
      <c r="J1766" s="13" t="s">
        <v>40</v>
      </c>
      <c r="K1766" s="13" t="s">
        <v>65</v>
      </c>
      <c r="L1766" s="14">
        <v>1711.0</v>
      </c>
      <c r="M1766" s="18" t="s">
        <v>43</v>
      </c>
      <c r="N1766" s="20">
        <v>0.0</v>
      </c>
      <c r="O1766" s="18">
        <v>28.9</v>
      </c>
      <c r="P1766" s="20">
        <v>2.7</v>
      </c>
      <c r="Q1766" s="16">
        <v>45700.0</v>
      </c>
      <c r="R1766" s="16" t="s">
        <v>38</v>
      </c>
      <c r="S1766" s="13" t="s">
        <v>55</v>
      </c>
      <c r="T1766" s="13" t="s">
        <v>104</v>
      </c>
      <c r="U1766" s="13" t="str">
        <f t="shared" si="1"/>
        <v>Low</v>
      </c>
      <c r="V1766" s="13" t="str">
        <f t="shared" si="2"/>
        <v>Median or Above</v>
      </c>
      <c r="W1766" s="13" t="str">
        <f t="shared" si="3"/>
        <v>13–24 Months</v>
      </c>
    </row>
    <row r="1767" hidden="1">
      <c r="A1767" s="13" t="s">
        <v>407</v>
      </c>
      <c r="B1767" s="13" t="s">
        <v>316</v>
      </c>
      <c r="C1767" s="14">
        <v>62.0</v>
      </c>
      <c r="D1767" s="13" t="s">
        <v>35</v>
      </c>
      <c r="E1767" s="13" t="s">
        <v>140</v>
      </c>
      <c r="F1767" s="13" t="s">
        <v>37</v>
      </c>
      <c r="G1767" s="13" t="s">
        <v>80</v>
      </c>
      <c r="H1767" s="16">
        <v>45236.0</v>
      </c>
      <c r="I1767" s="14">
        <v>18.0</v>
      </c>
      <c r="J1767" s="13" t="s">
        <v>40</v>
      </c>
      <c r="K1767" s="13" t="s">
        <v>81</v>
      </c>
      <c r="L1767" s="14">
        <v>1045.0</v>
      </c>
      <c r="M1767" s="18" t="s">
        <v>98</v>
      </c>
      <c r="N1767" s="20">
        <v>2.0</v>
      </c>
      <c r="O1767" s="18">
        <v>27.0</v>
      </c>
      <c r="P1767" s="20">
        <v>3.2</v>
      </c>
      <c r="Q1767" s="16">
        <v>45303.0</v>
      </c>
      <c r="R1767" s="16" t="s">
        <v>38</v>
      </c>
      <c r="S1767" s="13" t="s">
        <v>55</v>
      </c>
      <c r="T1767" s="13" t="s">
        <v>72</v>
      </c>
      <c r="U1767" s="13" t="str">
        <f t="shared" si="1"/>
        <v>Moderate</v>
      </c>
      <c r="V1767" s="13" t="str">
        <f t="shared" si="2"/>
        <v>Median or Above</v>
      </c>
      <c r="W1767" s="13" t="str">
        <f t="shared" si="3"/>
        <v>13–24 Months</v>
      </c>
    </row>
    <row r="1768" hidden="1">
      <c r="A1768" s="13" t="s">
        <v>2168</v>
      </c>
      <c r="B1768" s="13" t="s">
        <v>340</v>
      </c>
      <c r="C1768" s="14">
        <v>28.0</v>
      </c>
      <c r="D1768" s="13" t="s">
        <v>60</v>
      </c>
      <c r="E1768" s="13" t="s">
        <v>107</v>
      </c>
      <c r="F1768" s="13" t="s">
        <v>37</v>
      </c>
      <c r="G1768" s="13" t="s">
        <v>210</v>
      </c>
      <c r="H1768" s="16">
        <v>45593.0</v>
      </c>
      <c r="I1768" s="14">
        <v>15.0</v>
      </c>
      <c r="J1768" s="13" t="s">
        <v>53</v>
      </c>
      <c r="K1768" s="13" t="s">
        <v>65</v>
      </c>
      <c r="L1768" s="14">
        <v>1239.0</v>
      </c>
      <c r="M1768" s="18" t="s">
        <v>43</v>
      </c>
      <c r="N1768" s="20">
        <v>1.0</v>
      </c>
      <c r="O1768" s="18">
        <v>36.7</v>
      </c>
      <c r="P1768" s="20">
        <v>3.4</v>
      </c>
      <c r="Q1768" s="16">
        <v>45909.0</v>
      </c>
      <c r="R1768" s="16" t="s">
        <v>38</v>
      </c>
      <c r="S1768" s="13" t="s">
        <v>55</v>
      </c>
      <c r="T1768" s="13" t="s">
        <v>38</v>
      </c>
      <c r="U1768" s="13" t="str">
        <f t="shared" si="1"/>
        <v>Moderate</v>
      </c>
      <c r="V1768" s="13" t="str">
        <f t="shared" si="2"/>
        <v>Median or Above</v>
      </c>
      <c r="W1768" s="13" t="str">
        <f t="shared" si="3"/>
        <v>13–24 Months</v>
      </c>
    </row>
    <row r="1769" hidden="1">
      <c r="A1769" s="13" t="s">
        <v>2170</v>
      </c>
      <c r="B1769" s="13" t="s">
        <v>405</v>
      </c>
      <c r="C1769" s="14">
        <v>54.0</v>
      </c>
      <c r="D1769" s="13" t="s">
        <v>69</v>
      </c>
      <c r="E1769" s="13" t="s">
        <v>187</v>
      </c>
      <c r="F1769" s="13" t="s">
        <v>79</v>
      </c>
      <c r="G1769" s="13" t="s">
        <v>80</v>
      </c>
      <c r="H1769" s="16">
        <v>45262.0</v>
      </c>
      <c r="I1769" s="14">
        <v>7.0</v>
      </c>
      <c r="J1769" s="13" t="s">
        <v>40</v>
      </c>
      <c r="K1769" s="13" t="s">
        <v>81</v>
      </c>
      <c r="L1769" s="14">
        <v>3706.0</v>
      </c>
      <c r="M1769" s="18" t="s">
        <v>46</v>
      </c>
      <c r="N1769" s="20">
        <v>0.0</v>
      </c>
      <c r="O1769" s="18">
        <v>30.8</v>
      </c>
      <c r="P1769" s="20">
        <v>3.6</v>
      </c>
      <c r="Q1769" s="16">
        <v>45425.0</v>
      </c>
      <c r="R1769" s="16" t="s">
        <v>38</v>
      </c>
      <c r="S1769" s="13" t="s">
        <v>55</v>
      </c>
      <c r="T1769" s="13" t="s">
        <v>72</v>
      </c>
      <c r="U1769" s="13" t="str">
        <f t="shared" si="1"/>
        <v>Moderate</v>
      </c>
      <c r="V1769" s="13" t="str">
        <f t="shared" si="2"/>
        <v>Median or Above</v>
      </c>
      <c r="W1769" s="13" t="str">
        <f t="shared" si="3"/>
        <v>0–12 Months</v>
      </c>
    </row>
    <row r="1770" hidden="1">
      <c r="A1770" s="13" t="s">
        <v>806</v>
      </c>
      <c r="B1770" s="13" t="s">
        <v>476</v>
      </c>
      <c r="C1770" s="14">
        <v>33.0</v>
      </c>
      <c r="D1770" s="13" t="s">
        <v>85</v>
      </c>
      <c r="E1770" s="13" t="s">
        <v>111</v>
      </c>
      <c r="F1770" s="13" t="s">
        <v>79</v>
      </c>
      <c r="G1770" s="13" t="s">
        <v>63</v>
      </c>
      <c r="H1770" s="16">
        <v>46002.0</v>
      </c>
      <c r="I1770" s="14">
        <v>12.0</v>
      </c>
      <c r="J1770" s="13" t="s">
        <v>64</v>
      </c>
      <c r="K1770" s="13" t="s">
        <v>81</v>
      </c>
      <c r="L1770" s="14">
        <v>2247.0</v>
      </c>
      <c r="M1770" s="18" t="s">
        <v>376</v>
      </c>
      <c r="N1770" s="20">
        <v>0.0</v>
      </c>
      <c r="O1770" s="18">
        <v>38.1</v>
      </c>
      <c r="P1770" s="20">
        <v>2.5</v>
      </c>
      <c r="Q1770" s="16">
        <v>46368.0</v>
      </c>
      <c r="R1770" s="16" t="s">
        <v>38</v>
      </c>
      <c r="S1770" s="13" t="s">
        <v>55</v>
      </c>
      <c r="T1770" s="13" t="s">
        <v>72</v>
      </c>
      <c r="U1770" s="13" t="str">
        <f t="shared" si="1"/>
        <v>Low</v>
      </c>
      <c r="V1770" s="13" t="str">
        <f t="shared" si="2"/>
        <v>Median or Above</v>
      </c>
      <c r="W1770" s="13" t="str">
        <f t="shared" si="3"/>
        <v>0–12 Months</v>
      </c>
    </row>
    <row r="1771" hidden="1">
      <c r="A1771" s="13" t="s">
        <v>1134</v>
      </c>
      <c r="B1771" s="13" t="s">
        <v>470</v>
      </c>
      <c r="C1771" s="14">
        <v>19.0</v>
      </c>
      <c r="D1771" s="13" t="s">
        <v>60</v>
      </c>
      <c r="E1771" s="13" t="s">
        <v>61</v>
      </c>
      <c r="F1771" s="13" t="s">
        <v>37</v>
      </c>
      <c r="G1771" s="13" t="s">
        <v>52</v>
      </c>
      <c r="H1771" s="16">
        <v>45698.0</v>
      </c>
      <c r="I1771" s="14">
        <v>17.0</v>
      </c>
      <c r="J1771" s="13" t="s">
        <v>53</v>
      </c>
      <c r="K1771" s="13" t="s">
        <v>81</v>
      </c>
      <c r="L1771" s="14">
        <v>1320.0</v>
      </c>
      <c r="M1771" s="18" t="s">
        <v>99</v>
      </c>
      <c r="N1771" s="20">
        <v>0.0</v>
      </c>
      <c r="O1771" s="18">
        <v>41.6</v>
      </c>
      <c r="P1771" s="20">
        <v>5.0</v>
      </c>
      <c r="Q1771" s="16">
        <v>45930.0</v>
      </c>
      <c r="R1771" s="16" t="s">
        <v>38</v>
      </c>
      <c r="S1771" s="13" t="s">
        <v>55</v>
      </c>
      <c r="T1771" s="13" t="s">
        <v>75</v>
      </c>
      <c r="U1771" s="13" t="str">
        <f t="shared" si="1"/>
        <v>High</v>
      </c>
      <c r="V1771" s="13" t="str">
        <f t="shared" si="2"/>
        <v>Median or Above</v>
      </c>
      <c r="W1771" s="13" t="str">
        <f t="shared" si="3"/>
        <v>13–24 Months</v>
      </c>
    </row>
    <row r="1772" hidden="1">
      <c r="A1772" s="13" t="s">
        <v>2171</v>
      </c>
      <c r="B1772" s="13" t="s">
        <v>152</v>
      </c>
      <c r="C1772" s="14">
        <v>54.0</v>
      </c>
      <c r="D1772" s="13" t="s">
        <v>60</v>
      </c>
      <c r="E1772" s="13" t="s">
        <v>61</v>
      </c>
      <c r="F1772" s="13" t="s">
        <v>37</v>
      </c>
      <c r="G1772" s="13" t="s">
        <v>120</v>
      </c>
      <c r="H1772" s="16">
        <v>45986.0</v>
      </c>
      <c r="I1772" s="14">
        <v>43.0</v>
      </c>
      <c r="J1772" s="13" t="s">
        <v>64</v>
      </c>
      <c r="K1772" s="13" t="s">
        <v>81</v>
      </c>
      <c r="L1772" s="14">
        <v>1550.0</v>
      </c>
      <c r="M1772" s="18" t="s">
        <v>173</v>
      </c>
      <c r="N1772" s="20">
        <v>2.0</v>
      </c>
      <c r="O1772" s="18">
        <v>51.3</v>
      </c>
      <c r="P1772" s="20">
        <v>4.1</v>
      </c>
      <c r="Q1772" s="16">
        <v>46273.0</v>
      </c>
      <c r="R1772" s="16" t="s">
        <v>38</v>
      </c>
      <c r="S1772" s="13" t="s">
        <v>55</v>
      </c>
      <c r="T1772" s="13" t="s">
        <v>66</v>
      </c>
      <c r="U1772" s="13" t="str">
        <f t="shared" si="1"/>
        <v>Moderate</v>
      </c>
      <c r="V1772" s="13" t="str">
        <f t="shared" si="2"/>
        <v>Median or Above</v>
      </c>
      <c r="W1772" s="13" t="str">
        <f t="shared" si="3"/>
        <v>25–48 Months</v>
      </c>
    </row>
    <row r="1773" hidden="1">
      <c r="A1773" s="13" t="s">
        <v>2172</v>
      </c>
      <c r="B1773" s="13" t="s">
        <v>247</v>
      </c>
      <c r="C1773" s="14">
        <v>23.0</v>
      </c>
      <c r="D1773" s="13" t="s">
        <v>35</v>
      </c>
      <c r="E1773" s="13" t="s">
        <v>140</v>
      </c>
      <c r="F1773" s="13" t="s">
        <v>37</v>
      </c>
      <c r="G1773" s="13" t="s">
        <v>128</v>
      </c>
      <c r="H1773" s="16">
        <v>44947.0</v>
      </c>
      <c r="I1773" s="14">
        <v>22.0</v>
      </c>
      <c r="J1773" s="13" t="s">
        <v>40</v>
      </c>
      <c r="K1773" s="13" t="s">
        <v>41</v>
      </c>
      <c r="L1773" s="14">
        <v>1094.0</v>
      </c>
      <c r="M1773" s="18" t="s">
        <v>164</v>
      </c>
      <c r="N1773" s="20">
        <v>2.0</v>
      </c>
      <c r="O1773" s="18">
        <v>27.7</v>
      </c>
      <c r="P1773" s="20">
        <v>3.2</v>
      </c>
      <c r="Q1773" s="16">
        <v>45367.0</v>
      </c>
      <c r="R1773" s="16" t="s">
        <v>38</v>
      </c>
      <c r="S1773" s="13" t="s">
        <v>55</v>
      </c>
      <c r="T1773" s="13" t="s">
        <v>66</v>
      </c>
      <c r="U1773" s="13" t="str">
        <f t="shared" si="1"/>
        <v>Moderate</v>
      </c>
      <c r="V1773" s="13" t="str">
        <f t="shared" si="2"/>
        <v>Median or Above</v>
      </c>
      <c r="W1773" s="13" t="str">
        <f t="shared" si="3"/>
        <v>13–24 Months</v>
      </c>
    </row>
    <row r="1774" hidden="1">
      <c r="A1774" s="13" t="s">
        <v>2173</v>
      </c>
      <c r="B1774" s="13" t="s">
        <v>126</v>
      </c>
      <c r="C1774" s="14">
        <v>38.0</v>
      </c>
      <c r="D1774" s="13" t="s">
        <v>69</v>
      </c>
      <c r="E1774" s="13" t="s">
        <v>119</v>
      </c>
      <c r="F1774" s="13" t="s">
        <v>37</v>
      </c>
      <c r="G1774" s="13" t="s">
        <v>63</v>
      </c>
      <c r="H1774" s="16">
        <v>45980.0</v>
      </c>
      <c r="I1774" s="14">
        <v>9.0</v>
      </c>
      <c r="J1774" s="13" t="s">
        <v>40</v>
      </c>
      <c r="K1774" s="13" t="s">
        <v>81</v>
      </c>
      <c r="L1774" s="14">
        <v>1230.0</v>
      </c>
      <c r="M1774" s="18" t="s">
        <v>98</v>
      </c>
      <c r="N1774" s="20">
        <v>1.0</v>
      </c>
      <c r="O1774" s="18">
        <v>26.9</v>
      </c>
      <c r="P1774" s="20">
        <v>4.5</v>
      </c>
      <c r="Q1774" s="16">
        <v>46140.0</v>
      </c>
      <c r="R1774" s="16" t="s">
        <v>38</v>
      </c>
      <c r="S1774" s="13" t="s">
        <v>55</v>
      </c>
      <c r="T1774" s="13" t="s">
        <v>47</v>
      </c>
      <c r="U1774" s="13" t="str">
        <f t="shared" si="1"/>
        <v>Moderate</v>
      </c>
      <c r="V1774" s="13" t="str">
        <f t="shared" si="2"/>
        <v>Median or Above</v>
      </c>
      <c r="W1774" s="13" t="str">
        <f t="shared" si="3"/>
        <v>0–12 Months</v>
      </c>
    </row>
    <row r="1775" hidden="1">
      <c r="A1775" s="13" t="s">
        <v>2174</v>
      </c>
      <c r="B1775" s="13" t="s">
        <v>160</v>
      </c>
      <c r="C1775" s="14">
        <v>46.0</v>
      </c>
      <c r="D1775" s="13" t="s">
        <v>69</v>
      </c>
      <c r="E1775" s="13" t="s">
        <v>177</v>
      </c>
      <c r="F1775" s="13" t="s">
        <v>62</v>
      </c>
      <c r="G1775" s="13" t="s">
        <v>80</v>
      </c>
      <c r="H1775" s="16">
        <v>45637.0</v>
      </c>
      <c r="I1775" s="14">
        <v>47.0</v>
      </c>
      <c r="J1775" s="13" t="s">
        <v>53</v>
      </c>
      <c r="K1775" s="13" t="s">
        <v>65</v>
      </c>
      <c r="L1775" s="14">
        <v>530.0</v>
      </c>
      <c r="M1775" s="18" t="s">
        <v>46</v>
      </c>
      <c r="N1775" s="20">
        <v>2.0</v>
      </c>
      <c r="O1775" s="18">
        <v>27.9</v>
      </c>
      <c r="P1775" s="20">
        <v>3.5</v>
      </c>
      <c r="Q1775" s="16">
        <v>46150.0</v>
      </c>
      <c r="R1775" s="16" t="s">
        <v>38</v>
      </c>
      <c r="S1775" s="13" t="s">
        <v>55</v>
      </c>
      <c r="T1775" s="13" t="s">
        <v>104</v>
      </c>
      <c r="U1775" s="13" t="str">
        <f t="shared" si="1"/>
        <v>Moderate</v>
      </c>
      <c r="V1775" s="13" t="str">
        <f t="shared" si="2"/>
        <v>Median or Above</v>
      </c>
      <c r="W1775" s="13" t="str">
        <f t="shared" si="3"/>
        <v>25–48 Months</v>
      </c>
    </row>
    <row r="1776" hidden="1">
      <c r="A1776" s="13" t="s">
        <v>1808</v>
      </c>
      <c r="B1776" s="13" t="s">
        <v>250</v>
      </c>
      <c r="C1776" s="14">
        <v>67.0</v>
      </c>
      <c r="D1776" s="13" t="s">
        <v>35</v>
      </c>
      <c r="E1776" s="13" t="s">
        <v>161</v>
      </c>
      <c r="F1776" s="13" t="s">
        <v>62</v>
      </c>
      <c r="G1776" s="13" t="s">
        <v>39</v>
      </c>
      <c r="H1776" s="16">
        <v>45169.0</v>
      </c>
      <c r="I1776" s="14">
        <v>36.0</v>
      </c>
      <c r="J1776" s="13" t="s">
        <v>53</v>
      </c>
      <c r="K1776" s="13" t="s">
        <v>41</v>
      </c>
      <c r="L1776" s="14">
        <v>637.0</v>
      </c>
      <c r="M1776" s="18" t="s">
        <v>43</v>
      </c>
      <c r="N1776" s="20">
        <v>1.0</v>
      </c>
      <c r="O1776" s="18">
        <v>26.4</v>
      </c>
      <c r="P1776" s="20">
        <v>4.5</v>
      </c>
      <c r="Q1776" s="16">
        <v>45242.0</v>
      </c>
      <c r="R1776" s="16" t="s">
        <v>465</v>
      </c>
      <c r="S1776" s="13" t="s">
        <v>45</v>
      </c>
      <c r="T1776" s="13" t="s">
        <v>66</v>
      </c>
      <c r="U1776" s="13" t="str">
        <f t="shared" si="1"/>
        <v>Moderate</v>
      </c>
      <c r="V1776" s="13" t="str">
        <f t="shared" si="2"/>
        <v>Median or Above</v>
      </c>
      <c r="W1776" s="13" t="str">
        <f t="shared" si="3"/>
        <v>25–48 Months</v>
      </c>
    </row>
    <row r="1777" hidden="1">
      <c r="A1777" s="13" t="s">
        <v>1608</v>
      </c>
      <c r="B1777" s="13" t="s">
        <v>152</v>
      </c>
      <c r="C1777" s="14">
        <v>58.0</v>
      </c>
      <c r="D1777" s="13" t="s">
        <v>85</v>
      </c>
      <c r="E1777" s="13" t="s">
        <v>87</v>
      </c>
      <c r="F1777" s="13" t="s">
        <v>62</v>
      </c>
      <c r="G1777" s="13" t="s">
        <v>63</v>
      </c>
      <c r="H1777" s="16">
        <v>44803.0</v>
      </c>
      <c r="I1777" s="14">
        <v>43.0</v>
      </c>
      <c r="J1777" s="13" t="s">
        <v>64</v>
      </c>
      <c r="K1777" s="13" t="s">
        <v>65</v>
      </c>
      <c r="L1777" s="14" t="s">
        <v>38</v>
      </c>
      <c r="M1777" s="18" t="s">
        <v>98</v>
      </c>
      <c r="N1777" s="20">
        <v>0.0</v>
      </c>
      <c r="O1777" s="18">
        <v>14.6</v>
      </c>
      <c r="P1777" s="20">
        <v>5.0</v>
      </c>
      <c r="Q1777" s="16">
        <v>45501.0</v>
      </c>
      <c r="R1777" s="16" t="s">
        <v>2175</v>
      </c>
      <c r="S1777" s="13" t="s">
        <v>45</v>
      </c>
      <c r="T1777" s="13" t="s">
        <v>104</v>
      </c>
      <c r="U1777" s="13" t="str">
        <f t="shared" si="1"/>
        <v>High</v>
      </c>
      <c r="V1777" s="13" t="str">
        <f t="shared" si="2"/>
        <v>Below Median</v>
      </c>
      <c r="W1777" s="13" t="str">
        <f t="shared" si="3"/>
        <v>25–48 Months</v>
      </c>
    </row>
    <row r="1778" hidden="1">
      <c r="A1778" s="13" t="s">
        <v>2176</v>
      </c>
      <c r="B1778" s="13" t="s">
        <v>78</v>
      </c>
      <c r="C1778" s="14">
        <v>38.0</v>
      </c>
      <c r="D1778" s="13" t="s">
        <v>85</v>
      </c>
      <c r="E1778" s="13" t="s">
        <v>92</v>
      </c>
      <c r="F1778" s="13" t="s">
        <v>62</v>
      </c>
      <c r="G1778" s="13" t="s">
        <v>80</v>
      </c>
      <c r="H1778" s="16">
        <v>45831.0</v>
      </c>
      <c r="I1778" s="14">
        <v>46.0</v>
      </c>
      <c r="J1778" s="13" t="s">
        <v>53</v>
      </c>
      <c r="K1778" s="13" t="s">
        <v>41</v>
      </c>
      <c r="L1778" s="14">
        <v>597.0</v>
      </c>
      <c r="M1778" s="18" t="s">
        <v>98</v>
      </c>
      <c r="N1778" s="20">
        <v>0.0</v>
      </c>
      <c r="O1778" s="18">
        <v>14.4</v>
      </c>
      <c r="P1778" s="20">
        <v>3.5</v>
      </c>
      <c r="Q1778" s="16">
        <v>46496.0</v>
      </c>
      <c r="R1778" s="16" t="s">
        <v>38</v>
      </c>
      <c r="S1778" s="13" t="s">
        <v>55</v>
      </c>
      <c r="T1778" s="13" t="s">
        <v>66</v>
      </c>
      <c r="U1778" s="13" t="str">
        <f t="shared" si="1"/>
        <v>Moderate</v>
      </c>
      <c r="V1778" s="13" t="str">
        <f t="shared" si="2"/>
        <v>Below Median</v>
      </c>
      <c r="W1778" s="13" t="str">
        <f t="shared" si="3"/>
        <v>25–48 Months</v>
      </c>
    </row>
    <row r="1779" hidden="1">
      <c r="A1779" s="13" t="s">
        <v>1930</v>
      </c>
      <c r="B1779" s="13" t="s">
        <v>106</v>
      </c>
      <c r="C1779" s="14">
        <v>21.0</v>
      </c>
      <c r="D1779" s="13" t="s">
        <v>69</v>
      </c>
      <c r="E1779" s="13" t="s">
        <v>119</v>
      </c>
      <c r="F1779" s="13" t="s">
        <v>79</v>
      </c>
      <c r="G1779" s="13" t="s">
        <v>52</v>
      </c>
      <c r="H1779" s="16">
        <v>44706.0</v>
      </c>
      <c r="I1779" s="14">
        <v>2.0</v>
      </c>
      <c r="J1779" s="13" t="s">
        <v>64</v>
      </c>
      <c r="K1779" s="13" t="s">
        <v>41</v>
      </c>
      <c r="L1779" s="14">
        <v>2653.0</v>
      </c>
      <c r="M1779" s="18" t="s">
        <v>99</v>
      </c>
      <c r="N1779" s="20">
        <v>3.0</v>
      </c>
      <c r="O1779" s="18">
        <v>31.4</v>
      </c>
      <c r="P1779" s="20">
        <v>4.7</v>
      </c>
      <c r="Q1779" s="16">
        <v>44750.0</v>
      </c>
      <c r="R1779" s="16" t="s">
        <v>38</v>
      </c>
      <c r="S1779" s="13" t="s">
        <v>55</v>
      </c>
      <c r="T1779" s="13" t="s">
        <v>47</v>
      </c>
      <c r="U1779" s="13" t="str">
        <f t="shared" si="1"/>
        <v>Moderate</v>
      </c>
      <c r="V1779" s="13" t="str">
        <f t="shared" si="2"/>
        <v>Median or Above</v>
      </c>
      <c r="W1779" s="13" t="str">
        <f t="shared" si="3"/>
        <v>0–12 Months</v>
      </c>
    </row>
    <row r="1780" hidden="1">
      <c r="A1780" s="13" t="s">
        <v>660</v>
      </c>
      <c r="B1780" s="13" t="s">
        <v>333</v>
      </c>
      <c r="C1780" s="14">
        <v>24.0</v>
      </c>
      <c r="D1780" s="13" t="s">
        <v>85</v>
      </c>
      <c r="E1780" s="13" t="s">
        <v>87</v>
      </c>
      <c r="F1780" s="13" t="s">
        <v>62</v>
      </c>
      <c r="G1780" s="13" t="s">
        <v>52</v>
      </c>
      <c r="H1780" s="16">
        <v>45429.0</v>
      </c>
      <c r="I1780" s="14">
        <v>39.0</v>
      </c>
      <c r="J1780" s="13" t="s">
        <v>64</v>
      </c>
      <c r="K1780" s="13" t="s">
        <v>65</v>
      </c>
      <c r="L1780" s="14">
        <v>584.0</v>
      </c>
      <c r="M1780" s="18" t="s">
        <v>164</v>
      </c>
      <c r="N1780" s="20">
        <v>1.0</v>
      </c>
      <c r="O1780" s="18">
        <v>10.3</v>
      </c>
      <c r="P1780" s="20">
        <v>3.2</v>
      </c>
      <c r="Q1780" s="16">
        <v>45917.0</v>
      </c>
      <c r="R1780" s="16" t="s">
        <v>38</v>
      </c>
      <c r="S1780" s="13" t="s">
        <v>55</v>
      </c>
      <c r="T1780" s="13" t="s">
        <v>104</v>
      </c>
      <c r="U1780" s="13" t="str">
        <f t="shared" si="1"/>
        <v>Moderate</v>
      </c>
      <c r="V1780" s="13" t="str">
        <f t="shared" si="2"/>
        <v>Below Median</v>
      </c>
      <c r="W1780" s="13" t="str">
        <f t="shared" si="3"/>
        <v>25–48 Months</v>
      </c>
    </row>
    <row r="1781" hidden="1">
      <c r="A1781" s="13" t="s">
        <v>1921</v>
      </c>
      <c r="B1781" s="13" t="s">
        <v>152</v>
      </c>
      <c r="C1781" s="14">
        <v>43.0</v>
      </c>
      <c r="D1781" s="13" t="s">
        <v>69</v>
      </c>
      <c r="E1781" s="13" t="s">
        <v>70</v>
      </c>
      <c r="F1781" s="13" t="s">
        <v>37</v>
      </c>
      <c r="G1781" s="13" t="s">
        <v>128</v>
      </c>
      <c r="H1781" s="16">
        <v>45034.0</v>
      </c>
      <c r="I1781" s="14">
        <v>20.0</v>
      </c>
      <c r="J1781" s="13" t="s">
        <v>53</v>
      </c>
      <c r="K1781" s="13" t="s">
        <v>81</v>
      </c>
      <c r="L1781" s="14">
        <v>1645.0</v>
      </c>
      <c r="M1781" s="18" t="s">
        <v>46</v>
      </c>
      <c r="N1781" s="20">
        <v>1.0</v>
      </c>
      <c r="O1781" s="18">
        <v>31.3</v>
      </c>
      <c r="P1781" s="20">
        <v>4.2</v>
      </c>
      <c r="Q1781" s="16">
        <v>45196.0</v>
      </c>
      <c r="R1781" s="16" t="s">
        <v>38</v>
      </c>
      <c r="S1781" s="13" t="s">
        <v>55</v>
      </c>
      <c r="T1781" s="13" t="s">
        <v>47</v>
      </c>
      <c r="U1781" s="13" t="str">
        <f t="shared" si="1"/>
        <v>Moderate</v>
      </c>
      <c r="V1781" s="13" t="str">
        <f t="shared" si="2"/>
        <v>Median or Above</v>
      </c>
      <c r="W1781" s="13" t="str">
        <f t="shared" si="3"/>
        <v>13–24 Months</v>
      </c>
    </row>
    <row r="1782" hidden="1">
      <c r="A1782" s="13" t="s">
        <v>2177</v>
      </c>
      <c r="B1782" s="13" t="s">
        <v>250</v>
      </c>
      <c r="C1782" s="14">
        <v>49.0</v>
      </c>
      <c r="D1782" s="13" t="s">
        <v>69</v>
      </c>
      <c r="E1782" s="13" t="s">
        <v>177</v>
      </c>
      <c r="F1782" s="13" t="s">
        <v>62</v>
      </c>
      <c r="G1782" s="13" t="s">
        <v>39</v>
      </c>
      <c r="H1782" s="16">
        <v>45176.0</v>
      </c>
      <c r="I1782" s="14">
        <v>44.0</v>
      </c>
      <c r="J1782" s="13" t="s">
        <v>53</v>
      </c>
      <c r="K1782" s="13" t="s">
        <v>41</v>
      </c>
      <c r="L1782" s="14">
        <v>808.0</v>
      </c>
      <c r="M1782" s="18" t="s">
        <v>43</v>
      </c>
      <c r="N1782" s="20">
        <v>0.0</v>
      </c>
      <c r="O1782" s="18">
        <v>22.6</v>
      </c>
      <c r="P1782" s="20">
        <v>3.8</v>
      </c>
      <c r="Q1782" s="16">
        <v>45673.0</v>
      </c>
      <c r="R1782" s="16" t="s">
        <v>38</v>
      </c>
      <c r="S1782" s="13" t="s">
        <v>55</v>
      </c>
      <c r="T1782" s="13" t="s">
        <v>66</v>
      </c>
      <c r="U1782" s="13" t="str">
        <f t="shared" si="1"/>
        <v>Moderate</v>
      </c>
      <c r="V1782" s="13" t="str">
        <f t="shared" si="2"/>
        <v>Below Median</v>
      </c>
      <c r="W1782" s="13" t="str">
        <f t="shared" si="3"/>
        <v>25–48 Months</v>
      </c>
    </row>
    <row r="1783" hidden="1">
      <c r="A1783" s="13" t="s">
        <v>540</v>
      </c>
      <c r="B1783" s="13" t="s">
        <v>206</v>
      </c>
      <c r="C1783" s="14">
        <v>54.0</v>
      </c>
      <c r="D1783" s="13" t="s">
        <v>85</v>
      </c>
      <c r="E1783" s="13" t="s">
        <v>92</v>
      </c>
      <c r="F1783" s="13" t="s">
        <v>37</v>
      </c>
      <c r="G1783" s="13" t="s">
        <v>80</v>
      </c>
      <c r="H1783" s="16">
        <v>45452.0</v>
      </c>
      <c r="I1783" s="14">
        <v>24.0</v>
      </c>
      <c r="J1783" s="13" t="s">
        <v>53</v>
      </c>
      <c r="K1783" s="13" t="s">
        <v>65</v>
      </c>
      <c r="L1783" s="14">
        <v>1290.0</v>
      </c>
      <c r="M1783" s="18" t="s">
        <v>98</v>
      </c>
      <c r="N1783" s="20">
        <v>0.0</v>
      </c>
      <c r="O1783" s="18">
        <v>19.9</v>
      </c>
      <c r="P1783" s="20">
        <v>3.8</v>
      </c>
      <c r="Q1783" s="16">
        <v>46037.0</v>
      </c>
      <c r="R1783" s="16">
        <v>45778.0</v>
      </c>
      <c r="S1783" s="13" t="s">
        <v>45</v>
      </c>
      <c r="T1783" s="13" t="s">
        <v>104</v>
      </c>
      <c r="U1783" s="13" t="str">
        <f t="shared" si="1"/>
        <v>Moderate</v>
      </c>
      <c r="V1783" s="13" t="str">
        <f t="shared" si="2"/>
        <v>Below Median</v>
      </c>
      <c r="W1783" s="13" t="str">
        <f t="shared" si="3"/>
        <v>13–24 Months</v>
      </c>
    </row>
    <row r="1784" hidden="1">
      <c r="A1784" s="13" t="s">
        <v>1525</v>
      </c>
      <c r="B1784" s="13" t="s">
        <v>232</v>
      </c>
      <c r="C1784" s="14">
        <v>49.0</v>
      </c>
      <c r="D1784" s="13" t="s">
        <v>60</v>
      </c>
      <c r="E1784" s="13" t="s">
        <v>97</v>
      </c>
      <c r="F1784" s="13" t="s">
        <v>62</v>
      </c>
      <c r="G1784" s="13" t="s">
        <v>128</v>
      </c>
      <c r="H1784" s="16">
        <v>44606.0</v>
      </c>
      <c r="I1784" s="14">
        <v>37.0</v>
      </c>
      <c r="J1784" s="13" t="s">
        <v>64</v>
      </c>
      <c r="K1784" s="13" t="s">
        <v>41</v>
      </c>
      <c r="L1784" s="14">
        <v>582.0</v>
      </c>
      <c r="M1784" s="18" t="s">
        <v>46</v>
      </c>
      <c r="N1784" s="20">
        <v>1.0</v>
      </c>
      <c r="O1784" s="18">
        <v>11.1</v>
      </c>
      <c r="P1784" s="20">
        <v>4.9</v>
      </c>
      <c r="Q1784" s="16">
        <v>45687.0</v>
      </c>
      <c r="R1784" s="16" t="s">
        <v>334</v>
      </c>
      <c r="S1784" s="13" t="s">
        <v>45</v>
      </c>
      <c r="T1784" s="13" t="s">
        <v>47</v>
      </c>
      <c r="U1784" s="13" t="str">
        <f t="shared" si="1"/>
        <v>Moderate</v>
      </c>
      <c r="V1784" s="13" t="str">
        <f t="shared" si="2"/>
        <v>Below Median</v>
      </c>
      <c r="W1784" s="13" t="str">
        <f t="shared" si="3"/>
        <v>25–48 Months</v>
      </c>
    </row>
    <row r="1785" hidden="1">
      <c r="A1785" s="13" t="s">
        <v>2179</v>
      </c>
      <c r="B1785" s="13" t="s">
        <v>169</v>
      </c>
      <c r="C1785" s="14">
        <v>26.0</v>
      </c>
      <c r="D1785" s="13" t="s">
        <v>60</v>
      </c>
      <c r="E1785" s="13" t="s">
        <v>87</v>
      </c>
      <c r="F1785" s="13" t="s">
        <v>62</v>
      </c>
      <c r="G1785" s="13" t="s">
        <v>39</v>
      </c>
      <c r="H1785" s="16">
        <v>45222.0</v>
      </c>
      <c r="I1785" s="14">
        <v>39.0</v>
      </c>
      <c r="J1785" s="13" t="s">
        <v>64</v>
      </c>
      <c r="K1785" s="13" t="s">
        <v>81</v>
      </c>
      <c r="L1785" s="14">
        <v>739.0</v>
      </c>
      <c r="M1785" s="18" t="s">
        <v>173</v>
      </c>
      <c r="N1785" s="20">
        <v>0.0</v>
      </c>
      <c r="O1785" s="18">
        <v>28.0</v>
      </c>
      <c r="P1785" s="20">
        <v>3.8</v>
      </c>
      <c r="Q1785" s="16">
        <v>45323.0</v>
      </c>
      <c r="R1785" s="16" t="s">
        <v>38</v>
      </c>
      <c r="S1785" s="13" t="s">
        <v>55</v>
      </c>
      <c r="T1785" s="13" t="s">
        <v>47</v>
      </c>
      <c r="U1785" s="13" t="str">
        <f t="shared" si="1"/>
        <v>Moderate</v>
      </c>
      <c r="V1785" s="13" t="str">
        <f t="shared" si="2"/>
        <v>Median or Above</v>
      </c>
      <c r="W1785" s="13" t="str">
        <f t="shared" si="3"/>
        <v>25–48 Months</v>
      </c>
    </row>
    <row r="1786" hidden="1">
      <c r="A1786" s="13" t="s">
        <v>1796</v>
      </c>
      <c r="B1786" s="13" t="s">
        <v>34</v>
      </c>
      <c r="C1786" s="14">
        <v>61.0</v>
      </c>
      <c r="D1786" s="13" t="s">
        <v>35</v>
      </c>
      <c r="E1786" s="13" t="s">
        <v>161</v>
      </c>
      <c r="F1786" s="13" t="s">
        <v>62</v>
      </c>
      <c r="G1786" s="13" t="s">
        <v>80</v>
      </c>
      <c r="H1786" s="16">
        <v>45603.0</v>
      </c>
      <c r="I1786" s="14">
        <v>30.0</v>
      </c>
      <c r="J1786" s="13" t="s">
        <v>53</v>
      </c>
      <c r="K1786" s="13" t="s">
        <v>81</v>
      </c>
      <c r="L1786" s="14">
        <v>639.0</v>
      </c>
      <c r="M1786" s="18" t="s">
        <v>43</v>
      </c>
      <c r="N1786" s="20">
        <v>0.0</v>
      </c>
      <c r="O1786" s="18">
        <v>7.3</v>
      </c>
      <c r="P1786" s="20">
        <v>3.5</v>
      </c>
      <c r="Q1786" s="16">
        <v>46360.0</v>
      </c>
      <c r="R1786" s="16" t="s">
        <v>38</v>
      </c>
      <c r="S1786" s="13" t="s">
        <v>55</v>
      </c>
      <c r="T1786" s="13" t="s">
        <v>75</v>
      </c>
      <c r="U1786" s="13" t="str">
        <f t="shared" si="1"/>
        <v>Moderate</v>
      </c>
      <c r="V1786" s="13" t="str">
        <f t="shared" si="2"/>
        <v>Below Median</v>
      </c>
      <c r="W1786" s="13" t="str">
        <f t="shared" si="3"/>
        <v>25–48 Months</v>
      </c>
    </row>
    <row r="1787" hidden="1">
      <c r="A1787" s="13" t="s">
        <v>1320</v>
      </c>
      <c r="B1787" s="13" t="s">
        <v>308</v>
      </c>
      <c r="C1787" s="14">
        <v>24.0</v>
      </c>
      <c r="D1787" s="13" t="s">
        <v>85</v>
      </c>
      <c r="E1787" s="13" t="s">
        <v>92</v>
      </c>
      <c r="F1787" s="13" t="s">
        <v>37</v>
      </c>
      <c r="G1787" s="13" t="s">
        <v>63</v>
      </c>
      <c r="H1787" s="16">
        <v>45997.0</v>
      </c>
      <c r="I1787" s="14">
        <v>7.0</v>
      </c>
      <c r="J1787" s="13" t="s">
        <v>53</v>
      </c>
      <c r="K1787" s="13" t="s">
        <v>81</v>
      </c>
      <c r="L1787" s="14">
        <v>1021.0</v>
      </c>
      <c r="M1787" s="18" t="s">
        <v>43</v>
      </c>
      <c r="N1787" s="20">
        <v>1.0</v>
      </c>
      <c r="O1787" s="18">
        <v>36.0</v>
      </c>
      <c r="P1787" s="20">
        <v>3.7</v>
      </c>
      <c r="Q1787" s="16">
        <v>46225.0</v>
      </c>
      <c r="R1787" s="16" t="s">
        <v>38</v>
      </c>
      <c r="S1787" s="13" t="s">
        <v>55</v>
      </c>
      <c r="T1787" s="13" t="s">
        <v>75</v>
      </c>
      <c r="U1787" s="13" t="str">
        <f t="shared" si="1"/>
        <v>Moderate</v>
      </c>
      <c r="V1787" s="13" t="str">
        <f t="shared" si="2"/>
        <v>Median or Above</v>
      </c>
      <c r="W1787" s="13" t="str">
        <f t="shared" si="3"/>
        <v>0–12 Months</v>
      </c>
    </row>
    <row r="1788" hidden="1">
      <c r="A1788" s="13" t="s">
        <v>2180</v>
      </c>
      <c r="B1788" s="13" t="s">
        <v>257</v>
      </c>
      <c r="C1788" s="14">
        <v>45.0</v>
      </c>
      <c r="D1788" s="13" t="s">
        <v>35</v>
      </c>
      <c r="E1788" s="13" t="s">
        <v>36</v>
      </c>
      <c r="F1788" s="13" t="s">
        <v>79</v>
      </c>
      <c r="G1788" s="13" t="s">
        <v>39</v>
      </c>
      <c r="H1788" s="16">
        <v>45634.0</v>
      </c>
      <c r="I1788" s="14">
        <v>17.0</v>
      </c>
      <c r="J1788" s="13" t="s">
        <v>53</v>
      </c>
      <c r="K1788" s="13" t="s">
        <v>81</v>
      </c>
      <c r="L1788" s="14">
        <v>2209.0</v>
      </c>
      <c r="M1788" s="18" t="s">
        <v>43</v>
      </c>
      <c r="N1788" s="20">
        <v>1.0</v>
      </c>
      <c r="O1788" s="18">
        <v>34.7</v>
      </c>
      <c r="P1788" s="20">
        <v>3.8</v>
      </c>
      <c r="Q1788" s="16">
        <v>45988.0</v>
      </c>
      <c r="R1788" s="16" t="s">
        <v>2181</v>
      </c>
      <c r="S1788" s="13" t="s">
        <v>45</v>
      </c>
      <c r="T1788" s="13" t="s">
        <v>72</v>
      </c>
      <c r="U1788" s="13" t="str">
        <f t="shared" si="1"/>
        <v>Moderate</v>
      </c>
      <c r="V1788" s="13" t="str">
        <f t="shared" si="2"/>
        <v>Median or Above</v>
      </c>
      <c r="W1788" s="13" t="str">
        <f t="shared" si="3"/>
        <v>13–24 Months</v>
      </c>
    </row>
    <row r="1789" hidden="1">
      <c r="A1789" s="13" t="s">
        <v>1751</v>
      </c>
      <c r="B1789" s="13" t="s">
        <v>78</v>
      </c>
      <c r="C1789" s="14">
        <v>32.0</v>
      </c>
      <c r="D1789" s="13" t="s">
        <v>60</v>
      </c>
      <c r="E1789" s="13" t="s">
        <v>61</v>
      </c>
      <c r="F1789" s="13" t="s">
        <v>37</v>
      </c>
      <c r="G1789" s="13" t="s">
        <v>80</v>
      </c>
      <c r="H1789" s="16">
        <v>45427.0</v>
      </c>
      <c r="I1789" s="14">
        <v>2.0</v>
      </c>
      <c r="J1789" s="13" t="s">
        <v>53</v>
      </c>
      <c r="K1789" s="13" t="s">
        <v>81</v>
      </c>
      <c r="L1789" s="14">
        <v>1502.0</v>
      </c>
      <c r="M1789" s="18" t="s">
        <v>99</v>
      </c>
      <c r="N1789" s="20">
        <v>1.0</v>
      </c>
      <c r="O1789" s="18">
        <v>28.8</v>
      </c>
      <c r="P1789" s="20">
        <v>1.9</v>
      </c>
      <c r="Q1789" s="16">
        <v>45474.0</v>
      </c>
      <c r="R1789" s="16" t="s">
        <v>38</v>
      </c>
      <c r="S1789" s="13" t="s">
        <v>55</v>
      </c>
      <c r="T1789" s="13" t="s">
        <v>47</v>
      </c>
      <c r="U1789" s="13" t="str">
        <f t="shared" si="1"/>
        <v>Low</v>
      </c>
      <c r="V1789" s="13" t="str">
        <f t="shared" si="2"/>
        <v>Median or Above</v>
      </c>
      <c r="W1789" s="13" t="str">
        <f t="shared" si="3"/>
        <v>0–12 Months</v>
      </c>
    </row>
    <row r="1790" hidden="1">
      <c r="A1790" s="13" t="s">
        <v>1661</v>
      </c>
      <c r="B1790" s="13" t="s">
        <v>257</v>
      </c>
      <c r="C1790" s="14">
        <v>38.0</v>
      </c>
      <c r="D1790" s="13" t="s">
        <v>85</v>
      </c>
      <c r="E1790" s="13" t="s">
        <v>92</v>
      </c>
      <c r="F1790" s="13" t="s">
        <v>62</v>
      </c>
      <c r="G1790" s="13" t="s">
        <v>210</v>
      </c>
      <c r="H1790" s="16">
        <v>45225.0</v>
      </c>
      <c r="I1790" s="14">
        <v>2.0</v>
      </c>
      <c r="J1790" s="13" t="s">
        <v>40</v>
      </c>
      <c r="K1790" s="13" t="s">
        <v>41</v>
      </c>
      <c r="L1790" s="14">
        <v>899.0</v>
      </c>
      <c r="M1790" s="18" t="s">
        <v>43</v>
      </c>
      <c r="N1790" s="20">
        <v>0.0</v>
      </c>
      <c r="O1790" s="18">
        <v>26.8</v>
      </c>
      <c r="P1790" s="20">
        <v>2.6</v>
      </c>
      <c r="Q1790" s="16">
        <v>45028.0</v>
      </c>
      <c r="R1790" s="16" t="s">
        <v>38</v>
      </c>
      <c r="S1790" s="13" t="s">
        <v>55</v>
      </c>
      <c r="T1790" s="13" t="s">
        <v>72</v>
      </c>
      <c r="U1790" s="13" t="str">
        <f t="shared" si="1"/>
        <v>Low</v>
      </c>
      <c r="V1790" s="13" t="str">
        <f t="shared" si="2"/>
        <v>Median or Above</v>
      </c>
      <c r="W1790" s="13" t="str">
        <f t="shared" si="3"/>
        <v>0–12 Months</v>
      </c>
    </row>
    <row r="1791" hidden="1">
      <c r="A1791" s="13" t="s">
        <v>1382</v>
      </c>
      <c r="B1791" s="13" t="s">
        <v>126</v>
      </c>
      <c r="C1791" s="14">
        <v>40.0</v>
      </c>
      <c r="D1791" s="13" t="s">
        <v>85</v>
      </c>
      <c r="E1791" s="13" t="s">
        <v>292</v>
      </c>
      <c r="F1791" s="13" t="s">
        <v>37</v>
      </c>
      <c r="G1791" s="13" t="s">
        <v>80</v>
      </c>
      <c r="H1791" s="16">
        <v>45661.0</v>
      </c>
      <c r="I1791" s="14">
        <v>38.0</v>
      </c>
      <c r="J1791" s="13" t="s">
        <v>40</v>
      </c>
      <c r="K1791" s="13" t="s">
        <v>81</v>
      </c>
      <c r="L1791" s="14">
        <v>1455.0</v>
      </c>
      <c r="M1791" s="18" t="s">
        <v>164</v>
      </c>
      <c r="N1791" s="20">
        <v>0.0</v>
      </c>
      <c r="O1791" s="18">
        <v>28.6</v>
      </c>
      <c r="P1791" s="20">
        <v>1.2</v>
      </c>
      <c r="Q1791" s="16">
        <v>46286.0</v>
      </c>
      <c r="R1791" s="16" t="s">
        <v>38</v>
      </c>
      <c r="S1791" s="13" t="s">
        <v>55</v>
      </c>
      <c r="T1791" s="13" t="s">
        <v>47</v>
      </c>
      <c r="U1791" s="13" t="str">
        <f t="shared" si="1"/>
        <v>Low</v>
      </c>
      <c r="V1791" s="13" t="str">
        <f t="shared" si="2"/>
        <v>Median or Above</v>
      </c>
      <c r="W1791" s="13" t="str">
        <f t="shared" si="3"/>
        <v>25–48 Months</v>
      </c>
    </row>
    <row r="1792" hidden="1">
      <c r="A1792" s="13" t="s">
        <v>2182</v>
      </c>
      <c r="B1792" s="13" t="s">
        <v>176</v>
      </c>
      <c r="C1792" s="14">
        <v>55.0</v>
      </c>
      <c r="D1792" s="13" t="s">
        <v>60</v>
      </c>
      <c r="E1792" s="13" t="s">
        <v>133</v>
      </c>
      <c r="F1792" s="13" t="s">
        <v>62</v>
      </c>
      <c r="G1792" s="13" t="s">
        <v>39</v>
      </c>
      <c r="H1792" s="16">
        <v>45332.0</v>
      </c>
      <c r="I1792" s="14">
        <v>20.0</v>
      </c>
      <c r="J1792" s="13" t="s">
        <v>40</v>
      </c>
      <c r="K1792" s="13" t="s">
        <v>81</v>
      </c>
      <c r="L1792" s="14">
        <v>535.0</v>
      </c>
      <c r="M1792" s="18" t="s">
        <v>43</v>
      </c>
      <c r="N1792" s="20">
        <v>0.0</v>
      </c>
      <c r="O1792" s="18">
        <v>9.7</v>
      </c>
      <c r="P1792" s="20">
        <v>2.9</v>
      </c>
      <c r="Q1792" s="16">
        <v>45597.0</v>
      </c>
      <c r="R1792" s="16" t="s">
        <v>38</v>
      </c>
      <c r="S1792" s="13" t="s">
        <v>55</v>
      </c>
      <c r="T1792" s="13" t="s">
        <v>75</v>
      </c>
      <c r="U1792" s="13" t="str">
        <f t="shared" si="1"/>
        <v>Low</v>
      </c>
      <c r="V1792" s="13" t="str">
        <f t="shared" si="2"/>
        <v>Below Median</v>
      </c>
      <c r="W1792" s="13" t="str">
        <f t="shared" si="3"/>
        <v>13–24 Months</v>
      </c>
    </row>
    <row r="1793" hidden="1">
      <c r="A1793" s="13" t="s">
        <v>2145</v>
      </c>
      <c r="B1793" s="13" t="s">
        <v>383</v>
      </c>
      <c r="C1793" s="14">
        <v>54.0</v>
      </c>
      <c r="D1793" s="13" t="s">
        <v>35</v>
      </c>
      <c r="E1793" s="13" t="s">
        <v>140</v>
      </c>
      <c r="F1793" s="13" t="s">
        <v>62</v>
      </c>
      <c r="G1793" s="13" t="s">
        <v>80</v>
      </c>
      <c r="H1793" s="16">
        <v>45280.0</v>
      </c>
      <c r="I1793" s="14">
        <v>15.0</v>
      </c>
      <c r="J1793" s="13" t="s">
        <v>64</v>
      </c>
      <c r="K1793" s="13" t="s">
        <v>65</v>
      </c>
      <c r="L1793" s="14">
        <v>542.0</v>
      </c>
      <c r="M1793" s="18" t="s">
        <v>99</v>
      </c>
      <c r="N1793" s="20">
        <v>0.0</v>
      </c>
      <c r="O1793" s="18">
        <v>9.3</v>
      </c>
      <c r="P1793" s="20">
        <v>4.1</v>
      </c>
      <c r="Q1793" s="16">
        <v>45330.0</v>
      </c>
      <c r="R1793" s="16" t="s">
        <v>38</v>
      </c>
      <c r="S1793" s="13" t="s">
        <v>55</v>
      </c>
      <c r="T1793" s="13" t="s">
        <v>66</v>
      </c>
      <c r="U1793" s="13" t="str">
        <f t="shared" si="1"/>
        <v>Moderate</v>
      </c>
      <c r="V1793" s="13" t="str">
        <f t="shared" si="2"/>
        <v>Below Median</v>
      </c>
      <c r="W1793" s="13" t="str">
        <f t="shared" si="3"/>
        <v>13–24 Months</v>
      </c>
    </row>
    <row r="1794" hidden="1">
      <c r="A1794" s="13" t="s">
        <v>2183</v>
      </c>
      <c r="B1794" s="13" t="s">
        <v>476</v>
      </c>
      <c r="C1794" s="14">
        <v>67.0</v>
      </c>
      <c r="D1794" s="13" t="s">
        <v>35</v>
      </c>
      <c r="E1794" s="13" t="s">
        <v>51</v>
      </c>
      <c r="F1794" s="13" t="s">
        <v>62</v>
      </c>
      <c r="G1794" s="13" t="s">
        <v>210</v>
      </c>
      <c r="H1794" s="16">
        <v>45878.0</v>
      </c>
      <c r="I1794" s="14">
        <v>33.0</v>
      </c>
      <c r="J1794" s="13" t="s">
        <v>53</v>
      </c>
      <c r="K1794" s="13" t="s">
        <v>41</v>
      </c>
      <c r="L1794" s="14">
        <v>574.0</v>
      </c>
      <c r="M1794" s="18" t="s">
        <v>173</v>
      </c>
      <c r="N1794" s="20">
        <v>0.0</v>
      </c>
      <c r="O1794" s="18">
        <v>11.8</v>
      </c>
      <c r="P1794" s="20">
        <v>5.0</v>
      </c>
      <c r="Q1794" s="16">
        <v>46358.0</v>
      </c>
      <c r="R1794" s="16">
        <v>46031.0</v>
      </c>
      <c r="S1794" s="13" t="s">
        <v>45</v>
      </c>
      <c r="T1794" s="13" t="s">
        <v>47</v>
      </c>
      <c r="U1794" s="13" t="str">
        <f t="shared" si="1"/>
        <v>High</v>
      </c>
      <c r="V1794" s="13" t="str">
        <f t="shared" si="2"/>
        <v>Below Median</v>
      </c>
      <c r="W1794" s="13" t="str">
        <f t="shared" si="3"/>
        <v>25–48 Months</v>
      </c>
    </row>
    <row r="1795" hidden="1">
      <c r="A1795" s="13" t="s">
        <v>815</v>
      </c>
      <c r="B1795" s="13" t="s">
        <v>232</v>
      </c>
      <c r="C1795" s="14">
        <v>44.0</v>
      </c>
      <c r="D1795" s="13" t="s">
        <v>60</v>
      </c>
      <c r="E1795" s="13" t="s">
        <v>133</v>
      </c>
      <c r="F1795" s="13" t="s">
        <v>62</v>
      </c>
      <c r="G1795" s="13" t="s">
        <v>39</v>
      </c>
      <c r="H1795" s="16">
        <v>45427.0</v>
      </c>
      <c r="I1795" s="14">
        <v>14.0</v>
      </c>
      <c r="J1795" s="13" t="s">
        <v>64</v>
      </c>
      <c r="K1795" s="13" t="s">
        <v>81</v>
      </c>
      <c r="L1795" s="14">
        <v>847.0</v>
      </c>
      <c r="M1795" s="18" t="s">
        <v>43</v>
      </c>
      <c r="N1795" s="20">
        <v>0.0</v>
      </c>
      <c r="O1795" s="18">
        <v>14.2</v>
      </c>
      <c r="P1795" s="20">
        <v>5.0</v>
      </c>
      <c r="Q1795" s="16">
        <v>45758.0</v>
      </c>
      <c r="R1795" s="16" t="s">
        <v>38</v>
      </c>
      <c r="S1795" s="13" t="s">
        <v>55</v>
      </c>
      <c r="T1795" s="13" t="s">
        <v>75</v>
      </c>
      <c r="U1795" s="13" t="str">
        <f t="shared" si="1"/>
        <v>High</v>
      </c>
      <c r="V1795" s="13" t="str">
        <f t="shared" si="2"/>
        <v>Below Median</v>
      </c>
      <c r="W1795" s="13" t="str">
        <f t="shared" si="3"/>
        <v>13–24 Months</v>
      </c>
    </row>
    <row r="1796" hidden="1">
      <c r="A1796" s="13" t="s">
        <v>1754</v>
      </c>
      <c r="B1796" s="13" t="s">
        <v>639</v>
      </c>
      <c r="C1796" s="14">
        <v>64.0</v>
      </c>
      <c r="D1796" s="13" t="s">
        <v>69</v>
      </c>
      <c r="E1796" s="13" t="s">
        <v>187</v>
      </c>
      <c r="F1796" s="13" t="s">
        <v>62</v>
      </c>
      <c r="G1796" s="13" t="s">
        <v>63</v>
      </c>
      <c r="H1796" s="16">
        <v>45942.0</v>
      </c>
      <c r="I1796" s="14">
        <v>10.0</v>
      </c>
      <c r="J1796" s="13" t="s">
        <v>64</v>
      </c>
      <c r="K1796" s="13" t="s">
        <v>41</v>
      </c>
      <c r="L1796" s="14">
        <v>688.0</v>
      </c>
      <c r="M1796" s="18" t="s">
        <v>46</v>
      </c>
      <c r="N1796" s="20">
        <v>0.0</v>
      </c>
      <c r="O1796" s="18">
        <v>9.1</v>
      </c>
      <c r="P1796" s="20">
        <v>4.1</v>
      </c>
      <c r="Q1796" s="16">
        <v>46167.0</v>
      </c>
      <c r="R1796" s="16" t="s">
        <v>38</v>
      </c>
      <c r="S1796" s="13" t="s">
        <v>55</v>
      </c>
      <c r="T1796" s="13" t="s">
        <v>75</v>
      </c>
      <c r="U1796" s="13" t="str">
        <f t="shared" si="1"/>
        <v>Moderate</v>
      </c>
      <c r="V1796" s="13" t="str">
        <f t="shared" si="2"/>
        <v>Below Median</v>
      </c>
      <c r="W1796" s="13" t="str">
        <f t="shared" si="3"/>
        <v>0–12 Months</v>
      </c>
    </row>
    <row r="1797" hidden="1">
      <c r="A1797" s="13" t="s">
        <v>727</v>
      </c>
      <c r="B1797" s="13" t="s">
        <v>50</v>
      </c>
      <c r="C1797" s="14">
        <v>34.0</v>
      </c>
      <c r="D1797" s="13" t="s">
        <v>35</v>
      </c>
      <c r="E1797" s="13" t="s">
        <v>140</v>
      </c>
      <c r="F1797" s="13" t="s">
        <v>62</v>
      </c>
      <c r="G1797" s="13" t="s">
        <v>128</v>
      </c>
      <c r="H1797" s="16">
        <v>45293.0</v>
      </c>
      <c r="I1797" s="14">
        <v>30.0</v>
      </c>
      <c r="J1797" s="13" t="s">
        <v>53</v>
      </c>
      <c r="K1797" s="13" t="s">
        <v>65</v>
      </c>
      <c r="L1797" s="14">
        <v>718.0</v>
      </c>
      <c r="M1797" s="18" t="s">
        <v>46</v>
      </c>
      <c r="N1797" s="20">
        <v>0.0</v>
      </c>
      <c r="O1797" s="18">
        <v>21.1</v>
      </c>
      <c r="P1797" s="20">
        <v>3.5</v>
      </c>
      <c r="Q1797" s="16">
        <v>45726.0</v>
      </c>
      <c r="R1797" s="16" t="s">
        <v>38</v>
      </c>
      <c r="S1797" s="13" t="s">
        <v>55</v>
      </c>
      <c r="T1797" s="13" t="s">
        <v>66</v>
      </c>
      <c r="U1797" s="13" t="str">
        <f t="shared" si="1"/>
        <v>Moderate</v>
      </c>
      <c r="V1797" s="13" t="str">
        <f t="shared" si="2"/>
        <v>Below Median</v>
      </c>
      <c r="W1797" s="13" t="str">
        <f t="shared" si="3"/>
        <v>25–48 Months</v>
      </c>
    </row>
    <row r="1798" hidden="1">
      <c r="A1798" s="13" t="s">
        <v>901</v>
      </c>
      <c r="B1798" s="13" t="s">
        <v>184</v>
      </c>
      <c r="C1798" s="14">
        <v>27.0</v>
      </c>
      <c r="D1798" s="13" t="s">
        <v>35</v>
      </c>
      <c r="E1798" s="13" t="s">
        <v>140</v>
      </c>
      <c r="F1798" s="13" t="s">
        <v>62</v>
      </c>
      <c r="G1798" s="13" t="s">
        <v>210</v>
      </c>
      <c r="H1798" s="16">
        <v>45577.0</v>
      </c>
      <c r="I1798" s="14">
        <v>24.0</v>
      </c>
      <c r="J1798" s="13" t="s">
        <v>64</v>
      </c>
      <c r="K1798" s="13" t="s">
        <v>65</v>
      </c>
      <c r="L1798" s="14">
        <v>1292.0</v>
      </c>
      <c r="M1798" s="18" t="s">
        <v>46</v>
      </c>
      <c r="N1798" s="20">
        <v>0.0</v>
      </c>
      <c r="O1798" s="18">
        <v>19.3</v>
      </c>
      <c r="P1798" s="20">
        <v>5.0</v>
      </c>
      <c r="Q1798" s="16">
        <v>45832.0</v>
      </c>
      <c r="R1798" s="16" t="s">
        <v>38</v>
      </c>
      <c r="S1798" s="13" t="s">
        <v>55</v>
      </c>
      <c r="T1798" s="13" t="s">
        <v>47</v>
      </c>
      <c r="U1798" s="13" t="str">
        <f t="shared" si="1"/>
        <v>High</v>
      </c>
      <c r="V1798" s="13" t="str">
        <f t="shared" si="2"/>
        <v>Below Median</v>
      </c>
      <c r="W1798" s="13" t="str">
        <f t="shared" si="3"/>
        <v>13–24 Months</v>
      </c>
    </row>
    <row r="1799" hidden="1">
      <c r="A1799" s="13" t="s">
        <v>1159</v>
      </c>
      <c r="B1799" s="13" t="s">
        <v>152</v>
      </c>
      <c r="C1799" s="14">
        <v>35.0</v>
      </c>
      <c r="D1799" s="13" t="s">
        <v>85</v>
      </c>
      <c r="E1799" s="13" t="s">
        <v>92</v>
      </c>
      <c r="F1799" s="13" t="s">
        <v>79</v>
      </c>
      <c r="G1799" s="13" t="s">
        <v>128</v>
      </c>
      <c r="H1799" s="16">
        <v>44618.0</v>
      </c>
      <c r="I1799" s="14">
        <v>16.0</v>
      </c>
      <c r="J1799" s="13" t="s">
        <v>40</v>
      </c>
      <c r="K1799" s="13" t="s">
        <v>41</v>
      </c>
      <c r="L1799" s="14">
        <v>3140.0</v>
      </c>
      <c r="M1799" s="18" t="s">
        <v>98</v>
      </c>
      <c r="N1799" s="20">
        <v>2.0</v>
      </c>
      <c r="O1799" s="18">
        <v>34.1</v>
      </c>
      <c r="P1799" s="20">
        <v>1.7</v>
      </c>
      <c r="Q1799" s="16">
        <v>44871.0</v>
      </c>
      <c r="R1799" s="16" t="s">
        <v>38</v>
      </c>
      <c r="S1799" s="13" t="s">
        <v>55</v>
      </c>
      <c r="T1799" s="13" t="s">
        <v>75</v>
      </c>
      <c r="U1799" s="13" t="str">
        <f t="shared" si="1"/>
        <v>Low</v>
      </c>
      <c r="V1799" s="13" t="str">
        <f t="shared" si="2"/>
        <v>Median or Above</v>
      </c>
      <c r="W1799" s="13" t="str">
        <f t="shared" si="3"/>
        <v>13–24 Months</v>
      </c>
    </row>
    <row r="1800" hidden="1">
      <c r="A1800" s="13" t="s">
        <v>2125</v>
      </c>
      <c r="B1800" s="13" t="s">
        <v>362</v>
      </c>
      <c r="C1800" s="14">
        <v>22.0</v>
      </c>
      <c r="D1800" s="13" t="s">
        <v>85</v>
      </c>
      <c r="E1800" s="13" t="s">
        <v>92</v>
      </c>
      <c r="F1800" s="13" t="s">
        <v>62</v>
      </c>
      <c r="G1800" s="13" t="s">
        <v>80</v>
      </c>
      <c r="H1800" s="16">
        <v>45473.0</v>
      </c>
      <c r="I1800" s="14">
        <v>23.0</v>
      </c>
      <c r="J1800" s="13" t="s">
        <v>64</v>
      </c>
      <c r="K1800" s="13" t="s">
        <v>81</v>
      </c>
      <c r="L1800" s="14">
        <v>544.0</v>
      </c>
      <c r="M1800" s="18" t="s">
        <v>99</v>
      </c>
      <c r="N1800" s="20">
        <v>4.0</v>
      </c>
      <c r="O1800" s="18">
        <v>11.5</v>
      </c>
      <c r="P1800" s="20">
        <v>3.6</v>
      </c>
      <c r="Q1800" s="16">
        <v>45965.0</v>
      </c>
      <c r="R1800" s="16" t="s">
        <v>38</v>
      </c>
      <c r="S1800" s="13" t="s">
        <v>55</v>
      </c>
      <c r="T1800" s="13" t="s">
        <v>104</v>
      </c>
      <c r="U1800" s="13" t="str">
        <f t="shared" si="1"/>
        <v>Moderate</v>
      </c>
      <c r="V1800" s="13" t="str">
        <f t="shared" si="2"/>
        <v>Below Median</v>
      </c>
      <c r="W1800" s="13" t="str">
        <f t="shared" si="3"/>
        <v>13–24 Months</v>
      </c>
    </row>
    <row r="1801" hidden="1">
      <c r="A1801" s="13" t="s">
        <v>2185</v>
      </c>
      <c r="B1801" s="13" t="s">
        <v>420</v>
      </c>
      <c r="C1801" s="14">
        <v>40.0</v>
      </c>
      <c r="D1801" s="13" t="s">
        <v>35</v>
      </c>
      <c r="E1801" s="13" t="s">
        <v>161</v>
      </c>
      <c r="F1801" s="13" t="s">
        <v>37</v>
      </c>
      <c r="G1801" s="13" t="s">
        <v>128</v>
      </c>
      <c r="H1801" s="16">
        <v>45399.0</v>
      </c>
      <c r="I1801" s="14">
        <v>24.0</v>
      </c>
      <c r="J1801" s="13" t="s">
        <v>40</v>
      </c>
      <c r="K1801" s="13" t="s">
        <v>81</v>
      </c>
      <c r="L1801" s="14">
        <v>1517.0</v>
      </c>
      <c r="M1801" s="18" t="s">
        <v>98</v>
      </c>
      <c r="N1801" s="20">
        <v>1.0</v>
      </c>
      <c r="O1801" s="18">
        <v>22.1</v>
      </c>
      <c r="P1801" s="20">
        <v>4.5</v>
      </c>
      <c r="Q1801" s="16">
        <v>45656.0</v>
      </c>
      <c r="R1801" s="16" t="s">
        <v>38</v>
      </c>
      <c r="S1801" s="13" t="s">
        <v>55</v>
      </c>
      <c r="T1801" s="13" t="s">
        <v>72</v>
      </c>
      <c r="U1801" s="13" t="str">
        <f t="shared" si="1"/>
        <v>Moderate</v>
      </c>
      <c r="V1801" s="13" t="str">
        <f t="shared" si="2"/>
        <v>Below Median</v>
      </c>
      <c r="W1801" s="13" t="str">
        <f t="shared" si="3"/>
        <v>13–24 Months</v>
      </c>
    </row>
    <row r="1802" hidden="1">
      <c r="A1802" s="13" t="s">
        <v>1507</v>
      </c>
      <c r="B1802" s="13" t="s">
        <v>362</v>
      </c>
      <c r="C1802" s="14" t="s">
        <v>38</v>
      </c>
      <c r="D1802" s="13" t="s">
        <v>69</v>
      </c>
      <c r="E1802" s="13" t="s">
        <v>119</v>
      </c>
      <c r="F1802" s="13" t="s">
        <v>62</v>
      </c>
      <c r="G1802" s="13" t="s">
        <v>52</v>
      </c>
      <c r="H1802" s="16">
        <v>44710.0</v>
      </c>
      <c r="I1802" s="14">
        <v>7.0</v>
      </c>
      <c r="J1802" s="13" t="s">
        <v>53</v>
      </c>
      <c r="K1802" s="13" t="s">
        <v>41</v>
      </c>
      <c r="L1802" s="14">
        <v>779.0</v>
      </c>
      <c r="M1802" s="18" t="s">
        <v>164</v>
      </c>
      <c r="N1802" s="20">
        <v>0.0</v>
      </c>
      <c r="O1802" s="18">
        <v>16.7</v>
      </c>
      <c r="P1802" s="20">
        <v>2.9</v>
      </c>
      <c r="Q1802" s="16">
        <v>44754.0</v>
      </c>
      <c r="R1802" s="16" t="s">
        <v>38</v>
      </c>
      <c r="S1802" s="13" t="s">
        <v>55</v>
      </c>
      <c r="T1802" s="13" t="s">
        <v>104</v>
      </c>
      <c r="U1802" s="13" t="str">
        <f t="shared" si="1"/>
        <v>Low</v>
      </c>
      <c r="V1802" s="13" t="str">
        <f t="shared" si="2"/>
        <v>Below Median</v>
      </c>
      <c r="W1802" s="13" t="str">
        <f t="shared" si="3"/>
        <v>0–12 Months</v>
      </c>
    </row>
    <row r="1803" hidden="1">
      <c r="A1803" s="13" t="s">
        <v>1623</v>
      </c>
      <c r="B1803" s="13" t="s">
        <v>340</v>
      </c>
      <c r="C1803" s="14">
        <v>66.0</v>
      </c>
      <c r="D1803" s="13" t="s">
        <v>85</v>
      </c>
      <c r="E1803" s="13" t="s">
        <v>87</v>
      </c>
      <c r="F1803" s="13" t="s">
        <v>62</v>
      </c>
      <c r="G1803" s="13" t="s">
        <v>80</v>
      </c>
      <c r="H1803" s="16">
        <v>45386.0</v>
      </c>
      <c r="I1803" s="14">
        <v>14.0</v>
      </c>
      <c r="J1803" s="13" t="s">
        <v>40</v>
      </c>
      <c r="K1803" s="13" t="s">
        <v>81</v>
      </c>
      <c r="L1803" s="14">
        <v>816.0</v>
      </c>
      <c r="M1803" s="18" t="s">
        <v>99</v>
      </c>
      <c r="N1803" s="20">
        <v>0.0</v>
      </c>
      <c r="O1803" s="18">
        <v>20.3</v>
      </c>
      <c r="P1803" s="20">
        <v>2.6</v>
      </c>
      <c r="Q1803" s="16">
        <v>45792.0</v>
      </c>
      <c r="R1803" s="16" t="s">
        <v>38</v>
      </c>
      <c r="S1803" s="13" t="s">
        <v>55</v>
      </c>
      <c r="T1803" s="13" t="s">
        <v>75</v>
      </c>
      <c r="U1803" s="13" t="str">
        <f t="shared" si="1"/>
        <v>Low</v>
      </c>
      <c r="V1803" s="13" t="str">
        <f t="shared" si="2"/>
        <v>Below Median</v>
      </c>
      <c r="W1803" s="13" t="str">
        <f t="shared" si="3"/>
        <v>13–24 Months</v>
      </c>
    </row>
    <row r="1804" hidden="1">
      <c r="A1804" s="13" t="s">
        <v>1719</v>
      </c>
      <c r="B1804" s="13" t="s">
        <v>383</v>
      </c>
      <c r="C1804" s="14">
        <v>60.0</v>
      </c>
      <c r="D1804" s="13" t="s">
        <v>69</v>
      </c>
      <c r="E1804" s="13" t="s">
        <v>187</v>
      </c>
      <c r="F1804" s="13" t="s">
        <v>62</v>
      </c>
      <c r="G1804" s="13" t="s">
        <v>80</v>
      </c>
      <c r="H1804" s="16">
        <v>44956.0</v>
      </c>
      <c r="I1804" s="14">
        <v>28.0</v>
      </c>
      <c r="J1804" s="13" t="s">
        <v>64</v>
      </c>
      <c r="K1804" s="13" t="s">
        <v>65</v>
      </c>
      <c r="L1804" s="14">
        <v>605.0</v>
      </c>
      <c r="M1804" s="18" t="s">
        <v>46</v>
      </c>
      <c r="N1804" s="20">
        <v>0.0</v>
      </c>
      <c r="O1804" s="18">
        <v>6.5</v>
      </c>
      <c r="P1804" s="20">
        <v>3.5</v>
      </c>
      <c r="Q1804" s="16" t="s">
        <v>38</v>
      </c>
      <c r="R1804" s="16" t="s">
        <v>38</v>
      </c>
      <c r="S1804" s="13" t="s">
        <v>55</v>
      </c>
      <c r="T1804" s="13" t="s">
        <v>66</v>
      </c>
      <c r="U1804" s="13" t="str">
        <f t="shared" si="1"/>
        <v>Moderate</v>
      </c>
      <c r="V1804" s="13" t="str">
        <f t="shared" si="2"/>
        <v>Below Median</v>
      </c>
      <c r="W1804" s="13" t="str">
        <f t="shared" si="3"/>
        <v>25–48 Months</v>
      </c>
    </row>
    <row r="1805" hidden="1">
      <c r="A1805" s="13" t="s">
        <v>1230</v>
      </c>
      <c r="B1805" s="13" t="s">
        <v>106</v>
      </c>
      <c r="C1805" s="14">
        <v>28.0</v>
      </c>
      <c r="D1805" s="13" t="s">
        <v>60</v>
      </c>
      <c r="E1805" s="13" t="s">
        <v>107</v>
      </c>
      <c r="F1805" s="13" t="s">
        <v>79</v>
      </c>
      <c r="G1805" s="13" t="s">
        <v>80</v>
      </c>
      <c r="H1805" s="16">
        <v>45724.0</v>
      </c>
      <c r="I1805" s="14">
        <v>41.0</v>
      </c>
      <c r="J1805" s="13" t="s">
        <v>64</v>
      </c>
      <c r="K1805" s="13" t="s">
        <v>65</v>
      </c>
      <c r="L1805" s="14">
        <v>3377.0</v>
      </c>
      <c r="M1805" s="18" t="s">
        <v>98</v>
      </c>
      <c r="N1805" s="20">
        <v>1.0</v>
      </c>
      <c r="O1805" s="18">
        <v>40.4</v>
      </c>
      <c r="P1805" s="20">
        <v>4.1</v>
      </c>
      <c r="Q1805" s="16">
        <v>46337.0</v>
      </c>
      <c r="R1805" s="16" t="s">
        <v>38</v>
      </c>
      <c r="S1805" s="13" t="s">
        <v>55</v>
      </c>
      <c r="T1805" s="13" t="s">
        <v>75</v>
      </c>
      <c r="U1805" s="13" t="str">
        <f t="shared" si="1"/>
        <v>Moderate</v>
      </c>
      <c r="V1805" s="13" t="str">
        <f t="shared" si="2"/>
        <v>Median or Above</v>
      </c>
      <c r="W1805" s="13" t="str">
        <f t="shared" si="3"/>
        <v>25–48 Months</v>
      </c>
    </row>
    <row r="1806" hidden="1">
      <c r="A1806" s="13" t="s">
        <v>347</v>
      </c>
      <c r="B1806" s="13" t="s">
        <v>239</v>
      </c>
      <c r="C1806" s="14">
        <v>35.0</v>
      </c>
      <c r="D1806" s="13" t="s">
        <v>69</v>
      </c>
      <c r="E1806" s="13" t="s">
        <v>187</v>
      </c>
      <c r="F1806" s="13" t="s">
        <v>37</v>
      </c>
      <c r="G1806" s="13" t="s">
        <v>120</v>
      </c>
      <c r="H1806" s="16">
        <v>44729.0</v>
      </c>
      <c r="I1806" s="14">
        <v>27.0</v>
      </c>
      <c r="J1806" s="13" t="s">
        <v>64</v>
      </c>
      <c r="K1806" s="13" t="s">
        <v>81</v>
      </c>
      <c r="L1806" s="14" t="s">
        <v>38</v>
      </c>
      <c r="M1806" s="18" t="s">
        <v>98</v>
      </c>
      <c r="N1806" s="20">
        <v>1.0</v>
      </c>
      <c r="O1806" s="18">
        <v>18.3</v>
      </c>
      <c r="P1806" s="20">
        <v>3.7</v>
      </c>
      <c r="Q1806" s="16">
        <v>45271.0</v>
      </c>
      <c r="R1806" s="16" t="s">
        <v>1562</v>
      </c>
      <c r="S1806" s="13" t="s">
        <v>45</v>
      </c>
      <c r="T1806" s="13" t="s">
        <v>47</v>
      </c>
      <c r="U1806" s="13" t="str">
        <f t="shared" si="1"/>
        <v>Moderate</v>
      </c>
      <c r="V1806" s="13" t="str">
        <f t="shared" si="2"/>
        <v>Below Median</v>
      </c>
      <c r="W1806" s="13" t="str">
        <f t="shared" si="3"/>
        <v>25–48 Months</v>
      </c>
    </row>
    <row r="1807" hidden="1">
      <c r="A1807" s="13" t="s">
        <v>1886</v>
      </c>
      <c r="B1807" s="13" t="s">
        <v>380</v>
      </c>
      <c r="C1807" s="14">
        <v>61.0</v>
      </c>
      <c r="D1807" s="13" t="s">
        <v>35</v>
      </c>
      <c r="E1807" s="13" t="s">
        <v>51</v>
      </c>
      <c r="F1807" s="13" t="s">
        <v>79</v>
      </c>
      <c r="G1807" s="13" t="s">
        <v>39</v>
      </c>
      <c r="H1807" s="16">
        <v>45192.0</v>
      </c>
      <c r="I1807" s="14">
        <v>40.0</v>
      </c>
      <c r="J1807" s="13" t="s">
        <v>53</v>
      </c>
      <c r="K1807" s="13" t="s">
        <v>81</v>
      </c>
      <c r="L1807" s="14">
        <v>788.0</v>
      </c>
      <c r="M1807" s="18" t="s">
        <v>173</v>
      </c>
      <c r="N1807" s="20">
        <v>1.0</v>
      </c>
      <c r="O1807" s="18">
        <v>24.6</v>
      </c>
      <c r="P1807" s="20">
        <v>2.9</v>
      </c>
      <c r="Q1807" s="16">
        <v>45869.0</v>
      </c>
      <c r="R1807" s="16" t="s">
        <v>38</v>
      </c>
      <c r="S1807" s="13" t="s">
        <v>55</v>
      </c>
      <c r="T1807" s="13" t="s">
        <v>104</v>
      </c>
      <c r="U1807" s="13" t="str">
        <f t="shared" si="1"/>
        <v>Low</v>
      </c>
      <c r="V1807" s="13" t="str">
        <f t="shared" si="2"/>
        <v>Median or Above</v>
      </c>
      <c r="W1807" s="13" t="str">
        <f t="shared" si="3"/>
        <v>25–48 Months</v>
      </c>
    </row>
    <row r="1808" hidden="1">
      <c r="A1808" s="13" t="s">
        <v>1629</v>
      </c>
      <c r="B1808" s="13" t="s">
        <v>126</v>
      </c>
      <c r="C1808" s="14">
        <v>23.0</v>
      </c>
      <c r="D1808" s="13" t="s">
        <v>60</v>
      </c>
      <c r="E1808" s="13" t="s">
        <v>107</v>
      </c>
      <c r="F1808" s="13" t="s">
        <v>62</v>
      </c>
      <c r="G1808" s="13" t="s">
        <v>120</v>
      </c>
      <c r="H1808" s="16">
        <v>44645.0</v>
      </c>
      <c r="I1808" s="14">
        <v>20.0</v>
      </c>
      <c r="J1808" s="13" t="s">
        <v>40</v>
      </c>
      <c r="K1808" s="13" t="s">
        <v>81</v>
      </c>
      <c r="L1808" s="14">
        <v>714.0</v>
      </c>
      <c r="M1808" s="18" t="s">
        <v>99</v>
      </c>
      <c r="N1808" s="20">
        <v>2.0</v>
      </c>
      <c r="O1808" s="18">
        <v>8.6</v>
      </c>
      <c r="P1808" s="20">
        <v>3.9</v>
      </c>
      <c r="Q1808" s="16">
        <v>44996.0</v>
      </c>
      <c r="R1808" s="16" t="s">
        <v>1630</v>
      </c>
      <c r="S1808" s="13" t="s">
        <v>45</v>
      </c>
      <c r="T1808" s="13" t="s">
        <v>104</v>
      </c>
      <c r="U1808" s="13" t="str">
        <f t="shared" si="1"/>
        <v>Moderate</v>
      </c>
      <c r="V1808" s="13" t="str">
        <f t="shared" si="2"/>
        <v>Below Median</v>
      </c>
      <c r="W1808" s="13" t="str">
        <f t="shared" si="3"/>
        <v>13–24 Months</v>
      </c>
    </row>
    <row r="1809" hidden="1">
      <c r="A1809" s="13" t="s">
        <v>1361</v>
      </c>
      <c r="B1809" s="13" t="s">
        <v>74</v>
      </c>
      <c r="C1809" s="14">
        <v>46.0</v>
      </c>
      <c r="D1809" s="13" t="s">
        <v>69</v>
      </c>
      <c r="E1809" s="13" t="s">
        <v>70</v>
      </c>
      <c r="F1809" s="13" t="s">
        <v>79</v>
      </c>
      <c r="G1809" s="13" t="s">
        <v>80</v>
      </c>
      <c r="H1809" s="16">
        <v>45248.0</v>
      </c>
      <c r="I1809" s="14">
        <v>18.0</v>
      </c>
      <c r="J1809" s="13" t="s">
        <v>40</v>
      </c>
      <c r="K1809" s="13" t="s">
        <v>81</v>
      </c>
      <c r="L1809" s="14">
        <v>875.0</v>
      </c>
      <c r="M1809" s="18" t="s">
        <v>43</v>
      </c>
      <c r="N1809" s="20">
        <v>0.0</v>
      </c>
      <c r="O1809" s="18">
        <v>24.8</v>
      </c>
      <c r="P1809" s="20">
        <v>4.1</v>
      </c>
      <c r="Q1809" s="16">
        <v>45333.0</v>
      </c>
      <c r="R1809" s="16" t="s">
        <v>38</v>
      </c>
      <c r="S1809" s="13" t="s">
        <v>55</v>
      </c>
      <c r="T1809" s="13" t="s">
        <v>66</v>
      </c>
      <c r="U1809" s="13" t="str">
        <f t="shared" si="1"/>
        <v>Moderate</v>
      </c>
      <c r="V1809" s="13" t="str">
        <f t="shared" si="2"/>
        <v>Median or Above</v>
      </c>
      <c r="W1809" s="13" t="str">
        <f t="shared" si="3"/>
        <v>13–24 Months</v>
      </c>
    </row>
    <row r="1810">
      <c r="N1810" s="20"/>
      <c r="P1810" s="20"/>
    </row>
    <row r="1811">
      <c r="N1811" s="20"/>
      <c r="P1811" s="20"/>
    </row>
    <row r="1812">
      <c r="N1812" s="20"/>
      <c r="P1812" s="20"/>
    </row>
    <row r="1813">
      <c r="N1813" s="20"/>
      <c r="P1813" s="20"/>
    </row>
    <row r="1814">
      <c r="N1814" s="20"/>
      <c r="P1814" s="20"/>
    </row>
    <row r="1815">
      <c r="N1815" s="20"/>
      <c r="P1815" s="20"/>
    </row>
    <row r="1816">
      <c r="N1816" s="20"/>
      <c r="P1816" s="20"/>
    </row>
    <row r="1817">
      <c r="N1817" s="20"/>
      <c r="P1817" s="20"/>
    </row>
    <row r="1818">
      <c r="N1818" s="20"/>
      <c r="P1818" s="20"/>
    </row>
    <row r="1819">
      <c r="N1819" s="20"/>
      <c r="P1819" s="20"/>
    </row>
    <row r="1820">
      <c r="N1820" s="20"/>
      <c r="P1820" s="20"/>
    </row>
    <row r="1821">
      <c r="N1821" s="20"/>
      <c r="P1821" s="20"/>
    </row>
    <row r="1822">
      <c r="N1822" s="20"/>
      <c r="P1822" s="20"/>
    </row>
    <row r="1823">
      <c r="N1823" s="20"/>
      <c r="P1823" s="20"/>
    </row>
    <row r="1824">
      <c r="N1824" s="20"/>
      <c r="P1824" s="20"/>
    </row>
    <row r="1825">
      <c r="N1825" s="20"/>
      <c r="P1825" s="20"/>
    </row>
    <row r="1826">
      <c r="N1826" s="20"/>
      <c r="P1826" s="20"/>
    </row>
  </sheetData>
  <autoFilter ref="$A$1:$Y$1826">
    <filterColumn colId="18">
      <filters blank="1">
        <filter val="No"/>
        <filter val="Yes"/>
      </filters>
    </filterColumn>
  </autoFilter>
  <conditionalFormatting sqref="A1">
    <cfRule type="expression" dxfId="0" priority="1">
      <formula>COUNTIF($A$2:$A$3190, A2)&gt;1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0.0"/>
    <col customWidth="1" min="3" max="3" width="23.75"/>
    <col customWidth="1" min="4" max="4" width="15.25"/>
    <col customWidth="1" min="5" max="5" width="26.75"/>
    <col customWidth="1" min="6" max="6" width="28.63"/>
    <col customWidth="1" min="7" max="7" width="25.75"/>
    <col customWidth="1" min="8" max="8" width="16.75"/>
  </cols>
  <sheetData>
    <row r="1">
      <c r="A1" s="2" t="s">
        <v>1</v>
      </c>
      <c r="B1" s="2" t="s">
        <v>3</v>
      </c>
      <c r="C1" s="4" t="s">
        <v>5</v>
      </c>
      <c r="D1" s="4" t="s">
        <v>9</v>
      </c>
      <c r="E1" s="4" t="s">
        <v>11</v>
      </c>
      <c r="F1" s="4" t="s">
        <v>13</v>
      </c>
      <c r="G1" s="4" t="s">
        <v>15</v>
      </c>
      <c r="H1" s="4" t="s">
        <v>16</v>
      </c>
    </row>
    <row r="2">
      <c r="A2" s="6" t="s">
        <v>0</v>
      </c>
      <c r="B2" s="19">
        <f>COUNTA(Raw_Data!A:A)-1</f>
        <v>1825</v>
      </c>
      <c r="C2" s="19">
        <f>IFERROR(__xludf.DUMMYFUNCTION("COUNTUNIQUE(Processed_Data!A2:A1826)"),1076.0)</f>
        <v>1076</v>
      </c>
      <c r="D2" s="19">
        <f>COUNTBLANK(Processed_Data!A2:A1826)</f>
        <v>0</v>
      </c>
      <c r="E2" s="21" t="s">
        <v>54</v>
      </c>
      <c r="F2" s="21" t="s">
        <v>56</v>
      </c>
      <c r="G2" s="22" t="s">
        <v>57</v>
      </c>
      <c r="H2" s="23"/>
      <c r="I2" s="24"/>
      <c r="J2" s="24"/>
      <c r="K2" s="24"/>
      <c r="L2" s="24"/>
      <c r="M2" s="24"/>
      <c r="N2" s="24"/>
      <c r="O2" s="24"/>
      <c r="P2" s="24"/>
      <c r="Q2" s="24"/>
      <c r="R2" s="24"/>
      <c r="S2" s="24"/>
      <c r="T2" s="24"/>
      <c r="U2" s="24"/>
      <c r="V2" s="24"/>
      <c r="W2" s="24"/>
      <c r="X2" s="24"/>
      <c r="Y2" s="24"/>
    </row>
    <row r="3">
      <c r="A3" s="6" t="s">
        <v>2</v>
      </c>
      <c r="B3" s="19">
        <f>COUNTA(Raw_Data!B:B)-1</f>
        <v>1825</v>
      </c>
      <c r="C3" s="19">
        <f>IFERROR(__xludf.DUMMYFUNCTION("COUNTUNIQUE(Processed_Data!B2:B1826)"),80.0)</f>
        <v>80</v>
      </c>
      <c r="D3" s="19">
        <f>COUNTBLANK(Processed_Data!B2:B1826)</f>
        <v>0</v>
      </c>
      <c r="E3" s="21" t="s">
        <v>83</v>
      </c>
      <c r="F3" s="21" t="s">
        <v>84</v>
      </c>
      <c r="G3" s="22" t="s">
        <v>86</v>
      </c>
      <c r="H3" s="23"/>
      <c r="I3" s="24"/>
      <c r="J3" s="24"/>
      <c r="K3" s="24"/>
      <c r="L3" s="24"/>
      <c r="M3" s="24"/>
      <c r="N3" s="24"/>
      <c r="O3" s="24"/>
      <c r="P3" s="24"/>
      <c r="Q3" s="24"/>
      <c r="R3" s="24"/>
      <c r="S3" s="24"/>
      <c r="T3" s="24"/>
      <c r="U3" s="24"/>
      <c r="V3" s="24"/>
      <c r="W3" s="24"/>
      <c r="X3" s="24"/>
      <c r="Y3" s="24"/>
    </row>
    <row r="4">
      <c r="A4" s="6" t="s">
        <v>4</v>
      </c>
      <c r="B4" s="19">
        <f>COUNTA(Raw_Data!C:C)-1</f>
        <v>1807</v>
      </c>
      <c r="C4" s="19">
        <f>IFERROR(__xludf.DUMMYFUNCTION("COUNTUNIQUE(Processed_Data!C2:C1826)"),54.0)</f>
        <v>54</v>
      </c>
      <c r="D4" s="19">
        <f>COUNTBLANK(Processed_Data!C2:C1826)</f>
        <v>18</v>
      </c>
      <c r="E4" s="21" t="s">
        <v>100</v>
      </c>
      <c r="F4" s="21" t="s">
        <v>102</v>
      </c>
      <c r="G4" s="22" t="s">
        <v>103</v>
      </c>
      <c r="H4" s="23"/>
      <c r="I4" s="24"/>
      <c r="J4" s="24"/>
      <c r="K4" s="24"/>
      <c r="L4" s="24"/>
      <c r="M4" s="24"/>
      <c r="N4" s="24"/>
      <c r="O4" s="24"/>
      <c r="P4" s="24"/>
      <c r="Q4" s="24"/>
      <c r="R4" s="24"/>
      <c r="S4" s="24"/>
      <c r="T4" s="24"/>
      <c r="U4" s="24"/>
      <c r="V4" s="24"/>
      <c r="W4" s="24"/>
      <c r="X4" s="24"/>
      <c r="Y4" s="24"/>
    </row>
    <row r="5">
      <c r="A5" s="6" t="s">
        <v>6</v>
      </c>
      <c r="B5" s="19">
        <f>COUNTA(Raw_Data!D:D)-1</f>
        <v>1825</v>
      </c>
      <c r="C5" s="19">
        <f>IFERROR(__xludf.DUMMYFUNCTION("COUNTUNIQUE(Processed_Data!D2:D1826)"),4.0)</f>
        <v>4</v>
      </c>
      <c r="D5" s="19">
        <f>COUNTBLANK(#REF!)</f>
        <v>0</v>
      </c>
      <c r="E5" s="21" t="s">
        <v>112</v>
      </c>
      <c r="F5" s="21" t="s">
        <v>114</v>
      </c>
      <c r="G5" s="22" t="s">
        <v>115</v>
      </c>
      <c r="H5" s="23"/>
      <c r="I5" s="24"/>
      <c r="J5" s="24"/>
      <c r="K5" s="24"/>
      <c r="L5" s="24"/>
      <c r="M5" s="24"/>
      <c r="N5" s="24"/>
      <c r="O5" s="24"/>
      <c r="P5" s="24"/>
      <c r="Q5" s="24"/>
      <c r="R5" s="24"/>
      <c r="S5" s="24"/>
      <c r="T5" s="24"/>
      <c r="U5" s="24"/>
      <c r="V5" s="24"/>
      <c r="W5" s="24"/>
      <c r="X5" s="24"/>
      <c r="Y5" s="24"/>
    </row>
    <row r="6">
      <c r="A6" s="6" t="s">
        <v>7</v>
      </c>
      <c r="B6" s="19">
        <f>COUNTA(Raw_Data!E:E)-1</f>
        <v>1810</v>
      </c>
      <c r="C6" s="19">
        <f>IFERROR(__xludf.DUMMYFUNCTION("COUNTUNIQUE(Processed_Data!E2:E1826)"),16.0)</f>
        <v>16</v>
      </c>
      <c r="D6" s="19">
        <f>COUNTBLANK(Processed_Data!E2:E1826)</f>
        <v>15</v>
      </c>
      <c r="E6" s="21" t="s">
        <v>127</v>
      </c>
      <c r="F6" s="21" t="s">
        <v>114</v>
      </c>
      <c r="G6" s="22" t="s">
        <v>129</v>
      </c>
      <c r="H6" s="23"/>
      <c r="I6" s="24"/>
      <c r="J6" s="24"/>
      <c r="K6" s="24"/>
      <c r="L6" s="24"/>
      <c r="M6" s="24"/>
      <c r="N6" s="24"/>
      <c r="O6" s="24"/>
      <c r="P6" s="24"/>
      <c r="Q6" s="24"/>
      <c r="R6" s="24"/>
      <c r="S6" s="24"/>
      <c r="T6" s="24"/>
      <c r="U6" s="24"/>
      <c r="V6" s="24"/>
      <c r="W6" s="24"/>
      <c r="X6" s="24"/>
      <c r="Y6" s="24"/>
    </row>
    <row r="7">
      <c r="A7" s="6" t="s">
        <v>8</v>
      </c>
      <c r="B7" s="19">
        <f>COUNTA(Raw_Data!F:F)-1</f>
        <v>1825</v>
      </c>
      <c r="C7" s="19">
        <f>IFERROR(__xludf.DUMMYFUNCTION("COUNTUNIQUE(Processed_Data!F2:F1826)"),3.0)</f>
        <v>3</v>
      </c>
      <c r="D7" s="19">
        <f>COUNTBLANK(Processed_Data!F2:F1826)</f>
        <v>0</v>
      </c>
      <c r="E7" s="21" t="s">
        <v>136</v>
      </c>
      <c r="F7" s="21" t="s">
        <v>114</v>
      </c>
      <c r="G7" s="22" t="s">
        <v>137</v>
      </c>
      <c r="H7" s="23"/>
      <c r="I7" s="24"/>
      <c r="J7" s="24"/>
      <c r="K7" s="24"/>
      <c r="L7" s="24"/>
      <c r="M7" s="24"/>
      <c r="N7" s="24"/>
      <c r="O7" s="24"/>
      <c r="P7" s="24"/>
      <c r="Q7" s="24"/>
      <c r="R7" s="24"/>
      <c r="S7" s="24"/>
      <c r="T7" s="24"/>
      <c r="U7" s="24"/>
      <c r="V7" s="24"/>
      <c r="W7" s="24"/>
      <c r="X7" s="24"/>
      <c r="Y7" s="24"/>
    </row>
    <row r="8">
      <c r="A8" s="6" t="s">
        <v>10</v>
      </c>
      <c r="B8" s="19">
        <f>COUNTA(Raw_Data!G:G)-1</f>
        <v>1825</v>
      </c>
      <c r="C8" s="19">
        <f>IFERROR(__xludf.DUMMYFUNCTION("COUNTUNIQUE(Processed_Data!G2:G1826)"),7.0)</f>
        <v>7</v>
      </c>
      <c r="D8" s="19">
        <f>COUNTBLANK(Processed_Data!G2:G1826)</f>
        <v>0</v>
      </c>
      <c r="E8" s="21" t="s">
        <v>147</v>
      </c>
      <c r="F8" s="21" t="s">
        <v>114</v>
      </c>
      <c r="G8" s="22" t="s">
        <v>149</v>
      </c>
      <c r="H8" s="23"/>
      <c r="I8" s="24"/>
      <c r="J8" s="24"/>
      <c r="K8" s="24"/>
      <c r="L8" s="24"/>
      <c r="M8" s="24"/>
      <c r="N8" s="24"/>
      <c r="O8" s="24"/>
      <c r="P8" s="24"/>
      <c r="Q8" s="24"/>
      <c r="R8" s="24"/>
      <c r="S8" s="24"/>
      <c r="T8" s="24"/>
      <c r="U8" s="24"/>
      <c r="V8" s="24"/>
      <c r="W8" s="24"/>
      <c r="X8" s="24"/>
      <c r="Y8" s="24"/>
    </row>
    <row r="9">
      <c r="A9" s="6" t="s">
        <v>12</v>
      </c>
      <c r="B9" s="19">
        <f>COUNTA(Raw_Data!H:H)-1</f>
        <v>1825</v>
      </c>
      <c r="C9" s="19"/>
      <c r="D9" s="19">
        <f>COUNTBLANK(Processed_Data!H2:H1826)</f>
        <v>0</v>
      </c>
      <c r="E9" s="21" t="s">
        <v>154</v>
      </c>
      <c r="F9" s="21" t="s">
        <v>155</v>
      </c>
      <c r="G9" s="22" t="s">
        <v>157</v>
      </c>
      <c r="H9" s="25"/>
      <c r="I9" s="24"/>
      <c r="J9" s="24"/>
      <c r="K9" s="24"/>
      <c r="L9" s="24"/>
      <c r="M9" s="24"/>
      <c r="N9" s="24"/>
      <c r="O9" s="24"/>
      <c r="P9" s="24"/>
      <c r="Q9" s="24"/>
      <c r="R9" s="24"/>
      <c r="S9" s="24"/>
      <c r="T9" s="24"/>
      <c r="U9" s="24"/>
      <c r="V9" s="24"/>
      <c r="W9" s="24"/>
      <c r="X9" s="24"/>
      <c r="Y9" s="24"/>
    </row>
    <row r="10">
      <c r="A10" s="6" t="s">
        <v>14</v>
      </c>
      <c r="B10" s="19">
        <f>COUNTA(Raw_Data!I:I)-1</f>
        <v>1825</v>
      </c>
      <c r="C10" s="19"/>
      <c r="D10" s="19">
        <f>COUNTBLANK(Processed_Data!I2:I1826)</f>
        <v>0</v>
      </c>
      <c r="E10" s="21" t="s">
        <v>166</v>
      </c>
      <c r="F10" s="21" t="s">
        <v>102</v>
      </c>
      <c r="G10" s="26" t="s">
        <v>168</v>
      </c>
      <c r="H10" s="25"/>
      <c r="I10" s="24"/>
      <c r="J10" s="24"/>
      <c r="K10" s="24"/>
      <c r="L10" s="24"/>
      <c r="M10" s="24"/>
      <c r="N10" s="24"/>
      <c r="O10" s="24"/>
      <c r="P10" s="24"/>
      <c r="Q10" s="24"/>
      <c r="R10" s="24"/>
      <c r="S10" s="24"/>
      <c r="T10" s="24"/>
      <c r="U10" s="24"/>
      <c r="V10" s="24"/>
      <c r="W10" s="24"/>
      <c r="X10" s="24"/>
      <c r="Y10" s="24"/>
    </row>
    <row r="11">
      <c r="A11" s="6" t="s">
        <v>17</v>
      </c>
      <c r="B11" s="19">
        <f>COUNTA(Raw_Data!J:J)-1</f>
        <v>1825</v>
      </c>
      <c r="C11" s="19">
        <f>IFERROR(__xludf.DUMMYFUNCTION("COUNTUNIQUE(Processed_Data!J2:J1826)"),3.0)</f>
        <v>3</v>
      </c>
      <c r="D11" s="19">
        <f>COUNTBLANK(Processed_Data!J2:J1826)</f>
        <v>0</v>
      </c>
      <c r="E11" s="21" t="s">
        <v>180</v>
      </c>
      <c r="F11" s="21" t="s">
        <v>114</v>
      </c>
      <c r="G11" s="22" t="s">
        <v>181</v>
      </c>
      <c r="H11" s="23"/>
      <c r="I11" s="24"/>
      <c r="J11" s="24"/>
      <c r="K11" s="24"/>
      <c r="L11" s="24"/>
      <c r="M11" s="24"/>
      <c r="N11" s="24"/>
      <c r="O11" s="24"/>
      <c r="P11" s="24"/>
      <c r="Q11" s="24"/>
      <c r="R11" s="24"/>
      <c r="S11" s="24"/>
      <c r="T11" s="24"/>
      <c r="U11" s="24"/>
      <c r="V11" s="24"/>
      <c r="W11" s="24"/>
      <c r="X11" s="24"/>
      <c r="Y11" s="24"/>
    </row>
    <row r="12">
      <c r="A12" s="6" t="s">
        <v>18</v>
      </c>
      <c r="B12" s="19">
        <f>COUNTA(Raw_Data!K:K)-1</f>
        <v>1825</v>
      </c>
      <c r="C12" s="19">
        <f>IFERROR(__xludf.DUMMYFUNCTION("COUNTUNIQUE(Processed_Data!K2:K1826)"),3.0)</f>
        <v>3</v>
      </c>
      <c r="D12" s="19">
        <f>COUNTBLANK(Processed_Data!K2:K1826)</f>
        <v>0</v>
      </c>
      <c r="E12" s="21" t="s">
        <v>193</v>
      </c>
      <c r="F12" s="21" t="s">
        <v>114</v>
      </c>
      <c r="G12" s="22" t="s">
        <v>194</v>
      </c>
      <c r="H12" s="23"/>
      <c r="I12" s="24"/>
      <c r="J12" s="24"/>
      <c r="K12" s="24"/>
      <c r="L12" s="24"/>
      <c r="M12" s="24"/>
      <c r="N12" s="24"/>
      <c r="O12" s="24"/>
      <c r="P12" s="24"/>
      <c r="Q12" s="24"/>
      <c r="R12" s="24"/>
      <c r="S12" s="24"/>
      <c r="T12" s="24"/>
      <c r="U12" s="24"/>
      <c r="V12" s="24"/>
      <c r="W12" s="24"/>
      <c r="X12" s="24"/>
      <c r="Y12" s="24"/>
    </row>
    <row r="13">
      <c r="A13" s="6" t="s">
        <v>19</v>
      </c>
      <c r="B13" s="19">
        <f>COUNTA(Raw_Data!L:L)-1</f>
        <v>1813</v>
      </c>
      <c r="C13" s="19"/>
      <c r="D13" s="19">
        <f>COUNTBLANK(#REF!)</f>
        <v>0</v>
      </c>
      <c r="E13" s="21" t="s">
        <v>198</v>
      </c>
      <c r="F13" s="21" t="s">
        <v>199</v>
      </c>
      <c r="G13" s="22" t="s">
        <v>200</v>
      </c>
      <c r="H13" s="23"/>
      <c r="I13" s="24"/>
      <c r="J13" s="24"/>
      <c r="K13" s="24"/>
      <c r="L13" s="24"/>
      <c r="M13" s="24"/>
      <c r="N13" s="24"/>
      <c r="O13" s="24"/>
      <c r="P13" s="24"/>
      <c r="Q13" s="24"/>
      <c r="R13" s="24"/>
      <c r="S13" s="24"/>
      <c r="T13" s="24"/>
      <c r="U13" s="24"/>
      <c r="V13" s="24"/>
      <c r="W13" s="24"/>
      <c r="X13" s="24"/>
      <c r="Y13" s="24"/>
    </row>
    <row r="14">
      <c r="A14" s="6" t="s">
        <v>20</v>
      </c>
      <c r="B14" s="19">
        <f>COUNTA(Raw_Data!M:M)-1</f>
        <v>1810</v>
      </c>
      <c r="C14" s="19"/>
      <c r="D14" s="19">
        <f>COUNTBLANK(Processed_Data!M2:M1826)</f>
        <v>15</v>
      </c>
      <c r="E14" s="21" t="s">
        <v>207</v>
      </c>
      <c r="F14" s="21" t="s">
        <v>102</v>
      </c>
      <c r="G14" s="22"/>
      <c r="H14" s="23"/>
      <c r="I14" s="24"/>
      <c r="J14" s="24"/>
      <c r="K14" s="24"/>
      <c r="L14" s="24"/>
      <c r="M14" s="24"/>
      <c r="N14" s="24"/>
      <c r="O14" s="24"/>
      <c r="P14" s="24"/>
      <c r="Q14" s="24"/>
      <c r="R14" s="24"/>
      <c r="S14" s="24"/>
      <c r="T14" s="24"/>
      <c r="U14" s="24"/>
      <c r="V14" s="24"/>
      <c r="W14" s="24"/>
      <c r="X14" s="24"/>
      <c r="Y14" s="24"/>
    </row>
    <row r="15">
      <c r="A15" s="6" t="s">
        <v>21</v>
      </c>
      <c r="B15" s="19">
        <f>COUNTA(Raw_Data!N:N)-1</f>
        <v>1815</v>
      </c>
      <c r="C15" s="19"/>
      <c r="D15" s="19">
        <f>COUNTBLANK(Processed_Data!N2:N1826)</f>
        <v>10</v>
      </c>
      <c r="E15" s="21" t="s">
        <v>213</v>
      </c>
      <c r="F15" s="21" t="s">
        <v>102</v>
      </c>
      <c r="G15" s="22"/>
      <c r="H15" s="23"/>
      <c r="I15" s="24"/>
      <c r="J15" s="24"/>
      <c r="K15" s="24"/>
      <c r="L15" s="24"/>
      <c r="M15" s="24"/>
      <c r="N15" s="24"/>
      <c r="O15" s="24"/>
      <c r="P15" s="24"/>
      <c r="Q15" s="24"/>
      <c r="R15" s="24"/>
      <c r="S15" s="24"/>
      <c r="T15" s="24"/>
      <c r="U15" s="24"/>
      <c r="V15" s="24"/>
      <c r="W15" s="24"/>
      <c r="X15" s="24"/>
      <c r="Y15" s="24"/>
    </row>
    <row r="16">
      <c r="A16" s="6" t="s">
        <v>22</v>
      </c>
      <c r="B16" s="19">
        <f>COUNTA(Raw_Data!O:O)-1</f>
        <v>1825</v>
      </c>
      <c r="C16" s="19"/>
      <c r="D16" s="27">
        <v>0.0</v>
      </c>
      <c r="E16" s="21" t="s">
        <v>219</v>
      </c>
      <c r="F16" s="21" t="s">
        <v>102</v>
      </c>
      <c r="G16" s="22" t="s">
        <v>221</v>
      </c>
      <c r="H16" s="25"/>
      <c r="I16" s="24"/>
      <c r="J16" s="24"/>
      <c r="K16" s="24"/>
      <c r="L16" s="24"/>
      <c r="M16" s="24"/>
      <c r="N16" s="24"/>
      <c r="O16" s="24"/>
      <c r="P16" s="24"/>
      <c r="Q16" s="24"/>
      <c r="R16" s="24"/>
      <c r="S16" s="24"/>
      <c r="T16" s="24"/>
      <c r="U16" s="24"/>
      <c r="V16" s="24"/>
      <c r="W16" s="24"/>
      <c r="X16" s="24"/>
      <c r="Y16" s="24"/>
    </row>
    <row r="17">
      <c r="A17" s="6" t="s">
        <v>23</v>
      </c>
      <c r="B17" s="19">
        <f>COUNTA(Raw_Data!P:P)-1</f>
        <v>1811</v>
      </c>
      <c r="C17" s="19"/>
      <c r="D17" s="19">
        <f>COUNTBLANK(Processed_Data!P2:P1826)</f>
        <v>14</v>
      </c>
      <c r="E17" s="21" t="s">
        <v>227</v>
      </c>
      <c r="F17" s="21" t="s">
        <v>102</v>
      </c>
      <c r="G17" s="28"/>
      <c r="H17" s="23"/>
      <c r="I17" s="24"/>
      <c r="J17" s="24"/>
      <c r="K17" s="24"/>
      <c r="L17" s="24"/>
      <c r="M17" s="24"/>
      <c r="N17" s="24"/>
      <c r="O17" s="24"/>
      <c r="P17" s="24"/>
      <c r="Q17" s="24"/>
      <c r="R17" s="24"/>
      <c r="S17" s="24"/>
      <c r="T17" s="24"/>
      <c r="U17" s="24"/>
      <c r="V17" s="24"/>
      <c r="W17" s="24"/>
      <c r="X17" s="24"/>
      <c r="Y17" s="24"/>
    </row>
    <row r="18">
      <c r="A18" s="6" t="s">
        <v>24</v>
      </c>
      <c r="B18" s="19">
        <f>COUNTA(Raw_Data!Q:Q)-1</f>
        <v>1813</v>
      </c>
      <c r="C18" s="19"/>
      <c r="D18" s="19">
        <f>COUNTBLANK(Processed_Data!Q2:Q1826)</f>
        <v>12</v>
      </c>
      <c r="E18" s="21" t="s">
        <v>236</v>
      </c>
      <c r="F18" s="21" t="s">
        <v>237</v>
      </c>
      <c r="G18" s="22"/>
      <c r="H18" s="23"/>
      <c r="I18" s="24"/>
      <c r="J18" s="24"/>
      <c r="K18" s="24"/>
      <c r="L18" s="24"/>
      <c r="M18" s="24"/>
      <c r="N18" s="24"/>
      <c r="O18" s="24"/>
      <c r="P18" s="24"/>
      <c r="Q18" s="24"/>
      <c r="R18" s="24"/>
      <c r="S18" s="24"/>
      <c r="T18" s="24"/>
      <c r="U18" s="24"/>
      <c r="V18" s="24"/>
      <c r="W18" s="24"/>
      <c r="X18" s="24"/>
      <c r="Y18" s="24"/>
    </row>
    <row r="19">
      <c r="A19" s="6" t="s">
        <v>25</v>
      </c>
      <c r="B19" s="19">
        <f>COUNTA(Raw_Data!R:R)-1</f>
        <v>545</v>
      </c>
      <c r="C19" s="19"/>
      <c r="D19" s="19">
        <f>COUNTBLANK(Processed_Data!R2:R1826)</f>
        <v>1280</v>
      </c>
      <c r="E19" s="21" t="s">
        <v>243</v>
      </c>
      <c r="F19" s="21" t="s">
        <v>244</v>
      </c>
      <c r="G19" s="22" t="s">
        <v>246</v>
      </c>
      <c r="H19" s="29"/>
      <c r="I19" s="24"/>
      <c r="J19" s="24"/>
      <c r="K19" s="24"/>
      <c r="L19" s="24"/>
      <c r="M19" s="24"/>
      <c r="N19" s="24"/>
      <c r="O19" s="24"/>
      <c r="P19" s="24"/>
      <c r="Q19" s="24"/>
      <c r="R19" s="24"/>
      <c r="S19" s="24"/>
      <c r="T19" s="24"/>
      <c r="U19" s="24"/>
      <c r="V19" s="24"/>
      <c r="W19" s="24"/>
      <c r="X19" s="24"/>
      <c r="Y19" s="24"/>
    </row>
    <row r="20">
      <c r="A20" s="6" t="s">
        <v>26</v>
      </c>
      <c r="B20" s="19">
        <f>COUNTA(Raw_Data!S:S)-1</f>
        <v>1825</v>
      </c>
      <c r="C20" s="19">
        <f>IFERROR(__xludf.DUMMYFUNCTION("COUNTUNIQUE(Processed_Data!S2:S1826)"),4.0)</f>
        <v>4</v>
      </c>
      <c r="D20" s="19">
        <f>COUNTBLANK(Processed_Data!S2:S1826)</f>
        <v>0</v>
      </c>
      <c r="E20" s="21" t="s">
        <v>254</v>
      </c>
      <c r="F20" s="21" t="s">
        <v>114</v>
      </c>
      <c r="G20" s="22" t="s">
        <v>255</v>
      </c>
      <c r="H20" s="25"/>
      <c r="I20" s="24"/>
      <c r="J20" s="24"/>
      <c r="K20" s="24"/>
      <c r="L20" s="24"/>
      <c r="M20" s="24"/>
      <c r="N20" s="24"/>
      <c r="O20" s="24"/>
      <c r="P20" s="24"/>
      <c r="Q20" s="24"/>
      <c r="R20" s="24"/>
      <c r="S20" s="24"/>
      <c r="T20" s="24"/>
      <c r="U20" s="24"/>
      <c r="V20" s="24"/>
      <c r="W20" s="24"/>
      <c r="X20" s="24"/>
      <c r="Y20" s="24"/>
    </row>
    <row r="21">
      <c r="A21" s="6" t="s">
        <v>27</v>
      </c>
      <c r="B21" s="19">
        <f>COUNTA(Raw_Data!T:T)-1</f>
        <v>1815</v>
      </c>
      <c r="C21" s="19">
        <f>IFERROR(__xludf.DUMMYFUNCTION("COUNTUNIQUE(Processed_Data!T2:T1826)"),5.0)</f>
        <v>5</v>
      </c>
      <c r="D21" s="19">
        <f>COUNTBLANK(Processed_Data!T2:T1826)</f>
        <v>10</v>
      </c>
      <c r="E21" s="21" t="s">
        <v>261</v>
      </c>
      <c r="F21" s="21" t="s">
        <v>114</v>
      </c>
      <c r="G21" s="28"/>
      <c r="H21" s="23"/>
      <c r="I21" s="24"/>
      <c r="J21" s="24"/>
      <c r="K21" s="24"/>
      <c r="L21" s="24"/>
      <c r="M21" s="24"/>
      <c r="N21" s="24"/>
      <c r="O21" s="24"/>
      <c r="P21" s="24"/>
      <c r="Q21" s="24"/>
      <c r="R21" s="24"/>
      <c r="S21" s="24"/>
      <c r="T21" s="24"/>
      <c r="U21" s="24"/>
      <c r="V21" s="24"/>
      <c r="W21" s="24"/>
      <c r="X21" s="24"/>
      <c r="Y21" s="24"/>
    </row>
    <row r="24">
      <c r="A24" s="30" t="s">
        <v>266</v>
      </c>
      <c r="B24" s="30" t="s">
        <v>268</v>
      </c>
      <c r="C24" s="30" t="s">
        <v>269</v>
      </c>
    </row>
    <row r="25">
      <c r="A25" s="11" t="s">
        <v>270</v>
      </c>
      <c r="B25" s="11" t="s">
        <v>271</v>
      </c>
    </row>
    <row r="26">
      <c r="A26" s="11" t="s">
        <v>273</v>
      </c>
      <c r="B26" s="11" t="s">
        <v>274</v>
      </c>
    </row>
    <row r="27">
      <c r="A27" s="11" t="s">
        <v>276</v>
      </c>
      <c r="B27" s="11" t="s">
        <v>277</v>
      </c>
      <c r="C27" s="31" t="s">
        <v>278</v>
      </c>
    </row>
    <row r="28">
      <c r="A28" s="11" t="s">
        <v>280</v>
      </c>
    </row>
    <row r="29">
      <c r="A29" s="11" t="s">
        <v>282</v>
      </c>
    </row>
    <row r="30">
      <c r="A30" s="11" t="s">
        <v>55</v>
      </c>
      <c r="B30" s="11" t="s">
        <v>283</v>
      </c>
      <c r="C30" s="13">
        <f>SUMPRODUCT((Processed_Data!S:S="Active") * (Processed_Data!R:R&lt;&gt;""))
</f>
        <v>12</v>
      </c>
    </row>
    <row r="31">
      <c r="B31" s="11" t="s">
        <v>293</v>
      </c>
      <c r="C31" s="13">
        <f>SUMPRODUCT((Processed_Data!S:S="Active") * (Processed_Data!R:R=""))
</f>
        <v>1246</v>
      </c>
    </row>
    <row r="32">
      <c r="A32" s="11" t="s">
        <v>45</v>
      </c>
      <c r="B32" s="11" t="s">
        <v>283</v>
      </c>
      <c r="C32" s="13">
        <f>SUMPRODUCT((Processed_Data!S:S="Churned") * (Processed_Data!R:R&lt;&gt;""))
</f>
        <v>525</v>
      </c>
    </row>
    <row r="33">
      <c r="B33" s="11" t="s">
        <v>293</v>
      </c>
      <c r="C33" s="13">
        <f>SUMPRODUCT((Processed_Data!S:S="Churned") * (Processed_Data!R:R=""))
</f>
        <v>13</v>
      </c>
    </row>
    <row r="99">
      <c r="A99" s="11"/>
      <c r="B99" s="32"/>
      <c r="C99" s="32"/>
      <c r="D99" s="33"/>
    </row>
    <row r="100">
      <c r="A100" s="10"/>
    </row>
  </sheetData>
  <conditionalFormatting sqref="A100">
    <cfRule type="expression" dxfId="0" priority="1">
      <formula>COUNTIF($A$2:$A$3192, A101)&gt;1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26.25"/>
    <col customWidth="1" min="3" max="3" width="15.5"/>
    <col customWidth="1" min="4" max="4" width="15.25"/>
  </cols>
  <sheetData>
    <row r="1">
      <c r="A1" s="34" t="s">
        <v>477</v>
      </c>
    </row>
    <row r="2">
      <c r="A2" s="35" t="s">
        <v>481</v>
      </c>
    </row>
    <row r="3">
      <c r="A3" s="4" t="s">
        <v>482</v>
      </c>
      <c r="B3" s="4" t="s">
        <v>484</v>
      </c>
      <c r="C3" s="4" t="s">
        <v>485</v>
      </c>
    </row>
    <row r="4">
      <c r="A4" s="22" t="s">
        <v>486</v>
      </c>
      <c r="B4" s="22" t="s">
        <v>488</v>
      </c>
      <c r="C4" s="22" t="s">
        <v>489</v>
      </c>
    </row>
    <row r="5">
      <c r="A5" s="22" t="s">
        <v>491</v>
      </c>
      <c r="B5" s="22" t="s">
        <v>492</v>
      </c>
      <c r="C5" s="22" t="s">
        <v>493</v>
      </c>
    </row>
    <row r="6">
      <c r="A6" s="25" t="s">
        <v>269</v>
      </c>
      <c r="B6" s="36" t="s">
        <v>494</v>
      </c>
      <c r="C6" s="22" t="s">
        <v>496</v>
      </c>
    </row>
    <row r="7">
      <c r="A7" s="22" t="s">
        <v>498</v>
      </c>
      <c r="B7" s="22" t="s">
        <v>499</v>
      </c>
      <c r="C7" s="22" t="s">
        <v>500</v>
      </c>
    </row>
    <row r="10">
      <c r="A10" s="4" t="s">
        <v>501</v>
      </c>
      <c r="B10" s="37" t="s">
        <v>484</v>
      </c>
      <c r="C10" s="4" t="s">
        <v>503</v>
      </c>
    </row>
    <row r="11">
      <c r="A11" s="38" t="s">
        <v>504</v>
      </c>
      <c r="B11" s="39">
        <v>1825.0</v>
      </c>
      <c r="C11" s="36" t="s">
        <v>507</v>
      </c>
    </row>
    <row r="12">
      <c r="A12" s="38" t="s">
        <v>508</v>
      </c>
      <c r="B12" s="39">
        <v>1076.0</v>
      </c>
      <c r="C12" s="36" t="s">
        <v>509</v>
      </c>
    </row>
    <row r="13">
      <c r="A13" s="38" t="s">
        <v>510</v>
      </c>
      <c r="B13" s="40">
        <v>0.0</v>
      </c>
      <c r="C13" s="36" t="s">
        <v>511</v>
      </c>
    </row>
    <row r="14">
      <c r="A14" s="38" t="s">
        <v>486</v>
      </c>
      <c r="B14" s="40">
        <v>34.0</v>
      </c>
      <c r="C14" s="36" t="s">
        <v>513</v>
      </c>
    </row>
    <row r="15">
      <c r="A15" s="38" t="s">
        <v>514</v>
      </c>
      <c r="B15" s="39">
        <v>1215.0</v>
      </c>
      <c r="C15" s="36" t="s">
        <v>515</v>
      </c>
    </row>
    <row r="18">
      <c r="A18" s="41" t="s">
        <v>516</v>
      </c>
      <c r="B18" s="42"/>
      <c r="C18" s="43"/>
    </row>
    <row r="19">
      <c r="A19" s="44" t="s">
        <v>0</v>
      </c>
      <c r="B19" s="1" t="s">
        <v>2</v>
      </c>
      <c r="C19" s="3" t="s">
        <v>4</v>
      </c>
    </row>
    <row r="20">
      <c r="A20" s="29" t="s">
        <v>423</v>
      </c>
      <c r="B20" s="29" t="s">
        <v>424</v>
      </c>
      <c r="C20" s="45">
        <v>25.0</v>
      </c>
    </row>
    <row r="21">
      <c r="A21" s="29" t="s">
        <v>455</v>
      </c>
      <c r="B21" s="29" t="s">
        <v>257</v>
      </c>
      <c r="C21" s="45">
        <v>38.0</v>
      </c>
    </row>
    <row r="22">
      <c r="A22" s="29" t="s">
        <v>469</v>
      </c>
      <c r="B22" s="29" t="s">
        <v>470</v>
      </c>
      <c r="C22" s="45">
        <v>56.0</v>
      </c>
    </row>
    <row r="23">
      <c r="A23" s="29" t="s">
        <v>523</v>
      </c>
      <c r="B23" s="29" t="s">
        <v>333</v>
      </c>
      <c r="C23" s="45">
        <v>45.0</v>
      </c>
    </row>
    <row r="24">
      <c r="A24" s="29" t="s">
        <v>525</v>
      </c>
      <c r="B24" s="29" t="s">
        <v>68</v>
      </c>
      <c r="C24" s="45">
        <v>38.0</v>
      </c>
    </row>
    <row r="25">
      <c r="A25" s="29" t="s">
        <v>527</v>
      </c>
      <c r="B25" s="29" t="s">
        <v>229</v>
      </c>
      <c r="C25" s="45">
        <v>67.0</v>
      </c>
    </row>
    <row r="26">
      <c r="A26" s="29" t="s">
        <v>483</v>
      </c>
      <c r="B26" s="29" t="s">
        <v>139</v>
      </c>
      <c r="C26" s="45">
        <v>51.0</v>
      </c>
    </row>
    <row r="27">
      <c r="A27" s="29" t="s">
        <v>528</v>
      </c>
      <c r="B27" s="29" t="s">
        <v>235</v>
      </c>
      <c r="C27" s="45">
        <v>42.0</v>
      </c>
    </row>
    <row r="28">
      <c r="A28" s="29" t="s">
        <v>530</v>
      </c>
      <c r="B28" s="29" t="s">
        <v>229</v>
      </c>
      <c r="C28" s="45">
        <v>33.0</v>
      </c>
    </row>
    <row r="29">
      <c r="A29" s="29" t="s">
        <v>531</v>
      </c>
      <c r="B29" s="29" t="s">
        <v>167</v>
      </c>
      <c r="C29" s="45">
        <v>44.0</v>
      </c>
    </row>
    <row r="30">
      <c r="A30" s="29" t="s">
        <v>533</v>
      </c>
      <c r="B30" s="29" t="s">
        <v>224</v>
      </c>
      <c r="C30" s="45">
        <v>52.0</v>
      </c>
    </row>
    <row r="31">
      <c r="A31" s="29" t="s">
        <v>534</v>
      </c>
      <c r="B31" s="29" t="s">
        <v>139</v>
      </c>
      <c r="C31" s="45">
        <v>24.0</v>
      </c>
    </row>
    <row r="32">
      <c r="A32" s="29" t="s">
        <v>535</v>
      </c>
      <c r="B32" s="29" t="s">
        <v>167</v>
      </c>
      <c r="C32" s="45">
        <v>19.0</v>
      </c>
    </row>
    <row r="33">
      <c r="A33" s="29" t="s">
        <v>537</v>
      </c>
      <c r="B33" s="29" t="s">
        <v>476</v>
      </c>
      <c r="C33" s="45">
        <v>27.0</v>
      </c>
    </row>
    <row r="34">
      <c r="A34" s="29" t="s">
        <v>539</v>
      </c>
      <c r="B34" s="29" t="s">
        <v>179</v>
      </c>
      <c r="C34" s="45">
        <v>62.0</v>
      </c>
    </row>
    <row r="35">
      <c r="A35" s="29" t="s">
        <v>231</v>
      </c>
      <c r="B35" s="29" t="s">
        <v>106</v>
      </c>
      <c r="C35" s="45">
        <v>57.0</v>
      </c>
    </row>
    <row r="36">
      <c r="A36" s="29" t="s">
        <v>540</v>
      </c>
      <c r="B36" s="29" t="s">
        <v>206</v>
      </c>
      <c r="C36" s="45">
        <v>54.0</v>
      </c>
    </row>
    <row r="37">
      <c r="A37" s="29" t="s">
        <v>231</v>
      </c>
      <c r="B37" s="29" t="s">
        <v>106</v>
      </c>
      <c r="C37" s="45">
        <v>57.0</v>
      </c>
    </row>
    <row r="38">
      <c r="A38" s="29" t="s">
        <v>530</v>
      </c>
      <c r="B38" s="29" t="s">
        <v>229</v>
      </c>
      <c r="C38" s="45">
        <v>33.0</v>
      </c>
    </row>
    <row r="39">
      <c r="A39" s="29" t="s">
        <v>525</v>
      </c>
      <c r="B39" s="29" t="s">
        <v>68</v>
      </c>
      <c r="C39" s="45">
        <v>38.0</v>
      </c>
    </row>
    <row r="40">
      <c r="A40" s="29" t="s">
        <v>523</v>
      </c>
      <c r="B40" s="29" t="s">
        <v>333</v>
      </c>
      <c r="C40" s="45">
        <v>45.0</v>
      </c>
    </row>
    <row r="41">
      <c r="A41" s="29" t="s">
        <v>540</v>
      </c>
      <c r="B41" s="29" t="s">
        <v>206</v>
      </c>
      <c r="C41" s="45">
        <v>54.0</v>
      </c>
    </row>
    <row r="42">
      <c r="A42" s="29" t="s">
        <v>533</v>
      </c>
      <c r="B42" s="29" t="s">
        <v>224</v>
      </c>
      <c r="C42" s="45">
        <v>52.0</v>
      </c>
    </row>
    <row r="43">
      <c r="A43" s="29" t="s">
        <v>539</v>
      </c>
      <c r="B43" s="29" t="s">
        <v>179</v>
      </c>
      <c r="C43" s="45">
        <v>62.0</v>
      </c>
    </row>
    <row r="44">
      <c r="A44" s="29" t="s">
        <v>483</v>
      </c>
      <c r="B44" s="29" t="s">
        <v>139</v>
      </c>
      <c r="C44" s="45">
        <v>51.0</v>
      </c>
    </row>
    <row r="45">
      <c r="A45" s="29" t="s">
        <v>535</v>
      </c>
      <c r="B45" s="29" t="s">
        <v>167</v>
      </c>
      <c r="C45" s="45">
        <v>19.0</v>
      </c>
    </row>
    <row r="46">
      <c r="A46" s="29" t="s">
        <v>469</v>
      </c>
      <c r="B46" s="29" t="s">
        <v>470</v>
      </c>
      <c r="C46" s="45">
        <v>56.0</v>
      </c>
    </row>
    <row r="47">
      <c r="A47" s="29" t="s">
        <v>534</v>
      </c>
      <c r="B47" s="29" t="s">
        <v>139</v>
      </c>
      <c r="C47" s="45">
        <v>24.0</v>
      </c>
    </row>
    <row r="48">
      <c r="A48" s="29" t="s">
        <v>531</v>
      </c>
      <c r="B48" s="29" t="s">
        <v>167</v>
      </c>
      <c r="C48" s="45">
        <v>44.0</v>
      </c>
    </row>
    <row r="49">
      <c r="A49" s="29" t="s">
        <v>537</v>
      </c>
      <c r="B49" s="29" t="s">
        <v>476</v>
      </c>
      <c r="C49" s="45">
        <v>27.0</v>
      </c>
    </row>
    <row r="50">
      <c r="A50" s="29" t="s">
        <v>455</v>
      </c>
      <c r="B50" s="29" t="s">
        <v>257</v>
      </c>
      <c r="C50" s="45">
        <v>38.0</v>
      </c>
    </row>
    <row r="51">
      <c r="A51" s="29" t="s">
        <v>423</v>
      </c>
      <c r="B51" s="29" t="s">
        <v>424</v>
      </c>
      <c r="C51" s="45">
        <v>25.0</v>
      </c>
    </row>
    <row r="52">
      <c r="A52" s="29" t="s">
        <v>527</v>
      </c>
      <c r="B52" s="29" t="s">
        <v>229</v>
      </c>
      <c r="C52" s="45">
        <v>67.0</v>
      </c>
    </row>
    <row r="53">
      <c r="A53" s="29" t="s">
        <v>528</v>
      </c>
      <c r="B53" s="29" t="s">
        <v>235</v>
      </c>
      <c r="C53" s="45">
        <v>42.0</v>
      </c>
    </row>
    <row r="56">
      <c r="A56" s="41" t="s">
        <v>547</v>
      </c>
      <c r="B56" s="42"/>
      <c r="C56" s="42"/>
      <c r="D56" s="43"/>
    </row>
    <row r="57">
      <c r="A57" s="4" t="s">
        <v>26</v>
      </c>
      <c r="B57" s="37" t="s">
        <v>550</v>
      </c>
      <c r="C57" s="37" t="s">
        <v>551</v>
      </c>
      <c r="D57" s="37" t="s">
        <v>552</v>
      </c>
    </row>
    <row r="58">
      <c r="A58" s="38" t="s">
        <v>230</v>
      </c>
      <c r="B58" s="40">
        <v>20.0</v>
      </c>
      <c r="C58" s="40">
        <v>14.0</v>
      </c>
      <c r="D58" s="40">
        <v>6.0</v>
      </c>
    </row>
    <row r="59">
      <c r="A59" s="38" t="s">
        <v>529</v>
      </c>
      <c r="B59" s="40">
        <v>9.0</v>
      </c>
      <c r="C59" s="40">
        <v>7.0</v>
      </c>
      <c r="D59" s="40">
        <v>2.0</v>
      </c>
    </row>
    <row r="60">
      <c r="A60" s="4" t="s">
        <v>26</v>
      </c>
      <c r="B60" s="37" t="s">
        <v>550</v>
      </c>
      <c r="C60" s="37" t="s">
        <v>551</v>
      </c>
      <c r="D60" s="37" t="s">
        <v>552</v>
      </c>
    </row>
    <row r="61">
      <c r="A61" s="38" t="s">
        <v>55</v>
      </c>
      <c r="B61" s="39">
        <v>1258.0</v>
      </c>
      <c r="C61" s="39">
        <v>1246.0</v>
      </c>
      <c r="D61" s="40">
        <v>12.0</v>
      </c>
    </row>
    <row r="62">
      <c r="A62" s="38" t="s">
        <v>45</v>
      </c>
      <c r="B62" s="39">
        <v>537.0</v>
      </c>
      <c r="C62" s="39">
        <v>0.0</v>
      </c>
      <c r="D62" s="40">
        <v>537.0</v>
      </c>
    </row>
    <row r="64">
      <c r="A64" s="34" t="s">
        <v>554</v>
      </c>
    </row>
    <row r="65">
      <c r="A65" s="4" t="s">
        <v>555</v>
      </c>
      <c r="B65" s="4" t="s">
        <v>484</v>
      </c>
    </row>
    <row r="66">
      <c r="A66" s="38" t="s">
        <v>23</v>
      </c>
      <c r="B66" s="38" t="s">
        <v>556</v>
      </c>
    </row>
    <row r="67">
      <c r="A67" s="38" t="s">
        <v>557</v>
      </c>
      <c r="B67" s="38">
        <v>0.0</v>
      </c>
    </row>
    <row r="68">
      <c r="A68" s="38" t="s">
        <v>558</v>
      </c>
      <c r="B68" s="38">
        <v>9.0</v>
      </c>
    </row>
    <row r="69">
      <c r="A69" s="38" t="s">
        <v>559</v>
      </c>
      <c r="B69" s="38" t="s">
        <v>560</v>
      </c>
    </row>
    <row r="70">
      <c r="A70" s="38" t="s">
        <v>561</v>
      </c>
      <c r="B70" s="38" t="s">
        <v>562</v>
      </c>
      <c r="C70" s="11" t="s">
        <v>563</v>
      </c>
    </row>
    <row r="72">
      <c r="A72" s="11" t="s">
        <v>564</v>
      </c>
    </row>
    <row r="73">
      <c r="A73" s="4" t="s">
        <v>565</v>
      </c>
      <c r="B73" s="4" t="s">
        <v>566</v>
      </c>
    </row>
    <row r="74">
      <c r="A74" s="38" t="s">
        <v>569</v>
      </c>
      <c r="B74" s="38" t="s">
        <v>570</v>
      </c>
    </row>
    <row r="75">
      <c r="A75" s="38" t="s">
        <v>572</v>
      </c>
      <c r="B75" s="38" t="s">
        <v>573</v>
      </c>
    </row>
    <row r="76">
      <c r="A76" s="38" t="s">
        <v>574</v>
      </c>
      <c r="B76" s="38" t="s">
        <v>575</v>
      </c>
    </row>
    <row r="77">
      <c r="A77" s="38" t="s">
        <v>576</v>
      </c>
      <c r="B77" s="38" t="s">
        <v>577</v>
      </c>
    </row>
    <row r="79">
      <c r="A79" s="41" t="s">
        <v>578</v>
      </c>
      <c r="B79" s="43"/>
    </row>
    <row r="80">
      <c r="A80" s="38" t="s">
        <v>580</v>
      </c>
      <c r="B80" s="46">
        <f>Max(Cleaned_Data!O2:O1809)</f>
        <v>56.4</v>
      </c>
    </row>
    <row r="81">
      <c r="A81" s="38" t="s">
        <v>584</v>
      </c>
      <c r="B81" s="46">
        <f>MIN(Cleaned_Data!O1:O1808)</f>
        <v>1</v>
      </c>
    </row>
    <row r="82">
      <c r="A82" s="38" t="s">
        <v>587</v>
      </c>
      <c r="B82" s="46">
        <f>Average(Cleaned_Data!O2:O1809)</f>
        <v>24.79115044</v>
      </c>
    </row>
    <row r="83">
      <c r="A83" s="38" t="s">
        <v>589</v>
      </c>
      <c r="B83" s="46">
        <f>Median(Cleaned_Data!O2:O1809)</f>
        <v>24</v>
      </c>
    </row>
    <row r="85">
      <c r="A85" s="41" t="s">
        <v>592</v>
      </c>
      <c r="B85" s="43"/>
    </row>
    <row r="86">
      <c r="A86" s="35" t="s">
        <v>593</v>
      </c>
    </row>
    <row r="87">
      <c r="A87" s="35" t="s">
        <v>594</v>
      </c>
    </row>
    <row r="88">
      <c r="A88" s="35" t="s">
        <v>596</v>
      </c>
    </row>
    <row r="89">
      <c r="A89" s="35" t="s">
        <v>597</v>
      </c>
    </row>
    <row r="91">
      <c r="A91" s="41" t="s">
        <v>598</v>
      </c>
      <c r="B91" s="43"/>
    </row>
    <row r="92">
      <c r="A92" s="11" t="s">
        <v>599</v>
      </c>
    </row>
    <row r="93">
      <c r="A93" s="11" t="s">
        <v>600</v>
      </c>
    </row>
    <row r="94">
      <c r="A94" s="11" t="s">
        <v>603</v>
      </c>
    </row>
    <row r="95">
      <c r="A95" s="11" t="s">
        <v>604</v>
      </c>
    </row>
    <row r="96">
      <c r="A96" s="11" t="s">
        <v>606</v>
      </c>
    </row>
    <row r="97">
      <c r="A97" s="11" t="s">
        <v>607</v>
      </c>
    </row>
    <row r="99">
      <c r="A99" s="41" t="s">
        <v>608</v>
      </c>
      <c r="B99" s="43"/>
    </row>
    <row r="100">
      <c r="A100" s="4" t="s">
        <v>610</v>
      </c>
      <c r="B100" s="4" t="s">
        <v>611</v>
      </c>
    </row>
    <row r="101">
      <c r="A101" s="38" t="s">
        <v>612</v>
      </c>
      <c r="B101" s="36" t="s">
        <v>14</v>
      </c>
    </row>
    <row r="102">
      <c r="A102" s="38" t="s">
        <v>614</v>
      </c>
      <c r="B102" s="36" t="s">
        <v>615</v>
      </c>
    </row>
    <row r="103">
      <c r="A103" s="38" t="s">
        <v>484</v>
      </c>
      <c r="B103" s="36" t="s">
        <v>616</v>
      </c>
    </row>
    <row r="104">
      <c r="A104" s="38" t="s">
        <v>617</v>
      </c>
      <c r="B104" s="36" t="s">
        <v>618</v>
      </c>
    </row>
    <row r="105">
      <c r="A105" s="38" t="s">
        <v>620</v>
      </c>
      <c r="B105" s="36" t="s">
        <v>621</v>
      </c>
    </row>
    <row r="106">
      <c r="A106" s="38" t="s">
        <v>622</v>
      </c>
      <c r="B106" s="36" t="s">
        <v>623</v>
      </c>
    </row>
    <row r="107">
      <c r="A107" s="38" t="s">
        <v>625</v>
      </c>
      <c r="B107" s="36" t="s">
        <v>626</v>
      </c>
    </row>
    <row r="108">
      <c r="A108" s="38" t="s">
        <v>627</v>
      </c>
      <c r="B108" s="36" t="s">
        <v>628</v>
      </c>
    </row>
  </sheetData>
  <mergeCells count="8">
    <mergeCell ref="A1:C1"/>
    <mergeCell ref="A18:C18"/>
    <mergeCell ref="A56:D56"/>
    <mergeCell ref="A64:B64"/>
    <mergeCell ref="A79:B79"/>
    <mergeCell ref="A91:B91"/>
    <mergeCell ref="A85:B85"/>
    <mergeCell ref="A99:B9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4" max="4" width="19.5"/>
    <col customWidth="1" min="7" max="7" width="18.38"/>
  </cols>
  <sheetData>
    <row r="1">
      <c r="A1" s="47" t="s">
        <v>673</v>
      </c>
    </row>
    <row r="2">
      <c r="A2" s="48"/>
    </row>
    <row r="3">
      <c r="A3" s="48"/>
    </row>
    <row r="4">
      <c r="A4" s="48" t="s">
        <v>678</v>
      </c>
    </row>
    <row r="5">
      <c r="D5" s="29"/>
    </row>
    <row r="6">
      <c r="D6" s="49" t="s">
        <v>782</v>
      </c>
    </row>
    <row r="7">
      <c r="D7" s="50">
        <f t="shared" ref="D7:D9" si="1">C7/(B7+C7)</f>
        <v>0.3138564274</v>
      </c>
    </row>
    <row r="8">
      <c r="D8" s="50">
        <f t="shared" si="1"/>
        <v>0.3068181818</v>
      </c>
    </row>
    <row r="9">
      <c r="D9" s="50">
        <f t="shared" si="1"/>
        <v>0.2695035461</v>
      </c>
    </row>
    <row r="10">
      <c r="G10" s="51"/>
    </row>
    <row r="12">
      <c r="A12" s="52" t="s">
        <v>790</v>
      </c>
    </row>
    <row r="13">
      <c r="A13" s="52" t="s">
        <v>791</v>
      </c>
    </row>
    <row r="14">
      <c r="A14" s="53" t="s">
        <v>793</v>
      </c>
    </row>
    <row r="15">
      <c r="A15" s="53" t="s">
        <v>795</v>
      </c>
    </row>
    <row r="16">
      <c r="A16" s="53" t="s">
        <v>796</v>
      </c>
    </row>
    <row r="17">
      <c r="A17" s="53" t="s">
        <v>798</v>
      </c>
    </row>
    <row r="18">
      <c r="A18" s="53" t="s">
        <v>799</v>
      </c>
    </row>
    <row r="19">
      <c r="A19" s="54"/>
    </row>
    <row r="21">
      <c r="A21" s="48" t="s">
        <v>802</v>
      </c>
    </row>
    <row r="22">
      <c r="D22" s="29"/>
    </row>
    <row r="23">
      <c r="D23" s="49" t="s">
        <v>782</v>
      </c>
    </row>
    <row r="24">
      <c r="D24" s="50">
        <f t="shared" ref="D24:D26" si="2">C24/(B24+C24)</f>
        <v>0.2838323353</v>
      </c>
    </row>
    <row r="25">
      <c r="D25" s="50">
        <f t="shared" si="2"/>
        <v>0.321799308</v>
      </c>
    </row>
    <row r="26">
      <c r="D26" s="50">
        <f t="shared" si="2"/>
        <v>0.3038167939</v>
      </c>
    </row>
    <row r="28">
      <c r="A28" s="52" t="s">
        <v>790</v>
      </c>
    </row>
    <row r="29">
      <c r="A29" s="11" t="s">
        <v>881</v>
      </c>
    </row>
    <row r="30">
      <c r="A30" s="11" t="s">
        <v>883</v>
      </c>
    </row>
    <row r="31">
      <c r="A31" s="11" t="s">
        <v>884</v>
      </c>
    </row>
    <row r="33">
      <c r="A33" s="48" t="s">
        <v>885</v>
      </c>
    </row>
    <row r="34">
      <c r="D34" s="29"/>
    </row>
    <row r="35">
      <c r="D35" s="49" t="s">
        <v>782</v>
      </c>
    </row>
    <row r="36">
      <c r="D36" s="50">
        <f t="shared" ref="D36:D40" si="3">C36/(B36+C36)</f>
        <v>0.4285714286</v>
      </c>
    </row>
    <row r="37">
      <c r="D37" s="50">
        <f t="shared" si="3"/>
        <v>0.2727272727</v>
      </c>
    </row>
    <row r="38">
      <c r="D38" s="50">
        <f t="shared" si="3"/>
        <v>0.3146067416</v>
      </c>
    </row>
    <row r="39">
      <c r="D39" s="50">
        <f t="shared" si="3"/>
        <v>0.2943548387</v>
      </c>
    </row>
    <row r="40">
      <c r="D40" s="50">
        <f t="shared" si="3"/>
        <v>0.25</v>
      </c>
    </row>
    <row r="42">
      <c r="A42" s="52" t="s">
        <v>790</v>
      </c>
    </row>
    <row r="43">
      <c r="A43" s="11" t="s">
        <v>943</v>
      </c>
    </row>
    <row r="44">
      <c r="A44" s="11" t="s">
        <v>944</v>
      </c>
    </row>
    <row r="45">
      <c r="A45" s="11" t="s">
        <v>946</v>
      </c>
    </row>
    <row r="46">
      <c r="A46" s="11" t="s">
        <v>948</v>
      </c>
    </row>
    <row r="47">
      <c r="A47" s="11" t="s">
        <v>949</v>
      </c>
    </row>
    <row r="48">
      <c r="A48" s="11" t="s">
        <v>950</v>
      </c>
    </row>
    <row r="49">
      <c r="A49" s="11" t="s">
        <v>952</v>
      </c>
    </row>
    <row r="50">
      <c r="A50" s="11" t="s">
        <v>953</v>
      </c>
    </row>
    <row r="51">
      <c r="A51" s="11" t="s">
        <v>954</v>
      </c>
    </row>
    <row r="53">
      <c r="A53" s="30" t="s">
        <v>955</v>
      </c>
      <c r="B53" s="30" t="s">
        <v>484</v>
      </c>
    </row>
    <row r="54">
      <c r="A54" s="11" t="s">
        <v>957</v>
      </c>
      <c r="B54" s="11" t="s">
        <v>958</v>
      </c>
    </row>
    <row r="55">
      <c r="A55" s="11" t="s">
        <v>959</v>
      </c>
      <c r="B55" s="11" t="s">
        <v>960</v>
      </c>
    </row>
    <row r="56">
      <c r="A56" s="11" t="s">
        <v>961</v>
      </c>
      <c r="B56" s="11" t="s">
        <v>944</v>
      </c>
    </row>
    <row r="57">
      <c r="A57" s="11" t="s">
        <v>963</v>
      </c>
      <c r="B57" s="11" t="s">
        <v>964</v>
      </c>
    </row>
    <row r="58">
      <c r="A58" s="11" t="s">
        <v>965</v>
      </c>
      <c r="B58" s="11" t="s">
        <v>966</v>
      </c>
    </row>
    <row r="59">
      <c r="A59" s="11" t="s">
        <v>967</v>
      </c>
      <c r="B59" s="11" t="s">
        <v>969</v>
      </c>
    </row>
    <row r="61">
      <c r="A61" s="48" t="s">
        <v>971</v>
      </c>
    </row>
    <row r="62">
      <c r="D62" s="29"/>
    </row>
    <row r="63">
      <c r="D63" s="49" t="s">
        <v>782</v>
      </c>
    </row>
    <row r="64">
      <c r="D64" s="50">
        <f t="shared" ref="D64:D71" si="4">C64/(C64+B64)</f>
        <v>0.2921511628</v>
      </c>
    </row>
    <row r="65">
      <c r="D65" s="50">
        <f t="shared" si="4"/>
        <v>0.2979719189</v>
      </c>
    </row>
    <row r="66">
      <c r="D66" s="50">
        <f t="shared" si="4"/>
        <v>0.2959501558</v>
      </c>
    </row>
    <row r="67">
      <c r="D67" s="50">
        <f t="shared" si="4"/>
        <v>0.3020833333</v>
      </c>
    </row>
    <row r="68">
      <c r="D68" s="50">
        <f t="shared" si="4"/>
        <v>0.4117647059</v>
      </c>
    </row>
    <row r="69">
      <c r="D69" s="50">
        <f t="shared" si="4"/>
        <v>0.6</v>
      </c>
    </row>
    <row r="70">
      <c r="D70" s="50">
        <f t="shared" si="4"/>
        <v>1</v>
      </c>
    </row>
    <row r="71">
      <c r="D71" s="50">
        <f t="shared" si="4"/>
        <v>0.2</v>
      </c>
    </row>
    <row r="73">
      <c r="A73" s="52" t="s">
        <v>790</v>
      </c>
    </row>
    <row r="74">
      <c r="A74" s="11" t="s">
        <v>1030</v>
      </c>
    </row>
    <row r="75">
      <c r="A75" s="11" t="s">
        <v>1031</v>
      </c>
    </row>
    <row r="76">
      <c r="A76" s="11" t="s">
        <v>1032</v>
      </c>
    </row>
    <row r="77">
      <c r="A77" s="11" t="s">
        <v>1033</v>
      </c>
    </row>
    <row r="78">
      <c r="A78" s="11" t="s">
        <v>1034</v>
      </c>
    </row>
    <row r="79">
      <c r="A79" s="11" t="s">
        <v>1036</v>
      </c>
    </row>
    <row r="81">
      <c r="A81" s="48" t="s">
        <v>1037</v>
      </c>
    </row>
    <row r="82"/>
    <row r="83"/>
    <row r="84"/>
    <row r="85"/>
    <row r="86"/>
    <row r="87"/>
    <row r="88"/>
    <row r="89"/>
    <row r="90"/>
    <row r="91"/>
    <row r="93">
      <c r="A93" s="52" t="s">
        <v>790</v>
      </c>
    </row>
    <row r="94">
      <c r="A94" s="53" t="s">
        <v>1089</v>
      </c>
    </row>
    <row r="95">
      <c r="A95" s="53" t="s">
        <v>1091</v>
      </c>
    </row>
    <row r="96">
      <c r="A96" s="53" t="s">
        <v>1092</v>
      </c>
    </row>
    <row r="97">
      <c r="A97" s="53" t="s">
        <v>1093</v>
      </c>
    </row>
    <row r="98">
      <c r="A98" s="53" t="s">
        <v>1094</v>
      </c>
    </row>
    <row r="99">
      <c r="A99" s="53" t="s">
        <v>1095</v>
      </c>
    </row>
    <row r="100">
      <c r="A100" s="53" t="s">
        <v>1097</v>
      </c>
    </row>
    <row r="101">
      <c r="A101" s="53" t="s">
        <v>1098</v>
      </c>
    </row>
    <row r="103">
      <c r="A103" s="53" t="s">
        <v>1099</v>
      </c>
    </row>
    <row r="104">
      <c r="A104" s="53" t="s">
        <v>1101</v>
      </c>
    </row>
    <row r="105">
      <c r="A105" s="53" t="s">
        <v>1103</v>
      </c>
    </row>
    <row r="106">
      <c r="A106" s="54"/>
    </row>
    <row r="107">
      <c r="A107" s="53" t="s">
        <v>1104</v>
      </c>
    </row>
    <row r="108">
      <c r="A108" s="53" t="s">
        <v>1106</v>
      </c>
    </row>
    <row r="109">
      <c r="A109" s="53" t="s">
        <v>1107</v>
      </c>
    </row>
    <row r="110">
      <c r="A110" s="53" t="s">
        <v>21</v>
      </c>
    </row>
    <row r="111">
      <c r="A111" s="53" t="s">
        <v>1108</v>
      </c>
    </row>
    <row r="112">
      <c r="A112" s="53" t="s">
        <v>1110</v>
      </c>
    </row>
    <row r="114">
      <c r="A114" s="48" t="s">
        <v>1111</v>
      </c>
    </row>
    <row r="115"/>
    <row r="116">
      <c r="D116" s="49" t="s">
        <v>782</v>
      </c>
    </row>
    <row r="117">
      <c r="D117" s="50">
        <f t="shared" ref="D117:D121" si="5">C117/(C117+B117)</f>
        <v>0.5555555556</v>
      </c>
    </row>
    <row r="118">
      <c r="D118" s="50">
        <f t="shared" si="5"/>
        <v>0.303030303</v>
      </c>
    </row>
    <row r="119">
      <c r="D119" s="50">
        <f t="shared" si="5"/>
        <v>0.3079584775</v>
      </c>
    </row>
    <row r="120">
      <c r="D120" s="50">
        <f t="shared" si="5"/>
        <v>0.2928994083</v>
      </c>
    </row>
    <row r="121">
      <c r="D121" s="50">
        <f t="shared" si="5"/>
        <v>0.25</v>
      </c>
    </row>
    <row r="123">
      <c r="A123" s="52" t="s">
        <v>790</v>
      </c>
    </row>
    <row r="124">
      <c r="A124" s="11" t="s">
        <v>1171</v>
      </c>
    </row>
    <row r="125">
      <c r="A125" s="11" t="s">
        <v>1172</v>
      </c>
    </row>
    <row r="126">
      <c r="A126" s="11" t="s">
        <v>1173</v>
      </c>
    </row>
    <row r="127">
      <c r="A127" s="11" t="s">
        <v>1174</v>
      </c>
    </row>
    <row r="128">
      <c r="A128" s="11" t="s">
        <v>1176</v>
      </c>
    </row>
    <row r="129">
      <c r="A129" s="11" t="s">
        <v>1177</v>
      </c>
    </row>
    <row r="130">
      <c r="A130" s="11" t="s">
        <v>1178</v>
      </c>
    </row>
    <row r="132">
      <c r="A132" s="35" t="s">
        <v>1179</v>
      </c>
    </row>
    <row r="133"/>
    <row r="134">
      <c r="D134" s="49" t="s">
        <v>782</v>
      </c>
    </row>
    <row r="135">
      <c r="D135" s="50">
        <f t="shared" ref="D135:D139" si="6">C135/(C135+B135)</f>
        <v>0.4</v>
      </c>
    </row>
    <row r="136">
      <c r="D136" s="50">
        <f t="shared" si="6"/>
        <v>0.2987012987</v>
      </c>
    </row>
    <row r="137">
      <c r="D137" s="50">
        <f t="shared" si="6"/>
        <v>0.3333333333</v>
      </c>
    </row>
    <row r="138">
      <c r="D138" s="50">
        <f t="shared" si="6"/>
        <v>0.2864963504</v>
      </c>
    </row>
    <row r="139">
      <c r="D139" s="50">
        <f t="shared" si="6"/>
        <v>0.3333333333</v>
      </c>
    </row>
    <row r="141">
      <c r="A141" s="35" t="s">
        <v>1231</v>
      </c>
    </row>
    <row r="142"/>
    <row r="143">
      <c r="D143" s="49" t="s">
        <v>782</v>
      </c>
    </row>
    <row r="144">
      <c r="D144" s="50">
        <f t="shared" ref="D144:D148" si="7">C144/(C144+B144)</f>
        <v>0.75</v>
      </c>
    </row>
    <row r="145">
      <c r="D145" s="50">
        <f t="shared" si="7"/>
        <v>0.2835820896</v>
      </c>
    </row>
    <row r="146">
      <c r="D146" s="50">
        <f t="shared" si="7"/>
        <v>0.3284671533</v>
      </c>
    </row>
    <row r="147">
      <c r="D147" s="50">
        <f t="shared" si="7"/>
        <v>0.2976406534</v>
      </c>
    </row>
    <row r="148">
      <c r="D148" s="50">
        <f t="shared" si="7"/>
        <v>0</v>
      </c>
    </row>
    <row r="150">
      <c r="A150" s="52" t="s">
        <v>790</v>
      </c>
    </row>
    <row r="151">
      <c r="A151" s="52" t="s">
        <v>1272</v>
      </c>
    </row>
    <row r="152">
      <c r="A152" s="11" t="s">
        <v>1274</v>
      </c>
    </row>
    <row r="153">
      <c r="A153" s="53" t="s">
        <v>1275</v>
      </c>
    </row>
    <row r="154">
      <c r="A154" s="53" t="s">
        <v>1276</v>
      </c>
    </row>
    <row r="155">
      <c r="A155" s="53" t="s">
        <v>1277</v>
      </c>
    </row>
    <row r="156">
      <c r="A156" s="52" t="s">
        <v>1279</v>
      </c>
    </row>
    <row r="157">
      <c r="A157" s="11" t="s">
        <v>1280</v>
      </c>
    </row>
    <row r="158">
      <c r="A158" s="53" t="s">
        <v>1281</v>
      </c>
    </row>
    <row r="159">
      <c r="A159" s="53" t="s">
        <v>1282</v>
      </c>
    </row>
    <row r="160">
      <c r="A160" s="53" t="s">
        <v>1283</v>
      </c>
    </row>
    <row r="161">
      <c r="A161" s="53" t="s">
        <v>1285</v>
      </c>
    </row>
    <row r="162">
      <c r="A162" s="53" t="s">
        <v>1286</v>
      </c>
    </row>
    <row r="163">
      <c r="A163" s="52" t="s">
        <v>1287</v>
      </c>
    </row>
    <row r="164">
      <c r="A164" s="11" t="s">
        <v>1288</v>
      </c>
    </row>
    <row r="165">
      <c r="A165" s="53" t="s">
        <v>1290</v>
      </c>
    </row>
    <row r="166">
      <c r="A166" s="54"/>
    </row>
    <row r="167">
      <c r="A167" s="55" t="s">
        <v>1291</v>
      </c>
    </row>
    <row r="169">
      <c r="A169" s="48" t="s">
        <v>1294</v>
      </c>
    </row>
    <row r="170">
      <c r="D170" s="29"/>
    </row>
    <row r="171">
      <c r="D171" s="49" t="s">
        <v>782</v>
      </c>
    </row>
    <row r="172">
      <c r="D172" s="50">
        <f t="shared" ref="D172:D181" si="8">C172/(B172+C172)</f>
        <v>0.1538461538</v>
      </c>
    </row>
    <row r="173">
      <c r="D173" s="50">
        <f t="shared" si="8"/>
        <v>0.2978723404</v>
      </c>
    </row>
    <row r="174">
      <c r="D174" s="50">
        <f t="shared" si="8"/>
        <v>0.2989473684</v>
      </c>
    </row>
    <row r="175">
      <c r="D175" s="50">
        <f t="shared" si="8"/>
        <v>0.3214990138</v>
      </c>
    </row>
    <row r="176">
      <c r="D176" s="50">
        <f t="shared" si="8"/>
        <v>0.2636655949</v>
      </c>
    </row>
    <row r="177">
      <c r="D177" s="50">
        <f t="shared" si="8"/>
        <v>0.3289473684</v>
      </c>
    </row>
    <row r="178">
      <c r="D178" s="50">
        <f t="shared" si="8"/>
        <v>0.2352941176</v>
      </c>
    </row>
    <row r="179">
      <c r="D179" s="50">
        <f t="shared" si="8"/>
        <v>0.2</v>
      </c>
    </row>
    <row r="180">
      <c r="D180" s="50">
        <f t="shared" si="8"/>
        <v>0.5</v>
      </c>
    </row>
    <row r="181">
      <c r="D181" s="50">
        <f t="shared" si="8"/>
        <v>0</v>
      </c>
    </row>
    <row r="183">
      <c r="A183" s="52" t="s">
        <v>790</v>
      </c>
    </row>
    <row r="184">
      <c r="A184" s="35" t="s">
        <v>1343</v>
      </c>
    </row>
    <row r="185">
      <c r="A185" s="11" t="s">
        <v>1345</v>
      </c>
    </row>
    <row r="186">
      <c r="A186" s="11" t="s">
        <v>1346</v>
      </c>
    </row>
    <row r="187">
      <c r="A187" s="11" t="s">
        <v>1347</v>
      </c>
    </row>
    <row r="188">
      <c r="A188" s="35" t="s">
        <v>1348</v>
      </c>
    </row>
    <row r="189">
      <c r="A189" s="11" t="s">
        <v>1349</v>
      </c>
    </row>
    <row r="190">
      <c r="A190" s="11" t="s">
        <v>1350</v>
      </c>
    </row>
    <row r="191">
      <c r="A191" s="35" t="s">
        <v>1351</v>
      </c>
    </row>
    <row r="192">
      <c r="A192" s="11" t="s">
        <v>1352</v>
      </c>
    </row>
    <row r="193">
      <c r="A193" s="11" t="s">
        <v>1353</v>
      </c>
    </row>
    <row r="194">
      <c r="A194" s="11" t="s">
        <v>1354</v>
      </c>
    </row>
    <row r="195">
      <c r="A195" s="11" t="s">
        <v>1356</v>
      </c>
    </row>
    <row r="197">
      <c r="A197" s="55" t="s">
        <v>1357</v>
      </c>
    </row>
    <row r="199">
      <c r="A199" s="48" t="s">
        <v>1359</v>
      </c>
    </row>
    <row r="200"/>
    <row r="201">
      <c r="D201" s="49" t="s">
        <v>782</v>
      </c>
    </row>
    <row r="202">
      <c r="D202" s="50">
        <f t="shared" ref="D202:D203" si="9">C202/(B202+C202)</f>
        <v>0.2996632997</v>
      </c>
    </row>
    <row r="203">
      <c r="D203" s="50">
        <f t="shared" si="9"/>
        <v>0.295045045</v>
      </c>
    </row>
    <row r="205">
      <c r="A205" s="55" t="s">
        <v>1402</v>
      </c>
    </row>
    <row r="207">
      <c r="A207" s="48" t="s">
        <v>1404</v>
      </c>
    </row>
    <row r="208"/>
    <row r="209">
      <c r="D209" s="49" t="s">
        <v>782</v>
      </c>
    </row>
    <row r="210">
      <c r="D210" s="50">
        <f t="shared" ref="D210:D214" si="10">C210/(C210+B210)</f>
        <v>0.281573499</v>
      </c>
    </row>
    <row r="211">
      <c r="D211" s="50">
        <f t="shared" si="10"/>
        <v>0.3169014085</v>
      </c>
    </row>
    <row r="212">
      <c r="D212" s="50">
        <f t="shared" si="10"/>
        <v>0.2972027972</v>
      </c>
    </row>
    <row r="213">
      <c r="D213" s="50">
        <f t="shared" si="10"/>
        <v>0.1</v>
      </c>
    </row>
    <row r="214">
      <c r="D214" s="50">
        <f t="shared" si="10"/>
        <v>1</v>
      </c>
    </row>
    <row r="216">
      <c r="A216" s="55" t="s">
        <v>1456</v>
      </c>
    </row>
  </sheetData>
  <mergeCells count="5">
    <mergeCell ref="A167:H167"/>
    <mergeCell ref="A197:H197"/>
    <mergeCell ref="A205:H205"/>
    <mergeCell ref="A216:H216"/>
    <mergeCell ref="A1:J1"/>
  </mergeCell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c r="B1" s="56" t="s">
        <v>1713</v>
      </c>
      <c r="C1" s="42"/>
      <c r="D1" s="42"/>
      <c r="E1" s="42"/>
      <c r="F1" s="42"/>
      <c r="G1" s="42"/>
      <c r="H1" s="42"/>
      <c r="I1" s="42"/>
      <c r="J1" s="42"/>
      <c r="K1" s="42"/>
      <c r="L1" s="43"/>
      <c r="M1" s="57"/>
    </row>
    <row r="2">
      <c r="B2" s="58" t="s">
        <v>1720</v>
      </c>
      <c r="C2" s="42"/>
      <c r="D2" s="42"/>
      <c r="E2" s="42"/>
      <c r="F2" s="59" t="s">
        <v>1722</v>
      </c>
      <c r="G2" s="42"/>
      <c r="H2" s="42"/>
      <c r="I2" s="42"/>
      <c r="J2" s="59" t="s">
        <v>1724</v>
      </c>
      <c r="K2" s="42"/>
      <c r="L2" s="43"/>
      <c r="M2" s="60"/>
    </row>
    <row r="3">
      <c r="B3" s="61"/>
      <c r="L3" s="62"/>
    </row>
    <row r="4">
      <c r="B4" s="63" t="s">
        <v>550</v>
      </c>
      <c r="C4" s="43"/>
      <c r="E4" s="63" t="s">
        <v>1727</v>
      </c>
      <c r="F4" s="43"/>
      <c r="H4" s="63" t="s">
        <v>1728</v>
      </c>
      <c r="I4" s="43"/>
      <c r="K4" s="64" t="s">
        <v>782</v>
      </c>
      <c r="L4" s="43"/>
    </row>
    <row r="5">
      <c r="B5" s="65">
        <f>COUNTA(Cleaned_Data!A2:A998)</f>
        <v>1808</v>
      </c>
      <c r="C5" s="66"/>
      <c r="E5" s="65">
        <f>COUNTIF(Cleaned_Data!S2:S998, "Churned")</f>
        <v>529</v>
      </c>
      <c r="F5" s="66"/>
      <c r="H5" s="65">
        <f>COUNTIF(Cleaned_Data!S2:S998, "Active")</f>
        <v>1250</v>
      </c>
      <c r="I5" s="66"/>
      <c r="K5" s="67">
        <f>IFERROR(COUNTIF(Cleaned_Data!S2:S998, "Churned")/(COUNTIF(Cleaned_Data!S2:S998, "Churned")+COUNTIF(Cleaned_Data!S2:S998, "Active")),0)</f>
        <v>0.2973580663</v>
      </c>
      <c r="L5" s="66"/>
    </row>
    <row r="6">
      <c r="B6" s="68"/>
      <c r="C6" s="69"/>
      <c r="E6" s="68"/>
      <c r="F6" s="69"/>
      <c r="H6" s="68"/>
      <c r="I6" s="69"/>
      <c r="K6" s="68"/>
      <c r="L6" s="69"/>
    </row>
    <row r="7">
      <c r="B7" s="61"/>
      <c r="L7" s="62"/>
    </row>
    <row r="8">
      <c r="B8" s="61"/>
      <c r="L8" s="62"/>
    </row>
    <row r="9">
      <c r="B9" s="61"/>
      <c r="L9" s="62"/>
    </row>
    <row r="10">
      <c r="B10" s="61"/>
      <c r="L10" s="62"/>
    </row>
    <row r="11">
      <c r="B11" s="61"/>
      <c r="L11" s="62"/>
    </row>
    <row r="12">
      <c r="B12" s="61"/>
      <c r="L12" s="62"/>
    </row>
    <row r="13">
      <c r="B13" s="61"/>
      <c r="L13" s="62"/>
    </row>
    <row r="14">
      <c r="B14" s="61"/>
      <c r="L14" s="62"/>
    </row>
    <row r="15">
      <c r="B15" s="61"/>
      <c r="L15" s="62"/>
    </row>
    <row r="16">
      <c r="B16" s="61"/>
      <c r="L16" s="62"/>
    </row>
    <row r="17">
      <c r="B17" s="61"/>
      <c r="L17" s="62"/>
    </row>
    <row r="18">
      <c r="B18" s="61"/>
      <c r="L18" s="62"/>
    </row>
    <row r="19">
      <c r="B19" s="61"/>
      <c r="L19" s="62"/>
    </row>
    <row r="20">
      <c r="B20" s="61"/>
      <c r="L20" s="62"/>
    </row>
    <row r="21">
      <c r="B21" s="61"/>
      <c r="L21" s="62"/>
    </row>
    <row r="22">
      <c r="B22" s="70" t="s">
        <v>1745</v>
      </c>
      <c r="C22" s="42"/>
      <c r="D22" s="42"/>
      <c r="E22" s="42"/>
      <c r="F22" s="43"/>
      <c r="H22" s="71" t="s">
        <v>1746</v>
      </c>
      <c r="I22" s="42"/>
      <c r="J22" s="42"/>
      <c r="K22" s="42"/>
      <c r="L22" s="43"/>
    </row>
    <row r="23">
      <c r="B23" s="61"/>
      <c r="L23" s="62"/>
    </row>
    <row r="24">
      <c r="B24" s="61"/>
      <c r="L24" s="62"/>
    </row>
    <row r="25">
      <c r="B25" s="61"/>
      <c r="L25" s="62"/>
    </row>
    <row r="26">
      <c r="B26" s="61"/>
      <c r="L26" s="62"/>
    </row>
    <row r="27">
      <c r="B27" s="61"/>
      <c r="L27" s="62"/>
    </row>
    <row r="28">
      <c r="B28" s="61"/>
      <c r="L28" s="62"/>
    </row>
    <row r="29">
      <c r="B29" s="61"/>
      <c r="L29" s="62"/>
    </row>
    <row r="30">
      <c r="B30" s="61"/>
      <c r="L30" s="62"/>
    </row>
    <row r="31">
      <c r="B31" s="61"/>
      <c r="L31" s="62"/>
    </row>
    <row r="32">
      <c r="B32" s="61"/>
      <c r="L32" s="62"/>
    </row>
    <row r="33">
      <c r="B33" s="61"/>
      <c r="L33" s="62"/>
    </row>
    <row r="34">
      <c r="B34" s="61"/>
      <c r="L34" s="62"/>
    </row>
    <row r="35">
      <c r="B35" s="61"/>
      <c r="L35" s="62"/>
    </row>
    <row r="36">
      <c r="B36" s="71" t="s">
        <v>1749</v>
      </c>
      <c r="C36" s="42"/>
      <c r="D36" s="42"/>
      <c r="E36" s="42"/>
      <c r="F36" s="43"/>
      <c r="H36" s="71" t="s">
        <v>1752</v>
      </c>
      <c r="I36" s="42"/>
      <c r="J36" s="42"/>
      <c r="K36" s="42"/>
      <c r="L36" s="43"/>
    </row>
    <row r="37">
      <c r="B37" s="61"/>
      <c r="L37" s="62"/>
    </row>
    <row r="38">
      <c r="B38" s="61"/>
      <c r="L38" s="62"/>
    </row>
    <row r="39">
      <c r="B39" s="61"/>
      <c r="L39" s="62"/>
    </row>
    <row r="40">
      <c r="B40" s="61"/>
      <c r="L40" s="62"/>
    </row>
    <row r="41">
      <c r="B41" s="61"/>
      <c r="L41" s="62"/>
    </row>
    <row r="42">
      <c r="B42" s="61"/>
      <c r="L42" s="62"/>
    </row>
    <row r="43">
      <c r="B43" s="61"/>
      <c r="L43" s="62"/>
    </row>
    <row r="44">
      <c r="B44" s="61"/>
      <c r="L44" s="62"/>
    </row>
    <row r="45">
      <c r="B45" s="61"/>
      <c r="L45" s="62"/>
    </row>
    <row r="46">
      <c r="B46" s="61"/>
      <c r="L46" s="62"/>
    </row>
    <row r="47">
      <c r="B47" s="61"/>
      <c r="L47" s="62"/>
    </row>
    <row r="48">
      <c r="B48" s="61"/>
      <c r="L48" s="62"/>
    </row>
    <row r="49">
      <c r="B49" s="61"/>
      <c r="L49" s="62"/>
    </row>
    <row r="50">
      <c r="B50" s="71" t="s">
        <v>1756</v>
      </c>
      <c r="C50" s="42"/>
      <c r="D50" s="42"/>
      <c r="E50" s="42"/>
      <c r="F50" s="43"/>
      <c r="H50" s="71" t="s">
        <v>1758</v>
      </c>
      <c r="I50" s="42"/>
      <c r="J50" s="42"/>
      <c r="K50" s="42"/>
      <c r="L50" s="43"/>
    </row>
    <row r="51">
      <c r="B51" s="61"/>
      <c r="L51" s="62"/>
    </row>
    <row r="52">
      <c r="B52" s="72" t="s">
        <v>1761</v>
      </c>
      <c r="C52" s="42"/>
      <c r="D52" s="42"/>
      <c r="E52" s="42"/>
      <c r="F52" s="42"/>
      <c r="G52" s="42"/>
      <c r="H52" s="42"/>
      <c r="I52" s="42"/>
      <c r="J52" s="42"/>
      <c r="K52" s="42"/>
      <c r="L52" s="43"/>
    </row>
  </sheetData>
  <mergeCells count="19">
    <mergeCell ref="K4:L4"/>
    <mergeCell ref="F2:I2"/>
    <mergeCell ref="J2:L2"/>
    <mergeCell ref="B2:E2"/>
    <mergeCell ref="B4:C4"/>
    <mergeCell ref="B5:C6"/>
    <mergeCell ref="E5:F6"/>
    <mergeCell ref="H5:I6"/>
    <mergeCell ref="K5:L6"/>
    <mergeCell ref="B1:L1"/>
    <mergeCell ref="E4:F4"/>
    <mergeCell ref="H4:I4"/>
    <mergeCell ref="B22:F22"/>
    <mergeCell ref="H22:L22"/>
    <mergeCell ref="H36:L36"/>
    <mergeCell ref="B50:F50"/>
    <mergeCell ref="H50:L50"/>
    <mergeCell ref="B52:L52"/>
    <mergeCell ref="B36:F36"/>
  </mergeCells>
  <drawing r:id="rId1"/>
</worksheet>
</file>